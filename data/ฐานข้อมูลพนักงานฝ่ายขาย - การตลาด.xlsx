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Project Sales\Data\"/>
    </mc:Choice>
  </mc:AlternateContent>
  <xr:revisionPtr revIDLastSave="0" documentId="13_ncr:1_{57A2A5EE-3D15-43AC-A017-D0E023C9C134}" xr6:coauthVersionLast="47" xr6:coauthVersionMax="47" xr10:uidLastSave="{00000000-0000-0000-0000-000000000000}"/>
  <bookViews>
    <workbookView xWindow="28680" yWindow="-120" windowWidth="29040" windowHeight="15720" xr2:uid="{BB9DCA47-F79C-4E4C-95F4-ECF0D287F47B}"/>
  </bookViews>
  <sheets>
    <sheet name="Name" sheetId="1" r:id="rId1"/>
  </sheets>
  <definedNames>
    <definedName name="_xlnm._FilterDatabase" localSheetId="0" hidden="1">Name!$A$2:$S$28</definedName>
    <definedName name="_xlnm.Print_Titles" localSheetId="0">Name!$1:$2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8" i="1" l="1"/>
  <c r="O27" i="1"/>
  <c r="O26" i="1"/>
  <c r="O25" i="1"/>
  <c r="O24" i="1"/>
  <c r="O23" i="1"/>
  <c r="O22" i="1"/>
  <c r="O20" i="1"/>
  <c r="O19" i="1"/>
  <c r="O18" i="1"/>
  <c r="O17" i="1"/>
  <c r="O16" i="1"/>
  <c r="O15" i="1"/>
  <c r="O14" i="1"/>
  <c r="O13" i="1"/>
  <c r="O11" i="1"/>
  <c r="O10" i="1"/>
  <c r="O7" i="1"/>
  <c r="O6" i="1"/>
  <c r="O5" i="1"/>
  <c r="O4" i="1"/>
</calcChain>
</file>

<file path=xl/sharedStrings.xml><?xml version="1.0" encoding="utf-8"?>
<sst xmlns="http://schemas.openxmlformats.org/spreadsheetml/2006/main" count="358" uniqueCount="207">
  <si>
    <t>รายชื่อพนักงานฝ่ายขาย - และการตลาด</t>
  </si>
  <si>
    <t>NO.</t>
  </si>
  <si>
    <t>ฝ่าย</t>
  </si>
  <si>
    <t>แผนก ภาษาอังกฤษ</t>
  </si>
  <si>
    <t>แผนก ภาษาไทย</t>
  </si>
  <si>
    <t>รหัสพนักงาน</t>
  </si>
  <si>
    <t>ชื่อ - นามสกุล</t>
  </si>
  <si>
    <t>ชื่อเล่น</t>
  </si>
  <si>
    <t>ตำแหน่งภาษาอังกฤษ</t>
  </si>
  <si>
    <t>ตำแหน่งภาษาไทย</t>
  </si>
  <si>
    <t>ระดับตำแหน่ง</t>
  </si>
  <si>
    <t>สาขา</t>
  </si>
  <si>
    <t>เบอร์โทรติดต่อส่วนตัว</t>
  </si>
  <si>
    <t>วันเดือนปีเกิด</t>
  </si>
  <si>
    <t>วันที่เริ่มงาน</t>
  </si>
  <si>
    <t>อายุ</t>
  </si>
  <si>
    <t>Email บริษัท</t>
  </si>
  <si>
    <t>Email - G-mail ส่วนตัว</t>
  </si>
  <si>
    <t>ฝ่ายขาย - การตลาด</t>
  </si>
  <si>
    <t>Sales and Marketing</t>
  </si>
  <si>
    <t>ขายรายเดือน</t>
  </si>
  <si>
    <t>นางสาวปาล์ม บุญกุศล</t>
  </si>
  <si>
    <t>คุณปาล์ม</t>
  </si>
  <si>
    <t>Sales &amp; Marketing Manager</t>
  </si>
  <si>
    <t>ผู้อำนวยการฝ่ายขาย - การตลาด</t>
  </si>
  <si>
    <t>ผู้อำนวยการ</t>
  </si>
  <si>
    <t>ดูแลบริหารงานฝ่ายขายและการตลาด</t>
  </si>
  <si>
    <t>palm.b@wanwanach.com</t>
  </si>
  <si>
    <t>นางสาววนัสนันท์ อินต๊ะเสน</t>
  </si>
  <si>
    <t>คุณวี</t>
  </si>
  <si>
    <t>ผู้จัดการฝ่ายขาย - การตลาด</t>
  </si>
  <si>
    <t>ผู้จัดการ</t>
  </si>
  <si>
    <t>096-2616598 , 092-9526666</t>
  </si>
  <si>
    <t>sales.manager@wanwanach.com</t>
  </si>
  <si>
    <t>นางสาวธัญรัตน์ พุ่มนิล</t>
  </si>
  <si>
    <t>ต้นปาล์ม</t>
  </si>
  <si>
    <t>Sales Analysis</t>
  </si>
  <si>
    <t>นักการวิเคราะห์ยอดขาย</t>
  </si>
  <si>
    <t>เจ้าหน้าที่</t>
  </si>
  <si>
    <t xml:space="preserve">ประสานงาน ซัพพอตข้อมูลฝ่ายขายและการตลาด </t>
  </si>
  <si>
    <t>082-6672575</t>
  </si>
  <si>
    <t>25/10/2023</t>
  </si>
  <si>
    <t>sale.analysis@wanwanach.com</t>
  </si>
  <si>
    <t>plamwanwanuch25102566@gmail.com</t>
  </si>
  <si>
    <t>Sales</t>
  </si>
  <si>
    <t>นางสาวระวีวรรณ ไพรสงบ</t>
  </si>
  <si>
    <t>แอล</t>
  </si>
  <si>
    <t>Sales Modern trade</t>
  </si>
  <si>
    <t>เซลล์โมเดริน์เทรด</t>
  </si>
  <si>
    <t>CJ , Aeon , Top , Big C , The mall , Makro</t>
  </si>
  <si>
    <t>093-4569749</t>
  </si>
  <si>
    <t>07/02/2001</t>
  </si>
  <si>
    <t>20/04/2022</t>
  </si>
  <si>
    <t>moderntrde_sales@wanwanach.com</t>
  </si>
  <si>
    <t>raweewan070244@gmail.com</t>
  </si>
  <si>
    <t>68110501</t>
  </si>
  <si>
    <t>นางสาวณัฏฐวรรณ ธัญรัตนศรีสกุล</t>
  </si>
  <si>
    <t>ยู</t>
  </si>
  <si>
    <t>Sale Amazon</t>
  </si>
  <si>
    <t>เซลล์อเมซอน</t>
  </si>
  <si>
    <t>BKK 01 (ปทุมธานี)</t>
  </si>
  <si>
    <t>063-9835692</t>
  </si>
  <si>
    <t>amazon.sales@wanwanach.com</t>
  </si>
  <si>
    <t>Nattawanhh1412@gmail.com</t>
  </si>
  <si>
    <t>นายภาณุวัฒน์ ปานเผือก</t>
  </si>
  <si>
    <t>ซี</t>
  </si>
  <si>
    <t>BKK 02 (นนทบุรี)</t>
  </si>
  <si>
    <t>080-6623863</t>
  </si>
  <si>
    <t>zeenew650@gmail.com</t>
  </si>
  <si>
    <t>นายวีระ พรมมี</t>
  </si>
  <si>
    <t>กานต์</t>
  </si>
  <si>
    <t>BKK 03 (สมุทรปราการ)</t>
  </si>
  <si>
    <t>091-0030257</t>
  </si>
  <si>
    <t>05/02/1994</t>
  </si>
  <si>
    <t>23/05/2024</t>
  </si>
  <si>
    <t>Weeraprommee@gmail.com</t>
  </si>
  <si>
    <t>นางสาววันเพ็ญ สินธุ์เจริญ</t>
  </si>
  <si>
    <t>นกหวีด</t>
  </si>
  <si>
    <t>Support Sales</t>
  </si>
  <si>
    <t>เจ้าหน้าที่สนับสนุนฝ่ายขาย</t>
  </si>
  <si>
    <t>098-9136804</t>
  </si>
  <si>
    <t>21/06/1999</t>
  </si>
  <si>
    <t>17/11/2024</t>
  </si>
  <si>
    <t>support.sale@wanwanach.com</t>
  </si>
  <si>
    <t>wanpensinchareon@gmail.com</t>
  </si>
  <si>
    <t>นางสาววิลาศีณี โชติช่วง</t>
  </si>
  <si>
    <t>กลอย</t>
  </si>
  <si>
    <t>061-0390217</t>
  </si>
  <si>
    <t>07/06/2000</t>
  </si>
  <si>
    <t>16/10/2024</t>
  </si>
  <si>
    <t>moderntrade.support@wanwanach.com</t>
  </si>
  <si>
    <t>wilasineechotchuang@gmail.com</t>
  </si>
  <si>
    <t>69010012</t>
  </si>
  <si>
    <t>นางสาวศุภนิดา สวัสดี</t>
  </si>
  <si>
    <t>ทราย</t>
  </si>
  <si>
    <t>063-5917919</t>
  </si>
  <si>
    <t>support.sale2@wanwanach.com</t>
  </si>
  <si>
    <t>phaphatlalin@gmail.com</t>
  </si>
  <si>
    <t>Booth</t>
  </si>
  <si>
    <t>บูธรายวัน</t>
  </si>
  <si>
    <t>นางสาววัลนิภา ฤทธิ์ประดับ</t>
  </si>
  <si>
    <t>น้อย</t>
  </si>
  <si>
    <t>พนักงานขาย</t>
  </si>
  <si>
    <t>พนักงานขายบูธสินค้า</t>
  </si>
  <si>
    <t>พนักงาน</t>
  </si>
  <si>
    <t>ร้านใหม่ (ปตท.คุณาวรรณ)</t>
  </si>
  <si>
    <t>063-2612368</t>
  </si>
  <si>
    <t>22/11/1986</t>
  </si>
  <si>
    <t>10/12/2021</t>
  </si>
  <si>
    <t>ไม่มี</t>
  </si>
  <si>
    <t>นางสาวเปรมยุดา ฤทธิ์ประดับ</t>
  </si>
  <si>
    <t>อุ้ม</t>
  </si>
  <si>
    <t>หน้ามอ (ม.เกษตร)</t>
  </si>
  <si>
    <t>062-5989488</t>
  </si>
  <si>
    <t>01/02/2025</t>
  </si>
  <si>
    <t>นางสาวปราณี มาตยาคลู</t>
  </si>
  <si>
    <t xml:space="preserve">นก </t>
  </si>
  <si>
    <t>ลำพยา 3 เก่า</t>
  </si>
  <si>
    <t>066-1253392</t>
  </si>
  <si>
    <t>03/10/2014</t>
  </si>
  <si>
    <t>Ordering Center</t>
  </si>
  <si>
    <t>ธุรการขาย</t>
  </si>
  <si>
    <t>นางสาวภาณุมาศ ศรีทันดร</t>
  </si>
  <si>
    <t>เค้ก</t>
  </si>
  <si>
    <t>หัวหน้างาน Ordering Center</t>
  </si>
  <si>
    <t>หัวหน้างานธุรการขาย</t>
  </si>
  <si>
    <t>หัวหน้างาน</t>
  </si>
  <si>
    <t>092-6864207</t>
  </si>
  <si>
    <t>order.supervisor@wanwanach.com</t>
  </si>
  <si>
    <t>cake162528@gmail.com</t>
  </si>
  <si>
    <t>นางสาวยุวดี สิงคาน</t>
  </si>
  <si>
    <t>อ้อ</t>
  </si>
  <si>
    <t>Ordering center Officer</t>
  </si>
  <si>
    <t>คีย์ออเดอร์ ติดต่อประสานงานลูกค้า</t>
  </si>
  <si>
    <t>065-6204259</t>
  </si>
  <si>
    <t>online.sale@wanwanach.com</t>
  </si>
  <si>
    <t>yuwadeearo4259@gmail.com</t>
  </si>
  <si>
    <t>นางสาวกาญจนา ศรีเหรา</t>
  </si>
  <si>
    <t>แตงกวา</t>
  </si>
  <si>
    <t>099-0830014</t>
  </si>
  <si>
    <t>04/07/2003</t>
  </si>
  <si>
    <t>03/08/2025</t>
  </si>
  <si>
    <t>tangkwar4444@gmail.com</t>
  </si>
  <si>
    <t>นางสาวจุฑามาศ คุ้มผล</t>
  </si>
  <si>
    <t>อัพ</t>
  </si>
  <si>
    <t>094-5451300</t>
  </si>
  <si>
    <t>17/12/2024</t>
  </si>
  <si>
    <t>workforjutamas@gmail.com</t>
  </si>
  <si>
    <t>นางสาวสุพัตรา แซ่ตั้น</t>
  </si>
  <si>
    <t>โบว์</t>
  </si>
  <si>
    <t>093-4342441</t>
  </si>
  <si>
    <t>supattrasae1987@gmail.com</t>
  </si>
  <si>
    <t>นายพีรพัฒน์ เพราะเจริญ</t>
  </si>
  <si>
    <t>บิวตี้</t>
  </si>
  <si>
    <t>061-6067114</t>
  </si>
  <si>
    <t>bb0616067114@gmail.com</t>
  </si>
  <si>
    <t>นายอัฐพล สงวนดี</t>
  </si>
  <si>
    <t>ฟิวส์</t>
  </si>
  <si>
    <t>Support , รับ PO : Amazon , MDT</t>
  </si>
  <si>
    <t>098-6372738</t>
  </si>
  <si>
    <t>15/05/2002</t>
  </si>
  <si>
    <t>08/12/2024</t>
  </si>
  <si>
    <t>fivufiw04@gmail.com</t>
  </si>
  <si>
    <t>Online</t>
  </si>
  <si>
    <t>ขายออนไลน์รายเดือน</t>
  </si>
  <si>
    <t>นางสาวพุธิตา พจสุวรรณ์</t>
  </si>
  <si>
    <t>นับนิว</t>
  </si>
  <si>
    <t>Online officer</t>
  </si>
  <si>
    <t>ธุุรการออนไลน์</t>
  </si>
  <si>
    <t>ทำ Memo , Revisde , Forcast , เปิดบิล , คีย์ COD</t>
  </si>
  <si>
    <t>092-2525944</t>
  </si>
  <si>
    <t>02/02/2001</t>
  </si>
  <si>
    <t>02/02/2025</t>
  </si>
  <si>
    <t>phuthita.nn@gmail.com</t>
  </si>
  <si>
    <t>นางสาวนฤมล ทองเต่าอินทร์</t>
  </si>
  <si>
    <t>ส้ม</t>
  </si>
  <si>
    <t>093-0292194</t>
  </si>
  <si>
    <t>05/03/1996</t>
  </si>
  <si>
    <t>05/07/2023</t>
  </si>
  <si>
    <t>somnarumon39@gmail.com</t>
  </si>
  <si>
    <t>นางสาวฐิติพร ลวกิตติไชยยันต์</t>
  </si>
  <si>
    <t>อาย</t>
  </si>
  <si>
    <t>Live staff</t>
  </si>
  <si>
    <t>ไลฟ์สดออนไลน์</t>
  </si>
  <si>
    <t>ไลฟ์สด</t>
  </si>
  <si>
    <t>083-2622509</t>
  </si>
  <si>
    <t>28/06/2000</t>
  </si>
  <si>
    <t>09/07/2023</t>
  </si>
  <si>
    <t>thitipornlwktcy@gmail.com</t>
  </si>
  <si>
    <t>นางสาวสุดารัตน์ สวัสดิ์รัมย์</t>
  </si>
  <si>
    <t>เรย์</t>
  </si>
  <si>
    <t>098-1370395</t>
  </si>
  <si>
    <t>20/06/2000</t>
  </si>
  <si>
    <t>05/09/2024</t>
  </si>
  <si>
    <t>sudarat.sawatram@gmail.com</t>
  </si>
  <si>
    <t>นางสาวรวีวรรณ มีจั่นเพชร</t>
  </si>
  <si>
    <t>แอม</t>
  </si>
  <si>
    <t>098-9849399</t>
  </si>
  <si>
    <t>30/11/2021</t>
  </si>
  <si>
    <t>raweewan5499@gmail.com</t>
  </si>
  <si>
    <t>นางสาวอริสยา แซ่ลิ้ม</t>
  </si>
  <si>
    <t>แจม</t>
  </si>
  <si>
    <t>092-8036541</t>
  </si>
  <si>
    <t>01/02/2022</t>
  </si>
  <si>
    <t>opporeno15fmk@gmail.com</t>
  </si>
  <si>
    <t>ดูแลงานออเดอร์ฝ่ายขาย</t>
  </si>
  <si>
    <t>งานธุรการ ออกบิล ตอบแชท งานเอกสารทั้งหมด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</si>
</sst>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sz val="16"/>
      <color theme="1"/>
      <name val="Angsana New"/>
      <family val="1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/>
    <xf numFmtId="14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14" fontId="3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14" fontId="3" fillId="6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14" fontId="3" fillId="7" borderId="1" xfId="0" applyNumberFormat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14" fontId="3" fillId="8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b0616067114@gmail.com" TargetMode="External"/><Relationship Id="rId2" Type="http://schemas.openxmlformats.org/officeDocument/2006/relationships/hyperlink" Target="mailto:moderntrde_sales@wanwanach.com" TargetMode="External"/><Relationship Id="rId1" Type="http://schemas.openxmlformats.org/officeDocument/2006/relationships/hyperlink" Target="mailto:yuwadeearo4259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CE7FC-5F38-4314-B288-2F28A9C32B05}">
  <sheetPr>
    <tabColor rgb="FF7030A0"/>
    <pageSetUpPr fitToPage="1"/>
  </sheetPr>
  <dimension ref="A1:Q29"/>
  <sheetViews>
    <sheetView tabSelected="1" zoomScale="85" zoomScaleNormal="85" workbookViewId="0">
      <pane xSplit="6" ySplit="2" topLeftCell="G9" activePane="bottomRight" state="frozen"/>
      <selection pane="topRight" activeCell="E1" sqref="E1"/>
      <selection pane="bottomLeft" activeCell="A3" sqref="A3"/>
      <selection pane="bottomRight" activeCell="K25" sqref="K25"/>
    </sheetView>
  </sheetViews>
  <sheetFormatPr defaultColWidth="8.8984375" defaultRowHeight="23.4" x14ac:dyDescent="0.6"/>
  <cols>
    <col min="1" max="1" width="6.3984375" style="28" customWidth="1"/>
    <col min="2" max="4" width="21" style="28" customWidth="1"/>
    <col min="5" max="5" width="13.296875" style="28" customWidth="1"/>
    <col min="6" max="6" width="27.19921875" style="28" customWidth="1"/>
    <col min="7" max="7" width="11.3984375" style="28" bestFit="1" customWidth="1"/>
    <col min="8" max="9" width="29.3984375" style="28" customWidth="1"/>
    <col min="10" max="10" width="29.59765625" style="28" customWidth="1"/>
    <col min="11" max="11" width="49.296875" style="28" customWidth="1"/>
    <col min="12" max="15" width="22.59765625" style="29" customWidth="1"/>
    <col min="16" max="16" width="29.8984375" style="29" bestFit="1" customWidth="1"/>
    <col min="17" max="17" width="30.69921875" style="29" bestFit="1" customWidth="1"/>
    <col min="18" max="18" width="29.59765625" style="11" bestFit="1" customWidth="1"/>
    <col min="19" max="16384" width="8.8984375" style="11"/>
  </cols>
  <sheetData>
    <row r="1" spans="1:17" s="4" customFormat="1" ht="28.8" x14ac:dyDescent="0.7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</row>
    <row r="2" spans="1:17" s="7" customFormat="1" ht="26.4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</row>
    <row r="3" spans="1:17" x14ac:dyDescent="0.6">
      <c r="A3" s="8">
        <v>1</v>
      </c>
      <c r="B3" s="9" t="s">
        <v>18</v>
      </c>
      <c r="C3" s="9" t="s">
        <v>19</v>
      </c>
      <c r="D3" s="9" t="s">
        <v>20</v>
      </c>
      <c r="E3" s="9">
        <v>64070068</v>
      </c>
      <c r="F3" s="9" t="s">
        <v>21</v>
      </c>
      <c r="G3" s="9" t="s">
        <v>22</v>
      </c>
      <c r="H3" s="9" t="s">
        <v>23</v>
      </c>
      <c r="I3" s="9" t="s">
        <v>24</v>
      </c>
      <c r="J3" s="9" t="s">
        <v>25</v>
      </c>
      <c r="K3" s="9" t="s">
        <v>26</v>
      </c>
      <c r="L3" s="10"/>
      <c r="M3" s="10"/>
      <c r="N3" s="10"/>
      <c r="O3" s="10"/>
      <c r="P3" s="10" t="s">
        <v>27</v>
      </c>
      <c r="Q3" s="10"/>
    </row>
    <row r="4" spans="1:17" x14ac:dyDescent="0.6">
      <c r="A4" s="8">
        <v>2</v>
      </c>
      <c r="B4" s="9" t="s">
        <v>18</v>
      </c>
      <c r="C4" s="9" t="s">
        <v>19</v>
      </c>
      <c r="D4" s="9" t="s">
        <v>20</v>
      </c>
      <c r="E4" s="9">
        <v>68030039</v>
      </c>
      <c r="F4" s="9" t="s">
        <v>28</v>
      </c>
      <c r="G4" s="9" t="s">
        <v>29</v>
      </c>
      <c r="H4" s="9" t="s">
        <v>23</v>
      </c>
      <c r="I4" s="9" t="s">
        <v>30</v>
      </c>
      <c r="J4" s="9" t="s">
        <v>31</v>
      </c>
      <c r="K4" s="9" t="s">
        <v>26</v>
      </c>
      <c r="L4" s="10" t="s">
        <v>32</v>
      </c>
      <c r="M4" s="12">
        <v>29373</v>
      </c>
      <c r="N4" s="12">
        <v>45732</v>
      </c>
      <c r="O4" s="10">
        <f>2025-1980</f>
        <v>45</v>
      </c>
      <c r="P4" s="10" t="s">
        <v>33</v>
      </c>
      <c r="Q4" s="10" t="s">
        <v>33</v>
      </c>
    </row>
    <row r="5" spans="1:17" x14ac:dyDescent="0.6">
      <c r="A5" s="8">
        <v>3</v>
      </c>
      <c r="B5" s="9" t="s">
        <v>18</v>
      </c>
      <c r="C5" s="9" t="s">
        <v>19</v>
      </c>
      <c r="D5" s="9" t="s">
        <v>20</v>
      </c>
      <c r="E5" s="9">
        <v>66100584</v>
      </c>
      <c r="F5" s="9" t="s">
        <v>34</v>
      </c>
      <c r="G5" s="9" t="s">
        <v>35</v>
      </c>
      <c r="H5" s="9" t="s">
        <v>36</v>
      </c>
      <c r="I5" s="9" t="s">
        <v>37</v>
      </c>
      <c r="J5" s="9" t="s">
        <v>38</v>
      </c>
      <c r="K5" s="9" t="s">
        <v>39</v>
      </c>
      <c r="L5" s="10" t="s">
        <v>40</v>
      </c>
      <c r="M5" s="12">
        <v>34029</v>
      </c>
      <c r="N5" s="10" t="s">
        <v>41</v>
      </c>
      <c r="O5" s="10">
        <f>2025-1993</f>
        <v>32</v>
      </c>
      <c r="P5" s="10" t="s">
        <v>42</v>
      </c>
      <c r="Q5" s="10" t="s">
        <v>43</v>
      </c>
    </row>
    <row r="6" spans="1:17" ht="22.8" customHeight="1" x14ac:dyDescent="0.6">
      <c r="A6" s="8">
        <v>4</v>
      </c>
      <c r="B6" s="13" t="s">
        <v>18</v>
      </c>
      <c r="C6" s="13" t="s">
        <v>44</v>
      </c>
      <c r="D6" s="13" t="s">
        <v>20</v>
      </c>
      <c r="E6" s="13">
        <v>65040204</v>
      </c>
      <c r="F6" s="13" t="s">
        <v>45</v>
      </c>
      <c r="G6" s="13" t="s">
        <v>46</v>
      </c>
      <c r="H6" s="13" t="s">
        <v>47</v>
      </c>
      <c r="I6" s="13" t="s">
        <v>48</v>
      </c>
      <c r="J6" s="13" t="s">
        <v>38</v>
      </c>
      <c r="K6" s="13" t="s">
        <v>49</v>
      </c>
      <c r="L6" s="14" t="s">
        <v>50</v>
      </c>
      <c r="M6" s="14" t="s">
        <v>51</v>
      </c>
      <c r="N6" s="14" t="s">
        <v>52</v>
      </c>
      <c r="O6" s="14">
        <f>2025-2001</f>
        <v>24</v>
      </c>
      <c r="P6" s="14" t="s">
        <v>53</v>
      </c>
      <c r="Q6" s="14" t="s">
        <v>54</v>
      </c>
    </row>
    <row r="7" spans="1:17" ht="22.8" customHeight="1" x14ac:dyDescent="0.6">
      <c r="A7" s="8">
        <v>5</v>
      </c>
      <c r="B7" s="15" t="s">
        <v>18</v>
      </c>
      <c r="C7" s="15" t="s">
        <v>44</v>
      </c>
      <c r="D7" s="15" t="s">
        <v>20</v>
      </c>
      <c r="E7" s="15" t="s">
        <v>55</v>
      </c>
      <c r="F7" s="15" t="s">
        <v>56</v>
      </c>
      <c r="G7" s="15" t="s">
        <v>57</v>
      </c>
      <c r="H7" s="15" t="s">
        <v>58</v>
      </c>
      <c r="I7" s="15" t="s">
        <v>59</v>
      </c>
      <c r="J7" s="15" t="s">
        <v>38</v>
      </c>
      <c r="K7" s="15" t="s">
        <v>60</v>
      </c>
      <c r="L7" s="16" t="s">
        <v>61</v>
      </c>
      <c r="M7" s="17">
        <v>234105</v>
      </c>
      <c r="N7" s="17">
        <v>46057</v>
      </c>
      <c r="O7" s="16">
        <f>2569-2540</f>
        <v>29</v>
      </c>
      <c r="P7" s="16" t="s">
        <v>62</v>
      </c>
      <c r="Q7" s="16" t="s">
        <v>63</v>
      </c>
    </row>
    <row r="8" spans="1:17" x14ac:dyDescent="0.6">
      <c r="A8" s="8">
        <v>6</v>
      </c>
      <c r="B8" s="15" t="s">
        <v>18</v>
      </c>
      <c r="C8" s="15" t="s">
        <v>44</v>
      </c>
      <c r="D8" s="15" t="s">
        <v>20</v>
      </c>
      <c r="E8" s="15">
        <v>69020177</v>
      </c>
      <c r="F8" s="15" t="s">
        <v>64</v>
      </c>
      <c r="G8" s="15" t="s">
        <v>65</v>
      </c>
      <c r="H8" s="15" t="s">
        <v>58</v>
      </c>
      <c r="I8" s="15" t="s">
        <v>59</v>
      </c>
      <c r="J8" s="15" t="s">
        <v>38</v>
      </c>
      <c r="K8" s="15" t="s">
        <v>66</v>
      </c>
      <c r="L8" s="16" t="s">
        <v>67</v>
      </c>
      <c r="M8" s="17">
        <v>228755</v>
      </c>
      <c r="N8" s="17">
        <v>244406</v>
      </c>
      <c r="O8" s="16">
        <v>43</v>
      </c>
      <c r="P8" s="16" t="s">
        <v>62</v>
      </c>
      <c r="Q8" s="16" t="s">
        <v>68</v>
      </c>
    </row>
    <row r="9" spans="1:17" x14ac:dyDescent="0.6">
      <c r="A9" s="8">
        <v>7</v>
      </c>
      <c r="B9" s="15" t="s">
        <v>18</v>
      </c>
      <c r="C9" s="15" t="s">
        <v>44</v>
      </c>
      <c r="D9" s="15" t="s">
        <v>20</v>
      </c>
      <c r="E9" s="15">
        <v>67050052</v>
      </c>
      <c r="F9" s="15" t="s">
        <v>69</v>
      </c>
      <c r="G9" s="15" t="s">
        <v>70</v>
      </c>
      <c r="H9" s="15" t="s">
        <v>58</v>
      </c>
      <c r="I9" s="15" t="s">
        <v>59</v>
      </c>
      <c r="J9" s="15" t="s">
        <v>38</v>
      </c>
      <c r="K9" s="15" t="s">
        <v>71</v>
      </c>
      <c r="L9" s="16" t="s">
        <v>72</v>
      </c>
      <c r="M9" s="17" t="s">
        <v>73</v>
      </c>
      <c r="N9" s="16" t="s">
        <v>74</v>
      </c>
      <c r="O9" s="16">
        <v>31</v>
      </c>
      <c r="P9" s="16" t="s">
        <v>62</v>
      </c>
      <c r="Q9" s="16" t="s">
        <v>75</v>
      </c>
    </row>
    <row r="10" spans="1:17" x14ac:dyDescent="0.6">
      <c r="A10" s="8">
        <v>8</v>
      </c>
      <c r="B10" s="9" t="s">
        <v>18</v>
      </c>
      <c r="C10" s="9" t="s">
        <v>44</v>
      </c>
      <c r="D10" s="9" t="s">
        <v>20</v>
      </c>
      <c r="E10" s="9">
        <v>67110178</v>
      </c>
      <c r="F10" s="9" t="s">
        <v>76</v>
      </c>
      <c r="G10" s="9" t="s">
        <v>77</v>
      </c>
      <c r="H10" s="9" t="s">
        <v>78</v>
      </c>
      <c r="I10" s="9" t="s">
        <v>79</v>
      </c>
      <c r="J10" s="9" t="s">
        <v>38</v>
      </c>
      <c r="K10" s="9" t="s">
        <v>18</v>
      </c>
      <c r="L10" s="10" t="s">
        <v>80</v>
      </c>
      <c r="M10" s="10" t="s">
        <v>81</v>
      </c>
      <c r="N10" s="10" t="s">
        <v>82</v>
      </c>
      <c r="O10" s="10">
        <f>2025-1999</f>
        <v>26</v>
      </c>
      <c r="P10" s="10" t="s">
        <v>83</v>
      </c>
      <c r="Q10" s="10" t="s">
        <v>84</v>
      </c>
    </row>
    <row r="11" spans="1:17" x14ac:dyDescent="0.6">
      <c r="A11" s="8">
        <v>9</v>
      </c>
      <c r="B11" s="9" t="s">
        <v>18</v>
      </c>
      <c r="C11" s="9" t="s">
        <v>44</v>
      </c>
      <c r="D11" s="9" t="s">
        <v>20</v>
      </c>
      <c r="E11" s="9">
        <v>67100138</v>
      </c>
      <c r="F11" s="9" t="s">
        <v>85</v>
      </c>
      <c r="G11" s="9" t="s">
        <v>86</v>
      </c>
      <c r="H11" s="9" t="s">
        <v>78</v>
      </c>
      <c r="I11" s="9" t="s">
        <v>79</v>
      </c>
      <c r="J11" s="9" t="s">
        <v>38</v>
      </c>
      <c r="K11" s="9" t="s">
        <v>18</v>
      </c>
      <c r="L11" s="10" t="s">
        <v>87</v>
      </c>
      <c r="M11" s="10" t="s">
        <v>88</v>
      </c>
      <c r="N11" s="10" t="s">
        <v>89</v>
      </c>
      <c r="O11" s="10">
        <f>2025-2000</f>
        <v>25</v>
      </c>
      <c r="P11" s="10" t="s">
        <v>90</v>
      </c>
      <c r="Q11" s="10" t="s">
        <v>91</v>
      </c>
    </row>
    <row r="12" spans="1:17" x14ac:dyDescent="0.6">
      <c r="A12" s="8">
        <v>10</v>
      </c>
      <c r="B12" s="9" t="s">
        <v>18</v>
      </c>
      <c r="C12" s="9" t="s">
        <v>44</v>
      </c>
      <c r="D12" s="9" t="s">
        <v>20</v>
      </c>
      <c r="E12" s="9" t="s">
        <v>92</v>
      </c>
      <c r="F12" s="9" t="s">
        <v>93</v>
      </c>
      <c r="G12" s="9" t="s">
        <v>94</v>
      </c>
      <c r="H12" s="9" t="s">
        <v>78</v>
      </c>
      <c r="I12" s="9" t="s">
        <v>79</v>
      </c>
      <c r="J12" s="9" t="s">
        <v>38</v>
      </c>
      <c r="K12" s="9" t="s">
        <v>18</v>
      </c>
      <c r="L12" s="10" t="s">
        <v>95</v>
      </c>
      <c r="M12" s="12">
        <v>33163</v>
      </c>
      <c r="N12" s="12">
        <v>46026</v>
      </c>
      <c r="O12" s="10">
        <v>36</v>
      </c>
      <c r="P12" s="10" t="s">
        <v>96</v>
      </c>
      <c r="Q12" s="10" t="s">
        <v>97</v>
      </c>
    </row>
    <row r="13" spans="1:17" ht="24" customHeight="1" x14ac:dyDescent="0.6">
      <c r="A13" s="8">
        <v>11</v>
      </c>
      <c r="B13" s="18" t="s">
        <v>18</v>
      </c>
      <c r="C13" s="18" t="s">
        <v>98</v>
      </c>
      <c r="D13" s="18" t="s">
        <v>99</v>
      </c>
      <c r="E13" s="18">
        <v>64120242</v>
      </c>
      <c r="F13" s="18" t="s">
        <v>100</v>
      </c>
      <c r="G13" s="18" t="s">
        <v>101</v>
      </c>
      <c r="H13" s="18" t="s">
        <v>102</v>
      </c>
      <c r="I13" s="18" t="s">
        <v>103</v>
      </c>
      <c r="J13" s="18" t="s">
        <v>104</v>
      </c>
      <c r="K13" s="18" t="s">
        <v>105</v>
      </c>
      <c r="L13" s="19" t="s">
        <v>106</v>
      </c>
      <c r="M13" s="19" t="s">
        <v>107</v>
      </c>
      <c r="N13" s="19" t="s">
        <v>108</v>
      </c>
      <c r="O13" s="19">
        <f>2025-1986</f>
        <v>39</v>
      </c>
      <c r="P13" s="19" t="s">
        <v>109</v>
      </c>
      <c r="Q13" s="19" t="s">
        <v>109</v>
      </c>
    </row>
    <row r="14" spans="1:17" x14ac:dyDescent="0.6">
      <c r="A14" s="8">
        <v>12</v>
      </c>
      <c r="B14" s="18" t="s">
        <v>18</v>
      </c>
      <c r="C14" s="18" t="s">
        <v>98</v>
      </c>
      <c r="D14" s="18" t="s">
        <v>99</v>
      </c>
      <c r="E14" s="18">
        <v>68020017</v>
      </c>
      <c r="F14" s="18" t="s">
        <v>110</v>
      </c>
      <c r="G14" s="18" t="s">
        <v>111</v>
      </c>
      <c r="H14" s="18" t="s">
        <v>102</v>
      </c>
      <c r="I14" s="18" t="s">
        <v>103</v>
      </c>
      <c r="J14" s="18" t="s">
        <v>104</v>
      </c>
      <c r="K14" s="18" t="s">
        <v>112</v>
      </c>
      <c r="L14" s="19" t="s">
        <v>113</v>
      </c>
      <c r="M14" s="20">
        <v>34225</v>
      </c>
      <c r="N14" s="19" t="s">
        <v>114</v>
      </c>
      <c r="O14" s="19">
        <f>2025-1993</f>
        <v>32</v>
      </c>
      <c r="P14" s="19" t="s">
        <v>109</v>
      </c>
      <c r="Q14" s="19" t="s">
        <v>109</v>
      </c>
    </row>
    <row r="15" spans="1:17" x14ac:dyDescent="0.6">
      <c r="A15" s="8">
        <v>13</v>
      </c>
      <c r="B15" s="18" t="s">
        <v>18</v>
      </c>
      <c r="C15" s="18" t="s">
        <v>98</v>
      </c>
      <c r="D15" s="18" t="s">
        <v>99</v>
      </c>
      <c r="E15" s="18">
        <v>68080314</v>
      </c>
      <c r="F15" s="18" t="s">
        <v>115</v>
      </c>
      <c r="G15" s="18" t="s">
        <v>116</v>
      </c>
      <c r="H15" s="18" t="s">
        <v>102</v>
      </c>
      <c r="I15" s="18" t="s">
        <v>103</v>
      </c>
      <c r="J15" s="18" t="s">
        <v>104</v>
      </c>
      <c r="K15" s="18" t="s">
        <v>117</v>
      </c>
      <c r="L15" s="19" t="s">
        <v>118</v>
      </c>
      <c r="M15" s="20">
        <v>27172</v>
      </c>
      <c r="N15" s="19" t="s">
        <v>119</v>
      </c>
      <c r="O15" s="19">
        <f>2025-1974</f>
        <v>51</v>
      </c>
      <c r="P15" s="19" t="s">
        <v>109</v>
      </c>
      <c r="Q15" s="19" t="s">
        <v>109</v>
      </c>
    </row>
    <row r="16" spans="1:17" x14ac:dyDescent="0.6">
      <c r="A16" s="8">
        <v>14</v>
      </c>
      <c r="B16" s="21" t="s">
        <v>18</v>
      </c>
      <c r="C16" s="21" t="s">
        <v>120</v>
      </c>
      <c r="D16" s="21" t="s">
        <v>121</v>
      </c>
      <c r="E16" s="21">
        <v>67070076</v>
      </c>
      <c r="F16" s="21" t="s">
        <v>122</v>
      </c>
      <c r="G16" s="21" t="s">
        <v>123</v>
      </c>
      <c r="H16" s="21" t="s">
        <v>124</v>
      </c>
      <c r="I16" s="21" t="s">
        <v>125</v>
      </c>
      <c r="J16" s="21" t="s">
        <v>126</v>
      </c>
      <c r="K16" s="21" t="s">
        <v>205</v>
      </c>
      <c r="L16" s="22" t="s">
        <v>127</v>
      </c>
      <c r="M16" s="23">
        <v>31183</v>
      </c>
      <c r="N16" s="23">
        <v>45474</v>
      </c>
      <c r="O16" s="22">
        <f>2025-1985</f>
        <v>40</v>
      </c>
      <c r="P16" s="22" t="s">
        <v>128</v>
      </c>
      <c r="Q16" s="22" t="s">
        <v>129</v>
      </c>
    </row>
    <row r="17" spans="1:17" x14ac:dyDescent="0.6">
      <c r="A17" s="8">
        <v>15</v>
      </c>
      <c r="B17" s="21" t="s">
        <v>18</v>
      </c>
      <c r="C17" s="21" t="s">
        <v>120</v>
      </c>
      <c r="D17" s="21" t="s">
        <v>121</v>
      </c>
      <c r="E17" s="21">
        <v>62070003</v>
      </c>
      <c r="F17" s="21" t="s">
        <v>130</v>
      </c>
      <c r="G17" s="21" t="s">
        <v>131</v>
      </c>
      <c r="H17" s="21" t="s">
        <v>132</v>
      </c>
      <c r="I17" s="21" t="s">
        <v>121</v>
      </c>
      <c r="J17" s="21" t="s">
        <v>38</v>
      </c>
      <c r="K17" s="21" t="s">
        <v>133</v>
      </c>
      <c r="L17" s="22" t="s">
        <v>134</v>
      </c>
      <c r="M17" s="23">
        <v>33288</v>
      </c>
      <c r="N17" s="23">
        <v>43647</v>
      </c>
      <c r="O17" s="22">
        <f>2026-1991</f>
        <v>35</v>
      </c>
      <c r="P17" s="22" t="s">
        <v>135</v>
      </c>
      <c r="Q17" s="22" t="s">
        <v>136</v>
      </c>
    </row>
    <row r="18" spans="1:17" ht="19.8" customHeight="1" x14ac:dyDescent="0.6">
      <c r="A18" s="8">
        <v>16</v>
      </c>
      <c r="B18" s="21" t="s">
        <v>18</v>
      </c>
      <c r="C18" s="21" t="s">
        <v>120</v>
      </c>
      <c r="D18" s="21" t="s">
        <v>121</v>
      </c>
      <c r="E18" s="21">
        <v>68080282</v>
      </c>
      <c r="F18" s="21" t="s">
        <v>137</v>
      </c>
      <c r="G18" s="21" t="s">
        <v>138</v>
      </c>
      <c r="H18" s="21" t="s">
        <v>132</v>
      </c>
      <c r="I18" s="21" t="s">
        <v>121</v>
      </c>
      <c r="J18" s="21" t="s">
        <v>38</v>
      </c>
      <c r="K18" s="21" t="s">
        <v>133</v>
      </c>
      <c r="L18" s="22" t="s">
        <v>139</v>
      </c>
      <c r="M18" s="22" t="s">
        <v>140</v>
      </c>
      <c r="N18" s="22" t="s">
        <v>141</v>
      </c>
      <c r="O18" s="22">
        <f>2025-2003</f>
        <v>22</v>
      </c>
      <c r="P18" s="22" t="s">
        <v>135</v>
      </c>
      <c r="Q18" s="22" t="s">
        <v>142</v>
      </c>
    </row>
    <row r="19" spans="1:17" x14ac:dyDescent="0.6">
      <c r="A19" s="8">
        <v>17</v>
      </c>
      <c r="B19" s="21" t="s">
        <v>18</v>
      </c>
      <c r="C19" s="21" t="s">
        <v>120</v>
      </c>
      <c r="D19" s="21" t="s">
        <v>121</v>
      </c>
      <c r="E19" s="21">
        <v>67120209</v>
      </c>
      <c r="F19" s="21" t="s">
        <v>143</v>
      </c>
      <c r="G19" s="21" t="s">
        <v>144</v>
      </c>
      <c r="H19" s="21" t="s">
        <v>132</v>
      </c>
      <c r="I19" s="21" t="s">
        <v>121</v>
      </c>
      <c r="J19" s="21" t="s">
        <v>38</v>
      </c>
      <c r="K19" s="21" t="s">
        <v>133</v>
      </c>
      <c r="L19" s="22" t="s">
        <v>145</v>
      </c>
      <c r="M19" s="23">
        <v>36952</v>
      </c>
      <c r="N19" s="22" t="s">
        <v>146</v>
      </c>
      <c r="O19" s="22">
        <f>2025-2001</f>
        <v>24</v>
      </c>
      <c r="P19" s="22" t="s">
        <v>135</v>
      </c>
      <c r="Q19" s="22" t="s">
        <v>147</v>
      </c>
    </row>
    <row r="20" spans="1:17" ht="24" customHeight="1" x14ac:dyDescent="0.6">
      <c r="A20" s="8">
        <v>18</v>
      </c>
      <c r="B20" s="21" t="s">
        <v>18</v>
      </c>
      <c r="C20" s="21" t="s">
        <v>120</v>
      </c>
      <c r="D20" s="21" t="s">
        <v>121</v>
      </c>
      <c r="E20" s="21">
        <v>68120509</v>
      </c>
      <c r="F20" s="21" t="s">
        <v>148</v>
      </c>
      <c r="G20" s="21" t="s">
        <v>149</v>
      </c>
      <c r="H20" s="21" t="s">
        <v>132</v>
      </c>
      <c r="I20" s="21" t="s">
        <v>121</v>
      </c>
      <c r="J20" s="21" t="s">
        <v>38</v>
      </c>
      <c r="K20" s="21" t="s">
        <v>133</v>
      </c>
      <c r="L20" s="22" t="s">
        <v>150</v>
      </c>
      <c r="M20" s="23">
        <v>31782</v>
      </c>
      <c r="N20" s="23">
        <v>45992</v>
      </c>
      <c r="O20" s="22">
        <f>2025-1987</f>
        <v>38</v>
      </c>
      <c r="P20" s="22" t="s">
        <v>135</v>
      </c>
      <c r="Q20" s="22" t="s">
        <v>151</v>
      </c>
    </row>
    <row r="21" spans="1:17" x14ac:dyDescent="0.6">
      <c r="A21" s="8">
        <v>19</v>
      </c>
      <c r="B21" s="21" t="s">
        <v>18</v>
      </c>
      <c r="C21" s="21" t="s">
        <v>120</v>
      </c>
      <c r="D21" s="21" t="s">
        <v>121</v>
      </c>
      <c r="E21" s="21">
        <v>69050031</v>
      </c>
      <c r="F21" s="21" t="s">
        <v>152</v>
      </c>
      <c r="G21" s="21" t="s">
        <v>153</v>
      </c>
      <c r="H21" s="21" t="s">
        <v>132</v>
      </c>
      <c r="I21" s="24" t="s">
        <v>121</v>
      </c>
      <c r="J21" s="21" t="s">
        <v>38</v>
      </c>
      <c r="K21" s="21" t="s">
        <v>133</v>
      </c>
      <c r="L21" s="22" t="s">
        <v>154</v>
      </c>
      <c r="M21" s="23">
        <v>38535</v>
      </c>
      <c r="N21" s="23">
        <v>46193</v>
      </c>
      <c r="O21" s="22">
        <v>21</v>
      </c>
      <c r="P21" s="22" t="s">
        <v>135</v>
      </c>
      <c r="Q21" s="22" t="s">
        <v>155</v>
      </c>
    </row>
    <row r="22" spans="1:17" x14ac:dyDescent="0.6">
      <c r="A22" s="8">
        <v>20</v>
      </c>
      <c r="B22" s="21" t="s">
        <v>18</v>
      </c>
      <c r="C22" s="21" t="s">
        <v>120</v>
      </c>
      <c r="D22" s="21" t="s">
        <v>121</v>
      </c>
      <c r="E22" s="21">
        <v>67120200</v>
      </c>
      <c r="F22" s="21" t="s">
        <v>156</v>
      </c>
      <c r="G22" s="21" t="s">
        <v>157</v>
      </c>
      <c r="H22" s="21" t="s">
        <v>132</v>
      </c>
      <c r="I22" s="21" t="s">
        <v>121</v>
      </c>
      <c r="J22" s="21" t="s">
        <v>38</v>
      </c>
      <c r="K22" s="21" t="s">
        <v>158</v>
      </c>
      <c r="L22" s="22" t="s">
        <v>159</v>
      </c>
      <c r="M22" s="22" t="s">
        <v>160</v>
      </c>
      <c r="N22" s="22" t="s">
        <v>161</v>
      </c>
      <c r="O22" s="22">
        <f>2025-2002</f>
        <v>23</v>
      </c>
      <c r="P22" s="22" t="s">
        <v>135</v>
      </c>
      <c r="Q22" s="22" t="s">
        <v>162</v>
      </c>
    </row>
    <row r="23" spans="1:17" x14ac:dyDescent="0.6">
      <c r="A23" s="8">
        <v>21</v>
      </c>
      <c r="B23" s="25" t="s">
        <v>18</v>
      </c>
      <c r="C23" s="25" t="s">
        <v>163</v>
      </c>
      <c r="D23" s="25" t="s">
        <v>164</v>
      </c>
      <c r="E23" s="25">
        <v>68020024</v>
      </c>
      <c r="F23" s="25" t="s">
        <v>165</v>
      </c>
      <c r="G23" s="25" t="s">
        <v>166</v>
      </c>
      <c r="H23" s="25" t="s">
        <v>167</v>
      </c>
      <c r="I23" s="25" t="s">
        <v>168</v>
      </c>
      <c r="J23" s="25" t="s">
        <v>38</v>
      </c>
      <c r="K23" s="25" t="s">
        <v>169</v>
      </c>
      <c r="L23" s="26" t="s">
        <v>170</v>
      </c>
      <c r="M23" s="26" t="s">
        <v>171</v>
      </c>
      <c r="N23" s="26" t="s">
        <v>172</v>
      </c>
      <c r="O23" s="26">
        <f>2025-2001</f>
        <v>24</v>
      </c>
      <c r="P23" s="26" t="s">
        <v>135</v>
      </c>
      <c r="Q23" s="26" t="s">
        <v>173</v>
      </c>
    </row>
    <row r="24" spans="1:17" x14ac:dyDescent="0.6">
      <c r="A24" s="8">
        <v>22</v>
      </c>
      <c r="B24" s="25" t="s">
        <v>18</v>
      </c>
      <c r="C24" s="25" t="s">
        <v>163</v>
      </c>
      <c r="D24" s="25" t="s">
        <v>164</v>
      </c>
      <c r="E24" s="25">
        <v>66070413</v>
      </c>
      <c r="F24" s="25" t="s">
        <v>174</v>
      </c>
      <c r="G24" s="25" t="s">
        <v>175</v>
      </c>
      <c r="H24" s="25" t="s">
        <v>167</v>
      </c>
      <c r="I24" s="25" t="s">
        <v>168</v>
      </c>
      <c r="J24" s="25" t="s">
        <v>38</v>
      </c>
      <c r="K24" s="25" t="s">
        <v>206</v>
      </c>
      <c r="L24" s="26" t="s">
        <v>176</v>
      </c>
      <c r="M24" s="26" t="s">
        <v>177</v>
      </c>
      <c r="N24" s="26" t="s">
        <v>178</v>
      </c>
      <c r="O24" s="26">
        <f>2025-1996</f>
        <v>29</v>
      </c>
      <c r="P24" s="26" t="s">
        <v>135</v>
      </c>
      <c r="Q24" s="26" t="s">
        <v>179</v>
      </c>
    </row>
    <row r="25" spans="1:17" x14ac:dyDescent="0.6">
      <c r="A25" s="8">
        <v>23</v>
      </c>
      <c r="B25" s="25" t="s">
        <v>18</v>
      </c>
      <c r="C25" s="25" t="s">
        <v>163</v>
      </c>
      <c r="D25" s="25" t="s">
        <v>164</v>
      </c>
      <c r="E25" s="25">
        <v>66070443</v>
      </c>
      <c r="F25" s="25" t="s">
        <v>180</v>
      </c>
      <c r="G25" s="25" t="s">
        <v>181</v>
      </c>
      <c r="H25" s="25" t="s">
        <v>182</v>
      </c>
      <c r="I25" s="25" t="s">
        <v>183</v>
      </c>
      <c r="J25" s="25" t="s">
        <v>38</v>
      </c>
      <c r="K25" s="25" t="s">
        <v>184</v>
      </c>
      <c r="L25" s="26" t="s">
        <v>185</v>
      </c>
      <c r="M25" s="26" t="s">
        <v>186</v>
      </c>
      <c r="N25" s="26" t="s">
        <v>187</v>
      </c>
      <c r="O25" s="26">
        <f>2025-2000</f>
        <v>25</v>
      </c>
      <c r="P25" s="26" t="s">
        <v>135</v>
      </c>
      <c r="Q25" s="26" t="s">
        <v>188</v>
      </c>
    </row>
    <row r="26" spans="1:17" ht="22.8" customHeight="1" x14ac:dyDescent="0.6">
      <c r="A26" s="8">
        <v>24</v>
      </c>
      <c r="B26" s="25" t="s">
        <v>18</v>
      </c>
      <c r="C26" s="25" t="s">
        <v>163</v>
      </c>
      <c r="D26" s="25" t="s">
        <v>164</v>
      </c>
      <c r="E26" s="25">
        <v>67090114</v>
      </c>
      <c r="F26" s="25" t="s">
        <v>189</v>
      </c>
      <c r="G26" s="25" t="s">
        <v>190</v>
      </c>
      <c r="H26" s="25" t="s">
        <v>182</v>
      </c>
      <c r="I26" s="25" t="s">
        <v>183</v>
      </c>
      <c r="J26" s="25" t="s">
        <v>38</v>
      </c>
      <c r="K26" s="25" t="s">
        <v>184</v>
      </c>
      <c r="L26" s="26" t="s">
        <v>191</v>
      </c>
      <c r="M26" s="26" t="s">
        <v>192</v>
      </c>
      <c r="N26" s="26" t="s">
        <v>193</v>
      </c>
      <c r="O26" s="26">
        <f>2025-2000</f>
        <v>25</v>
      </c>
      <c r="P26" s="26" t="s">
        <v>135</v>
      </c>
      <c r="Q26" s="26" t="s">
        <v>194</v>
      </c>
    </row>
    <row r="27" spans="1:17" x14ac:dyDescent="0.6">
      <c r="A27" s="8">
        <v>25</v>
      </c>
      <c r="B27" s="25" t="s">
        <v>18</v>
      </c>
      <c r="C27" s="25" t="s">
        <v>163</v>
      </c>
      <c r="D27" s="25" t="s">
        <v>164</v>
      </c>
      <c r="E27" s="25">
        <v>64110282</v>
      </c>
      <c r="F27" s="25" t="s">
        <v>195</v>
      </c>
      <c r="G27" s="25" t="s">
        <v>196</v>
      </c>
      <c r="H27" s="25" t="s">
        <v>182</v>
      </c>
      <c r="I27" s="25" t="s">
        <v>183</v>
      </c>
      <c r="J27" s="25" t="s">
        <v>38</v>
      </c>
      <c r="K27" s="25" t="s">
        <v>184</v>
      </c>
      <c r="L27" s="26" t="s">
        <v>197</v>
      </c>
      <c r="M27" s="27">
        <v>36162</v>
      </c>
      <c r="N27" s="26" t="s">
        <v>198</v>
      </c>
      <c r="O27" s="26">
        <f>2025-1999</f>
        <v>26</v>
      </c>
      <c r="P27" s="26" t="s">
        <v>135</v>
      </c>
      <c r="Q27" s="26" t="s">
        <v>199</v>
      </c>
    </row>
    <row r="28" spans="1:17" ht="25.2" customHeight="1" x14ac:dyDescent="0.6">
      <c r="A28" s="8">
        <v>26</v>
      </c>
      <c r="B28" s="25" t="s">
        <v>18</v>
      </c>
      <c r="C28" s="25" t="s">
        <v>163</v>
      </c>
      <c r="D28" s="25" t="s">
        <v>164</v>
      </c>
      <c r="E28" s="25">
        <v>6810492</v>
      </c>
      <c r="F28" s="25" t="s">
        <v>200</v>
      </c>
      <c r="G28" s="25" t="s">
        <v>201</v>
      </c>
      <c r="H28" s="25" t="s">
        <v>182</v>
      </c>
      <c r="I28" s="25" t="s">
        <v>183</v>
      </c>
      <c r="J28" s="25" t="s">
        <v>38</v>
      </c>
      <c r="K28" s="25" t="s">
        <v>184</v>
      </c>
      <c r="L28" s="26" t="s">
        <v>202</v>
      </c>
      <c r="M28" s="27">
        <v>37347</v>
      </c>
      <c r="N28" s="26" t="s">
        <v>203</v>
      </c>
      <c r="O28" s="26">
        <f>2025-2002</f>
        <v>23</v>
      </c>
      <c r="P28" s="26" t="s">
        <v>135</v>
      </c>
      <c r="Q28" s="26" t="s">
        <v>204</v>
      </c>
    </row>
    <row r="29" spans="1:17" x14ac:dyDescent="0.6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</row>
  </sheetData>
  <autoFilter ref="A2:S28" xr:uid="{95997555-8F76-43AB-8C83-31357CE113BC}"/>
  <hyperlinks>
    <hyperlink ref="Q17" r:id="rId1" xr:uid="{722B799F-1293-49CE-BA39-906680DE0FDD}"/>
    <hyperlink ref="P6" r:id="rId2" xr:uid="{AE7D52AF-34F1-4EF9-AF4E-21957BBABAA4}"/>
    <hyperlink ref="Q21" r:id="rId3" xr:uid="{AF41962A-62A0-4B1C-A29E-0795A6AB99C2}"/>
  </hyperlinks>
  <pageMargins left="0.25" right="0.25" top="0.75" bottom="0.75" header="0.3" footer="0.3"/>
  <pageSetup paperSize="9" scale="38" fitToHeight="0" orientation="landscape" horizontalDpi="0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Name</vt:lpstr>
      <vt:lpstr>Name!Print_Titles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ธัญรัตน์ พุ่มนิล</dc:creator>
  <cp:lastModifiedBy>ธัญรัตน์ พุ่มนิล</cp:lastModifiedBy>
  <dcterms:created xsi:type="dcterms:W3CDTF">2026-07-14T07:41:04Z</dcterms:created>
  <dcterms:modified xsi:type="dcterms:W3CDTF">2026-07-16T01:21:13Z</dcterms:modified>
</cp:coreProperties>
</file>