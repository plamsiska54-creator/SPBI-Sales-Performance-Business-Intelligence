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Project Sales\รายงานปัญหาขนม\ปี 2568\"/>
    </mc:Choice>
  </mc:AlternateContent>
  <xr:revisionPtr revIDLastSave="0" documentId="13_ncr:1_{16DA2562-20BF-4C8F-B038-4E32049BF5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" sheetId="1" r:id="rId1"/>
  </sheets>
  <definedNames>
    <definedName name="_xlnm._FilterDatabase" localSheetId="0" hidden="1">Total!$A$3:$X$76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1" l="1"/>
  <c r="L66" i="1"/>
  <c r="L67" i="1"/>
  <c r="L68" i="1"/>
  <c r="L69" i="1"/>
  <c r="L65" i="1"/>
  <c r="K66" i="1"/>
  <c r="K67" i="1"/>
  <c r="K68" i="1"/>
  <c r="K69" i="1"/>
  <c r="K65" i="1"/>
  <c r="G52" i="1" l="1"/>
  <c r="L75" i="1"/>
  <c r="K75" i="1"/>
  <c r="L74" i="1"/>
  <c r="K74" i="1"/>
  <c r="L73" i="1"/>
  <c r="K73" i="1"/>
  <c r="L72" i="1"/>
  <c r="K72" i="1"/>
  <c r="L71" i="1"/>
  <c r="K71" i="1"/>
  <c r="J70" i="1"/>
  <c r="I70" i="1"/>
  <c r="H70" i="1"/>
  <c r="G70" i="1"/>
  <c r="F70" i="1"/>
  <c r="E70" i="1"/>
  <c r="D70" i="1"/>
  <c r="C70" i="1"/>
  <c r="J64" i="1"/>
  <c r="I64" i="1"/>
  <c r="H64" i="1"/>
  <c r="G64" i="1"/>
  <c r="F64" i="1"/>
  <c r="E64" i="1"/>
  <c r="D64" i="1"/>
  <c r="C64" i="1"/>
  <c r="L63" i="1"/>
  <c r="K63" i="1"/>
  <c r="L62" i="1"/>
  <c r="K62" i="1"/>
  <c r="L61" i="1"/>
  <c r="K61" i="1"/>
  <c r="L60" i="1"/>
  <c r="K60" i="1"/>
  <c r="L59" i="1"/>
  <c r="K59" i="1"/>
  <c r="J58" i="1"/>
  <c r="I58" i="1"/>
  <c r="H58" i="1"/>
  <c r="G58" i="1"/>
  <c r="F58" i="1"/>
  <c r="E58" i="1"/>
  <c r="D58" i="1"/>
  <c r="C58" i="1"/>
  <c r="L57" i="1"/>
  <c r="K57" i="1"/>
  <c r="L56" i="1"/>
  <c r="K56" i="1"/>
  <c r="L55" i="1"/>
  <c r="K55" i="1"/>
  <c r="L54" i="1"/>
  <c r="K54" i="1"/>
  <c r="L53" i="1"/>
  <c r="K53" i="1"/>
  <c r="J52" i="1"/>
  <c r="I52" i="1"/>
  <c r="H52" i="1"/>
  <c r="F52" i="1"/>
  <c r="E52" i="1"/>
  <c r="D52" i="1"/>
  <c r="C52" i="1"/>
  <c r="L51" i="1"/>
  <c r="K51" i="1"/>
  <c r="L50" i="1"/>
  <c r="K50" i="1"/>
  <c r="L49" i="1"/>
  <c r="K49" i="1"/>
  <c r="L48" i="1"/>
  <c r="K48" i="1"/>
  <c r="L47" i="1"/>
  <c r="K47" i="1"/>
  <c r="J46" i="1"/>
  <c r="I46" i="1"/>
  <c r="H46" i="1"/>
  <c r="G46" i="1"/>
  <c r="F46" i="1"/>
  <c r="E46" i="1"/>
  <c r="D46" i="1"/>
  <c r="C46" i="1"/>
  <c r="L45" i="1"/>
  <c r="K45" i="1"/>
  <c r="L44" i="1"/>
  <c r="K44" i="1"/>
  <c r="L43" i="1"/>
  <c r="K43" i="1"/>
  <c r="L42" i="1"/>
  <c r="K42" i="1"/>
  <c r="L41" i="1"/>
  <c r="K41" i="1"/>
  <c r="J40" i="1"/>
  <c r="I40" i="1"/>
  <c r="H40" i="1"/>
  <c r="G40" i="1"/>
  <c r="F40" i="1"/>
  <c r="E40" i="1"/>
  <c r="D40" i="1"/>
  <c r="C40" i="1"/>
  <c r="L39" i="1"/>
  <c r="K39" i="1"/>
  <c r="L38" i="1"/>
  <c r="K38" i="1"/>
  <c r="L37" i="1"/>
  <c r="K37" i="1"/>
  <c r="L36" i="1"/>
  <c r="K36" i="1"/>
  <c r="L35" i="1"/>
  <c r="K35" i="1"/>
  <c r="J34" i="1"/>
  <c r="I34" i="1"/>
  <c r="H34" i="1"/>
  <c r="G34" i="1"/>
  <c r="F34" i="1"/>
  <c r="E34" i="1"/>
  <c r="D34" i="1"/>
  <c r="C34" i="1"/>
  <c r="L33" i="1"/>
  <c r="K33" i="1"/>
  <c r="L32" i="1"/>
  <c r="K32" i="1"/>
  <c r="L31" i="1"/>
  <c r="K31" i="1"/>
  <c r="L30" i="1"/>
  <c r="K30" i="1"/>
  <c r="L29" i="1"/>
  <c r="K29" i="1"/>
  <c r="J28" i="1"/>
  <c r="I28" i="1"/>
  <c r="H28" i="1"/>
  <c r="G28" i="1"/>
  <c r="F28" i="1"/>
  <c r="E28" i="1"/>
  <c r="D28" i="1"/>
  <c r="C28" i="1"/>
  <c r="L27" i="1"/>
  <c r="K27" i="1"/>
  <c r="L26" i="1"/>
  <c r="K26" i="1"/>
  <c r="L25" i="1"/>
  <c r="K25" i="1"/>
  <c r="L24" i="1"/>
  <c r="K24" i="1"/>
  <c r="L23" i="1"/>
  <c r="K23" i="1"/>
  <c r="J22" i="1"/>
  <c r="I22" i="1"/>
  <c r="H22" i="1"/>
  <c r="G22" i="1"/>
  <c r="F22" i="1"/>
  <c r="E22" i="1"/>
  <c r="D22" i="1"/>
  <c r="C22" i="1"/>
  <c r="L21" i="1"/>
  <c r="K21" i="1"/>
  <c r="L20" i="1"/>
  <c r="K20" i="1"/>
  <c r="L19" i="1"/>
  <c r="K19" i="1"/>
  <c r="L18" i="1"/>
  <c r="K18" i="1"/>
  <c r="L17" i="1"/>
  <c r="K17" i="1"/>
  <c r="J16" i="1"/>
  <c r="I16" i="1"/>
  <c r="H16" i="1"/>
  <c r="G16" i="1"/>
  <c r="F16" i="1"/>
  <c r="E16" i="1"/>
  <c r="D16" i="1"/>
  <c r="C16" i="1"/>
  <c r="L15" i="1"/>
  <c r="K15" i="1"/>
  <c r="L14" i="1"/>
  <c r="K14" i="1"/>
  <c r="L13" i="1"/>
  <c r="K13" i="1"/>
  <c r="L12" i="1"/>
  <c r="K12" i="1"/>
  <c r="L11" i="1"/>
  <c r="K11" i="1"/>
  <c r="K10" i="1" s="1"/>
  <c r="J10" i="1"/>
  <c r="I10" i="1"/>
  <c r="H10" i="1"/>
  <c r="G10" i="1"/>
  <c r="F10" i="1"/>
  <c r="E10" i="1"/>
  <c r="D10" i="1"/>
  <c r="C10" i="1"/>
  <c r="L9" i="1"/>
  <c r="K9" i="1"/>
  <c r="L8" i="1"/>
  <c r="K8" i="1"/>
  <c r="L7" i="1"/>
  <c r="K7" i="1"/>
  <c r="L6" i="1"/>
  <c r="K6" i="1"/>
  <c r="L5" i="1"/>
  <c r="K5" i="1"/>
  <c r="J4" i="1"/>
  <c r="I4" i="1"/>
  <c r="H4" i="1"/>
  <c r="G4" i="1"/>
  <c r="F4" i="1"/>
  <c r="E4" i="1"/>
  <c r="D4" i="1"/>
  <c r="C4" i="1"/>
  <c r="L10" i="1" l="1"/>
  <c r="K58" i="1"/>
  <c r="K28" i="1"/>
  <c r="L28" i="1"/>
  <c r="L34" i="1"/>
  <c r="K34" i="1"/>
  <c r="L58" i="1"/>
  <c r="L46" i="1"/>
  <c r="L40" i="1"/>
  <c r="K22" i="1"/>
  <c r="L22" i="1"/>
  <c r="D76" i="1"/>
  <c r="K4" i="1"/>
  <c r="L4" i="1"/>
  <c r="K40" i="1"/>
  <c r="K16" i="1"/>
  <c r="L16" i="1"/>
  <c r="K46" i="1"/>
  <c r="C76" i="1"/>
  <c r="H76" i="1"/>
  <c r="F76" i="1"/>
  <c r="G76" i="1"/>
  <c r="J76" i="1"/>
  <c r="K64" i="1"/>
  <c r="K70" i="1"/>
  <c r="K52" i="1"/>
  <c r="E76" i="1"/>
  <c r="I76" i="1"/>
  <c r="L70" i="1"/>
  <c r="L52" i="1"/>
  <c r="L76" i="1" l="1"/>
  <c r="K76" i="1"/>
</calcChain>
</file>

<file path=xl/sharedStrings.xml><?xml version="1.0" encoding="utf-8"?>
<sst xmlns="http://schemas.openxmlformats.org/spreadsheetml/2006/main" count="92" uniqueCount="31">
  <si>
    <t>รายงานแจ้งปัญหาขนม ฝ่ายขาย - การตลาดประจำปี 2568</t>
  </si>
  <si>
    <t>NO.</t>
  </si>
  <si>
    <t>Month</t>
  </si>
  <si>
    <t>MDT</t>
  </si>
  <si>
    <t>Amazon</t>
  </si>
  <si>
    <t>Online</t>
  </si>
  <si>
    <t>Booth</t>
  </si>
  <si>
    <t>รวมจำนวน</t>
  </si>
  <si>
    <t>รวมเป็นเงิน</t>
  </si>
  <si>
    <t>หมายเหตุ</t>
  </si>
  <si>
    <t>จำนวนชิ้น</t>
  </si>
  <si>
    <t>เป็นเงิน</t>
  </si>
  <si>
    <t>January</t>
  </si>
  <si>
    <t xml:space="preserve">ขนมเสียก่อนวันหมดอายุ มีรสเปรี้ยว ขม </t>
  </si>
  <si>
    <t>ไม่ยิงวันหมดอายุ หรือ วันผลิต บนกล่องสินค้า</t>
  </si>
  <si>
    <t xml:space="preserve">บรรจุภัณฑ์ บวม ซีลไม่ดี </t>
  </si>
  <si>
    <t>พบสิ่งแปลกปลอมบนขนม หรือบรรจุภัณฑ์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</si>
  <si>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</si>
  <si>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</si>
  <si>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</si>
  <si>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</si>
  <si>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</si>
  <si>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</si>
  <si>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</si>
  <si>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</si>
  <si>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</si>
  <si>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</si>
  <si>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</si>
  <si>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</si>
  <si>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</si>
  <si>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ขนมขึ้นรา สินค้าไม่ได้มาตราฐาน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</si>
</sst>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"/>
  </numFmts>
  <fonts count="14" x14ac:knownFonts="1">
    <font>
      <sz val="11"/>
      <color theme="1"/>
      <name val="Calibri"/>
      <scheme val="minor"/>
    </font>
    <font>
      <b/>
      <sz val="20"/>
      <color theme="1"/>
      <name val="AngsanaUPC"/>
    </font>
    <font>
      <sz val="11"/>
      <color theme="1"/>
      <name val="Calibri"/>
    </font>
    <font>
      <b/>
      <sz val="18"/>
      <color theme="0"/>
      <name val="AngsanaUPC"/>
    </font>
    <font>
      <b/>
      <sz val="18"/>
      <color rgb="FFFFFFFF"/>
      <name val="AngsanaUPC"/>
    </font>
    <font>
      <sz val="11"/>
      <name val="Calibri"/>
    </font>
    <font>
      <b/>
      <sz val="16"/>
      <color rgb="FFFFFFFF"/>
      <name val="Angsana New"/>
    </font>
    <font>
      <b/>
      <sz val="17"/>
      <color theme="1"/>
      <name val="Angsana New"/>
    </font>
    <font>
      <b/>
      <sz val="17"/>
      <color rgb="FFFF0000"/>
      <name val="Angsana New"/>
    </font>
    <font>
      <b/>
      <sz val="17"/>
      <color theme="1"/>
      <name val="Calibri"/>
    </font>
    <font>
      <sz val="16"/>
      <color theme="1"/>
      <name val="Angsana New"/>
    </font>
    <font>
      <b/>
      <sz val="16"/>
      <color rgb="FFFF0000"/>
      <name val="Angsana New"/>
    </font>
    <font>
      <b/>
      <sz val="18"/>
      <color rgb="FFFF0000"/>
      <name val="Angsana New"/>
    </font>
    <font>
      <b/>
      <sz val="18"/>
      <color theme="1"/>
      <name val="Angsana New"/>
    </font>
  </fonts>
  <fills count="9">
    <fill>
      <patternFill patternType="none"/>
    </fill>
    <fill>
      <patternFill patternType="gray125"/>
    </fill>
    <fill>
      <patternFill patternType="solid">
        <fgColor rgb="FF660066"/>
        <bgColor rgb="FF6600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FEF2CB"/>
        <bgColor rgb="FFFEF2CB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6" fillId="3" borderId="5" xfId="0" applyFont="1" applyFill="1" applyBorder="1" applyAlignment="1">
      <alignment horizontal="center"/>
    </xf>
    <xf numFmtId="187" fontId="6" fillId="3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87" fontId="6" fillId="4" borderId="5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187" fontId="6" fillId="5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87" fontId="6" fillId="6" borderId="5" xfId="0" applyNumberFormat="1" applyFont="1" applyFill="1" applyBorder="1" applyAlignment="1">
      <alignment horizontal="center"/>
    </xf>
    <xf numFmtId="1" fontId="7" fillId="7" borderId="5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/>
    </xf>
    <xf numFmtId="187" fontId="7" fillId="7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187" fontId="8" fillId="7" borderId="5" xfId="0" applyNumberFormat="1" applyFont="1" applyFill="1" applyBorder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187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7" fontId="11" fillId="0" borderId="0" xfId="0" applyNumberFormat="1" applyFont="1" applyAlignment="1">
      <alignment horizontal="center"/>
    </xf>
    <xf numFmtId="0" fontId="12" fillId="0" borderId="0" xfId="0" applyFont="1" applyAlignment="1">
      <alignment vertical="center" wrapText="1"/>
    </xf>
    <xf numFmtId="0" fontId="2" fillId="8" borderId="5" xfId="0" applyFont="1" applyFill="1" applyBorder="1"/>
    <xf numFmtId="0" fontId="13" fillId="8" borderId="5" xfId="0" applyFont="1" applyFill="1" applyBorder="1" applyAlignment="1">
      <alignment horizontal="right" vertical="center" wrapText="1"/>
    </xf>
    <xf numFmtId="3" fontId="13" fillId="8" borderId="6" xfId="0" applyNumberFormat="1" applyFont="1" applyFill="1" applyBorder="1" applyAlignment="1">
      <alignment horizontal="center" vertical="center" wrapText="1"/>
    </xf>
    <xf numFmtId="187" fontId="13" fillId="8" borderId="6" xfId="0" applyNumberFormat="1" applyFont="1" applyFill="1" applyBorder="1" applyAlignment="1">
      <alignment vertical="center" wrapText="1"/>
    </xf>
    <xf numFmtId="3" fontId="12" fillId="8" borderId="6" xfId="0" applyNumberFormat="1" applyFont="1" applyFill="1" applyBorder="1" applyAlignment="1">
      <alignment horizontal="center" vertical="center" wrapText="1"/>
    </xf>
    <xf numFmtId="187" fontId="12" fillId="8" borderId="6" xfId="0" applyNumberFormat="1" applyFont="1" applyFill="1" applyBorder="1" applyAlignment="1">
      <alignment vertical="center" wrapText="1"/>
    </xf>
    <xf numFmtId="0" fontId="12" fillId="8" borderId="5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187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7" fontId="11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  <pageSetUpPr fitToPage="1"/>
  </sheetPr>
  <dimension ref="A1:X1000"/>
  <sheetViews>
    <sheetView tabSelected="1" zoomScale="55" zoomScaleNormal="55" workbookViewId="0">
      <pane ySplit="4" topLeftCell="A60" activePane="bottomLeft" state="frozen"/>
      <selection pane="bottomLeft" activeCell="O80" sqref="O80:P80"/>
    </sheetView>
  </sheetViews>
  <sheetFormatPr defaultColWidth="14.44140625" defaultRowHeight="15" customHeight="1" x14ac:dyDescent="0.3"/>
  <cols>
    <col min="1" max="1" width="14.44140625" customWidth="1"/>
    <col min="2" max="2" width="40.33203125" customWidth="1"/>
    <col min="3" max="3" width="14.44140625" customWidth="1"/>
    <col min="4" max="4" width="14.33203125" customWidth="1"/>
    <col min="5" max="5" width="14.6640625" customWidth="1"/>
    <col min="6" max="6" width="14.44140625" customWidth="1"/>
  </cols>
  <sheetData>
    <row r="1" spans="1:24" ht="34.5" customHeight="1" x14ac:dyDescent="0.3">
      <c r="A1" s="1" t="s">
        <v>0</v>
      </c>
      <c r="B1" s="2"/>
    </row>
    <row r="2" spans="1:24" ht="33" customHeight="1" x14ac:dyDescent="0.3">
      <c r="A2" s="34" t="s">
        <v>1</v>
      </c>
      <c r="B2" s="34" t="s">
        <v>2</v>
      </c>
      <c r="C2" s="35" t="s">
        <v>3</v>
      </c>
      <c r="D2" s="36"/>
      <c r="E2" s="37" t="s">
        <v>4</v>
      </c>
      <c r="F2" s="36"/>
      <c r="G2" s="38" t="s">
        <v>5</v>
      </c>
      <c r="H2" s="36"/>
      <c r="I2" s="39" t="s">
        <v>6</v>
      </c>
      <c r="J2" s="36"/>
      <c r="K2" s="32" t="s">
        <v>7</v>
      </c>
      <c r="L2" s="32" t="s">
        <v>8</v>
      </c>
      <c r="M2" s="32" t="s">
        <v>9</v>
      </c>
    </row>
    <row r="3" spans="1:24" ht="34.5" customHeight="1" x14ac:dyDescent="0.6">
      <c r="A3" s="33"/>
      <c r="B3" s="33"/>
      <c r="C3" s="3" t="s">
        <v>10</v>
      </c>
      <c r="D3" s="4" t="s">
        <v>11</v>
      </c>
      <c r="E3" s="5" t="s">
        <v>10</v>
      </c>
      <c r="F3" s="6" t="s">
        <v>11</v>
      </c>
      <c r="G3" s="7" t="s">
        <v>10</v>
      </c>
      <c r="H3" s="8" t="s">
        <v>11</v>
      </c>
      <c r="I3" s="9" t="s">
        <v>10</v>
      </c>
      <c r="J3" s="10" t="s">
        <v>11</v>
      </c>
      <c r="K3" s="33"/>
      <c r="L3" s="33"/>
      <c r="M3" s="33"/>
    </row>
    <row r="4" spans="1:24" ht="34.5" customHeight="1" x14ac:dyDescent="0.65">
      <c r="A4" s="11">
        <v>1</v>
      </c>
      <c r="B4" s="12" t="s">
        <v>12</v>
      </c>
      <c r="C4" s="13">
        <f t="shared" ref="C4:L4" si="0">SUM(C5:C9)</f>
        <v>9</v>
      </c>
      <c r="D4" s="14">
        <f t="shared" si="0"/>
        <v>395</v>
      </c>
      <c r="E4" s="13">
        <f t="shared" si="0"/>
        <v>16</v>
      </c>
      <c r="F4" s="14">
        <f t="shared" si="0"/>
        <v>850</v>
      </c>
      <c r="G4" s="13">
        <f t="shared" si="0"/>
        <v>0</v>
      </c>
      <c r="H4" s="14">
        <f t="shared" si="0"/>
        <v>0</v>
      </c>
      <c r="I4" s="13">
        <f t="shared" si="0"/>
        <v>174</v>
      </c>
      <c r="J4" s="14">
        <f t="shared" si="0"/>
        <v>9595</v>
      </c>
      <c r="K4" s="15">
        <f t="shared" si="0"/>
        <v>199</v>
      </c>
      <c r="L4" s="16">
        <f t="shared" si="0"/>
        <v>10840</v>
      </c>
      <c r="M4" s="15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34.5" customHeight="1" x14ac:dyDescent="0.6">
      <c r="A5" s="18"/>
      <c r="B5" s="19" t="s">
        <v>13</v>
      </c>
      <c r="C5" s="20">
        <v>6</v>
      </c>
      <c r="D5" s="21">
        <v>260</v>
      </c>
      <c r="E5" s="20">
        <v>7</v>
      </c>
      <c r="F5" s="21">
        <v>390</v>
      </c>
      <c r="G5" s="20">
        <v>0</v>
      </c>
      <c r="H5" s="21">
        <v>0</v>
      </c>
      <c r="I5" s="20">
        <v>89</v>
      </c>
      <c r="J5" s="21">
        <v>4745</v>
      </c>
      <c r="K5" s="22">
        <f t="shared" ref="K5:L5" si="1">C5+E5+G5+I5</f>
        <v>102</v>
      </c>
      <c r="L5" s="23">
        <f t="shared" si="1"/>
        <v>5395</v>
      </c>
      <c r="M5" s="22"/>
    </row>
    <row r="6" spans="1:24" ht="34.5" customHeight="1" x14ac:dyDescent="0.6">
      <c r="A6" s="18"/>
      <c r="B6" s="19" t="s">
        <v>30</v>
      </c>
      <c r="C6" s="20">
        <v>0</v>
      </c>
      <c r="D6" s="21">
        <v>0</v>
      </c>
      <c r="E6" s="20">
        <v>8</v>
      </c>
      <c r="F6" s="21">
        <v>405</v>
      </c>
      <c r="G6" s="20">
        <v>0</v>
      </c>
      <c r="H6" s="21">
        <v>0</v>
      </c>
      <c r="I6" s="20">
        <v>5</v>
      </c>
      <c r="J6" s="21">
        <v>450</v>
      </c>
      <c r="K6" s="22">
        <f t="shared" ref="K6:L6" si="2">C6+E6+G6+I6</f>
        <v>13</v>
      </c>
      <c r="L6" s="23">
        <f t="shared" si="2"/>
        <v>855</v>
      </c>
      <c r="M6" s="22"/>
    </row>
    <row r="7" spans="1:24" ht="34.5" customHeight="1" x14ac:dyDescent="0.6">
      <c r="A7" s="18"/>
      <c r="B7" s="19" t="s">
        <v>14</v>
      </c>
      <c r="C7" s="20">
        <v>0</v>
      </c>
      <c r="D7" s="21">
        <v>0</v>
      </c>
      <c r="E7" s="20">
        <v>0</v>
      </c>
      <c r="F7" s="21">
        <v>0</v>
      </c>
      <c r="G7" s="20">
        <v>0</v>
      </c>
      <c r="H7" s="21">
        <v>0</v>
      </c>
      <c r="I7" s="20">
        <v>80</v>
      </c>
      <c r="J7" s="21">
        <v>4400</v>
      </c>
      <c r="K7" s="22">
        <f t="shared" ref="K7:L7" si="3">C7+E7+G7+I7</f>
        <v>80</v>
      </c>
      <c r="L7" s="23">
        <f t="shared" si="3"/>
        <v>4400</v>
      </c>
      <c r="M7" s="22"/>
    </row>
    <row r="8" spans="1:24" ht="34.5" customHeight="1" x14ac:dyDescent="0.6">
      <c r="A8" s="18"/>
      <c r="B8" s="19" t="s">
        <v>15</v>
      </c>
      <c r="C8" s="20">
        <v>0</v>
      </c>
      <c r="D8" s="21">
        <v>0</v>
      </c>
      <c r="E8" s="20">
        <v>0</v>
      </c>
      <c r="F8" s="21">
        <v>0</v>
      </c>
      <c r="G8" s="20">
        <v>0</v>
      </c>
      <c r="H8" s="21">
        <v>0</v>
      </c>
      <c r="I8" s="20">
        <v>0</v>
      </c>
      <c r="J8" s="21">
        <v>0</v>
      </c>
      <c r="K8" s="22">
        <f t="shared" ref="K8:L8" si="4">C8+E8+G8+I8</f>
        <v>0</v>
      </c>
      <c r="L8" s="23">
        <f t="shared" si="4"/>
        <v>0</v>
      </c>
      <c r="M8" s="22"/>
    </row>
    <row r="9" spans="1:24" ht="34.5" customHeight="1" x14ac:dyDescent="0.6">
      <c r="A9" s="18"/>
      <c r="B9" s="19" t="s">
        <v>16</v>
      </c>
      <c r="C9" s="20">
        <v>3</v>
      </c>
      <c r="D9" s="21">
        <v>135</v>
      </c>
      <c r="E9" s="20">
        <v>1</v>
      </c>
      <c r="F9" s="21">
        <v>55</v>
      </c>
      <c r="G9" s="20">
        <v>0</v>
      </c>
      <c r="H9" s="21">
        <v>0</v>
      </c>
      <c r="I9" s="20">
        <v>0</v>
      </c>
      <c r="J9" s="21">
        <v>0</v>
      </c>
      <c r="K9" s="22">
        <f t="shared" ref="K9:L9" si="5">C9+E9+G9+I9</f>
        <v>4</v>
      </c>
      <c r="L9" s="23">
        <f t="shared" si="5"/>
        <v>190</v>
      </c>
      <c r="M9" s="22"/>
    </row>
    <row r="10" spans="1:24" ht="34.5" customHeight="1" x14ac:dyDescent="0.65">
      <c r="A10" s="11">
        <v>2</v>
      </c>
      <c r="B10" s="12" t="s">
        <v>17</v>
      </c>
      <c r="C10" s="13">
        <f t="shared" ref="C10:L10" si="6">SUM(C11:C15)</f>
        <v>9</v>
      </c>
      <c r="D10" s="14">
        <f t="shared" si="6"/>
        <v>350</v>
      </c>
      <c r="E10" s="13">
        <f t="shared" si="6"/>
        <v>27</v>
      </c>
      <c r="F10" s="14">
        <f t="shared" si="6"/>
        <v>1420</v>
      </c>
      <c r="G10" s="13">
        <f t="shared" si="6"/>
        <v>0</v>
      </c>
      <c r="H10" s="14">
        <f t="shared" si="6"/>
        <v>0</v>
      </c>
      <c r="I10" s="13">
        <f t="shared" si="6"/>
        <v>23</v>
      </c>
      <c r="J10" s="14">
        <f t="shared" si="6"/>
        <v>620</v>
      </c>
      <c r="K10" s="15">
        <f t="shared" si="6"/>
        <v>59</v>
      </c>
      <c r="L10" s="16">
        <f t="shared" si="6"/>
        <v>2390</v>
      </c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34.5" customHeight="1" x14ac:dyDescent="0.6">
      <c r="A11" s="18"/>
      <c r="B11" s="19" t="s">
        <v>13</v>
      </c>
      <c r="C11" s="20">
        <v>6</v>
      </c>
      <c r="D11" s="21">
        <v>225</v>
      </c>
      <c r="E11" s="20">
        <v>21</v>
      </c>
      <c r="F11" s="21">
        <v>1130</v>
      </c>
      <c r="G11" s="20">
        <v>0</v>
      </c>
      <c r="H11" s="21">
        <v>0</v>
      </c>
      <c r="I11" s="20">
        <v>7</v>
      </c>
      <c r="J11" s="21">
        <v>260</v>
      </c>
      <c r="K11" s="22">
        <f t="shared" ref="K11:L11" si="7">C11+E11+G11+I11</f>
        <v>34</v>
      </c>
      <c r="L11" s="23">
        <f t="shared" si="7"/>
        <v>1615</v>
      </c>
      <c r="M11" s="22"/>
    </row>
    <row r="12" spans="1:24" ht="34.5" customHeight="1" x14ac:dyDescent="0.6">
      <c r="A12" s="18"/>
      <c r="B12" s="19" t="s">
        <v>30</v>
      </c>
      <c r="C12" s="20">
        <v>1</v>
      </c>
      <c r="D12" s="21">
        <v>35</v>
      </c>
      <c r="E12" s="20">
        <v>0</v>
      </c>
      <c r="F12" s="21">
        <v>0</v>
      </c>
      <c r="G12" s="20">
        <v>0</v>
      </c>
      <c r="H12" s="21">
        <v>0</v>
      </c>
      <c r="I12" s="20">
        <v>0</v>
      </c>
      <c r="J12" s="21">
        <v>0</v>
      </c>
      <c r="K12" s="22">
        <f t="shared" ref="K12:L12" si="8">C12+E12+G12+I12</f>
        <v>1</v>
      </c>
      <c r="L12" s="23">
        <f t="shared" si="8"/>
        <v>35</v>
      </c>
      <c r="M12" s="22"/>
    </row>
    <row r="13" spans="1:24" ht="34.5" customHeight="1" x14ac:dyDescent="0.6">
      <c r="A13" s="18"/>
      <c r="B13" s="19" t="s">
        <v>14</v>
      </c>
      <c r="C13" s="20">
        <v>0</v>
      </c>
      <c r="D13" s="21">
        <v>0</v>
      </c>
      <c r="E13" s="20">
        <v>0</v>
      </c>
      <c r="F13" s="21">
        <v>0</v>
      </c>
      <c r="G13" s="20">
        <v>0</v>
      </c>
      <c r="H13" s="21">
        <v>0</v>
      </c>
      <c r="I13" s="20">
        <v>3</v>
      </c>
      <c r="J13" s="21">
        <v>150</v>
      </c>
      <c r="K13" s="22">
        <f t="shared" ref="K13:L13" si="9">C13+E13+G13+I13</f>
        <v>3</v>
      </c>
      <c r="L13" s="23">
        <f t="shared" si="9"/>
        <v>150</v>
      </c>
      <c r="M13" s="22"/>
    </row>
    <row r="14" spans="1:24" ht="34.5" customHeight="1" x14ac:dyDescent="0.6">
      <c r="A14" s="18"/>
      <c r="B14" s="19" t="s">
        <v>15</v>
      </c>
      <c r="C14" s="20">
        <v>0</v>
      </c>
      <c r="D14" s="21">
        <v>0</v>
      </c>
      <c r="E14" s="20">
        <v>0</v>
      </c>
      <c r="F14" s="21">
        <v>0</v>
      </c>
      <c r="G14" s="20">
        <v>0</v>
      </c>
      <c r="H14" s="21">
        <v>0</v>
      </c>
      <c r="I14" s="20">
        <v>0</v>
      </c>
      <c r="J14" s="21">
        <v>0</v>
      </c>
      <c r="K14" s="22">
        <f t="shared" ref="K14:L14" si="10">C14+E14+G14+I14</f>
        <v>0</v>
      </c>
      <c r="L14" s="23">
        <f t="shared" si="10"/>
        <v>0</v>
      </c>
      <c r="M14" s="22"/>
    </row>
    <row r="15" spans="1:24" ht="34.5" customHeight="1" x14ac:dyDescent="0.6">
      <c r="A15" s="18"/>
      <c r="B15" s="19" t="s">
        <v>16</v>
      </c>
      <c r="C15" s="20">
        <v>2</v>
      </c>
      <c r="D15" s="21">
        <v>90</v>
      </c>
      <c r="E15" s="20">
        <v>6</v>
      </c>
      <c r="F15" s="21">
        <v>290</v>
      </c>
      <c r="G15" s="20">
        <v>0</v>
      </c>
      <c r="H15" s="21">
        <v>0</v>
      </c>
      <c r="I15" s="20">
        <v>13</v>
      </c>
      <c r="J15" s="21">
        <v>210</v>
      </c>
      <c r="K15" s="22">
        <f t="shared" ref="K15:L15" si="11">C15+E15+G15+I15</f>
        <v>21</v>
      </c>
      <c r="L15" s="23">
        <f t="shared" si="11"/>
        <v>590</v>
      </c>
      <c r="M15" s="22"/>
    </row>
    <row r="16" spans="1:24" ht="34.5" customHeight="1" x14ac:dyDescent="0.65">
      <c r="A16" s="11">
        <v>3</v>
      </c>
      <c r="B16" s="12" t="s">
        <v>18</v>
      </c>
      <c r="C16" s="13">
        <f t="shared" ref="C16:L16" si="12">SUM(C17:C21)</f>
        <v>5</v>
      </c>
      <c r="D16" s="14">
        <f t="shared" si="12"/>
        <v>179</v>
      </c>
      <c r="E16" s="13">
        <f t="shared" si="12"/>
        <v>116</v>
      </c>
      <c r="F16" s="14">
        <f t="shared" si="12"/>
        <v>6983</v>
      </c>
      <c r="G16" s="13">
        <f t="shared" si="12"/>
        <v>2</v>
      </c>
      <c r="H16" s="14">
        <f t="shared" si="12"/>
        <v>75</v>
      </c>
      <c r="I16" s="13">
        <f t="shared" si="12"/>
        <v>22</v>
      </c>
      <c r="J16" s="14">
        <f t="shared" si="12"/>
        <v>1230</v>
      </c>
      <c r="K16" s="15">
        <f t="shared" si="12"/>
        <v>145</v>
      </c>
      <c r="L16" s="16">
        <f t="shared" si="12"/>
        <v>8467</v>
      </c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34.5" customHeight="1" x14ac:dyDescent="0.6">
      <c r="A17" s="18"/>
      <c r="B17" s="19" t="s">
        <v>13</v>
      </c>
      <c r="C17" s="20">
        <v>4</v>
      </c>
      <c r="D17" s="21">
        <v>152</v>
      </c>
      <c r="E17" s="20">
        <v>95</v>
      </c>
      <c r="F17" s="21">
        <v>5333</v>
      </c>
      <c r="G17" s="20">
        <v>1</v>
      </c>
      <c r="H17" s="21">
        <v>40</v>
      </c>
      <c r="I17" s="20">
        <v>4</v>
      </c>
      <c r="J17" s="21">
        <v>170</v>
      </c>
      <c r="K17" s="22">
        <f t="shared" ref="K17:L17" si="13">C17+E17+G17+I17</f>
        <v>104</v>
      </c>
      <c r="L17" s="23">
        <f t="shared" si="13"/>
        <v>5695</v>
      </c>
      <c r="M17" s="22"/>
    </row>
    <row r="18" spans="1:24" ht="34.5" customHeight="1" x14ac:dyDescent="0.6">
      <c r="A18" s="18"/>
      <c r="B18" s="19" t="s">
        <v>30</v>
      </c>
      <c r="C18" s="20">
        <v>0</v>
      </c>
      <c r="D18" s="21">
        <v>0</v>
      </c>
      <c r="E18" s="20">
        <v>4</v>
      </c>
      <c r="F18" s="21">
        <v>285</v>
      </c>
      <c r="G18" s="20">
        <v>1</v>
      </c>
      <c r="H18" s="21">
        <v>35</v>
      </c>
      <c r="I18" s="20">
        <v>6</v>
      </c>
      <c r="J18" s="21">
        <v>350</v>
      </c>
      <c r="K18" s="22">
        <f t="shared" ref="K18:L18" si="14">C18+E18+G18+I18</f>
        <v>11</v>
      </c>
      <c r="L18" s="23">
        <f t="shared" si="14"/>
        <v>670</v>
      </c>
      <c r="M18" s="22"/>
    </row>
    <row r="19" spans="1:24" ht="34.5" customHeight="1" x14ac:dyDescent="0.6">
      <c r="A19" s="18"/>
      <c r="B19" s="19" t="s">
        <v>14</v>
      </c>
      <c r="C19" s="20">
        <v>0</v>
      </c>
      <c r="D19" s="21">
        <v>0</v>
      </c>
      <c r="E19" s="20">
        <v>0</v>
      </c>
      <c r="F19" s="21">
        <v>0</v>
      </c>
      <c r="G19" s="20">
        <v>0</v>
      </c>
      <c r="H19" s="21">
        <v>0</v>
      </c>
      <c r="I19" s="20">
        <v>10</v>
      </c>
      <c r="J19" s="21">
        <v>510</v>
      </c>
      <c r="K19" s="22">
        <f t="shared" ref="K19:L19" si="15">C19+E19+G19+I19</f>
        <v>10</v>
      </c>
      <c r="L19" s="23">
        <f t="shared" si="15"/>
        <v>510</v>
      </c>
      <c r="M19" s="22"/>
    </row>
    <row r="20" spans="1:24" ht="34.5" customHeight="1" x14ac:dyDescent="0.6">
      <c r="A20" s="18"/>
      <c r="B20" s="19" t="s">
        <v>15</v>
      </c>
      <c r="C20" s="20">
        <v>0</v>
      </c>
      <c r="D20" s="21">
        <v>0</v>
      </c>
      <c r="E20" s="20">
        <v>17</v>
      </c>
      <c r="F20" s="21">
        <v>1365</v>
      </c>
      <c r="G20" s="20">
        <v>0</v>
      </c>
      <c r="H20" s="21">
        <v>0</v>
      </c>
      <c r="I20" s="20">
        <v>2</v>
      </c>
      <c r="J20" s="21">
        <v>200</v>
      </c>
      <c r="K20" s="22">
        <f t="shared" ref="K20:L20" si="16">C20+E20+G20+I20</f>
        <v>19</v>
      </c>
      <c r="L20" s="23">
        <f t="shared" si="16"/>
        <v>1565</v>
      </c>
      <c r="M20" s="22"/>
    </row>
    <row r="21" spans="1:24" ht="34.5" customHeight="1" x14ac:dyDescent="0.6">
      <c r="A21" s="18"/>
      <c r="B21" s="19" t="s">
        <v>16</v>
      </c>
      <c r="C21" s="20">
        <v>1</v>
      </c>
      <c r="D21" s="21">
        <v>27</v>
      </c>
      <c r="E21" s="20">
        <v>0</v>
      </c>
      <c r="F21" s="21">
        <v>0</v>
      </c>
      <c r="G21" s="20">
        <v>0</v>
      </c>
      <c r="H21" s="21">
        <v>0</v>
      </c>
      <c r="I21" s="20">
        <v>0</v>
      </c>
      <c r="J21" s="21">
        <v>0</v>
      </c>
      <c r="K21" s="22">
        <f t="shared" ref="K21:L21" si="17">C21+E21+G21+I21</f>
        <v>1</v>
      </c>
      <c r="L21" s="23">
        <f t="shared" si="17"/>
        <v>27</v>
      </c>
      <c r="M21" s="22"/>
    </row>
    <row r="22" spans="1:24" ht="34.5" customHeight="1" x14ac:dyDescent="0.65">
      <c r="A22" s="11">
        <v>4</v>
      </c>
      <c r="B22" s="12" t="s">
        <v>19</v>
      </c>
      <c r="C22" s="13">
        <f t="shared" ref="C22:L22" si="18">SUM(C23:C27)</f>
        <v>7</v>
      </c>
      <c r="D22" s="14">
        <f t="shared" si="18"/>
        <v>335</v>
      </c>
      <c r="E22" s="13">
        <f t="shared" si="18"/>
        <v>96</v>
      </c>
      <c r="F22" s="14">
        <f t="shared" si="18"/>
        <v>12360</v>
      </c>
      <c r="G22" s="13">
        <f t="shared" si="18"/>
        <v>12</v>
      </c>
      <c r="H22" s="14">
        <f t="shared" si="18"/>
        <v>510</v>
      </c>
      <c r="I22" s="13">
        <f t="shared" si="18"/>
        <v>2</v>
      </c>
      <c r="J22" s="14">
        <f t="shared" si="18"/>
        <v>105</v>
      </c>
      <c r="K22" s="15">
        <f t="shared" si="18"/>
        <v>117</v>
      </c>
      <c r="L22" s="16">
        <f t="shared" si="18"/>
        <v>13310</v>
      </c>
      <c r="M22" s="15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34.5" customHeight="1" x14ac:dyDescent="0.6">
      <c r="A23" s="18"/>
      <c r="B23" s="19" t="s">
        <v>13</v>
      </c>
      <c r="C23" s="20">
        <v>5</v>
      </c>
      <c r="D23" s="21">
        <v>180</v>
      </c>
      <c r="E23" s="20">
        <v>27</v>
      </c>
      <c r="F23" s="21">
        <v>8565</v>
      </c>
      <c r="G23" s="20">
        <v>2</v>
      </c>
      <c r="H23" s="21">
        <v>160</v>
      </c>
      <c r="I23" s="20">
        <v>2</v>
      </c>
      <c r="J23" s="21">
        <v>105</v>
      </c>
      <c r="K23" s="22">
        <f t="shared" ref="K23:L23" si="19">C23+E23+G23+I23</f>
        <v>36</v>
      </c>
      <c r="L23" s="23">
        <f t="shared" si="19"/>
        <v>9010</v>
      </c>
      <c r="M23" s="22"/>
    </row>
    <row r="24" spans="1:24" ht="34.5" customHeight="1" x14ac:dyDescent="0.6">
      <c r="A24" s="18"/>
      <c r="B24" s="19" t="s">
        <v>30</v>
      </c>
      <c r="C24" s="20">
        <v>1</v>
      </c>
      <c r="D24" s="21">
        <v>110</v>
      </c>
      <c r="E24" s="20">
        <v>4</v>
      </c>
      <c r="F24" s="21">
        <v>210</v>
      </c>
      <c r="G24" s="20">
        <v>10</v>
      </c>
      <c r="H24" s="21">
        <v>350</v>
      </c>
      <c r="I24" s="20">
        <v>0</v>
      </c>
      <c r="J24" s="21">
        <v>0</v>
      </c>
      <c r="K24" s="22">
        <f t="shared" ref="K24:L24" si="20">C24+E24+G24+I24</f>
        <v>15</v>
      </c>
      <c r="L24" s="23">
        <f t="shared" si="20"/>
        <v>670</v>
      </c>
      <c r="M24" s="22"/>
    </row>
    <row r="25" spans="1:24" ht="34.5" customHeight="1" x14ac:dyDescent="0.6">
      <c r="A25" s="18"/>
      <c r="B25" s="19" t="s">
        <v>14</v>
      </c>
      <c r="C25" s="20">
        <v>0</v>
      </c>
      <c r="D25" s="21">
        <v>0</v>
      </c>
      <c r="E25" s="20">
        <v>6</v>
      </c>
      <c r="F25" s="21">
        <v>310</v>
      </c>
      <c r="G25" s="20">
        <v>0</v>
      </c>
      <c r="H25" s="21">
        <v>0</v>
      </c>
      <c r="I25" s="20">
        <v>0</v>
      </c>
      <c r="J25" s="21">
        <v>0</v>
      </c>
      <c r="K25" s="22">
        <f t="shared" ref="K25:L25" si="21">C25+E25+G25+I25</f>
        <v>6</v>
      </c>
      <c r="L25" s="23">
        <f t="shared" si="21"/>
        <v>310</v>
      </c>
      <c r="M25" s="22"/>
    </row>
    <row r="26" spans="1:24" ht="34.5" customHeight="1" x14ac:dyDescent="0.6">
      <c r="A26" s="18"/>
      <c r="B26" s="19" t="s">
        <v>15</v>
      </c>
      <c r="C26" s="20">
        <v>0</v>
      </c>
      <c r="D26" s="21">
        <v>0</v>
      </c>
      <c r="E26" s="20">
        <v>6</v>
      </c>
      <c r="F26" s="21">
        <v>325</v>
      </c>
      <c r="G26" s="20">
        <v>0</v>
      </c>
      <c r="H26" s="21">
        <v>0</v>
      </c>
      <c r="I26" s="20">
        <v>0</v>
      </c>
      <c r="J26" s="21">
        <v>0</v>
      </c>
      <c r="K26" s="22">
        <f t="shared" ref="K26:L26" si="22">C26+E26+G26+I26</f>
        <v>6</v>
      </c>
      <c r="L26" s="23">
        <f t="shared" si="22"/>
        <v>325</v>
      </c>
      <c r="M26" s="22"/>
    </row>
    <row r="27" spans="1:24" ht="34.5" customHeight="1" x14ac:dyDescent="0.6">
      <c r="A27" s="18"/>
      <c r="B27" s="19" t="s">
        <v>16</v>
      </c>
      <c r="C27" s="20">
        <v>1</v>
      </c>
      <c r="D27" s="21">
        <v>45</v>
      </c>
      <c r="E27" s="20">
        <v>53</v>
      </c>
      <c r="F27" s="21">
        <v>2950</v>
      </c>
      <c r="G27" s="20">
        <v>0</v>
      </c>
      <c r="H27" s="21">
        <v>0</v>
      </c>
      <c r="I27" s="20">
        <v>0</v>
      </c>
      <c r="J27" s="21">
        <v>0</v>
      </c>
      <c r="K27" s="22">
        <f t="shared" ref="K27:L27" si="23">C27+E27+G27+I27</f>
        <v>54</v>
      </c>
      <c r="L27" s="23">
        <f t="shared" si="23"/>
        <v>2995</v>
      </c>
      <c r="M27" s="22"/>
    </row>
    <row r="28" spans="1:24" ht="34.5" customHeight="1" x14ac:dyDescent="0.65">
      <c r="A28" s="11">
        <v>5</v>
      </c>
      <c r="B28" s="12" t="s">
        <v>20</v>
      </c>
      <c r="C28" s="13">
        <f t="shared" ref="C28:L28" si="24">SUM(C29:C33)</f>
        <v>47</v>
      </c>
      <c r="D28" s="14">
        <f t="shared" si="24"/>
        <v>4155</v>
      </c>
      <c r="E28" s="13">
        <f t="shared" si="24"/>
        <v>31</v>
      </c>
      <c r="F28" s="14">
        <f t="shared" si="24"/>
        <v>1745</v>
      </c>
      <c r="G28" s="13">
        <f t="shared" si="24"/>
        <v>5</v>
      </c>
      <c r="H28" s="14">
        <f t="shared" si="24"/>
        <v>240</v>
      </c>
      <c r="I28" s="13">
        <f t="shared" si="24"/>
        <v>7</v>
      </c>
      <c r="J28" s="14">
        <f t="shared" si="24"/>
        <v>500</v>
      </c>
      <c r="K28" s="15">
        <f t="shared" si="24"/>
        <v>90</v>
      </c>
      <c r="L28" s="16">
        <f t="shared" si="24"/>
        <v>6640</v>
      </c>
      <c r="M28" s="15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34.5" customHeight="1" x14ac:dyDescent="0.6">
      <c r="A29" s="18"/>
      <c r="B29" s="19" t="s">
        <v>13</v>
      </c>
      <c r="C29" s="20">
        <v>8</v>
      </c>
      <c r="D29" s="21">
        <v>324</v>
      </c>
      <c r="E29" s="20">
        <v>8</v>
      </c>
      <c r="F29" s="21">
        <v>415</v>
      </c>
      <c r="G29" s="20">
        <v>5</v>
      </c>
      <c r="H29" s="21">
        <v>240</v>
      </c>
      <c r="I29" s="20">
        <v>0</v>
      </c>
      <c r="J29" s="21">
        <v>0</v>
      </c>
      <c r="K29" s="22">
        <f t="shared" ref="K29:L29" si="25">C29+E29+G29+I29</f>
        <v>21</v>
      </c>
      <c r="L29" s="23">
        <f t="shared" si="25"/>
        <v>979</v>
      </c>
      <c r="M29" s="22"/>
    </row>
    <row r="30" spans="1:24" ht="34.5" customHeight="1" x14ac:dyDescent="0.6">
      <c r="A30" s="18"/>
      <c r="B30" s="19" t="s">
        <v>30</v>
      </c>
      <c r="C30" s="20">
        <v>35</v>
      </c>
      <c r="D30" s="21">
        <v>3675</v>
      </c>
      <c r="E30" s="20">
        <v>8</v>
      </c>
      <c r="F30" s="21">
        <v>520</v>
      </c>
      <c r="G30" s="20">
        <v>0</v>
      </c>
      <c r="H30" s="21">
        <v>0</v>
      </c>
      <c r="I30" s="20">
        <v>1</v>
      </c>
      <c r="J30" s="21">
        <v>50</v>
      </c>
      <c r="K30" s="22">
        <f t="shared" ref="K30:L30" si="26">C30+E30+G30+I30</f>
        <v>44</v>
      </c>
      <c r="L30" s="23">
        <f t="shared" si="26"/>
        <v>4245</v>
      </c>
      <c r="M30" s="22"/>
    </row>
    <row r="31" spans="1:24" ht="34.5" customHeight="1" x14ac:dyDescent="0.6">
      <c r="A31" s="18"/>
      <c r="B31" s="19" t="s">
        <v>14</v>
      </c>
      <c r="C31" s="20">
        <v>0</v>
      </c>
      <c r="D31" s="21">
        <v>0</v>
      </c>
      <c r="E31" s="20">
        <v>0</v>
      </c>
      <c r="F31" s="21">
        <v>0</v>
      </c>
      <c r="G31" s="20">
        <v>0</v>
      </c>
      <c r="H31" s="21">
        <v>0</v>
      </c>
      <c r="I31" s="20">
        <v>0</v>
      </c>
      <c r="J31" s="21">
        <v>0</v>
      </c>
      <c r="K31" s="22">
        <f t="shared" ref="K31:L31" si="27">C31+E31+G31+I31</f>
        <v>0</v>
      </c>
      <c r="L31" s="23">
        <f t="shared" si="27"/>
        <v>0</v>
      </c>
      <c r="M31" s="22"/>
    </row>
    <row r="32" spans="1:24" ht="34.5" customHeight="1" x14ac:dyDescent="0.6">
      <c r="A32" s="18"/>
      <c r="B32" s="19" t="s">
        <v>15</v>
      </c>
      <c r="C32" s="20">
        <v>0</v>
      </c>
      <c r="D32" s="21">
        <v>0</v>
      </c>
      <c r="E32" s="20">
        <v>13</v>
      </c>
      <c r="F32" s="21">
        <v>690</v>
      </c>
      <c r="G32" s="20">
        <v>0</v>
      </c>
      <c r="H32" s="21">
        <v>0</v>
      </c>
      <c r="I32" s="20">
        <v>4</v>
      </c>
      <c r="J32" s="21">
        <v>350</v>
      </c>
      <c r="K32" s="22">
        <f t="shared" ref="K32:L32" si="28">C32+E32+G32+I32</f>
        <v>17</v>
      </c>
      <c r="L32" s="23">
        <f t="shared" si="28"/>
        <v>1040</v>
      </c>
      <c r="M32" s="22"/>
    </row>
    <row r="33" spans="1:24" ht="34.5" customHeight="1" x14ac:dyDescent="0.6">
      <c r="A33" s="18"/>
      <c r="B33" s="19" t="s">
        <v>16</v>
      </c>
      <c r="C33" s="20">
        <v>4</v>
      </c>
      <c r="D33" s="21">
        <v>156</v>
      </c>
      <c r="E33" s="20">
        <v>2</v>
      </c>
      <c r="F33" s="21">
        <v>120</v>
      </c>
      <c r="G33" s="20">
        <v>0</v>
      </c>
      <c r="H33" s="21">
        <v>0</v>
      </c>
      <c r="I33" s="20">
        <v>2</v>
      </c>
      <c r="J33" s="21">
        <v>100</v>
      </c>
      <c r="K33" s="22">
        <f t="shared" ref="K33:L33" si="29">C33+E33+G33+I33</f>
        <v>8</v>
      </c>
      <c r="L33" s="23">
        <f t="shared" si="29"/>
        <v>376</v>
      </c>
      <c r="M33" s="22"/>
    </row>
    <row r="34" spans="1:24" ht="34.5" customHeight="1" x14ac:dyDescent="0.65">
      <c r="A34" s="11">
        <v>6</v>
      </c>
      <c r="B34" s="12" t="s">
        <v>21</v>
      </c>
      <c r="C34" s="13">
        <f t="shared" ref="C34:L34" si="30">SUM(C35:C39)</f>
        <v>84</v>
      </c>
      <c r="D34" s="14">
        <f t="shared" si="30"/>
        <v>7908</v>
      </c>
      <c r="E34" s="13">
        <f t="shared" si="30"/>
        <v>20</v>
      </c>
      <c r="F34" s="14">
        <f t="shared" si="30"/>
        <v>1145</v>
      </c>
      <c r="G34" s="13">
        <f t="shared" si="30"/>
        <v>35</v>
      </c>
      <c r="H34" s="14">
        <f t="shared" si="30"/>
        <v>910</v>
      </c>
      <c r="I34" s="13">
        <f t="shared" si="30"/>
        <v>19</v>
      </c>
      <c r="J34" s="14">
        <f t="shared" si="30"/>
        <v>1360</v>
      </c>
      <c r="K34" s="15">
        <f t="shared" si="30"/>
        <v>158</v>
      </c>
      <c r="L34" s="16">
        <f t="shared" si="30"/>
        <v>11323</v>
      </c>
      <c r="M34" s="15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34.5" customHeight="1" x14ac:dyDescent="0.6">
      <c r="A35" s="18"/>
      <c r="B35" s="19" t="s">
        <v>13</v>
      </c>
      <c r="C35" s="20">
        <v>11</v>
      </c>
      <c r="D35" s="21">
        <v>420</v>
      </c>
      <c r="E35" s="20">
        <v>6</v>
      </c>
      <c r="F35" s="21">
        <v>330</v>
      </c>
      <c r="G35" s="20">
        <v>0</v>
      </c>
      <c r="H35" s="21">
        <v>0</v>
      </c>
      <c r="I35" s="20">
        <v>0</v>
      </c>
      <c r="J35" s="21">
        <v>0</v>
      </c>
      <c r="K35" s="22">
        <f t="shared" ref="K35:L35" si="31">C35+E35+G35+I35</f>
        <v>17</v>
      </c>
      <c r="L35" s="23">
        <f t="shared" si="31"/>
        <v>750</v>
      </c>
      <c r="M35" s="22"/>
    </row>
    <row r="36" spans="1:24" ht="34.5" customHeight="1" x14ac:dyDescent="0.6">
      <c r="A36" s="18"/>
      <c r="B36" s="19" t="s">
        <v>30</v>
      </c>
      <c r="C36" s="20">
        <v>68</v>
      </c>
      <c r="D36" s="21">
        <v>7305</v>
      </c>
      <c r="E36" s="20">
        <v>11</v>
      </c>
      <c r="F36" s="21">
        <v>650</v>
      </c>
      <c r="G36" s="20">
        <v>13</v>
      </c>
      <c r="H36" s="21">
        <v>440</v>
      </c>
      <c r="I36" s="20">
        <v>19</v>
      </c>
      <c r="J36" s="21">
        <v>1360</v>
      </c>
      <c r="K36" s="22">
        <f t="shared" ref="K36:L36" si="32">C36+E36+G36+I36</f>
        <v>111</v>
      </c>
      <c r="L36" s="23">
        <f t="shared" si="32"/>
        <v>9755</v>
      </c>
      <c r="M36" s="22"/>
    </row>
    <row r="37" spans="1:24" ht="34.5" customHeight="1" x14ac:dyDescent="0.6">
      <c r="A37" s="18"/>
      <c r="B37" s="19" t="s">
        <v>14</v>
      </c>
      <c r="C37" s="20">
        <v>0</v>
      </c>
      <c r="D37" s="21">
        <v>0</v>
      </c>
      <c r="E37" s="20">
        <v>1</v>
      </c>
      <c r="F37" s="21">
        <v>60</v>
      </c>
      <c r="G37" s="20">
        <v>0</v>
      </c>
      <c r="H37" s="21">
        <v>0</v>
      </c>
      <c r="I37" s="20">
        <v>0</v>
      </c>
      <c r="J37" s="21">
        <v>0</v>
      </c>
      <c r="K37" s="22">
        <f t="shared" ref="K37:L37" si="33">C37+E37+G37+I37</f>
        <v>1</v>
      </c>
      <c r="L37" s="23">
        <f t="shared" si="33"/>
        <v>60</v>
      </c>
      <c r="M37" s="22"/>
    </row>
    <row r="38" spans="1:24" ht="34.5" customHeight="1" x14ac:dyDescent="0.6">
      <c r="A38" s="18"/>
      <c r="B38" s="19" t="s">
        <v>15</v>
      </c>
      <c r="C38" s="20">
        <v>0</v>
      </c>
      <c r="D38" s="21">
        <v>0</v>
      </c>
      <c r="E38" s="20">
        <v>2</v>
      </c>
      <c r="F38" s="21">
        <v>105</v>
      </c>
      <c r="G38" s="20">
        <v>22</v>
      </c>
      <c r="H38" s="21">
        <v>470</v>
      </c>
      <c r="I38" s="20">
        <v>0</v>
      </c>
      <c r="J38" s="21">
        <v>0</v>
      </c>
      <c r="K38" s="22">
        <f t="shared" ref="K38:L38" si="34">C38+E38+G38+I38</f>
        <v>24</v>
      </c>
      <c r="L38" s="23">
        <f t="shared" si="34"/>
        <v>575</v>
      </c>
      <c r="M38" s="22"/>
    </row>
    <row r="39" spans="1:24" ht="34.5" customHeight="1" x14ac:dyDescent="0.6">
      <c r="A39" s="18"/>
      <c r="B39" s="19" t="s">
        <v>16</v>
      </c>
      <c r="C39" s="20">
        <v>5</v>
      </c>
      <c r="D39" s="21">
        <v>183</v>
      </c>
      <c r="E39" s="20">
        <v>0</v>
      </c>
      <c r="F39" s="21">
        <v>0</v>
      </c>
      <c r="G39" s="20">
        <v>0</v>
      </c>
      <c r="H39" s="21">
        <v>0</v>
      </c>
      <c r="I39" s="20">
        <v>0</v>
      </c>
      <c r="J39" s="21">
        <v>0</v>
      </c>
      <c r="K39" s="22">
        <f t="shared" ref="K39:L39" si="35">C39+E39+G39+I39</f>
        <v>5</v>
      </c>
      <c r="L39" s="23">
        <f t="shared" si="35"/>
        <v>183</v>
      </c>
      <c r="M39" s="22"/>
    </row>
    <row r="40" spans="1:24" ht="34.5" customHeight="1" x14ac:dyDescent="0.65">
      <c r="A40" s="11">
        <v>7</v>
      </c>
      <c r="B40" s="12" t="s">
        <v>22</v>
      </c>
      <c r="C40" s="13">
        <f t="shared" ref="C40:L40" si="36">SUM(C41:C45)</f>
        <v>18</v>
      </c>
      <c r="D40" s="14">
        <f t="shared" si="36"/>
        <v>475</v>
      </c>
      <c r="E40" s="13">
        <f t="shared" si="36"/>
        <v>41</v>
      </c>
      <c r="F40" s="14">
        <f t="shared" si="36"/>
        <v>2375</v>
      </c>
      <c r="G40" s="13">
        <f t="shared" si="36"/>
        <v>18</v>
      </c>
      <c r="H40" s="14">
        <f t="shared" si="36"/>
        <v>602</v>
      </c>
      <c r="I40" s="13">
        <f t="shared" si="36"/>
        <v>12</v>
      </c>
      <c r="J40" s="14">
        <f t="shared" si="36"/>
        <v>575</v>
      </c>
      <c r="K40" s="15">
        <f t="shared" si="36"/>
        <v>89</v>
      </c>
      <c r="L40" s="16">
        <f t="shared" si="36"/>
        <v>4027</v>
      </c>
      <c r="M40" s="15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34.5" customHeight="1" x14ac:dyDescent="0.6">
      <c r="A41" s="18"/>
      <c r="B41" s="19" t="s">
        <v>13</v>
      </c>
      <c r="C41" s="20">
        <v>4</v>
      </c>
      <c r="D41" s="21">
        <v>132</v>
      </c>
      <c r="E41" s="20">
        <v>28</v>
      </c>
      <c r="F41" s="21">
        <v>1535</v>
      </c>
      <c r="G41" s="20">
        <v>18</v>
      </c>
      <c r="H41" s="21">
        <v>602</v>
      </c>
      <c r="I41" s="20">
        <v>0</v>
      </c>
      <c r="J41" s="21">
        <v>0</v>
      </c>
      <c r="K41" s="22">
        <f t="shared" ref="K41:L41" si="37">C41+E41+G41+I41</f>
        <v>50</v>
      </c>
      <c r="L41" s="23">
        <f t="shared" si="37"/>
        <v>2269</v>
      </c>
      <c r="M41" s="22"/>
    </row>
    <row r="42" spans="1:24" ht="34.5" customHeight="1" x14ac:dyDescent="0.6">
      <c r="A42" s="18"/>
      <c r="B42" s="19" t="s">
        <v>30</v>
      </c>
      <c r="C42" s="20">
        <v>3</v>
      </c>
      <c r="D42" s="21">
        <v>95</v>
      </c>
      <c r="E42" s="20">
        <v>10</v>
      </c>
      <c r="F42" s="21">
        <v>670</v>
      </c>
      <c r="G42" s="20">
        <v>0</v>
      </c>
      <c r="H42" s="21">
        <v>0</v>
      </c>
      <c r="I42" s="20">
        <v>12</v>
      </c>
      <c r="J42" s="21">
        <v>575</v>
      </c>
      <c r="K42" s="22">
        <f t="shared" ref="K42:L42" si="38">C42+E42+G42+I42</f>
        <v>25</v>
      </c>
      <c r="L42" s="23">
        <f t="shared" si="38"/>
        <v>1340</v>
      </c>
      <c r="M42" s="22"/>
    </row>
    <row r="43" spans="1:24" ht="34.5" customHeight="1" x14ac:dyDescent="0.6">
      <c r="A43" s="18"/>
      <c r="B43" s="19" t="s">
        <v>14</v>
      </c>
      <c r="C43" s="20">
        <v>0</v>
      </c>
      <c r="D43" s="21">
        <v>0</v>
      </c>
      <c r="E43" s="20">
        <v>1</v>
      </c>
      <c r="F43" s="21">
        <v>60</v>
      </c>
      <c r="G43" s="20">
        <v>0</v>
      </c>
      <c r="H43" s="21">
        <v>0</v>
      </c>
      <c r="I43" s="20">
        <v>0</v>
      </c>
      <c r="J43" s="21">
        <v>0</v>
      </c>
      <c r="K43" s="22">
        <f t="shared" ref="K43:L43" si="39">C43+E43+G43+I43</f>
        <v>1</v>
      </c>
      <c r="L43" s="23">
        <f t="shared" si="39"/>
        <v>60</v>
      </c>
      <c r="M43" s="22"/>
    </row>
    <row r="44" spans="1:24" ht="34.5" customHeight="1" x14ac:dyDescent="0.6">
      <c r="A44" s="18"/>
      <c r="B44" s="19" t="s">
        <v>15</v>
      </c>
      <c r="C44" s="20">
        <v>8</v>
      </c>
      <c r="D44" s="21">
        <v>125</v>
      </c>
      <c r="E44" s="20">
        <v>2</v>
      </c>
      <c r="F44" s="21">
        <v>110</v>
      </c>
      <c r="G44" s="20">
        <v>0</v>
      </c>
      <c r="H44" s="21">
        <v>0</v>
      </c>
      <c r="I44" s="20">
        <v>0</v>
      </c>
      <c r="J44" s="21">
        <v>0</v>
      </c>
      <c r="K44" s="22">
        <f t="shared" ref="K44:L44" si="40">C44+E44+G44+I44</f>
        <v>10</v>
      </c>
      <c r="L44" s="23">
        <f t="shared" si="40"/>
        <v>235</v>
      </c>
      <c r="M44" s="22"/>
    </row>
    <row r="45" spans="1:24" ht="34.5" customHeight="1" x14ac:dyDescent="0.6">
      <c r="A45" s="18"/>
      <c r="B45" s="19" t="s">
        <v>16</v>
      </c>
      <c r="C45" s="20">
        <v>3</v>
      </c>
      <c r="D45" s="21">
        <v>123</v>
      </c>
      <c r="E45" s="20">
        <v>0</v>
      </c>
      <c r="F45" s="21">
        <v>0</v>
      </c>
      <c r="G45" s="20">
        <v>0</v>
      </c>
      <c r="H45" s="21">
        <v>0</v>
      </c>
      <c r="I45" s="20">
        <v>0</v>
      </c>
      <c r="J45" s="21">
        <v>0</v>
      </c>
      <c r="K45" s="22">
        <f t="shared" ref="K45:L45" si="41">C45+E45+G45+I45</f>
        <v>3</v>
      </c>
      <c r="L45" s="23">
        <f t="shared" si="41"/>
        <v>123</v>
      </c>
      <c r="M45" s="22"/>
    </row>
    <row r="46" spans="1:24" ht="34.5" customHeight="1" x14ac:dyDescent="0.65">
      <c r="A46" s="11">
        <v>8</v>
      </c>
      <c r="B46" s="12" t="s">
        <v>23</v>
      </c>
      <c r="C46" s="13">
        <f t="shared" ref="C46:L46" si="42">SUM(C47:C51)</f>
        <v>20</v>
      </c>
      <c r="D46" s="14">
        <f t="shared" si="42"/>
        <v>699</v>
      </c>
      <c r="E46" s="13">
        <f t="shared" si="42"/>
        <v>56</v>
      </c>
      <c r="F46" s="14">
        <f t="shared" si="42"/>
        <v>3298</v>
      </c>
      <c r="G46" s="13">
        <f t="shared" si="42"/>
        <v>59</v>
      </c>
      <c r="H46" s="14">
        <f t="shared" si="42"/>
        <v>0</v>
      </c>
      <c r="I46" s="13">
        <f t="shared" si="42"/>
        <v>13</v>
      </c>
      <c r="J46" s="14">
        <f t="shared" si="42"/>
        <v>1160</v>
      </c>
      <c r="K46" s="15">
        <f t="shared" si="42"/>
        <v>148</v>
      </c>
      <c r="L46" s="16">
        <f t="shared" si="42"/>
        <v>5157</v>
      </c>
      <c r="M46" s="15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34.5" customHeight="1" x14ac:dyDescent="0.6">
      <c r="A47" s="18"/>
      <c r="B47" s="19" t="s">
        <v>13</v>
      </c>
      <c r="C47" s="20">
        <v>8</v>
      </c>
      <c r="D47" s="21">
        <v>320</v>
      </c>
      <c r="E47" s="20">
        <v>29</v>
      </c>
      <c r="F47" s="21">
        <v>1390</v>
      </c>
      <c r="G47" s="20">
        <v>33</v>
      </c>
      <c r="H47" s="21">
        <v>0</v>
      </c>
      <c r="I47" s="20">
        <v>13</v>
      </c>
      <c r="J47" s="21">
        <v>1160</v>
      </c>
      <c r="K47" s="22">
        <f t="shared" ref="K47:L47" si="43">C47+E47+G47+I47</f>
        <v>83</v>
      </c>
      <c r="L47" s="23">
        <f t="shared" si="43"/>
        <v>2870</v>
      </c>
      <c r="M47" s="22"/>
    </row>
    <row r="48" spans="1:24" ht="34.5" customHeight="1" x14ac:dyDescent="0.6">
      <c r="A48" s="18"/>
      <c r="B48" s="19" t="s">
        <v>30</v>
      </c>
      <c r="C48" s="20">
        <v>3</v>
      </c>
      <c r="D48" s="21">
        <v>87</v>
      </c>
      <c r="E48" s="20">
        <v>5</v>
      </c>
      <c r="F48" s="21">
        <v>305</v>
      </c>
      <c r="G48" s="20">
        <v>6</v>
      </c>
      <c r="H48" s="21">
        <v>0</v>
      </c>
      <c r="I48" s="20">
        <v>0</v>
      </c>
      <c r="J48" s="21">
        <v>0</v>
      </c>
      <c r="K48" s="22">
        <f t="shared" ref="K48:L48" si="44">C48+E48+G48+I48</f>
        <v>14</v>
      </c>
      <c r="L48" s="23">
        <f t="shared" si="44"/>
        <v>392</v>
      </c>
      <c r="M48" s="22"/>
    </row>
    <row r="49" spans="1:24" ht="34.5" customHeight="1" x14ac:dyDescent="0.6">
      <c r="A49" s="18"/>
      <c r="B49" s="19" t="s">
        <v>14</v>
      </c>
      <c r="C49" s="20">
        <v>0</v>
      </c>
      <c r="D49" s="21">
        <v>0</v>
      </c>
      <c r="E49" s="20">
        <v>0</v>
      </c>
      <c r="F49" s="21">
        <v>0</v>
      </c>
      <c r="G49" s="20">
        <v>0</v>
      </c>
      <c r="H49" s="21">
        <v>0</v>
      </c>
      <c r="I49" s="20">
        <v>0</v>
      </c>
      <c r="J49" s="21">
        <v>0</v>
      </c>
      <c r="K49" s="22">
        <f t="shared" ref="K49:L49" si="45">C49+E49+G49+I49</f>
        <v>0</v>
      </c>
      <c r="L49" s="23">
        <f t="shared" si="45"/>
        <v>0</v>
      </c>
      <c r="M49" s="22"/>
    </row>
    <row r="50" spans="1:24" ht="34.5" customHeight="1" x14ac:dyDescent="0.6">
      <c r="A50" s="18"/>
      <c r="B50" s="19" t="s">
        <v>15</v>
      </c>
      <c r="C50" s="20">
        <v>0</v>
      </c>
      <c r="D50" s="21">
        <v>0</v>
      </c>
      <c r="E50" s="20">
        <v>0</v>
      </c>
      <c r="F50" s="21">
        <v>0</v>
      </c>
      <c r="G50" s="20">
        <v>20</v>
      </c>
      <c r="H50" s="21">
        <v>0</v>
      </c>
      <c r="I50" s="20">
        <v>0</v>
      </c>
      <c r="J50" s="21">
        <v>0</v>
      </c>
      <c r="K50" s="22">
        <f t="shared" ref="K50:L50" si="46">C50+E50+G50+I50</f>
        <v>20</v>
      </c>
      <c r="L50" s="23">
        <f t="shared" si="46"/>
        <v>0</v>
      </c>
      <c r="M50" s="22"/>
    </row>
    <row r="51" spans="1:24" ht="34.5" customHeight="1" x14ac:dyDescent="0.6">
      <c r="A51" s="18"/>
      <c r="B51" s="19" t="s">
        <v>16</v>
      </c>
      <c r="C51" s="20">
        <v>9</v>
      </c>
      <c r="D51" s="21">
        <v>292</v>
      </c>
      <c r="E51" s="20">
        <v>22</v>
      </c>
      <c r="F51" s="21">
        <v>1603</v>
      </c>
      <c r="G51" s="20">
        <v>0</v>
      </c>
      <c r="H51" s="21">
        <v>0</v>
      </c>
      <c r="I51" s="20">
        <v>0</v>
      </c>
      <c r="J51" s="21">
        <v>0</v>
      </c>
      <c r="K51" s="22">
        <f t="shared" ref="K51:L51" si="47">C51+E51+G51+I51</f>
        <v>31</v>
      </c>
      <c r="L51" s="23">
        <f t="shared" si="47"/>
        <v>1895</v>
      </c>
      <c r="M51" s="22"/>
    </row>
    <row r="52" spans="1:24" ht="34.5" customHeight="1" x14ac:dyDescent="0.65">
      <c r="A52" s="11">
        <v>9</v>
      </c>
      <c r="B52" s="12" t="s">
        <v>24</v>
      </c>
      <c r="C52" s="13">
        <f t="shared" ref="C52:L52" si="48">SUM(C53:C57)</f>
        <v>14</v>
      </c>
      <c r="D52" s="14">
        <f t="shared" si="48"/>
        <v>496</v>
      </c>
      <c r="E52" s="13">
        <f t="shared" si="48"/>
        <v>5</v>
      </c>
      <c r="F52" s="14">
        <f t="shared" si="48"/>
        <v>350</v>
      </c>
      <c r="G52" s="13">
        <f t="shared" si="48"/>
        <v>22</v>
      </c>
      <c r="H52" s="14">
        <f t="shared" si="48"/>
        <v>3958.44</v>
      </c>
      <c r="I52" s="13">
        <f t="shared" si="48"/>
        <v>0</v>
      </c>
      <c r="J52" s="14">
        <f t="shared" si="48"/>
        <v>0</v>
      </c>
      <c r="K52" s="15">
        <f t="shared" si="48"/>
        <v>41</v>
      </c>
      <c r="L52" s="16">
        <f t="shared" si="48"/>
        <v>4804.4400000000005</v>
      </c>
      <c r="M52" s="15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34.5" customHeight="1" x14ac:dyDescent="0.6">
      <c r="A53" s="18"/>
      <c r="B53" s="19" t="s">
        <v>13</v>
      </c>
      <c r="C53" s="20">
        <v>3</v>
      </c>
      <c r="D53" s="21">
        <v>113</v>
      </c>
      <c r="E53" s="20">
        <v>0</v>
      </c>
      <c r="F53" s="21">
        <v>0</v>
      </c>
      <c r="G53" s="20">
        <v>8</v>
      </c>
      <c r="H53" s="21">
        <v>1342.44</v>
      </c>
      <c r="I53" s="20">
        <v>0</v>
      </c>
      <c r="J53" s="21">
        <v>0</v>
      </c>
      <c r="K53" s="22">
        <f t="shared" ref="K53:L53" si="49">C53+E53+G53+I53</f>
        <v>11</v>
      </c>
      <c r="L53" s="23">
        <f t="shared" si="49"/>
        <v>1455.44</v>
      </c>
      <c r="M53" s="22"/>
    </row>
    <row r="54" spans="1:24" ht="34.5" customHeight="1" x14ac:dyDescent="0.6">
      <c r="A54" s="18"/>
      <c r="B54" s="19" t="s">
        <v>30</v>
      </c>
      <c r="C54" s="20">
        <v>0</v>
      </c>
      <c r="D54" s="21">
        <v>0</v>
      </c>
      <c r="E54" s="20">
        <v>2</v>
      </c>
      <c r="F54" s="21">
        <v>150</v>
      </c>
      <c r="G54" s="20">
        <v>9</v>
      </c>
      <c r="H54" s="21">
        <v>2024</v>
      </c>
      <c r="I54" s="20">
        <v>0</v>
      </c>
      <c r="J54" s="21">
        <v>0</v>
      </c>
      <c r="K54" s="22">
        <f t="shared" ref="K54:L54" si="50">C54+E54+G54+I54</f>
        <v>11</v>
      </c>
      <c r="L54" s="23">
        <f t="shared" si="50"/>
        <v>2174</v>
      </c>
      <c r="M54" s="22"/>
    </row>
    <row r="55" spans="1:24" ht="34.5" customHeight="1" x14ac:dyDescent="0.6">
      <c r="A55" s="18"/>
      <c r="B55" s="19" t="s">
        <v>14</v>
      </c>
      <c r="C55" s="20">
        <v>0</v>
      </c>
      <c r="D55" s="21">
        <v>0</v>
      </c>
      <c r="E55" s="20">
        <v>0</v>
      </c>
      <c r="F55" s="21">
        <v>0</v>
      </c>
      <c r="G55" s="20">
        <v>0</v>
      </c>
      <c r="H55" s="21">
        <v>0</v>
      </c>
      <c r="I55" s="20">
        <v>0</v>
      </c>
      <c r="J55" s="21">
        <v>0</v>
      </c>
      <c r="K55" s="22">
        <f t="shared" ref="K55:L55" si="51">C55+E55+G55+I55</f>
        <v>0</v>
      </c>
      <c r="L55" s="23">
        <f t="shared" si="51"/>
        <v>0</v>
      </c>
      <c r="M55" s="22"/>
    </row>
    <row r="56" spans="1:24" ht="34.5" customHeight="1" x14ac:dyDescent="0.6">
      <c r="A56" s="18"/>
      <c r="B56" s="19" t="s">
        <v>15</v>
      </c>
      <c r="C56" s="20">
        <v>8</v>
      </c>
      <c r="D56" s="21">
        <v>296</v>
      </c>
      <c r="E56" s="20">
        <v>2</v>
      </c>
      <c r="F56" s="21">
        <v>150</v>
      </c>
      <c r="G56" s="20">
        <v>5</v>
      </c>
      <c r="H56" s="21">
        <v>592</v>
      </c>
      <c r="I56" s="20">
        <v>0</v>
      </c>
      <c r="J56" s="21">
        <v>0</v>
      </c>
      <c r="K56" s="22">
        <f t="shared" ref="K56:L56" si="52">C56+E56+G56+I56</f>
        <v>15</v>
      </c>
      <c r="L56" s="23">
        <f t="shared" si="52"/>
        <v>1038</v>
      </c>
      <c r="M56" s="22"/>
    </row>
    <row r="57" spans="1:24" ht="34.5" customHeight="1" x14ac:dyDescent="0.6">
      <c r="A57" s="18"/>
      <c r="B57" s="19" t="s">
        <v>16</v>
      </c>
      <c r="C57" s="20">
        <v>3</v>
      </c>
      <c r="D57" s="21">
        <v>87</v>
      </c>
      <c r="E57" s="20">
        <v>1</v>
      </c>
      <c r="F57" s="21">
        <v>50</v>
      </c>
      <c r="G57" s="20">
        <v>0</v>
      </c>
      <c r="H57" s="21">
        <v>0</v>
      </c>
      <c r="I57" s="20">
        <v>0</v>
      </c>
      <c r="J57" s="21">
        <v>0</v>
      </c>
      <c r="K57" s="22">
        <f t="shared" ref="K57:L57" si="53">C57+E57+G57+I57</f>
        <v>4</v>
      </c>
      <c r="L57" s="23">
        <f t="shared" si="53"/>
        <v>137</v>
      </c>
      <c r="M57" s="22"/>
    </row>
    <row r="58" spans="1:24" ht="34.5" customHeight="1" x14ac:dyDescent="0.65">
      <c r="A58" s="11">
        <v>10</v>
      </c>
      <c r="B58" s="12" t="s">
        <v>25</v>
      </c>
      <c r="C58" s="13">
        <f t="shared" ref="C58:L58" si="54">SUM(C59:C63)</f>
        <v>11</v>
      </c>
      <c r="D58" s="14">
        <f t="shared" si="54"/>
        <v>429</v>
      </c>
      <c r="E58" s="13">
        <f t="shared" si="54"/>
        <v>0</v>
      </c>
      <c r="F58" s="14">
        <f t="shared" si="54"/>
        <v>0</v>
      </c>
      <c r="G58" s="13">
        <f t="shared" si="54"/>
        <v>23</v>
      </c>
      <c r="H58" s="14">
        <f t="shared" si="54"/>
        <v>3316</v>
      </c>
      <c r="I58" s="13">
        <f t="shared" si="54"/>
        <v>0</v>
      </c>
      <c r="J58" s="14">
        <f t="shared" si="54"/>
        <v>0</v>
      </c>
      <c r="K58" s="15">
        <f t="shared" si="54"/>
        <v>34</v>
      </c>
      <c r="L58" s="16">
        <f t="shared" si="54"/>
        <v>3745</v>
      </c>
      <c r="M58" s="15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34.5" customHeight="1" x14ac:dyDescent="0.6">
      <c r="A59" s="18"/>
      <c r="B59" s="19" t="s">
        <v>13</v>
      </c>
      <c r="C59" s="20">
        <v>1</v>
      </c>
      <c r="D59" s="21">
        <v>39</v>
      </c>
      <c r="E59" s="20">
        <v>0</v>
      </c>
      <c r="F59" s="21">
        <v>0</v>
      </c>
      <c r="G59" s="20">
        <v>16</v>
      </c>
      <c r="H59" s="21">
        <v>1916</v>
      </c>
      <c r="I59" s="20">
        <v>0</v>
      </c>
      <c r="J59" s="21">
        <v>0</v>
      </c>
      <c r="K59" s="22">
        <f t="shared" ref="K59:L59" si="55">C59+E59+G59+I59</f>
        <v>17</v>
      </c>
      <c r="L59" s="23">
        <f t="shared" si="55"/>
        <v>1955</v>
      </c>
      <c r="M59" s="22"/>
    </row>
    <row r="60" spans="1:24" ht="34.5" customHeight="1" x14ac:dyDescent="0.6">
      <c r="A60" s="18"/>
      <c r="B60" s="19" t="s">
        <v>30</v>
      </c>
      <c r="C60" s="20">
        <v>0</v>
      </c>
      <c r="D60" s="21">
        <v>0</v>
      </c>
      <c r="E60" s="20">
        <v>0</v>
      </c>
      <c r="F60" s="21">
        <v>0</v>
      </c>
      <c r="G60" s="20">
        <v>1</v>
      </c>
      <c r="H60" s="21">
        <v>100</v>
      </c>
      <c r="I60" s="20">
        <v>0</v>
      </c>
      <c r="J60" s="21">
        <v>0</v>
      </c>
      <c r="K60" s="22">
        <f t="shared" ref="K60:L60" si="56">C60+E60+G60+I60</f>
        <v>1</v>
      </c>
      <c r="L60" s="23">
        <f t="shared" si="56"/>
        <v>100</v>
      </c>
      <c r="M60" s="22"/>
    </row>
    <row r="61" spans="1:24" ht="34.5" customHeight="1" x14ac:dyDescent="0.6">
      <c r="A61" s="18"/>
      <c r="B61" s="19" t="s">
        <v>14</v>
      </c>
      <c r="C61" s="20">
        <v>0</v>
      </c>
      <c r="D61" s="21">
        <v>0</v>
      </c>
      <c r="E61" s="20">
        <v>0</v>
      </c>
      <c r="F61" s="21">
        <v>0</v>
      </c>
      <c r="G61" s="20">
        <v>0</v>
      </c>
      <c r="H61" s="21">
        <v>0</v>
      </c>
      <c r="I61" s="20">
        <v>0</v>
      </c>
      <c r="J61" s="21">
        <v>0</v>
      </c>
      <c r="K61" s="22">
        <f t="shared" ref="K61:L61" si="57">C61+E61+G61+I61</f>
        <v>0</v>
      </c>
      <c r="L61" s="23">
        <f t="shared" si="57"/>
        <v>0</v>
      </c>
      <c r="M61" s="22"/>
    </row>
    <row r="62" spans="1:24" ht="34.5" customHeight="1" x14ac:dyDescent="0.6">
      <c r="A62" s="18"/>
      <c r="B62" s="19" t="s">
        <v>15</v>
      </c>
      <c r="C62" s="20">
        <v>0</v>
      </c>
      <c r="D62" s="21">
        <v>0</v>
      </c>
      <c r="E62" s="20">
        <v>0</v>
      </c>
      <c r="F62" s="21">
        <v>0</v>
      </c>
      <c r="G62" s="20">
        <v>6</v>
      </c>
      <c r="H62" s="21">
        <v>1300</v>
      </c>
      <c r="I62" s="20">
        <v>0</v>
      </c>
      <c r="J62" s="21">
        <v>0</v>
      </c>
      <c r="K62" s="22">
        <f t="shared" ref="K62:L62" si="58">C62+E62+G62+I62</f>
        <v>6</v>
      </c>
      <c r="L62" s="23">
        <f t="shared" si="58"/>
        <v>1300</v>
      </c>
      <c r="M62" s="22"/>
    </row>
    <row r="63" spans="1:24" ht="34.5" customHeight="1" x14ac:dyDescent="0.6">
      <c r="A63" s="18"/>
      <c r="B63" s="19" t="s">
        <v>16</v>
      </c>
      <c r="C63" s="20">
        <v>10</v>
      </c>
      <c r="D63" s="21">
        <v>390</v>
      </c>
      <c r="E63" s="20">
        <v>0</v>
      </c>
      <c r="F63" s="21">
        <v>0</v>
      </c>
      <c r="G63" s="20">
        <v>0</v>
      </c>
      <c r="H63" s="21">
        <v>0</v>
      </c>
      <c r="I63" s="20">
        <v>0</v>
      </c>
      <c r="J63" s="21">
        <v>0</v>
      </c>
      <c r="K63" s="22">
        <f t="shared" ref="K63:L63" si="59">C63+E63+G63+I63</f>
        <v>10</v>
      </c>
      <c r="L63" s="23">
        <f t="shared" si="59"/>
        <v>390</v>
      </c>
      <c r="M63" s="22"/>
    </row>
    <row r="64" spans="1:24" ht="34.5" customHeight="1" x14ac:dyDescent="0.65">
      <c r="A64" s="11">
        <v>11</v>
      </c>
      <c r="B64" s="12" t="s">
        <v>26</v>
      </c>
      <c r="C64" s="13">
        <f>SUM(C65:C69)</f>
        <v>7</v>
      </c>
      <c r="D64" s="14">
        <f>SUM(D65:D69)</f>
        <v>243</v>
      </c>
      <c r="E64" s="13">
        <f>SUM(E65:E69)</f>
        <v>20</v>
      </c>
      <c r="F64" s="14">
        <f>SUM(F65:F69)</f>
        <v>1180</v>
      </c>
      <c r="G64" s="13">
        <f t="shared" ref="G64:K64" si="60">SUM(G65:G69)</f>
        <v>11</v>
      </c>
      <c r="H64" s="14">
        <f t="shared" si="60"/>
        <v>420</v>
      </c>
      <c r="I64" s="13">
        <f t="shared" si="60"/>
        <v>0</v>
      </c>
      <c r="J64" s="14">
        <f t="shared" si="60"/>
        <v>0</v>
      </c>
      <c r="K64" s="15">
        <f t="shared" si="60"/>
        <v>38</v>
      </c>
      <c r="L64" s="16">
        <f>SUM(L65:L69)</f>
        <v>1843</v>
      </c>
      <c r="M64" s="15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34.5" customHeight="1" x14ac:dyDescent="0.6">
      <c r="A65" s="18"/>
      <c r="B65" s="19" t="s">
        <v>13</v>
      </c>
      <c r="C65" s="20">
        <v>2</v>
      </c>
      <c r="D65" s="21">
        <v>68</v>
      </c>
      <c r="E65" s="20">
        <v>9</v>
      </c>
      <c r="F65" s="21">
        <v>465</v>
      </c>
      <c r="G65" s="20">
        <v>0</v>
      </c>
      <c r="H65" s="21">
        <v>0</v>
      </c>
      <c r="I65" s="20">
        <v>0</v>
      </c>
      <c r="J65" s="21">
        <v>0</v>
      </c>
      <c r="K65" s="22">
        <f>C65+E65+G65+I65</f>
        <v>11</v>
      </c>
      <c r="L65" s="23">
        <f>D65+F65+H65+J65</f>
        <v>533</v>
      </c>
      <c r="M65" s="22"/>
    </row>
    <row r="66" spans="1:24" ht="34.5" customHeight="1" x14ac:dyDescent="0.6">
      <c r="A66" s="18"/>
      <c r="B66" s="19" t="s">
        <v>30</v>
      </c>
      <c r="C66" s="21">
        <v>0</v>
      </c>
      <c r="D66" s="21">
        <v>0</v>
      </c>
      <c r="E66" s="20">
        <v>1</v>
      </c>
      <c r="F66" s="21">
        <v>80</v>
      </c>
      <c r="G66" s="20">
        <v>0</v>
      </c>
      <c r="H66" s="21">
        <v>0</v>
      </c>
      <c r="I66" s="20">
        <v>0</v>
      </c>
      <c r="J66" s="21">
        <v>0</v>
      </c>
      <c r="K66" s="22">
        <f t="shared" ref="K66:K69" si="61">C66+E66+G66+I66</f>
        <v>1</v>
      </c>
      <c r="L66" s="23">
        <f t="shared" ref="L66:L69" si="62">D66+F66+H66+J66</f>
        <v>80</v>
      </c>
      <c r="M66" s="22"/>
    </row>
    <row r="67" spans="1:24" ht="34.5" customHeight="1" x14ac:dyDescent="0.6">
      <c r="A67" s="18"/>
      <c r="B67" s="19" t="s">
        <v>14</v>
      </c>
      <c r="C67" s="20">
        <v>1</v>
      </c>
      <c r="D67" s="21">
        <v>29</v>
      </c>
      <c r="E67" s="20">
        <v>2</v>
      </c>
      <c r="F67" s="21">
        <v>90</v>
      </c>
      <c r="G67" s="20">
        <v>0</v>
      </c>
      <c r="H67" s="21">
        <v>0</v>
      </c>
      <c r="I67" s="20">
        <v>0</v>
      </c>
      <c r="J67" s="21">
        <v>0</v>
      </c>
      <c r="K67" s="22">
        <f t="shared" si="61"/>
        <v>3</v>
      </c>
      <c r="L67" s="23">
        <f t="shared" si="62"/>
        <v>119</v>
      </c>
      <c r="M67" s="22"/>
    </row>
    <row r="68" spans="1:24" ht="34.5" customHeight="1" x14ac:dyDescent="0.6">
      <c r="A68" s="18"/>
      <c r="B68" s="19" t="s">
        <v>15</v>
      </c>
      <c r="C68" s="20">
        <v>0</v>
      </c>
      <c r="D68" s="21">
        <v>0</v>
      </c>
      <c r="E68" s="20">
        <v>3</v>
      </c>
      <c r="F68" s="21">
        <v>355</v>
      </c>
      <c r="G68" s="20">
        <v>0</v>
      </c>
      <c r="H68" s="21">
        <v>0</v>
      </c>
      <c r="I68" s="20">
        <v>0</v>
      </c>
      <c r="J68" s="21">
        <v>0</v>
      </c>
      <c r="K68" s="22">
        <f t="shared" si="61"/>
        <v>3</v>
      </c>
      <c r="L68" s="23">
        <f t="shared" si="62"/>
        <v>355</v>
      </c>
      <c r="M68" s="22"/>
    </row>
    <row r="69" spans="1:24" ht="34.5" customHeight="1" x14ac:dyDescent="0.6">
      <c r="A69" s="18"/>
      <c r="B69" s="19" t="s">
        <v>16</v>
      </c>
      <c r="C69" s="20">
        <v>4</v>
      </c>
      <c r="D69" s="21">
        <v>146</v>
      </c>
      <c r="E69" s="20">
        <v>5</v>
      </c>
      <c r="F69" s="21">
        <v>190</v>
      </c>
      <c r="G69" s="20">
        <v>11</v>
      </c>
      <c r="H69" s="21">
        <v>420</v>
      </c>
      <c r="I69" s="20">
        <v>0</v>
      </c>
      <c r="J69" s="21">
        <v>0</v>
      </c>
      <c r="K69" s="22">
        <f t="shared" si="61"/>
        <v>20</v>
      </c>
      <c r="L69" s="23">
        <f t="shared" si="62"/>
        <v>756</v>
      </c>
      <c r="M69" s="22"/>
    </row>
    <row r="70" spans="1:24" ht="34.5" customHeight="1" x14ac:dyDescent="0.65">
      <c r="A70" s="11">
        <v>12</v>
      </c>
      <c r="B70" s="12" t="s">
        <v>27</v>
      </c>
      <c r="C70" s="13">
        <f t="shared" ref="C70:L70" si="63">SUM(C71:C75)</f>
        <v>3</v>
      </c>
      <c r="D70" s="14">
        <f t="shared" si="63"/>
        <v>129</v>
      </c>
      <c r="E70" s="13">
        <f t="shared" si="63"/>
        <v>3</v>
      </c>
      <c r="F70" s="14">
        <f t="shared" si="63"/>
        <v>120</v>
      </c>
      <c r="G70" s="13">
        <f t="shared" si="63"/>
        <v>2</v>
      </c>
      <c r="H70" s="14">
        <f t="shared" si="63"/>
        <v>480.76</v>
      </c>
      <c r="I70" s="13">
        <f t="shared" si="63"/>
        <v>0</v>
      </c>
      <c r="J70" s="14">
        <f t="shared" si="63"/>
        <v>0</v>
      </c>
      <c r="K70" s="15">
        <f t="shared" si="63"/>
        <v>8</v>
      </c>
      <c r="L70" s="16">
        <f t="shared" si="63"/>
        <v>729.76</v>
      </c>
      <c r="M70" s="15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s="40" customFormat="1" ht="26.4" x14ac:dyDescent="0.3">
      <c r="B71" s="19" t="s">
        <v>13</v>
      </c>
      <c r="C71" s="41">
        <v>1</v>
      </c>
      <c r="D71" s="42">
        <v>45</v>
      </c>
      <c r="E71" s="41">
        <v>1</v>
      </c>
      <c r="F71" s="42">
        <v>30</v>
      </c>
      <c r="G71" s="41">
        <v>0</v>
      </c>
      <c r="H71" s="42">
        <v>0</v>
      </c>
      <c r="I71" s="41">
        <v>0</v>
      </c>
      <c r="J71" s="42">
        <v>0</v>
      </c>
      <c r="K71" s="43">
        <f t="shared" ref="K71:L71" si="64">C71+E71+G71+I71</f>
        <v>2</v>
      </c>
      <c r="L71" s="44">
        <f t="shared" si="64"/>
        <v>75</v>
      </c>
      <c r="M71" s="24"/>
    </row>
    <row r="72" spans="1:24" s="40" customFormat="1" ht="26.4" x14ac:dyDescent="0.3">
      <c r="B72" s="19" t="s">
        <v>30</v>
      </c>
      <c r="C72" s="41">
        <v>0</v>
      </c>
      <c r="D72" s="42">
        <v>0</v>
      </c>
      <c r="E72" s="41">
        <v>0</v>
      </c>
      <c r="F72" s="42">
        <v>0</v>
      </c>
      <c r="G72" s="41">
        <v>0</v>
      </c>
      <c r="H72" s="42">
        <v>0</v>
      </c>
      <c r="I72" s="41">
        <v>0</v>
      </c>
      <c r="J72" s="42">
        <v>0</v>
      </c>
      <c r="K72" s="43">
        <f t="shared" ref="K72:L72" si="65">C72+E72+G72+I72</f>
        <v>0</v>
      </c>
      <c r="L72" s="44">
        <f t="shared" si="65"/>
        <v>0</v>
      </c>
      <c r="M72" s="24"/>
    </row>
    <row r="73" spans="1:24" s="40" customFormat="1" ht="26.4" x14ac:dyDescent="0.3">
      <c r="B73" s="19" t="s">
        <v>14</v>
      </c>
      <c r="C73" s="41">
        <v>0</v>
      </c>
      <c r="D73" s="42">
        <v>0</v>
      </c>
      <c r="E73" s="41">
        <v>0</v>
      </c>
      <c r="F73" s="42">
        <v>0</v>
      </c>
      <c r="G73" s="41">
        <v>0</v>
      </c>
      <c r="H73" s="42">
        <v>0</v>
      </c>
      <c r="I73" s="41">
        <v>0</v>
      </c>
      <c r="J73" s="42">
        <v>0</v>
      </c>
      <c r="K73" s="43">
        <f t="shared" ref="K73:L73" si="66">C73+E73+G73+I73</f>
        <v>0</v>
      </c>
      <c r="L73" s="44">
        <f t="shared" si="66"/>
        <v>0</v>
      </c>
      <c r="M73" s="24"/>
    </row>
    <row r="74" spans="1:24" s="40" customFormat="1" ht="26.4" x14ac:dyDescent="0.3">
      <c r="B74" s="19" t="s">
        <v>15</v>
      </c>
      <c r="C74" s="41">
        <v>0</v>
      </c>
      <c r="D74" s="42">
        <v>0</v>
      </c>
      <c r="E74" s="41">
        <v>0</v>
      </c>
      <c r="F74" s="42">
        <v>0</v>
      </c>
      <c r="G74" s="41">
        <v>2</v>
      </c>
      <c r="H74" s="42">
        <v>480.76</v>
      </c>
      <c r="I74" s="41">
        <v>0</v>
      </c>
      <c r="J74" s="42">
        <v>0</v>
      </c>
      <c r="K74" s="43">
        <f t="shared" ref="K74:L74" si="67">C74+E74+G74+I74</f>
        <v>2</v>
      </c>
      <c r="L74" s="44">
        <f t="shared" si="67"/>
        <v>480.76</v>
      </c>
      <c r="M74" s="24"/>
    </row>
    <row r="75" spans="1:24" s="40" customFormat="1" ht="26.4" x14ac:dyDescent="0.3">
      <c r="B75" s="19" t="s">
        <v>16</v>
      </c>
      <c r="C75" s="41">
        <v>2</v>
      </c>
      <c r="D75" s="42">
        <v>84</v>
      </c>
      <c r="E75" s="41">
        <v>2</v>
      </c>
      <c r="F75" s="42">
        <v>90</v>
      </c>
      <c r="G75" s="41">
        <v>0</v>
      </c>
      <c r="H75" s="42">
        <v>0</v>
      </c>
      <c r="I75" s="41">
        <v>0</v>
      </c>
      <c r="J75" s="42">
        <v>0</v>
      </c>
      <c r="K75" s="43">
        <f t="shared" ref="K75:L75" si="68">C75+E75+G75+I75</f>
        <v>4</v>
      </c>
      <c r="L75" s="44">
        <f t="shared" si="68"/>
        <v>174</v>
      </c>
      <c r="M75" s="24"/>
    </row>
    <row r="76" spans="1:24" ht="34.5" customHeight="1" x14ac:dyDescent="0.3">
      <c r="A76" s="25"/>
      <c r="B76" s="26" t="s">
        <v>28</v>
      </c>
      <c r="C76" s="27">
        <f t="shared" ref="C76:K76" si="69">C4+C10+C16+C22+C28+C34+C40+C46+C52+C58+C64+C70</f>
        <v>234</v>
      </c>
      <c r="D76" s="28">
        <f t="shared" si="69"/>
        <v>15793</v>
      </c>
      <c r="E76" s="27">
        <f t="shared" si="69"/>
        <v>431</v>
      </c>
      <c r="F76" s="28">
        <f t="shared" si="69"/>
        <v>31826</v>
      </c>
      <c r="G76" s="27">
        <f t="shared" si="69"/>
        <v>189</v>
      </c>
      <c r="H76" s="28">
        <f t="shared" si="69"/>
        <v>10512.2</v>
      </c>
      <c r="I76" s="27">
        <f t="shared" si="69"/>
        <v>272</v>
      </c>
      <c r="J76" s="28">
        <f t="shared" si="69"/>
        <v>15145</v>
      </c>
      <c r="K76" s="29">
        <f t="shared" si="69"/>
        <v>1126</v>
      </c>
      <c r="L76" s="30">
        <f>L4+L10+L16+L22+L28+L34+L40+L46+L52+L58+L64+L70</f>
        <v>73276.2</v>
      </c>
      <c r="M76" s="31" t="s">
        <v>29</v>
      </c>
    </row>
    <row r="77" spans="1:24" ht="34.5" customHeight="1" x14ac:dyDescent="0.3">
      <c r="B77" s="2"/>
    </row>
    <row r="78" spans="1:24" ht="34.5" customHeight="1" x14ac:dyDescent="0.3">
      <c r="B78" s="2"/>
    </row>
    <row r="79" spans="1:24" ht="34.5" customHeight="1" x14ac:dyDescent="0.3">
      <c r="B79" s="2"/>
    </row>
    <row r="80" spans="1:24" ht="34.5" customHeight="1" x14ac:dyDescent="0.3">
      <c r="B80" s="2"/>
    </row>
    <row r="81" spans="2:2" ht="34.5" customHeight="1" x14ac:dyDescent="0.3">
      <c r="B81" s="2"/>
    </row>
    <row r="82" spans="2:2" ht="34.5" customHeight="1" x14ac:dyDescent="0.3">
      <c r="B82" s="2"/>
    </row>
    <row r="83" spans="2:2" ht="34.5" customHeight="1" x14ac:dyDescent="0.3">
      <c r="B83" s="2"/>
    </row>
    <row r="84" spans="2:2" ht="34.5" customHeight="1" x14ac:dyDescent="0.3">
      <c r="B84" s="2"/>
    </row>
    <row r="85" spans="2:2" ht="34.5" customHeight="1" x14ac:dyDescent="0.3">
      <c r="B85" s="2"/>
    </row>
    <row r="86" spans="2:2" ht="34.5" customHeight="1" x14ac:dyDescent="0.3">
      <c r="B86" s="2"/>
    </row>
    <row r="87" spans="2:2" ht="34.5" customHeight="1" x14ac:dyDescent="0.3">
      <c r="B87" s="2"/>
    </row>
    <row r="88" spans="2:2" ht="34.5" customHeight="1" x14ac:dyDescent="0.3">
      <c r="B88" s="2"/>
    </row>
    <row r="89" spans="2:2" ht="34.5" customHeight="1" x14ac:dyDescent="0.3">
      <c r="B89" s="2"/>
    </row>
    <row r="90" spans="2:2" ht="34.5" customHeight="1" x14ac:dyDescent="0.3">
      <c r="B90" s="2"/>
    </row>
    <row r="91" spans="2:2" ht="34.5" customHeight="1" x14ac:dyDescent="0.3">
      <c r="B91" s="2"/>
    </row>
    <row r="92" spans="2:2" ht="34.5" customHeight="1" x14ac:dyDescent="0.3">
      <c r="B92" s="2"/>
    </row>
    <row r="93" spans="2:2" ht="34.5" customHeight="1" x14ac:dyDescent="0.3">
      <c r="B93" s="2"/>
    </row>
    <row r="94" spans="2:2" ht="34.5" customHeight="1" x14ac:dyDescent="0.3">
      <c r="B94" s="2"/>
    </row>
    <row r="95" spans="2:2" ht="34.5" customHeight="1" x14ac:dyDescent="0.3">
      <c r="B95" s="2"/>
    </row>
    <row r="96" spans="2:2" ht="34.5" customHeight="1" x14ac:dyDescent="0.3">
      <c r="B96" s="2"/>
    </row>
    <row r="97" spans="2:2" ht="34.5" customHeight="1" x14ac:dyDescent="0.3">
      <c r="B97" s="2"/>
    </row>
    <row r="98" spans="2:2" ht="34.5" customHeight="1" x14ac:dyDescent="0.3">
      <c r="B98" s="2"/>
    </row>
    <row r="99" spans="2:2" ht="34.5" customHeight="1" x14ac:dyDescent="0.3">
      <c r="B99" s="2"/>
    </row>
    <row r="100" spans="2:2" ht="34.5" customHeight="1" x14ac:dyDescent="0.3">
      <c r="B100" s="2"/>
    </row>
    <row r="101" spans="2:2" ht="34.5" customHeight="1" x14ac:dyDescent="0.3">
      <c r="B101" s="2"/>
    </row>
    <row r="102" spans="2:2" ht="34.5" customHeight="1" x14ac:dyDescent="0.3">
      <c r="B102" s="2"/>
    </row>
    <row r="103" spans="2:2" ht="34.5" customHeight="1" x14ac:dyDescent="0.3">
      <c r="B103" s="2"/>
    </row>
    <row r="104" spans="2:2" ht="34.5" customHeight="1" x14ac:dyDescent="0.3">
      <c r="B104" s="2"/>
    </row>
    <row r="105" spans="2:2" ht="34.5" customHeight="1" x14ac:dyDescent="0.3">
      <c r="B105" s="2"/>
    </row>
    <row r="106" spans="2:2" ht="34.5" customHeight="1" x14ac:dyDescent="0.3">
      <c r="B106" s="2"/>
    </row>
    <row r="107" spans="2:2" ht="34.5" customHeight="1" x14ac:dyDescent="0.3">
      <c r="B107" s="2"/>
    </row>
    <row r="108" spans="2:2" ht="34.5" customHeight="1" x14ac:dyDescent="0.3">
      <c r="B108" s="2"/>
    </row>
    <row r="109" spans="2:2" ht="34.5" customHeight="1" x14ac:dyDescent="0.3">
      <c r="B109" s="2"/>
    </row>
    <row r="110" spans="2:2" ht="34.5" customHeight="1" x14ac:dyDescent="0.3">
      <c r="B110" s="2"/>
    </row>
    <row r="111" spans="2:2" ht="34.5" customHeight="1" x14ac:dyDescent="0.3">
      <c r="B111" s="2"/>
    </row>
    <row r="112" spans="2:2" ht="34.5" customHeight="1" x14ac:dyDescent="0.3">
      <c r="B112" s="2"/>
    </row>
    <row r="113" spans="2:2" ht="34.5" customHeight="1" x14ac:dyDescent="0.3">
      <c r="B113" s="2"/>
    </row>
    <row r="114" spans="2:2" ht="34.5" customHeight="1" x14ac:dyDescent="0.3">
      <c r="B114" s="2"/>
    </row>
    <row r="115" spans="2:2" ht="34.5" customHeight="1" x14ac:dyDescent="0.3">
      <c r="B115" s="2"/>
    </row>
    <row r="116" spans="2:2" ht="34.5" customHeight="1" x14ac:dyDescent="0.3">
      <c r="B116" s="2"/>
    </row>
    <row r="117" spans="2:2" ht="34.5" customHeight="1" x14ac:dyDescent="0.3">
      <c r="B117" s="2"/>
    </row>
    <row r="118" spans="2:2" ht="34.5" customHeight="1" x14ac:dyDescent="0.3">
      <c r="B118" s="2"/>
    </row>
    <row r="119" spans="2:2" ht="34.5" customHeight="1" x14ac:dyDescent="0.3">
      <c r="B119" s="2"/>
    </row>
    <row r="120" spans="2:2" ht="34.5" customHeight="1" x14ac:dyDescent="0.3">
      <c r="B120" s="2"/>
    </row>
    <row r="121" spans="2:2" ht="34.5" customHeight="1" x14ac:dyDescent="0.3">
      <c r="B121" s="2"/>
    </row>
    <row r="122" spans="2:2" ht="34.5" customHeight="1" x14ac:dyDescent="0.3">
      <c r="B122" s="2"/>
    </row>
    <row r="123" spans="2:2" ht="34.5" customHeight="1" x14ac:dyDescent="0.3">
      <c r="B123" s="2"/>
    </row>
    <row r="124" spans="2:2" ht="34.5" customHeight="1" x14ac:dyDescent="0.3">
      <c r="B124" s="2"/>
    </row>
    <row r="125" spans="2:2" ht="34.5" customHeight="1" x14ac:dyDescent="0.3">
      <c r="B125" s="2"/>
    </row>
    <row r="126" spans="2:2" ht="34.5" customHeight="1" x14ac:dyDescent="0.3">
      <c r="B126" s="2"/>
    </row>
    <row r="127" spans="2:2" ht="34.5" customHeight="1" x14ac:dyDescent="0.3">
      <c r="B127" s="2"/>
    </row>
    <row r="128" spans="2:2" ht="34.5" customHeight="1" x14ac:dyDescent="0.3">
      <c r="B128" s="2"/>
    </row>
    <row r="129" spans="2:2" ht="34.5" customHeight="1" x14ac:dyDescent="0.3">
      <c r="B129" s="2"/>
    </row>
    <row r="130" spans="2:2" ht="34.5" customHeight="1" x14ac:dyDescent="0.3">
      <c r="B130" s="2"/>
    </row>
    <row r="131" spans="2:2" ht="34.5" customHeight="1" x14ac:dyDescent="0.3">
      <c r="B131" s="2"/>
    </row>
    <row r="132" spans="2:2" ht="34.5" customHeight="1" x14ac:dyDescent="0.3">
      <c r="B132" s="2"/>
    </row>
    <row r="133" spans="2:2" ht="34.5" customHeight="1" x14ac:dyDescent="0.3">
      <c r="B133" s="2"/>
    </row>
    <row r="134" spans="2:2" ht="34.5" customHeight="1" x14ac:dyDescent="0.3">
      <c r="B134" s="2"/>
    </row>
    <row r="135" spans="2:2" ht="34.5" customHeight="1" x14ac:dyDescent="0.3">
      <c r="B135" s="2"/>
    </row>
    <row r="136" spans="2:2" ht="34.5" customHeight="1" x14ac:dyDescent="0.3">
      <c r="B136" s="2"/>
    </row>
    <row r="137" spans="2:2" ht="34.5" customHeight="1" x14ac:dyDescent="0.3">
      <c r="B137" s="2"/>
    </row>
    <row r="138" spans="2:2" ht="34.5" customHeight="1" x14ac:dyDescent="0.3">
      <c r="B138" s="2"/>
    </row>
    <row r="139" spans="2:2" ht="34.5" customHeight="1" x14ac:dyDescent="0.3">
      <c r="B139" s="2"/>
    </row>
    <row r="140" spans="2:2" ht="34.5" customHeight="1" x14ac:dyDescent="0.3">
      <c r="B140" s="2"/>
    </row>
    <row r="141" spans="2:2" ht="34.5" customHeight="1" x14ac:dyDescent="0.3">
      <c r="B141" s="2"/>
    </row>
    <row r="142" spans="2:2" ht="34.5" customHeight="1" x14ac:dyDescent="0.3">
      <c r="B142" s="2"/>
    </row>
    <row r="143" spans="2:2" ht="34.5" customHeight="1" x14ac:dyDescent="0.3">
      <c r="B143" s="2"/>
    </row>
    <row r="144" spans="2:2" ht="34.5" customHeight="1" x14ac:dyDescent="0.3">
      <c r="B144" s="2"/>
    </row>
    <row r="145" spans="2:2" ht="34.5" customHeight="1" x14ac:dyDescent="0.3">
      <c r="B145" s="2"/>
    </row>
    <row r="146" spans="2:2" ht="34.5" customHeight="1" x14ac:dyDescent="0.3">
      <c r="B146" s="2"/>
    </row>
    <row r="147" spans="2:2" ht="34.5" customHeight="1" x14ac:dyDescent="0.3">
      <c r="B147" s="2"/>
    </row>
    <row r="148" spans="2:2" ht="34.5" customHeight="1" x14ac:dyDescent="0.3">
      <c r="B148" s="2"/>
    </row>
    <row r="149" spans="2:2" ht="34.5" customHeight="1" x14ac:dyDescent="0.3">
      <c r="B149" s="2"/>
    </row>
    <row r="150" spans="2:2" ht="34.5" customHeight="1" x14ac:dyDescent="0.3">
      <c r="B150" s="2"/>
    </row>
    <row r="151" spans="2:2" ht="34.5" customHeight="1" x14ac:dyDescent="0.3">
      <c r="B151" s="2"/>
    </row>
    <row r="152" spans="2:2" ht="34.5" customHeight="1" x14ac:dyDescent="0.3">
      <c r="B152" s="2"/>
    </row>
    <row r="153" spans="2:2" ht="34.5" customHeight="1" x14ac:dyDescent="0.3">
      <c r="B153" s="2"/>
    </row>
    <row r="154" spans="2:2" ht="34.5" customHeight="1" x14ac:dyDescent="0.3">
      <c r="B154" s="2"/>
    </row>
    <row r="155" spans="2:2" ht="34.5" customHeight="1" x14ac:dyDescent="0.3">
      <c r="B155" s="2"/>
    </row>
    <row r="156" spans="2:2" ht="34.5" customHeight="1" x14ac:dyDescent="0.3">
      <c r="B156" s="2"/>
    </row>
    <row r="157" spans="2:2" ht="34.5" customHeight="1" x14ac:dyDescent="0.3">
      <c r="B157" s="2"/>
    </row>
    <row r="158" spans="2:2" ht="34.5" customHeight="1" x14ac:dyDescent="0.3">
      <c r="B158" s="2"/>
    </row>
    <row r="159" spans="2:2" ht="34.5" customHeight="1" x14ac:dyDescent="0.3">
      <c r="B159" s="2"/>
    </row>
    <row r="160" spans="2:2" ht="34.5" customHeight="1" x14ac:dyDescent="0.3">
      <c r="B160" s="2"/>
    </row>
    <row r="161" spans="2:2" ht="34.5" customHeight="1" x14ac:dyDescent="0.3">
      <c r="B161" s="2"/>
    </row>
    <row r="162" spans="2:2" ht="34.5" customHeight="1" x14ac:dyDescent="0.3">
      <c r="B162" s="2"/>
    </row>
    <row r="163" spans="2:2" ht="34.5" customHeight="1" x14ac:dyDescent="0.3">
      <c r="B163" s="2"/>
    </row>
    <row r="164" spans="2:2" ht="34.5" customHeight="1" x14ac:dyDescent="0.3">
      <c r="B164" s="2"/>
    </row>
    <row r="165" spans="2:2" ht="34.5" customHeight="1" x14ac:dyDescent="0.3">
      <c r="B165" s="2"/>
    </row>
    <row r="166" spans="2:2" ht="34.5" customHeight="1" x14ac:dyDescent="0.3">
      <c r="B166" s="2"/>
    </row>
    <row r="167" spans="2:2" ht="34.5" customHeight="1" x14ac:dyDescent="0.3">
      <c r="B167" s="2"/>
    </row>
    <row r="168" spans="2:2" ht="34.5" customHeight="1" x14ac:dyDescent="0.3">
      <c r="B168" s="2"/>
    </row>
    <row r="169" spans="2:2" ht="34.5" customHeight="1" x14ac:dyDescent="0.3">
      <c r="B169" s="2"/>
    </row>
    <row r="170" spans="2:2" ht="34.5" customHeight="1" x14ac:dyDescent="0.3">
      <c r="B170" s="2"/>
    </row>
    <row r="171" spans="2:2" ht="34.5" customHeight="1" x14ac:dyDescent="0.3">
      <c r="B171" s="2"/>
    </row>
    <row r="172" spans="2:2" ht="34.5" customHeight="1" x14ac:dyDescent="0.3">
      <c r="B172" s="2"/>
    </row>
    <row r="173" spans="2:2" ht="34.5" customHeight="1" x14ac:dyDescent="0.3">
      <c r="B173" s="2"/>
    </row>
    <row r="174" spans="2:2" ht="34.5" customHeight="1" x14ac:dyDescent="0.3">
      <c r="B174" s="2"/>
    </row>
    <row r="175" spans="2:2" ht="34.5" customHeight="1" x14ac:dyDescent="0.3">
      <c r="B175" s="2"/>
    </row>
    <row r="176" spans="2:2" ht="34.5" customHeight="1" x14ac:dyDescent="0.3">
      <c r="B176" s="2"/>
    </row>
    <row r="177" spans="2:2" ht="34.5" customHeight="1" x14ac:dyDescent="0.3">
      <c r="B177" s="2"/>
    </row>
    <row r="178" spans="2:2" ht="34.5" customHeight="1" x14ac:dyDescent="0.3">
      <c r="B178" s="2"/>
    </row>
    <row r="179" spans="2:2" ht="34.5" customHeight="1" x14ac:dyDescent="0.3">
      <c r="B179" s="2"/>
    </row>
    <row r="180" spans="2:2" ht="34.5" customHeight="1" x14ac:dyDescent="0.3">
      <c r="B180" s="2"/>
    </row>
    <row r="181" spans="2:2" ht="34.5" customHeight="1" x14ac:dyDescent="0.3">
      <c r="B181" s="2"/>
    </row>
    <row r="182" spans="2:2" ht="34.5" customHeight="1" x14ac:dyDescent="0.3">
      <c r="B182" s="2"/>
    </row>
    <row r="183" spans="2:2" ht="34.5" customHeight="1" x14ac:dyDescent="0.3">
      <c r="B183" s="2"/>
    </row>
    <row r="184" spans="2:2" ht="34.5" customHeight="1" x14ac:dyDescent="0.3">
      <c r="B184" s="2"/>
    </row>
    <row r="185" spans="2:2" ht="34.5" customHeight="1" x14ac:dyDescent="0.3">
      <c r="B185" s="2"/>
    </row>
    <row r="186" spans="2:2" ht="34.5" customHeight="1" x14ac:dyDescent="0.3">
      <c r="B186" s="2"/>
    </row>
    <row r="187" spans="2:2" ht="34.5" customHeight="1" x14ac:dyDescent="0.3">
      <c r="B187" s="2"/>
    </row>
    <row r="188" spans="2:2" ht="34.5" customHeight="1" x14ac:dyDescent="0.3">
      <c r="B188" s="2"/>
    </row>
    <row r="189" spans="2:2" ht="34.5" customHeight="1" x14ac:dyDescent="0.3">
      <c r="B189" s="2"/>
    </row>
    <row r="190" spans="2:2" ht="34.5" customHeight="1" x14ac:dyDescent="0.3">
      <c r="B190" s="2"/>
    </row>
    <row r="191" spans="2:2" ht="34.5" customHeight="1" x14ac:dyDescent="0.3">
      <c r="B191" s="2"/>
    </row>
    <row r="192" spans="2:2" ht="34.5" customHeight="1" x14ac:dyDescent="0.3">
      <c r="B192" s="2"/>
    </row>
    <row r="193" spans="2:2" ht="34.5" customHeight="1" x14ac:dyDescent="0.3">
      <c r="B193" s="2"/>
    </row>
    <row r="194" spans="2:2" ht="34.5" customHeight="1" x14ac:dyDescent="0.3">
      <c r="B194" s="2"/>
    </row>
    <row r="195" spans="2:2" ht="34.5" customHeight="1" x14ac:dyDescent="0.3">
      <c r="B195" s="2"/>
    </row>
    <row r="196" spans="2:2" ht="34.5" customHeight="1" x14ac:dyDescent="0.3">
      <c r="B196" s="2"/>
    </row>
    <row r="197" spans="2:2" ht="34.5" customHeight="1" x14ac:dyDescent="0.3">
      <c r="B197" s="2"/>
    </row>
    <row r="198" spans="2:2" ht="34.5" customHeight="1" x14ac:dyDescent="0.3">
      <c r="B198" s="2"/>
    </row>
    <row r="199" spans="2:2" ht="34.5" customHeight="1" x14ac:dyDescent="0.3">
      <c r="B199" s="2"/>
    </row>
    <row r="200" spans="2:2" ht="34.5" customHeight="1" x14ac:dyDescent="0.3">
      <c r="B200" s="2"/>
    </row>
    <row r="201" spans="2:2" ht="34.5" customHeight="1" x14ac:dyDescent="0.3">
      <c r="B201" s="2"/>
    </row>
    <row r="202" spans="2:2" ht="34.5" customHeight="1" x14ac:dyDescent="0.3">
      <c r="B202" s="2"/>
    </row>
    <row r="203" spans="2:2" ht="34.5" customHeight="1" x14ac:dyDescent="0.3">
      <c r="B203" s="2"/>
    </row>
    <row r="204" spans="2:2" ht="34.5" customHeight="1" x14ac:dyDescent="0.3">
      <c r="B204" s="2"/>
    </row>
    <row r="205" spans="2:2" ht="34.5" customHeight="1" x14ac:dyDescent="0.3">
      <c r="B205" s="2"/>
    </row>
    <row r="206" spans="2:2" ht="34.5" customHeight="1" x14ac:dyDescent="0.3">
      <c r="B206" s="2"/>
    </row>
    <row r="207" spans="2:2" ht="34.5" customHeight="1" x14ac:dyDescent="0.3">
      <c r="B207" s="2"/>
    </row>
    <row r="208" spans="2:2" ht="34.5" customHeight="1" x14ac:dyDescent="0.3">
      <c r="B208" s="2"/>
    </row>
    <row r="209" spans="2:2" ht="34.5" customHeight="1" x14ac:dyDescent="0.3">
      <c r="B209" s="2"/>
    </row>
    <row r="210" spans="2:2" ht="34.5" customHeight="1" x14ac:dyDescent="0.3">
      <c r="B210" s="2"/>
    </row>
    <row r="211" spans="2:2" ht="34.5" customHeight="1" x14ac:dyDescent="0.3">
      <c r="B211" s="2"/>
    </row>
    <row r="212" spans="2:2" ht="34.5" customHeight="1" x14ac:dyDescent="0.3">
      <c r="B212" s="2"/>
    </row>
    <row r="213" spans="2:2" ht="34.5" customHeight="1" x14ac:dyDescent="0.3">
      <c r="B213" s="2"/>
    </row>
    <row r="214" spans="2:2" ht="34.5" customHeight="1" x14ac:dyDescent="0.3">
      <c r="B214" s="2"/>
    </row>
    <row r="215" spans="2:2" ht="34.5" customHeight="1" x14ac:dyDescent="0.3">
      <c r="B215" s="2"/>
    </row>
    <row r="216" spans="2:2" ht="34.5" customHeight="1" x14ac:dyDescent="0.3">
      <c r="B216" s="2"/>
    </row>
    <row r="217" spans="2:2" ht="34.5" customHeight="1" x14ac:dyDescent="0.3">
      <c r="B217" s="2"/>
    </row>
    <row r="218" spans="2:2" ht="34.5" customHeight="1" x14ac:dyDescent="0.3">
      <c r="B218" s="2"/>
    </row>
    <row r="219" spans="2:2" ht="34.5" customHeight="1" x14ac:dyDescent="0.3">
      <c r="B219" s="2"/>
    </row>
    <row r="220" spans="2:2" ht="34.5" customHeight="1" x14ac:dyDescent="0.3">
      <c r="B220" s="2"/>
    </row>
    <row r="221" spans="2:2" ht="34.5" customHeight="1" x14ac:dyDescent="0.3">
      <c r="B221" s="2"/>
    </row>
    <row r="222" spans="2:2" ht="34.5" customHeight="1" x14ac:dyDescent="0.3">
      <c r="B222" s="2"/>
    </row>
    <row r="223" spans="2:2" ht="34.5" customHeight="1" x14ac:dyDescent="0.3">
      <c r="B223" s="2"/>
    </row>
    <row r="224" spans="2:2" ht="34.5" customHeight="1" x14ac:dyDescent="0.3">
      <c r="B224" s="2"/>
    </row>
    <row r="225" spans="2:2" ht="34.5" customHeight="1" x14ac:dyDescent="0.3">
      <c r="B225" s="2"/>
    </row>
    <row r="226" spans="2:2" ht="34.5" customHeight="1" x14ac:dyDescent="0.3">
      <c r="B226" s="2"/>
    </row>
    <row r="227" spans="2:2" ht="34.5" customHeight="1" x14ac:dyDescent="0.3">
      <c r="B227" s="2"/>
    </row>
    <row r="228" spans="2:2" ht="34.5" customHeight="1" x14ac:dyDescent="0.3">
      <c r="B228" s="2"/>
    </row>
    <row r="229" spans="2:2" ht="34.5" customHeight="1" x14ac:dyDescent="0.3">
      <c r="B229" s="2"/>
    </row>
    <row r="230" spans="2:2" ht="34.5" customHeight="1" x14ac:dyDescent="0.3">
      <c r="B230" s="2"/>
    </row>
    <row r="231" spans="2:2" ht="34.5" customHeight="1" x14ac:dyDescent="0.3">
      <c r="B231" s="2"/>
    </row>
    <row r="232" spans="2:2" ht="34.5" customHeight="1" x14ac:dyDescent="0.3">
      <c r="B232" s="2"/>
    </row>
    <row r="233" spans="2:2" ht="34.5" customHeight="1" x14ac:dyDescent="0.3">
      <c r="B233" s="2"/>
    </row>
    <row r="234" spans="2:2" ht="34.5" customHeight="1" x14ac:dyDescent="0.3">
      <c r="B234" s="2"/>
    </row>
    <row r="235" spans="2:2" ht="34.5" customHeight="1" x14ac:dyDescent="0.3">
      <c r="B235" s="2"/>
    </row>
    <row r="236" spans="2:2" ht="34.5" customHeight="1" x14ac:dyDescent="0.3">
      <c r="B236" s="2"/>
    </row>
    <row r="237" spans="2:2" ht="34.5" customHeight="1" x14ac:dyDescent="0.3">
      <c r="B237" s="2"/>
    </row>
    <row r="238" spans="2:2" ht="34.5" customHeight="1" x14ac:dyDescent="0.3">
      <c r="B238" s="2"/>
    </row>
    <row r="239" spans="2:2" ht="34.5" customHeight="1" x14ac:dyDescent="0.3">
      <c r="B239" s="2"/>
    </row>
    <row r="240" spans="2:2" ht="34.5" customHeight="1" x14ac:dyDescent="0.3">
      <c r="B240" s="2"/>
    </row>
    <row r="241" spans="2:2" ht="34.5" customHeight="1" x14ac:dyDescent="0.3">
      <c r="B241" s="2"/>
    </row>
    <row r="242" spans="2:2" ht="34.5" customHeight="1" x14ac:dyDescent="0.3">
      <c r="B242" s="2"/>
    </row>
    <row r="243" spans="2:2" ht="34.5" customHeight="1" x14ac:dyDescent="0.3">
      <c r="B243" s="2"/>
    </row>
    <row r="244" spans="2:2" ht="34.5" customHeight="1" x14ac:dyDescent="0.3">
      <c r="B244" s="2"/>
    </row>
    <row r="245" spans="2:2" ht="34.5" customHeight="1" x14ac:dyDescent="0.3">
      <c r="B245" s="2"/>
    </row>
    <row r="246" spans="2:2" ht="34.5" customHeight="1" x14ac:dyDescent="0.3">
      <c r="B246" s="2"/>
    </row>
    <row r="247" spans="2:2" ht="34.5" customHeight="1" x14ac:dyDescent="0.3">
      <c r="B247" s="2"/>
    </row>
    <row r="248" spans="2:2" ht="34.5" customHeight="1" x14ac:dyDescent="0.3">
      <c r="B248" s="2"/>
    </row>
    <row r="249" spans="2:2" ht="34.5" customHeight="1" x14ac:dyDescent="0.3">
      <c r="B249" s="2"/>
    </row>
    <row r="250" spans="2:2" ht="34.5" customHeight="1" x14ac:dyDescent="0.3">
      <c r="B250" s="2"/>
    </row>
    <row r="251" spans="2:2" ht="34.5" customHeight="1" x14ac:dyDescent="0.3">
      <c r="B251" s="2"/>
    </row>
    <row r="252" spans="2:2" ht="34.5" customHeight="1" x14ac:dyDescent="0.3">
      <c r="B252" s="2"/>
    </row>
    <row r="253" spans="2:2" ht="34.5" customHeight="1" x14ac:dyDescent="0.3">
      <c r="B253" s="2"/>
    </row>
    <row r="254" spans="2:2" ht="34.5" customHeight="1" x14ac:dyDescent="0.3">
      <c r="B254" s="2"/>
    </row>
    <row r="255" spans="2:2" ht="34.5" customHeight="1" x14ac:dyDescent="0.3">
      <c r="B255" s="2"/>
    </row>
    <row r="256" spans="2:2" ht="34.5" customHeight="1" x14ac:dyDescent="0.3">
      <c r="B256" s="2"/>
    </row>
    <row r="257" spans="2:2" ht="34.5" customHeight="1" x14ac:dyDescent="0.3">
      <c r="B257" s="2"/>
    </row>
    <row r="258" spans="2:2" ht="34.5" customHeight="1" x14ac:dyDescent="0.3">
      <c r="B258" s="2"/>
    </row>
    <row r="259" spans="2:2" ht="34.5" customHeight="1" x14ac:dyDescent="0.3">
      <c r="B259" s="2"/>
    </row>
    <row r="260" spans="2:2" ht="34.5" customHeight="1" x14ac:dyDescent="0.3">
      <c r="B260" s="2"/>
    </row>
    <row r="261" spans="2:2" ht="34.5" customHeight="1" x14ac:dyDescent="0.3">
      <c r="B261" s="2"/>
    </row>
    <row r="262" spans="2:2" ht="34.5" customHeight="1" x14ac:dyDescent="0.3">
      <c r="B262" s="2"/>
    </row>
    <row r="263" spans="2:2" ht="34.5" customHeight="1" x14ac:dyDescent="0.3">
      <c r="B263" s="2"/>
    </row>
    <row r="264" spans="2:2" ht="34.5" customHeight="1" x14ac:dyDescent="0.3">
      <c r="B264" s="2"/>
    </row>
    <row r="265" spans="2:2" ht="34.5" customHeight="1" x14ac:dyDescent="0.3">
      <c r="B265" s="2"/>
    </row>
    <row r="266" spans="2:2" ht="34.5" customHeight="1" x14ac:dyDescent="0.3">
      <c r="B266" s="2"/>
    </row>
    <row r="267" spans="2:2" ht="34.5" customHeight="1" x14ac:dyDescent="0.3">
      <c r="B267" s="2"/>
    </row>
    <row r="268" spans="2:2" ht="34.5" customHeight="1" x14ac:dyDescent="0.3">
      <c r="B268" s="2"/>
    </row>
    <row r="269" spans="2:2" ht="34.5" customHeight="1" x14ac:dyDescent="0.3">
      <c r="B269" s="2"/>
    </row>
    <row r="270" spans="2:2" ht="34.5" customHeight="1" x14ac:dyDescent="0.3">
      <c r="B270" s="2"/>
    </row>
    <row r="271" spans="2:2" ht="34.5" customHeight="1" x14ac:dyDescent="0.3">
      <c r="B271" s="2"/>
    </row>
    <row r="272" spans="2:2" ht="34.5" customHeight="1" x14ac:dyDescent="0.3">
      <c r="B272" s="2"/>
    </row>
    <row r="273" spans="2:2" ht="34.5" customHeight="1" x14ac:dyDescent="0.3">
      <c r="B273" s="2"/>
    </row>
    <row r="274" spans="2:2" ht="34.5" customHeight="1" x14ac:dyDescent="0.3">
      <c r="B274" s="2"/>
    </row>
    <row r="275" spans="2:2" ht="34.5" customHeight="1" x14ac:dyDescent="0.3">
      <c r="B275" s="2"/>
    </row>
    <row r="276" spans="2:2" ht="34.5" customHeight="1" x14ac:dyDescent="0.3">
      <c r="B276" s="2"/>
    </row>
    <row r="277" spans="2:2" ht="15.75" customHeight="1" x14ac:dyDescent="0.3"/>
    <row r="278" spans="2:2" ht="15.75" customHeight="1" x14ac:dyDescent="0.3"/>
    <row r="279" spans="2:2" ht="15.75" customHeight="1" x14ac:dyDescent="0.3"/>
    <row r="280" spans="2:2" ht="15.75" customHeight="1" x14ac:dyDescent="0.3"/>
    <row r="281" spans="2:2" ht="15.75" customHeight="1" x14ac:dyDescent="0.3"/>
    <row r="282" spans="2:2" ht="15.75" customHeight="1" x14ac:dyDescent="0.3"/>
    <row r="283" spans="2:2" ht="15.75" customHeight="1" x14ac:dyDescent="0.3"/>
    <row r="284" spans="2:2" ht="15.75" customHeight="1" x14ac:dyDescent="0.3"/>
    <row r="285" spans="2:2" ht="15.75" customHeight="1" x14ac:dyDescent="0.3"/>
    <row r="286" spans="2:2" ht="15.75" customHeight="1" x14ac:dyDescent="0.3"/>
    <row r="287" spans="2:2" ht="15.75" customHeight="1" x14ac:dyDescent="0.3"/>
    <row r="288" spans="2:2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:X76" xr:uid="{00000000-0001-0000-0000-000000000000}"/>
  <mergeCells count="9">
    <mergeCell ref="L2:L3"/>
    <mergeCell ref="M2:M3"/>
    <mergeCell ref="A2:A3"/>
    <mergeCell ref="B2:B3"/>
    <mergeCell ref="C2:D2"/>
    <mergeCell ref="E2:F2"/>
    <mergeCell ref="G2:H2"/>
    <mergeCell ref="I2:J2"/>
    <mergeCell ref="K2:K3"/>
  </mergeCells>
  <pageMargins left="0.25" right="0.25" top="0.42" bottom="0.1400000000000000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ธัญรัตน์ พุ่มนิล</cp:lastModifiedBy>
  <dcterms:modified xsi:type="dcterms:W3CDTF">2026-07-13T09:13:34Z</dcterms:modified>
</cp:coreProperties>
</file>