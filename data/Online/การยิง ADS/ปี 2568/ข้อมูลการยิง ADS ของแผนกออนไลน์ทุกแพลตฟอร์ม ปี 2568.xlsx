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DBBF2B44-8A1C-4340-93B0-CD81215848BC}" xr6:coauthVersionLast="47" xr6:coauthVersionMax="47" xr10:uidLastSave="{00000000-0000-0000-0000-000000000000}"/>
  <bookViews>
    <workbookView xWindow="-108" yWindow="-108" windowWidth="23256" windowHeight="13896" tabRatio="1000" xr2:uid="{ED406515-E595-494B-897C-2891E2E7B63C}"/>
  </bookViews>
  <sheets>
    <sheet name="ALL" sheetId="13" r:id="rId1"/>
    <sheet name="ก.พ." sheetId="2" r:id="rId2"/>
    <sheet name="ม.ค." sheetId="1" r:id="rId3"/>
    <sheet name="มี.ค." sheetId="3" r:id="rId4"/>
    <sheet name="เม.ย." sheetId="4" r:id="rId5"/>
    <sheet name="พ.ค." sheetId="5" r:id="rId6"/>
    <sheet name="มิ.ย." sheetId="6" r:id="rId7"/>
    <sheet name="ก.ค." sheetId="7" r:id="rId8"/>
    <sheet name="ส.ค." sheetId="8" r:id="rId9"/>
    <sheet name="ก.ย." sheetId="9" r:id="rId10"/>
    <sheet name="ต.ค." sheetId="10" r:id="rId11"/>
    <sheet name="พ.ย." sheetId="11" r:id="rId12"/>
    <sheet name="ธ.ค.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2" l="1"/>
  <c r="D43" i="12"/>
  <c r="C43" i="12"/>
  <c r="O35" i="11"/>
  <c r="J13" i="13"/>
  <c r="H27" i="2" l="1"/>
  <c r="O35" i="12" l="1"/>
  <c r="N35" i="12"/>
  <c r="K35" i="12"/>
  <c r="L15" i="13" s="1"/>
  <c r="J35" i="12"/>
  <c r="G35" i="12"/>
  <c r="F35" i="12"/>
  <c r="C35" i="12"/>
  <c r="F15" i="13" s="1"/>
  <c r="B35" i="12"/>
  <c r="P34" i="12"/>
  <c r="L34" i="12"/>
  <c r="D34" i="12"/>
  <c r="P33" i="12"/>
  <c r="L33" i="12"/>
  <c r="H33" i="12"/>
  <c r="D33" i="12"/>
  <c r="P32" i="12"/>
  <c r="L32" i="12"/>
  <c r="H32" i="12"/>
  <c r="D32" i="12"/>
  <c r="P31" i="12"/>
  <c r="L31" i="12"/>
  <c r="H31" i="12"/>
  <c r="D31" i="12"/>
  <c r="P30" i="12"/>
  <c r="L30" i="12"/>
  <c r="H30" i="12"/>
  <c r="D30" i="12"/>
  <c r="P29" i="12"/>
  <c r="L29" i="12"/>
  <c r="H29" i="12"/>
  <c r="D29" i="12"/>
  <c r="P28" i="12"/>
  <c r="L28" i="12"/>
  <c r="H28" i="12"/>
  <c r="D28" i="12"/>
  <c r="P27" i="12"/>
  <c r="L27" i="12"/>
  <c r="H27" i="12"/>
  <c r="D27" i="12"/>
  <c r="P26" i="12"/>
  <c r="L26" i="12"/>
  <c r="H26" i="12"/>
  <c r="D26" i="12"/>
  <c r="P25" i="12"/>
  <c r="L25" i="12"/>
  <c r="H25" i="12"/>
  <c r="D25" i="12"/>
  <c r="P24" i="12"/>
  <c r="L24" i="12"/>
  <c r="H24" i="12"/>
  <c r="D24" i="12"/>
  <c r="P23" i="12"/>
  <c r="L23" i="12"/>
  <c r="H23" i="12"/>
  <c r="D23" i="12"/>
  <c r="P22" i="12"/>
  <c r="L22" i="12"/>
  <c r="H22" i="12"/>
  <c r="D22" i="12"/>
  <c r="P21" i="12"/>
  <c r="L21" i="12"/>
  <c r="H21" i="12"/>
  <c r="D21" i="12"/>
  <c r="P20" i="12"/>
  <c r="L20" i="12"/>
  <c r="H20" i="12"/>
  <c r="D20" i="12"/>
  <c r="P19" i="12"/>
  <c r="L19" i="12"/>
  <c r="H19" i="12"/>
  <c r="D19" i="12"/>
  <c r="P18" i="12"/>
  <c r="L18" i="12"/>
  <c r="H18" i="12"/>
  <c r="D18" i="12"/>
  <c r="P17" i="12"/>
  <c r="L17" i="12"/>
  <c r="H17" i="12"/>
  <c r="D17" i="12"/>
  <c r="P16" i="12"/>
  <c r="L16" i="12"/>
  <c r="H16" i="12"/>
  <c r="D16" i="12"/>
  <c r="P15" i="12"/>
  <c r="L15" i="12"/>
  <c r="H15" i="12"/>
  <c r="D15" i="12"/>
  <c r="P14" i="12"/>
  <c r="L14" i="12"/>
  <c r="H14" i="12"/>
  <c r="D14" i="12"/>
  <c r="P13" i="12"/>
  <c r="L13" i="12"/>
  <c r="H13" i="12"/>
  <c r="D13" i="12"/>
  <c r="P12" i="12"/>
  <c r="L12" i="12"/>
  <c r="H12" i="12"/>
  <c r="D12" i="12"/>
  <c r="P11" i="12"/>
  <c r="L11" i="12"/>
  <c r="H11" i="12"/>
  <c r="D11" i="12"/>
  <c r="P10" i="12"/>
  <c r="L10" i="12"/>
  <c r="H10" i="12"/>
  <c r="D10" i="12"/>
  <c r="P9" i="12"/>
  <c r="L9" i="12"/>
  <c r="H9" i="12"/>
  <c r="D9" i="12"/>
  <c r="P8" i="12"/>
  <c r="L8" i="12"/>
  <c r="H8" i="12"/>
  <c r="D8" i="12"/>
  <c r="P7" i="12"/>
  <c r="L7" i="12"/>
  <c r="H7" i="12"/>
  <c r="D7" i="12"/>
  <c r="P6" i="12"/>
  <c r="L6" i="12"/>
  <c r="H6" i="12"/>
  <c r="D6" i="12"/>
  <c r="P5" i="12"/>
  <c r="L5" i="12"/>
  <c r="H5" i="12"/>
  <c r="D5" i="12"/>
  <c r="P4" i="12"/>
  <c r="L4" i="12"/>
  <c r="H4" i="12"/>
  <c r="D4" i="12"/>
  <c r="N35" i="11"/>
  <c r="K35" i="11"/>
  <c r="L14" i="13" s="1"/>
  <c r="J35" i="11"/>
  <c r="K14" i="13" s="1"/>
  <c r="G35" i="11"/>
  <c r="I14" i="13" s="1"/>
  <c r="F35" i="11"/>
  <c r="C35" i="11"/>
  <c r="B35" i="11"/>
  <c r="P34" i="11"/>
  <c r="L34" i="11"/>
  <c r="H34" i="11"/>
  <c r="D34" i="11"/>
  <c r="P33" i="11"/>
  <c r="L33" i="11"/>
  <c r="H33" i="11"/>
  <c r="D33" i="11"/>
  <c r="P32" i="11"/>
  <c r="L32" i="11"/>
  <c r="H32" i="11"/>
  <c r="D32" i="11"/>
  <c r="P31" i="11"/>
  <c r="L31" i="11"/>
  <c r="H31" i="11"/>
  <c r="D31" i="11"/>
  <c r="P30" i="11"/>
  <c r="L30" i="11"/>
  <c r="H30" i="11"/>
  <c r="D30" i="11"/>
  <c r="P29" i="11"/>
  <c r="L29" i="11"/>
  <c r="H29" i="11"/>
  <c r="D29" i="11"/>
  <c r="P28" i="11"/>
  <c r="L28" i="11"/>
  <c r="H28" i="11"/>
  <c r="D28" i="11"/>
  <c r="P27" i="11"/>
  <c r="L27" i="11"/>
  <c r="H27" i="11"/>
  <c r="D27" i="11"/>
  <c r="P26" i="11"/>
  <c r="L26" i="11"/>
  <c r="H26" i="11"/>
  <c r="D26" i="11"/>
  <c r="P25" i="11"/>
  <c r="L25" i="11"/>
  <c r="H25" i="11"/>
  <c r="D25" i="11"/>
  <c r="P24" i="11"/>
  <c r="L24" i="11"/>
  <c r="H24" i="11"/>
  <c r="D24" i="11"/>
  <c r="P23" i="11"/>
  <c r="L23" i="11"/>
  <c r="H23" i="11"/>
  <c r="D23" i="11"/>
  <c r="P22" i="11"/>
  <c r="L22" i="11"/>
  <c r="H22" i="11"/>
  <c r="D22" i="11"/>
  <c r="P21" i="11"/>
  <c r="L21" i="11"/>
  <c r="H21" i="11"/>
  <c r="D21" i="11"/>
  <c r="P20" i="11"/>
  <c r="L20" i="11"/>
  <c r="H20" i="11"/>
  <c r="D20" i="11"/>
  <c r="P19" i="11"/>
  <c r="L19" i="11"/>
  <c r="H19" i="11"/>
  <c r="D19" i="11"/>
  <c r="P18" i="11"/>
  <c r="L18" i="11"/>
  <c r="H18" i="11"/>
  <c r="D18" i="11"/>
  <c r="P17" i="11"/>
  <c r="L17" i="11"/>
  <c r="H17" i="11"/>
  <c r="D17" i="11"/>
  <c r="P16" i="11"/>
  <c r="L16" i="11"/>
  <c r="H16" i="11"/>
  <c r="D16" i="11"/>
  <c r="P15" i="11"/>
  <c r="L15" i="11"/>
  <c r="H15" i="11"/>
  <c r="D15" i="11"/>
  <c r="P14" i="11"/>
  <c r="L14" i="11"/>
  <c r="H14" i="11"/>
  <c r="D14" i="11"/>
  <c r="P13" i="11"/>
  <c r="L13" i="11"/>
  <c r="H13" i="11"/>
  <c r="D13" i="11"/>
  <c r="P12" i="11"/>
  <c r="L12" i="11"/>
  <c r="H12" i="11"/>
  <c r="D12" i="11"/>
  <c r="P11" i="11"/>
  <c r="L11" i="11"/>
  <c r="H11" i="11"/>
  <c r="D11" i="11"/>
  <c r="P10" i="11"/>
  <c r="L10" i="11"/>
  <c r="H10" i="11"/>
  <c r="D10" i="11"/>
  <c r="P9" i="11"/>
  <c r="L9" i="11"/>
  <c r="H9" i="11"/>
  <c r="D9" i="11"/>
  <c r="P8" i="11"/>
  <c r="L8" i="11"/>
  <c r="H8" i="11"/>
  <c r="D8" i="11"/>
  <c r="P7" i="11"/>
  <c r="L7" i="11"/>
  <c r="H7" i="11"/>
  <c r="D7" i="11"/>
  <c r="P6" i="11"/>
  <c r="L6" i="11"/>
  <c r="H6" i="11"/>
  <c r="D6" i="11"/>
  <c r="P5" i="11"/>
  <c r="L5" i="11"/>
  <c r="H5" i="11"/>
  <c r="D5" i="11"/>
  <c r="P4" i="11"/>
  <c r="L4" i="11"/>
  <c r="H4" i="11"/>
  <c r="D4" i="11"/>
  <c r="O35" i="10"/>
  <c r="O13" i="13" s="1"/>
  <c r="N35" i="10"/>
  <c r="K35" i="10"/>
  <c r="J35" i="10"/>
  <c r="G35" i="10"/>
  <c r="F35" i="10"/>
  <c r="C35" i="10"/>
  <c r="B35" i="10"/>
  <c r="C39" i="10" s="1"/>
  <c r="P34" i="10"/>
  <c r="L34" i="10"/>
  <c r="H34" i="10"/>
  <c r="D34" i="10"/>
  <c r="P33" i="10"/>
  <c r="L33" i="10"/>
  <c r="H33" i="10"/>
  <c r="D33" i="10"/>
  <c r="P32" i="10"/>
  <c r="L32" i="10"/>
  <c r="H32" i="10"/>
  <c r="D32" i="10"/>
  <c r="P31" i="10"/>
  <c r="L31" i="10"/>
  <c r="H31" i="10"/>
  <c r="D31" i="10"/>
  <c r="P30" i="10"/>
  <c r="L30" i="10"/>
  <c r="H30" i="10"/>
  <c r="D30" i="10"/>
  <c r="P29" i="10"/>
  <c r="L29" i="10"/>
  <c r="H29" i="10"/>
  <c r="D29" i="10"/>
  <c r="P28" i="10"/>
  <c r="L28" i="10"/>
  <c r="H28" i="10"/>
  <c r="D28" i="10"/>
  <c r="P27" i="10"/>
  <c r="L27" i="10"/>
  <c r="H27" i="10"/>
  <c r="D27" i="10"/>
  <c r="P26" i="10"/>
  <c r="L26" i="10"/>
  <c r="H26" i="10"/>
  <c r="D26" i="10"/>
  <c r="P25" i="10"/>
  <c r="L25" i="10"/>
  <c r="H25" i="10"/>
  <c r="D25" i="10"/>
  <c r="P24" i="10"/>
  <c r="L24" i="10"/>
  <c r="H24" i="10"/>
  <c r="D24" i="10"/>
  <c r="P23" i="10"/>
  <c r="L23" i="10"/>
  <c r="H23" i="10"/>
  <c r="D23" i="10"/>
  <c r="P22" i="10"/>
  <c r="L22" i="10"/>
  <c r="H22" i="10"/>
  <c r="D22" i="10"/>
  <c r="P21" i="10"/>
  <c r="L21" i="10"/>
  <c r="H21" i="10"/>
  <c r="D21" i="10"/>
  <c r="P20" i="10"/>
  <c r="L20" i="10"/>
  <c r="H20" i="10"/>
  <c r="D20" i="10"/>
  <c r="P19" i="10"/>
  <c r="L19" i="10"/>
  <c r="H19" i="10"/>
  <c r="D19" i="10"/>
  <c r="P18" i="10"/>
  <c r="L18" i="10"/>
  <c r="H18" i="10"/>
  <c r="D18" i="10"/>
  <c r="P17" i="10"/>
  <c r="L17" i="10"/>
  <c r="H17" i="10"/>
  <c r="D17" i="10"/>
  <c r="P16" i="10"/>
  <c r="L16" i="10"/>
  <c r="H16" i="10"/>
  <c r="D16" i="10"/>
  <c r="P15" i="10"/>
  <c r="L15" i="10"/>
  <c r="H15" i="10"/>
  <c r="D15" i="10"/>
  <c r="P14" i="10"/>
  <c r="L14" i="10"/>
  <c r="H14" i="10"/>
  <c r="D14" i="10"/>
  <c r="P13" i="10"/>
  <c r="L13" i="10"/>
  <c r="H13" i="10"/>
  <c r="D13" i="10"/>
  <c r="P12" i="10"/>
  <c r="L12" i="10"/>
  <c r="H12" i="10"/>
  <c r="D12" i="10"/>
  <c r="P11" i="10"/>
  <c r="L11" i="10"/>
  <c r="H11" i="10"/>
  <c r="D11" i="10"/>
  <c r="P10" i="10"/>
  <c r="L10" i="10"/>
  <c r="H10" i="10"/>
  <c r="D10" i="10"/>
  <c r="P9" i="10"/>
  <c r="L9" i="10"/>
  <c r="H9" i="10"/>
  <c r="D9" i="10"/>
  <c r="P8" i="10"/>
  <c r="L8" i="10"/>
  <c r="H8" i="10"/>
  <c r="D8" i="10"/>
  <c r="P7" i="10"/>
  <c r="L7" i="10"/>
  <c r="H7" i="10"/>
  <c r="D7" i="10"/>
  <c r="P6" i="10"/>
  <c r="L6" i="10"/>
  <c r="H6" i="10"/>
  <c r="D6" i="10"/>
  <c r="P5" i="10"/>
  <c r="L5" i="10"/>
  <c r="H5" i="10"/>
  <c r="D5" i="10"/>
  <c r="P4" i="10"/>
  <c r="L4" i="10"/>
  <c r="H4" i="10"/>
  <c r="D4" i="10"/>
  <c r="O35" i="9"/>
  <c r="N35" i="9"/>
  <c r="K35" i="9"/>
  <c r="L12" i="13" s="1"/>
  <c r="J35" i="9"/>
  <c r="K12" i="13" s="1"/>
  <c r="G35" i="9"/>
  <c r="I12" i="13" s="1"/>
  <c r="F35" i="9"/>
  <c r="C35" i="9"/>
  <c r="B35" i="9"/>
  <c r="P34" i="9"/>
  <c r="L34" i="9"/>
  <c r="H34" i="9"/>
  <c r="D34" i="9"/>
  <c r="P33" i="9"/>
  <c r="L33" i="9"/>
  <c r="H33" i="9"/>
  <c r="D33" i="9"/>
  <c r="P32" i="9"/>
  <c r="L32" i="9"/>
  <c r="H32" i="9"/>
  <c r="D32" i="9"/>
  <c r="P31" i="9"/>
  <c r="L31" i="9"/>
  <c r="H31" i="9"/>
  <c r="D31" i="9"/>
  <c r="P30" i="9"/>
  <c r="L30" i="9"/>
  <c r="H30" i="9"/>
  <c r="D30" i="9"/>
  <c r="P29" i="9"/>
  <c r="L29" i="9"/>
  <c r="H29" i="9"/>
  <c r="D29" i="9"/>
  <c r="P28" i="9"/>
  <c r="L28" i="9"/>
  <c r="H28" i="9"/>
  <c r="D28" i="9"/>
  <c r="P27" i="9"/>
  <c r="L27" i="9"/>
  <c r="H27" i="9"/>
  <c r="D27" i="9"/>
  <c r="P26" i="9"/>
  <c r="L26" i="9"/>
  <c r="H26" i="9"/>
  <c r="D26" i="9"/>
  <c r="P25" i="9"/>
  <c r="L25" i="9"/>
  <c r="H25" i="9"/>
  <c r="D25" i="9"/>
  <c r="P24" i="9"/>
  <c r="L24" i="9"/>
  <c r="H24" i="9"/>
  <c r="D24" i="9"/>
  <c r="P23" i="9"/>
  <c r="L23" i="9"/>
  <c r="H23" i="9"/>
  <c r="D23" i="9"/>
  <c r="P22" i="9"/>
  <c r="L22" i="9"/>
  <c r="H22" i="9"/>
  <c r="D22" i="9"/>
  <c r="P21" i="9"/>
  <c r="L21" i="9"/>
  <c r="H21" i="9"/>
  <c r="D21" i="9"/>
  <c r="P20" i="9"/>
  <c r="L20" i="9"/>
  <c r="H20" i="9"/>
  <c r="D20" i="9"/>
  <c r="P19" i="9"/>
  <c r="L19" i="9"/>
  <c r="H19" i="9"/>
  <c r="D19" i="9"/>
  <c r="P18" i="9"/>
  <c r="L18" i="9"/>
  <c r="H18" i="9"/>
  <c r="D18" i="9"/>
  <c r="P17" i="9"/>
  <c r="L17" i="9"/>
  <c r="H17" i="9"/>
  <c r="D17" i="9"/>
  <c r="P16" i="9"/>
  <c r="L16" i="9"/>
  <c r="H16" i="9"/>
  <c r="D16" i="9"/>
  <c r="P15" i="9"/>
  <c r="L15" i="9"/>
  <c r="H15" i="9"/>
  <c r="D15" i="9"/>
  <c r="P14" i="9"/>
  <c r="L14" i="9"/>
  <c r="H14" i="9"/>
  <c r="D14" i="9"/>
  <c r="P13" i="9"/>
  <c r="L13" i="9"/>
  <c r="H13" i="9"/>
  <c r="D13" i="9"/>
  <c r="P12" i="9"/>
  <c r="L12" i="9"/>
  <c r="H12" i="9"/>
  <c r="D12" i="9"/>
  <c r="P11" i="9"/>
  <c r="L11" i="9"/>
  <c r="H11" i="9"/>
  <c r="D11" i="9"/>
  <c r="P10" i="9"/>
  <c r="L10" i="9"/>
  <c r="H10" i="9"/>
  <c r="D10" i="9"/>
  <c r="P9" i="9"/>
  <c r="L9" i="9"/>
  <c r="H9" i="9"/>
  <c r="D9" i="9"/>
  <c r="P8" i="9"/>
  <c r="L8" i="9"/>
  <c r="H8" i="9"/>
  <c r="D8" i="9"/>
  <c r="P7" i="9"/>
  <c r="L7" i="9"/>
  <c r="H7" i="9"/>
  <c r="D7" i="9"/>
  <c r="P6" i="9"/>
  <c r="L6" i="9"/>
  <c r="H6" i="9"/>
  <c r="D6" i="9"/>
  <c r="P5" i="9"/>
  <c r="L5" i="9"/>
  <c r="H5" i="9"/>
  <c r="D5" i="9"/>
  <c r="P4" i="9"/>
  <c r="L4" i="9"/>
  <c r="H4" i="9"/>
  <c r="D4" i="9"/>
  <c r="O35" i="8"/>
  <c r="O11" i="13" s="1"/>
  <c r="N35" i="8"/>
  <c r="K35" i="8"/>
  <c r="J35" i="8"/>
  <c r="G35" i="8"/>
  <c r="F35" i="8"/>
  <c r="H11" i="13" s="1"/>
  <c r="C35" i="8"/>
  <c r="B35" i="8"/>
  <c r="P34" i="8"/>
  <c r="L34" i="8"/>
  <c r="H34" i="8"/>
  <c r="D34" i="8"/>
  <c r="P33" i="8"/>
  <c r="L33" i="8"/>
  <c r="H33" i="8"/>
  <c r="D33" i="8"/>
  <c r="P32" i="8"/>
  <c r="L32" i="8"/>
  <c r="H32" i="8"/>
  <c r="D32" i="8"/>
  <c r="P31" i="8"/>
  <c r="L31" i="8"/>
  <c r="H31" i="8"/>
  <c r="D31" i="8"/>
  <c r="P30" i="8"/>
  <c r="L30" i="8"/>
  <c r="H30" i="8"/>
  <c r="D30" i="8"/>
  <c r="P29" i="8"/>
  <c r="L29" i="8"/>
  <c r="H29" i="8"/>
  <c r="D29" i="8"/>
  <c r="P28" i="8"/>
  <c r="L28" i="8"/>
  <c r="H28" i="8"/>
  <c r="D28" i="8"/>
  <c r="P27" i="8"/>
  <c r="L27" i="8"/>
  <c r="H27" i="8"/>
  <c r="D27" i="8"/>
  <c r="P26" i="8"/>
  <c r="L26" i="8"/>
  <c r="H26" i="8"/>
  <c r="D26" i="8"/>
  <c r="P25" i="8"/>
  <c r="L25" i="8"/>
  <c r="H25" i="8"/>
  <c r="D25" i="8"/>
  <c r="P24" i="8"/>
  <c r="L24" i="8"/>
  <c r="H24" i="8"/>
  <c r="D24" i="8"/>
  <c r="P23" i="8"/>
  <c r="L23" i="8"/>
  <c r="H23" i="8"/>
  <c r="D23" i="8"/>
  <c r="P22" i="8"/>
  <c r="L22" i="8"/>
  <c r="H22" i="8"/>
  <c r="D22" i="8"/>
  <c r="P21" i="8"/>
  <c r="L21" i="8"/>
  <c r="H21" i="8"/>
  <c r="D21" i="8"/>
  <c r="P20" i="8"/>
  <c r="L20" i="8"/>
  <c r="H20" i="8"/>
  <c r="D20" i="8"/>
  <c r="P19" i="8"/>
  <c r="L19" i="8"/>
  <c r="H19" i="8"/>
  <c r="D19" i="8"/>
  <c r="P18" i="8"/>
  <c r="L18" i="8"/>
  <c r="H18" i="8"/>
  <c r="D18" i="8"/>
  <c r="P17" i="8"/>
  <c r="L17" i="8"/>
  <c r="H17" i="8"/>
  <c r="D17" i="8"/>
  <c r="P16" i="8"/>
  <c r="L16" i="8"/>
  <c r="H16" i="8"/>
  <c r="D16" i="8"/>
  <c r="P15" i="8"/>
  <c r="L15" i="8"/>
  <c r="H15" i="8"/>
  <c r="D15" i="8"/>
  <c r="P14" i="8"/>
  <c r="L14" i="8"/>
  <c r="H14" i="8"/>
  <c r="D14" i="8"/>
  <c r="P13" i="8"/>
  <c r="L13" i="8"/>
  <c r="H13" i="8"/>
  <c r="D13" i="8"/>
  <c r="P12" i="8"/>
  <c r="L12" i="8"/>
  <c r="H12" i="8"/>
  <c r="D12" i="8"/>
  <c r="P11" i="8"/>
  <c r="L11" i="8"/>
  <c r="H11" i="8"/>
  <c r="D11" i="8"/>
  <c r="P10" i="8"/>
  <c r="L10" i="8"/>
  <c r="H10" i="8"/>
  <c r="D10" i="8"/>
  <c r="P9" i="8"/>
  <c r="L9" i="8"/>
  <c r="H9" i="8"/>
  <c r="D9" i="8"/>
  <c r="P8" i="8"/>
  <c r="L8" i="8"/>
  <c r="H8" i="8"/>
  <c r="D8" i="8"/>
  <c r="P7" i="8"/>
  <c r="L7" i="8"/>
  <c r="H7" i="8"/>
  <c r="D7" i="8"/>
  <c r="P6" i="8"/>
  <c r="L6" i="8"/>
  <c r="H6" i="8"/>
  <c r="D6" i="8"/>
  <c r="P5" i="8"/>
  <c r="L5" i="8"/>
  <c r="H5" i="8"/>
  <c r="D5" i="8"/>
  <c r="P4" i="8"/>
  <c r="L4" i="8"/>
  <c r="H4" i="8"/>
  <c r="D4" i="8"/>
  <c r="O35" i="7"/>
  <c r="O10" i="13" s="1"/>
  <c r="N35" i="7"/>
  <c r="N10" i="13" s="1"/>
  <c r="K35" i="7"/>
  <c r="L10" i="13" s="1"/>
  <c r="J35" i="7"/>
  <c r="K10" i="13" s="1"/>
  <c r="G35" i="7"/>
  <c r="F35" i="7"/>
  <c r="C35" i="7"/>
  <c r="F10" i="13" s="1"/>
  <c r="B35" i="7"/>
  <c r="P34" i="7"/>
  <c r="L34" i="7"/>
  <c r="H34" i="7"/>
  <c r="D34" i="7"/>
  <c r="P33" i="7"/>
  <c r="L33" i="7"/>
  <c r="H33" i="7"/>
  <c r="D33" i="7"/>
  <c r="P32" i="7"/>
  <c r="L32" i="7"/>
  <c r="H32" i="7"/>
  <c r="D32" i="7"/>
  <c r="P31" i="7"/>
  <c r="L31" i="7"/>
  <c r="H31" i="7"/>
  <c r="D31" i="7"/>
  <c r="P30" i="7"/>
  <c r="L30" i="7"/>
  <c r="H30" i="7"/>
  <c r="D30" i="7"/>
  <c r="P29" i="7"/>
  <c r="L29" i="7"/>
  <c r="H29" i="7"/>
  <c r="D29" i="7"/>
  <c r="P28" i="7"/>
  <c r="L28" i="7"/>
  <c r="H28" i="7"/>
  <c r="D28" i="7"/>
  <c r="P27" i="7"/>
  <c r="L27" i="7"/>
  <c r="H27" i="7"/>
  <c r="D27" i="7"/>
  <c r="P26" i="7"/>
  <c r="L26" i="7"/>
  <c r="H26" i="7"/>
  <c r="D26" i="7"/>
  <c r="P25" i="7"/>
  <c r="L25" i="7"/>
  <c r="H25" i="7"/>
  <c r="D25" i="7"/>
  <c r="P24" i="7"/>
  <c r="L24" i="7"/>
  <c r="H24" i="7"/>
  <c r="D24" i="7"/>
  <c r="P23" i="7"/>
  <c r="L23" i="7"/>
  <c r="H23" i="7"/>
  <c r="D23" i="7"/>
  <c r="P22" i="7"/>
  <c r="L22" i="7"/>
  <c r="H22" i="7"/>
  <c r="D22" i="7"/>
  <c r="P21" i="7"/>
  <c r="L21" i="7"/>
  <c r="H21" i="7"/>
  <c r="D21" i="7"/>
  <c r="P20" i="7"/>
  <c r="L20" i="7"/>
  <c r="H20" i="7"/>
  <c r="D20" i="7"/>
  <c r="P19" i="7"/>
  <c r="L19" i="7"/>
  <c r="H19" i="7"/>
  <c r="D19" i="7"/>
  <c r="P18" i="7"/>
  <c r="L18" i="7"/>
  <c r="H18" i="7"/>
  <c r="D18" i="7"/>
  <c r="P17" i="7"/>
  <c r="L17" i="7"/>
  <c r="H17" i="7"/>
  <c r="D17" i="7"/>
  <c r="P16" i="7"/>
  <c r="L16" i="7"/>
  <c r="H16" i="7"/>
  <c r="D16" i="7"/>
  <c r="P15" i="7"/>
  <c r="L15" i="7"/>
  <c r="H15" i="7"/>
  <c r="D15" i="7"/>
  <c r="P14" i="7"/>
  <c r="L14" i="7"/>
  <c r="H14" i="7"/>
  <c r="D14" i="7"/>
  <c r="P13" i="7"/>
  <c r="L13" i="7"/>
  <c r="H13" i="7"/>
  <c r="D13" i="7"/>
  <c r="P12" i="7"/>
  <c r="L12" i="7"/>
  <c r="H12" i="7"/>
  <c r="D12" i="7"/>
  <c r="P11" i="7"/>
  <c r="L11" i="7"/>
  <c r="H11" i="7"/>
  <c r="D11" i="7"/>
  <c r="P10" i="7"/>
  <c r="L10" i="7"/>
  <c r="H10" i="7"/>
  <c r="D10" i="7"/>
  <c r="P9" i="7"/>
  <c r="L9" i="7"/>
  <c r="H9" i="7"/>
  <c r="D9" i="7"/>
  <c r="P8" i="7"/>
  <c r="L8" i="7"/>
  <c r="H8" i="7"/>
  <c r="D8" i="7"/>
  <c r="P7" i="7"/>
  <c r="L7" i="7"/>
  <c r="H7" i="7"/>
  <c r="D7" i="7"/>
  <c r="P6" i="7"/>
  <c r="L6" i="7"/>
  <c r="H6" i="7"/>
  <c r="D6" i="7"/>
  <c r="P5" i="7"/>
  <c r="L5" i="7"/>
  <c r="H5" i="7"/>
  <c r="D5" i="7"/>
  <c r="P4" i="7"/>
  <c r="L4" i="7"/>
  <c r="H4" i="7"/>
  <c r="D4" i="7"/>
  <c r="O35" i="6"/>
  <c r="N35" i="6"/>
  <c r="K35" i="6"/>
  <c r="L9" i="13" s="1"/>
  <c r="J35" i="6"/>
  <c r="K9" i="13" s="1"/>
  <c r="G35" i="6"/>
  <c r="F35" i="6"/>
  <c r="C35" i="6"/>
  <c r="B35" i="6"/>
  <c r="P33" i="6"/>
  <c r="L33" i="6"/>
  <c r="H33" i="6"/>
  <c r="D33" i="6"/>
  <c r="P32" i="6"/>
  <c r="L32" i="6"/>
  <c r="H32" i="6"/>
  <c r="D32" i="6"/>
  <c r="P31" i="6"/>
  <c r="L31" i="6"/>
  <c r="H31" i="6"/>
  <c r="D31" i="6"/>
  <c r="P30" i="6"/>
  <c r="L30" i="6"/>
  <c r="H30" i="6"/>
  <c r="D30" i="6"/>
  <c r="P29" i="6"/>
  <c r="L29" i="6"/>
  <c r="H29" i="6"/>
  <c r="D29" i="6"/>
  <c r="P28" i="6"/>
  <c r="L28" i="6"/>
  <c r="H28" i="6"/>
  <c r="D28" i="6"/>
  <c r="P27" i="6"/>
  <c r="L27" i="6"/>
  <c r="H27" i="6"/>
  <c r="D27" i="6"/>
  <c r="P26" i="6"/>
  <c r="L26" i="6"/>
  <c r="H26" i="6"/>
  <c r="D26" i="6"/>
  <c r="P25" i="6"/>
  <c r="L25" i="6"/>
  <c r="H25" i="6"/>
  <c r="D25" i="6"/>
  <c r="P24" i="6"/>
  <c r="L24" i="6"/>
  <c r="H24" i="6"/>
  <c r="D24" i="6"/>
  <c r="P23" i="6"/>
  <c r="L23" i="6"/>
  <c r="H23" i="6"/>
  <c r="D23" i="6"/>
  <c r="P22" i="6"/>
  <c r="L22" i="6"/>
  <c r="H22" i="6"/>
  <c r="D22" i="6"/>
  <c r="P21" i="6"/>
  <c r="L21" i="6"/>
  <c r="H21" i="6"/>
  <c r="D21" i="6"/>
  <c r="P20" i="6"/>
  <c r="L20" i="6"/>
  <c r="H20" i="6"/>
  <c r="D20" i="6"/>
  <c r="P19" i="6"/>
  <c r="L19" i="6"/>
  <c r="H19" i="6"/>
  <c r="D19" i="6"/>
  <c r="P18" i="6"/>
  <c r="L18" i="6"/>
  <c r="H18" i="6"/>
  <c r="D18" i="6"/>
  <c r="P17" i="6"/>
  <c r="L17" i="6"/>
  <c r="H17" i="6"/>
  <c r="D17" i="6"/>
  <c r="P16" i="6"/>
  <c r="L16" i="6"/>
  <c r="H16" i="6"/>
  <c r="D16" i="6"/>
  <c r="P15" i="6"/>
  <c r="L15" i="6"/>
  <c r="H15" i="6"/>
  <c r="D15" i="6"/>
  <c r="P14" i="6"/>
  <c r="L14" i="6"/>
  <c r="H14" i="6"/>
  <c r="D14" i="6"/>
  <c r="P13" i="6"/>
  <c r="L13" i="6"/>
  <c r="H13" i="6"/>
  <c r="D13" i="6"/>
  <c r="P12" i="6"/>
  <c r="L12" i="6"/>
  <c r="H12" i="6"/>
  <c r="D12" i="6"/>
  <c r="P11" i="6"/>
  <c r="L11" i="6"/>
  <c r="H11" i="6"/>
  <c r="D11" i="6"/>
  <c r="P10" i="6"/>
  <c r="L10" i="6"/>
  <c r="H10" i="6"/>
  <c r="D10" i="6"/>
  <c r="P9" i="6"/>
  <c r="L9" i="6"/>
  <c r="H9" i="6"/>
  <c r="D9" i="6"/>
  <c r="P8" i="6"/>
  <c r="L8" i="6"/>
  <c r="H8" i="6"/>
  <c r="D8" i="6"/>
  <c r="P7" i="6"/>
  <c r="L7" i="6"/>
  <c r="H7" i="6"/>
  <c r="D7" i="6"/>
  <c r="P6" i="6"/>
  <c r="L6" i="6"/>
  <c r="H6" i="6"/>
  <c r="D6" i="6"/>
  <c r="P5" i="6"/>
  <c r="L5" i="6"/>
  <c r="H5" i="6"/>
  <c r="D5" i="6"/>
  <c r="P4" i="6"/>
  <c r="L4" i="6"/>
  <c r="H4" i="6"/>
  <c r="D4" i="6"/>
  <c r="O35" i="5"/>
  <c r="N35" i="5"/>
  <c r="K35" i="5"/>
  <c r="L8" i="13" s="1"/>
  <c r="J35" i="5"/>
  <c r="K8" i="13" s="1"/>
  <c r="G35" i="5"/>
  <c r="F35" i="5"/>
  <c r="C35" i="5"/>
  <c r="F8" i="13" s="1"/>
  <c r="B35" i="5"/>
  <c r="P34" i="5"/>
  <c r="L34" i="5"/>
  <c r="H34" i="5"/>
  <c r="D34" i="5"/>
  <c r="P33" i="5"/>
  <c r="L33" i="5"/>
  <c r="H33" i="5"/>
  <c r="D33" i="5"/>
  <c r="P32" i="5"/>
  <c r="L32" i="5"/>
  <c r="H32" i="5"/>
  <c r="D32" i="5"/>
  <c r="P31" i="5"/>
  <c r="L31" i="5"/>
  <c r="H31" i="5"/>
  <c r="D31" i="5"/>
  <c r="P30" i="5"/>
  <c r="L30" i="5"/>
  <c r="H30" i="5"/>
  <c r="D30" i="5"/>
  <c r="P29" i="5"/>
  <c r="L29" i="5"/>
  <c r="H29" i="5"/>
  <c r="D29" i="5"/>
  <c r="P28" i="5"/>
  <c r="L28" i="5"/>
  <c r="H28" i="5"/>
  <c r="D28" i="5"/>
  <c r="P27" i="5"/>
  <c r="L27" i="5"/>
  <c r="H27" i="5"/>
  <c r="D27" i="5"/>
  <c r="P26" i="5"/>
  <c r="L26" i="5"/>
  <c r="H26" i="5"/>
  <c r="D26" i="5"/>
  <c r="P25" i="5"/>
  <c r="L25" i="5"/>
  <c r="H25" i="5"/>
  <c r="D25" i="5"/>
  <c r="P24" i="5"/>
  <c r="L24" i="5"/>
  <c r="H24" i="5"/>
  <c r="D24" i="5"/>
  <c r="P23" i="5"/>
  <c r="L23" i="5"/>
  <c r="H23" i="5"/>
  <c r="D23" i="5"/>
  <c r="P22" i="5"/>
  <c r="L22" i="5"/>
  <c r="H22" i="5"/>
  <c r="D22" i="5"/>
  <c r="P21" i="5"/>
  <c r="L21" i="5"/>
  <c r="H21" i="5"/>
  <c r="D21" i="5"/>
  <c r="P20" i="5"/>
  <c r="L20" i="5"/>
  <c r="H20" i="5"/>
  <c r="D20" i="5"/>
  <c r="P19" i="5"/>
  <c r="L19" i="5"/>
  <c r="H19" i="5"/>
  <c r="D19" i="5"/>
  <c r="P18" i="5"/>
  <c r="L18" i="5"/>
  <c r="H18" i="5"/>
  <c r="D18" i="5"/>
  <c r="P17" i="5"/>
  <c r="L17" i="5"/>
  <c r="H17" i="5"/>
  <c r="D17" i="5"/>
  <c r="P16" i="5"/>
  <c r="L16" i="5"/>
  <c r="H16" i="5"/>
  <c r="D16" i="5"/>
  <c r="P15" i="5"/>
  <c r="L15" i="5"/>
  <c r="H15" i="5"/>
  <c r="D15" i="5"/>
  <c r="P14" i="5"/>
  <c r="L14" i="5"/>
  <c r="H14" i="5"/>
  <c r="D14" i="5"/>
  <c r="P13" i="5"/>
  <c r="L13" i="5"/>
  <c r="H13" i="5"/>
  <c r="D13" i="5"/>
  <c r="P12" i="5"/>
  <c r="L12" i="5"/>
  <c r="H12" i="5"/>
  <c r="D12" i="5"/>
  <c r="P11" i="5"/>
  <c r="L11" i="5"/>
  <c r="H11" i="5"/>
  <c r="D11" i="5"/>
  <c r="P10" i="5"/>
  <c r="L10" i="5"/>
  <c r="H10" i="5"/>
  <c r="D10" i="5"/>
  <c r="P9" i="5"/>
  <c r="L9" i="5"/>
  <c r="H9" i="5"/>
  <c r="D9" i="5"/>
  <c r="P8" i="5"/>
  <c r="L8" i="5"/>
  <c r="H8" i="5"/>
  <c r="D8" i="5"/>
  <c r="P7" i="5"/>
  <c r="L7" i="5"/>
  <c r="H7" i="5"/>
  <c r="D7" i="5"/>
  <c r="P6" i="5"/>
  <c r="L6" i="5"/>
  <c r="H6" i="5"/>
  <c r="D6" i="5"/>
  <c r="P5" i="5"/>
  <c r="L5" i="5"/>
  <c r="H5" i="5"/>
  <c r="D5" i="5"/>
  <c r="P4" i="5"/>
  <c r="L4" i="5"/>
  <c r="H4" i="5"/>
  <c r="D4" i="5"/>
  <c r="O35" i="4"/>
  <c r="N35" i="4"/>
  <c r="K35" i="4"/>
  <c r="L7" i="13" s="1"/>
  <c r="J35" i="4"/>
  <c r="K7" i="13" s="1"/>
  <c r="G35" i="4"/>
  <c r="I7" i="13" s="1"/>
  <c r="F35" i="4"/>
  <c r="C35" i="4"/>
  <c r="B35" i="4"/>
  <c r="P33" i="4"/>
  <c r="L33" i="4"/>
  <c r="H33" i="4"/>
  <c r="D33" i="4"/>
  <c r="P32" i="4"/>
  <c r="L32" i="4"/>
  <c r="H32" i="4"/>
  <c r="D32" i="4"/>
  <c r="P31" i="4"/>
  <c r="L31" i="4"/>
  <c r="H31" i="4"/>
  <c r="D31" i="4"/>
  <c r="P30" i="4"/>
  <c r="L30" i="4"/>
  <c r="H30" i="4"/>
  <c r="D30" i="4"/>
  <c r="P29" i="4"/>
  <c r="L29" i="4"/>
  <c r="H29" i="4"/>
  <c r="D29" i="4"/>
  <c r="P28" i="4"/>
  <c r="L28" i="4"/>
  <c r="H28" i="4"/>
  <c r="D28" i="4"/>
  <c r="P27" i="4"/>
  <c r="L27" i="4"/>
  <c r="H27" i="4"/>
  <c r="D27" i="4"/>
  <c r="P26" i="4"/>
  <c r="L26" i="4"/>
  <c r="H26" i="4"/>
  <c r="D26" i="4"/>
  <c r="P25" i="4"/>
  <c r="L25" i="4"/>
  <c r="H25" i="4"/>
  <c r="D25" i="4"/>
  <c r="P24" i="4"/>
  <c r="L24" i="4"/>
  <c r="H24" i="4"/>
  <c r="D24" i="4"/>
  <c r="P23" i="4"/>
  <c r="L23" i="4"/>
  <c r="H23" i="4"/>
  <c r="D23" i="4"/>
  <c r="P22" i="4"/>
  <c r="L22" i="4"/>
  <c r="H22" i="4"/>
  <c r="D22" i="4"/>
  <c r="P21" i="4"/>
  <c r="L21" i="4"/>
  <c r="H21" i="4"/>
  <c r="D21" i="4"/>
  <c r="P20" i="4"/>
  <c r="L20" i="4"/>
  <c r="H20" i="4"/>
  <c r="D20" i="4"/>
  <c r="P19" i="4"/>
  <c r="L19" i="4"/>
  <c r="H19" i="4"/>
  <c r="D19" i="4"/>
  <c r="P18" i="4"/>
  <c r="L18" i="4"/>
  <c r="H18" i="4"/>
  <c r="D18" i="4"/>
  <c r="P17" i="4"/>
  <c r="L17" i="4"/>
  <c r="H17" i="4"/>
  <c r="D17" i="4"/>
  <c r="P16" i="4"/>
  <c r="L16" i="4"/>
  <c r="H16" i="4"/>
  <c r="D16" i="4"/>
  <c r="P15" i="4"/>
  <c r="L15" i="4"/>
  <c r="H15" i="4"/>
  <c r="D15" i="4"/>
  <c r="P14" i="4"/>
  <c r="L14" i="4"/>
  <c r="H14" i="4"/>
  <c r="D14" i="4"/>
  <c r="P13" i="4"/>
  <c r="L13" i="4"/>
  <c r="H13" i="4"/>
  <c r="D13" i="4"/>
  <c r="P12" i="4"/>
  <c r="L12" i="4"/>
  <c r="H12" i="4"/>
  <c r="D12" i="4"/>
  <c r="P11" i="4"/>
  <c r="L11" i="4"/>
  <c r="H11" i="4"/>
  <c r="D11" i="4"/>
  <c r="P10" i="4"/>
  <c r="L10" i="4"/>
  <c r="H10" i="4"/>
  <c r="D10" i="4"/>
  <c r="P9" i="4"/>
  <c r="L9" i="4"/>
  <c r="H9" i="4"/>
  <c r="D9" i="4"/>
  <c r="P8" i="4"/>
  <c r="L8" i="4"/>
  <c r="H8" i="4"/>
  <c r="D8" i="4"/>
  <c r="P7" i="4"/>
  <c r="L7" i="4"/>
  <c r="H7" i="4"/>
  <c r="D7" i="4"/>
  <c r="P6" i="4"/>
  <c r="L6" i="4"/>
  <c r="H6" i="4"/>
  <c r="D6" i="4"/>
  <c r="P5" i="4"/>
  <c r="L5" i="4"/>
  <c r="H5" i="4"/>
  <c r="D5" i="4"/>
  <c r="P4" i="4"/>
  <c r="L4" i="4"/>
  <c r="H4" i="4"/>
  <c r="D4" i="4"/>
  <c r="O35" i="3"/>
  <c r="N35" i="3"/>
  <c r="K35" i="3"/>
  <c r="J35" i="3"/>
  <c r="G35" i="3"/>
  <c r="F35" i="3"/>
  <c r="C35" i="3"/>
  <c r="B35" i="3"/>
  <c r="P34" i="3"/>
  <c r="L34" i="3"/>
  <c r="H34" i="3"/>
  <c r="D34" i="3"/>
  <c r="P33" i="3"/>
  <c r="L33" i="3"/>
  <c r="H33" i="3"/>
  <c r="D33" i="3"/>
  <c r="P32" i="3"/>
  <c r="L32" i="3"/>
  <c r="H32" i="3"/>
  <c r="D32" i="3"/>
  <c r="P31" i="3"/>
  <c r="L31" i="3"/>
  <c r="H31" i="3"/>
  <c r="D31" i="3"/>
  <c r="P30" i="3"/>
  <c r="L30" i="3"/>
  <c r="H30" i="3"/>
  <c r="D30" i="3"/>
  <c r="P29" i="3"/>
  <c r="L29" i="3"/>
  <c r="H29" i="3"/>
  <c r="D29" i="3"/>
  <c r="P28" i="3"/>
  <c r="L28" i="3"/>
  <c r="H28" i="3"/>
  <c r="D28" i="3"/>
  <c r="P27" i="3"/>
  <c r="L27" i="3"/>
  <c r="H27" i="3"/>
  <c r="D27" i="3"/>
  <c r="P26" i="3"/>
  <c r="L26" i="3"/>
  <c r="H26" i="3"/>
  <c r="D26" i="3"/>
  <c r="P25" i="3"/>
  <c r="L25" i="3"/>
  <c r="H25" i="3"/>
  <c r="D25" i="3"/>
  <c r="P24" i="3"/>
  <c r="L24" i="3"/>
  <c r="H24" i="3"/>
  <c r="D24" i="3"/>
  <c r="P23" i="3"/>
  <c r="L23" i="3"/>
  <c r="H23" i="3"/>
  <c r="D23" i="3"/>
  <c r="P22" i="3"/>
  <c r="L22" i="3"/>
  <c r="H22" i="3"/>
  <c r="D22" i="3"/>
  <c r="P21" i="3"/>
  <c r="L21" i="3"/>
  <c r="H21" i="3"/>
  <c r="D21" i="3"/>
  <c r="P20" i="3"/>
  <c r="L20" i="3"/>
  <c r="H20" i="3"/>
  <c r="D20" i="3"/>
  <c r="P19" i="3"/>
  <c r="L19" i="3"/>
  <c r="H19" i="3"/>
  <c r="D19" i="3"/>
  <c r="P18" i="3"/>
  <c r="L18" i="3"/>
  <c r="H18" i="3"/>
  <c r="D18" i="3"/>
  <c r="P17" i="3"/>
  <c r="L17" i="3"/>
  <c r="H17" i="3"/>
  <c r="D17" i="3"/>
  <c r="P16" i="3"/>
  <c r="L16" i="3"/>
  <c r="H16" i="3"/>
  <c r="D16" i="3"/>
  <c r="P15" i="3"/>
  <c r="L15" i="3"/>
  <c r="H15" i="3"/>
  <c r="D15" i="3"/>
  <c r="P14" i="3"/>
  <c r="L14" i="3"/>
  <c r="H14" i="3"/>
  <c r="D14" i="3"/>
  <c r="P13" i="3"/>
  <c r="L13" i="3"/>
  <c r="H13" i="3"/>
  <c r="D13" i="3"/>
  <c r="P12" i="3"/>
  <c r="L12" i="3"/>
  <c r="H12" i="3"/>
  <c r="D12" i="3"/>
  <c r="P11" i="3"/>
  <c r="L11" i="3"/>
  <c r="H11" i="3"/>
  <c r="D11" i="3"/>
  <c r="P10" i="3"/>
  <c r="L10" i="3"/>
  <c r="H10" i="3"/>
  <c r="D10" i="3"/>
  <c r="P9" i="3"/>
  <c r="L9" i="3"/>
  <c r="H9" i="3"/>
  <c r="D9" i="3"/>
  <c r="P8" i="3"/>
  <c r="L8" i="3"/>
  <c r="H8" i="3"/>
  <c r="D8" i="3"/>
  <c r="P7" i="3"/>
  <c r="L7" i="3"/>
  <c r="H7" i="3"/>
  <c r="D7" i="3"/>
  <c r="P6" i="3"/>
  <c r="L6" i="3"/>
  <c r="H6" i="3"/>
  <c r="D6" i="3"/>
  <c r="P5" i="3"/>
  <c r="L5" i="3"/>
  <c r="H5" i="3"/>
  <c r="D5" i="3"/>
  <c r="P4" i="3"/>
  <c r="L4" i="3"/>
  <c r="H4" i="3"/>
  <c r="D4" i="3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H31" i="2"/>
  <c r="H30" i="2"/>
  <c r="H29" i="2"/>
  <c r="H28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O35" i="2"/>
  <c r="N35" i="2"/>
  <c r="K35" i="2"/>
  <c r="J35" i="2"/>
  <c r="G35" i="2"/>
  <c r="F35" i="2"/>
  <c r="C35" i="2"/>
  <c r="B35" i="2"/>
  <c r="E5" i="13" s="1"/>
  <c r="O35" i="1"/>
  <c r="N35" i="1"/>
  <c r="K35" i="1"/>
  <c r="J35" i="1"/>
  <c r="G35" i="1"/>
  <c r="F35" i="1"/>
  <c r="P34" i="1"/>
  <c r="B35" i="1"/>
  <c r="H25" i="1"/>
  <c r="D11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30" i="1"/>
  <c r="L32" i="1"/>
  <c r="L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4" i="1"/>
  <c r="H26" i="1"/>
  <c r="H27" i="1"/>
  <c r="H28" i="1"/>
  <c r="H31" i="1"/>
  <c r="H4" i="1"/>
  <c r="D5" i="1"/>
  <c r="D6" i="1"/>
  <c r="D7" i="1"/>
  <c r="D8" i="1"/>
  <c r="D9" i="1"/>
  <c r="D10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4" i="1"/>
  <c r="C35" i="1"/>
  <c r="D41" i="6" l="1"/>
  <c r="C41" i="6"/>
  <c r="D40" i="7"/>
  <c r="I10" i="13"/>
  <c r="D41" i="9"/>
  <c r="C40" i="10"/>
  <c r="C41" i="9"/>
  <c r="D40" i="9"/>
  <c r="C41" i="5"/>
  <c r="D41" i="5"/>
  <c r="E41" i="5" s="1"/>
  <c r="C40" i="1"/>
  <c r="E4" i="13"/>
  <c r="C39" i="3"/>
  <c r="E39" i="3" s="1"/>
  <c r="E6" i="13"/>
  <c r="C39" i="4"/>
  <c r="E7" i="13"/>
  <c r="C42" i="6"/>
  <c r="N9" i="13"/>
  <c r="XFD35" i="8"/>
  <c r="E11" i="13"/>
  <c r="D41" i="10"/>
  <c r="C40" i="11"/>
  <c r="H14" i="13"/>
  <c r="J14" i="13" s="1"/>
  <c r="C41" i="2"/>
  <c r="K5" i="13"/>
  <c r="D39" i="3"/>
  <c r="F6" i="13"/>
  <c r="D39" i="8"/>
  <c r="F11" i="13"/>
  <c r="C41" i="1"/>
  <c r="H4" i="13"/>
  <c r="D41" i="2"/>
  <c r="L5" i="13"/>
  <c r="C40" i="3"/>
  <c r="H6" i="13"/>
  <c r="C40" i="4"/>
  <c r="H7" i="13"/>
  <c r="J7" i="13" s="1"/>
  <c r="C42" i="7"/>
  <c r="C39" i="12"/>
  <c r="E15" i="13"/>
  <c r="D41" i="1"/>
  <c r="I4" i="13"/>
  <c r="C42" i="2"/>
  <c r="N5" i="13"/>
  <c r="D40" i="3"/>
  <c r="D43" i="3" s="1"/>
  <c r="I6" i="13"/>
  <c r="C39" i="5"/>
  <c r="E8" i="13"/>
  <c r="D42" i="7"/>
  <c r="P10" i="13"/>
  <c r="D40" i="8"/>
  <c r="I11" i="13"/>
  <c r="J11" i="13" s="1"/>
  <c r="C39" i="9"/>
  <c r="E12" i="13"/>
  <c r="M14" i="13"/>
  <c r="C42" i="1"/>
  <c r="K4" i="13"/>
  <c r="D42" i="2"/>
  <c r="O5" i="13"/>
  <c r="C41" i="3"/>
  <c r="E41" i="3" s="1"/>
  <c r="K6" i="13"/>
  <c r="XFD35" i="7"/>
  <c r="C41" i="8"/>
  <c r="K11" i="13"/>
  <c r="D39" i="9"/>
  <c r="F12" i="13"/>
  <c r="C42" i="11"/>
  <c r="N14" i="13"/>
  <c r="C40" i="12"/>
  <c r="H15" i="13"/>
  <c r="D42" i="1"/>
  <c r="L4" i="13"/>
  <c r="D41" i="3"/>
  <c r="L6" i="13"/>
  <c r="M7" i="13"/>
  <c r="C40" i="5"/>
  <c r="H8" i="13"/>
  <c r="D42" i="10"/>
  <c r="D42" i="11"/>
  <c r="E42" i="11" s="1"/>
  <c r="O14" i="13"/>
  <c r="P14" i="13" s="1"/>
  <c r="D40" i="12"/>
  <c r="I15" i="13"/>
  <c r="C43" i="1"/>
  <c r="E43" i="1" s="1"/>
  <c r="N4" i="13"/>
  <c r="C42" i="3"/>
  <c r="N6" i="13"/>
  <c r="C42" i="4"/>
  <c r="N7" i="13"/>
  <c r="D40" i="5"/>
  <c r="I8" i="13"/>
  <c r="C39" i="6"/>
  <c r="E9" i="13"/>
  <c r="C41" i="7"/>
  <c r="C42" i="8"/>
  <c r="N11" i="13"/>
  <c r="P11" i="13" s="1"/>
  <c r="XFD35" i="11"/>
  <c r="C41" i="12"/>
  <c r="K15" i="13"/>
  <c r="M15" i="13" s="1"/>
  <c r="D43" i="1"/>
  <c r="O4" i="13"/>
  <c r="D42" i="3"/>
  <c r="O6" i="13"/>
  <c r="D42" i="4"/>
  <c r="E42" i="4" s="1"/>
  <c r="O7" i="13"/>
  <c r="D39" i="6"/>
  <c r="F9" i="13"/>
  <c r="D41" i="7"/>
  <c r="XFD35" i="10"/>
  <c r="D40" i="11"/>
  <c r="D40" i="4"/>
  <c r="C39" i="7"/>
  <c r="E10" i="13" s="1"/>
  <c r="C39" i="8"/>
  <c r="M12" i="13"/>
  <c r="D39" i="10"/>
  <c r="C41" i="11"/>
  <c r="C42" i="12"/>
  <c r="N15" i="13"/>
  <c r="D40" i="1"/>
  <c r="F4" i="13"/>
  <c r="C41" i="4"/>
  <c r="C42" i="5"/>
  <c r="N8" i="13"/>
  <c r="D40" i="6"/>
  <c r="I9" i="13"/>
  <c r="D39" i="7"/>
  <c r="C40" i="8"/>
  <c r="C42" i="9"/>
  <c r="N12" i="13"/>
  <c r="D41" i="11"/>
  <c r="C40" i="7"/>
  <c r="D42" i="8"/>
  <c r="D42" i="9"/>
  <c r="O12" i="13"/>
  <c r="D40" i="10"/>
  <c r="C39" i="11"/>
  <c r="E14" i="13"/>
  <c r="D39" i="12"/>
  <c r="D40" i="2"/>
  <c r="I5" i="13"/>
  <c r="D39" i="4"/>
  <c r="F7" i="13"/>
  <c r="D42" i="6"/>
  <c r="O9" i="13"/>
  <c r="M10" i="13"/>
  <c r="C42" i="10"/>
  <c r="N13" i="13"/>
  <c r="P13" i="13" s="1"/>
  <c r="E41" i="6"/>
  <c r="D41" i="8"/>
  <c r="L11" i="13"/>
  <c r="C40" i="9"/>
  <c r="H12" i="13"/>
  <c r="J12" i="13" s="1"/>
  <c r="M8" i="13"/>
  <c r="C40" i="6"/>
  <c r="H9" i="13"/>
  <c r="D42" i="12"/>
  <c r="O15" i="13"/>
  <c r="D39" i="2"/>
  <c r="F5" i="13"/>
  <c r="D41" i="4"/>
  <c r="D42" i="5"/>
  <c r="O8" i="13"/>
  <c r="C40" i="2"/>
  <c r="H5" i="13"/>
  <c r="D39" i="5"/>
  <c r="M9" i="13"/>
  <c r="XFD35" i="9"/>
  <c r="C41" i="10"/>
  <c r="D39" i="11"/>
  <c r="F14" i="13"/>
  <c r="D41" i="12"/>
  <c r="XFD35" i="12"/>
  <c r="XFD35" i="6"/>
  <c r="XFD35" i="5"/>
  <c r="XFD35" i="4"/>
  <c r="E42" i="3"/>
  <c r="XFD35" i="3"/>
  <c r="XFD35" i="2"/>
  <c r="C39" i="2"/>
  <c r="XFD35" i="1"/>
  <c r="P6" i="13" l="1"/>
  <c r="E41" i="9"/>
  <c r="E39" i="9"/>
  <c r="E42" i="7"/>
  <c r="E40" i="12"/>
  <c r="E39" i="11"/>
  <c r="E41" i="11"/>
  <c r="P5" i="13"/>
  <c r="D43" i="2"/>
  <c r="E40" i="5"/>
  <c r="E41" i="2"/>
  <c r="D44" i="1"/>
  <c r="E41" i="8"/>
  <c r="E41" i="12"/>
  <c r="E42" i="2"/>
  <c r="E40" i="9"/>
  <c r="B5" i="13"/>
  <c r="E40" i="2"/>
  <c r="J15" i="13"/>
  <c r="E40" i="10"/>
  <c r="E41" i="10"/>
  <c r="C43" i="10"/>
  <c r="D43" i="4"/>
  <c r="E40" i="3"/>
  <c r="M13" i="13"/>
  <c r="C43" i="8"/>
  <c r="E42" i="12"/>
  <c r="P12" i="13"/>
  <c r="B15" i="13"/>
  <c r="E42" i="9"/>
  <c r="E40" i="8"/>
  <c r="J6" i="13"/>
  <c r="C43" i="6"/>
  <c r="E40" i="11"/>
  <c r="C44" i="1"/>
  <c r="P15" i="13"/>
  <c r="E40" i="7"/>
  <c r="H10" i="13"/>
  <c r="J10" i="13" s="1"/>
  <c r="E40" i="1"/>
  <c r="E42" i="10"/>
  <c r="D43" i="10"/>
  <c r="E42" i="8"/>
  <c r="M11" i="13"/>
  <c r="E39" i="8"/>
  <c r="D43" i="7"/>
  <c r="E41" i="7"/>
  <c r="C43" i="7"/>
  <c r="E39" i="7"/>
  <c r="P9" i="13"/>
  <c r="E42" i="6"/>
  <c r="E40" i="6"/>
  <c r="J9" i="13"/>
  <c r="E39" i="5"/>
  <c r="C43" i="5"/>
  <c r="J8" i="13"/>
  <c r="E39" i="4"/>
  <c r="E40" i="4"/>
  <c r="C43" i="4"/>
  <c r="D43" i="6"/>
  <c r="D43" i="5"/>
  <c r="C8" i="13"/>
  <c r="N16" i="13"/>
  <c r="C23" i="13" s="1"/>
  <c r="C13" i="13"/>
  <c r="G13" i="13"/>
  <c r="L16" i="13"/>
  <c r="D22" i="13" s="1"/>
  <c r="M4" i="13"/>
  <c r="C9" i="13"/>
  <c r="G9" i="13"/>
  <c r="E39" i="12"/>
  <c r="C11" i="13"/>
  <c r="G11" i="13"/>
  <c r="E42" i="1"/>
  <c r="E39" i="10"/>
  <c r="E41" i="1"/>
  <c r="B9" i="13"/>
  <c r="C6" i="13"/>
  <c r="G6" i="13"/>
  <c r="C12" i="13"/>
  <c r="G12" i="13"/>
  <c r="B7" i="13"/>
  <c r="J5" i="13"/>
  <c r="D43" i="8"/>
  <c r="D43" i="11"/>
  <c r="E42" i="5"/>
  <c r="C14" i="13"/>
  <c r="G14" i="13"/>
  <c r="E41" i="4"/>
  <c r="M5" i="13"/>
  <c r="B11" i="13"/>
  <c r="C43" i="3"/>
  <c r="E43" i="3" s="1"/>
  <c r="E39" i="6"/>
  <c r="B8" i="13"/>
  <c r="D43" i="9"/>
  <c r="G7" i="13"/>
  <c r="C7" i="13"/>
  <c r="K16" i="13"/>
  <c r="C22" i="13" s="1"/>
  <c r="P8" i="13"/>
  <c r="G4" i="13"/>
  <c r="C4" i="13"/>
  <c r="F16" i="13"/>
  <c r="D20" i="13" s="1"/>
  <c r="O16" i="13"/>
  <c r="D23" i="13" s="1"/>
  <c r="P4" i="13"/>
  <c r="C15" i="13"/>
  <c r="P7" i="13"/>
  <c r="G15" i="13"/>
  <c r="B6" i="13"/>
  <c r="B13" i="13"/>
  <c r="C5" i="13"/>
  <c r="G5" i="13"/>
  <c r="B14" i="13"/>
  <c r="M6" i="13"/>
  <c r="B12" i="13"/>
  <c r="I16" i="13"/>
  <c r="D21" i="13" s="1"/>
  <c r="J4" i="13"/>
  <c r="B4" i="13"/>
  <c r="E16" i="13"/>
  <c r="C20" i="13" s="1"/>
  <c r="C43" i="11"/>
  <c r="C10" i="13"/>
  <c r="G10" i="13"/>
  <c r="G8" i="13"/>
  <c r="C43" i="9"/>
  <c r="E39" i="2"/>
  <c r="C43" i="2"/>
  <c r="E43" i="2" s="1"/>
  <c r="E44" i="1" l="1"/>
  <c r="E43" i="11"/>
  <c r="E43" i="7"/>
  <c r="D15" i="13"/>
  <c r="D5" i="13"/>
  <c r="B10" i="13"/>
  <c r="D10" i="13" s="1"/>
  <c r="H16" i="13"/>
  <c r="C21" i="13" s="1"/>
  <c r="E21" i="13" s="1"/>
  <c r="E43" i="4"/>
  <c r="E43" i="10"/>
  <c r="E43" i="5"/>
  <c r="E43" i="8"/>
  <c r="E43" i="6"/>
  <c r="D12" i="13"/>
  <c r="E43" i="9"/>
  <c r="D11" i="13"/>
  <c r="D9" i="13"/>
  <c r="E22" i="13"/>
  <c r="D8" i="13"/>
  <c r="E20" i="13"/>
  <c r="B16" i="13"/>
  <c r="E23" i="13"/>
  <c r="D24" i="13"/>
  <c r="D4" i="13"/>
  <c r="C16" i="13"/>
  <c r="D6" i="13"/>
  <c r="D14" i="13"/>
  <c r="D13" i="13"/>
  <c r="D7" i="13"/>
  <c r="C24" i="13" l="1"/>
  <c r="E24" i="13" s="1"/>
</calcChain>
</file>

<file path=xl/sharedStrings.xml><?xml version="1.0" encoding="utf-8"?>
<sst xmlns="http://schemas.openxmlformats.org/spreadsheetml/2006/main" count="539" uniqueCount="55">
  <si>
    <t>Tiktok</t>
  </si>
  <si>
    <t>Facebook</t>
  </si>
  <si>
    <t>Lazada</t>
  </si>
  <si>
    <t>Shopee</t>
  </si>
  <si>
    <t>ว/ด/ป</t>
  </si>
  <si>
    <t>ยอดขาย</t>
  </si>
  <si>
    <t>ค่าแอด</t>
  </si>
  <si>
    <t>คิดเป็น%</t>
  </si>
  <si>
    <t>ตารางสรุป 1- 31 มกราคม 2568</t>
  </si>
  <si>
    <t>แพลตฟอร์ม</t>
  </si>
  <si>
    <t>รวม</t>
  </si>
  <si>
    <t>Total</t>
  </si>
  <si>
    <t>บาท</t>
  </si>
  <si>
    <t>ตารางสรุป 1- 28 กุมภาพันธ์ 2568</t>
  </si>
  <si>
    <t>ข้อมูลการยิง ADS ของแผนกออนไลน์ทุกแพลตฟอร์ม เดือนมกราคม 2568</t>
  </si>
  <si>
    <t>ข้อมูลการยิง ADS ของแผนกออนไลน์ทุกแพลตฟอร์ม เดือนกุมภาพันธ์ 2568</t>
  </si>
  <si>
    <t>ข้อมูลการยิง ADS ของแผนกออนไลน์ทุกแพลตฟอร์ม เดือนมีนาคม 2568</t>
  </si>
  <si>
    <t>ตารางสรุป 1- 31 มีนาคม 2568</t>
  </si>
  <si>
    <t>ข้อมูลการยิง ADS ของแผนกออนไลน์ทุกแพลตฟอร์ม เดือนเมษายน 2568</t>
  </si>
  <si>
    <t>ตารางสรุป 1- 30 เมษายน 2568</t>
  </si>
  <si>
    <t>ข้อมูลการยิง ADS ของแผนกออนไลน์ทุกแพลตฟอร์ม เดือนพฤษภาคม 2568</t>
  </si>
  <si>
    <t>ตารางสรุป 1- 31 พฤษภาคม 2568</t>
  </si>
  <si>
    <t>ตารางสรุป 1- 30 มิถุนายน 2568</t>
  </si>
  <si>
    <t>ข้อมูลการยิง ADS ของแผนกออนไลน์ทุกแพลตฟอร์ม เดือนมิถุนายน 2568</t>
  </si>
  <si>
    <t>ข้อมูลการยิง ADS ของแผนกออนไลน์ทุกแพลตฟอร์ม เดือนกรกฎาคม 2568</t>
  </si>
  <si>
    <t>ข้อมูลการยิง ADS ของแผนกออนไลน์ทุกแพลตฟอร์ม เดือนสิงหาคม 2568</t>
  </si>
  <si>
    <t>ตารางสรุป 1- 31 สิงหาคม 2568</t>
  </si>
  <si>
    <t>ตารางสรุป 1- 31 กรกฏาคม 2568</t>
  </si>
  <si>
    <t>ข้อมูลการยิง ADS ของแผนกออนไลน์ทุกแพลตฟอร์ม เดือนกันยายน 2568</t>
  </si>
  <si>
    <t>ตารางสรุป 1- 30 กันยายน 2568</t>
  </si>
  <si>
    <t>ข้อมูลการยิง ADS ของแผนกออนไลน์ทุกแพลตฟอร์ม เดือนตุลาคม 2568</t>
  </si>
  <si>
    <t>ตารางสรุป 1- 31 ตุลาคม 2568</t>
  </si>
  <si>
    <t>ข้อมูลการยิง ADS ของแผนกออนไลน์ทุกแพลตฟอร์ม เดือนพฤศจิกายน 2568</t>
  </si>
  <si>
    <t>ตารางสรุป 1- 30 พฤศจิกายน 2568</t>
  </si>
  <si>
    <t>ข้อมูลการยิง ADS ของแผนกออนไลน์ทุกแพลตฟอร์ม เดือนธันวาคม 2568</t>
  </si>
  <si>
    <t>ตารางสรุป 1- 31 ธันวาคม 2568</t>
  </si>
  <si>
    <t>ข้อมูลการยิง ADS ของแผนกออนไลน์ทุกแพลตฟอร์ม ปี 2568</t>
  </si>
  <si>
    <t>เดือน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</si>
  <si>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</si>
  <si>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</si>
  <si>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</si>
  <si>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</si>
  <si>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</si>
  <si>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</si>
  <si>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</si>
  <si>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</si>
  <si>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</si>
  <si>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</si>
  <si>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</si>
  <si>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</si>
  <si>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ตารางสรุป ปี 2568</t>
  </si>
  <si>
    <t>Total 2568</t>
  </si>
  <si>
    <t>(เข้าสู่ระบบไม่ได้)</t>
  </si>
  <si>
    <t>(เข้าสู่ระบบไมได้)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</si>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</sst>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[$-1070000]d/mm/yyyy;@"/>
  </numFmts>
  <fonts count="2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rgb="FFFFFFFF"/>
      <name val="Angsana New"/>
      <family val="1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theme="1" tint="4.9989318521683403E-2"/>
      <name val="Angsana New"/>
      <family val="1"/>
    </font>
    <font>
      <sz val="16"/>
      <color theme="1" tint="4.9989318521683403E-2"/>
      <name val="Angsana New"/>
      <family val="1"/>
    </font>
    <font>
      <b/>
      <sz val="16"/>
      <color rgb="FFFF0000"/>
      <name val="Angsana New"/>
      <family val="1"/>
    </font>
    <font>
      <b/>
      <sz val="18"/>
      <color rgb="FFFF0000"/>
      <name val="Angsana New"/>
      <family val="1"/>
    </font>
    <font>
      <sz val="16"/>
      <color theme="1"/>
      <name val="AngsanaUPC"/>
      <family val="1"/>
    </font>
    <font>
      <b/>
      <sz val="16"/>
      <color theme="1" tint="4.9989318521683403E-2"/>
      <name val="AngsanaUPC"/>
      <family val="1"/>
    </font>
    <font>
      <b/>
      <sz val="20"/>
      <color theme="1"/>
      <name val="Angsana New"/>
      <family val="1"/>
    </font>
    <font>
      <b/>
      <sz val="18"/>
      <color theme="1" tint="4.9989318521683403E-2"/>
      <name val="Angsana New"/>
      <family val="1"/>
    </font>
    <font>
      <b/>
      <sz val="18"/>
      <color theme="1" tint="4.9989318521683403E-2"/>
      <name val="AngsanaUPC"/>
      <family val="1"/>
    </font>
    <font>
      <sz val="8"/>
      <name val="Tahoma"/>
      <family val="2"/>
      <charset val="222"/>
      <scheme val="minor"/>
    </font>
    <font>
      <b/>
      <sz val="16"/>
      <color rgb="FF0000FF"/>
      <name val="Angsana New"/>
      <family val="1"/>
    </font>
    <font>
      <sz val="16"/>
      <color rgb="FF0000FF"/>
      <name val="Angsana New"/>
      <family val="1"/>
    </font>
    <font>
      <b/>
      <sz val="18"/>
      <color rgb="FF0000FF"/>
      <name val="Angsana New"/>
      <family val="1"/>
    </font>
    <font>
      <sz val="10"/>
      <color theme="1"/>
      <name val="Tahoma"/>
      <family val="2"/>
      <scheme val="minor"/>
    </font>
    <font>
      <sz val="10"/>
      <color theme="1"/>
      <name val="Arial"/>
      <family val="2"/>
    </font>
    <font>
      <sz val="11"/>
      <color theme="1"/>
      <name val="Tahoma"/>
      <family val="2"/>
      <scheme val="minor"/>
    </font>
    <font>
      <sz val="12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F6B2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1EB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BFF"/>
        <bgColor indexed="64"/>
      </patternFill>
    </fill>
    <fill>
      <patternFill patternType="solid">
        <fgColor rgb="FF989800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</cellStyleXfs>
  <cellXfs count="139">
    <xf numFmtId="0" fontId="0" fillId="0" borderId="0" xfId="0"/>
    <xf numFmtId="0" fontId="4" fillId="0" borderId="0" xfId="0" applyFont="1"/>
    <xf numFmtId="15" fontId="4" fillId="0" borderId="0" xfId="0" applyNumberFormat="1" applyFont="1" applyAlignment="1">
      <alignment horizontal="right" wrapText="1"/>
    </xf>
    <xf numFmtId="4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4" fontId="4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4" fontId="2" fillId="0" borderId="0" xfId="0" applyNumberFormat="1" applyFont="1" applyAlignment="1">
      <alignment horizontal="center" wrapText="1"/>
    </xf>
    <xf numFmtId="9" fontId="5" fillId="0" borderId="0" xfId="1" applyFont="1" applyBorder="1" applyAlignment="1">
      <alignment horizontal="left" wrapText="1"/>
    </xf>
    <xf numFmtId="0" fontId="5" fillId="0" borderId="0" xfId="0" applyFont="1" applyAlignment="1">
      <alignment horizontal="right" wrapText="1"/>
    </xf>
    <xf numFmtId="0" fontId="5" fillId="0" borderId="0" xfId="0" applyFont="1"/>
    <xf numFmtId="0" fontId="7" fillId="0" borderId="0" xfId="0" applyFont="1"/>
    <xf numFmtId="0" fontId="6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" fillId="6" borderId="0" xfId="0" applyFont="1" applyFill="1" applyAlignment="1">
      <alignment horizontal="center" vertical="center" wrapText="1"/>
    </xf>
    <xf numFmtId="187" fontId="4" fillId="0" borderId="0" xfId="0" applyNumberFormat="1" applyFont="1" applyAlignment="1">
      <alignment horizontal="right" wrapText="1"/>
    </xf>
    <xf numFmtId="9" fontId="8" fillId="6" borderId="0" xfId="1" applyFont="1" applyFill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8" fillId="4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4" fontId="8" fillId="0" borderId="0" xfId="0" applyNumberFormat="1" applyFont="1" applyAlignment="1">
      <alignment horizontal="center" wrapText="1"/>
    </xf>
    <xf numFmtId="0" fontId="8" fillId="5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9" fontId="8" fillId="0" borderId="0" xfId="1" applyFont="1" applyBorder="1" applyAlignment="1">
      <alignment horizontal="right" wrapText="1"/>
    </xf>
    <xf numFmtId="9" fontId="8" fillId="0" borderId="0" xfId="1" applyFont="1" applyBorder="1" applyAlignment="1">
      <alignment wrapText="1"/>
    </xf>
    <xf numFmtId="9" fontId="8" fillId="0" borderId="0" xfId="1" applyFont="1" applyFill="1" applyBorder="1" applyAlignment="1">
      <alignment horizontal="right" wrapText="1"/>
    </xf>
    <xf numFmtId="9" fontId="8" fillId="0" borderId="0" xfId="1" applyFont="1" applyBorder="1"/>
    <xf numFmtId="0" fontId="8" fillId="0" borderId="0" xfId="0" applyFont="1" applyAlignment="1">
      <alignment horizontal="right" wrapText="1"/>
    </xf>
    <xf numFmtId="0" fontId="8" fillId="0" borderId="0" xfId="0" applyFont="1" applyAlignment="1">
      <alignment vertical="center" wrapText="1"/>
    </xf>
    <xf numFmtId="0" fontId="8" fillId="0" borderId="0" xfId="0" applyFont="1"/>
    <xf numFmtId="4" fontId="5" fillId="0" borderId="1" xfId="0" applyNumberFormat="1" applyFont="1" applyBorder="1" applyAlignment="1">
      <alignment horizontal="right" wrapText="1"/>
    </xf>
    <xf numFmtId="0" fontId="10" fillId="0" borderId="2" xfId="0" applyFont="1" applyBorder="1" applyAlignment="1">
      <alignment horizontal="center" wrapText="1"/>
    </xf>
    <xf numFmtId="4" fontId="10" fillId="3" borderId="2" xfId="0" applyNumberFormat="1" applyFont="1" applyFill="1" applyBorder="1" applyAlignment="1">
      <alignment horizontal="center" wrapText="1"/>
    </xf>
    <xf numFmtId="4" fontId="10" fillId="0" borderId="2" xfId="0" applyNumberFormat="1" applyFont="1" applyBorder="1" applyAlignment="1">
      <alignment horizontal="center" wrapText="1"/>
    </xf>
    <xf numFmtId="9" fontId="10" fillId="0" borderId="2" xfId="1" applyFont="1" applyBorder="1" applyAlignment="1">
      <alignment horizontal="center" wrapText="1"/>
    </xf>
    <xf numFmtId="0" fontId="11" fillId="7" borderId="2" xfId="0" applyFont="1" applyFill="1" applyBorder="1" applyAlignment="1">
      <alignment wrapText="1"/>
    </xf>
    <xf numFmtId="4" fontId="11" fillId="7" borderId="2" xfId="0" applyNumberFormat="1" applyFont="1" applyFill="1" applyBorder="1" applyAlignment="1">
      <alignment horizontal="center" wrapText="1"/>
    </xf>
    <xf numFmtId="9" fontId="11" fillId="7" borderId="2" xfId="1" applyFont="1" applyFill="1" applyBorder="1" applyAlignment="1">
      <alignment horizontal="center" wrapText="1"/>
    </xf>
    <xf numFmtId="0" fontId="11" fillId="7" borderId="2" xfId="0" applyFont="1" applyFill="1" applyBorder="1" applyAlignment="1">
      <alignment horizontal="center" wrapText="1"/>
    </xf>
    <xf numFmtId="0" fontId="12" fillId="0" borderId="0" xfId="0" applyFont="1"/>
    <xf numFmtId="0" fontId="13" fillId="6" borderId="0" xfId="0" applyFont="1" applyFill="1" applyAlignment="1">
      <alignment horizontal="center" vertical="center" wrapText="1"/>
    </xf>
    <xf numFmtId="9" fontId="9" fillId="6" borderId="0" xfId="1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4" fillId="7" borderId="2" xfId="0" applyFont="1" applyFill="1" applyBorder="1" applyAlignment="1">
      <alignment horizontal="center" wrapText="1"/>
    </xf>
    <xf numFmtId="4" fontId="14" fillId="7" borderId="2" xfId="0" applyNumberFormat="1" applyFont="1" applyFill="1" applyBorder="1" applyAlignment="1">
      <alignment horizontal="center" wrapText="1"/>
    </xf>
    <xf numFmtId="9" fontId="14" fillId="7" borderId="2" xfId="1" applyFont="1" applyFill="1" applyBorder="1" applyAlignment="1">
      <alignment horizontal="center" wrapText="1"/>
    </xf>
    <xf numFmtId="0" fontId="14" fillId="7" borderId="2" xfId="0" applyFont="1" applyFill="1" applyBorder="1" applyAlignment="1">
      <alignment horizontal="left" wrapText="1"/>
    </xf>
    <xf numFmtId="4" fontId="4" fillId="0" borderId="0" xfId="0" applyNumberFormat="1" applyFont="1" applyAlignment="1">
      <alignment wrapText="1"/>
    </xf>
    <xf numFmtId="187" fontId="4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8" borderId="0" xfId="0" applyFont="1" applyFill="1" applyAlignment="1">
      <alignment horizontal="center" vertical="center" wrapText="1"/>
    </xf>
    <xf numFmtId="9" fontId="8" fillId="8" borderId="0" xfId="1" applyFont="1" applyFill="1" applyBorder="1" applyAlignment="1">
      <alignment horizontal="center" vertical="center" wrapText="1"/>
    </xf>
    <xf numFmtId="0" fontId="16" fillId="8" borderId="0" xfId="0" applyFont="1" applyFill="1" applyAlignment="1">
      <alignment horizontal="center" vertical="center" wrapText="1"/>
    </xf>
    <xf numFmtId="4" fontId="17" fillId="0" borderId="0" xfId="0" applyNumberFormat="1" applyFont="1" applyAlignment="1">
      <alignment horizontal="right" wrapText="1"/>
    </xf>
    <xf numFmtId="4" fontId="18" fillId="0" borderId="1" xfId="0" applyNumberFormat="1" applyFont="1" applyBorder="1" applyAlignment="1">
      <alignment horizontal="right" wrapText="1"/>
    </xf>
    <xf numFmtId="0" fontId="12" fillId="0" borderId="0" xfId="0" applyFont="1" applyAlignment="1">
      <alignment vertical="center"/>
    </xf>
    <xf numFmtId="9" fontId="8" fillId="0" borderId="0" xfId="1" applyFont="1" applyBorder="1" applyAlignment="1">
      <alignment vertical="center"/>
    </xf>
    <xf numFmtId="0" fontId="8" fillId="0" borderId="0" xfId="0" applyFont="1" applyAlignment="1">
      <alignment vertical="center"/>
    </xf>
    <xf numFmtId="187" fontId="4" fillId="0" borderId="0" xfId="0" applyNumberFormat="1" applyFont="1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  <xf numFmtId="9" fontId="8" fillId="0" borderId="0" xfId="1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4" fontId="4" fillId="0" borderId="0" xfId="0" applyNumberFormat="1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9" fontId="5" fillId="0" borderId="0" xfId="1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9" fontId="8" fillId="0" borderId="0" xfId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4" fontId="10" fillId="3" borderId="2" xfId="0" applyNumberFormat="1" applyFont="1" applyFill="1" applyBorder="1" applyAlignment="1">
      <alignment horizontal="center" vertical="center" wrapText="1"/>
    </xf>
    <xf numFmtId="9" fontId="10" fillId="0" borderId="2" xfId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5" fontId="4" fillId="0" borderId="0" xfId="0" applyNumberFormat="1" applyFont="1" applyAlignment="1">
      <alignment horizontal="right" vertical="center" wrapText="1"/>
    </xf>
    <xf numFmtId="4" fontId="10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" fontId="8" fillId="0" borderId="0" xfId="0" applyNumberFormat="1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7" borderId="2" xfId="0" applyFont="1" applyFill="1" applyBorder="1" applyAlignment="1">
      <alignment vertical="center" wrapText="1"/>
    </xf>
    <xf numFmtId="4" fontId="11" fillId="7" borderId="2" xfId="0" applyNumberFormat="1" applyFont="1" applyFill="1" applyBorder="1" applyAlignment="1">
      <alignment horizontal="center" vertical="center" wrapText="1"/>
    </xf>
    <xf numFmtId="9" fontId="11" fillId="7" borderId="2" xfId="1" applyFont="1" applyFill="1" applyBorder="1" applyAlignment="1">
      <alignment horizontal="center" vertical="center" wrapText="1"/>
    </xf>
    <xf numFmtId="9" fontId="8" fillId="0" borderId="0" xfId="1" applyFont="1" applyFill="1" applyBorder="1" applyAlignment="1">
      <alignment horizontal="right" vertical="center" wrapText="1"/>
    </xf>
    <xf numFmtId="4" fontId="2" fillId="0" borderId="0" xfId="0" applyNumberFormat="1" applyFont="1" applyAlignment="1">
      <alignment horizontal="center" vertical="center" wrapText="1"/>
    </xf>
    <xf numFmtId="43" fontId="4" fillId="0" borderId="0" xfId="2" applyFont="1" applyAlignment="1">
      <alignment horizontal="right" wrapText="1"/>
    </xf>
    <xf numFmtId="0" fontId="19" fillId="0" borderId="0" xfId="0" applyFont="1"/>
    <xf numFmtId="4" fontId="20" fillId="0" borderId="0" xfId="0" applyNumberFormat="1" applyFont="1"/>
    <xf numFmtId="0" fontId="20" fillId="0" borderId="0" xfId="0" applyFont="1"/>
    <xf numFmtId="4" fontId="4" fillId="0" borderId="0" xfId="0" applyNumberFormat="1" applyFont="1"/>
    <xf numFmtId="0" fontId="21" fillId="0" borderId="0" xfId="0" applyFont="1"/>
    <xf numFmtId="0" fontId="11" fillId="7" borderId="6" xfId="0" applyFont="1" applyFill="1" applyBorder="1" applyAlignment="1">
      <alignment horizontal="center" wrapText="1"/>
    </xf>
    <xf numFmtId="0" fontId="11" fillId="7" borderId="7" xfId="0" applyFont="1" applyFill="1" applyBorder="1" applyAlignment="1">
      <alignment horizontal="center" wrapText="1"/>
    </xf>
    <xf numFmtId="0" fontId="6" fillId="6" borderId="0" xfId="0" applyFont="1" applyFill="1" applyAlignment="1">
      <alignment horizontal="center" wrapText="1"/>
    </xf>
    <xf numFmtId="0" fontId="6" fillId="4" borderId="0" xfId="0" applyFont="1" applyFill="1" applyAlignment="1">
      <alignment horizontal="center" wrapText="1"/>
    </xf>
    <xf numFmtId="0" fontId="6" fillId="5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6" fillId="8" borderId="0" xfId="0" applyFont="1" applyFill="1" applyAlignment="1">
      <alignment horizontal="center" wrapText="1"/>
    </xf>
    <xf numFmtId="0" fontId="11" fillId="7" borderId="3" xfId="0" applyFont="1" applyFill="1" applyBorder="1" applyAlignment="1">
      <alignment horizontal="center" wrapText="1"/>
    </xf>
    <xf numFmtId="0" fontId="11" fillId="7" borderId="4" xfId="0" applyFont="1" applyFill="1" applyBorder="1" applyAlignment="1">
      <alignment horizontal="center" wrapText="1"/>
    </xf>
    <xf numFmtId="0" fontId="11" fillId="7" borderId="5" xfId="0" applyFont="1" applyFill="1" applyBorder="1" applyAlignment="1">
      <alignment horizontal="center" wrapText="1"/>
    </xf>
    <xf numFmtId="0" fontId="14" fillId="7" borderId="3" xfId="0" applyFont="1" applyFill="1" applyBorder="1" applyAlignment="1">
      <alignment horizontal="center" wrapText="1"/>
    </xf>
    <xf numFmtId="0" fontId="14" fillId="7" borderId="4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0" fontId="13" fillId="6" borderId="0" xfId="0" applyFont="1" applyFill="1" applyAlignment="1">
      <alignment horizontal="center" wrapText="1"/>
    </xf>
    <xf numFmtId="0" fontId="13" fillId="4" borderId="0" xfId="0" applyFont="1" applyFill="1" applyAlignment="1">
      <alignment horizontal="center" wrapText="1"/>
    </xf>
    <xf numFmtId="0" fontId="13" fillId="5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6" fillId="6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43" fontId="4" fillId="0" borderId="0" xfId="2" applyFont="1" applyAlignment="1">
      <alignment wrapText="1"/>
    </xf>
    <xf numFmtId="43" fontId="4" fillId="0" borderId="0" xfId="2" applyFont="1"/>
    <xf numFmtId="43" fontId="6" fillId="2" borderId="0" xfId="2" applyFont="1" applyFill="1" applyAlignment="1">
      <alignment horizontal="center" vertical="center" wrapText="1"/>
    </xf>
    <xf numFmtId="43" fontId="20" fillId="0" borderId="0" xfId="2" applyFont="1"/>
    <xf numFmtId="43" fontId="5" fillId="0" borderId="1" xfId="2" applyFont="1" applyBorder="1" applyAlignment="1">
      <alignment horizontal="right" wrapText="1"/>
    </xf>
    <xf numFmtId="43" fontId="8" fillId="0" borderId="0" xfId="2" applyFont="1" applyAlignment="1">
      <alignment wrapText="1"/>
    </xf>
  </cellXfs>
  <cellStyles count="4">
    <cellStyle name="จุลภาค" xfId="2" builtinId="3"/>
    <cellStyle name="ปกติ" xfId="0" builtinId="0"/>
    <cellStyle name="ปกติ 2" xfId="3" xr:uid="{63D568A9-05C6-426D-8495-1D6A0E3D6995}"/>
    <cellStyle name="เปอร์เซ็นต์" xfId="1" builtinId="5"/>
  </cellStyles>
  <dxfs count="0"/>
  <tableStyles count="0" defaultTableStyle="TableStyleMedium2" defaultPivotStyle="PivotStyleLight16"/>
  <colors>
    <mruColors>
      <color rgb="FF0000FF"/>
      <color rgb="FFFF0000"/>
      <color rgb="FFFF0066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68B1-7ED2-41CC-AA9F-9B02A6B8E628}">
  <sheetPr>
    <tabColor rgb="FFFFFF00"/>
  </sheetPr>
  <dimension ref="A1:P24"/>
  <sheetViews>
    <sheetView tabSelected="1" zoomScale="70" zoomScaleNormal="70" workbookViewId="0">
      <pane xSplit="7" ySplit="3" topLeftCell="H4" activePane="bottomRight" state="frozen"/>
      <selection pane="topRight" activeCell="E1" sqref="E1"/>
      <selection pane="bottomLeft" activeCell="A4" sqref="A4"/>
      <selection pane="bottomRight" activeCell="D24" sqref="D24"/>
    </sheetView>
  </sheetViews>
  <sheetFormatPr defaultRowHeight="13.8" x14ac:dyDescent="0.25"/>
  <cols>
    <col min="1" max="1" width="16.5" customWidth="1"/>
    <col min="2" max="2" width="15.3984375" customWidth="1"/>
    <col min="3" max="3" width="14.3984375" customWidth="1"/>
    <col min="4" max="4" width="14.09765625" customWidth="1"/>
    <col min="5" max="5" width="18.3984375" customWidth="1"/>
    <col min="6" max="6" width="19.09765625" customWidth="1"/>
    <col min="7" max="7" width="11.8984375" customWidth="1"/>
    <col min="8" max="8" width="13.8984375" customWidth="1"/>
    <col min="9" max="9" width="13.5" customWidth="1"/>
    <col min="10" max="10" width="12.5" customWidth="1"/>
    <col min="11" max="11" width="16" customWidth="1"/>
    <col min="12" max="12" width="13.5" customWidth="1"/>
    <col min="13" max="13" width="10.5" customWidth="1"/>
    <col min="14" max="14" width="20.09765625" customWidth="1"/>
    <col min="15" max="15" width="12.19921875" customWidth="1"/>
    <col min="16" max="16" width="8.59765625" customWidth="1"/>
  </cols>
  <sheetData>
    <row r="1" spans="1:16" ht="28.8" x14ac:dyDescent="0.75">
      <c r="A1" s="64" t="s">
        <v>36</v>
      </c>
      <c r="E1" s="1"/>
      <c r="F1" s="1"/>
      <c r="G1" s="35"/>
      <c r="H1" s="1"/>
      <c r="I1" s="1"/>
      <c r="J1" s="38"/>
      <c r="K1" s="1"/>
      <c r="L1" s="1"/>
      <c r="M1" s="38"/>
      <c r="N1" s="1"/>
      <c r="O1" s="1"/>
      <c r="P1" s="38"/>
    </row>
    <row r="2" spans="1:16" ht="23.4" x14ac:dyDescent="0.6">
      <c r="A2" s="115" t="s">
        <v>51</v>
      </c>
      <c r="B2" s="115"/>
      <c r="C2" s="115"/>
      <c r="D2" s="115"/>
      <c r="E2" s="111" t="s">
        <v>0</v>
      </c>
      <c r="F2" s="111"/>
      <c r="G2" s="111"/>
      <c r="H2" s="112" t="s">
        <v>1</v>
      </c>
      <c r="I2" s="112"/>
      <c r="J2" s="112"/>
      <c r="K2" s="113" t="s">
        <v>2</v>
      </c>
      <c r="L2" s="113"/>
      <c r="M2" s="113"/>
      <c r="N2" s="114" t="s">
        <v>3</v>
      </c>
      <c r="O2" s="114"/>
      <c r="P2" s="114"/>
    </row>
    <row r="3" spans="1:16" s="65" customFormat="1" ht="23.4" x14ac:dyDescent="0.25">
      <c r="A3" s="66" t="s">
        <v>37</v>
      </c>
      <c r="B3" s="66" t="s">
        <v>5</v>
      </c>
      <c r="C3" s="68" t="s">
        <v>6</v>
      </c>
      <c r="D3" s="67" t="s">
        <v>7</v>
      </c>
      <c r="E3" s="66" t="s">
        <v>5</v>
      </c>
      <c r="F3" s="68" t="s">
        <v>6</v>
      </c>
      <c r="G3" s="67" t="s">
        <v>7</v>
      </c>
      <c r="H3" s="66" t="s">
        <v>5</v>
      </c>
      <c r="I3" s="68" t="s">
        <v>6</v>
      </c>
      <c r="J3" s="67" t="s">
        <v>7</v>
      </c>
      <c r="K3" s="66" t="s">
        <v>5</v>
      </c>
      <c r="L3" s="68" t="s">
        <v>6</v>
      </c>
      <c r="M3" s="67" t="s">
        <v>7</v>
      </c>
      <c r="N3" s="66" t="s">
        <v>5</v>
      </c>
      <c r="O3" s="68" t="s">
        <v>6</v>
      </c>
      <c r="P3" s="67" t="s">
        <v>7</v>
      </c>
    </row>
    <row r="4" spans="1:16" ht="23.4" x14ac:dyDescent="0.6">
      <c r="A4" s="62" t="s">
        <v>38</v>
      </c>
      <c r="B4" s="3">
        <f t="shared" ref="B4:B15" si="0">+E4+H4+K4+N4</f>
        <v>2509427.4400000004</v>
      </c>
      <c r="C4" s="69">
        <f t="shared" ref="C4:C15" si="1">+F4+I4+L4+O4</f>
        <v>227189.95999999996</v>
      </c>
      <c r="D4" s="32">
        <f>+C4/B4</f>
        <v>9.0534580270629356E-2</v>
      </c>
      <c r="E4" s="3">
        <f>+'ม.ค.'!B35</f>
        <v>1419580.7300000002</v>
      </c>
      <c r="F4" s="69">
        <f>+'ม.ค.'!C35</f>
        <v>163049.03999999998</v>
      </c>
      <c r="G4" s="32">
        <f>+F4/E4</f>
        <v>0.11485718040142737</v>
      </c>
      <c r="H4" s="3">
        <f>+'ม.ค.'!F35</f>
        <v>529399.4</v>
      </c>
      <c r="I4" s="69">
        <f>+'ม.ค.'!G35</f>
        <v>37660.35</v>
      </c>
      <c r="J4" s="32">
        <f>+I4/H4</f>
        <v>7.1137878131331461E-2</v>
      </c>
      <c r="K4" s="3">
        <f>+'ม.ค.'!J35</f>
        <v>218333.31</v>
      </c>
      <c r="L4" s="69">
        <f>+'ม.ค.'!K35</f>
        <v>15354.699999999997</v>
      </c>
      <c r="M4" s="32">
        <f>+L4/K4</f>
        <v>7.0326877744857144E-2</v>
      </c>
      <c r="N4" s="3">
        <f>+'ม.ค.'!N35</f>
        <v>342114</v>
      </c>
      <c r="O4" s="69">
        <f>+'ม.ค.'!O35</f>
        <v>11125.87</v>
      </c>
      <c r="P4" s="32">
        <f>+O4/N4</f>
        <v>3.2520943311293897E-2</v>
      </c>
    </row>
    <row r="5" spans="1:16" ht="23.4" x14ac:dyDescent="0.6">
      <c r="A5" s="62" t="s">
        <v>39</v>
      </c>
      <c r="B5" s="3">
        <f t="shared" si="0"/>
        <v>878016.19</v>
      </c>
      <c r="C5" s="69">
        <f t="shared" si="1"/>
        <v>132588.03</v>
      </c>
      <c r="D5" s="32">
        <f>+C5/B5</f>
        <v>0.15100863914593649</v>
      </c>
      <c r="E5" s="3">
        <f>+'ก.พ.'!B35</f>
        <v>272957.08999999997</v>
      </c>
      <c r="F5" s="69">
        <f>+'ก.พ.'!C35</f>
        <v>57441.679999999993</v>
      </c>
      <c r="G5" s="32">
        <f t="shared" ref="G5:G15" si="2">+F5/E5</f>
        <v>0.21044216144010033</v>
      </c>
      <c r="H5" s="3">
        <f>+'ก.พ.'!F35</f>
        <v>290703.87</v>
      </c>
      <c r="I5" s="69">
        <f>+'ก.พ.'!G35</f>
        <v>46570.169999999991</v>
      </c>
      <c r="J5" s="32">
        <f t="shared" ref="J5:J15" si="3">+I5/H5</f>
        <v>0.16019797053269361</v>
      </c>
      <c r="K5" s="3">
        <f>+'ก.พ.'!J35</f>
        <v>184722.23000000004</v>
      </c>
      <c r="L5" s="69">
        <f>+'ก.พ.'!K35</f>
        <v>17170.879999999997</v>
      </c>
      <c r="M5" s="32">
        <f t="shared" ref="M5:M15" si="4">+L5/K5</f>
        <v>9.2955135935723562E-2</v>
      </c>
      <c r="N5" s="3">
        <f>+'ก.พ.'!N35</f>
        <v>129633</v>
      </c>
      <c r="O5" s="69">
        <f>+'ก.พ.'!O35</f>
        <v>11405.300000000005</v>
      </c>
      <c r="P5" s="32">
        <f t="shared" ref="P5:P15" si="5">+O5/N5</f>
        <v>8.7981455339304071E-2</v>
      </c>
    </row>
    <row r="6" spans="1:16" ht="23.4" x14ac:dyDescent="0.6">
      <c r="A6" s="62" t="s">
        <v>40</v>
      </c>
      <c r="B6" s="3">
        <f t="shared" si="0"/>
        <v>1155265.22</v>
      </c>
      <c r="C6" s="69">
        <f t="shared" si="1"/>
        <v>115630.91999999998</v>
      </c>
      <c r="D6" s="32">
        <f>+C6/B6</f>
        <v>0.1000903671279916</v>
      </c>
      <c r="E6" s="3">
        <f>+'มี.ค.'!B35</f>
        <v>451899.91</v>
      </c>
      <c r="F6" s="69">
        <f>+'มี.ค.'!C35</f>
        <v>42906.22</v>
      </c>
      <c r="G6" s="32">
        <f t="shared" si="2"/>
        <v>9.4946290208378234E-2</v>
      </c>
      <c r="H6" s="3">
        <f>+'มี.ค.'!F35</f>
        <v>355955</v>
      </c>
      <c r="I6" s="69">
        <f>+'มี.ค.'!G35</f>
        <v>46673.419999999991</v>
      </c>
      <c r="J6" s="32">
        <f t="shared" si="3"/>
        <v>0.13112168673006416</v>
      </c>
      <c r="K6" s="3">
        <f>+'มี.ค.'!J35</f>
        <v>218333.31</v>
      </c>
      <c r="L6" s="69">
        <f>+'มี.ค.'!K35</f>
        <v>15354.699999999997</v>
      </c>
      <c r="M6" s="32">
        <f t="shared" si="4"/>
        <v>7.0326877744857144E-2</v>
      </c>
      <c r="N6" s="3">
        <f>+'มี.ค.'!N35</f>
        <v>129077</v>
      </c>
      <c r="O6" s="69">
        <f>+'มี.ค.'!O35</f>
        <v>10696.580000000002</v>
      </c>
      <c r="P6" s="32">
        <f t="shared" si="5"/>
        <v>8.2869759910750962E-2</v>
      </c>
    </row>
    <row r="7" spans="1:16" ht="23.4" x14ac:dyDescent="0.6">
      <c r="A7" s="62" t="s">
        <v>41</v>
      </c>
      <c r="B7" s="3">
        <f t="shared" si="0"/>
        <v>1723910.53</v>
      </c>
      <c r="C7" s="69">
        <f t="shared" si="1"/>
        <v>256594.60999999993</v>
      </c>
      <c r="D7" s="32">
        <f t="shared" ref="D7:D15" si="6">+C7/B7</f>
        <v>0.1488445052887982</v>
      </c>
      <c r="E7" s="3">
        <f>+'เม.ย.'!B35</f>
        <v>1075941.82</v>
      </c>
      <c r="F7" s="69">
        <f>+'เม.ย.'!C35</f>
        <v>190448.67999999993</v>
      </c>
      <c r="G7" s="32">
        <f t="shared" si="2"/>
        <v>0.17700648535066693</v>
      </c>
      <c r="H7" s="3">
        <f>+'เม.ย.'!F35</f>
        <v>371081</v>
      </c>
      <c r="I7" s="69">
        <f>+'เม.ย.'!G35</f>
        <v>43938.239999999998</v>
      </c>
      <c r="J7" s="32">
        <f t="shared" si="3"/>
        <v>0.11840606228828746</v>
      </c>
      <c r="K7" s="3">
        <f>+'เม.ย.'!J35</f>
        <v>93014.709999999992</v>
      </c>
      <c r="L7" s="69">
        <f>+'เม.ย.'!K35</f>
        <v>7149.9299999999985</v>
      </c>
      <c r="M7" s="32">
        <f t="shared" si="4"/>
        <v>7.6868809245333333E-2</v>
      </c>
      <c r="N7" s="3">
        <f>+'เม.ย.'!N35</f>
        <v>183873</v>
      </c>
      <c r="O7" s="69">
        <f>+'เม.ย.'!O35</f>
        <v>15057.760000000004</v>
      </c>
      <c r="P7" s="32">
        <f t="shared" si="5"/>
        <v>8.1892175577708545E-2</v>
      </c>
    </row>
    <row r="8" spans="1:16" ht="23.4" x14ac:dyDescent="0.6">
      <c r="A8" s="62" t="s">
        <v>42</v>
      </c>
      <c r="B8" s="3">
        <f t="shared" si="0"/>
        <v>1963780.0700000003</v>
      </c>
      <c r="C8" s="69">
        <f t="shared" si="1"/>
        <v>241636.03000000003</v>
      </c>
      <c r="D8" s="32">
        <f t="shared" si="6"/>
        <v>0.12304638064689188</v>
      </c>
      <c r="E8" s="3">
        <f>+'พ.ค.'!B35</f>
        <v>1306217.8500000003</v>
      </c>
      <c r="F8" s="69">
        <f>+'พ.ค.'!C35</f>
        <v>180851.38000000003</v>
      </c>
      <c r="G8" s="32">
        <f t="shared" si="2"/>
        <v>0.13845422492121048</v>
      </c>
      <c r="H8" s="3">
        <f>+'พ.ค.'!F35</f>
        <v>473804</v>
      </c>
      <c r="I8" s="69">
        <f>+'พ.ค.'!G35</f>
        <v>39036.33</v>
      </c>
      <c r="J8" s="32">
        <f t="shared" si="3"/>
        <v>8.2389194688098882E-2</v>
      </c>
      <c r="K8" s="3">
        <f>+'พ.ค.'!J35</f>
        <v>75200.219999999987</v>
      </c>
      <c r="L8" s="69">
        <f>+'พ.ค.'!K35</f>
        <v>6115.2399999999989</v>
      </c>
      <c r="M8" s="32">
        <f t="shared" si="4"/>
        <v>8.1319442948438181E-2</v>
      </c>
      <c r="N8" s="3">
        <f>+'พ.ค.'!N35</f>
        <v>108558</v>
      </c>
      <c r="O8" s="69">
        <f>+'พ.ค.'!O35</f>
        <v>15633.080000000002</v>
      </c>
      <c r="P8" s="32">
        <f t="shared" si="5"/>
        <v>0.14400670609259567</v>
      </c>
    </row>
    <row r="9" spans="1:16" ht="23.4" x14ac:dyDescent="0.6">
      <c r="A9" s="62" t="s">
        <v>43</v>
      </c>
      <c r="B9" s="3">
        <f t="shared" si="0"/>
        <v>1719188.2900000003</v>
      </c>
      <c r="C9" s="69">
        <f t="shared" si="1"/>
        <v>259343.4</v>
      </c>
      <c r="D9" s="32">
        <f t="shared" si="6"/>
        <v>0.15085223736604206</v>
      </c>
      <c r="E9" s="3">
        <f>+'มิ.ย.'!B35</f>
        <v>1117036.1900000002</v>
      </c>
      <c r="F9" s="69">
        <f>+'มิ.ย.'!C35</f>
        <v>187551.71</v>
      </c>
      <c r="G9" s="32">
        <f t="shared" si="2"/>
        <v>0.1679011939622117</v>
      </c>
      <c r="H9" s="3">
        <f>+'มิ.ย.'!F35</f>
        <v>438380.5</v>
      </c>
      <c r="I9" s="69">
        <f>+'มิ.ย.'!G35</f>
        <v>52417.1</v>
      </c>
      <c r="J9" s="32">
        <f t="shared" si="3"/>
        <v>0.11956987137885923</v>
      </c>
      <c r="K9" s="3">
        <f>+'มิ.ย.'!J35</f>
        <v>64033.599999999999</v>
      </c>
      <c r="L9" s="69">
        <f>+'มิ.ย.'!K35</f>
        <v>4663.6200000000017</v>
      </c>
      <c r="M9" s="32">
        <f t="shared" si="4"/>
        <v>7.2830826316184039E-2</v>
      </c>
      <c r="N9" s="3">
        <f>+'มิ.ย.'!N35</f>
        <v>99738</v>
      </c>
      <c r="O9" s="69">
        <f>+'มิ.ย.'!O35</f>
        <v>14710.970000000001</v>
      </c>
      <c r="P9" s="32">
        <f t="shared" si="5"/>
        <v>0.14749613988650265</v>
      </c>
    </row>
    <row r="10" spans="1:16" ht="23.4" x14ac:dyDescent="0.6">
      <c r="A10" s="62" t="s">
        <v>44</v>
      </c>
      <c r="B10" s="3">
        <f t="shared" si="0"/>
        <v>1703967.8299999998</v>
      </c>
      <c r="C10" s="69">
        <f t="shared" si="1"/>
        <v>159985.99</v>
      </c>
      <c r="D10" s="32">
        <f t="shared" si="6"/>
        <v>9.3890264348476582E-2</v>
      </c>
      <c r="E10" s="3">
        <f>+'ก.ค.'!C39</f>
        <v>816485.92999999993</v>
      </c>
      <c r="F10" s="69">
        <f>+'ก.ค.'!C35</f>
        <v>108539.42000000001</v>
      </c>
      <c r="G10" s="32">
        <f t="shared" si="2"/>
        <v>0.1329348320797151</v>
      </c>
      <c r="H10" s="3">
        <f>+'ก.ค.'!C40</f>
        <v>684586</v>
      </c>
      <c r="I10" s="69">
        <f>+'ก.ค.'!G35</f>
        <v>30166.440000000002</v>
      </c>
      <c r="J10" s="32">
        <f t="shared" si="3"/>
        <v>4.4065230664956635E-2</v>
      </c>
      <c r="K10" s="3">
        <f>+'ก.ค.'!J35</f>
        <v>93199.89999999998</v>
      </c>
      <c r="L10" s="69">
        <f>+'ก.ค.'!K35</f>
        <v>2565.8000000000002</v>
      </c>
      <c r="M10" s="32">
        <f t="shared" si="4"/>
        <v>2.7530072457159296E-2</v>
      </c>
      <c r="N10" s="3">
        <f>+'ก.ค.'!N35</f>
        <v>109696</v>
      </c>
      <c r="O10" s="69">
        <f>+'ก.ค.'!O35</f>
        <v>18714.329999999998</v>
      </c>
      <c r="P10" s="32">
        <f t="shared" si="5"/>
        <v>0.17060175393815635</v>
      </c>
    </row>
    <row r="11" spans="1:16" ht="23.4" x14ac:dyDescent="0.6">
      <c r="A11" s="62" t="s">
        <v>45</v>
      </c>
      <c r="B11" s="3">
        <f t="shared" si="0"/>
        <v>1460210.62</v>
      </c>
      <c r="C11" s="69">
        <f t="shared" si="1"/>
        <v>145123.34</v>
      </c>
      <c r="D11" s="32">
        <f t="shared" si="6"/>
        <v>9.9385210607494404E-2</v>
      </c>
      <c r="E11" s="3">
        <f>+'ส.ค.'!B35</f>
        <v>744295.08000000019</v>
      </c>
      <c r="F11" s="69">
        <f>+'ส.ค.'!C35</f>
        <v>116493.68999999999</v>
      </c>
      <c r="G11" s="32">
        <f t="shared" si="2"/>
        <v>0.15651546426989676</v>
      </c>
      <c r="H11" s="3">
        <f>+'ส.ค.'!F35</f>
        <v>428177.66</v>
      </c>
      <c r="I11" s="69">
        <f>+'ส.ค.'!G35</f>
        <v>8548.9600000000009</v>
      </c>
      <c r="J11" s="32">
        <f t="shared" si="3"/>
        <v>1.9965917885580491E-2</v>
      </c>
      <c r="K11" s="3">
        <f>+'ส.ค.'!J35</f>
        <v>108192.87999999999</v>
      </c>
      <c r="L11" s="69">
        <f>+'ส.ค.'!K35</f>
        <v>4404.1999999999989</v>
      </c>
      <c r="M11" s="32">
        <f t="shared" si="4"/>
        <v>4.0706930067856584E-2</v>
      </c>
      <c r="N11" s="3">
        <f>+'ส.ค.'!N35</f>
        <v>179545</v>
      </c>
      <c r="O11" s="69">
        <f>+'ส.ค.'!O35</f>
        <v>15676.49</v>
      </c>
      <c r="P11" s="32">
        <f t="shared" si="5"/>
        <v>8.731231724637277E-2</v>
      </c>
    </row>
    <row r="12" spans="1:16" ht="23.4" x14ac:dyDescent="0.6">
      <c r="A12" s="62" t="s">
        <v>46</v>
      </c>
      <c r="B12" s="3">
        <f t="shared" si="0"/>
        <v>1655450.35</v>
      </c>
      <c r="C12" s="69">
        <f t="shared" si="1"/>
        <v>231423.01999999996</v>
      </c>
      <c r="D12" s="32">
        <f t="shared" si="6"/>
        <v>0.13979460030317425</v>
      </c>
      <c r="E12" s="3">
        <f>+'ก.ย.'!B35</f>
        <v>937399.29000000015</v>
      </c>
      <c r="F12" s="69">
        <f>+'ก.ย.'!C35</f>
        <v>150724.23999999996</v>
      </c>
      <c r="G12" s="32">
        <f t="shared" si="2"/>
        <v>0.16078979534964224</v>
      </c>
      <c r="H12" s="3">
        <f>+'ก.ย.'!F35</f>
        <v>362846</v>
      </c>
      <c r="I12" s="69">
        <f>+'ก.ย.'!G35</f>
        <v>40171.39</v>
      </c>
      <c r="J12" s="32">
        <f t="shared" si="3"/>
        <v>0.11071195493404916</v>
      </c>
      <c r="K12" s="3">
        <f>+'ก.ย.'!J35</f>
        <v>131041.05999999998</v>
      </c>
      <c r="L12" s="69">
        <f>+'ก.ย.'!K35</f>
        <v>14726.07</v>
      </c>
      <c r="M12" s="32">
        <f t="shared" si="4"/>
        <v>0.11237752502917789</v>
      </c>
      <c r="N12" s="3">
        <f>+'ก.ย.'!N35</f>
        <v>224164</v>
      </c>
      <c r="O12" s="69">
        <f>+'ก.ย.'!O35</f>
        <v>25801.319999999996</v>
      </c>
      <c r="P12" s="32">
        <f t="shared" si="5"/>
        <v>0.115100194500455</v>
      </c>
    </row>
    <row r="13" spans="1:16" ht="23.4" x14ac:dyDescent="0.6">
      <c r="A13" s="62" t="s">
        <v>47</v>
      </c>
      <c r="B13" s="3">
        <f t="shared" si="0"/>
        <v>851664</v>
      </c>
      <c r="C13" s="69">
        <f t="shared" si="1"/>
        <v>118702.52</v>
      </c>
      <c r="D13" s="32">
        <f t="shared" si="6"/>
        <v>0.13937717221815177</v>
      </c>
      <c r="E13" s="3">
        <v>361442</v>
      </c>
      <c r="F13" s="69">
        <v>52171.85</v>
      </c>
      <c r="G13" s="32">
        <f t="shared" si="2"/>
        <v>0.14434362912998489</v>
      </c>
      <c r="H13" s="3">
        <v>82999</v>
      </c>
      <c r="I13" s="69">
        <v>18186.23</v>
      </c>
      <c r="J13" s="32">
        <f t="shared" si="3"/>
        <v>0.21911384474511741</v>
      </c>
      <c r="K13" s="3">
        <v>53979</v>
      </c>
      <c r="L13" s="69">
        <v>4922.51</v>
      </c>
      <c r="M13" s="32">
        <f t="shared" si="4"/>
        <v>9.1193056559032218E-2</v>
      </c>
      <c r="N13" s="3">
        <f>+'ต.ค.'!N35</f>
        <v>353244</v>
      </c>
      <c r="O13" s="69">
        <f>+'ต.ค.'!O35</f>
        <v>43421.930000000008</v>
      </c>
      <c r="P13" s="32">
        <f t="shared" si="5"/>
        <v>0.12292333344656953</v>
      </c>
    </row>
    <row r="14" spans="1:16" ht="23.4" x14ac:dyDescent="0.6">
      <c r="A14" s="62" t="s">
        <v>48</v>
      </c>
      <c r="B14" s="3">
        <f t="shared" si="0"/>
        <v>1706744.6600000001</v>
      </c>
      <c r="C14" s="69">
        <f t="shared" si="1"/>
        <v>217420.78000000003</v>
      </c>
      <c r="D14" s="32">
        <f t="shared" si="6"/>
        <v>0.12738916669585479</v>
      </c>
      <c r="E14" s="3">
        <f>+'พ.ย.'!B35</f>
        <v>1063180.5900000001</v>
      </c>
      <c r="F14" s="69">
        <f>+'พ.ย.'!C35</f>
        <v>146915.09000000005</v>
      </c>
      <c r="G14" s="32">
        <f t="shared" si="2"/>
        <v>0.13818451106222701</v>
      </c>
      <c r="H14" s="3">
        <f>+'พ.ย.'!F35</f>
        <v>324577</v>
      </c>
      <c r="I14" s="69">
        <f>+'พ.ย.'!G35</f>
        <v>27974.770000000004</v>
      </c>
      <c r="J14" s="32">
        <f t="shared" si="3"/>
        <v>8.6188392892903698E-2</v>
      </c>
      <c r="K14" s="3">
        <f>+'พ.ย.'!J35</f>
        <v>137225.06999999995</v>
      </c>
      <c r="L14" s="69">
        <f>+'พ.ย.'!K35</f>
        <v>15358.809999999998</v>
      </c>
      <c r="M14" s="32">
        <f t="shared" si="4"/>
        <v>0.1119242278397089</v>
      </c>
      <c r="N14" s="3">
        <f>+'พ.ย.'!N35</f>
        <v>181762</v>
      </c>
      <c r="O14" s="69">
        <f>+'พ.ย.'!O35</f>
        <v>27172.109999999993</v>
      </c>
      <c r="P14" s="32">
        <f t="shared" si="5"/>
        <v>0.14949279827466683</v>
      </c>
    </row>
    <row r="15" spans="1:16" ht="23.4" x14ac:dyDescent="0.6">
      <c r="A15" s="62" t="s">
        <v>49</v>
      </c>
      <c r="B15" s="3">
        <f t="shared" si="0"/>
        <v>7342719.8500000006</v>
      </c>
      <c r="C15" s="69">
        <f t="shared" si="1"/>
        <v>492416.67</v>
      </c>
      <c r="D15" s="32">
        <f t="shared" si="6"/>
        <v>6.7061889879946865E-2</v>
      </c>
      <c r="E15" s="3">
        <f>+'ธ.ค.'!B35</f>
        <v>5428550.6500000004</v>
      </c>
      <c r="F15" s="69">
        <f>+'ธ.ค.'!C35</f>
        <v>419092.68</v>
      </c>
      <c r="G15" s="32">
        <f t="shared" si="2"/>
        <v>7.7201578657095149E-2</v>
      </c>
      <c r="H15" s="3">
        <f>+'ธ.ค.'!F35</f>
        <v>880595</v>
      </c>
      <c r="I15" s="69">
        <f>+'ธ.ค.'!G35</f>
        <v>12298.979999999996</v>
      </c>
      <c r="J15" s="32">
        <f t="shared" si="3"/>
        <v>1.3966670262720087E-2</v>
      </c>
      <c r="K15" s="3">
        <f>+'ธ.ค.'!J35</f>
        <v>288592.19999999995</v>
      </c>
      <c r="L15" s="69">
        <f>+'ธ.ค.'!K35</f>
        <v>19998.57</v>
      </c>
      <c r="M15" s="32">
        <f t="shared" si="4"/>
        <v>6.9296987236661292E-2</v>
      </c>
      <c r="N15" s="3">
        <f>+'ธ.ค.'!N35</f>
        <v>744982</v>
      </c>
      <c r="O15" s="69">
        <f>+'ธ.ค.'!O35</f>
        <v>41026.44</v>
      </c>
      <c r="P15" s="32">
        <f t="shared" si="5"/>
        <v>5.5070377539323104E-2</v>
      </c>
    </row>
    <row r="16" spans="1:16" ht="27" thickBot="1" x14ac:dyDescent="0.75">
      <c r="A16" s="63" t="s">
        <v>11</v>
      </c>
      <c r="B16" s="39">
        <f>SUM(B4:B15)</f>
        <v>24670345.050000004</v>
      </c>
      <c r="C16" s="70">
        <f>SUM(C4:C15)</f>
        <v>2598055.27</v>
      </c>
      <c r="D16" s="15" t="s">
        <v>12</v>
      </c>
      <c r="E16" s="39">
        <f>SUM(E4:E15)</f>
        <v>14994987.130000001</v>
      </c>
      <c r="F16" s="70">
        <f>SUM(F4:F15)</f>
        <v>1816185.68</v>
      </c>
      <c r="G16" s="15" t="s">
        <v>12</v>
      </c>
      <c r="H16" s="39">
        <f>SUM(H4:H15)</f>
        <v>5223104.43</v>
      </c>
      <c r="I16" s="70">
        <f>SUM(I4:I15)</f>
        <v>403642.37999999995</v>
      </c>
      <c r="J16" s="15" t="s">
        <v>12</v>
      </c>
      <c r="K16" s="39">
        <f>SUM(K4:K15)</f>
        <v>1665867.49</v>
      </c>
      <c r="L16" s="70">
        <f>SUM(L4:L15)</f>
        <v>127785.02999999997</v>
      </c>
      <c r="M16" s="15" t="s">
        <v>12</v>
      </c>
      <c r="N16" s="39">
        <f>SUM(N4:N15)</f>
        <v>2786386</v>
      </c>
      <c r="O16" s="70">
        <f>SUM(O4:O15)</f>
        <v>250442.18</v>
      </c>
      <c r="P16" s="15" t="s">
        <v>12</v>
      </c>
    </row>
    <row r="17" spans="2:16" ht="24" thickTop="1" x14ac:dyDescent="0.6">
      <c r="E17" s="6"/>
      <c r="F17" s="6"/>
      <c r="G17" s="33"/>
      <c r="H17" s="6"/>
      <c r="I17" s="6"/>
      <c r="J17" s="26"/>
      <c r="K17" s="6"/>
      <c r="L17" s="6"/>
      <c r="M17" s="26"/>
      <c r="N17" s="6"/>
      <c r="O17" s="6"/>
      <c r="P17" s="26"/>
    </row>
    <row r="18" spans="2:16" ht="23.4" customHeight="1" x14ac:dyDescent="0.6">
      <c r="B18" s="109" t="s">
        <v>50</v>
      </c>
      <c r="C18" s="110"/>
      <c r="D18" s="110"/>
      <c r="E18" s="110"/>
      <c r="H18" s="7"/>
      <c r="I18" s="37"/>
      <c r="J18" s="6"/>
      <c r="K18" s="6"/>
      <c r="L18" s="26"/>
      <c r="M18" s="6"/>
      <c r="N18" s="6"/>
      <c r="O18" s="26"/>
      <c r="P18" s="1"/>
    </row>
    <row r="19" spans="2:16" ht="26.4" x14ac:dyDescent="0.7">
      <c r="B19" s="47" t="s">
        <v>9</v>
      </c>
      <c r="C19" s="47" t="s">
        <v>5</v>
      </c>
      <c r="D19" s="47" t="s">
        <v>6</v>
      </c>
      <c r="E19" s="57" t="s">
        <v>7</v>
      </c>
      <c r="H19" s="8"/>
      <c r="I19" s="26"/>
      <c r="J19" s="8"/>
      <c r="K19" s="8"/>
      <c r="L19" s="26"/>
      <c r="M19" s="9"/>
      <c r="N19" s="6"/>
      <c r="O19" s="26"/>
      <c r="P19" s="1"/>
    </row>
    <row r="20" spans="2:16" ht="23.4" x14ac:dyDescent="0.6">
      <c r="B20" s="40" t="s">
        <v>0</v>
      </c>
      <c r="C20" s="41">
        <f>+E16</f>
        <v>14994987.130000001</v>
      </c>
      <c r="D20" s="41">
        <f>+F16</f>
        <v>1816185.68</v>
      </c>
      <c r="E20" s="43">
        <f>+D20/C20</f>
        <v>0.12111952242802625</v>
      </c>
      <c r="H20" s="10"/>
      <c r="I20" s="28"/>
      <c r="J20" s="10"/>
      <c r="K20" s="10"/>
      <c r="L20" s="26"/>
      <c r="M20" s="6"/>
      <c r="N20" s="6"/>
      <c r="O20" s="26"/>
      <c r="P20" s="1"/>
    </row>
    <row r="21" spans="2:16" ht="23.4" x14ac:dyDescent="0.6">
      <c r="B21" s="40" t="s">
        <v>1</v>
      </c>
      <c r="C21" s="42">
        <f>+H16</f>
        <v>5223104.43</v>
      </c>
      <c r="D21" s="42">
        <f>+I16</f>
        <v>403642.37999999995</v>
      </c>
      <c r="E21" s="43">
        <f t="shared" ref="E21:E22" si="7">+D21/C21</f>
        <v>7.7280166500519304E-2</v>
      </c>
      <c r="H21" s="11"/>
      <c r="I21" s="29"/>
      <c r="J21" s="12"/>
      <c r="K21" s="13"/>
      <c r="L21" s="26"/>
      <c r="M21" s="2"/>
      <c r="N21" s="6"/>
      <c r="O21" s="26"/>
      <c r="P21" s="1"/>
    </row>
    <row r="22" spans="2:16" ht="23.4" x14ac:dyDescent="0.6">
      <c r="B22" s="40" t="s">
        <v>2</v>
      </c>
      <c r="C22" s="42">
        <f>+K16</f>
        <v>1665867.49</v>
      </c>
      <c r="D22" s="42">
        <f>+L16</f>
        <v>127785.02999999997</v>
      </c>
      <c r="E22" s="43">
        <f t="shared" si="7"/>
        <v>7.6707799850274982E-2</v>
      </c>
      <c r="H22" s="11"/>
      <c r="I22" s="29"/>
      <c r="J22" s="12"/>
      <c r="K22" s="13"/>
      <c r="L22" s="26"/>
      <c r="M22" s="2"/>
      <c r="N22" s="6"/>
      <c r="O22" s="26"/>
      <c r="P22" s="1"/>
    </row>
    <row r="23" spans="2:16" ht="23.4" x14ac:dyDescent="0.6">
      <c r="B23" s="40" t="s">
        <v>3</v>
      </c>
      <c r="C23" s="42">
        <f>+N16</f>
        <v>2786386</v>
      </c>
      <c r="D23" s="42">
        <f>+O16</f>
        <v>250442.18</v>
      </c>
      <c r="E23" s="43">
        <f>+D23/C23</f>
        <v>8.9880648266248822E-2</v>
      </c>
      <c r="H23" s="11"/>
      <c r="I23" s="29"/>
      <c r="J23" s="12"/>
      <c r="K23" s="13"/>
      <c r="L23" s="26"/>
      <c r="M23" s="2"/>
      <c r="N23" s="6"/>
      <c r="O23" s="26"/>
      <c r="P23" s="1"/>
    </row>
    <row r="24" spans="2:16" ht="26.4" x14ac:dyDescent="0.7">
      <c r="B24" s="44" t="s">
        <v>10</v>
      </c>
      <c r="C24" s="45">
        <f>SUM(C20:C23)</f>
        <v>24670345.050000001</v>
      </c>
      <c r="D24" s="45">
        <f>SUM(D20:D23)</f>
        <v>2598055.27</v>
      </c>
      <c r="E24" s="59">
        <f>+D24/C24</f>
        <v>0.10531086066021601</v>
      </c>
      <c r="H24" s="11"/>
      <c r="I24" s="29"/>
      <c r="J24" s="12"/>
      <c r="K24" s="13"/>
      <c r="L24" s="26"/>
      <c r="M24" s="2"/>
      <c r="N24" s="6"/>
      <c r="O24" s="26"/>
      <c r="P24" s="1"/>
    </row>
  </sheetData>
  <mergeCells count="6">
    <mergeCell ref="B18:E18"/>
    <mergeCell ref="E2:G2"/>
    <mergeCell ref="H2:J2"/>
    <mergeCell ref="K2:M2"/>
    <mergeCell ref="N2:P2"/>
    <mergeCell ref="A2:D2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27C84-F202-4585-BA82-B352D6CD1E6E}">
  <sheetPr>
    <tabColor rgb="FF00B0F0"/>
  </sheetPr>
  <dimension ref="A1:XFD70"/>
  <sheetViews>
    <sheetView zoomScale="115" zoomScaleNormal="115" workbookViewId="0">
      <pane xSplit="4" ySplit="3" topLeftCell="E4" activePane="bottomRight" state="frozen"/>
      <selection activeCell="F33" sqref="F33"/>
      <selection pane="topRight" activeCell="F33" sqref="F33"/>
      <selection pane="bottomLeft" activeCell="F33" sqref="F33"/>
      <selection pane="bottomRight" activeCell="G9" sqref="G9"/>
    </sheetView>
  </sheetViews>
  <sheetFormatPr defaultRowHeight="23.4" x14ac:dyDescent="0.6"/>
  <cols>
    <col min="1" max="1" width="9.09765625" style="1" bestFit="1" customWidth="1"/>
    <col min="2" max="2" width="11.69921875" style="1" bestFit="1" customWidth="1"/>
    <col min="3" max="3" width="12.59765625" style="1" bestFit="1" customWidth="1"/>
    <col min="4" max="4" width="10.8984375" style="35" bestFit="1" customWidth="1"/>
    <col min="5" max="5" width="9.3984375" style="1" bestFit="1" customWidth="1"/>
    <col min="6" max="6" width="10.19921875" style="1" bestFit="1" customWidth="1"/>
    <col min="7" max="7" width="9.09765625" style="1" bestFit="1" customWidth="1"/>
    <col min="8" max="8" width="8.3984375" style="38" customWidth="1"/>
    <col min="9" max="9" width="9.09765625" style="1" bestFit="1" customWidth="1"/>
    <col min="10" max="10" width="10.19921875" style="1" bestFit="1" customWidth="1"/>
    <col min="11" max="11" width="9.09765625" style="1" bestFit="1" customWidth="1"/>
    <col min="12" max="12" width="7.8984375" style="38" bestFit="1" customWidth="1"/>
    <col min="13" max="13" width="9.09765625" style="1" bestFit="1" customWidth="1"/>
    <col min="14" max="14" width="10.19921875" style="1" bestFit="1" customWidth="1"/>
    <col min="15" max="15" width="9.09765625" style="1" bestFit="1" customWidth="1"/>
    <col min="16" max="16" width="8.3984375" style="38" customWidth="1"/>
    <col min="17" max="16383" width="8.69921875" style="1"/>
    <col min="16384" max="16384" width="9" style="1" bestFit="1" customWidth="1"/>
  </cols>
  <sheetData>
    <row r="1" spans="1:16" ht="28.8" x14ac:dyDescent="0.75">
      <c r="A1" s="48" t="s">
        <v>15</v>
      </c>
    </row>
    <row r="2" spans="1:16" s="18" customFormat="1" x14ac:dyDescent="0.6">
      <c r="A2" s="111" t="s">
        <v>0</v>
      </c>
      <c r="B2" s="111"/>
      <c r="C2" s="111"/>
      <c r="D2" s="111"/>
      <c r="E2" s="112" t="s">
        <v>1</v>
      </c>
      <c r="F2" s="112"/>
      <c r="G2" s="112"/>
      <c r="H2" s="112"/>
      <c r="I2" s="113" t="s">
        <v>2</v>
      </c>
      <c r="J2" s="113"/>
      <c r="K2" s="113"/>
      <c r="L2" s="113"/>
      <c r="M2" s="114" t="s">
        <v>3</v>
      </c>
      <c r="N2" s="114"/>
      <c r="O2" s="114"/>
      <c r="P2" s="114"/>
    </row>
    <row r="3" spans="1:16" s="22" customFormat="1" x14ac:dyDescent="0.25">
      <c r="A3" s="23" t="s">
        <v>4</v>
      </c>
      <c r="B3" s="23" t="s">
        <v>5</v>
      </c>
      <c r="C3" s="23" t="s">
        <v>6</v>
      </c>
      <c r="D3" s="25" t="s">
        <v>7</v>
      </c>
      <c r="E3" s="19" t="s">
        <v>4</v>
      </c>
      <c r="F3" s="19" t="s">
        <v>5</v>
      </c>
      <c r="G3" s="19" t="s">
        <v>6</v>
      </c>
      <c r="H3" s="27" t="s">
        <v>7</v>
      </c>
      <c r="I3" s="20" t="s">
        <v>4</v>
      </c>
      <c r="J3" s="20" t="s">
        <v>5</v>
      </c>
      <c r="K3" s="20" t="s">
        <v>6</v>
      </c>
      <c r="L3" s="30" t="s">
        <v>7</v>
      </c>
      <c r="M3" s="21" t="s">
        <v>4</v>
      </c>
      <c r="N3" s="21" t="s">
        <v>5</v>
      </c>
      <c r="O3" s="21" t="s">
        <v>6</v>
      </c>
      <c r="P3" s="31" t="s">
        <v>7</v>
      </c>
    </row>
    <row r="4" spans="1:16" x14ac:dyDescent="0.6">
      <c r="A4" s="24">
        <v>45689</v>
      </c>
      <c r="B4" s="3">
        <v>0</v>
      </c>
      <c r="C4" s="3">
        <v>0</v>
      </c>
      <c r="D4" s="32">
        <v>0</v>
      </c>
      <c r="E4" s="24">
        <v>45689</v>
      </c>
      <c r="F4" s="3">
        <v>0</v>
      </c>
      <c r="G4" s="3">
        <v>0</v>
      </c>
      <c r="H4" s="32">
        <v>0</v>
      </c>
      <c r="I4" s="24">
        <v>45689</v>
      </c>
      <c r="J4" s="3">
        <v>0</v>
      </c>
      <c r="K4" s="3">
        <v>0</v>
      </c>
      <c r="L4" s="32">
        <v>0</v>
      </c>
      <c r="M4" s="24">
        <v>45689</v>
      </c>
      <c r="N4" s="3">
        <v>0</v>
      </c>
      <c r="O4" s="4">
        <v>0</v>
      </c>
      <c r="P4" s="32">
        <v>0</v>
      </c>
    </row>
    <row r="5" spans="1:16" x14ac:dyDescent="0.6">
      <c r="A5" s="24">
        <v>45690</v>
      </c>
      <c r="B5" s="3">
        <v>9146.32</v>
      </c>
      <c r="C5" s="3">
        <v>709.22</v>
      </c>
      <c r="D5" s="32">
        <f t="shared" ref="D5:D31" si="0">+C5/B5</f>
        <v>7.7541568630881061E-2</v>
      </c>
      <c r="E5" s="24">
        <v>45690</v>
      </c>
      <c r="F5" s="3">
        <v>6480</v>
      </c>
      <c r="G5" s="3">
        <v>643.62</v>
      </c>
      <c r="H5" s="32">
        <f t="shared" ref="H5:H31" si="1">+G5/F5</f>
        <v>9.9324074074074079E-2</v>
      </c>
      <c r="I5" s="24">
        <v>45690</v>
      </c>
      <c r="J5" s="5">
        <v>612.70000000000005</v>
      </c>
      <c r="K5" s="3">
        <v>27</v>
      </c>
      <c r="L5" s="32">
        <f t="shared" ref="L5:L31" si="2">+K5/J5</f>
        <v>4.406724334911049E-2</v>
      </c>
      <c r="M5" s="24">
        <v>45690</v>
      </c>
      <c r="N5" s="3">
        <v>6044</v>
      </c>
      <c r="O5" s="4">
        <v>598.37</v>
      </c>
      <c r="P5" s="32">
        <f t="shared" ref="P5:P31" si="3">+O5/N5</f>
        <v>9.9002316346790201E-2</v>
      </c>
    </row>
    <row r="6" spans="1:16" x14ac:dyDescent="0.6">
      <c r="A6" s="24">
        <v>45691</v>
      </c>
      <c r="B6" s="3">
        <v>7533</v>
      </c>
      <c r="C6" s="3">
        <v>945.46</v>
      </c>
      <c r="D6" s="32">
        <f t="shared" si="0"/>
        <v>0.1255090933227134</v>
      </c>
      <c r="E6" s="24">
        <v>45691</v>
      </c>
      <c r="F6" s="3">
        <v>3732</v>
      </c>
      <c r="G6" s="3">
        <v>1211.17</v>
      </c>
      <c r="H6" s="32">
        <f t="shared" si="1"/>
        <v>0.32453644158628081</v>
      </c>
      <c r="I6" s="24">
        <v>45691</v>
      </c>
      <c r="J6" s="5">
        <v>3277.36</v>
      </c>
      <c r="K6" s="3">
        <v>106</v>
      </c>
      <c r="L6" s="32">
        <f t="shared" si="2"/>
        <v>3.2343105426318741E-2</v>
      </c>
      <c r="M6" s="24">
        <v>45691</v>
      </c>
      <c r="N6" s="3">
        <v>3723</v>
      </c>
      <c r="O6" s="4">
        <v>417.69</v>
      </c>
      <c r="P6" s="32">
        <f t="shared" si="3"/>
        <v>0.1121917808219178</v>
      </c>
    </row>
    <row r="7" spans="1:16" x14ac:dyDescent="0.6">
      <c r="A7" s="24">
        <v>45692</v>
      </c>
      <c r="B7" s="3">
        <v>3554</v>
      </c>
      <c r="C7" s="3">
        <v>662.3</v>
      </c>
      <c r="D7" s="32">
        <f t="shared" si="0"/>
        <v>0.18635340461451885</v>
      </c>
      <c r="E7" s="24">
        <v>45692</v>
      </c>
      <c r="F7" s="3">
        <v>15052</v>
      </c>
      <c r="G7" s="3">
        <v>1213.71</v>
      </c>
      <c r="H7" s="32">
        <f t="shared" si="1"/>
        <v>8.0634467180441136E-2</v>
      </c>
      <c r="I7" s="24">
        <v>45692</v>
      </c>
      <c r="J7" s="5">
        <v>2471.59</v>
      </c>
      <c r="K7" s="3">
        <v>420</v>
      </c>
      <c r="L7" s="32">
        <f t="shared" si="2"/>
        <v>0.16993109698615061</v>
      </c>
      <c r="M7" s="24">
        <v>45692</v>
      </c>
      <c r="N7" s="3">
        <v>4237</v>
      </c>
      <c r="O7" s="4">
        <v>337.84</v>
      </c>
      <c r="P7" s="32">
        <f t="shared" si="3"/>
        <v>7.9735662025017695E-2</v>
      </c>
    </row>
    <row r="8" spans="1:16" x14ac:dyDescent="0.6">
      <c r="A8" s="24">
        <v>45693</v>
      </c>
      <c r="B8" s="3">
        <v>3326</v>
      </c>
      <c r="C8" s="3">
        <v>631.92999999999995</v>
      </c>
      <c r="D8" s="32">
        <f t="shared" si="0"/>
        <v>0.18999699338544798</v>
      </c>
      <c r="E8" s="24">
        <v>45693</v>
      </c>
      <c r="F8" s="3">
        <v>6279</v>
      </c>
      <c r="G8" s="3">
        <v>2150.73</v>
      </c>
      <c r="H8" s="32">
        <f t="shared" si="1"/>
        <v>0.34252747252747251</v>
      </c>
      <c r="I8" s="24">
        <v>45693</v>
      </c>
      <c r="J8" s="5">
        <v>3832.16</v>
      </c>
      <c r="K8" s="3">
        <v>2383</v>
      </c>
      <c r="L8" s="32">
        <f t="shared" si="2"/>
        <v>0.62184251179491468</v>
      </c>
      <c r="M8" s="24">
        <v>45693</v>
      </c>
      <c r="N8" s="3">
        <v>6396</v>
      </c>
      <c r="O8" s="4">
        <v>252.67</v>
      </c>
      <c r="P8" s="32">
        <f t="shared" si="3"/>
        <v>3.9504377736085054E-2</v>
      </c>
    </row>
    <row r="9" spans="1:16" x14ac:dyDescent="0.6">
      <c r="A9" s="24">
        <v>45694</v>
      </c>
      <c r="B9" s="3">
        <v>4319</v>
      </c>
      <c r="C9" s="3">
        <v>685.39</v>
      </c>
      <c r="D9" s="32">
        <f t="shared" si="0"/>
        <v>0.15869182681176197</v>
      </c>
      <c r="E9" s="24">
        <v>45694</v>
      </c>
      <c r="F9" s="3">
        <v>26190</v>
      </c>
      <c r="G9" s="3">
        <v>1975.44</v>
      </c>
      <c r="H9" s="32">
        <f t="shared" si="1"/>
        <v>7.5427262313860252E-2</v>
      </c>
      <c r="I9" s="24">
        <v>45694</v>
      </c>
      <c r="J9" s="3">
        <v>3886.34</v>
      </c>
      <c r="K9" s="3">
        <v>1432.55</v>
      </c>
      <c r="L9" s="32">
        <f t="shared" si="2"/>
        <v>0.36861159857346498</v>
      </c>
      <c r="M9" s="24">
        <v>45694</v>
      </c>
      <c r="N9" s="3">
        <v>6518</v>
      </c>
      <c r="O9" s="4">
        <v>700.96</v>
      </c>
      <c r="P9" s="32">
        <f t="shared" si="3"/>
        <v>0.10754219085609083</v>
      </c>
    </row>
    <row r="10" spans="1:16" x14ac:dyDescent="0.6">
      <c r="A10" s="24">
        <v>45695</v>
      </c>
      <c r="B10" s="3">
        <v>13538.2</v>
      </c>
      <c r="C10" s="3">
        <v>3504.42</v>
      </c>
      <c r="D10" s="32">
        <f t="shared" si="0"/>
        <v>0.25885420513805379</v>
      </c>
      <c r="E10" s="24">
        <v>45695</v>
      </c>
      <c r="F10" s="3">
        <v>20594</v>
      </c>
      <c r="G10" s="3">
        <v>1182.8699999999999</v>
      </c>
      <c r="H10" s="32">
        <f t="shared" si="1"/>
        <v>5.7437603185393801E-2</v>
      </c>
      <c r="I10" s="24">
        <v>45695</v>
      </c>
      <c r="J10" s="3">
        <v>5499.1</v>
      </c>
      <c r="K10" s="3">
        <v>1820</v>
      </c>
      <c r="L10" s="32">
        <f t="shared" si="2"/>
        <v>0.33096324853157788</v>
      </c>
      <c r="M10" s="24">
        <v>45695</v>
      </c>
      <c r="N10" s="3">
        <v>4643</v>
      </c>
      <c r="O10" s="4">
        <v>708.82</v>
      </c>
      <c r="P10" s="32">
        <f t="shared" si="3"/>
        <v>0.15266422571613184</v>
      </c>
    </row>
    <row r="11" spans="1:16" x14ac:dyDescent="0.6">
      <c r="A11" s="24">
        <v>45696</v>
      </c>
      <c r="B11" s="3">
        <v>10243.700000000001</v>
      </c>
      <c r="C11" s="3">
        <v>1965.16</v>
      </c>
      <c r="D11" s="32">
        <f t="shared" si="0"/>
        <v>0.19184083875943261</v>
      </c>
      <c r="E11" s="24">
        <v>45696</v>
      </c>
      <c r="F11" s="3">
        <v>12600</v>
      </c>
      <c r="G11" s="3">
        <v>1161</v>
      </c>
      <c r="H11" s="32">
        <f t="shared" si="1"/>
        <v>9.2142857142857137E-2</v>
      </c>
      <c r="I11" s="24">
        <v>45696</v>
      </c>
      <c r="J11" s="3">
        <v>3774.86</v>
      </c>
      <c r="K11" s="4">
        <v>752.94</v>
      </c>
      <c r="L11" s="32">
        <f t="shared" si="2"/>
        <v>0.19946170189093107</v>
      </c>
      <c r="M11" s="24">
        <v>45696</v>
      </c>
      <c r="N11" s="3">
        <v>4422</v>
      </c>
      <c r="O11" s="4">
        <v>560.85</v>
      </c>
      <c r="P11" s="32">
        <f t="shared" si="3"/>
        <v>0.12683175033921304</v>
      </c>
    </row>
    <row r="12" spans="1:16" x14ac:dyDescent="0.6">
      <c r="A12" s="24">
        <v>45697</v>
      </c>
      <c r="B12" s="3">
        <v>22572.45</v>
      </c>
      <c r="C12" s="3">
        <v>7322</v>
      </c>
      <c r="D12" s="32">
        <f t="shared" si="0"/>
        <v>0.32437772594468034</v>
      </c>
      <c r="E12" s="24">
        <v>45697</v>
      </c>
      <c r="F12" s="3">
        <v>28040</v>
      </c>
      <c r="G12" s="3">
        <v>1176</v>
      </c>
      <c r="H12" s="32">
        <f t="shared" si="1"/>
        <v>4.1940085592011414E-2</v>
      </c>
      <c r="I12" s="24">
        <v>45697</v>
      </c>
      <c r="J12" s="3">
        <v>3436.65</v>
      </c>
      <c r="K12" s="4">
        <v>0</v>
      </c>
      <c r="L12" s="32">
        <f t="shared" si="2"/>
        <v>0</v>
      </c>
      <c r="M12" s="24">
        <v>45697</v>
      </c>
      <c r="N12" s="3">
        <v>5801</v>
      </c>
      <c r="O12" s="4">
        <v>523.70000000000005</v>
      </c>
      <c r="P12" s="32">
        <f t="shared" si="3"/>
        <v>9.0277538355455961E-2</v>
      </c>
    </row>
    <row r="13" spans="1:16" x14ac:dyDescent="0.6">
      <c r="A13" s="24">
        <v>45698</v>
      </c>
      <c r="B13" s="3">
        <v>12801.45</v>
      </c>
      <c r="C13" s="3">
        <v>2744.06</v>
      </c>
      <c r="D13" s="32">
        <f t="shared" si="0"/>
        <v>0.21435540505177147</v>
      </c>
      <c r="E13" s="24">
        <v>45698</v>
      </c>
      <c r="F13" s="3">
        <v>7089</v>
      </c>
      <c r="G13" s="3">
        <v>1295.45</v>
      </c>
      <c r="H13" s="32">
        <f t="shared" si="1"/>
        <v>0.18274086613062493</v>
      </c>
      <c r="I13" s="24">
        <v>45698</v>
      </c>
      <c r="J13" s="3">
        <v>5924.35</v>
      </c>
      <c r="K13" s="3">
        <v>1000.13</v>
      </c>
      <c r="L13" s="32">
        <f t="shared" si="2"/>
        <v>0.16881683222632018</v>
      </c>
      <c r="M13" s="24">
        <v>45698</v>
      </c>
      <c r="N13" s="3">
        <v>5008</v>
      </c>
      <c r="O13" s="4">
        <v>869.35</v>
      </c>
      <c r="P13" s="32">
        <f t="shared" si="3"/>
        <v>0.17359225239616613</v>
      </c>
    </row>
    <row r="14" spans="1:16" x14ac:dyDescent="0.6">
      <c r="A14" s="24">
        <v>45699</v>
      </c>
      <c r="B14" s="3">
        <v>24133.3</v>
      </c>
      <c r="C14" s="3">
        <v>9369.73</v>
      </c>
      <c r="D14" s="32">
        <f t="shared" si="0"/>
        <v>0.38824901691853164</v>
      </c>
      <c r="E14" s="24">
        <v>45699</v>
      </c>
      <c r="F14" s="3">
        <v>5521</v>
      </c>
      <c r="G14" s="3">
        <v>1102.08</v>
      </c>
      <c r="H14" s="32">
        <f t="shared" si="1"/>
        <v>0.19961601159210288</v>
      </c>
      <c r="I14" s="24">
        <v>45699</v>
      </c>
      <c r="J14" s="3">
        <v>5582.22</v>
      </c>
      <c r="K14" s="4">
        <v>677.28</v>
      </c>
      <c r="L14" s="32">
        <f t="shared" si="2"/>
        <v>0.12132807377709942</v>
      </c>
      <c r="M14" s="24">
        <v>45699</v>
      </c>
      <c r="N14" s="3">
        <v>3793</v>
      </c>
      <c r="O14" s="4">
        <v>592.75</v>
      </c>
      <c r="P14" s="32">
        <f t="shared" si="3"/>
        <v>0.15627471658317954</v>
      </c>
    </row>
    <row r="15" spans="1:16" x14ac:dyDescent="0.6">
      <c r="A15" s="24">
        <v>45700</v>
      </c>
      <c r="B15" s="3">
        <v>11638</v>
      </c>
      <c r="C15" s="3">
        <v>1002.01</v>
      </c>
      <c r="D15" s="32">
        <f t="shared" si="0"/>
        <v>8.6098126825915111E-2</v>
      </c>
      <c r="E15" s="24">
        <v>45700</v>
      </c>
      <c r="F15" s="3">
        <v>5379</v>
      </c>
      <c r="G15" s="3">
        <v>1738.97</v>
      </c>
      <c r="H15" s="32">
        <f t="shared" si="1"/>
        <v>0.32328871537460496</v>
      </c>
      <c r="I15" s="24">
        <v>45700</v>
      </c>
      <c r="J15" s="3">
        <v>1860.44</v>
      </c>
      <c r="K15" s="4">
        <v>601.11</v>
      </c>
      <c r="L15" s="32">
        <f t="shared" si="2"/>
        <v>0.32310098686332267</v>
      </c>
      <c r="M15" s="24">
        <v>45700</v>
      </c>
      <c r="N15" s="3">
        <v>5006</v>
      </c>
      <c r="O15" s="4">
        <v>574.16999999999996</v>
      </c>
      <c r="P15" s="32">
        <f t="shared" si="3"/>
        <v>0.11469636436276467</v>
      </c>
    </row>
    <row r="16" spans="1:16" x14ac:dyDescent="0.6">
      <c r="A16" s="24">
        <v>45701</v>
      </c>
      <c r="B16" s="3">
        <v>11991</v>
      </c>
      <c r="C16" s="3">
        <v>2298.98</v>
      </c>
      <c r="D16" s="32">
        <f t="shared" si="0"/>
        <v>0.19172546076223834</v>
      </c>
      <c r="E16" s="24">
        <v>45701</v>
      </c>
      <c r="F16" s="3">
        <v>11705</v>
      </c>
      <c r="G16" s="3">
        <v>2455.1</v>
      </c>
      <c r="H16" s="32">
        <f t="shared" si="1"/>
        <v>0.20974797095258435</v>
      </c>
      <c r="I16" s="24">
        <v>45701</v>
      </c>
      <c r="J16" s="3">
        <v>3469.15</v>
      </c>
      <c r="K16" s="3">
        <v>600.30999999999995</v>
      </c>
      <c r="L16" s="32">
        <f t="shared" si="2"/>
        <v>0.17304238790481816</v>
      </c>
      <c r="M16" s="24">
        <v>45701</v>
      </c>
      <c r="N16" s="3">
        <v>2805</v>
      </c>
      <c r="O16" s="4">
        <v>529.57000000000005</v>
      </c>
      <c r="P16" s="32">
        <f t="shared" si="3"/>
        <v>0.18879500891265599</v>
      </c>
    </row>
    <row r="17" spans="1:16" x14ac:dyDescent="0.6">
      <c r="A17" s="24">
        <v>45702</v>
      </c>
      <c r="B17" s="3">
        <v>11485.6</v>
      </c>
      <c r="C17" s="3">
        <v>3879.68</v>
      </c>
      <c r="D17" s="32">
        <f t="shared" si="0"/>
        <v>0.33778644563627497</v>
      </c>
      <c r="E17" s="24">
        <v>45702</v>
      </c>
      <c r="F17" s="3">
        <v>17272</v>
      </c>
      <c r="G17" s="3">
        <v>1584.01</v>
      </c>
      <c r="H17" s="32">
        <f t="shared" si="1"/>
        <v>9.1709703566465961E-2</v>
      </c>
      <c r="I17" s="24">
        <v>45702</v>
      </c>
      <c r="J17" s="3">
        <v>3180.32</v>
      </c>
      <c r="K17" s="3">
        <v>240.22</v>
      </c>
      <c r="L17" s="32">
        <f t="shared" si="2"/>
        <v>7.553327966997031E-2</v>
      </c>
      <c r="M17" s="24">
        <v>45702</v>
      </c>
      <c r="N17" s="3">
        <v>4736</v>
      </c>
      <c r="O17" s="4">
        <v>119.26</v>
      </c>
      <c r="P17" s="32">
        <f t="shared" si="3"/>
        <v>2.5181587837837839E-2</v>
      </c>
    </row>
    <row r="18" spans="1:16" x14ac:dyDescent="0.6">
      <c r="A18" s="24">
        <v>45703</v>
      </c>
      <c r="B18" s="3">
        <v>5447</v>
      </c>
      <c r="C18" s="3">
        <v>376.81</v>
      </c>
      <c r="D18" s="32">
        <f t="shared" si="0"/>
        <v>6.9177528914999079E-2</v>
      </c>
      <c r="E18" s="24">
        <v>45703</v>
      </c>
      <c r="F18" s="3">
        <v>14765</v>
      </c>
      <c r="G18" s="3">
        <v>881.78</v>
      </c>
      <c r="H18" s="32">
        <f t="shared" si="1"/>
        <v>5.972096173383E-2</v>
      </c>
      <c r="I18" s="24">
        <v>45703</v>
      </c>
      <c r="J18" s="3">
        <v>25640.38</v>
      </c>
      <c r="K18" s="3">
        <v>1175.77</v>
      </c>
      <c r="L18" s="32">
        <f t="shared" si="2"/>
        <v>4.5856184658729704E-2</v>
      </c>
      <c r="M18" s="24">
        <v>45703</v>
      </c>
      <c r="N18" s="3">
        <v>4517</v>
      </c>
      <c r="O18" s="4">
        <v>403.35</v>
      </c>
      <c r="P18" s="32">
        <f t="shared" si="3"/>
        <v>8.9295992915651989E-2</v>
      </c>
    </row>
    <row r="19" spans="1:16" x14ac:dyDescent="0.6">
      <c r="A19" s="24">
        <v>45704</v>
      </c>
      <c r="B19" s="3">
        <v>15037</v>
      </c>
      <c r="C19" s="3">
        <v>1949.58</v>
      </c>
      <c r="D19" s="32">
        <f t="shared" si="0"/>
        <v>0.12965219126155483</v>
      </c>
      <c r="E19" s="24">
        <v>45704</v>
      </c>
      <c r="F19" s="3">
        <v>19810</v>
      </c>
      <c r="G19" s="3">
        <v>590.37</v>
      </c>
      <c r="H19" s="32">
        <f t="shared" si="1"/>
        <v>2.9801615345784956E-2</v>
      </c>
      <c r="I19" s="24">
        <v>45704</v>
      </c>
      <c r="J19" s="3">
        <v>17273.66</v>
      </c>
      <c r="K19" s="3">
        <v>3609.42</v>
      </c>
      <c r="L19" s="32">
        <f t="shared" si="2"/>
        <v>0.20895513747520791</v>
      </c>
      <c r="M19" s="24">
        <v>45704</v>
      </c>
      <c r="N19" s="3">
        <v>6964</v>
      </c>
      <c r="O19" s="4">
        <v>442.14</v>
      </c>
      <c r="P19" s="32">
        <f t="shared" si="3"/>
        <v>6.3489373923032735E-2</v>
      </c>
    </row>
    <row r="20" spans="1:16" x14ac:dyDescent="0.6">
      <c r="A20" s="24">
        <v>45705</v>
      </c>
      <c r="B20" s="3">
        <v>6638</v>
      </c>
      <c r="C20" s="3">
        <v>1929.76</v>
      </c>
      <c r="D20" s="32">
        <f t="shared" si="0"/>
        <v>0.29071407050316361</v>
      </c>
      <c r="E20" s="24">
        <v>45705</v>
      </c>
      <c r="F20" s="3">
        <v>3464</v>
      </c>
      <c r="G20" s="3">
        <v>846.2</v>
      </c>
      <c r="H20" s="32">
        <f t="shared" si="1"/>
        <v>0.24428406466512703</v>
      </c>
      <c r="I20" s="24">
        <v>45705</v>
      </c>
      <c r="J20" s="3">
        <v>8800.93</v>
      </c>
      <c r="K20" s="3">
        <v>1462.84</v>
      </c>
      <c r="L20" s="32">
        <f t="shared" si="2"/>
        <v>0.16621425235742129</v>
      </c>
      <c r="M20" s="24">
        <v>45705</v>
      </c>
      <c r="N20" s="3">
        <v>3992</v>
      </c>
      <c r="O20" s="4">
        <v>519.09</v>
      </c>
      <c r="P20" s="32">
        <f t="shared" si="3"/>
        <v>0.13003256513026054</v>
      </c>
    </row>
    <row r="21" spans="1:16" x14ac:dyDescent="0.6">
      <c r="A21" s="24">
        <v>45706</v>
      </c>
      <c r="B21" s="3">
        <v>11811.22</v>
      </c>
      <c r="C21" s="3">
        <v>2004.79</v>
      </c>
      <c r="D21" s="32">
        <f t="shared" si="0"/>
        <v>0.16973606452170056</v>
      </c>
      <c r="E21" s="24">
        <v>45706</v>
      </c>
      <c r="F21" s="3">
        <v>8307</v>
      </c>
      <c r="G21" s="3">
        <v>1018.85</v>
      </c>
      <c r="H21" s="32">
        <f t="shared" si="1"/>
        <v>0.12264957264957266</v>
      </c>
      <c r="I21" s="24">
        <v>45706</v>
      </c>
      <c r="J21" s="3">
        <v>3203.98</v>
      </c>
      <c r="K21" s="4">
        <v>702.42</v>
      </c>
      <c r="L21" s="32">
        <f t="shared" si="2"/>
        <v>0.21923357823706763</v>
      </c>
      <c r="M21" s="24">
        <v>45706</v>
      </c>
      <c r="N21" s="3">
        <v>6550</v>
      </c>
      <c r="O21" s="4">
        <v>531.66</v>
      </c>
      <c r="P21" s="32">
        <f t="shared" si="3"/>
        <v>8.1169465648854952E-2</v>
      </c>
    </row>
    <row r="22" spans="1:16" x14ac:dyDescent="0.6">
      <c r="A22" s="24">
        <v>45707</v>
      </c>
      <c r="B22" s="3">
        <v>12330</v>
      </c>
      <c r="C22" s="3">
        <v>1810.06</v>
      </c>
      <c r="D22" s="32">
        <f t="shared" si="0"/>
        <v>0.14680129764801297</v>
      </c>
      <c r="E22" s="24">
        <v>45707</v>
      </c>
      <c r="F22" s="3">
        <v>12891.87</v>
      </c>
      <c r="G22" s="3">
        <v>1220.6199999999999</v>
      </c>
      <c r="H22" s="32">
        <f t="shared" si="1"/>
        <v>9.468137671261033E-2</v>
      </c>
      <c r="I22" s="24">
        <v>45707</v>
      </c>
      <c r="J22" s="3">
        <v>6537.34</v>
      </c>
      <c r="K22" s="4">
        <v>159.88999999999999</v>
      </c>
      <c r="L22" s="32">
        <f t="shared" si="2"/>
        <v>2.4457959965368176E-2</v>
      </c>
      <c r="M22" s="24">
        <v>45707</v>
      </c>
      <c r="N22" s="3">
        <v>3570</v>
      </c>
      <c r="O22" s="4">
        <v>381.68</v>
      </c>
      <c r="P22" s="32">
        <f t="shared" si="3"/>
        <v>0.10691316526610645</v>
      </c>
    </row>
    <row r="23" spans="1:16" x14ac:dyDescent="0.6">
      <c r="A23" s="24">
        <v>45708</v>
      </c>
      <c r="B23" s="3">
        <v>10302</v>
      </c>
      <c r="C23" s="3">
        <v>1482.6</v>
      </c>
      <c r="D23" s="32">
        <f t="shared" si="0"/>
        <v>0.14391380314502036</v>
      </c>
      <c r="E23" s="24">
        <v>45708</v>
      </c>
      <c r="F23" s="61">
        <v>16237</v>
      </c>
      <c r="G23" s="3">
        <v>904.96</v>
      </c>
      <c r="H23" s="32">
        <f t="shared" si="1"/>
        <v>5.5734433700806801E-2</v>
      </c>
      <c r="I23" s="24">
        <v>45708</v>
      </c>
      <c r="J23" s="3">
        <v>19945.43</v>
      </c>
      <c r="K23" s="4">
        <v>0</v>
      </c>
      <c r="L23" s="32">
        <f t="shared" si="2"/>
        <v>0</v>
      </c>
      <c r="M23" s="24">
        <v>45708</v>
      </c>
      <c r="N23" s="3">
        <v>5825</v>
      </c>
      <c r="O23" s="4">
        <v>394.42</v>
      </c>
      <c r="P23" s="32">
        <f t="shared" si="3"/>
        <v>6.7711587982832624E-2</v>
      </c>
    </row>
    <row r="24" spans="1:16" x14ac:dyDescent="0.6">
      <c r="A24" s="24">
        <v>45709</v>
      </c>
      <c r="B24" s="3">
        <v>9920</v>
      </c>
      <c r="C24" s="3">
        <v>1952.14</v>
      </c>
      <c r="D24" s="32">
        <f t="shared" si="0"/>
        <v>0.19678830645161291</v>
      </c>
      <c r="E24" s="24">
        <v>45709</v>
      </c>
      <c r="F24" s="3">
        <v>22385</v>
      </c>
      <c r="G24" s="6">
        <v>820.67</v>
      </c>
      <c r="H24" s="32">
        <f t="shared" si="1"/>
        <v>3.6661603752512845E-2</v>
      </c>
      <c r="I24" s="24">
        <v>45709</v>
      </c>
      <c r="J24" s="3">
        <v>17748.419999999998</v>
      </c>
      <c r="K24" s="4">
        <v>0</v>
      </c>
      <c r="L24" s="32">
        <f t="shared" si="2"/>
        <v>0</v>
      </c>
      <c r="M24" s="24">
        <v>45709</v>
      </c>
      <c r="N24" s="3">
        <v>4158</v>
      </c>
      <c r="O24" s="4">
        <v>294.02999999999997</v>
      </c>
      <c r="P24" s="32">
        <f t="shared" si="3"/>
        <v>7.0714285714285702E-2</v>
      </c>
    </row>
    <row r="25" spans="1:16" x14ac:dyDescent="0.6">
      <c r="A25" s="24">
        <v>45710</v>
      </c>
      <c r="B25" s="3">
        <v>5828</v>
      </c>
      <c r="C25" s="3">
        <v>1523.83</v>
      </c>
      <c r="D25" s="32">
        <f t="shared" si="0"/>
        <v>0.26146705559368566</v>
      </c>
      <c r="E25" s="24">
        <v>45710</v>
      </c>
      <c r="F25" s="3">
        <v>12205</v>
      </c>
      <c r="G25" s="6">
        <v>707.49</v>
      </c>
      <c r="H25" s="32">
        <f t="shared" si="1"/>
        <v>5.7967226546497337E-2</v>
      </c>
      <c r="I25" s="24">
        <v>45710</v>
      </c>
      <c r="J25" s="3">
        <v>8514.3700000000008</v>
      </c>
      <c r="K25" s="6">
        <v>0</v>
      </c>
      <c r="L25" s="32">
        <f t="shared" si="2"/>
        <v>0</v>
      </c>
      <c r="M25" s="24">
        <v>45710</v>
      </c>
      <c r="N25" s="3">
        <v>2789</v>
      </c>
      <c r="O25" s="4">
        <v>264.11</v>
      </c>
      <c r="P25" s="32">
        <f t="shared" si="3"/>
        <v>9.4697024022947301E-2</v>
      </c>
    </row>
    <row r="26" spans="1:16" x14ac:dyDescent="0.6">
      <c r="A26" s="24">
        <v>45711</v>
      </c>
      <c r="B26" s="3">
        <v>12252</v>
      </c>
      <c r="C26" s="3">
        <v>3630.52</v>
      </c>
      <c r="D26" s="32">
        <f t="shared" si="0"/>
        <v>0.29632060071825006</v>
      </c>
      <c r="E26" s="24">
        <v>45711</v>
      </c>
      <c r="F26" s="3">
        <v>14706</v>
      </c>
      <c r="G26" s="6">
        <v>629.39</v>
      </c>
      <c r="H26" s="32">
        <f t="shared" si="1"/>
        <v>4.2798177614579082E-2</v>
      </c>
      <c r="I26" s="24">
        <v>45711</v>
      </c>
      <c r="J26" s="3">
        <v>3170.6</v>
      </c>
      <c r="K26" s="6">
        <v>0</v>
      </c>
      <c r="L26" s="32">
        <f t="shared" si="2"/>
        <v>0</v>
      </c>
      <c r="M26" s="24">
        <v>45711</v>
      </c>
      <c r="N26" s="3">
        <v>2722</v>
      </c>
      <c r="O26" s="4">
        <v>308.18</v>
      </c>
      <c r="P26" s="32">
        <f t="shared" si="3"/>
        <v>0.11321822189566495</v>
      </c>
    </row>
    <row r="27" spans="1:16" x14ac:dyDescent="0.6">
      <c r="A27" s="24">
        <v>45712</v>
      </c>
      <c r="B27" s="3">
        <v>8114</v>
      </c>
      <c r="C27" s="3">
        <v>1282.57</v>
      </c>
      <c r="D27" s="32">
        <f t="shared" si="0"/>
        <v>0.15806877002711361</v>
      </c>
      <c r="E27" s="24">
        <v>45712</v>
      </c>
      <c r="F27" s="4">
        <v>0</v>
      </c>
      <c r="G27" s="61">
        <v>1433.59</v>
      </c>
      <c r="H27" s="32" t="e">
        <f>+G27/F27</f>
        <v>#DIV/0!</v>
      </c>
      <c r="I27" s="24">
        <v>45712</v>
      </c>
      <c r="J27" s="3">
        <v>7961.32</v>
      </c>
      <c r="K27" s="6">
        <v>0</v>
      </c>
      <c r="L27" s="32">
        <f t="shared" si="2"/>
        <v>0</v>
      </c>
      <c r="M27" s="24">
        <v>45712</v>
      </c>
      <c r="N27" s="3">
        <v>2640</v>
      </c>
      <c r="O27" s="4">
        <v>181.78</v>
      </c>
      <c r="P27" s="32">
        <f t="shared" si="3"/>
        <v>6.8856060606060601E-2</v>
      </c>
    </row>
    <row r="28" spans="1:16" x14ac:dyDescent="0.6">
      <c r="A28" s="24">
        <v>45713</v>
      </c>
      <c r="B28" s="3">
        <v>6650.05</v>
      </c>
      <c r="C28" s="3">
        <v>1258.95</v>
      </c>
      <c r="D28" s="32">
        <f t="shared" si="0"/>
        <v>0.18931436605739807</v>
      </c>
      <c r="E28" s="24">
        <v>45713</v>
      </c>
      <c r="F28" s="4">
        <v>0</v>
      </c>
      <c r="G28" s="61">
        <v>7280.97</v>
      </c>
      <c r="H28" s="32" t="e">
        <f t="shared" si="1"/>
        <v>#DIV/0!</v>
      </c>
      <c r="I28" s="24">
        <v>45713</v>
      </c>
      <c r="J28" s="3">
        <v>11799.03</v>
      </c>
      <c r="K28" s="6">
        <v>0</v>
      </c>
      <c r="L28" s="32">
        <f t="shared" si="2"/>
        <v>0</v>
      </c>
      <c r="M28" s="24">
        <v>45713</v>
      </c>
      <c r="N28" s="3">
        <v>2575</v>
      </c>
      <c r="O28" s="4">
        <v>377.36</v>
      </c>
      <c r="P28" s="32">
        <f t="shared" si="3"/>
        <v>0.14654757281553399</v>
      </c>
    </row>
    <row r="29" spans="1:16" x14ac:dyDescent="0.6">
      <c r="A29" s="24">
        <v>45714</v>
      </c>
      <c r="B29" s="3">
        <v>11054.2</v>
      </c>
      <c r="C29" s="3">
        <v>1579.28</v>
      </c>
      <c r="D29" s="32">
        <f t="shared" si="0"/>
        <v>0.1428669645926435</v>
      </c>
      <c r="E29" s="24">
        <v>45714</v>
      </c>
      <c r="F29" s="4">
        <v>0</v>
      </c>
      <c r="G29" s="61">
        <v>5152.8900000000003</v>
      </c>
      <c r="H29" s="32" t="e">
        <f t="shared" si="1"/>
        <v>#DIV/0!</v>
      </c>
      <c r="I29" s="24">
        <v>45714</v>
      </c>
      <c r="J29" s="3">
        <v>4172.01</v>
      </c>
      <c r="K29" s="6">
        <v>0</v>
      </c>
      <c r="L29" s="32">
        <f t="shared" si="2"/>
        <v>0</v>
      </c>
      <c r="M29" s="24">
        <v>45714</v>
      </c>
      <c r="N29" s="3">
        <v>9569</v>
      </c>
      <c r="O29" s="4">
        <v>177.33</v>
      </c>
      <c r="P29" s="32">
        <f t="shared" si="3"/>
        <v>1.8531717002821614E-2</v>
      </c>
    </row>
    <row r="30" spans="1:16" x14ac:dyDescent="0.6">
      <c r="A30" s="24">
        <v>45715</v>
      </c>
      <c r="B30" s="3">
        <v>5350</v>
      </c>
      <c r="C30" s="4">
        <v>672.22</v>
      </c>
      <c r="D30" s="32">
        <f t="shared" si="0"/>
        <v>0.12564859813084112</v>
      </c>
      <c r="E30" s="24">
        <v>45715</v>
      </c>
      <c r="F30" s="4">
        <v>0</v>
      </c>
      <c r="G30" s="61">
        <v>3385.75</v>
      </c>
      <c r="H30" s="32" t="e">
        <f t="shared" si="1"/>
        <v>#DIV/0!</v>
      </c>
      <c r="I30" s="24">
        <v>45715</v>
      </c>
      <c r="J30" s="3">
        <v>1742.1</v>
      </c>
      <c r="K30" s="6">
        <v>0</v>
      </c>
      <c r="L30" s="32">
        <f t="shared" si="2"/>
        <v>0</v>
      </c>
      <c r="M30" s="24">
        <v>45715</v>
      </c>
      <c r="N30" s="3">
        <v>4176</v>
      </c>
      <c r="O30" s="4">
        <v>147.13999999999999</v>
      </c>
      <c r="P30" s="32">
        <f t="shared" si="3"/>
        <v>3.5234674329501912E-2</v>
      </c>
    </row>
    <row r="31" spans="1:16" x14ac:dyDescent="0.6">
      <c r="A31" s="24">
        <v>45716</v>
      </c>
      <c r="B31" s="3">
        <v>5941.6</v>
      </c>
      <c r="C31" s="4">
        <v>268.23</v>
      </c>
      <c r="D31" s="32">
        <f t="shared" si="0"/>
        <v>4.5144405547327321E-2</v>
      </c>
      <c r="E31" s="24">
        <v>45716</v>
      </c>
      <c r="F31" s="4">
        <v>0</v>
      </c>
      <c r="G31" s="61">
        <v>2806.49</v>
      </c>
      <c r="H31" s="32" t="e">
        <f t="shared" si="1"/>
        <v>#DIV/0!</v>
      </c>
      <c r="I31" s="24">
        <v>45716</v>
      </c>
      <c r="J31" s="3">
        <v>1405.42</v>
      </c>
      <c r="K31" s="6">
        <v>0</v>
      </c>
      <c r="L31" s="32">
        <f t="shared" si="2"/>
        <v>0</v>
      </c>
      <c r="M31" s="24">
        <v>45716</v>
      </c>
      <c r="N31" s="3">
        <v>6454</v>
      </c>
      <c r="O31" s="4">
        <v>197.03</v>
      </c>
      <c r="P31" s="32">
        <f t="shared" si="3"/>
        <v>3.0528354508831731E-2</v>
      </c>
    </row>
    <row r="32" spans="1:16" x14ac:dyDescent="0.6">
      <c r="A32" s="24">
        <v>45717</v>
      </c>
      <c r="B32" s="4">
        <v>0</v>
      </c>
      <c r="C32" s="4">
        <v>0</v>
      </c>
      <c r="D32" s="32">
        <v>0</v>
      </c>
      <c r="E32" s="24">
        <v>45717</v>
      </c>
      <c r="F32" s="4">
        <v>0</v>
      </c>
      <c r="G32" s="4">
        <v>0</v>
      </c>
      <c r="H32" s="32">
        <v>0</v>
      </c>
      <c r="I32" s="24">
        <v>45717</v>
      </c>
      <c r="J32" s="4">
        <v>0</v>
      </c>
      <c r="K32" s="6">
        <v>0</v>
      </c>
      <c r="L32" s="32">
        <v>0</v>
      </c>
      <c r="M32" s="24">
        <v>45717</v>
      </c>
      <c r="N32" s="4">
        <v>0</v>
      </c>
      <c r="O32" s="4">
        <v>0</v>
      </c>
      <c r="P32" s="32">
        <v>0</v>
      </c>
    </row>
    <row r="33" spans="1:16 16384:16384" x14ac:dyDescent="0.6">
      <c r="A33" s="24">
        <v>45718</v>
      </c>
      <c r="B33" s="4">
        <v>0</v>
      </c>
      <c r="C33" s="4">
        <v>0</v>
      </c>
      <c r="D33" s="32">
        <v>0</v>
      </c>
      <c r="E33" s="24">
        <v>45718</v>
      </c>
      <c r="F33" s="4">
        <v>0</v>
      </c>
      <c r="G33" s="4">
        <v>0</v>
      </c>
      <c r="H33" s="32">
        <v>0</v>
      </c>
      <c r="I33" s="24">
        <v>45718</v>
      </c>
      <c r="J33" s="4">
        <v>0</v>
      </c>
      <c r="K33" s="6">
        <v>0</v>
      </c>
      <c r="L33" s="32">
        <v>0</v>
      </c>
      <c r="M33" s="24">
        <v>45718</v>
      </c>
      <c r="N33" s="4">
        <v>0</v>
      </c>
      <c r="O33" s="4">
        <v>0</v>
      </c>
      <c r="P33" s="32">
        <v>0</v>
      </c>
    </row>
    <row r="34" spans="1:16 16384:16384" x14ac:dyDescent="0.6">
      <c r="A34" s="24">
        <v>45719</v>
      </c>
      <c r="B34" s="4">
        <v>0</v>
      </c>
      <c r="C34" s="4">
        <v>0</v>
      </c>
      <c r="D34" s="32">
        <v>0</v>
      </c>
      <c r="E34" s="24">
        <v>45719</v>
      </c>
      <c r="F34" s="4">
        <v>0</v>
      </c>
      <c r="G34" s="4">
        <v>0</v>
      </c>
      <c r="H34" s="32">
        <v>0</v>
      </c>
      <c r="I34" s="24">
        <v>45719</v>
      </c>
      <c r="J34" s="6">
        <v>0</v>
      </c>
      <c r="K34" s="6">
        <v>0</v>
      </c>
      <c r="L34" s="32">
        <v>0</v>
      </c>
      <c r="M34" s="24">
        <v>45719</v>
      </c>
      <c r="N34" s="4">
        <v>0</v>
      </c>
      <c r="O34" s="4">
        <v>0</v>
      </c>
      <c r="P34" s="32">
        <v>0</v>
      </c>
    </row>
    <row r="35" spans="1:16 16384:16384" s="17" customFormat="1" ht="27" thickBot="1" x14ac:dyDescent="0.75">
      <c r="A35" s="16" t="s">
        <v>11</v>
      </c>
      <c r="B35" s="39">
        <f>SUM(B4:B34)</f>
        <v>272957.08999999997</v>
      </c>
      <c r="C35" s="39">
        <f t="shared" ref="C35" si="4">SUM(C4:C34)</f>
        <v>57441.679999999993</v>
      </c>
      <c r="D35" s="15" t="s">
        <v>12</v>
      </c>
      <c r="E35" s="16" t="s">
        <v>11</v>
      </c>
      <c r="F35" s="39">
        <f>SUM(F4:F34)</f>
        <v>290703.87</v>
      </c>
      <c r="G35" s="39">
        <f t="shared" ref="G35" si="5">SUM(G4:G34)</f>
        <v>46570.169999999991</v>
      </c>
      <c r="H35" s="15" t="s">
        <v>12</v>
      </c>
      <c r="I35" s="16" t="s">
        <v>11</v>
      </c>
      <c r="J35" s="39">
        <f>SUM(J4:J34)</f>
        <v>184722.23000000004</v>
      </c>
      <c r="K35" s="39">
        <f t="shared" ref="K35" si="6">SUM(K4:K34)</f>
        <v>17170.879999999997</v>
      </c>
      <c r="L35" s="15" t="s">
        <v>12</v>
      </c>
      <c r="M35" s="16" t="s">
        <v>11</v>
      </c>
      <c r="N35" s="39">
        <f>SUM(N4:N34)</f>
        <v>129633</v>
      </c>
      <c r="O35" s="39">
        <f t="shared" ref="O35" si="7">SUM(O4:O34)</f>
        <v>11405.300000000005</v>
      </c>
      <c r="P35" s="15" t="s">
        <v>12</v>
      </c>
      <c r="XFD35" s="17">
        <f>SUM(A35:XFC35)</f>
        <v>1010604.2200000001</v>
      </c>
    </row>
    <row r="36" spans="1:16 16384:16384" ht="24" thickTop="1" x14ac:dyDescent="0.6">
      <c r="A36" s="6"/>
      <c r="B36" s="6"/>
      <c r="C36" s="6"/>
      <c r="D36" s="33"/>
      <c r="E36" s="6"/>
      <c r="F36" s="6"/>
      <c r="G36" s="6"/>
      <c r="H36" s="26"/>
      <c r="I36" s="6"/>
      <c r="J36" s="6"/>
      <c r="K36" s="6"/>
      <c r="L36" s="26"/>
      <c r="M36" s="6"/>
      <c r="N36" s="6"/>
      <c r="O36" s="6"/>
      <c r="P36" s="26"/>
    </row>
    <row r="37" spans="1:16 16384:16384" ht="23.4" customHeight="1" x14ac:dyDescent="0.6">
      <c r="A37" s="6"/>
      <c r="B37" s="116" t="s">
        <v>13</v>
      </c>
      <c r="C37" s="117"/>
      <c r="D37" s="117"/>
      <c r="E37" s="118"/>
      <c r="F37" s="7"/>
      <c r="G37" s="37"/>
      <c r="H37" s="6"/>
      <c r="I37" s="6"/>
      <c r="J37" s="6"/>
      <c r="K37" s="26"/>
      <c r="L37" s="6"/>
      <c r="M37" s="6"/>
      <c r="N37" s="6"/>
      <c r="O37" s="26"/>
      <c r="P37" s="1"/>
    </row>
    <row r="38" spans="1:16 16384:16384" x14ac:dyDescent="0.6">
      <c r="A38" s="8"/>
      <c r="B38" s="47" t="s">
        <v>9</v>
      </c>
      <c r="C38" s="47" t="s">
        <v>5</v>
      </c>
      <c r="D38" s="47" t="s">
        <v>6</v>
      </c>
      <c r="E38" s="47" t="s">
        <v>7</v>
      </c>
      <c r="F38" s="8"/>
      <c r="G38" s="26"/>
      <c r="H38" s="8"/>
      <c r="I38" s="8"/>
      <c r="J38" s="8"/>
      <c r="K38" s="26"/>
      <c r="L38" s="9"/>
      <c r="M38" s="6"/>
      <c r="N38" s="6"/>
      <c r="O38" s="26"/>
      <c r="P38" s="1"/>
    </row>
    <row r="39" spans="1:16 16384:16384" x14ac:dyDescent="0.6">
      <c r="A39" s="10"/>
      <c r="B39" s="40" t="s">
        <v>0</v>
      </c>
      <c r="C39" s="41">
        <f>+B35</f>
        <v>272957.08999999997</v>
      </c>
      <c r="D39" s="41">
        <f>+C35</f>
        <v>57441.679999999993</v>
      </c>
      <c r="E39" s="43">
        <f>+D39/C39</f>
        <v>0.21044216144010033</v>
      </c>
      <c r="F39" s="10"/>
      <c r="G39" s="28"/>
      <c r="H39" s="10"/>
      <c r="I39" s="10"/>
      <c r="J39" s="10"/>
      <c r="K39" s="26"/>
      <c r="L39" s="6"/>
      <c r="M39" s="6"/>
      <c r="N39" s="6"/>
      <c r="O39" s="26"/>
      <c r="P39" s="1"/>
    </row>
    <row r="40" spans="1:16 16384:16384" x14ac:dyDescent="0.6">
      <c r="A40" s="2"/>
      <c r="B40" s="40" t="s">
        <v>1</v>
      </c>
      <c r="C40" s="42">
        <f>+F35</f>
        <v>290703.87</v>
      </c>
      <c r="D40" s="42">
        <f>+G35</f>
        <v>46570.169999999991</v>
      </c>
      <c r="E40" s="43">
        <f t="shared" ref="E40:E41" si="8">+D40/C40</f>
        <v>0.16019797053269361</v>
      </c>
      <c r="F40" s="11"/>
      <c r="G40" s="29"/>
      <c r="H40" s="12"/>
      <c r="I40" s="11"/>
      <c r="J40" s="13"/>
      <c r="K40" s="26"/>
      <c r="L40" s="2"/>
      <c r="M40" s="3"/>
      <c r="N40" s="6"/>
      <c r="O40" s="26"/>
      <c r="P40" s="1"/>
    </row>
    <row r="41" spans="1:16 16384:16384" x14ac:dyDescent="0.6">
      <c r="A41" s="2"/>
      <c r="B41" s="40" t="s">
        <v>2</v>
      </c>
      <c r="C41" s="42">
        <f>+J35</f>
        <v>184722.23000000004</v>
      </c>
      <c r="D41" s="42">
        <f>+K35</f>
        <v>17170.879999999997</v>
      </c>
      <c r="E41" s="43">
        <f t="shared" si="8"/>
        <v>9.2955135935723562E-2</v>
      </c>
      <c r="F41" s="11"/>
      <c r="G41" s="29"/>
      <c r="H41" s="12"/>
      <c r="I41" s="11"/>
      <c r="J41" s="13"/>
      <c r="K41" s="26"/>
      <c r="L41" s="2"/>
      <c r="M41" s="3"/>
      <c r="N41" s="6"/>
      <c r="O41" s="26"/>
      <c r="P41" s="1"/>
    </row>
    <row r="42" spans="1:16 16384:16384" x14ac:dyDescent="0.6">
      <c r="A42" s="2"/>
      <c r="B42" s="40" t="s">
        <v>3</v>
      </c>
      <c r="C42" s="42">
        <f>+N35</f>
        <v>129633</v>
      </c>
      <c r="D42" s="42">
        <f>+O35</f>
        <v>11405.300000000005</v>
      </c>
      <c r="E42" s="43">
        <f>+D42/C42</f>
        <v>8.7981455339304071E-2</v>
      </c>
      <c r="F42" s="11"/>
      <c r="G42" s="29"/>
      <c r="H42" s="12"/>
      <c r="I42" s="11"/>
      <c r="J42" s="13"/>
      <c r="K42" s="26"/>
      <c r="L42" s="2"/>
      <c r="M42" s="3"/>
      <c r="N42" s="6"/>
      <c r="O42" s="26"/>
      <c r="P42" s="1"/>
    </row>
    <row r="43" spans="1:16 16384:16384" x14ac:dyDescent="0.6">
      <c r="A43" s="2"/>
      <c r="B43" s="44" t="s">
        <v>10</v>
      </c>
      <c r="C43" s="45">
        <f>SUM(C39:C42)</f>
        <v>878016.19</v>
      </c>
      <c r="D43" s="45">
        <f>SUM(D39:D42)</f>
        <v>132588.03</v>
      </c>
      <c r="E43" s="46">
        <f>+D43/C43</f>
        <v>0.15100863914593649</v>
      </c>
      <c r="F43" s="11"/>
      <c r="G43" s="29"/>
      <c r="H43" s="12"/>
      <c r="I43" s="11"/>
      <c r="J43" s="13"/>
      <c r="K43" s="26"/>
      <c r="L43" s="2"/>
      <c r="M43" s="3"/>
      <c r="N43" s="6"/>
      <c r="O43" s="26"/>
      <c r="P43" s="1"/>
    </row>
    <row r="44" spans="1:16 16384:16384" x14ac:dyDescent="0.6">
      <c r="A44" s="2"/>
      <c r="B44" s="6"/>
      <c r="C44" s="6"/>
      <c r="D44" s="34"/>
      <c r="E44" s="6"/>
      <c r="F44" s="6"/>
      <c r="G44" s="8"/>
      <c r="H44" s="29"/>
      <c r="I44" s="14"/>
      <c r="J44" s="10"/>
      <c r="K44" s="10"/>
      <c r="L44" s="26"/>
      <c r="M44" s="2"/>
      <c r="N44" s="3"/>
      <c r="O44" s="6"/>
      <c r="P44" s="26"/>
    </row>
    <row r="45" spans="1:16 16384:16384" x14ac:dyDescent="0.6">
      <c r="A45" s="2"/>
      <c r="B45" s="6"/>
      <c r="C45" s="6"/>
      <c r="D45" s="32"/>
      <c r="E45" s="6"/>
      <c r="F45" s="6"/>
      <c r="G45" s="6"/>
      <c r="H45" s="26"/>
      <c r="I45" s="6"/>
      <c r="J45" s="6"/>
      <c r="K45" s="6"/>
      <c r="L45" s="26"/>
      <c r="M45" s="2"/>
      <c r="N45" s="3"/>
      <c r="O45" s="6"/>
      <c r="P45" s="26"/>
    </row>
    <row r="46" spans="1:16 16384:16384" x14ac:dyDescent="0.6">
      <c r="A46" s="2"/>
      <c r="B46" s="6"/>
      <c r="C46" s="6"/>
      <c r="D46" s="32"/>
      <c r="E46" s="6"/>
      <c r="F46" s="6"/>
      <c r="G46" s="6"/>
      <c r="H46" s="26"/>
      <c r="I46" s="6"/>
      <c r="J46" s="6"/>
      <c r="K46" s="6"/>
      <c r="L46" s="26"/>
      <c r="M46" s="2"/>
      <c r="N46" s="3"/>
      <c r="O46" s="6"/>
      <c r="P46" s="26"/>
    </row>
    <row r="47" spans="1:16 16384:16384" x14ac:dyDescent="0.6">
      <c r="A47" s="2"/>
      <c r="B47" s="6"/>
      <c r="C47" s="6"/>
      <c r="D47" s="32"/>
      <c r="E47" s="6"/>
      <c r="F47" s="6"/>
      <c r="G47" s="6"/>
      <c r="H47" s="26"/>
      <c r="I47" s="6"/>
      <c r="J47" s="6"/>
      <c r="K47" s="6"/>
      <c r="L47" s="26"/>
      <c r="M47" s="2"/>
      <c r="N47" s="3"/>
      <c r="O47" s="6"/>
      <c r="P47" s="26"/>
    </row>
    <row r="48" spans="1:16 16384:16384" x14ac:dyDescent="0.6">
      <c r="A48" s="2"/>
      <c r="B48" s="6"/>
      <c r="C48" s="6"/>
      <c r="D48" s="32"/>
      <c r="E48" s="6"/>
      <c r="F48" s="6"/>
      <c r="G48" s="6"/>
      <c r="H48" s="26"/>
      <c r="I48" s="6"/>
      <c r="J48" s="6"/>
      <c r="K48" s="6"/>
      <c r="L48" s="26"/>
      <c r="M48" s="2"/>
      <c r="N48" s="3"/>
      <c r="O48" s="6"/>
      <c r="P48" s="26"/>
    </row>
    <row r="49" spans="1:16" x14ac:dyDescent="0.6">
      <c r="A49" s="2"/>
      <c r="B49" s="6"/>
      <c r="C49" s="6"/>
      <c r="D49" s="32"/>
      <c r="E49" s="6"/>
      <c r="F49" s="6"/>
      <c r="G49" s="6"/>
      <c r="H49" s="26"/>
      <c r="I49" s="6"/>
      <c r="J49" s="6"/>
      <c r="K49" s="6"/>
      <c r="L49" s="26"/>
      <c r="M49" s="2"/>
      <c r="N49" s="3"/>
      <c r="O49" s="6"/>
      <c r="P49" s="26"/>
    </row>
    <row r="50" spans="1:16" x14ac:dyDescent="0.6">
      <c r="A50" s="2"/>
      <c r="B50" s="6"/>
      <c r="C50" s="6"/>
      <c r="D50" s="32"/>
      <c r="E50" s="6"/>
      <c r="F50" s="6"/>
      <c r="G50" s="6"/>
      <c r="H50" s="26"/>
      <c r="I50" s="6"/>
      <c r="J50" s="6"/>
      <c r="K50" s="6"/>
      <c r="L50" s="26"/>
      <c r="M50" s="2"/>
      <c r="N50" s="3"/>
      <c r="O50" s="6"/>
      <c r="P50" s="26"/>
    </row>
    <row r="51" spans="1:16" x14ac:dyDescent="0.6">
      <c r="A51" s="2"/>
      <c r="B51" s="6"/>
      <c r="C51" s="6"/>
      <c r="D51" s="32"/>
      <c r="E51" s="6"/>
      <c r="F51" s="6"/>
      <c r="G51" s="6"/>
      <c r="H51" s="26"/>
      <c r="I51" s="6"/>
      <c r="J51" s="6"/>
      <c r="K51" s="6"/>
      <c r="L51" s="26"/>
      <c r="M51" s="2"/>
      <c r="N51" s="3"/>
      <c r="O51" s="6"/>
      <c r="P51" s="26"/>
    </row>
    <row r="52" spans="1:16" x14ac:dyDescent="0.6">
      <c r="A52" s="2"/>
      <c r="B52" s="6"/>
      <c r="C52" s="6"/>
      <c r="D52" s="32"/>
      <c r="E52" s="6"/>
      <c r="F52" s="6"/>
      <c r="G52" s="6"/>
      <c r="H52" s="26"/>
      <c r="I52" s="6"/>
      <c r="J52" s="6"/>
      <c r="K52" s="6"/>
      <c r="L52" s="26"/>
      <c r="M52" s="2"/>
      <c r="N52" s="3"/>
      <c r="O52" s="6"/>
      <c r="P52" s="26"/>
    </row>
    <row r="53" spans="1:16" x14ac:dyDescent="0.6">
      <c r="A53" s="2"/>
      <c r="B53" s="6"/>
      <c r="C53" s="6"/>
      <c r="D53" s="32"/>
      <c r="E53" s="6"/>
      <c r="F53" s="6"/>
      <c r="G53" s="6"/>
      <c r="H53" s="26"/>
      <c r="I53" s="6"/>
      <c r="J53" s="6"/>
      <c r="K53" s="6"/>
      <c r="L53" s="26"/>
      <c r="M53" s="2"/>
      <c r="N53" s="3"/>
      <c r="O53" s="6"/>
      <c r="P53" s="26"/>
    </row>
    <row r="54" spans="1:16" x14ac:dyDescent="0.6">
      <c r="A54" s="2"/>
      <c r="B54" s="6"/>
      <c r="C54" s="6"/>
      <c r="D54" s="32"/>
      <c r="E54" s="6"/>
      <c r="F54" s="6"/>
      <c r="G54" s="6"/>
      <c r="H54" s="26"/>
      <c r="I54" s="6"/>
      <c r="J54" s="6"/>
      <c r="K54" s="6"/>
      <c r="L54" s="26"/>
      <c r="M54" s="2"/>
      <c r="N54" s="3"/>
      <c r="O54" s="6"/>
      <c r="P54" s="26"/>
    </row>
    <row r="55" spans="1:16" x14ac:dyDescent="0.6">
      <c r="A55" s="2"/>
      <c r="B55" s="6"/>
      <c r="C55" s="6"/>
      <c r="D55" s="32"/>
      <c r="E55" s="6"/>
      <c r="F55" s="6"/>
      <c r="G55" s="6"/>
      <c r="H55" s="26"/>
      <c r="I55" s="6"/>
      <c r="J55" s="6"/>
      <c r="K55" s="6"/>
      <c r="L55" s="26"/>
      <c r="M55" s="2"/>
      <c r="N55" s="3"/>
      <c r="O55" s="6"/>
      <c r="P55" s="26"/>
    </row>
    <row r="56" spans="1:16" x14ac:dyDescent="0.6">
      <c r="A56" s="2"/>
      <c r="B56" s="6"/>
      <c r="C56" s="6"/>
      <c r="D56" s="32"/>
      <c r="E56" s="6"/>
      <c r="F56" s="6"/>
      <c r="G56" s="6"/>
      <c r="H56" s="26"/>
      <c r="I56" s="6"/>
      <c r="J56" s="6"/>
      <c r="K56" s="6"/>
      <c r="L56" s="26"/>
      <c r="M56" s="2"/>
      <c r="N56" s="3"/>
      <c r="O56" s="6"/>
      <c r="P56" s="26"/>
    </row>
    <row r="57" spans="1:16" x14ac:dyDescent="0.6">
      <c r="A57" s="2"/>
      <c r="B57" s="6"/>
      <c r="C57" s="6"/>
      <c r="D57" s="32"/>
      <c r="E57" s="6"/>
      <c r="F57" s="6"/>
      <c r="G57" s="6"/>
      <c r="H57" s="26"/>
      <c r="I57" s="6"/>
      <c r="J57" s="6"/>
      <c r="K57" s="6"/>
      <c r="L57" s="26"/>
      <c r="M57" s="2"/>
      <c r="N57" s="3"/>
      <c r="O57" s="6"/>
      <c r="P57" s="26"/>
    </row>
    <row r="58" spans="1:16" x14ac:dyDescent="0.6">
      <c r="A58" s="2"/>
      <c r="B58" s="6"/>
      <c r="C58" s="6"/>
      <c r="D58" s="32"/>
      <c r="E58" s="6"/>
      <c r="F58" s="6"/>
      <c r="G58" s="6"/>
      <c r="H58" s="26"/>
      <c r="I58" s="6"/>
      <c r="J58" s="6"/>
      <c r="K58" s="6"/>
      <c r="L58" s="26"/>
      <c r="M58" s="2"/>
      <c r="N58" s="3"/>
      <c r="O58" s="6"/>
      <c r="P58" s="26"/>
    </row>
    <row r="59" spans="1:16" x14ac:dyDescent="0.6">
      <c r="A59" s="2"/>
      <c r="B59" s="6"/>
      <c r="C59" s="6"/>
      <c r="D59" s="32"/>
      <c r="E59" s="6"/>
      <c r="F59" s="6"/>
      <c r="G59" s="6"/>
      <c r="H59" s="26"/>
      <c r="I59" s="6"/>
      <c r="J59" s="6"/>
      <c r="K59" s="6"/>
      <c r="L59" s="26"/>
      <c r="M59" s="2"/>
      <c r="N59" s="3"/>
      <c r="O59" s="6"/>
      <c r="P59" s="26"/>
    </row>
    <row r="60" spans="1:16" x14ac:dyDescent="0.6">
      <c r="A60" s="2"/>
      <c r="B60" s="6"/>
      <c r="C60" s="6"/>
      <c r="D60" s="32"/>
      <c r="E60" s="6"/>
      <c r="F60" s="6"/>
      <c r="G60" s="6"/>
      <c r="H60" s="26"/>
      <c r="I60" s="6"/>
      <c r="J60" s="6"/>
      <c r="K60" s="6"/>
      <c r="L60" s="26"/>
      <c r="M60" s="2"/>
      <c r="N60" s="3"/>
      <c r="O60" s="6"/>
      <c r="P60" s="26"/>
    </row>
    <row r="61" spans="1:16" x14ac:dyDescent="0.6">
      <c r="A61" s="2"/>
      <c r="B61" s="6"/>
      <c r="C61" s="6"/>
      <c r="D61" s="32"/>
      <c r="E61" s="6"/>
      <c r="F61" s="6"/>
      <c r="G61" s="6"/>
      <c r="H61" s="26"/>
      <c r="I61" s="6"/>
      <c r="J61" s="6"/>
      <c r="K61" s="6"/>
      <c r="L61" s="26"/>
      <c r="M61" s="2"/>
      <c r="N61" s="3"/>
      <c r="O61" s="6"/>
      <c r="P61" s="26"/>
    </row>
    <row r="62" spans="1:16" x14ac:dyDescent="0.6">
      <c r="A62" s="2"/>
      <c r="B62" s="6"/>
      <c r="C62" s="6"/>
      <c r="D62" s="32"/>
      <c r="E62" s="6"/>
      <c r="F62" s="6"/>
      <c r="G62" s="6"/>
      <c r="H62" s="26"/>
      <c r="I62" s="6"/>
      <c r="J62" s="6"/>
      <c r="K62" s="6"/>
      <c r="L62" s="26"/>
      <c r="M62" s="2"/>
      <c r="N62" s="3"/>
      <c r="O62" s="6"/>
      <c r="P62" s="26"/>
    </row>
    <row r="63" spans="1:16" x14ac:dyDescent="0.6">
      <c r="A63" s="2"/>
      <c r="B63" s="6"/>
      <c r="C63" s="6"/>
      <c r="D63" s="32"/>
      <c r="E63" s="6"/>
      <c r="F63" s="6"/>
      <c r="G63" s="6"/>
      <c r="H63" s="26"/>
      <c r="I63" s="6"/>
      <c r="J63" s="6"/>
      <c r="K63" s="6"/>
      <c r="L63" s="26"/>
      <c r="M63" s="2"/>
      <c r="N63" s="3"/>
      <c r="O63" s="6"/>
      <c r="P63" s="26"/>
    </row>
    <row r="64" spans="1:16" x14ac:dyDescent="0.6">
      <c r="A64" s="2"/>
      <c r="B64" s="6"/>
      <c r="C64" s="6"/>
      <c r="D64" s="32"/>
      <c r="E64" s="6"/>
      <c r="F64" s="6"/>
      <c r="G64" s="6"/>
      <c r="H64" s="26"/>
      <c r="I64" s="6"/>
      <c r="J64" s="6"/>
      <c r="K64" s="6"/>
      <c r="L64" s="26"/>
      <c r="M64" s="2"/>
      <c r="N64" s="3"/>
      <c r="O64" s="6"/>
      <c r="P64" s="26"/>
    </row>
    <row r="65" spans="1:16" x14ac:dyDescent="0.6">
      <c r="A65" s="2"/>
      <c r="B65" s="6"/>
      <c r="C65" s="6"/>
      <c r="D65" s="32"/>
      <c r="E65" s="6"/>
      <c r="F65" s="6"/>
      <c r="G65" s="6"/>
      <c r="H65" s="26"/>
      <c r="I65" s="6"/>
      <c r="J65" s="6"/>
      <c r="K65" s="6"/>
      <c r="L65" s="26"/>
      <c r="M65" s="2"/>
      <c r="N65" s="3"/>
      <c r="O65" s="6"/>
      <c r="P65" s="26"/>
    </row>
    <row r="66" spans="1:16" x14ac:dyDescent="0.6">
      <c r="A66" s="2"/>
      <c r="B66" s="6"/>
      <c r="C66" s="6"/>
      <c r="D66" s="32"/>
      <c r="E66" s="6"/>
      <c r="F66" s="6"/>
      <c r="G66" s="6"/>
      <c r="H66" s="26"/>
      <c r="I66" s="6"/>
      <c r="J66" s="6"/>
      <c r="K66" s="6"/>
      <c r="L66" s="26"/>
      <c r="M66" s="2"/>
      <c r="N66" s="3"/>
      <c r="O66" s="6"/>
      <c r="P66" s="26"/>
    </row>
    <row r="67" spans="1:16" x14ac:dyDescent="0.6">
      <c r="A67" s="2"/>
      <c r="B67" s="6"/>
      <c r="C67" s="6"/>
      <c r="D67" s="32"/>
      <c r="E67" s="6"/>
      <c r="F67" s="6"/>
      <c r="G67" s="6"/>
      <c r="H67" s="26"/>
      <c r="I67" s="6"/>
      <c r="J67" s="6"/>
      <c r="K67" s="6"/>
      <c r="L67" s="26"/>
      <c r="M67" s="2"/>
      <c r="N67" s="3"/>
      <c r="O67" s="6"/>
      <c r="P67" s="26"/>
    </row>
    <row r="68" spans="1:16" x14ac:dyDescent="0.6">
      <c r="A68" s="2"/>
      <c r="B68" s="6"/>
      <c r="C68" s="6"/>
      <c r="D68" s="32"/>
      <c r="E68" s="6"/>
      <c r="F68" s="6"/>
      <c r="G68" s="6"/>
      <c r="H68" s="26"/>
      <c r="I68" s="6"/>
      <c r="J68" s="6"/>
      <c r="K68" s="6"/>
      <c r="L68" s="26"/>
      <c r="M68" s="2"/>
      <c r="N68" s="4"/>
      <c r="O68" s="6"/>
      <c r="P68" s="26"/>
    </row>
    <row r="69" spans="1:16" x14ac:dyDescent="0.6">
      <c r="A69" s="2"/>
      <c r="B69" s="6"/>
      <c r="C69" s="6"/>
      <c r="D69" s="32"/>
      <c r="E69" s="6"/>
      <c r="F69" s="6"/>
      <c r="G69" s="6"/>
      <c r="H69" s="26"/>
      <c r="I69" s="6"/>
      <c r="J69" s="6"/>
      <c r="K69" s="6"/>
      <c r="L69" s="26"/>
      <c r="M69" s="2"/>
      <c r="N69" s="4"/>
      <c r="O69" s="6"/>
      <c r="P69" s="26"/>
    </row>
    <row r="70" spans="1:16" x14ac:dyDescent="0.6">
      <c r="A70" s="2"/>
      <c r="B70" s="6"/>
      <c r="C70" s="6"/>
      <c r="D70" s="33"/>
      <c r="E70" s="6"/>
      <c r="F70" s="6"/>
      <c r="G70" s="6"/>
      <c r="H70" s="26"/>
      <c r="I70" s="6"/>
      <c r="J70" s="6"/>
      <c r="K70" s="6"/>
      <c r="L70" s="26"/>
      <c r="M70" s="2"/>
      <c r="N70" s="4"/>
      <c r="O70" s="6"/>
      <c r="P70" s="26"/>
    </row>
  </sheetData>
  <mergeCells count="5">
    <mergeCell ref="A2:D2"/>
    <mergeCell ref="E2:H2"/>
    <mergeCell ref="I2:L2"/>
    <mergeCell ref="M2:P2"/>
    <mergeCell ref="B37:E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EC37-4D73-46BF-956F-64357BB9216B}">
  <sheetPr>
    <tabColor rgb="FF00B0F0"/>
  </sheetPr>
  <dimension ref="A1:XFD70"/>
  <sheetViews>
    <sheetView workbookViewId="0">
      <pane xSplit="4" ySplit="3" topLeftCell="E4" activePane="bottomRight" state="frozen"/>
      <selection activeCell="F33" sqref="F33"/>
      <selection pane="topRight" activeCell="F33" sqref="F33"/>
      <selection pane="bottomLeft" activeCell="F33" sqref="F33"/>
      <selection pane="bottomRight" activeCell="E39" sqref="E39:E44"/>
    </sheetView>
  </sheetViews>
  <sheetFormatPr defaultRowHeight="23.4" x14ac:dyDescent="0.6"/>
  <cols>
    <col min="1" max="1" width="9.09765625" style="1" bestFit="1" customWidth="1"/>
    <col min="2" max="3" width="11.3984375" style="1" bestFit="1" customWidth="1"/>
    <col min="4" max="4" width="9.8984375" style="35" bestFit="1" customWidth="1"/>
    <col min="5" max="5" width="9.09765625" style="1" bestFit="1" customWidth="1"/>
    <col min="6" max="6" width="9.8984375" style="1" bestFit="1" customWidth="1"/>
    <col min="7" max="7" width="8.8984375" style="1" bestFit="1" customWidth="1"/>
    <col min="8" max="8" width="8.3984375" style="38" customWidth="1"/>
    <col min="9" max="9" width="9.09765625" style="1" bestFit="1" customWidth="1"/>
    <col min="10" max="10" width="9.8984375" style="1" bestFit="1" customWidth="1"/>
    <col min="11" max="11" width="8.8984375" style="1" bestFit="1" customWidth="1"/>
    <col min="12" max="12" width="8.3984375" style="38" customWidth="1"/>
    <col min="13" max="13" width="9.09765625" style="1" bestFit="1" customWidth="1"/>
    <col min="14" max="14" width="9.8984375" style="1" bestFit="1" customWidth="1"/>
    <col min="15" max="15" width="8.8984375" style="1" bestFit="1" customWidth="1"/>
    <col min="16" max="16" width="8.3984375" style="38" customWidth="1"/>
    <col min="17" max="16383" width="8.69921875" style="1"/>
    <col min="16384" max="16384" width="9" style="1" bestFit="1" customWidth="1"/>
  </cols>
  <sheetData>
    <row r="1" spans="1:16" ht="28.8" x14ac:dyDescent="0.75">
      <c r="A1" s="48" t="s">
        <v>14</v>
      </c>
    </row>
    <row r="2" spans="1:16" s="18" customFormat="1" ht="26.4" x14ac:dyDescent="0.7">
      <c r="A2" s="122" t="s">
        <v>0</v>
      </c>
      <c r="B2" s="122"/>
      <c r="C2" s="122"/>
      <c r="D2" s="122"/>
      <c r="E2" s="123" t="s">
        <v>1</v>
      </c>
      <c r="F2" s="123"/>
      <c r="G2" s="123"/>
      <c r="H2" s="123"/>
      <c r="I2" s="124" t="s">
        <v>2</v>
      </c>
      <c r="J2" s="124"/>
      <c r="K2" s="124"/>
      <c r="L2" s="124"/>
      <c r="M2" s="125" t="s">
        <v>3</v>
      </c>
      <c r="N2" s="125"/>
      <c r="O2" s="125"/>
      <c r="P2" s="125"/>
    </row>
    <row r="3" spans="1:16" s="22" customFormat="1" ht="52.8" x14ac:dyDescent="0.25">
      <c r="A3" s="49" t="s">
        <v>4</v>
      </c>
      <c r="B3" s="49" t="s">
        <v>5</v>
      </c>
      <c r="C3" s="49" t="s">
        <v>6</v>
      </c>
      <c r="D3" s="50" t="s">
        <v>7</v>
      </c>
      <c r="E3" s="51" t="s">
        <v>4</v>
      </c>
      <c r="F3" s="51" t="s">
        <v>5</v>
      </c>
      <c r="G3" s="51" t="s">
        <v>6</v>
      </c>
      <c r="H3" s="52" t="s">
        <v>7</v>
      </c>
      <c r="I3" s="53" t="s">
        <v>4</v>
      </c>
      <c r="J3" s="53" t="s">
        <v>5</v>
      </c>
      <c r="K3" s="53" t="s">
        <v>6</v>
      </c>
      <c r="L3" s="54" t="s">
        <v>7</v>
      </c>
      <c r="M3" s="55" t="s">
        <v>4</v>
      </c>
      <c r="N3" s="55" t="s">
        <v>5</v>
      </c>
      <c r="O3" s="55" t="s">
        <v>6</v>
      </c>
      <c r="P3" s="56" t="s">
        <v>7</v>
      </c>
    </row>
    <row r="4" spans="1:16" x14ac:dyDescent="0.6">
      <c r="A4" s="24">
        <v>45658</v>
      </c>
      <c r="B4" s="3">
        <v>111283.57</v>
      </c>
      <c r="C4" s="3">
        <v>10027.26</v>
      </c>
      <c r="D4" s="32">
        <f>+C4/B4</f>
        <v>9.0105484574227804E-2</v>
      </c>
      <c r="E4" s="24">
        <v>45658</v>
      </c>
      <c r="F4" s="3">
        <v>42643</v>
      </c>
      <c r="G4" s="3">
        <v>2696.93</v>
      </c>
      <c r="H4" s="32">
        <f>+G4/F4</f>
        <v>6.3244377740778082E-2</v>
      </c>
      <c r="I4" s="24">
        <v>45658</v>
      </c>
      <c r="J4" s="3">
        <v>3248.05</v>
      </c>
      <c r="K4" s="3">
        <v>0</v>
      </c>
      <c r="L4" s="32">
        <f>+K4/J4</f>
        <v>0</v>
      </c>
      <c r="M4" s="24">
        <v>45658</v>
      </c>
      <c r="N4" s="3">
        <v>23636</v>
      </c>
      <c r="O4" s="4">
        <v>545</v>
      </c>
      <c r="P4" s="32">
        <f>+O4/N4</f>
        <v>2.3058047046877646E-2</v>
      </c>
    </row>
    <row r="5" spans="1:16" x14ac:dyDescent="0.6">
      <c r="A5" s="24">
        <v>45659</v>
      </c>
      <c r="B5" s="3">
        <v>120292.22</v>
      </c>
      <c r="C5" s="3">
        <v>10335.98</v>
      </c>
      <c r="D5" s="32">
        <f t="shared" ref="D5:D32" si="0">+C5/B5</f>
        <v>8.5923927582349041E-2</v>
      </c>
      <c r="E5" s="24">
        <v>45659</v>
      </c>
      <c r="F5" s="3">
        <v>112985</v>
      </c>
      <c r="G5" s="3">
        <v>2318.73</v>
      </c>
      <c r="H5" s="32">
        <f t="shared" ref="H5:H31" si="1">+G5/F5</f>
        <v>2.0522458733460196E-2</v>
      </c>
      <c r="I5" s="24">
        <v>45659</v>
      </c>
      <c r="J5" s="5">
        <v>6582.43</v>
      </c>
      <c r="K5" s="3">
        <v>1058.49</v>
      </c>
      <c r="L5" s="32">
        <f t="shared" ref="L5:L32" si="2">+K5/J5</f>
        <v>0.16080535607670723</v>
      </c>
      <c r="M5" s="24">
        <v>45659</v>
      </c>
      <c r="N5" s="3">
        <v>20441</v>
      </c>
      <c r="O5" s="4">
        <v>538.28</v>
      </c>
      <c r="P5" s="32">
        <f t="shared" ref="P5:P34" si="3">+O5/N5</f>
        <v>2.6333349640428549E-2</v>
      </c>
    </row>
    <row r="6" spans="1:16" x14ac:dyDescent="0.6">
      <c r="A6" s="24">
        <v>45660</v>
      </c>
      <c r="B6" s="3">
        <v>117235.48</v>
      </c>
      <c r="C6" s="3">
        <v>10765.86</v>
      </c>
      <c r="D6" s="32">
        <f t="shared" si="0"/>
        <v>9.1831073664730173E-2</v>
      </c>
      <c r="E6" s="24">
        <v>45660</v>
      </c>
      <c r="F6" s="3">
        <v>3835</v>
      </c>
      <c r="G6" s="3">
        <v>1781.11</v>
      </c>
      <c r="H6" s="32">
        <f t="shared" si="1"/>
        <v>0.46443546284224246</v>
      </c>
      <c r="I6" s="24">
        <v>45660</v>
      </c>
      <c r="J6" s="5">
        <v>14405.15</v>
      </c>
      <c r="K6" s="3">
        <v>1685.89</v>
      </c>
      <c r="L6" s="32">
        <f t="shared" si="2"/>
        <v>0.11703383859244786</v>
      </c>
      <c r="M6" s="24">
        <v>45660</v>
      </c>
      <c r="N6" s="3">
        <v>26810</v>
      </c>
      <c r="O6" s="4">
        <v>448.89</v>
      </c>
      <c r="P6" s="32">
        <f t="shared" si="3"/>
        <v>1.674337933606863E-2</v>
      </c>
    </row>
    <row r="7" spans="1:16" x14ac:dyDescent="0.6">
      <c r="A7" s="24">
        <v>45661</v>
      </c>
      <c r="B7" s="3">
        <v>78638.210000000006</v>
      </c>
      <c r="C7" s="3">
        <v>7627.51</v>
      </c>
      <c r="D7" s="32">
        <f t="shared" si="0"/>
        <v>9.6994959574995404E-2</v>
      </c>
      <c r="E7" s="24">
        <v>45661</v>
      </c>
      <c r="F7" s="3">
        <v>20648</v>
      </c>
      <c r="G7" s="3">
        <v>1333.61</v>
      </c>
      <c r="H7" s="32">
        <f t="shared" si="1"/>
        <v>6.4587853545137533E-2</v>
      </c>
      <c r="I7" s="24">
        <v>45661</v>
      </c>
      <c r="J7" s="5">
        <v>8530.4</v>
      </c>
      <c r="K7" s="3">
        <v>1595.24</v>
      </c>
      <c r="L7" s="32">
        <f t="shared" si="2"/>
        <v>0.18700647097439746</v>
      </c>
      <c r="M7" s="24">
        <v>45661</v>
      </c>
      <c r="N7" s="3">
        <v>13524</v>
      </c>
      <c r="O7" s="4">
        <v>410</v>
      </c>
      <c r="P7" s="32">
        <f t="shared" si="3"/>
        <v>3.0316474415853299E-2</v>
      </c>
    </row>
    <row r="8" spans="1:16" x14ac:dyDescent="0.6">
      <c r="A8" s="24">
        <v>45662</v>
      </c>
      <c r="B8" s="3">
        <v>66020</v>
      </c>
      <c r="C8" s="3">
        <v>6541.19</v>
      </c>
      <c r="D8" s="32">
        <f t="shared" si="0"/>
        <v>9.9078915480157528E-2</v>
      </c>
      <c r="E8" s="24">
        <v>45662</v>
      </c>
      <c r="F8" s="3">
        <v>18810</v>
      </c>
      <c r="G8" s="3">
        <v>1123.8699999999999</v>
      </c>
      <c r="H8" s="32">
        <f t="shared" si="1"/>
        <v>5.9748538011695898E-2</v>
      </c>
      <c r="I8" s="24">
        <v>45662</v>
      </c>
      <c r="J8" s="5">
        <v>9456.52</v>
      </c>
      <c r="K8" s="3">
        <v>1466.72</v>
      </c>
      <c r="L8" s="32">
        <f t="shared" si="2"/>
        <v>0.1551014538117616</v>
      </c>
      <c r="M8" s="24">
        <v>45662</v>
      </c>
      <c r="N8" s="3">
        <v>10052</v>
      </c>
      <c r="O8" s="4">
        <v>457.88</v>
      </c>
      <c r="P8" s="32">
        <f t="shared" si="3"/>
        <v>4.5551134102666133E-2</v>
      </c>
    </row>
    <row r="9" spans="1:16" x14ac:dyDescent="0.6">
      <c r="A9" s="24">
        <v>45663</v>
      </c>
      <c r="B9" s="3">
        <v>63343.64</v>
      </c>
      <c r="C9" s="3">
        <v>7000.89</v>
      </c>
      <c r="D9" s="32">
        <f t="shared" si="0"/>
        <v>0.11052238235756581</v>
      </c>
      <c r="E9" s="24">
        <v>45663</v>
      </c>
      <c r="F9" s="3">
        <v>26650</v>
      </c>
      <c r="G9" s="3">
        <v>1186.42</v>
      </c>
      <c r="H9" s="32">
        <f t="shared" si="1"/>
        <v>4.4518574108818015E-2</v>
      </c>
      <c r="I9" s="24">
        <v>45663</v>
      </c>
      <c r="J9" s="3">
        <v>4217.29</v>
      </c>
      <c r="K9" s="3">
        <v>800.3</v>
      </c>
      <c r="L9" s="32">
        <f t="shared" si="2"/>
        <v>0.18976641397674809</v>
      </c>
      <c r="M9" s="24">
        <v>45663</v>
      </c>
      <c r="N9" s="3">
        <v>7981</v>
      </c>
      <c r="O9" s="4">
        <v>410</v>
      </c>
      <c r="P9" s="32">
        <f t="shared" si="3"/>
        <v>5.137200852023556E-2</v>
      </c>
    </row>
    <row r="10" spans="1:16" x14ac:dyDescent="0.6">
      <c r="A10" s="24">
        <v>45664</v>
      </c>
      <c r="B10" s="3">
        <v>46840.3</v>
      </c>
      <c r="C10" s="3">
        <v>4979.28</v>
      </c>
      <c r="D10" s="32">
        <f t="shared" si="0"/>
        <v>0.10630333281383765</v>
      </c>
      <c r="E10" s="24">
        <v>45664</v>
      </c>
      <c r="F10" s="3">
        <v>27953</v>
      </c>
      <c r="G10" s="3">
        <v>1105.19</v>
      </c>
      <c r="H10" s="32">
        <f t="shared" si="1"/>
        <v>3.9537437842092085E-2</v>
      </c>
      <c r="I10" s="24">
        <v>45664</v>
      </c>
      <c r="J10" s="3">
        <v>2994.55</v>
      </c>
      <c r="K10" s="4">
        <v>801.76</v>
      </c>
      <c r="L10" s="32">
        <f t="shared" si="2"/>
        <v>0.26773972717102734</v>
      </c>
      <c r="M10" s="24">
        <v>45664</v>
      </c>
      <c r="N10" s="3">
        <v>16229</v>
      </c>
      <c r="O10" s="4">
        <v>450</v>
      </c>
      <c r="P10" s="32">
        <f t="shared" si="3"/>
        <v>2.7728140982192371E-2</v>
      </c>
    </row>
    <row r="11" spans="1:16" x14ac:dyDescent="0.6">
      <c r="A11" s="24">
        <v>45665</v>
      </c>
      <c r="B11" s="3">
        <v>45468.85</v>
      </c>
      <c r="C11" s="3">
        <v>5031.41</v>
      </c>
      <c r="D11" s="32">
        <f>+C11/B11</f>
        <v>0.11065619649496304</v>
      </c>
      <c r="E11" s="24">
        <v>45665</v>
      </c>
      <c r="F11" s="3">
        <v>3767</v>
      </c>
      <c r="G11" s="4">
        <v>961.54</v>
      </c>
      <c r="H11" s="32">
        <f t="shared" si="1"/>
        <v>0.2552535173878418</v>
      </c>
      <c r="I11" s="24">
        <v>45665</v>
      </c>
      <c r="J11" s="3">
        <v>4595.32</v>
      </c>
      <c r="K11" s="4">
        <v>805.26</v>
      </c>
      <c r="L11" s="32">
        <f t="shared" si="2"/>
        <v>0.17523480410504602</v>
      </c>
      <c r="M11" s="24">
        <v>45665</v>
      </c>
      <c r="N11" s="3">
        <v>5116</v>
      </c>
      <c r="O11" s="4">
        <v>464.99</v>
      </c>
      <c r="P11" s="32">
        <f t="shared" si="3"/>
        <v>9.0889366692728693E-2</v>
      </c>
    </row>
    <row r="12" spans="1:16" x14ac:dyDescent="0.6">
      <c r="A12" s="24">
        <v>45666</v>
      </c>
      <c r="B12" s="3">
        <v>41611</v>
      </c>
      <c r="C12" s="3">
        <v>5095.6899999999996</v>
      </c>
      <c r="D12" s="32">
        <f t="shared" si="0"/>
        <v>0.12246016678282184</v>
      </c>
      <c r="E12" s="24">
        <v>45666</v>
      </c>
      <c r="F12" s="3">
        <v>30259</v>
      </c>
      <c r="G12" s="4">
        <v>756.71</v>
      </c>
      <c r="H12" s="32">
        <f t="shared" si="1"/>
        <v>2.5007766284411252E-2</v>
      </c>
      <c r="I12" s="24">
        <v>45666</v>
      </c>
      <c r="J12" s="3">
        <v>4624.13</v>
      </c>
      <c r="K12" s="4">
        <v>781.29</v>
      </c>
      <c r="L12" s="32">
        <f t="shared" si="2"/>
        <v>0.16895935019127922</v>
      </c>
      <c r="M12" s="24">
        <v>45666</v>
      </c>
      <c r="N12" s="3">
        <v>13297</v>
      </c>
      <c r="O12" s="4">
        <v>521.96</v>
      </c>
      <c r="P12" s="32">
        <f t="shared" si="3"/>
        <v>3.9253967060239155E-2</v>
      </c>
    </row>
    <row r="13" spans="1:16" x14ac:dyDescent="0.6">
      <c r="A13" s="24">
        <v>45667</v>
      </c>
      <c r="B13" s="3">
        <v>28129</v>
      </c>
      <c r="C13" s="3">
        <v>3193.86</v>
      </c>
      <c r="D13" s="32">
        <f t="shared" si="0"/>
        <v>0.11354331828362189</v>
      </c>
      <c r="E13" s="24">
        <v>45667</v>
      </c>
      <c r="F13" s="3">
        <v>10840</v>
      </c>
      <c r="G13" s="4">
        <v>705.31</v>
      </c>
      <c r="H13" s="32">
        <f t="shared" si="1"/>
        <v>6.5065498154981541E-2</v>
      </c>
      <c r="I13" s="24">
        <v>45667</v>
      </c>
      <c r="J13" s="3">
        <v>4641.3999999999996</v>
      </c>
      <c r="K13" s="4">
        <v>708.97</v>
      </c>
      <c r="L13" s="32">
        <f t="shared" si="2"/>
        <v>0.15274917050889819</v>
      </c>
      <c r="M13" s="24">
        <v>45667</v>
      </c>
      <c r="N13" s="3">
        <v>6115</v>
      </c>
      <c r="O13" s="4">
        <v>568.22</v>
      </c>
      <c r="P13" s="32">
        <f t="shared" si="3"/>
        <v>9.2922322158626336E-2</v>
      </c>
    </row>
    <row r="14" spans="1:16" x14ac:dyDescent="0.6">
      <c r="A14" s="24">
        <v>45668</v>
      </c>
      <c r="B14" s="3">
        <v>39511.72</v>
      </c>
      <c r="C14" s="3">
        <v>4554.3900000000003</v>
      </c>
      <c r="D14" s="32">
        <f t="shared" si="0"/>
        <v>0.11526681197376373</v>
      </c>
      <c r="E14" s="24">
        <v>45668</v>
      </c>
      <c r="F14" s="3">
        <v>7915</v>
      </c>
      <c r="G14" s="4">
        <v>838.47</v>
      </c>
      <c r="H14" s="32">
        <f t="shared" si="1"/>
        <v>0.10593430195830701</v>
      </c>
      <c r="I14" s="24">
        <v>45668</v>
      </c>
      <c r="J14" s="3">
        <v>8290.7999999999993</v>
      </c>
      <c r="K14" s="4">
        <v>202.22</v>
      </c>
      <c r="L14" s="32">
        <f t="shared" si="2"/>
        <v>2.4390891108216337E-2</v>
      </c>
      <c r="M14" s="24">
        <v>45668</v>
      </c>
      <c r="N14" s="3">
        <v>5454</v>
      </c>
      <c r="O14" s="4">
        <v>520</v>
      </c>
      <c r="P14" s="32">
        <f t="shared" si="3"/>
        <v>9.5342867620095348E-2</v>
      </c>
    </row>
    <row r="15" spans="1:16" x14ac:dyDescent="0.6">
      <c r="A15" s="24">
        <v>45669</v>
      </c>
      <c r="B15" s="3">
        <v>52184</v>
      </c>
      <c r="C15" s="3">
        <v>8617.15</v>
      </c>
      <c r="D15" s="32">
        <f t="shared" si="0"/>
        <v>0.16513011651080792</v>
      </c>
      <c r="E15" s="24">
        <v>45669</v>
      </c>
      <c r="F15" s="3">
        <v>7873</v>
      </c>
      <c r="G15" s="4">
        <v>764.22</v>
      </c>
      <c r="H15" s="32">
        <f t="shared" si="1"/>
        <v>9.7068461831576275E-2</v>
      </c>
      <c r="I15" s="24">
        <v>45669</v>
      </c>
      <c r="J15" s="3">
        <v>4912.34</v>
      </c>
      <c r="K15" s="4">
        <v>201.69</v>
      </c>
      <c r="L15" s="32">
        <f t="shared" si="2"/>
        <v>4.1057825801959963E-2</v>
      </c>
      <c r="M15" s="24">
        <v>45669</v>
      </c>
      <c r="N15" s="3">
        <v>7318</v>
      </c>
      <c r="O15" s="4">
        <v>582.66</v>
      </c>
      <c r="P15" s="32">
        <f t="shared" si="3"/>
        <v>7.9620114785460508E-2</v>
      </c>
    </row>
    <row r="16" spans="1:16" x14ac:dyDescent="0.6">
      <c r="A16" s="24">
        <v>45670</v>
      </c>
      <c r="B16" s="3">
        <v>43722.12</v>
      </c>
      <c r="C16" s="3">
        <v>5428.2</v>
      </c>
      <c r="D16" s="32">
        <f t="shared" si="0"/>
        <v>0.12415225977148409</v>
      </c>
      <c r="E16" s="24">
        <v>45670</v>
      </c>
      <c r="F16" s="3">
        <v>7210</v>
      </c>
      <c r="G16" s="3">
        <v>868.05</v>
      </c>
      <c r="H16" s="32">
        <f t="shared" si="1"/>
        <v>0.12039528432732316</v>
      </c>
      <c r="I16" s="24">
        <v>45670</v>
      </c>
      <c r="J16" s="3">
        <v>2465.7600000000002</v>
      </c>
      <c r="K16" s="3">
        <v>201.81</v>
      </c>
      <c r="L16" s="32">
        <f t="shared" si="2"/>
        <v>8.1844948413470897E-2</v>
      </c>
      <c r="M16" s="24">
        <v>45670</v>
      </c>
      <c r="N16" s="3">
        <v>7440</v>
      </c>
      <c r="O16" s="4">
        <v>387.88</v>
      </c>
      <c r="P16" s="32">
        <f t="shared" si="3"/>
        <v>5.2134408602150538E-2</v>
      </c>
    </row>
    <row r="17" spans="1:16" x14ac:dyDescent="0.6">
      <c r="A17" s="24">
        <v>45671</v>
      </c>
      <c r="B17" s="3">
        <v>38088</v>
      </c>
      <c r="C17" s="3">
        <v>5223.51</v>
      </c>
      <c r="D17" s="32">
        <f t="shared" si="0"/>
        <v>0.13714319470699435</v>
      </c>
      <c r="E17" s="24">
        <v>45671</v>
      </c>
      <c r="F17" s="3">
        <v>6914</v>
      </c>
      <c r="G17" s="3">
        <v>835.37</v>
      </c>
      <c r="H17" s="32">
        <f t="shared" si="1"/>
        <v>0.12082296789123517</v>
      </c>
      <c r="I17" s="24">
        <v>45671</v>
      </c>
      <c r="J17" s="3">
        <v>5053.71</v>
      </c>
      <c r="K17" s="3">
        <v>762.06</v>
      </c>
      <c r="L17" s="32">
        <f t="shared" si="2"/>
        <v>0.15079219029188456</v>
      </c>
      <c r="M17" s="24">
        <v>45671</v>
      </c>
      <c r="N17" s="3">
        <v>5279</v>
      </c>
      <c r="O17" s="4">
        <v>297.93</v>
      </c>
      <c r="P17" s="32">
        <f t="shared" si="3"/>
        <v>5.6436825156279596E-2</v>
      </c>
    </row>
    <row r="18" spans="1:16" x14ac:dyDescent="0.6">
      <c r="A18" s="24">
        <v>45672</v>
      </c>
      <c r="B18" s="3">
        <v>69345</v>
      </c>
      <c r="C18" s="3">
        <v>10909.21</v>
      </c>
      <c r="D18" s="32">
        <f t="shared" si="0"/>
        <v>0.157317903237436</v>
      </c>
      <c r="E18" s="24">
        <v>45672</v>
      </c>
      <c r="F18" s="3">
        <v>9259</v>
      </c>
      <c r="G18" s="3">
        <v>1937.23</v>
      </c>
      <c r="H18" s="32">
        <f t="shared" si="1"/>
        <v>0.20922669834755372</v>
      </c>
      <c r="I18" s="24">
        <v>45672</v>
      </c>
      <c r="J18" s="3">
        <v>12581.41</v>
      </c>
      <c r="K18" s="3">
        <v>730.67</v>
      </c>
      <c r="L18" s="32">
        <f t="shared" si="2"/>
        <v>5.8075366751421338E-2</v>
      </c>
      <c r="M18" s="24">
        <v>45672</v>
      </c>
      <c r="N18" s="3">
        <v>8723</v>
      </c>
      <c r="O18" s="4">
        <v>680.72</v>
      </c>
      <c r="P18" s="32">
        <f t="shared" si="3"/>
        <v>7.803737246360197E-2</v>
      </c>
    </row>
    <row r="19" spans="1:16" x14ac:dyDescent="0.6">
      <c r="A19" s="24">
        <v>45673</v>
      </c>
      <c r="B19" s="3">
        <v>32816</v>
      </c>
      <c r="C19" s="3">
        <v>3637.24</v>
      </c>
      <c r="D19" s="32">
        <f t="shared" si="0"/>
        <v>0.11083739639200389</v>
      </c>
      <c r="E19" s="24">
        <v>45673</v>
      </c>
      <c r="F19" s="3">
        <v>59600</v>
      </c>
      <c r="G19" s="3">
        <v>2664.84</v>
      </c>
      <c r="H19" s="32">
        <f t="shared" si="1"/>
        <v>4.4712080536912752E-2</v>
      </c>
      <c r="I19" s="24">
        <v>45673</v>
      </c>
      <c r="J19" s="3">
        <v>14933.25</v>
      </c>
      <c r="K19" s="3">
        <v>561.61</v>
      </c>
      <c r="L19" s="32">
        <f t="shared" si="2"/>
        <v>3.7608022366196238E-2</v>
      </c>
      <c r="M19" s="24">
        <v>45673</v>
      </c>
      <c r="N19" s="3">
        <v>38101</v>
      </c>
      <c r="O19" s="4">
        <v>311.56</v>
      </c>
      <c r="P19" s="32">
        <f t="shared" si="3"/>
        <v>8.1772131965040292E-3</v>
      </c>
    </row>
    <row r="20" spans="1:16" x14ac:dyDescent="0.6">
      <c r="A20" s="24">
        <v>45674</v>
      </c>
      <c r="B20" s="3">
        <v>35465.15</v>
      </c>
      <c r="C20" s="3">
        <v>3386.32</v>
      </c>
      <c r="D20" s="32">
        <f t="shared" si="0"/>
        <v>9.548303052433163E-2</v>
      </c>
      <c r="E20" s="24">
        <v>45674</v>
      </c>
      <c r="F20" s="3">
        <v>7053</v>
      </c>
      <c r="G20" s="3">
        <v>1653.4</v>
      </c>
      <c r="H20" s="32">
        <f t="shared" si="1"/>
        <v>0.23442506734722815</v>
      </c>
      <c r="I20" s="24">
        <v>45674</v>
      </c>
      <c r="J20" s="3">
        <v>14509.08</v>
      </c>
      <c r="K20" s="3">
        <v>200.81</v>
      </c>
      <c r="L20" s="32">
        <f t="shared" si="2"/>
        <v>1.3840298626790948E-2</v>
      </c>
      <c r="M20" s="24">
        <v>45674</v>
      </c>
      <c r="N20" s="3">
        <v>8548</v>
      </c>
      <c r="O20" s="4">
        <v>232.63</v>
      </c>
      <c r="P20" s="32">
        <f t="shared" si="3"/>
        <v>2.7214553111839027E-2</v>
      </c>
    </row>
    <row r="21" spans="1:16" x14ac:dyDescent="0.6">
      <c r="A21" s="24">
        <v>45675</v>
      </c>
      <c r="B21" s="3">
        <v>28644.31</v>
      </c>
      <c r="C21" s="3">
        <v>2674.67</v>
      </c>
      <c r="D21" s="32">
        <f t="shared" si="0"/>
        <v>9.3375263708568995E-2</v>
      </c>
      <c r="E21" s="24">
        <v>45675</v>
      </c>
      <c r="F21" s="3">
        <v>11150</v>
      </c>
      <c r="G21" s="4">
        <v>745.97</v>
      </c>
      <c r="H21" s="32">
        <f t="shared" si="1"/>
        <v>6.690313901345292E-2</v>
      </c>
      <c r="I21" s="24">
        <v>45675</v>
      </c>
      <c r="J21" s="3">
        <v>2367.1</v>
      </c>
      <c r="K21" s="4">
        <v>200.18</v>
      </c>
      <c r="L21" s="32">
        <f t="shared" si="2"/>
        <v>8.4567614380465561E-2</v>
      </c>
      <c r="M21" s="24">
        <v>45675</v>
      </c>
      <c r="N21" s="3">
        <v>7394</v>
      </c>
      <c r="O21" s="4">
        <v>279.33999999999997</v>
      </c>
      <c r="P21" s="32">
        <f t="shared" si="3"/>
        <v>3.7779280497700837E-2</v>
      </c>
    </row>
    <row r="22" spans="1:16" x14ac:dyDescent="0.6">
      <c r="A22" s="24">
        <v>45676</v>
      </c>
      <c r="B22" s="3">
        <v>77446.960000000006</v>
      </c>
      <c r="C22" s="3">
        <v>10211.84</v>
      </c>
      <c r="D22" s="32">
        <f t="shared" si="0"/>
        <v>0.13185591790820453</v>
      </c>
      <c r="E22" s="24">
        <v>45676</v>
      </c>
      <c r="F22" s="3">
        <v>13865</v>
      </c>
      <c r="G22" s="4">
        <v>777.3</v>
      </c>
      <c r="H22" s="32">
        <f t="shared" si="1"/>
        <v>5.6062026685899748E-2</v>
      </c>
      <c r="I22" s="24">
        <v>45676</v>
      </c>
      <c r="J22" s="3">
        <v>6957.21</v>
      </c>
      <c r="K22" s="4">
        <v>200.46</v>
      </c>
      <c r="L22" s="32">
        <f t="shared" si="2"/>
        <v>2.8813274286675263E-2</v>
      </c>
      <c r="M22" s="24">
        <v>45676</v>
      </c>
      <c r="N22" s="3">
        <v>8745</v>
      </c>
      <c r="O22" s="4">
        <v>284.39</v>
      </c>
      <c r="P22" s="32">
        <f t="shared" si="3"/>
        <v>3.2520297312750142E-2</v>
      </c>
    </row>
    <row r="23" spans="1:16" x14ac:dyDescent="0.6">
      <c r="A23" s="24">
        <v>45677</v>
      </c>
      <c r="B23" s="3">
        <v>82570</v>
      </c>
      <c r="C23" s="3">
        <v>11478.44</v>
      </c>
      <c r="D23" s="32">
        <f t="shared" si="0"/>
        <v>0.13901465423277221</v>
      </c>
      <c r="E23" s="24">
        <v>45677</v>
      </c>
      <c r="F23" s="61">
        <v>7127</v>
      </c>
      <c r="G23" s="3">
        <v>3342.77</v>
      </c>
      <c r="H23" s="36">
        <v>0</v>
      </c>
      <c r="I23" s="24">
        <v>45677</v>
      </c>
      <c r="J23" s="3">
        <v>4131.3500000000004</v>
      </c>
      <c r="K23" s="4">
        <v>200.64</v>
      </c>
      <c r="L23" s="32">
        <f t="shared" si="2"/>
        <v>4.8565238965471325E-2</v>
      </c>
      <c r="M23" s="24">
        <v>45677</v>
      </c>
      <c r="N23" s="3">
        <v>10786</v>
      </c>
      <c r="O23" s="4">
        <v>271.97000000000003</v>
      </c>
      <c r="P23" s="32">
        <f t="shared" si="3"/>
        <v>2.5215093639903582E-2</v>
      </c>
    </row>
    <row r="24" spans="1:16" x14ac:dyDescent="0.6">
      <c r="A24" s="24">
        <v>45678</v>
      </c>
      <c r="B24" s="3">
        <v>87009.600000000006</v>
      </c>
      <c r="C24" s="3">
        <v>14502.71</v>
      </c>
      <c r="D24" s="32">
        <f t="shared" si="0"/>
        <v>0.16667942387966383</v>
      </c>
      <c r="E24" s="24">
        <v>45678</v>
      </c>
      <c r="F24" s="3">
        <v>17870</v>
      </c>
      <c r="G24" s="61">
        <v>4037.18</v>
      </c>
      <c r="H24" s="32">
        <f t="shared" si="1"/>
        <v>0.22591941801902629</v>
      </c>
      <c r="I24" s="24">
        <v>45678</v>
      </c>
      <c r="J24" s="3">
        <v>5340.52</v>
      </c>
      <c r="K24" s="4">
        <v>200.67</v>
      </c>
      <c r="L24" s="32">
        <f t="shared" si="2"/>
        <v>3.7574992697340326E-2</v>
      </c>
      <c r="M24" s="24">
        <v>45678</v>
      </c>
      <c r="N24" s="3">
        <v>35475</v>
      </c>
      <c r="O24" s="4">
        <v>675.98</v>
      </c>
      <c r="P24" s="32">
        <f t="shared" si="3"/>
        <v>1.9055109231853419E-2</v>
      </c>
    </row>
    <row r="25" spans="1:16" x14ac:dyDescent="0.6">
      <c r="A25" s="24">
        <v>45679</v>
      </c>
      <c r="B25" s="3">
        <v>44854.25</v>
      </c>
      <c r="C25" s="3">
        <v>4506.41</v>
      </c>
      <c r="D25" s="32">
        <f t="shared" si="0"/>
        <v>0.10046784864310516</v>
      </c>
      <c r="E25" s="24">
        <v>45679</v>
      </c>
      <c r="F25" s="3">
        <v>25452.400000000001</v>
      </c>
      <c r="G25" s="61">
        <v>3212.57</v>
      </c>
      <c r="H25" s="32">
        <f>+G25/F25</f>
        <v>0.12621874557998461</v>
      </c>
      <c r="I25" s="24">
        <v>45679</v>
      </c>
      <c r="J25" s="3">
        <v>4291.0200000000004</v>
      </c>
      <c r="K25" s="6">
        <v>200.16</v>
      </c>
      <c r="L25" s="32">
        <f t="shared" si="2"/>
        <v>4.6646251940098152E-2</v>
      </c>
      <c r="M25" s="24">
        <v>45679</v>
      </c>
      <c r="N25" s="3">
        <v>19337</v>
      </c>
      <c r="O25" s="4">
        <v>412.04</v>
      </c>
      <c r="P25" s="32">
        <f t="shared" si="3"/>
        <v>2.1308372550033615E-2</v>
      </c>
    </row>
    <row r="26" spans="1:16" x14ac:dyDescent="0.6">
      <c r="A26" s="24">
        <v>45680</v>
      </c>
      <c r="B26" s="3">
        <v>44346.35</v>
      </c>
      <c r="C26" s="3">
        <v>4361.59</v>
      </c>
      <c r="D26" s="32">
        <f t="shared" si="0"/>
        <v>9.8352852038555608E-2</v>
      </c>
      <c r="E26" s="24">
        <v>45680</v>
      </c>
      <c r="F26" s="3">
        <v>15836</v>
      </c>
      <c r="G26" s="61">
        <v>1165.6300000000001</v>
      </c>
      <c r="H26" s="32">
        <f t="shared" si="1"/>
        <v>7.3606339984844671E-2</v>
      </c>
      <c r="I26" s="24">
        <v>45680</v>
      </c>
      <c r="J26" s="3">
        <v>7006.76</v>
      </c>
      <c r="K26" s="6">
        <v>200.48</v>
      </c>
      <c r="L26" s="32">
        <f t="shared" si="2"/>
        <v>2.8612368626868907E-2</v>
      </c>
      <c r="M26" s="24">
        <v>45680</v>
      </c>
      <c r="N26" s="3">
        <v>15606</v>
      </c>
      <c r="O26" s="4">
        <v>585.16999999999996</v>
      </c>
      <c r="P26" s="32">
        <f t="shared" si="3"/>
        <v>3.7496475714468791E-2</v>
      </c>
    </row>
    <row r="27" spans="1:16" x14ac:dyDescent="0.6">
      <c r="A27" s="24">
        <v>45681</v>
      </c>
      <c r="B27" s="3">
        <v>14403</v>
      </c>
      <c r="C27" s="3">
        <v>1537.52</v>
      </c>
      <c r="D27" s="32">
        <f t="shared" si="0"/>
        <v>0.10674998264250503</v>
      </c>
      <c r="E27" s="24">
        <v>45681</v>
      </c>
      <c r="F27" s="3">
        <v>18885</v>
      </c>
      <c r="G27" s="6">
        <v>741.65</v>
      </c>
      <c r="H27" s="32">
        <f t="shared" si="1"/>
        <v>3.9271908922425207E-2</v>
      </c>
      <c r="I27" s="24">
        <v>45681</v>
      </c>
      <c r="J27" s="3">
        <v>9896.7999999999993</v>
      </c>
      <c r="K27" s="6">
        <v>200.6</v>
      </c>
      <c r="L27" s="32">
        <f t="shared" si="2"/>
        <v>2.0269177916094092E-2</v>
      </c>
      <c r="M27" s="24">
        <v>45681</v>
      </c>
      <c r="N27" s="3">
        <v>13965</v>
      </c>
      <c r="O27" s="4">
        <v>516.96</v>
      </c>
      <c r="P27" s="32">
        <f t="shared" si="3"/>
        <v>3.7018259935553174E-2</v>
      </c>
    </row>
    <row r="28" spans="1:16" x14ac:dyDescent="0.6">
      <c r="A28" s="24">
        <v>45682</v>
      </c>
      <c r="B28" s="3">
        <v>2682</v>
      </c>
      <c r="C28" s="4">
        <v>949.2</v>
      </c>
      <c r="D28" s="32">
        <f t="shared" si="0"/>
        <v>0.35391498881431771</v>
      </c>
      <c r="E28" s="24">
        <v>45682</v>
      </c>
      <c r="F28" s="3">
        <v>5350</v>
      </c>
      <c r="G28" s="6">
        <v>106.28</v>
      </c>
      <c r="H28" s="32">
        <f t="shared" si="1"/>
        <v>1.9865420560747665E-2</v>
      </c>
      <c r="I28" s="24">
        <v>45682</v>
      </c>
      <c r="J28" s="3">
        <v>19339.14</v>
      </c>
      <c r="K28" s="6">
        <v>200.92</v>
      </c>
      <c r="L28" s="32">
        <f t="shared" si="2"/>
        <v>1.0389293422561707E-2</v>
      </c>
      <c r="M28" s="24">
        <v>45682</v>
      </c>
      <c r="N28" s="3">
        <v>3275</v>
      </c>
      <c r="O28" s="4">
        <v>240</v>
      </c>
      <c r="P28" s="32">
        <f t="shared" si="3"/>
        <v>7.3282442748091606E-2</v>
      </c>
    </row>
    <row r="29" spans="1:16" x14ac:dyDescent="0.6">
      <c r="A29" s="24">
        <v>45683</v>
      </c>
      <c r="B29" s="3">
        <v>4075</v>
      </c>
      <c r="C29" s="4">
        <v>471.61</v>
      </c>
      <c r="D29" s="32">
        <f t="shared" si="0"/>
        <v>0.11573251533742332</v>
      </c>
      <c r="E29" s="24">
        <v>45683</v>
      </c>
      <c r="F29" s="61">
        <v>2090</v>
      </c>
      <c r="G29" s="6">
        <v>0</v>
      </c>
      <c r="H29" s="32">
        <v>0</v>
      </c>
      <c r="I29" s="24">
        <v>45683</v>
      </c>
      <c r="J29" s="3">
        <v>6062.96</v>
      </c>
      <c r="K29" s="6">
        <v>200.3</v>
      </c>
      <c r="L29" s="32">
        <v>0</v>
      </c>
      <c r="M29" s="24">
        <v>45683</v>
      </c>
      <c r="N29" s="3">
        <v>1425</v>
      </c>
      <c r="O29" s="4">
        <v>31.42</v>
      </c>
      <c r="P29" s="32">
        <f t="shared" si="3"/>
        <v>2.2049122807017544E-2</v>
      </c>
    </row>
    <row r="30" spans="1:16" x14ac:dyDescent="0.6">
      <c r="A30" s="24">
        <v>45684</v>
      </c>
      <c r="B30" s="3">
        <v>2907</v>
      </c>
      <c r="C30" s="4">
        <v>0.1</v>
      </c>
      <c r="D30" s="32">
        <f t="shared" si="0"/>
        <v>3.4399724802201581E-5</v>
      </c>
      <c r="E30" s="24">
        <v>45684</v>
      </c>
      <c r="F30" s="61">
        <v>4110</v>
      </c>
      <c r="G30" s="6">
        <v>0</v>
      </c>
      <c r="H30" s="32">
        <v>0</v>
      </c>
      <c r="I30" s="24">
        <v>45684</v>
      </c>
      <c r="J30" s="3">
        <v>6427.01</v>
      </c>
      <c r="K30" s="6">
        <v>200.2</v>
      </c>
      <c r="L30" s="32">
        <f t="shared" si="2"/>
        <v>3.1149788159657441E-2</v>
      </c>
      <c r="M30" s="24">
        <v>45684</v>
      </c>
      <c r="N30" s="3">
        <v>1156</v>
      </c>
      <c r="O30" s="4">
        <v>0</v>
      </c>
      <c r="P30" s="32">
        <f t="shared" si="3"/>
        <v>0</v>
      </c>
    </row>
    <row r="31" spans="1:16" x14ac:dyDescent="0.6">
      <c r="A31" s="24">
        <v>45685</v>
      </c>
      <c r="B31" s="4">
        <v>469</v>
      </c>
      <c r="C31" s="4">
        <v>0</v>
      </c>
      <c r="D31" s="32">
        <f t="shared" si="0"/>
        <v>0</v>
      </c>
      <c r="E31" s="24">
        <v>45685</v>
      </c>
      <c r="F31" s="3">
        <v>3150</v>
      </c>
      <c r="G31" s="6">
        <v>0</v>
      </c>
      <c r="H31" s="32">
        <f t="shared" si="1"/>
        <v>0</v>
      </c>
      <c r="I31" s="24">
        <v>45685</v>
      </c>
      <c r="J31" s="3">
        <v>1941.61</v>
      </c>
      <c r="K31" s="6">
        <v>184.21</v>
      </c>
      <c r="L31" s="32">
        <v>0</v>
      </c>
      <c r="M31" s="24">
        <v>45685</v>
      </c>
      <c r="N31" s="3">
        <v>449</v>
      </c>
      <c r="O31" s="4">
        <v>0</v>
      </c>
      <c r="P31" s="32">
        <f t="shared" si="3"/>
        <v>0</v>
      </c>
    </row>
    <row r="32" spans="1:16" x14ac:dyDescent="0.6">
      <c r="A32" s="24">
        <v>45686</v>
      </c>
      <c r="B32" s="4">
        <v>179</v>
      </c>
      <c r="C32" s="4">
        <v>0</v>
      </c>
      <c r="D32" s="32">
        <f t="shared" si="0"/>
        <v>0</v>
      </c>
      <c r="E32" s="24">
        <v>45686</v>
      </c>
      <c r="F32" s="4">
        <v>0</v>
      </c>
      <c r="G32" s="6">
        <v>0</v>
      </c>
      <c r="H32" s="32">
        <v>0</v>
      </c>
      <c r="I32" s="24">
        <v>45686</v>
      </c>
      <c r="J32" s="3">
        <v>4756.67</v>
      </c>
      <c r="K32" s="6">
        <v>200.39</v>
      </c>
      <c r="L32" s="32">
        <f t="shared" si="2"/>
        <v>4.2128211542949164E-2</v>
      </c>
      <c r="M32" s="24">
        <v>45686</v>
      </c>
      <c r="N32" s="3">
        <v>141</v>
      </c>
      <c r="O32" s="4">
        <v>0</v>
      </c>
      <c r="P32" s="32">
        <f t="shared" si="3"/>
        <v>0</v>
      </c>
    </row>
    <row r="33" spans="1:16 16384:16384" x14ac:dyDescent="0.6">
      <c r="A33" s="24">
        <v>45687</v>
      </c>
      <c r="B33" s="4">
        <v>0</v>
      </c>
      <c r="C33" s="4">
        <v>0</v>
      </c>
      <c r="D33" s="32">
        <v>0</v>
      </c>
      <c r="E33" s="24">
        <v>45687</v>
      </c>
      <c r="F33" s="4">
        <v>300</v>
      </c>
      <c r="G33" s="6">
        <v>0</v>
      </c>
      <c r="H33" s="32">
        <v>0</v>
      </c>
      <c r="I33" s="24">
        <v>45687</v>
      </c>
      <c r="J33" s="3">
        <v>4775.01</v>
      </c>
      <c r="K33" s="6">
        <v>200.69</v>
      </c>
      <c r="L33" s="32">
        <v>0</v>
      </c>
      <c r="M33" s="24">
        <v>45687</v>
      </c>
      <c r="N33" s="4">
        <v>0</v>
      </c>
      <c r="O33" s="4">
        <v>0</v>
      </c>
      <c r="P33" s="32">
        <v>0</v>
      </c>
    </row>
    <row r="34" spans="1:16 16384:16384" x14ac:dyDescent="0.6">
      <c r="A34" s="24">
        <v>45688</v>
      </c>
      <c r="B34" s="4">
        <v>0</v>
      </c>
      <c r="C34" s="4">
        <v>0</v>
      </c>
      <c r="D34" s="32">
        <v>0</v>
      </c>
      <c r="E34" s="24">
        <v>45688</v>
      </c>
      <c r="F34" s="6">
        <v>0</v>
      </c>
      <c r="G34" s="6">
        <v>0</v>
      </c>
      <c r="H34" s="32">
        <v>0</v>
      </c>
      <c r="I34" s="24">
        <v>45688</v>
      </c>
      <c r="J34" s="61">
        <v>8998.56</v>
      </c>
      <c r="K34" s="6">
        <v>200.01</v>
      </c>
      <c r="L34" s="32">
        <v>0</v>
      </c>
      <c r="M34" s="24">
        <v>45688</v>
      </c>
      <c r="N34" s="3">
        <v>296</v>
      </c>
      <c r="O34" s="4">
        <v>0</v>
      </c>
      <c r="P34" s="32">
        <f t="shared" si="3"/>
        <v>0</v>
      </c>
    </row>
    <row r="35" spans="1:16 16384:16384" s="17" customFormat="1" ht="27" thickBot="1" x14ac:dyDescent="0.75">
      <c r="A35" s="16" t="s">
        <v>11</v>
      </c>
      <c r="B35" s="39">
        <f>SUM(B4:B34)</f>
        <v>1419580.7300000002</v>
      </c>
      <c r="C35" s="39">
        <f t="shared" ref="C35" si="4">SUM(C4:C34)</f>
        <v>163049.03999999998</v>
      </c>
      <c r="D35" s="15" t="s">
        <v>12</v>
      </c>
      <c r="E35" s="16" t="s">
        <v>11</v>
      </c>
      <c r="F35" s="39">
        <f>SUM(F4:F34)</f>
        <v>529399.4</v>
      </c>
      <c r="G35" s="39">
        <f t="shared" ref="G35" si="5">SUM(G4:G34)</f>
        <v>37660.35</v>
      </c>
      <c r="H35" s="15" t="s">
        <v>12</v>
      </c>
      <c r="I35" s="16" t="s">
        <v>11</v>
      </c>
      <c r="J35" s="39">
        <f>SUM(J4:J34)</f>
        <v>218333.31</v>
      </c>
      <c r="K35" s="39">
        <f t="shared" ref="K35" si="6">SUM(K4:K34)</f>
        <v>15354.699999999997</v>
      </c>
      <c r="L35" s="15" t="s">
        <v>12</v>
      </c>
      <c r="M35" s="16" t="s">
        <v>11</v>
      </c>
      <c r="N35" s="39">
        <f>SUM(N4:N34)</f>
        <v>342114</v>
      </c>
      <c r="O35" s="39">
        <f t="shared" ref="O35" si="7">SUM(O4:O34)</f>
        <v>11125.87</v>
      </c>
      <c r="P35" s="15" t="s">
        <v>12</v>
      </c>
      <c r="XFD35" s="17">
        <f>SUM(A35:XFC35)</f>
        <v>2736617.4000000008</v>
      </c>
    </row>
    <row r="36" spans="1:16 16384:16384" ht="24" thickTop="1" x14ac:dyDescent="0.6">
      <c r="A36" s="6"/>
      <c r="B36" s="6"/>
      <c r="C36" s="6"/>
      <c r="D36" s="33"/>
      <c r="E36" s="6"/>
      <c r="F36" s="6"/>
      <c r="G36" s="6"/>
      <c r="H36" s="26"/>
      <c r="I36" s="6"/>
      <c r="J36" s="6"/>
      <c r="K36" s="6"/>
      <c r="L36" s="26"/>
      <c r="M36" s="6"/>
      <c r="N36" s="6"/>
      <c r="O36" s="6"/>
      <c r="P36" s="26"/>
    </row>
    <row r="37" spans="1:16 16384:16384" x14ac:dyDescent="0.6">
      <c r="A37" s="6"/>
      <c r="B37" s="6"/>
      <c r="C37" s="6"/>
      <c r="D37" s="33"/>
      <c r="E37" s="7"/>
      <c r="F37" s="7"/>
      <c r="G37" s="7"/>
      <c r="H37" s="37"/>
      <c r="I37" s="6"/>
      <c r="J37" s="6"/>
      <c r="K37" s="6"/>
      <c r="L37" s="26"/>
      <c r="M37" s="6"/>
      <c r="N37" s="6"/>
      <c r="O37" s="6"/>
      <c r="P37" s="26"/>
    </row>
    <row r="38" spans="1:16 16384:16384" ht="26.4" x14ac:dyDescent="0.7">
      <c r="A38" s="8"/>
      <c r="B38" s="119" t="s">
        <v>8</v>
      </c>
      <c r="C38" s="120"/>
      <c r="D38" s="120"/>
      <c r="E38" s="121"/>
      <c r="F38" s="7"/>
      <c r="G38" s="8"/>
      <c r="H38" s="26"/>
      <c r="I38" s="8"/>
      <c r="J38" s="8"/>
      <c r="K38" s="8"/>
      <c r="L38" s="26"/>
      <c r="M38" s="9"/>
      <c r="N38" s="6"/>
      <c r="O38" s="6"/>
      <c r="P38" s="26"/>
    </row>
    <row r="39" spans="1:16 16384:16384" ht="26.4" x14ac:dyDescent="0.7">
      <c r="A39" s="10"/>
      <c r="B39" s="57" t="s">
        <v>9</v>
      </c>
      <c r="C39" s="57" t="s">
        <v>5</v>
      </c>
      <c r="D39" s="57" t="s">
        <v>6</v>
      </c>
      <c r="E39" s="57" t="s">
        <v>7</v>
      </c>
      <c r="F39" s="6"/>
      <c r="G39" s="10"/>
      <c r="H39" s="28"/>
      <c r="I39" s="10"/>
      <c r="J39" s="10"/>
      <c r="K39" s="10"/>
      <c r="L39" s="26"/>
      <c r="M39" s="6"/>
      <c r="N39" s="6"/>
      <c r="O39" s="6"/>
      <c r="P39" s="26"/>
    </row>
    <row r="40" spans="1:16 16384:16384" x14ac:dyDescent="0.6">
      <c r="A40" s="2"/>
      <c r="B40" s="40" t="s">
        <v>0</v>
      </c>
      <c r="C40" s="41">
        <f>+B35</f>
        <v>1419580.7300000002</v>
      </c>
      <c r="D40" s="41">
        <f>+C35</f>
        <v>163049.03999999998</v>
      </c>
      <c r="E40" s="43">
        <f>+D40/C40</f>
        <v>0.11485718040142737</v>
      </c>
      <c r="F40" s="6"/>
      <c r="G40" s="11"/>
      <c r="H40" s="29"/>
      <c r="I40" s="12"/>
      <c r="J40" s="11"/>
      <c r="K40" s="13"/>
      <c r="L40" s="26"/>
      <c r="M40" s="2"/>
      <c r="N40" s="3"/>
      <c r="O40" s="6"/>
      <c r="P40" s="26"/>
    </row>
    <row r="41" spans="1:16 16384:16384" x14ac:dyDescent="0.6">
      <c r="A41" s="2"/>
      <c r="B41" s="40" t="s">
        <v>1</v>
      </c>
      <c r="C41" s="42">
        <f>+F35</f>
        <v>529399.4</v>
      </c>
      <c r="D41" s="42">
        <f>+G35</f>
        <v>37660.35</v>
      </c>
      <c r="E41" s="43">
        <f t="shared" ref="E41:E42" si="8">+D41/C41</f>
        <v>7.1137878131331461E-2</v>
      </c>
      <c r="F41" s="6"/>
      <c r="G41" s="11"/>
      <c r="H41" s="29"/>
      <c r="I41" s="12"/>
      <c r="J41" s="11"/>
      <c r="K41" s="13"/>
      <c r="L41" s="26"/>
      <c r="M41" s="2"/>
      <c r="N41" s="3"/>
      <c r="O41" s="6"/>
      <c r="P41" s="26"/>
    </row>
    <row r="42" spans="1:16 16384:16384" x14ac:dyDescent="0.6">
      <c r="A42" s="2"/>
      <c r="B42" s="40" t="s">
        <v>2</v>
      </c>
      <c r="C42" s="42">
        <f>+J35</f>
        <v>218333.31</v>
      </c>
      <c r="D42" s="42">
        <f>+K35</f>
        <v>15354.699999999997</v>
      </c>
      <c r="E42" s="43">
        <f t="shared" si="8"/>
        <v>7.0326877744857144E-2</v>
      </c>
      <c r="F42" s="6"/>
      <c r="G42" s="11"/>
      <c r="H42" s="29"/>
      <c r="I42" s="12"/>
      <c r="J42" s="11"/>
      <c r="K42" s="13"/>
      <c r="L42" s="26"/>
      <c r="M42" s="2"/>
      <c r="N42" s="3"/>
      <c r="O42" s="6"/>
      <c r="P42" s="26"/>
    </row>
    <row r="43" spans="1:16 16384:16384" x14ac:dyDescent="0.6">
      <c r="A43" s="2"/>
      <c r="B43" s="40" t="s">
        <v>3</v>
      </c>
      <c r="C43" s="42">
        <f>+N35</f>
        <v>342114</v>
      </c>
      <c r="D43" s="42">
        <f>+O35</f>
        <v>11125.87</v>
      </c>
      <c r="E43" s="43">
        <f>+D43/C43</f>
        <v>3.2520943311293897E-2</v>
      </c>
      <c r="F43" s="6"/>
      <c r="G43" s="11"/>
      <c r="H43" s="29"/>
      <c r="I43" s="12"/>
      <c r="J43" s="11"/>
      <c r="K43" s="13"/>
      <c r="L43" s="26"/>
      <c r="M43" s="2"/>
      <c r="N43" s="3"/>
      <c r="O43" s="6"/>
      <c r="P43" s="26"/>
    </row>
    <row r="44" spans="1:16 16384:16384" ht="26.4" x14ac:dyDescent="0.7">
      <c r="A44" s="2"/>
      <c r="B44" s="60" t="s">
        <v>10</v>
      </c>
      <c r="C44" s="58">
        <f>SUM(C40:C43)</f>
        <v>2509427.4400000004</v>
      </c>
      <c r="D44" s="58">
        <f>SUM(D40:D43)</f>
        <v>227189.95999999996</v>
      </c>
      <c r="E44" s="59">
        <f>+D44/C44</f>
        <v>9.0534580270629356E-2</v>
      </c>
      <c r="F44" s="6"/>
      <c r="G44" s="8"/>
      <c r="H44" s="29"/>
      <c r="I44" s="14"/>
      <c r="J44" s="10"/>
      <c r="K44" s="10"/>
      <c r="L44" s="26"/>
      <c r="M44" s="2"/>
      <c r="N44" s="3"/>
      <c r="O44" s="6"/>
      <c r="P44" s="26"/>
    </row>
    <row r="45" spans="1:16 16384:16384" x14ac:dyDescent="0.6">
      <c r="A45" s="2"/>
      <c r="B45" s="6"/>
      <c r="C45" s="6"/>
      <c r="D45" s="32"/>
      <c r="E45" s="6"/>
      <c r="F45" s="6"/>
      <c r="G45" s="6"/>
      <c r="H45" s="26"/>
      <c r="I45" s="6"/>
      <c r="J45" s="6"/>
      <c r="K45" s="6"/>
      <c r="L45" s="26"/>
      <c r="M45" s="2"/>
      <c r="N45" s="3"/>
      <c r="O45" s="6"/>
      <c r="P45" s="26"/>
    </row>
    <row r="46" spans="1:16 16384:16384" x14ac:dyDescent="0.6">
      <c r="A46" s="2"/>
      <c r="B46" s="6"/>
      <c r="C46" s="6"/>
      <c r="D46" s="32"/>
      <c r="E46" s="6"/>
      <c r="F46" s="6"/>
      <c r="G46" s="6"/>
      <c r="H46" s="26"/>
      <c r="I46" s="6"/>
      <c r="J46" s="6"/>
      <c r="K46" s="6"/>
      <c r="L46" s="26"/>
      <c r="M46" s="2"/>
      <c r="N46" s="3"/>
      <c r="O46" s="6"/>
      <c r="P46" s="26"/>
    </row>
    <row r="47" spans="1:16 16384:16384" x14ac:dyDescent="0.6">
      <c r="A47" s="2"/>
      <c r="B47" s="6"/>
      <c r="C47" s="6"/>
      <c r="D47" s="32"/>
      <c r="E47" s="6"/>
      <c r="F47" s="6"/>
      <c r="G47" s="6"/>
      <c r="H47" s="26"/>
      <c r="I47" s="6"/>
      <c r="J47" s="6"/>
      <c r="K47" s="6"/>
      <c r="L47" s="26"/>
      <c r="M47" s="2"/>
      <c r="N47" s="3"/>
      <c r="O47" s="6"/>
      <c r="P47" s="26"/>
    </row>
    <row r="48" spans="1:16 16384:16384" x14ac:dyDescent="0.6">
      <c r="A48" s="2"/>
      <c r="B48" s="6"/>
      <c r="C48" s="6"/>
      <c r="D48" s="32"/>
      <c r="E48" s="6"/>
      <c r="F48" s="6"/>
      <c r="G48" s="6"/>
      <c r="H48" s="26"/>
      <c r="I48" s="6"/>
      <c r="J48" s="6"/>
      <c r="K48" s="6"/>
      <c r="L48" s="26"/>
      <c r="M48" s="2"/>
      <c r="N48" s="3"/>
      <c r="O48" s="6"/>
      <c r="P48" s="26"/>
    </row>
    <row r="49" spans="1:16" x14ac:dyDescent="0.6">
      <c r="A49" s="2"/>
      <c r="B49" s="6"/>
      <c r="C49" s="6"/>
      <c r="D49" s="32"/>
      <c r="E49" s="6"/>
      <c r="F49" s="6"/>
      <c r="G49" s="6"/>
      <c r="H49" s="26"/>
      <c r="I49" s="6"/>
      <c r="J49" s="6"/>
      <c r="K49" s="6"/>
      <c r="L49" s="26"/>
      <c r="M49" s="2"/>
      <c r="N49" s="3"/>
      <c r="O49" s="6"/>
      <c r="P49" s="26"/>
    </row>
    <row r="50" spans="1:16" x14ac:dyDescent="0.6">
      <c r="A50" s="2"/>
      <c r="B50" s="6"/>
      <c r="C50" s="6"/>
      <c r="D50" s="32"/>
      <c r="E50" s="6"/>
      <c r="F50" s="6"/>
      <c r="G50" s="6"/>
      <c r="H50" s="26"/>
      <c r="I50" s="6"/>
      <c r="J50" s="6"/>
      <c r="K50" s="6"/>
      <c r="L50" s="26"/>
      <c r="M50" s="2"/>
      <c r="N50" s="3"/>
      <c r="O50" s="6"/>
      <c r="P50" s="26"/>
    </row>
    <row r="51" spans="1:16" x14ac:dyDescent="0.6">
      <c r="A51" s="2"/>
      <c r="B51" s="6"/>
      <c r="C51" s="6"/>
      <c r="D51" s="32"/>
      <c r="E51" s="6"/>
      <c r="F51" s="6"/>
      <c r="G51" s="6"/>
      <c r="H51" s="26"/>
      <c r="I51" s="6"/>
      <c r="J51" s="6"/>
      <c r="K51" s="6"/>
      <c r="L51" s="26"/>
      <c r="M51" s="2"/>
      <c r="N51" s="3"/>
      <c r="O51" s="6"/>
      <c r="P51" s="26"/>
    </row>
    <row r="52" spans="1:16" x14ac:dyDescent="0.6">
      <c r="A52" s="2"/>
      <c r="B52" s="6"/>
      <c r="C52" s="6"/>
      <c r="D52" s="32"/>
      <c r="E52" s="6"/>
      <c r="F52" s="6"/>
      <c r="G52" s="6"/>
      <c r="H52" s="26"/>
      <c r="I52" s="6"/>
      <c r="J52" s="6"/>
      <c r="K52" s="6"/>
      <c r="L52" s="26"/>
      <c r="M52" s="2"/>
      <c r="N52" s="3"/>
      <c r="O52" s="6"/>
      <c r="P52" s="26"/>
    </row>
    <row r="53" spans="1:16" x14ac:dyDescent="0.6">
      <c r="A53" s="2"/>
      <c r="B53" s="6"/>
      <c r="C53" s="6"/>
      <c r="D53" s="32"/>
      <c r="E53" s="6"/>
      <c r="F53" s="6"/>
      <c r="G53" s="6"/>
      <c r="H53" s="26"/>
      <c r="I53" s="6"/>
      <c r="J53" s="6"/>
      <c r="K53" s="6"/>
      <c r="L53" s="26"/>
      <c r="M53" s="2"/>
      <c r="N53" s="3"/>
      <c r="O53" s="6"/>
      <c r="P53" s="26"/>
    </row>
    <row r="54" spans="1:16" x14ac:dyDescent="0.6">
      <c r="A54" s="2"/>
      <c r="B54" s="6"/>
      <c r="C54" s="6"/>
      <c r="D54" s="32"/>
      <c r="E54" s="6"/>
      <c r="F54" s="6"/>
      <c r="G54" s="6"/>
      <c r="H54" s="26"/>
      <c r="I54" s="6"/>
      <c r="J54" s="6"/>
      <c r="K54" s="6"/>
      <c r="L54" s="26"/>
      <c r="M54" s="2"/>
      <c r="N54" s="3"/>
      <c r="O54" s="6"/>
      <c r="P54" s="26"/>
    </row>
    <row r="55" spans="1:16" x14ac:dyDescent="0.6">
      <c r="A55" s="2"/>
      <c r="B55" s="6"/>
      <c r="C55" s="6"/>
      <c r="D55" s="32"/>
      <c r="E55" s="6"/>
      <c r="F55" s="6"/>
      <c r="G55" s="6"/>
      <c r="H55" s="26"/>
      <c r="I55" s="6"/>
      <c r="J55" s="6"/>
      <c r="K55" s="6"/>
      <c r="L55" s="26"/>
      <c r="M55" s="2"/>
      <c r="N55" s="3"/>
      <c r="O55" s="6"/>
      <c r="P55" s="26"/>
    </row>
    <row r="56" spans="1:16" x14ac:dyDescent="0.6">
      <c r="A56" s="2"/>
      <c r="B56" s="6"/>
      <c r="C56" s="6"/>
      <c r="D56" s="32"/>
      <c r="E56" s="6"/>
      <c r="F56" s="6"/>
      <c r="G56" s="6"/>
      <c r="H56" s="26"/>
      <c r="I56" s="6"/>
      <c r="J56" s="6"/>
      <c r="K56" s="6"/>
      <c r="L56" s="26"/>
      <c r="M56" s="2"/>
      <c r="N56" s="3"/>
      <c r="O56" s="6"/>
      <c r="P56" s="26"/>
    </row>
    <row r="57" spans="1:16" x14ac:dyDescent="0.6">
      <c r="A57" s="2"/>
      <c r="B57" s="6"/>
      <c r="C57" s="6"/>
      <c r="D57" s="32"/>
      <c r="E57" s="6"/>
      <c r="F57" s="6"/>
      <c r="G57" s="6"/>
      <c r="H57" s="26"/>
      <c r="I57" s="6"/>
      <c r="J57" s="6"/>
      <c r="K57" s="6"/>
      <c r="L57" s="26"/>
      <c r="M57" s="2"/>
      <c r="N57" s="3"/>
      <c r="O57" s="6"/>
      <c r="P57" s="26"/>
    </row>
    <row r="58" spans="1:16" x14ac:dyDescent="0.6">
      <c r="A58" s="2"/>
      <c r="B58" s="6"/>
      <c r="C58" s="6"/>
      <c r="D58" s="32"/>
      <c r="E58" s="6"/>
      <c r="F58" s="6"/>
      <c r="G58" s="6"/>
      <c r="H58" s="26"/>
      <c r="I58" s="6"/>
      <c r="J58" s="6"/>
      <c r="K58" s="6"/>
      <c r="L58" s="26"/>
      <c r="M58" s="2"/>
      <c r="N58" s="3"/>
      <c r="O58" s="6"/>
      <c r="P58" s="26"/>
    </row>
    <row r="59" spans="1:16" x14ac:dyDescent="0.6">
      <c r="A59" s="2"/>
      <c r="B59" s="6"/>
      <c r="C59" s="6"/>
      <c r="D59" s="32"/>
      <c r="E59" s="6"/>
      <c r="F59" s="6"/>
      <c r="G59" s="6"/>
      <c r="H59" s="26"/>
      <c r="I59" s="6"/>
      <c r="J59" s="6"/>
      <c r="K59" s="6"/>
      <c r="L59" s="26"/>
      <c r="M59" s="2"/>
      <c r="N59" s="3"/>
      <c r="O59" s="6"/>
      <c r="P59" s="26"/>
    </row>
    <row r="60" spans="1:16" x14ac:dyDescent="0.6">
      <c r="A60" s="2"/>
      <c r="B60" s="6"/>
      <c r="C60" s="6"/>
      <c r="D60" s="32"/>
      <c r="E60" s="6"/>
      <c r="F60" s="6"/>
      <c r="G60" s="6"/>
      <c r="H60" s="26"/>
      <c r="I60" s="6"/>
      <c r="J60" s="6"/>
      <c r="K60" s="6"/>
      <c r="L60" s="26"/>
      <c r="M60" s="2"/>
      <c r="N60" s="3"/>
      <c r="O60" s="6"/>
      <c r="P60" s="26"/>
    </row>
    <row r="61" spans="1:16" x14ac:dyDescent="0.6">
      <c r="A61" s="2"/>
      <c r="B61" s="6"/>
      <c r="C61" s="6"/>
      <c r="D61" s="32"/>
      <c r="E61" s="6"/>
      <c r="F61" s="6"/>
      <c r="G61" s="6"/>
      <c r="H61" s="26"/>
      <c r="I61" s="6"/>
      <c r="J61" s="6"/>
      <c r="K61" s="6"/>
      <c r="L61" s="26"/>
      <c r="M61" s="2"/>
      <c r="N61" s="3"/>
      <c r="O61" s="6"/>
      <c r="P61" s="26"/>
    </row>
    <row r="62" spans="1:16" x14ac:dyDescent="0.6">
      <c r="A62" s="2"/>
      <c r="B62" s="6"/>
      <c r="C62" s="6"/>
      <c r="D62" s="32"/>
      <c r="E62" s="6"/>
      <c r="F62" s="6"/>
      <c r="G62" s="6"/>
      <c r="H62" s="26"/>
      <c r="I62" s="6"/>
      <c r="J62" s="6"/>
      <c r="K62" s="6"/>
      <c r="L62" s="26"/>
      <c r="M62" s="2"/>
      <c r="N62" s="3"/>
      <c r="O62" s="6"/>
      <c r="P62" s="26"/>
    </row>
    <row r="63" spans="1:16" x14ac:dyDescent="0.6">
      <c r="A63" s="2"/>
      <c r="B63" s="6"/>
      <c r="C63" s="6"/>
      <c r="D63" s="32"/>
      <c r="E63" s="6"/>
      <c r="F63" s="6"/>
      <c r="G63" s="6"/>
      <c r="H63" s="26"/>
      <c r="I63" s="6"/>
      <c r="J63" s="6"/>
      <c r="K63" s="6"/>
      <c r="L63" s="26"/>
      <c r="M63" s="2"/>
      <c r="N63" s="3"/>
      <c r="O63" s="6"/>
      <c r="P63" s="26"/>
    </row>
    <row r="64" spans="1:16" x14ac:dyDescent="0.6">
      <c r="A64" s="2"/>
      <c r="B64" s="6"/>
      <c r="C64" s="6"/>
      <c r="D64" s="32"/>
      <c r="E64" s="6"/>
      <c r="F64" s="6"/>
      <c r="G64" s="6"/>
      <c r="H64" s="26"/>
      <c r="I64" s="6"/>
      <c r="J64" s="6"/>
      <c r="K64" s="6"/>
      <c r="L64" s="26"/>
      <c r="M64" s="2"/>
      <c r="N64" s="3"/>
      <c r="O64" s="6"/>
      <c r="P64" s="26"/>
    </row>
    <row r="65" spans="1:16" x14ac:dyDescent="0.6">
      <c r="A65" s="2"/>
      <c r="B65" s="6"/>
      <c r="C65" s="6"/>
      <c r="D65" s="32"/>
      <c r="E65" s="6"/>
      <c r="F65" s="6"/>
      <c r="G65" s="6"/>
      <c r="H65" s="26"/>
      <c r="I65" s="6"/>
      <c r="J65" s="6"/>
      <c r="K65" s="6"/>
      <c r="L65" s="26"/>
      <c r="M65" s="2"/>
      <c r="N65" s="3"/>
      <c r="O65" s="6"/>
      <c r="P65" s="26"/>
    </row>
    <row r="66" spans="1:16" x14ac:dyDescent="0.6">
      <c r="A66" s="2"/>
      <c r="B66" s="6"/>
      <c r="C66" s="6"/>
      <c r="D66" s="32"/>
      <c r="E66" s="6"/>
      <c r="F66" s="6"/>
      <c r="G66" s="6"/>
      <c r="H66" s="26"/>
      <c r="I66" s="6"/>
      <c r="J66" s="6"/>
      <c r="K66" s="6"/>
      <c r="L66" s="26"/>
      <c r="M66" s="2"/>
      <c r="N66" s="3"/>
      <c r="O66" s="6"/>
      <c r="P66" s="26"/>
    </row>
    <row r="67" spans="1:16" x14ac:dyDescent="0.6">
      <c r="A67" s="2"/>
      <c r="B67" s="6"/>
      <c r="C67" s="6"/>
      <c r="D67" s="32"/>
      <c r="E67" s="6"/>
      <c r="F67" s="6"/>
      <c r="G67" s="6"/>
      <c r="H67" s="26"/>
      <c r="I67" s="6"/>
      <c r="J67" s="6"/>
      <c r="K67" s="6"/>
      <c r="L67" s="26"/>
      <c r="M67" s="2"/>
      <c r="N67" s="3"/>
      <c r="O67" s="6"/>
      <c r="P67" s="26"/>
    </row>
    <row r="68" spans="1:16" x14ac:dyDescent="0.6">
      <c r="A68" s="2"/>
      <c r="B68" s="6"/>
      <c r="C68" s="6"/>
      <c r="D68" s="32"/>
      <c r="E68" s="6"/>
      <c r="F68" s="6"/>
      <c r="G68" s="6"/>
      <c r="H68" s="26"/>
      <c r="I68" s="6"/>
      <c r="J68" s="6"/>
      <c r="K68" s="6"/>
      <c r="L68" s="26"/>
      <c r="M68" s="2"/>
      <c r="N68" s="4"/>
      <c r="O68" s="6"/>
      <c r="P68" s="26"/>
    </row>
    <row r="69" spans="1:16" x14ac:dyDescent="0.6">
      <c r="A69" s="2"/>
      <c r="B69" s="6"/>
      <c r="C69" s="6"/>
      <c r="D69" s="32"/>
      <c r="E69" s="6"/>
      <c r="F69" s="6"/>
      <c r="G69" s="6"/>
      <c r="H69" s="26"/>
      <c r="I69" s="6"/>
      <c r="J69" s="6"/>
      <c r="K69" s="6"/>
      <c r="L69" s="26"/>
      <c r="M69" s="2"/>
      <c r="N69" s="4"/>
      <c r="O69" s="6"/>
      <c r="P69" s="26"/>
    </row>
    <row r="70" spans="1:16" x14ac:dyDescent="0.6">
      <c r="A70" s="2"/>
      <c r="B70" s="6"/>
      <c r="C70" s="6"/>
      <c r="D70" s="33"/>
      <c r="E70" s="6"/>
      <c r="F70" s="6"/>
      <c r="G70" s="6"/>
      <c r="H70" s="26"/>
      <c r="I70" s="6"/>
      <c r="J70" s="6"/>
      <c r="K70" s="6"/>
      <c r="L70" s="26"/>
      <c r="M70" s="2"/>
      <c r="N70" s="4"/>
      <c r="O70" s="6"/>
      <c r="P70" s="26"/>
    </row>
  </sheetData>
  <mergeCells count="5">
    <mergeCell ref="B38:E38"/>
    <mergeCell ref="A2:D2"/>
    <mergeCell ref="E2:H2"/>
    <mergeCell ref="I2:L2"/>
    <mergeCell ref="M2:P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43E0-70AA-4DD8-A6A7-C9625DE21C12}">
  <sheetPr>
    <tabColor rgb="FF00B0F0"/>
  </sheetPr>
  <dimension ref="A1:XFD70"/>
  <sheetViews>
    <sheetView zoomScale="115" zoomScaleNormal="115" workbookViewId="0">
      <pane xSplit="4" ySplit="3" topLeftCell="E34" activePane="bottomRight" state="frozen"/>
      <selection activeCell="F33" sqref="F33"/>
      <selection pane="topRight" activeCell="F33" sqref="F33"/>
      <selection pane="bottomLeft" activeCell="F33" sqref="F33"/>
      <selection pane="bottomRight" activeCell="F34" sqref="F34"/>
    </sheetView>
  </sheetViews>
  <sheetFormatPr defaultRowHeight="23.4" x14ac:dyDescent="0.6"/>
  <cols>
    <col min="1" max="1" width="9.3984375" style="1" customWidth="1"/>
    <col min="2" max="3" width="10.19921875" style="1" bestFit="1" customWidth="1"/>
    <col min="4" max="4" width="8.8984375" style="35" bestFit="1" customWidth="1"/>
    <col min="5" max="5" width="9.3984375" style="1" customWidth="1"/>
    <col min="6" max="6" width="10.19921875" style="1" bestFit="1" customWidth="1"/>
    <col min="7" max="7" width="9.09765625" style="1" bestFit="1" customWidth="1"/>
    <col min="8" max="8" width="7.8984375" style="38" bestFit="1" customWidth="1"/>
    <col min="9" max="9" width="9.3984375" style="1" customWidth="1"/>
    <col min="10" max="10" width="10.19921875" style="1" bestFit="1" customWidth="1"/>
    <col min="11" max="11" width="9.09765625" style="1" bestFit="1" customWidth="1"/>
    <col min="12" max="12" width="7.8984375" style="38" bestFit="1" customWidth="1"/>
    <col min="13" max="13" width="9.3984375" style="1" customWidth="1"/>
    <col min="14" max="14" width="10.19921875" style="1" bestFit="1" customWidth="1"/>
    <col min="15" max="15" width="9.09765625" style="1" bestFit="1" customWidth="1"/>
    <col min="16" max="16" width="7.8984375" style="38" bestFit="1" customWidth="1"/>
    <col min="17" max="16383" width="8.69921875" style="1"/>
    <col min="16384" max="16384" width="9" style="1" bestFit="1" customWidth="1"/>
  </cols>
  <sheetData>
    <row r="1" spans="1:16" ht="28.8" x14ac:dyDescent="0.75">
      <c r="A1" s="48" t="s">
        <v>16</v>
      </c>
    </row>
    <row r="2" spans="1:16" s="18" customFormat="1" x14ac:dyDescent="0.6">
      <c r="A2" s="111" t="s">
        <v>0</v>
      </c>
      <c r="B2" s="111"/>
      <c r="C2" s="111"/>
      <c r="D2" s="111"/>
      <c r="E2" s="112" t="s">
        <v>1</v>
      </c>
      <c r="F2" s="112"/>
      <c r="G2" s="112"/>
      <c r="H2" s="112"/>
      <c r="I2" s="113" t="s">
        <v>2</v>
      </c>
      <c r="J2" s="113"/>
      <c r="K2" s="113"/>
      <c r="L2" s="113"/>
      <c r="M2" s="114" t="s">
        <v>3</v>
      </c>
      <c r="N2" s="114"/>
      <c r="O2" s="114"/>
      <c r="P2" s="114"/>
    </row>
    <row r="3" spans="1:16" s="22" customFormat="1" x14ac:dyDescent="0.25">
      <c r="A3" s="23" t="s">
        <v>4</v>
      </c>
      <c r="B3" s="23" t="s">
        <v>5</v>
      </c>
      <c r="C3" s="23" t="s">
        <v>6</v>
      </c>
      <c r="D3" s="25" t="s">
        <v>7</v>
      </c>
      <c r="E3" s="19" t="s">
        <v>4</v>
      </c>
      <c r="F3" s="19" t="s">
        <v>5</v>
      </c>
      <c r="G3" s="19" t="s">
        <v>6</v>
      </c>
      <c r="H3" s="27" t="s">
        <v>7</v>
      </c>
      <c r="I3" s="20" t="s">
        <v>4</v>
      </c>
      <c r="J3" s="20" t="s">
        <v>5</v>
      </c>
      <c r="K3" s="20" t="s">
        <v>6</v>
      </c>
      <c r="L3" s="30" t="s">
        <v>7</v>
      </c>
      <c r="M3" s="21" t="s">
        <v>4</v>
      </c>
      <c r="N3" s="21" t="s">
        <v>5</v>
      </c>
      <c r="O3" s="21" t="s">
        <v>6</v>
      </c>
      <c r="P3" s="31" t="s">
        <v>7</v>
      </c>
    </row>
    <row r="4" spans="1:16" x14ac:dyDescent="0.6">
      <c r="A4" s="24">
        <v>45717</v>
      </c>
      <c r="B4" s="3">
        <v>5312.12</v>
      </c>
      <c r="C4" s="3">
        <v>213.23</v>
      </c>
      <c r="D4" s="32">
        <f>+C4/B4</f>
        <v>4.0140282975535187E-2</v>
      </c>
      <c r="E4" s="24">
        <v>45717</v>
      </c>
      <c r="F4" s="3">
        <v>26225</v>
      </c>
      <c r="G4" s="3">
        <v>2186.19</v>
      </c>
      <c r="H4" s="32">
        <f>+G4/F4</f>
        <v>8.3362821734985701E-2</v>
      </c>
      <c r="I4" s="24">
        <v>45717</v>
      </c>
      <c r="J4" s="3">
        <v>3248.05</v>
      </c>
      <c r="K4" s="3">
        <v>0</v>
      </c>
      <c r="L4" s="32">
        <f>+K4/J4</f>
        <v>0</v>
      </c>
      <c r="M4" s="24">
        <v>45717</v>
      </c>
      <c r="N4" s="3">
        <v>3783</v>
      </c>
      <c r="O4" s="4">
        <v>166.21</v>
      </c>
      <c r="P4" s="32">
        <f>+O4/N4</f>
        <v>4.3936029606132701E-2</v>
      </c>
    </row>
    <row r="5" spans="1:16" x14ac:dyDescent="0.6">
      <c r="A5" s="24">
        <v>45718</v>
      </c>
      <c r="B5" s="3">
        <v>12712.09</v>
      </c>
      <c r="C5" s="3">
        <v>964.8</v>
      </c>
      <c r="D5" s="32">
        <f t="shared" ref="D5:D34" si="0">+C5/B5</f>
        <v>7.5896253094495075E-2</v>
      </c>
      <c r="E5" s="24">
        <v>45718</v>
      </c>
      <c r="F5" s="3">
        <v>17189</v>
      </c>
      <c r="G5" s="3">
        <v>1436.59</v>
      </c>
      <c r="H5" s="32">
        <f t="shared" ref="H5:H34" si="1">+G5/F5</f>
        <v>8.3576124265518636E-2</v>
      </c>
      <c r="I5" s="24">
        <v>45718</v>
      </c>
      <c r="J5" s="5">
        <v>6582.43</v>
      </c>
      <c r="K5" s="3">
        <v>1058.49</v>
      </c>
      <c r="L5" s="32">
        <f t="shared" ref="L5:L34" si="2">+K5/J5</f>
        <v>0.16080535607670723</v>
      </c>
      <c r="M5" s="24">
        <v>45718</v>
      </c>
      <c r="N5" s="3">
        <v>5371</v>
      </c>
      <c r="O5" s="4">
        <v>306.77</v>
      </c>
      <c r="P5" s="32">
        <f t="shared" ref="P5:P34" si="3">+O5/N5</f>
        <v>5.7115993297337547E-2</v>
      </c>
    </row>
    <row r="6" spans="1:16" x14ac:dyDescent="0.6">
      <c r="A6" s="24">
        <v>45719</v>
      </c>
      <c r="B6" s="3">
        <v>6262.89</v>
      </c>
      <c r="C6" s="3">
        <v>624.02</v>
      </c>
      <c r="D6" s="32">
        <f t="shared" si="0"/>
        <v>9.963770719268579E-2</v>
      </c>
      <c r="E6" s="24">
        <v>45719</v>
      </c>
      <c r="F6" s="3">
        <v>5887</v>
      </c>
      <c r="G6" s="3">
        <v>1709.6</v>
      </c>
      <c r="H6" s="32">
        <f t="shared" si="1"/>
        <v>0.29040258196025137</v>
      </c>
      <c r="I6" s="24">
        <v>45719</v>
      </c>
      <c r="J6" s="5">
        <v>14405.15</v>
      </c>
      <c r="K6" s="3">
        <v>1685.89</v>
      </c>
      <c r="L6" s="32">
        <f t="shared" si="2"/>
        <v>0.11703383859244786</v>
      </c>
      <c r="M6" s="24">
        <v>45719</v>
      </c>
      <c r="N6" s="3">
        <v>8950</v>
      </c>
      <c r="O6" s="4">
        <v>692</v>
      </c>
      <c r="P6" s="32">
        <f t="shared" si="3"/>
        <v>7.7318435754189938E-2</v>
      </c>
    </row>
    <row r="7" spans="1:16" x14ac:dyDescent="0.6">
      <c r="A7" s="24">
        <v>45720</v>
      </c>
      <c r="B7" s="3">
        <v>10316.5</v>
      </c>
      <c r="C7" s="3">
        <v>1406.73</v>
      </c>
      <c r="D7" s="32">
        <f t="shared" si="0"/>
        <v>0.13635729171715213</v>
      </c>
      <c r="E7" s="24">
        <v>45720</v>
      </c>
      <c r="F7" s="3">
        <v>19520</v>
      </c>
      <c r="G7" s="3">
        <v>1831.31</v>
      </c>
      <c r="H7" s="32">
        <f t="shared" si="1"/>
        <v>9.3817110655737695E-2</v>
      </c>
      <c r="I7" s="24">
        <v>45720</v>
      </c>
      <c r="J7" s="5">
        <v>8530.4</v>
      </c>
      <c r="K7" s="3">
        <v>1595.24</v>
      </c>
      <c r="L7" s="32">
        <f t="shared" si="2"/>
        <v>0.18700647097439746</v>
      </c>
      <c r="M7" s="24">
        <v>45720</v>
      </c>
      <c r="N7" s="3">
        <v>3436</v>
      </c>
      <c r="O7" s="4">
        <v>276.26</v>
      </c>
      <c r="P7" s="32">
        <f t="shared" si="3"/>
        <v>8.0401629802095462E-2</v>
      </c>
    </row>
    <row r="8" spans="1:16" x14ac:dyDescent="0.6">
      <c r="A8" s="24">
        <v>45721</v>
      </c>
      <c r="B8" s="3">
        <v>8164</v>
      </c>
      <c r="C8" s="3">
        <v>824.79</v>
      </c>
      <c r="D8" s="32">
        <f t="shared" si="0"/>
        <v>0.10102768250857422</v>
      </c>
      <c r="E8" s="24">
        <v>45721</v>
      </c>
      <c r="F8" s="3">
        <v>3943</v>
      </c>
      <c r="G8" s="3">
        <v>1902.1</v>
      </c>
      <c r="H8" s="32">
        <f t="shared" si="1"/>
        <v>0.48239918843520158</v>
      </c>
      <c r="I8" s="24">
        <v>45721</v>
      </c>
      <c r="J8" s="5">
        <v>9456.52</v>
      </c>
      <c r="K8" s="3">
        <v>1466.72</v>
      </c>
      <c r="L8" s="32">
        <f t="shared" si="2"/>
        <v>0.1551014538117616</v>
      </c>
      <c r="M8" s="24">
        <v>45721</v>
      </c>
      <c r="N8" s="3">
        <v>2465</v>
      </c>
      <c r="O8" s="4">
        <v>242.39</v>
      </c>
      <c r="P8" s="32">
        <f t="shared" si="3"/>
        <v>9.8332657200811358E-2</v>
      </c>
    </row>
    <row r="9" spans="1:16" x14ac:dyDescent="0.6">
      <c r="A9" s="24">
        <v>45722</v>
      </c>
      <c r="B9" s="3">
        <v>11793</v>
      </c>
      <c r="C9" s="3">
        <v>1571.39</v>
      </c>
      <c r="D9" s="32">
        <f t="shared" si="0"/>
        <v>0.13324768930721614</v>
      </c>
      <c r="E9" s="24">
        <v>45722</v>
      </c>
      <c r="F9" s="3">
        <v>19656</v>
      </c>
      <c r="G9" s="3">
        <v>1252.68</v>
      </c>
      <c r="H9" s="32">
        <f t="shared" si="1"/>
        <v>6.3730158730158734E-2</v>
      </c>
      <c r="I9" s="24">
        <v>45722</v>
      </c>
      <c r="J9" s="3">
        <v>4217.29</v>
      </c>
      <c r="K9" s="3">
        <v>800.3</v>
      </c>
      <c r="L9" s="32">
        <f t="shared" si="2"/>
        <v>0.18976641397674809</v>
      </c>
      <c r="M9" s="24">
        <v>45722</v>
      </c>
      <c r="N9" s="3">
        <v>2062</v>
      </c>
      <c r="O9" s="4">
        <v>343.33</v>
      </c>
      <c r="P9" s="32">
        <f t="shared" si="3"/>
        <v>0.16650339476236661</v>
      </c>
    </row>
    <row r="10" spans="1:16" x14ac:dyDescent="0.6">
      <c r="A10" s="24">
        <v>45723</v>
      </c>
      <c r="B10" s="3">
        <v>8819</v>
      </c>
      <c r="C10" s="3">
        <v>596.35</v>
      </c>
      <c r="D10" s="32">
        <f t="shared" si="0"/>
        <v>6.762104547000794E-2</v>
      </c>
      <c r="E10" s="24">
        <v>45723</v>
      </c>
      <c r="F10" s="3">
        <v>7545</v>
      </c>
      <c r="G10" s="3">
        <v>1257.44</v>
      </c>
      <c r="H10" s="32">
        <f t="shared" si="1"/>
        <v>0.16665871438038438</v>
      </c>
      <c r="I10" s="24">
        <v>45723</v>
      </c>
      <c r="J10" s="3">
        <v>2994.55</v>
      </c>
      <c r="K10" s="4">
        <v>801.76</v>
      </c>
      <c r="L10" s="32">
        <f t="shared" si="2"/>
        <v>0.26773972717102734</v>
      </c>
      <c r="M10" s="24">
        <v>45723</v>
      </c>
      <c r="N10" s="3">
        <v>4304</v>
      </c>
      <c r="O10" s="4">
        <v>355.04</v>
      </c>
      <c r="P10" s="32">
        <f t="shared" si="3"/>
        <v>8.2490706319702609E-2</v>
      </c>
    </row>
    <row r="11" spans="1:16" x14ac:dyDescent="0.6">
      <c r="A11" s="24">
        <v>45724</v>
      </c>
      <c r="B11" s="3">
        <v>7247</v>
      </c>
      <c r="C11" s="3">
        <v>786.41</v>
      </c>
      <c r="D11" s="32">
        <f t="shared" si="0"/>
        <v>0.10851524768869877</v>
      </c>
      <c r="E11" s="24">
        <v>45724</v>
      </c>
      <c r="F11" s="3">
        <v>9630</v>
      </c>
      <c r="G11" s="3">
        <v>1441.59</v>
      </c>
      <c r="H11" s="32">
        <f t="shared" si="1"/>
        <v>0.14969781931464174</v>
      </c>
      <c r="I11" s="24">
        <v>45724</v>
      </c>
      <c r="J11" s="3">
        <v>4595.32</v>
      </c>
      <c r="K11" s="4">
        <v>805.26</v>
      </c>
      <c r="L11" s="32">
        <f t="shared" si="2"/>
        <v>0.17523480410504602</v>
      </c>
      <c r="M11" s="24">
        <v>45724</v>
      </c>
      <c r="N11" s="3">
        <v>2766</v>
      </c>
      <c r="O11" s="4">
        <v>370.28</v>
      </c>
      <c r="P11" s="32">
        <f t="shared" si="3"/>
        <v>0.13386840202458422</v>
      </c>
    </row>
    <row r="12" spans="1:16" x14ac:dyDescent="0.6">
      <c r="A12" s="24">
        <v>45725</v>
      </c>
      <c r="B12" s="3">
        <v>9679</v>
      </c>
      <c r="C12" s="3">
        <v>1774.91</v>
      </c>
      <c r="D12" s="32">
        <f t="shared" si="0"/>
        <v>0.18337741502221305</v>
      </c>
      <c r="E12" s="24">
        <v>45725</v>
      </c>
      <c r="F12" s="3">
        <v>11986</v>
      </c>
      <c r="G12" s="3">
        <v>1492.15</v>
      </c>
      <c r="H12" s="32">
        <f t="shared" si="1"/>
        <v>0.12449107291840482</v>
      </c>
      <c r="I12" s="24">
        <v>45725</v>
      </c>
      <c r="J12" s="3">
        <v>4624.13</v>
      </c>
      <c r="K12" s="4">
        <v>781.29</v>
      </c>
      <c r="L12" s="32">
        <f t="shared" si="2"/>
        <v>0.16895935019127922</v>
      </c>
      <c r="M12" s="24">
        <v>45725</v>
      </c>
      <c r="N12" s="3">
        <v>3763</v>
      </c>
      <c r="O12" s="4">
        <v>413.64</v>
      </c>
      <c r="P12" s="32">
        <f t="shared" si="3"/>
        <v>0.10992293382939144</v>
      </c>
    </row>
    <row r="13" spans="1:16" x14ac:dyDescent="0.6">
      <c r="A13" s="24">
        <v>45726</v>
      </c>
      <c r="B13" s="3">
        <v>7458</v>
      </c>
      <c r="C13" s="3">
        <v>999.78</v>
      </c>
      <c r="D13" s="32">
        <f t="shared" si="0"/>
        <v>0.1340547063555913</v>
      </c>
      <c r="E13" s="24">
        <v>45726</v>
      </c>
      <c r="F13" s="3">
        <v>12070</v>
      </c>
      <c r="G13" s="3">
        <v>1361.48</v>
      </c>
      <c r="H13" s="32">
        <f t="shared" si="1"/>
        <v>0.1127986743993372</v>
      </c>
      <c r="I13" s="24">
        <v>45726</v>
      </c>
      <c r="J13" s="3">
        <v>4641.3999999999996</v>
      </c>
      <c r="K13" s="4">
        <v>708.97</v>
      </c>
      <c r="L13" s="32">
        <f t="shared" si="2"/>
        <v>0.15274917050889819</v>
      </c>
      <c r="M13" s="24">
        <v>45726</v>
      </c>
      <c r="N13" s="3">
        <v>775</v>
      </c>
      <c r="O13" s="4">
        <v>381.79</v>
      </c>
      <c r="P13" s="32">
        <f t="shared" si="3"/>
        <v>0.49263225806451616</v>
      </c>
    </row>
    <row r="14" spans="1:16" x14ac:dyDescent="0.6">
      <c r="A14" s="24">
        <v>45727</v>
      </c>
      <c r="B14" s="3">
        <v>12093.4</v>
      </c>
      <c r="C14" s="3">
        <v>1636.02</v>
      </c>
      <c r="D14" s="32">
        <f t="shared" si="0"/>
        <v>0.13528205467445054</v>
      </c>
      <c r="E14" s="24">
        <v>45727</v>
      </c>
      <c r="F14" s="3">
        <v>5271</v>
      </c>
      <c r="G14" s="3">
        <v>1312.38</v>
      </c>
      <c r="H14" s="32">
        <f t="shared" si="1"/>
        <v>0.24898121798520206</v>
      </c>
      <c r="I14" s="24">
        <v>45727</v>
      </c>
      <c r="J14" s="3">
        <v>8290.7999999999993</v>
      </c>
      <c r="K14" s="4">
        <v>202.22</v>
      </c>
      <c r="L14" s="32">
        <f t="shared" si="2"/>
        <v>2.4390891108216337E-2</v>
      </c>
      <c r="M14" s="24">
        <v>45727</v>
      </c>
      <c r="N14" s="3">
        <v>4034</v>
      </c>
      <c r="O14" s="4">
        <v>325.29000000000002</v>
      </c>
      <c r="P14" s="32">
        <f t="shared" si="3"/>
        <v>8.0637084779375312E-2</v>
      </c>
    </row>
    <row r="15" spans="1:16" x14ac:dyDescent="0.6">
      <c r="A15" s="24">
        <v>45728</v>
      </c>
      <c r="B15" s="3">
        <v>7757</v>
      </c>
      <c r="C15" s="3">
        <v>1162.8599999999999</v>
      </c>
      <c r="D15" s="32">
        <f t="shared" si="0"/>
        <v>0.1499110480856001</v>
      </c>
      <c r="E15" s="24">
        <v>45728</v>
      </c>
      <c r="F15" s="3">
        <v>10247</v>
      </c>
      <c r="G15" s="3">
        <v>2252.7800000000002</v>
      </c>
      <c r="H15" s="32">
        <f t="shared" si="1"/>
        <v>0.2198477603200937</v>
      </c>
      <c r="I15" s="24">
        <v>45728</v>
      </c>
      <c r="J15" s="3">
        <v>4912.34</v>
      </c>
      <c r="K15" s="4">
        <v>201.69</v>
      </c>
      <c r="L15" s="32">
        <f t="shared" si="2"/>
        <v>4.1057825801959963E-2</v>
      </c>
      <c r="M15" s="24">
        <v>45728</v>
      </c>
      <c r="N15" s="3">
        <v>3858</v>
      </c>
      <c r="O15" s="4">
        <v>376.74</v>
      </c>
      <c r="P15" s="32">
        <f t="shared" si="3"/>
        <v>9.7651632970451013E-2</v>
      </c>
    </row>
    <row r="16" spans="1:16" x14ac:dyDescent="0.6">
      <c r="A16" s="24">
        <v>45729</v>
      </c>
      <c r="B16" s="3">
        <v>7177</v>
      </c>
      <c r="C16" s="3">
        <v>869.4</v>
      </c>
      <c r="D16" s="32">
        <f t="shared" si="0"/>
        <v>0.12113696530583809</v>
      </c>
      <c r="E16" s="24">
        <v>45729</v>
      </c>
      <c r="F16" s="3">
        <v>14018</v>
      </c>
      <c r="G16" s="4">
        <v>857.35</v>
      </c>
      <c r="H16" s="32">
        <f t="shared" si="1"/>
        <v>6.1160650592095876E-2</v>
      </c>
      <c r="I16" s="24">
        <v>45729</v>
      </c>
      <c r="J16" s="3">
        <v>2465.7600000000002</v>
      </c>
      <c r="K16" s="3">
        <v>201.81</v>
      </c>
      <c r="L16" s="32">
        <f t="shared" si="2"/>
        <v>8.1844948413470897E-2</v>
      </c>
      <c r="M16" s="24">
        <v>45729</v>
      </c>
      <c r="N16" s="3">
        <v>10047</v>
      </c>
      <c r="O16" s="4">
        <v>459.94</v>
      </c>
      <c r="P16" s="32">
        <f t="shared" si="3"/>
        <v>4.5778839454563548E-2</v>
      </c>
    </row>
    <row r="17" spans="1:16" x14ac:dyDescent="0.6">
      <c r="A17" s="24">
        <v>45730</v>
      </c>
      <c r="B17" s="3">
        <v>17471</v>
      </c>
      <c r="C17" s="3">
        <v>1434.73</v>
      </c>
      <c r="D17" s="32">
        <f t="shared" si="0"/>
        <v>8.2120657088890159E-2</v>
      </c>
      <c r="E17" s="24">
        <v>45730</v>
      </c>
      <c r="F17" s="3">
        <v>7709</v>
      </c>
      <c r="G17" s="3">
        <v>1233.1600000000001</v>
      </c>
      <c r="H17" s="32">
        <f t="shared" si="1"/>
        <v>0.15996367881696719</v>
      </c>
      <c r="I17" s="24">
        <v>45730</v>
      </c>
      <c r="J17" s="3">
        <v>5053.71</v>
      </c>
      <c r="K17" s="3">
        <v>762.06</v>
      </c>
      <c r="L17" s="32">
        <f t="shared" si="2"/>
        <v>0.15079219029188456</v>
      </c>
      <c r="M17" s="24">
        <v>45730</v>
      </c>
      <c r="N17" s="3">
        <v>8135</v>
      </c>
      <c r="O17" s="4">
        <v>540.55999999999995</v>
      </c>
      <c r="P17" s="32">
        <f t="shared" si="3"/>
        <v>6.6448678549477558E-2</v>
      </c>
    </row>
    <row r="18" spans="1:16" x14ac:dyDescent="0.6">
      <c r="A18" s="24">
        <v>45731</v>
      </c>
      <c r="B18" s="3">
        <v>2010</v>
      </c>
      <c r="C18" s="3">
        <v>303.45</v>
      </c>
      <c r="D18" s="32">
        <f t="shared" si="0"/>
        <v>0.15097014925373134</v>
      </c>
      <c r="E18" s="24">
        <v>45731</v>
      </c>
      <c r="F18" s="3">
        <v>12210</v>
      </c>
      <c r="G18" s="3">
        <v>1516.04</v>
      </c>
      <c r="H18" s="32">
        <f t="shared" si="1"/>
        <v>0.12416380016380016</v>
      </c>
      <c r="I18" s="24">
        <v>45731</v>
      </c>
      <c r="J18" s="3">
        <v>12581.41</v>
      </c>
      <c r="K18" s="3">
        <v>730.67</v>
      </c>
      <c r="L18" s="32">
        <f t="shared" si="2"/>
        <v>5.8075366751421338E-2</v>
      </c>
      <c r="M18" s="24">
        <v>45731</v>
      </c>
      <c r="N18" s="3">
        <v>2954</v>
      </c>
      <c r="O18" s="4">
        <v>620.62</v>
      </c>
      <c r="P18" s="32">
        <f t="shared" si="3"/>
        <v>0.21009478672985782</v>
      </c>
    </row>
    <row r="19" spans="1:16" x14ac:dyDescent="0.6">
      <c r="A19" s="24">
        <v>45732</v>
      </c>
      <c r="B19" s="3">
        <v>18295.3</v>
      </c>
      <c r="C19" s="3">
        <v>3004.28</v>
      </c>
      <c r="D19" s="32">
        <f t="shared" si="0"/>
        <v>0.16421048028728691</v>
      </c>
      <c r="E19" s="24">
        <v>45732</v>
      </c>
      <c r="F19" s="3">
        <v>10973</v>
      </c>
      <c r="G19" s="3">
        <v>1398.12</v>
      </c>
      <c r="H19" s="32">
        <f t="shared" si="1"/>
        <v>0.12741456301831769</v>
      </c>
      <c r="I19" s="24">
        <v>45732</v>
      </c>
      <c r="J19" s="3">
        <v>14933.25</v>
      </c>
      <c r="K19" s="3">
        <v>561.61</v>
      </c>
      <c r="L19" s="32">
        <f t="shared" si="2"/>
        <v>3.7608022366196238E-2</v>
      </c>
      <c r="M19" s="24">
        <v>45732</v>
      </c>
      <c r="N19" s="3">
        <v>1457</v>
      </c>
      <c r="O19" s="4">
        <v>403.55</v>
      </c>
      <c r="P19" s="32">
        <f t="shared" si="3"/>
        <v>0.27697323266986962</v>
      </c>
    </row>
    <row r="20" spans="1:16" x14ac:dyDescent="0.6">
      <c r="A20" s="24">
        <v>45733</v>
      </c>
      <c r="B20" s="3">
        <v>19711.47</v>
      </c>
      <c r="C20" s="3">
        <v>1794.25</v>
      </c>
      <c r="D20" s="32">
        <f t="shared" si="0"/>
        <v>9.1025682001393091E-2</v>
      </c>
      <c r="E20" s="24">
        <v>45733</v>
      </c>
      <c r="F20" s="3">
        <v>1508</v>
      </c>
      <c r="G20" s="3">
        <v>1296.81</v>
      </c>
      <c r="H20" s="32">
        <f t="shared" si="1"/>
        <v>0.8599535809018567</v>
      </c>
      <c r="I20" s="24">
        <v>45733</v>
      </c>
      <c r="J20" s="3">
        <v>14509.08</v>
      </c>
      <c r="K20" s="3">
        <v>200.81</v>
      </c>
      <c r="L20" s="32">
        <f t="shared" si="2"/>
        <v>1.3840298626790948E-2</v>
      </c>
      <c r="M20" s="24">
        <v>45733</v>
      </c>
      <c r="N20" s="3">
        <v>2488</v>
      </c>
      <c r="O20" s="4">
        <v>189.93</v>
      </c>
      <c r="P20" s="32">
        <f t="shared" si="3"/>
        <v>7.6338424437299032E-2</v>
      </c>
    </row>
    <row r="21" spans="1:16" x14ac:dyDescent="0.6">
      <c r="A21" s="24">
        <v>45734</v>
      </c>
      <c r="B21" s="3">
        <v>14783.5</v>
      </c>
      <c r="C21" s="3">
        <v>2300.56</v>
      </c>
      <c r="D21" s="32">
        <f t="shared" si="0"/>
        <v>0.15561673487333852</v>
      </c>
      <c r="E21" s="24">
        <v>45734</v>
      </c>
      <c r="F21" s="3">
        <v>7451</v>
      </c>
      <c r="G21" s="3">
        <v>1444.09</v>
      </c>
      <c r="H21" s="32">
        <f t="shared" si="1"/>
        <v>0.19381156891692389</v>
      </c>
      <c r="I21" s="24">
        <v>45734</v>
      </c>
      <c r="J21" s="3">
        <v>2367.1</v>
      </c>
      <c r="K21" s="4">
        <v>200.18</v>
      </c>
      <c r="L21" s="32">
        <f t="shared" si="2"/>
        <v>8.4567614380465561E-2</v>
      </c>
      <c r="M21" s="24">
        <v>45734</v>
      </c>
      <c r="N21" s="3">
        <v>4517</v>
      </c>
      <c r="O21" s="4">
        <v>223.66</v>
      </c>
      <c r="P21" s="32">
        <f t="shared" si="3"/>
        <v>4.9515164932477304E-2</v>
      </c>
    </row>
    <row r="22" spans="1:16" x14ac:dyDescent="0.6">
      <c r="A22" s="24">
        <v>45735</v>
      </c>
      <c r="B22" s="3">
        <v>14912</v>
      </c>
      <c r="C22" s="3">
        <v>2079.38</v>
      </c>
      <c r="D22" s="32">
        <f t="shared" si="0"/>
        <v>0.13944340128755364</v>
      </c>
      <c r="E22" s="24">
        <v>45735</v>
      </c>
      <c r="F22" s="3">
        <v>11257</v>
      </c>
      <c r="G22" s="3">
        <v>2187.5700000000002</v>
      </c>
      <c r="H22" s="32">
        <f t="shared" si="1"/>
        <v>0.19432975037754288</v>
      </c>
      <c r="I22" s="24">
        <v>45735</v>
      </c>
      <c r="J22" s="3">
        <v>6957.21</v>
      </c>
      <c r="K22" s="4">
        <v>200.46</v>
      </c>
      <c r="L22" s="32">
        <f t="shared" si="2"/>
        <v>2.8813274286675263E-2</v>
      </c>
      <c r="M22" s="24">
        <v>45735</v>
      </c>
      <c r="N22" s="3">
        <v>3434</v>
      </c>
      <c r="O22" s="4">
        <v>235.58</v>
      </c>
      <c r="P22" s="32">
        <f t="shared" si="3"/>
        <v>6.8602213162492723E-2</v>
      </c>
    </row>
    <row r="23" spans="1:16" x14ac:dyDescent="0.6">
      <c r="A23" s="24">
        <v>45736</v>
      </c>
      <c r="B23" s="3">
        <v>16289.38</v>
      </c>
      <c r="C23" s="3">
        <v>1606.25</v>
      </c>
      <c r="D23" s="32">
        <f t="shared" si="0"/>
        <v>9.8607190697251837E-2</v>
      </c>
      <c r="E23" s="24">
        <v>45736</v>
      </c>
      <c r="F23" s="61">
        <v>20522</v>
      </c>
      <c r="G23" s="3">
        <v>1666.78</v>
      </c>
      <c r="H23" s="32">
        <f t="shared" si="1"/>
        <v>8.1219179417210796E-2</v>
      </c>
      <c r="I23" s="24">
        <v>45736</v>
      </c>
      <c r="J23" s="3">
        <v>4131.3500000000004</v>
      </c>
      <c r="K23" s="4">
        <v>200.64</v>
      </c>
      <c r="L23" s="32">
        <f t="shared" si="2"/>
        <v>4.8565238965471325E-2</v>
      </c>
      <c r="M23" s="24">
        <v>45736</v>
      </c>
      <c r="N23" s="3">
        <v>3726</v>
      </c>
      <c r="O23" s="4">
        <v>233.56</v>
      </c>
      <c r="P23" s="32">
        <f t="shared" si="3"/>
        <v>6.2683843263553404E-2</v>
      </c>
    </row>
    <row r="24" spans="1:16" x14ac:dyDescent="0.6">
      <c r="A24" s="24">
        <v>45737</v>
      </c>
      <c r="B24" s="3">
        <v>32330</v>
      </c>
      <c r="C24" s="3">
        <v>3309.33</v>
      </c>
      <c r="D24" s="32">
        <f t="shared" si="0"/>
        <v>0.10236096504794308</v>
      </c>
      <c r="E24" s="24">
        <v>45737</v>
      </c>
      <c r="F24" s="3">
        <v>2889</v>
      </c>
      <c r="G24" s="61">
        <v>1350.2</v>
      </c>
      <c r="H24" s="32">
        <f t="shared" si="1"/>
        <v>0.46735894773277953</v>
      </c>
      <c r="I24" s="24">
        <v>45737</v>
      </c>
      <c r="J24" s="3">
        <v>5340.52</v>
      </c>
      <c r="K24" s="4">
        <v>200.67</v>
      </c>
      <c r="L24" s="32">
        <f t="shared" si="2"/>
        <v>3.7574992697340326E-2</v>
      </c>
      <c r="M24" s="24">
        <v>45737</v>
      </c>
      <c r="N24" s="3">
        <v>3393</v>
      </c>
      <c r="O24" s="4">
        <v>222.6</v>
      </c>
      <c r="P24" s="32">
        <f t="shared" si="3"/>
        <v>6.5605658709106979E-2</v>
      </c>
    </row>
    <row r="25" spans="1:16" x14ac:dyDescent="0.6">
      <c r="A25" s="24">
        <v>45738</v>
      </c>
      <c r="B25" s="3">
        <v>7697.29</v>
      </c>
      <c r="C25" s="3">
        <v>605.32000000000005</v>
      </c>
      <c r="D25" s="32">
        <f t="shared" si="0"/>
        <v>7.8640664441641153E-2</v>
      </c>
      <c r="E25" s="24">
        <v>45738</v>
      </c>
      <c r="F25" s="3">
        <v>33545</v>
      </c>
      <c r="G25" s="61">
        <v>1631.88</v>
      </c>
      <c r="H25" s="32">
        <f t="shared" si="1"/>
        <v>4.8647488448352962E-2</v>
      </c>
      <c r="I25" s="24">
        <v>45738</v>
      </c>
      <c r="J25" s="3">
        <v>4291.0200000000004</v>
      </c>
      <c r="K25" s="6">
        <v>200.16</v>
      </c>
      <c r="L25" s="32">
        <f t="shared" si="2"/>
        <v>4.6646251940098152E-2</v>
      </c>
      <c r="M25" s="24">
        <v>45738</v>
      </c>
      <c r="N25" s="3">
        <v>3989</v>
      </c>
      <c r="O25" s="4">
        <v>202.89</v>
      </c>
      <c r="P25" s="32">
        <f t="shared" si="3"/>
        <v>5.0862371521684629E-2</v>
      </c>
    </row>
    <row r="26" spans="1:16" x14ac:dyDescent="0.6">
      <c r="A26" s="24">
        <v>45739</v>
      </c>
      <c r="B26" s="3">
        <v>27154.01</v>
      </c>
      <c r="C26" s="3">
        <v>2649.55</v>
      </c>
      <c r="D26" s="32">
        <f t="shared" si="0"/>
        <v>9.7574906984272319E-2</v>
      </c>
      <c r="E26" s="24">
        <v>45739</v>
      </c>
      <c r="F26" s="3">
        <v>15850</v>
      </c>
      <c r="G26" s="61">
        <v>1257.8800000000001</v>
      </c>
      <c r="H26" s="32">
        <f t="shared" si="1"/>
        <v>7.9361514195583599E-2</v>
      </c>
      <c r="I26" s="24">
        <v>45739</v>
      </c>
      <c r="J26" s="3">
        <v>7006.76</v>
      </c>
      <c r="K26" s="6">
        <v>200.48</v>
      </c>
      <c r="L26" s="32">
        <f t="shared" si="2"/>
        <v>2.8612368626868907E-2</v>
      </c>
      <c r="M26" s="24">
        <v>45739</v>
      </c>
      <c r="N26" s="3">
        <v>3405</v>
      </c>
      <c r="O26" s="4">
        <v>252.77</v>
      </c>
      <c r="P26" s="32">
        <f t="shared" si="3"/>
        <v>7.4234948604992662E-2</v>
      </c>
    </row>
    <row r="27" spans="1:16" x14ac:dyDescent="0.6">
      <c r="A27" s="24">
        <v>45740</v>
      </c>
      <c r="B27" s="3">
        <v>18968.5</v>
      </c>
      <c r="C27" s="3">
        <v>2281.66</v>
      </c>
      <c r="D27" s="32">
        <f t="shared" si="0"/>
        <v>0.12028679125919287</v>
      </c>
      <c r="E27" s="24">
        <v>45740</v>
      </c>
      <c r="F27" s="3">
        <v>1434</v>
      </c>
      <c r="G27" s="61">
        <v>1256.26</v>
      </c>
      <c r="H27" s="32">
        <f t="shared" si="1"/>
        <v>0.87605299860529984</v>
      </c>
      <c r="I27" s="24">
        <v>45740</v>
      </c>
      <c r="J27" s="3">
        <v>9896.7999999999993</v>
      </c>
      <c r="K27" s="6">
        <v>200.6</v>
      </c>
      <c r="L27" s="32">
        <f t="shared" si="2"/>
        <v>2.0269177916094092E-2</v>
      </c>
      <c r="M27" s="24">
        <v>45740</v>
      </c>
      <c r="N27" s="3">
        <v>5509</v>
      </c>
      <c r="O27" s="4">
        <v>383.57</v>
      </c>
      <c r="P27" s="32">
        <f t="shared" si="3"/>
        <v>6.9626066436739881E-2</v>
      </c>
    </row>
    <row r="28" spans="1:16" x14ac:dyDescent="0.6">
      <c r="A28" s="24">
        <v>45741</v>
      </c>
      <c r="B28" s="3">
        <v>32800.5</v>
      </c>
      <c r="C28" s="3">
        <v>2455.2600000000002</v>
      </c>
      <c r="D28" s="32">
        <f t="shared" si="0"/>
        <v>7.4854346732519325E-2</v>
      </c>
      <c r="E28" s="24">
        <v>45741</v>
      </c>
      <c r="F28" s="3">
        <v>6738</v>
      </c>
      <c r="G28" s="61">
        <v>1292.04</v>
      </c>
      <c r="H28" s="32">
        <f t="shared" si="1"/>
        <v>0.19175422974176312</v>
      </c>
      <c r="I28" s="24">
        <v>45741</v>
      </c>
      <c r="J28" s="3">
        <v>19339.14</v>
      </c>
      <c r="K28" s="6">
        <v>200.92</v>
      </c>
      <c r="L28" s="32">
        <f t="shared" si="2"/>
        <v>1.0389293422561707E-2</v>
      </c>
      <c r="M28" s="24">
        <v>45741</v>
      </c>
      <c r="N28" s="3">
        <v>2041</v>
      </c>
      <c r="O28" s="4">
        <v>380</v>
      </c>
      <c r="P28" s="32">
        <f t="shared" si="3"/>
        <v>0.18618324350808427</v>
      </c>
    </row>
    <row r="29" spans="1:16" x14ac:dyDescent="0.6">
      <c r="A29" s="24">
        <v>45742</v>
      </c>
      <c r="B29" s="3">
        <v>12794</v>
      </c>
      <c r="C29" s="3">
        <v>1572.7</v>
      </c>
      <c r="D29" s="32">
        <f t="shared" si="0"/>
        <v>0.12292480850398625</v>
      </c>
      <c r="E29" s="24">
        <v>45742</v>
      </c>
      <c r="F29" s="61">
        <v>3169</v>
      </c>
      <c r="G29" s="61">
        <v>1465.2</v>
      </c>
      <c r="H29" s="32">
        <f t="shared" si="1"/>
        <v>0.46235405490691073</v>
      </c>
      <c r="I29" s="24">
        <v>45742</v>
      </c>
      <c r="J29" s="3">
        <v>6062.96</v>
      </c>
      <c r="K29" s="6">
        <v>200.3</v>
      </c>
      <c r="L29" s="32">
        <f t="shared" si="2"/>
        <v>3.3036668557932101E-2</v>
      </c>
      <c r="M29" s="24">
        <v>45742</v>
      </c>
      <c r="N29" s="3">
        <v>6970</v>
      </c>
      <c r="O29" s="4">
        <v>386.15</v>
      </c>
      <c r="P29" s="32">
        <f t="shared" si="3"/>
        <v>5.5401721664275462E-2</v>
      </c>
    </row>
    <row r="30" spans="1:16" x14ac:dyDescent="0.6">
      <c r="A30" s="24">
        <v>45743</v>
      </c>
      <c r="B30" s="3">
        <v>25424.92</v>
      </c>
      <c r="C30" s="3">
        <v>2375.8200000000002</v>
      </c>
      <c r="D30" s="32">
        <f t="shared" si="0"/>
        <v>9.3444541811734325E-2</v>
      </c>
      <c r="E30" s="24">
        <v>45743</v>
      </c>
      <c r="F30" s="61">
        <v>19879</v>
      </c>
      <c r="G30" s="61">
        <v>1581.17</v>
      </c>
      <c r="H30" s="32">
        <f t="shared" si="1"/>
        <v>7.9539715277428452E-2</v>
      </c>
      <c r="I30" s="24">
        <v>45743</v>
      </c>
      <c r="J30" s="3">
        <v>6427.01</v>
      </c>
      <c r="K30" s="6">
        <v>200.2</v>
      </c>
      <c r="L30" s="32">
        <f t="shared" si="2"/>
        <v>3.1149788159657441E-2</v>
      </c>
      <c r="M30" s="24">
        <v>45743</v>
      </c>
      <c r="N30" s="3">
        <v>9342</v>
      </c>
      <c r="O30" s="4">
        <v>346.07</v>
      </c>
      <c r="P30" s="32">
        <f t="shared" si="3"/>
        <v>3.7044530079212157E-2</v>
      </c>
    </row>
    <row r="31" spans="1:16" x14ac:dyDescent="0.6">
      <c r="A31" s="24">
        <v>45744</v>
      </c>
      <c r="B31" s="3">
        <v>6904.71</v>
      </c>
      <c r="C31" s="4">
        <v>783.36</v>
      </c>
      <c r="D31" s="32">
        <f t="shared" si="0"/>
        <v>0.11345299078455141</v>
      </c>
      <c r="E31" s="24">
        <v>45744</v>
      </c>
      <c r="F31" s="3">
        <v>2400</v>
      </c>
      <c r="G31" s="61">
        <v>1377.51</v>
      </c>
      <c r="H31" s="32">
        <f t="shared" si="1"/>
        <v>0.57396250000000004</v>
      </c>
      <c r="I31" s="24">
        <v>45744</v>
      </c>
      <c r="J31" s="3">
        <v>1941.61</v>
      </c>
      <c r="K31" s="6">
        <v>184.21</v>
      </c>
      <c r="L31" s="32">
        <f t="shared" si="2"/>
        <v>9.4874871884673043E-2</v>
      </c>
      <c r="M31" s="24">
        <v>45744</v>
      </c>
      <c r="N31" s="3">
        <v>5019</v>
      </c>
      <c r="O31" s="4">
        <v>316.62</v>
      </c>
      <c r="P31" s="32">
        <f t="shared" si="3"/>
        <v>6.3084279736999399E-2</v>
      </c>
    </row>
    <row r="32" spans="1:16" x14ac:dyDescent="0.6">
      <c r="A32" s="24">
        <v>45745</v>
      </c>
      <c r="B32" s="3">
        <v>8266</v>
      </c>
      <c r="C32" s="4">
        <v>919.63</v>
      </c>
      <c r="D32" s="32">
        <f t="shared" si="0"/>
        <v>0.11125453665618194</v>
      </c>
      <c r="E32" s="24">
        <v>45745</v>
      </c>
      <c r="F32" s="4">
        <v>19372</v>
      </c>
      <c r="G32" s="61">
        <v>1464.04</v>
      </c>
      <c r="H32" s="32">
        <f t="shared" si="1"/>
        <v>7.5575056782985747E-2</v>
      </c>
      <c r="I32" s="24">
        <v>45745</v>
      </c>
      <c r="J32" s="3">
        <v>4756.67</v>
      </c>
      <c r="K32" s="6">
        <v>200.39</v>
      </c>
      <c r="L32" s="32">
        <f t="shared" si="2"/>
        <v>4.2128211542949164E-2</v>
      </c>
      <c r="M32" s="24">
        <v>45745</v>
      </c>
      <c r="N32" s="3">
        <v>3951</v>
      </c>
      <c r="O32" s="4">
        <v>345.36</v>
      </c>
      <c r="P32" s="32">
        <f t="shared" si="3"/>
        <v>8.7410782080485958E-2</v>
      </c>
    </row>
    <row r="33" spans="1:16 16384:16384" x14ac:dyDescent="0.6">
      <c r="A33" s="24">
        <v>45746</v>
      </c>
      <c r="B33" s="3">
        <v>39234.410000000003</v>
      </c>
      <c r="C33" s="4">
        <v>0</v>
      </c>
      <c r="D33" s="32">
        <f t="shared" si="0"/>
        <v>0</v>
      </c>
      <c r="E33" s="24">
        <v>45746</v>
      </c>
      <c r="F33" s="4">
        <v>8559</v>
      </c>
      <c r="G33" s="61">
        <v>1517.46</v>
      </c>
      <c r="H33" s="32">
        <f t="shared" si="1"/>
        <v>0.17729407641079567</v>
      </c>
      <c r="I33" s="24">
        <v>45746</v>
      </c>
      <c r="J33" s="3">
        <v>4775.01</v>
      </c>
      <c r="K33" s="6">
        <v>200.69</v>
      </c>
      <c r="L33" s="32">
        <f t="shared" si="2"/>
        <v>4.2029231352395072E-2</v>
      </c>
      <c r="M33" s="24">
        <v>45746</v>
      </c>
      <c r="N33" s="4">
        <v>316</v>
      </c>
      <c r="O33" s="4">
        <v>350.7</v>
      </c>
      <c r="P33" s="32">
        <f t="shared" si="3"/>
        <v>1.1098101265822784</v>
      </c>
    </row>
    <row r="34" spans="1:16 16384:16384" x14ac:dyDescent="0.6">
      <c r="A34" s="24">
        <v>45747</v>
      </c>
      <c r="B34" s="3">
        <v>22061.919999999998</v>
      </c>
      <c r="C34" s="4">
        <v>0</v>
      </c>
      <c r="D34" s="32">
        <f t="shared" si="0"/>
        <v>0</v>
      </c>
      <c r="E34" s="24">
        <v>45747</v>
      </c>
      <c r="F34" s="6">
        <v>7303</v>
      </c>
      <c r="G34" s="61">
        <v>1443.57</v>
      </c>
      <c r="H34" s="32">
        <f t="shared" si="1"/>
        <v>0.19766808161029714</v>
      </c>
      <c r="I34" s="24">
        <v>45747</v>
      </c>
      <c r="J34" s="61">
        <v>8998.56</v>
      </c>
      <c r="K34" s="6">
        <v>200.01</v>
      </c>
      <c r="L34" s="32">
        <f t="shared" si="2"/>
        <v>2.222688963567504E-2</v>
      </c>
      <c r="M34" s="24">
        <v>45747</v>
      </c>
      <c r="N34" s="3">
        <v>2817</v>
      </c>
      <c r="O34" s="4">
        <v>352.71</v>
      </c>
      <c r="P34" s="32">
        <f t="shared" si="3"/>
        <v>0.12520766773162939</v>
      </c>
    </row>
    <row r="35" spans="1:16 16384:16384" s="17" customFormat="1" ht="27" thickBot="1" x14ac:dyDescent="0.75">
      <c r="A35" s="16" t="s">
        <v>11</v>
      </c>
      <c r="B35" s="39">
        <f>SUM(B4:B34)</f>
        <v>451899.91</v>
      </c>
      <c r="C35" s="39">
        <f t="shared" ref="C35" si="4">SUM(C4:C34)</f>
        <v>42906.22</v>
      </c>
      <c r="D35" s="15" t="s">
        <v>12</v>
      </c>
      <c r="E35" s="16" t="s">
        <v>11</v>
      </c>
      <c r="F35" s="39">
        <f>SUM(F4:F34)</f>
        <v>355955</v>
      </c>
      <c r="G35" s="39">
        <f t="shared" ref="G35" si="5">SUM(G4:G34)</f>
        <v>46673.419999999991</v>
      </c>
      <c r="H35" s="15" t="s">
        <v>12</v>
      </c>
      <c r="I35" s="16" t="s">
        <v>11</v>
      </c>
      <c r="J35" s="39">
        <f>SUM(J4:J34)</f>
        <v>218333.31</v>
      </c>
      <c r="K35" s="39">
        <f t="shared" ref="K35" si="6">SUM(K4:K34)</f>
        <v>15354.699999999997</v>
      </c>
      <c r="L35" s="15" t="s">
        <v>12</v>
      </c>
      <c r="M35" s="16" t="s">
        <v>11</v>
      </c>
      <c r="N35" s="39">
        <f>SUM(N4:N34)</f>
        <v>129077</v>
      </c>
      <c r="O35" s="39">
        <f t="shared" ref="O35" si="7">SUM(O4:O34)</f>
        <v>10696.580000000002</v>
      </c>
      <c r="P35" s="15" t="s">
        <v>12</v>
      </c>
      <c r="XFD35" s="17">
        <f>SUM(A35:XFC35)</f>
        <v>1270896.1400000001</v>
      </c>
    </row>
    <row r="36" spans="1:16 16384:16384" ht="24" thickTop="1" x14ac:dyDescent="0.6">
      <c r="A36" s="6"/>
      <c r="B36" s="6"/>
      <c r="C36" s="6"/>
      <c r="D36" s="33"/>
      <c r="E36" s="6"/>
      <c r="F36" s="6"/>
      <c r="G36" s="6"/>
      <c r="H36" s="26"/>
      <c r="I36" s="6"/>
      <c r="J36" s="6"/>
      <c r="K36" s="6"/>
      <c r="L36" s="26"/>
      <c r="M36" s="6"/>
      <c r="N36" s="6"/>
      <c r="O36" s="6"/>
      <c r="P36" s="26"/>
    </row>
    <row r="37" spans="1:16 16384:16384" ht="23.4" customHeight="1" x14ac:dyDescent="0.6">
      <c r="A37" s="6"/>
      <c r="B37" s="116" t="s">
        <v>17</v>
      </c>
      <c r="C37" s="117"/>
      <c r="D37" s="117"/>
      <c r="E37" s="118"/>
      <c r="F37" s="7"/>
      <c r="G37" s="37"/>
      <c r="H37" s="6"/>
      <c r="I37" s="6"/>
      <c r="J37" s="6"/>
      <c r="K37" s="26"/>
      <c r="L37" s="6"/>
      <c r="M37" s="6"/>
      <c r="N37" s="6"/>
      <c r="O37" s="26"/>
      <c r="P37" s="1"/>
    </row>
    <row r="38" spans="1:16 16384:16384" x14ac:dyDescent="0.6">
      <c r="A38" s="8"/>
      <c r="B38" s="47" t="s">
        <v>9</v>
      </c>
      <c r="C38" s="47" t="s">
        <v>5</v>
      </c>
      <c r="D38" s="47" t="s">
        <v>6</v>
      </c>
      <c r="E38" s="47" t="s">
        <v>7</v>
      </c>
      <c r="F38" s="8"/>
      <c r="G38" s="26"/>
      <c r="H38" s="8"/>
      <c r="I38" s="8"/>
      <c r="J38" s="8"/>
      <c r="K38" s="26"/>
      <c r="L38" s="9"/>
      <c r="M38" s="6"/>
      <c r="N38" s="6"/>
      <c r="O38" s="26"/>
      <c r="P38" s="1"/>
    </row>
    <row r="39" spans="1:16 16384:16384" x14ac:dyDescent="0.6">
      <c r="A39" s="10"/>
      <c r="B39" s="40" t="s">
        <v>0</v>
      </c>
      <c r="C39" s="41">
        <f>+B35</f>
        <v>451899.91</v>
      </c>
      <c r="D39" s="41">
        <f>+C35</f>
        <v>42906.22</v>
      </c>
      <c r="E39" s="43">
        <f>+D39/C39</f>
        <v>9.4946290208378234E-2</v>
      </c>
      <c r="F39" s="10"/>
      <c r="G39" s="28"/>
      <c r="H39" s="10"/>
      <c r="I39" s="10"/>
      <c r="J39" s="10"/>
      <c r="K39" s="26"/>
      <c r="L39" s="6"/>
      <c r="M39" s="6"/>
      <c r="N39" s="6"/>
      <c r="O39" s="26"/>
      <c r="P39" s="1"/>
    </row>
    <row r="40" spans="1:16 16384:16384" x14ac:dyDescent="0.6">
      <c r="A40" s="2"/>
      <c r="B40" s="40" t="s">
        <v>1</v>
      </c>
      <c r="C40" s="42">
        <f>+F35</f>
        <v>355955</v>
      </c>
      <c r="D40" s="42">
        <f>+G35</f>
        <v>46673.419999999991</v>
      </c>
      <c r="E40" s="43">
        <f t="shared" ref="E40:E41" si="8">+D40/C40</f>
        <v>0.13112168673006416</v>
      </c>
      <c r="F40" s="11"/>
      <c r="G40" s="29"/>
      <c r="H40" s="12"/>
      <c r="I40" s="11"/>
      <c r="J40" s="13"/>
      <c r="K40" s="26"/>
      <c r="L40" s="2"/>
      <c r="M40" s="3"/>
      <c r="N40" s="6"/>
      <c r="O40" s="26"/>
      <c r="P40" s="1"/>
    </row>
    <row r="41" spans="1:16 16384:16384" x14ac:dyDescent="0.6">
      <c r="A41" s="2"/>
      <c r="B41" s="40" t="s">
        <v>2</v>
      </c>
      <c r="C41" s="42">
        <f>+J35</f>
        <v>218333.31</v>
      </c>
      <c r="D41" s="42">
        <f>+K35</f>
        <v>15354.699999999997</v>
      </c>
      <c r="E41" s="43">
        <f t="shared" si="8"/>
        <v>7.0326877744857144E-2</v>
      </c>
      <c r="F41" s="11"/>
      <c r="G41" s="29"/>
      <c r="H41" s="12"/>
      <c r="I41" s="11"/>
      <c r="J41" s="13"/>
      <c r="K41" s="26"/>
      <c r="L41" s="2"/>
      <c r="M41" s="3"/>
      <c r="N41" s="6"/>
      <c r="O41" s="26"/>
      <c r="P41" s="1"/>
    </row>
    <row r="42" spans="1:16 16384:16384" x14ac:dyDescent="0.6">
      <c r="A42" s="2"/>
      <c r="B42" s="40" t="s">
        <v>3</v>
      </c>
      <c r="C42" s="42">
        <f>+N35</f>
        <v>129077</v>
      </c>
      <c r="D42" s="42">
        <f>+O35</f>
        <v>10696.580000000002</v>
      </c>
      <c r="E42" s="43">
        <f>+D42/C42</f>
        <v>8.2869759910750962E-2</v>
      </c>
      <c r="F42" s="11"/>
      <c r="G42" s="29"/>
      <c r="H42" s="12"/>
      <c r="I42" s="11"/>
      <c r="J42" s="13"/>
      <c r="K42" s="26"/>
      <c r="L42" s="2"/>
      <c r="M42" s="3"/>
      <c r="N42" s="6"/>
      <c r="O42" s="26"/>
      <c r="P42" s="1"/>
    </row>
    <row r="43" spans="1:16 16384:16384" x14ac:dyDescent="0.6">
      <c r="A43" s="2"/>
      <c r="B43" s="44" t="s">
        <v>10</v>
      </c>
      <c r="C43" s="45">
        <f>SUM(C39:C42)</f>
        <v>1155265.22</v>
      </c>
      <c r="D43" s="45">
        <f>SUM(D39:D42)</f>
        <v>115630.91999999998</v>
      </c>
      <c r="E43" s="46">
        <f>+D43/C43</f>
        <v>0.1000903671279916</v>
      </c>
      <c r="F43" s="11"/>
      <c r="G43" s="29"/>
      <c r="H43" s="12"/>
      <c r="I43" s="11"/>
      <c r="J43" s="13"/>
      <c r="K43" s="26"/>
      <c r="L43" s="2"/>
      <c r="M43" s="3"/>
      <c r="N43" s="6"/>
      <c r="O43" s="26"/>
      <c r="P43" s="1"/>
    </row>
    <row r="44" spans="1:16 16384:16384" x14ac:dyDescent="0.6">
      <c r="A44" s="2"/>
      <c r="B44" s="6"/>
      <c r="C44" s="6"/>
      <c r="D44" s="34"/>
      <c r="E44" s="6"/>
      <c r="F44" s="6"/>
      <c r="G44" s="8"/>
      <c r="H44" s="29"/>
      <c r="I44" s="14"/>
      <c r="J44" s="10"/>
      <c r="K44" s="10"/>
      <c r="L44" s="26"/>
      <c r="M44" s="2"/>
      <c r="N44" s="3"/>
      <c r="O44" s="6"/>
      <c r="P44" s="26"/>
    </row>
    <row r="45" spans="1:16 16384:16384" x14ac:dyDescent="0.6">
      <c r="A45" s="2"/>
      <c r="B45" s="6"/>
      <c r="C45" s="6"/>
      <c r="D45" s="32"/>
      <c r="E45" s="6"/>
      <c r="F45" s="6"/>
      <c r="G45" s="6"/>
      <c r="H45" s="26"/>
      <c r="I45" s="6"/>
      <c r="J45" s="6"/>
      <c r="K45" s="6"/>
      <c r="L45" s="26"/>
      <c r="M45" s="2"/>
      <c r="N45" s="3"/>
      <c r="O45" s="6"/>
      <c r="P45" s="26"/>
    </row>
    <row r="46" spans="1:16 16384:16384" x14ac:dyDescent="0.6">
      <c r="A46" s="2"/>
      <c r="B46" s="6"/>
      <c r="C46" s="6"/>
      <c r="D46" s="32"/>
      <c r="E46" s="6"/>
      <c r="F46" s="6"/>
      <c r="G46" s="6"/>
      <c r="H46" s="26"/>
      <c r="I46" s="6"/>
      <c r="J46" s="6"/>
      <c r="K46" s="6"/>
      <c r="L46" s="26"/>
      <c r="M46" s="2"/>
      <c r="N46" s="3"/>
      <c r="O46" s="6"/>
      <c r="P46" s="26"/>
    </row>
    <row r="47" spans="1:16 16384:16384" x14ac:dyDescent="0.6">
      <c r="A47" s="2"/>
      <c r="B47" s="6"/>
      <c r="C47" s="6"/>
      <c r="D47" s="32"/>
      <c r="E47" s="6"/>
      <c r="F47" s="6"/>
      <c r="G47" s="6"/>
      <c r="H47" s="26"/>
      <c r="I47" s="6"/>
      <c r="J47" s="6"/>
      <c r="K47" s="6"/>
      <c r="L47" s="26"/>
      <c r="M47" s="2"/>
      <c r="N47" s="3"/>
      <c r="O47" s="6"/>
      <c r="P47" s="26"/>
    </row>
    <row r="48" spans="1:16 16384:16384" x14ac:dyDescent="0.6">
      <c r="A48" s="2"/>
      <c r="B48" s="6"/>
      <c r="C48" s="6"/>
      <c r="D48" s="32"/>
      <c r="E48" s="6"/>
      <c r="F48" s="6"/>
      <c r="G48" s="6"/>
      <c r="H48" s="26"/>
      <c r="I48" s="6"/>
      <c r="J48" s="6"/>
      <c r="K48" s="6"/>
      <c r="L48" s="26"/>
      <c r="M48" s="2"/>
      <c r="N48" s="3"/>
      <c r="O48" s="6"/>
      <c r="P48" s="26"/>
    </row>
    <row r="49" spans="1:16" x14ac:dyDescent="0.6">
      <c r="A49" s="2"/>
      <c r="B49" s="6"/>
      <c r="C49" s="6"/>
      <c r="D49" s="32"/>
      <c r="E49" s="6"/>
      <c r="F49" s="6"/>
      <c r="G49" s="6"/>
      <c r="H49" s="26"/>
      <c r="I49" s="6"/>
      <c r="J49" s="6"/>
      <c r="K49" s="6"/>
      <c r="L49" s="26"/>
      <c r="M49" s="2"/>
      <c r="N49" s="3"/>
      <c r="O49" s="6"/>
      <c r="P49" s="26"/>
    </row>
    <row r="50" spans="1:16" x14ac:dyDescent="0.6">
      <c r="A50" s="2"/>
      <c r="B50" s="6"/>
      <c r="C50" s="6"/>
      <c r="D50" s="32"/>
      <c r="E50" s="6"/>
      <c r="F50" s="6"/>
      <c r="G50" s="6"/>
      <c r="H50" s="26"/>
      <c r="I50" s="6"/>
      <c r="J50" s="6"/>
      <c r="K50" s="6"/>
      <c r="L50" s="26"/>
      <c r="M50" s="2"/>
      <c r="N50" s="3"/>
      <c r="O50" s="6"/>
      <c r="P50" s="26"/>
    </row>
    <row r="51" spans="1:16" x14ac:dyDescent="0.6">
      <c r="A51" s="2"/>
      <c r="B51" s="6"/>
      <c r="C51" s="6"/>
      <c r="D51" s="32"/>
      <c r="E51" s="6"/>
      <c r="F51" s="6"/>
      <c r="G51" s="6"/>
      <c r="H51" s="26"/>
      <c r="I51" s="6"/>
      <c r="J51" s="6"/>
      <c r="K51" s="6"/>
      <c r="L51" s="26"/>
      <c r="M51" s="2"/>
      <c r="N51" s="3"/>
      <c r="O51" s="6"/>
      <c r="P51" s="26"/>
    </row>
    <row r="52" spans="1:16" x14ac:dyDescent="0.6">
      <c r="A52" s="2"/>
      <c r="B52" s="6"/>
      <c r="C52" s="6"/>
      <c r="D52" s="32"/>
      <c r="E52" s="6"/>
      <c r="F52" s="6"/>
      <c r="G52" s="6"/>
      <c r="H52" s="26"/>
      <c r="I52" s="6"/>
      <c r="J52" s="6"/>
      <c r="K52" s="6"/>
      <c r="L52" s="26"/>
      <c r="M52" s="2"/>
      <c r="N52" s="3"/>
      <c r="O52" s="6"/>
      <c r="P52" s="26"/>
    </row>
    <row r="53" spans="1:16" x14ac:dyDescent="0.6">
      <c r="A53" s="2"/>
      <c r="B53" s="6"/>
      <c r="C53" s="6"/>
      <c r="D53" s="32"/>
      <c r="E53" s="6"/>
      <c r="F53" s="6"/>
      <c r="G53" s="6"/>
      <c r="H53" s="26"/>
      <c r="I53" s="6"/>
      <c r="J53" s="6"/>
      <c r="K53" s="6"/>
      <c r="L53" s="26"/>
      <c r="M53" s="2"/>
      <c r="N53" s="3"/>
      <c r="O53" s="6"/>
      <c r="P53" s="26"/>
    </row>
    <row r="54" spans="1:16" x14ac:dyDescent="0.6">
      <c r="A54" s="2"/>
      <c r="B54" s="6"/>
      <c r="C54" s="6"/>
      <c r="D54" s="32"/>
      <c r="E54" s="6"/>
      <c r="F54" s="6"/>
      <c r="G54" s="6"/>
      <c r="H54" s="26"/>
      <c r="I54" s="6"/>
      <c r="J54" s="6"/>
      <c r="K54" s="6"/>
      <c r="L54" s="26"/>
      <c r="M54" s="2"/>
      <c r="N54" s="3"/>
      <c r="O54" s="6"/>
      <c r="P54" s="26"/>
    </row>
    <row r="55" spans="1:16" x14ac:dyDescent="0.6">
      <c r="A55" s="2"/>
      <c r="B55" s="6"/>
      <c r="C55" s="6"/>
      <c r="D55" s="32"/>
      <c r="E55" s="6"/>
      <c r="F55" s="6"/>
      <c r="G55" s="6"/>
      <c r="H55" s="26"/>
      <c r="I55" s="6"/>
      <c r="J55" s="6"/>
      <c r="K55" s="6"/>
      <c r="L55" s="26"/>
      <c r="M55" s="2"/>
      <c r="N55" s="3"/>
      <c r="O55" s="6"/>
      <c r="P55" s="26"/>
    </row>
    <row r="56" spans="1:16" x14ac:dyDescent="0.6">
      <c r="A56" s="2"/>
      <c r="B56" s="6"/>
      <c r="C56" s="6"/>
      <c r="D56" s="32"/>
      <c r="E56" s="6"/>
      <c r="F56" s="6"/>
      <c r="G56" s="6"/>
      <c r="H56" s="26"/>
      <c r="I56" s="6"/>
      <c r="J56" s="6"/>
      <c r="K56" s="6"/>
      <c r="L56" s="26"/>
      <c r="M56" s="2"/>
      <c r="N56" s="3"/>
      <c r="O56" s="6"/>
      <c r="P56" s="26"/>
    </row>
    <row r="57" spans="1:16" x14ac:dyDescent="0.6">
      <c r="A57" s="2"/>
      <c r="B57" s="6"/>
      <c r="C57" s="6"/>
      <c r="D57" s="32"/>
      <c r="E57" s="6"/>
      <c r="F57" s="6"/>
      <c r="G57" s="6"/>
      <c r="H57" s="26"/>
      <c r="I57" s="6"/>
      <c r="J57" s="6"/>
      <c r="K57" s="6"/>
      <c r="L57" s="26"/>
      <c r="M57" s="2"/>
      <c r="N57" s="3"/>
      <c r="O57" s="6"/>
      <c r="P57" s="26"/>
    </row>
    <row r="58" spans="1:16" x14ac:dyDescent="0.6">
      <c r="A58" s="2"/>
      <c r="B58" s="6"/>
      <c r="C58" s="6"/>
      <c r="D58" s="32"/>
      <c r="E58" s="6"/>
      <c r="F58" s="6"/>
      <c r="G58" s="6"/>
      <c r="H58" s="26"/>
      <c r="I58" s="6"/>
      <c r="J58" s="6"/>
      <c r="K58" s="6"/>
      <c r="L58" s="26"/>
      <c r="M58" s="2"/>
      <c r="N58" s="3"/>
      <c r="O58" s="6"/>
      <c r="P58" s="26"/>
    </row>
    <row r="59" spans="1:16" x14ac:dyDescent="0.6">
      <c r="A59" s="2"/>
      <c r="B59" s="6"/>
      <c r="C59" s="6"/>
      <c r="D59" s="32"/>
      <c r="E59" s="6"/>
      <c r="F59" s="6"/>
      <c r="G59" s="6"/>
      <c r="H59" s="26"/>
      <c r="I59" s="6"/>
      <c r="J59" s="6"/>
      <c r="K59" s="6"/>
      <c r="L59" s="26"/>
      <c r="M59" s="2"/>
      <c r="N59" s="3"/>
      <c r="O59" s="6"/>
      <c r="P59" s="26"/>
    </row>
    <row r="60" spans="1:16" x14ac:dyDescent="0.6">
      <c r="A60" s="2"/>
      <c r="B60" s="6"/>
      <c r="C60" s="6"/>
      <c r="D60" s="32"/>
      <c r="E60" s="6"/>
      <c r="F60" s="6"/>
      <c r="G60" s="6"/>
      <c r="H60" s="26"/>
      <c r="I60" s="6"/>
      <c r="J60" s="6"/>
      <c r="K60" s="6"/>
      <c r="L60" s="26"/>
      <c r="M60" s="2"/>
      <c r="N60" s="3"/>
      <c r="O60" s="6"/>
      <c r="P60" s="26"/>
    </row>
    <row r="61" spans="1:16" x14ac:dyDescent="0.6">
      <c r="A61" s="2"/>
      <c r="B61" s="6"/>
      <c r="C61" s="6"/>
      <c r="D61" s="32"/>
      <c r="E61" s="6"/>
      <c r="F61" s="6"/>
      <c r="G61" s="6"/>
      <c r="H61" s="26"/>
      <c r="I61" s="6"/>
      <c r="J61" s="6"/>
      <c r="K61" s="6"/>
      <c r="L61" s="26"/>
      <c r="M61" s="2"/>
      <c r="N61" s="3"/>
      <c r="O61" s="6"/>
      <c r="P61" s="26"/>
    </row>
    <row r="62" spans="1:16" x14ac:dyDescent="0.6">
      <c r="A62" s="2"/>
      <c r="B62" s="6"/>
      <c r="C62" s="6"/>
      <c r="D62" s="32"/>
      <c r="E62" s="6"/>
      <c r="F62" s="6"/>
      <c r="G62" s="6"/>
      <c r="H62" s="26"/>
      <c r="I62" s="6"/>
      <c r="J62" s="6"/>
      <c r="K62" s="6"/>
      <c r="L62" s="26"/>
      <c r="M62" s="2"/>
      <c r="N62" s="3"/>
      <c r="O62" s="6"/>
      <c r="P62" s="26"/>
    </row>
    <row r="63" spans="1:16" x14ac:dyDescent="0.6">
      <c r="A63" s="2"/>
      <c r="B63" s="6"/>
      <c r="C63" s="6"/>
      <c r="D63" s="32"/>
      <c r="E63" s="6"/>
      <c r="F63" s="6"/>
      <c r="G63" s="6"/>
      <c r="H63" s="26"/>
      <c r="I63" s="6"/>
      <c r="J63" s="6"/>
      <c r="K63" s="6"/>
      <c r="L63" s="26"/>
      <c r="M63" s="2"/>
      <c r="N63" s="3"/>
      <c r="O63" s="6"/>
      <c r="P63" s="26"/>
    </row>
    <row r="64" spans="1:16" x14ac:dyDescent="0.6">
      <c r="A64" s="2"/>
      <c r="B64" s="6"/>
      <c r="C64" s="6"/>
      <c r="D64" s="32"/>
      <c r="E64" s="6"/>
      <c r="F64" s="6"/>
      <c r="G64" s="6"/>
      <c r="H64" s="26"/>
      <c r="I64" s="6"/>
      <c r="J64" s="6"/>
      <c r="K64" s="6"/>
      <c r="L64" s="26"/>
      <c r="M64" s="2"/>
      <c r="N64" s="3"/>
      <c r="O64" s="6"/>
      <c r="P64" s="26"/>
    </row>
    <row r="65" spans="1:16" x14ac:dyDescent="0.6">
      <c r="A65" s="2"/>
      <c r="B65" s="6"/>
      <c r="C65" s="6"/>
      <c r="D65" s="32"/>
      <c r="E65" s="6"/>
      <c r="F65" s="6"/>
      <c r="G65" s="6"/>
      <c r="H65" s="26"/>
      <c r="I65" s="6"/>
      <c r="J65" s="6"/>
      <c r="K65" s="6"/>
      <c r="L65" s="26"/>
      <c r="M65" s="2"/>
      <c r="N65" s="3"/>
      <c r="O65" s="6"/>
      <c r="P65" s="26"/>
    </row>
    <row r="66" spans="1:16" x14ac:dyDescent="0.6">
      <c r="A66" s="2"/>
      <c r="B66" s="6"/>
      <c r="C66" s="6"/>
      <c r="D66" s="32"/>
      <c r="E66" s="6"/>
      <c r="F66" s="6"/>
      <c r="G66" s="6"/>
      <c r="H66" s="26"/>
      <c r="I66" s="6"/>
      <c r="J66" s="6"/>
      <c r="K66" s="6"/>
      <c r="L66" s="26"/>
      <c r="M66" s="2"/>
      <c r="N66" s="3"/>
      <c r="O66" s="6"/>
      <c r="P66" s="26"/>
    </row>
    <row r="67" spans="1:16" x14ac:dyDescent="0.6">
      <c r="A67" s="2"/>
      <c r="B67" s="6"/>
      <c r="C67" s="6"/>
      <c r="D67" s="32"/>
      <c r="E67" s="6"/>
      <c r="F67" s="6"/>
      <c r="G67" s="6"/>
      <c r="H67" s="26"/>
      <c r="I67" s="6"/>
      <c r="J67" s="6"/>
      <c r="K67" s="6"/>
      <c r="L67" s="26"/>
      <c r="M67" s="2"/>
      <c r="N67" s="3"/>
      <c r="O67" s="6"/>
      <c r="P67" s="26"/>
    </row>
    <row r="68" spans="1:16" x14ac:dyDescent="0.6">
      <c r="A68" s="2"/>
      <c r="B68" s="6"/>
      <c r="C68" s="6"/>
      <c r="D68" s="32"/>
      <c r="E68" s="6"/>
      <c r="F68" s="6"/>
      <c r="G68" s="6"/>
      <c r="H68" s="26"/>
      <c r="I68" s="6"/>
      <c r="J68" s="6"/>
      <c r="K68" s="6"/>
      <c r="L68" s="26"/>
      <c r="M68" s="2"/>
      <c r="N68" s="4"/>
      <c r="O68" s="6"/>
      <c r="P68" s="26"/>
    </row>
    <row r="69" spans="1:16" x14ac:dyDescent="0.6">
      <c r="A69" s="2"/>
      <c r="B69" s="6"/>
      <c r="C69" s="6"/>
      <c r="D69" s="32"/>
      <c r="E69" s="6"/>
      <c r="F69" s="6"/>
      <c r="G69" s="6"/>
      <c r="H69" s="26"/>
      <c r="I69" s="6"/>
      <c r="J69" s="6"/>
      <c r="K69" s="6"/>
      <c r="L69" s="26"/>
      <c r="M69" s="2"/>
      <c r="N69" s="4"/>
      <c r="O69" s="6"/>
      <c r="P69" s="26"/>
    </row>
    <row r="70" spans="1:16" x14ac:dyDescent="0.6">
      <c r="A70" s="2"/>
      <c r="B70" s="6"/>
      <c r="C70" s="6"/>
      <c r="D70" s="33"/>
      <c r="E70" s="6"/>
      <c r="F70" s="6"/>
      <c r="G70" s="6"/>
      <c r="H70" s="26"/>
      <c r="I70" s="6"/>
      <c r="J70" s="6"/>
      <c r="K70" s="6"/>
      <c r="L70" s="26"/>
      <c r="M70" s="2"/>
      <c r="N70" s="4"/>
      <c r="O70" s="6"/>
      <c r="P70" s="26"/>
    </row>
  </sheetData>
  <mergeCells count="5">
    <mergeCell ref="A2:D2"/>
    <mergeCell ref="E2:H2"/>
    <mergeCell ref="I2:L2"/>
    <mergeCell ref="M2:P2"/>
    <mergeCell ref="B37:E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6F96B-84D5-4265-8AC3-C2823AE5FFE4}">
  <sheetPr>
    <tabColor rgb="FF00B0F0"/>
  </sheetPr>
  <dimension ref="A1:XFD70"/>
  <sheetViews>
    <sheetView zoomScale="115" zoomScaleNormal="115" workbookViewId="0">
      <pane xSplit="4" ySplit="3" topLeftCell="E28" activePane="bottomRight" state="frozen"/>
      <selection activeCell="F33" sqref="F33"/>
      <selection pane="topRight" activeCell="F33" sqref="F33"/>
      <selection pane="bottomLeft" activeCell="F33" sqref="F33"/>
      <selection pane="bottomRight" activeCell="G43" sqref="G43"/>
    </sheetView>
  </sheetViews>
  <sheetFormatPr defaultRowHeight="23.4" x14ac:dyDescent="0.6"/>
  <cols>
    <col min="1" max="1" width="9.09765625" style="1" bestFit="1" customWidth="1"/>
    <col min="2" max="2" width="11.69921875" style="1" bestFit="1" customWidth="1"/>
    <col min="3" max="3" width="12.59765625" style="1" bestFit="1" customWidth="1"/>
    <col min="4" max="4" width="10.8984375" style="35" bestFit="1" customWidth="1"/>
    <col min="5" max="5" width="9.3984375" style="1" bestFit="1" customWidth="1"/>
    <col min="6" max="6" width="10.19921875" style="1" bestFit="1" customWidth="1"/>
    <col min="7" max="7" width="9.09765625" style="1" bestFit="1" customWidth="1"/>
    <col min="8" max="8" width="8.3984375" style="38" customWidth="1"/>
    <col min="9" max="9" width="9.09765625" style="1" bestFit="1" customWidth="1"/>
    <col min="10" max="10" width="10.19921875" style="1" bestFit="1" customWidth="1"/>
    <col min="11" max="11" width="9.09765625" style="1" bestFit="1" customWidth="1"/>
    <col min="12" max="12" width="7.8984375" style="38" bestFit="1" customWidth="1"/>
    <col min="13" max="13" width="9.09765625" style="1" bestFit="1" customWidth="1"/>
    <col min="14" max="14" width="10.19921875" style="1" bestFit="1" customWidth="1"/>
    <col min="15" max="15" width="9.09765625" style="1" bestFit="1" customWidth="1"/>
    <col min="16" max="16" width="8.3984375" style="38" customWidth="1"/>
    <col min="17" max="16383" width="8.69921875" style="1"/>
    <col min="16384" max="16384" width="9" style="1" bestFit="1" customWidth="1"/>
  </cols>
  <sheetData>
    <row r="1" spans="1:16" ht="28.8" x14ac:dyDescent="0.75">
      <c r="A1" s="48" t="s">
        <v>18</v>
      </c>
    </row>
    <row r="2" spans="1:16" s="18" customFormat="1" x14ac:dyDescent="0.6">
      <c r="A2" s="111" t="s">
        <v>0</v>
      </c>
      <c r="B2" s="111"/>
      <c r="C2" s="111"/>
      <c r="D2" s="111"/>
      <c r="E2" s="112" t="s">
        <v>1</v>
      </c>
      <c r="F2" s="112"/>
      <c r="G2" s="112"/>
      <c r="H2" s="112"/>
      <c r="I2" s="113" t="s">
        <v>2</v>
      </c>
      <c r="J2" s="113"/>
      <c r="K2" s="113"/>
      <c r="L2" s="113"/>
      <c r="M2" s="114" t="s">
        <v>3</v>
      </c>
      <c r="N2" s="114"/>
      <c r="O2" s="114"/>
      <c r="P2" s="114"/>
    </row>
    <row r="3" spans="1:16" s="22" customFormat="1" x14ac:dyDescent="0.25">
      <c r="A3" s="23" t="s">
        <v>4</v>
      </c>
      <c r="B3" s="23" t="s">
        <v>5</v>
      </c>
      <c r="C3" s="23" t="s">
        <v>6</v>
      </c>
      <c r="D3" s="25" t="s">
        <v>7</v>
      </c>
      <c r="E3" s="19" t="s">
        <v>4</v>
      </c>
      <c r="F3" s="19" t="s">
        <v>5</v>
      </c>
      <c r="G3" s="19" t="s">
        <v>6</v>
      </c>
      <c r="H3" s="27" t="s">
        <v>7</v>
      </c>
      <c r="I3" s="20" t="s">
        <v>4</v>
      </c>
      <c r="J3" s="20" t="s">
        <v>5</v>
      </c>
      <c r="K3" s="20" t="s">
        <v>6</v>
      </c>
      <c r="L3" s="30" t="s">
        <v>7</v>
      </c>
      <c r="M3" s="21" t="s">
        <v>4</v>
      </c>
      <c r="N3" s="21" t="s">
        <v>5</v>
      </c>
      <c r="O3" s="21" t="s">
        <v>6</v>
      </c>
      <c r="P3" s="31" t="s">
        <v>7</v>
      </c>
    </row>
    <row r="4" spans="1:16" x14ac:dyDescent="0.6">
      <c r="A4" s="24">
        <v>45748</v>
      </c>
      <c r="B4" s="3">
        <v>11795.410000000002</v>
      </c>
      <c r="C4" s="3">
        <v>3940.61</v>
      </c>
      <c r="D4" s="32">
        <f>+C4/B4</f>
        <v>0.33407995143873759</v>
      </c>
      <c r="E4" s="24">
        <v>45748</v>
      </c>
      <c r="F4" s="3">
        <v>6463</v>
      </c>
      <c r="G4" s="3">
        <v>1505.62</v>
      </c>
      <c r="H4" s="32">
        <f>+G4/F4</f>
        <v>0.23295992573108462</v>
      </c>
      <c r="I4" s="24">
        <v>45748</v>
      </c>
      <c r="J4" s="3">
        <v>3045.4200000000005</v>
      </c>
      <c r="K4" s="3">
        <v>200.62</v>
      </c>
      <c r="L4" s="32">
        <f>+K4/J4</f>
        <v>6.5875971130418778E-2</v>
      </c>
      <c r="M4" s="24">
        <v>45748</v>
      </c>
      <c r="N4" s="3">
        <v>4446</v>
      </c>
      <c r="O4" s="4">
        <v>418.18</v>
      </c>
      <c r="P4" s="32">
        <f>+O4/N4</f>
        <v>9.4057579847053527E-2</v>
      </c>
    </row>
    <row r="5" spans="1:16" x14ac:dyDescent="0.6">
      <c r="A5" s="24">
        <v>45749</v>
      </c>
      <c r="B5" s="3">
        <v>12048.82</v>
      </c>
      <c r="C5" s="3">
        <v>4357.3</v>
      </c>
      <c r="D5" s="32">
        <f t="shared" ref="D5:D33" si="0">+C5/B5</f>
        <v>0.36163707317397059</v>
      </c>
      <c r="E5" s="24">
        <v>45749</v>
      </c>
      <c r="F5" s="3">
        <v>400</v>
      </c>
      <c r="G5" s="3">
        <v>1663.47</v>
      </c>
      <c r="H5" s="32">
        <f t="shared" ref="H5:H33" si="1">+G5/F5</f>
        <v>4.1586749999999997</v>
      </c>
      <c r="I5" s="24">
        <v>45749</v>
      </c>
      <c r="J5" s="5">
        <v>3416.59</v>
      </c>
      <c r="K5" s="3">
        <v>200.94</v>
      </c>
      <c r="L5" s="32">
        <f t="shared" ref="L5:L33" si="2">+K5/J5</f>
        <v>5.8813027024021025E-2</v>
      </c>
      <c r="M5" s="24">
        <v>45749</v>
      </c>
      <c r="N5" s="3">
        <v>6209</v>
      </c>
      <c r="O5" s="4">
        <v>540</v>
      </c>
      <c r="P5" s="32">
        <f t="shared" ref="P5:P33" si="3">+O5/N5</f>
        <v>8.6970526654855856E-2</v>
      </c>
    </row>
    <row r="6" spans="1:16" x14ac:dyDescent="0.6">
      <c r="A6" s="24">
        <v>45750</v>
      </c>
      <c r="B6" s="3">
        <v>19297.89</v>
      </c>
      <c r="C6" s="3">
        <v>4629.9799999999996</v>
      </c>
      <c r="D6" s="32">
        <f t="shared" si="0"/>
        <v>0.23992156655468549</v>
      </c>
      <c r="E6" s="24">
        <v>45750</v>
      </c>
      <c r="F6" s="3">
        <v>25742</v>
      </c>
      <c r="G6" s="3">
        <v>1893.13</v>
      </c>
      <c r="H6" s="32">
        <f t="shared" si="1"/>
        <v>7.3542459793333861E-2</v>
      </c>
      <c r="I6" s="24">
        <v>45750</v>
      </c>
      <c r="J6" s="5">
        <v>4036.6200000000003</v>
      </c>
      <c r="K6" s="3">
        <v>198.99</v>
      </c>
      <c r="L6" s="32">
        <f t="shared" si="2"/>
        <v>4.9296193349881827E-2</v>
      </c>
      <c r="M6" s="24">
        <v>45750</v>
      </c>
      <c r="N6" s="3">
        <v>4253</v>
      </c>
      <c r="O6" s="4">
        <v>530.07000000000005</v>
      </c>
      <c r="P6" s="32">
        <f t="shared" si="3"/>
        <v>0.12463437573477547</v>
      </c>
    </row>
    <row r="7" spans="1:16" x14ac:dyDescent="0.6">
      <c r="A7" s="24">
        <v>45751</v>
      </c>
      <c r="B7" s="3">
        <v>17118.400000000001</v>
      </c>
      <c r="C7" s="3">
        <v>5764.49</v>
      </c>
      <c r="D7" s="32">
        <f t="shared" si="0"/>
        <v>0.33674233573231138</v>
      </c>
      <c r="E7" s="24">
        <v>45751</v>
      </c>
      <c r="F7" s="3">
        <v>8709</v>
      </c>
      <c r="G7" s="3">
        <v>2070.5</v>
      </c>
      <c r="H7" s="32">
        <f t="shared" si="1"/>
        <v>0.23774256516247561</v>
      </c>
      <c r="I7" s="24">
        <v>45751</v>
      </c>
      <c r="J7" s="5">
        <v>2432.5100000000002</v>
      </c>
      <c r="K7" s="3">
        <v>199.09</v>
      </c>
      <c r="L7" s="32">
        <f t="shared" si="2"/>
        <v>8.1845501149018909E-2</v>
      </c>
      <c r="M7" s="24">
        <v>45751</v>
      </c>
      <c r="N7" s="3">
        <v>5822</v>
      </c>
      <c r="O7" s="4">
        <v>535.54</v>
      </c>
      <c r="P7" s="32">
        <f t="shared" si="3"/>
        <v>9.1985571968395741E-2</v>
      </c>
    </row>
    <row r="8" spans="1:16" x14ac:dyDescent="0.6">
      <c r="A8" s="24">
        <v>45752</v>
      </c>
      <c r="B8" s="3">
        <v>11374.19</v>
      </c>
      <c r="C8" s="3">
        <v>3697.64</v>
      </c>
      <c r="D8" s="32">
        <f t="shared" si="0"/>
        <v>0.32509040204181572</v>
      </c>
      <c r="E8" s="24">
        <v>45752</v>
      </c>
      <c r="F8" s="3">
        <v>16845</v>
      </c>
      <c r="G8" s="3">
        <v>2210.9</v>
      </c>
      <c r="H8" s="32">
        <f t="shared" si="1"/>
        <v>0.13124962897002079</v>
      </c>
      <c r="I8" s="24">
        <v>45752</v>
      </c>
      <c r="J8" s="5">
        <v>4729.26</v>
      </c>
      <c r="K8" s="3">
        <v>200.92</v>
      </c>
      <c r="L8" s="32">
        <f t="shared" si="2"/>
        <v>4.2484447884024133E-2</v>
      </c>
      <c r="M8" s="24">
        <v>45752</v>
      </c>
      <c r="N8" s="3">
        <v>7187</v>
      </c>
      <c r="O8" s="4">
        <v>392.38</v>
      </c>
      <c r="P8" s="32">
        <f t="shared" si="3"/>
        <v>5.4595797968554335E-2</v>
      </c>
    </row>
    <row r="9" spans="1:16" x14ac:dyDescent="0.6">
      <c r="A9" s="24">
        <v>45753</v>
      </c>
      <c r="B9" s="3">
        <v>12722.13</v>
      </c>
      <c r="C9" s="3">
        <v>5253.32</v>
      </c>
      <c r="D9" s="32">
        <f t="shared" si="0"/>
        <v>0.41292770943230417</v>
      </c>
      <c r="E9" s="24">
        <v>45753</v>
      </c>
      <c r="F9" s="3">
        <v>15909</v>
      </c>
      <c r="G9" s="3">
        <v>2411.31</v>
      </c>
      <c r="H9" s="32">
        <f t="shared" si="1"/>
        <v>0.15156892325099</v>
      </c>
      <c r="I9" s="24">
        <v>45753</v>
      </c>
      <c r="J9" s="3">
        <v>2852.69</v>
      </c>
      <c r="K9" s="3">
        <v>197.95</v>
      </c>
      <c r="L9" s="32">
        <f t="shared" si="2"/>
        <v>6.9390645320732358E-2</v>
      </c>
      <c r="M9" s="24">
        <v>45753</v>
      </c>
      <c r="N9" s="3">
        <v>6924</v>
      </c>
      <c r="O9" s="4">
        <v>452.62</v>
      </c>
      <c r="P9" s="32">
        <f t="shared" si="3"/>
        <v>6.5369728480647024E-2</v>
      </c>
    </row>
    <row r="10" spans="1:16" x14ac:dyDescent="0.6">
      <c r="A10" s="24">
        <v>45754</v>
      </c>
      <c r="B10" s="3">
        <v>8522.2099999999991</v>
      </c>
      <c r="C10" s="3">
        <v>4818.54</v>
      </c>
      <c r="D10" s="32">
        <f t="shared" si="0"/>
        <v>0.5654096765979717</v>
      </c>
      <c r="E10" s="24">
        <v>45754</v>
      </c>
      <c r="F10" s="3">
        <v>7501</v>
      </c>
      <c r="G10" s="3">
        <v>2361.42</v>
      </c>
      <c r="H10" s="32">
        <f t="shared" si="1"/>
        <v>0.31481402479669379</v>
      </c>
      <c r="I10" s="24">
        <v>45754</v>
      </c>
      <c r="J10" s="3">
        <v>5307.14</v>
      </c>
      <c r="K10" s="4">
        <v>200.19</v>
      </c>
      <c r="L10" s="32">
        <f t="shared" si="2"/>
        <v>3.7720881680151641E-2</v>
      </c>
      <c r="M10" s="24">
        <v>45754</v>
      </c>
      <c r="N10" s="3">
        <v>8855</v>
      </c>
      <c r="O10" s="4">
        <v>340</v>
      </c>
      <c r="P10" s="32">
        <f t="shared" si="3"/>
        <v>3.8396386222473176E-2</v>
      </c>
    </row>
    <row r="11" spans="1:16" x14ac:dyDescent="0.6">
      <c r="A11" s="24">
        <v>45755</v>
      </c>
      <c r="B11" s="3">
        <v>11611.32</v>
      </c>
      <c r="C11" s="3">
        <v>5784.78</v>
      </c>
      <c r="D11" s="32">
        <f t="shared" si="0"/>
        <v>0.49820175483924306</v>
      </c>
      <c r="E11" s="24">
        <v>45755</v>
      </c>
      <c r="F11" s="3">
        <v>12182</v>
      </c>
      <c r="G11" s="4">
        <v>1555.79</v>
      </c>
      <c r="H11" s="32">
        <f t="shared" si="1"/>
        <v>0.12771219832539812</v>
      </c>
      <c r="I11" s="24">
        <v>45755</v>
      </c>
      <c r="J11" s="3">
        <v>7057.6100000000006</v>
      </c>
      <c r="K11" s="4">
        <v>200.31</v>
      </c>
      <c r="L11" s="32">
        <f t="shared" si="2"/>
        <v>2.8382129361072657E-2</v>
      </c>
      <c r="M11" s="24">
        <v>45755</v>
      </c>
      <c r="N11" s="3">
        <v>8524</v>
      </c>
      <c r="O11" s="4">
        <v>356.61</v>
      </c>
      <c r="P11" s="32">
        <f t="shared" si="3"/>
        <v>4.1835992491787898E-2</v>
      </c>
    </row>
    <row r="12" spans="1:16" x14ac:dyDescent="0.6">
      <c r="A12" s="24">
        <v>45756</v>
      </c>
      <c r="B12" s="3">
        <v>19793.45</v>
      </c>
      <c r="C12" s="3">
        <v>26023.37</v>
      </c>
      <c r="D12" s="32">
        <f t="shared" si="0"/>
        <v>1.3147465449428977</v>
      </c>
      <c r="E12" s="24">
        <v>45756</v>
      </c>
      <c r="F12" s="3">
        <v>4786</v>
      </c>
      <c r="G12" s="4">
        <v>1621.93</v>
      </c>
      <c r="H12" s="32">
        <f t="shared" si="1"/>
        <v>0.33889051399916426</v>
      </c>
      <c r="I12" s="24">
        <v>45756</v>
      </c>
      <c r="J12" s="3">
        <v>2980.0800000000004</v>
      </c>
      <c r="K12" s="4">
        <v>200.01</v>
      </c>
      <c r="L12" s="32">
        <f t="shared" si="2"/>
        <v>6.7115647902069725E-2</v>
      </c>
      <c r="M12" s="24">
        <v>45756</v>
      </c>
      <c r="N12" s="3">
        <v>6433</v>
      </c>
      <c r="O12" s="4">
        <v>407.43</v>
      </c>
      <c r="P12" s="32">
        <f t="shared" si="3"/>
        <v>6.3334369656458889E-2</v>
      </c>
    </row>
    <row r="13" spans="1:16" x14ac:dyDescent="0.6">
      <c r="A13" s="24">
        <v>45757</v>
      </c>
      <c r="B13" s="3">
        <v>13120.83</v>
      </c>
      <c r="C13" s="3">
        <v>13719.68</v>
      </c>
      <c r="D13" s="32">
        <f t="shared" si="0"/>
        <v>1.0456411675176036</v>
      </c>
      <c r="E13" s="24">
        <v>45757</v>
      </c>
      <c r="F13" s="3">
        <v>32788</v>
      </c>
      <c r="G13" s="4">
        <v>1799.88</v>
      </c>
      <c r="H13" s="32">
        <f t="shared" si="1"/>
        <v>5.4894473587898014E-2</v>
      </c>
      <c r="I13" s="24">
        <v>45757</v>
      </c>
      <c r="J13" s="3">
        <v>4225.17</v>
      </c>
      <c r="K13" s="4">
        <v>382.11</v>
      </c>
      <c r="L13" s="32">
        <f t="shared" si="2"/>
        <v>9.0436597817365932E-2</v>
      </c>
      <c r="M13" s="24">
        <v>45757</v>
      </c>
      <c r="N13" s="3">
        <v>12774</v>
      </c>
      <c r="O13" s="4">
        <v>466.29</v>
      </c>
      <c r="P13" s="32">
        <f t="shared" si="3"/>
        <v>3.6503053076561764E-2</v>
      </c>
    </row>
    <row r="14" spans="1:16" x14ac:dyDescent="0.6">
      <c r="A14" s="24">
        <v>45758</v>
      </c>
      <c r="B14" s="3">
        <v>24107.13</v>
      </c>
      <c r="C14" s="3">
        <v>4599.8900000000003</v>
      </c>
      <c r="D14" s="32">
        <f t="shared" si="0"/>
        <v>0.19081035361737378</v>
      </c>
      <c r="E14" s="24">
        <v>45758</v>
      </c>
      <c r="F14" s="3">
        <v>7289</v>
      </c>
      <c r="G14" s="4">
        <v>1840.23</v>
      </c>
      <c r="H14" s="32">
        <f t="shared" si="1"/>
        <v>0.25246673069008096</v>
      </c>
      <c r="I14" s="24">
        <v>45758</v>
      </c>
      <c r="J14" s="3">
        <v>3446.1499999999996</v>
      </c>
      <c r="K14" s="4">
        <v>181.83</v>
      </c>
      <c r="L14" s="32">
        <f t="shared" si="2"/>
        <v>5.2763228530388992E-2</v>
      </c>
      <c r="M14" s="24">
        <v>45758</v>
      </c>
      <c r="N14" s="3">
        <v>8832</v>
      </c>
      <c r="O14" s="4">
        <v>390.67</v>
      </c>
      <c r="P14" s="32">
        <f t="shared" si="3"/>
        <v>4.423346920289855E-2</v>
      </c>
    </row>
    <row r="15" spans="1:16" x14ac:dyDescent="0.6">
      <c r="A15" s="24">
        <v>45759</v>
      </c>
      <c r="B15" s="3">
        <v>25417.07</v>
      </c>
      <c r="C15" s="3">
        <v>7564.59</v>
      </c>
      <c r="D15" s="32">
        <f t="shared" si="0"/>
        <v>0.29761849025084325</v>
      </c>
      <c r="E15" s="24">
        <v>45759</v>
      </c>
      <c r="F15" s="3">
        <v>9937</v>
      </c>
      <c r="G15" s="4">
        <v>2492.77</v>
      </c>
      <c r="H15" s="32">
        <f t="shared" si="1"/>
        <v>0.2508574016302707</v>
      </c>
      <c r="I15" s="24">
        <v>45759</v>
      </c>
      <c r="J15" s="3">
        <v>4276.93</v>
      </c>
      <c r="K15" s="4">
        <v>170.81</v>
      </c>
      <c r="L15" s="32">
        <f t="shared" si="2"/>
        <v>3.9937525280984258E-2</v>
      </c>
      <c r="M15" s="24">
        <v>45759</v>
      </c>
      <c r="N15" s="3">
        <v>6857</v>
      </c>
      <c r="O15" s="4">
        <v>557.28</v>
      </c>
      <c r="P15" s="32">
        <f t="shared" si="3"/>
        <v>8.1271693160274175E-2</v>
      </c>
    </row>
    <row r="16" spans="1:16" x14ac:dyDescent="0.6">
      <c r="A16" s="24">
        <v>45760</v>
      </c>
      <c r="B16" s="3">
        <v>19035.350000000002</v>
      </c>
      <c r="C16" s="3">
        <v>11254.94</v>
      </c>
      <c r="D16" s="32">
        <f t="shared" si="0"/>
        <v>0.59126519869611005</v>
      </c>
      <c r="E16" s="24">
        <v>45760</v>
      </c>
      <c r="F16" s="3">
        <v>3434</v>
      </c>
      <c r="G16" s="4">
        <v>1877.21</v>
      </c>
      <c r="H16" s="32">
        <f t="shared" si="1"/>
        <v>0.54665404775771698</v>
      </c>
      <c r="I16" s="24">
        <v>45760</v>
      </c>
      <c r="J16" s="3">
        <v>2579.9900000000002</v>
      </c>
      <c r="K16" s="3">
        <v>183.03</v>
      </c>
      <c r="L16" s="32">
        <f t="shared" si="2"/>
        <v>7.0942135434633458E-2</v>
      </c>
      <c r="M16" s="24">
        <v>45760</v>
      </c>
      <c r="N16" s="3">
        <v>9955</v>
      </c>
      <c r="O16" s="4">
        <v>558.39</v>
      </c>
      <c r="P16" s="32">
        <f t="shared" si="3"/>
        <v>5.609141135107986E-2</v>
      </c>
    </row>
    <row r="17" spans="1:16" x14ac:dyDescent="0.6">
      <c r="A17" s="24">
        <v>45761</v>
      </c>
      <c r="B17" s="3">
        <v>27005.4</v>
      </c>
      <c r="C17" s="3">
        <v>8052.32</v>
      </c>
      <c r="D17" s="32">
        <f t="shared" si="0"/>
        <v>0.29817443918623682</v>
      </c>
      <c r="E17" s="24">
        <v>45761</v>
      </c>
      <c r="F17" s="3">
        <v>3530</v>
      </c>
      <c r="G17" s="4">
        <v>1088.46</v>
      </c>
      <c r="H17" s="32">
        <f t="shared" si="1"/>
        <v>0.30834560906515579</v>
      </c>
      <c r="I17" s="24">
        <v>45761</v>
      </c>
      <c r="J17" s="3">
        <v>3248.98</v>
      </c>
      <c r="K17" s="3">
        <v>203.55</v>
      </c>
      <c r="L17" s="32">
        <f t="shared" si="2"/>
        <v>6.2650431827835196E-2</v>
      </c>
      <c r="M17" s="24">
        <v>45761</v>
      </c>
      <c r="N17" s="3">
        <v>10807</v>
      </c>
      <c r="O17" s="4">
        <v>528.67999999999995</v>
      </c>
      <c r="P17" s="32">
        <f t="shared" si="3"/>
        <v>4.8920144350883682E-2</v>
      </c>
    </row>
    <row r="18" spans="1:16" x14ac:dyDescent="0.6">
      <c r="A18" s="24">
        <v>45762</v>
      </c>
      <c r="B18" s="3">
        <v>23869.23</v>
      </c>
      <c r="C18" s="3">
        <v>4141.0600000000004</v>
      </c>
      <c r="D18" s="32">
        <f t="shared" si="0"/>
        <v>0.17348946740217427</v>
      </c>
      <c r="E18" s="24">
        <v>45762</v>
      </c>
      <c r="F18" s="3">
        <v>4016</v>
      </c>
      <c r="G18" s="3">
        <v>1076.3599999999999</v>
      </c>
      <c r="H18" s="32">
        <f t="shared" si="1"/>
        <v>0.26801792828685256</v>
      </c>
      <c r="I18" s="24">
        <v>45762</v>
      </c>
      <c r="J18" s="3">
        <v>2273.2600000000002</v>
      </c>
      <c r="K18" s="3">
        <v>198.86</v>
      </c>
      <c r="L18" s="32">
        <f t="shared" si="2"/>
        <v>8.7477895181369489E-2</v>
      </c>
      <c r="M18" s="24">
        <v>45762</v>
      </c>
      <c r="N18" s="3">
        <v>8535</v>
      </c>
      <c r="O18" s="4">
        <v>452.41</v>
      </c>
      <c r="P18" s="32">
        <f t="shared" si="3"/>
        <v>5.3006444053895728E-2</v>
      </c>
    </row>
    <row r="19" spans="1:16" x14ac:dyDescent="0.6">
      <c r="A19" s="24">
        <v>45763</v>
      </c>
      <c r="B19" s="3">
        <v>27427.03</v>
      </c>
      <c r="C19" s="3">
        <v>3384.35</v>
      </c>
      <c r="D19" s="32">
        <f t="shared" si="0"/>
        <v>0.1233946949414501</v>
      </c>
      <c r="E19" s="24">
        <v>45763</v>
      </c>
      <c r="F19" s="3">
        <v>8410</v>
      </c>
      <c r="G19" s="3">
        <v>1519.14</v>
      </c>
      <c r="H19" s="32">
        <f t="shared" si="1"/>
        <v>0.18063495838287755</v>
      </c>
      <c r="I19" s="24">
        <v>45763</v>
      </c>
      <c r="J19" s="3">
        <v>1853.05</v>
      </c>
      <c r="K19" s="3">
        <v>193.76</v>
      </c>
      <c r="L19" s="32">
        <f t="shared" si="2"/>
        <v>0.10456274790210733</v>
      </c>
      <c r="M19" s="24">
        <v>45763</v>
      </c>
      <c r="N19" s="3">
        <v>8466</v>
      </c>
      <c r="O19" s="4">
        <v>531.08000000000004</v>
      </c>
      <c r="P19" s="32">
        <f t="shared" si="3"/>
        <v>6.2730923694779117E-2</v>
      </c>
    </row>
    <row r="20" spans="1:16" x14ac:dyDescent="0.6">
      <c r="A20" s="24">
        <v>45764</v>
      </c>
      <c r="B20" s="3">
        <v>33934.199999999997</v>
      </c>
      <c r="C20" s="3">
        <v>3758.45</v>
      </c>
      <c r="D20" s="32">
        <f t="shared" si="0"/>
        <v>0.11075699441861014</v>
      </c>
      <c r="E20" s="24">
        <v>45764</v>
      </c>
      <c r="F20" s="3">
        <v>57952</v>
      </c>
      <c r="G20" s="3">
        <v>1947</v>
      </c>
      <c r="H20" s="32">
        <f t="shared" si="1"/>
        <v>3.3596769740474874E-2</v>
      </c>
      <c r="I20" s="24">
        <v>45764</v>
      </c>
      <c r="J20" s="3">
        <v>1622.7300000000002</v>
      </c>
      <c r="K20" s="3">
        <v>201.81</v>
      </c>
      <c r="L20" s="32">
        <f t="shared" si="2"/>
        <v>0.12436449686639181</v>
      </c>
      <c r="M20" s="24">
        <v>45764</v>
      </c>
      <c r="N20" s="3">
        <v>4834</v>
      </c>
      <c r="O20" s="4">
        <v>529.14</v>
      </c>
      <c r="P20" s="32">
        <f t="shared" si="3"/>
        <v>0.1094621431526686</v>
      </c>
    </row>
    <row r="21" spans="1:16" x14ac:dyDescent="0.6">
      <c r="A21" s="24">
        <v>45765</v>
      </c>
      <c r="B21" s="3">
        <v>34163.629999999997</v>
      </c>
      <c r="C21" s="3">
        <v>3893.18</v>
      </c>
      <c r="D21" s="32">
        <f t="shared" si="0"/>
        <v>0.11395685997067642</v>
      </c>
      <c r="E21" s="24">
        <v>45765</v>
      </c>
      <c r="F21" s="3">
        <v>15016</v>
      </c>
      <c r="G21" s="4">
        <v>1263.58</v>
      </c>
      <c r="H21" s="32">
        <f t="shared" si="1"/>
        <v>8.4148907831646233E-2</v>
      </c>
      <c r="I21" s="24">
        <v>45765</v>
      </c>
      <c r="J21" s="3">
        <v>3338.1000000000004</v>
      </c>
      <c r="K21" s="4">
        <v>191.56</v>
      </c>
      <c r="L21" s="32">
        <f t="shared" si="2"/>
        <v>5.7385938108504835E-2</v>
      </c>
      <c r="M21" s="24">
        <v>45765</v>
      </c>
      <c r="N21" s="3">
        <v>4820</v>
      </c>
      <c r="O21" s="4">
        <v>434.84</v>
      </c>
      <c r="P21" s="32">
        <f t="shared" si="3"/>
        <v>9.0215767634854768E-2</v>
      </c>
    </row>
    <row r="22" spans="1:16" x14ac:dyDescent="0.6">
      <c r="A22" s="24">
        <v>45766</v>
      </c>
      <c r="B22" s="3">
        <v>59099.86</v>
      </c>
      <c r="C22" s="3">
        <v>6137.3</v>
      </c>
      <c r="D22" s="32">
        <f t="shared" si="0"/>
        <v>0.10384626968659486</v>
      </c>
      <c r="E22" s="24">
        <v>45766</v>
      </c>
      <c r="F22" s="3">
        <v>16334</v>
      </c>
      <c r="G22" s="4">
        <v>1945.94</v>
      </c>
      <c r="H22" s="32">
        <f t="shared" si="1"/>
        <v>0.1191343210481205</v>
      </c>
      <c r="I22" s="24">
        <v>45766</v>
      </c>
      <c r="J22" s="3">
        <v>1622.84</v>
      </c>
      <c r="K22" s="4">
        <v>201.8</v>
      </c>
      <c r="L22" s="32">
        <f t="shared" si="2"/>
        <v>0.1243499051046314</v>
      </c>
      <c r="M22" s="24">
        <v>45766</v>
      </c>
      <c r="N22" s="3">
        <v>4041</v>
      </c>
      <c r="O22" s="4">
        <v>483.24</v>
      </c>
      <c r="P22" s="32">
        <f t="shared" si="3"/>
        <v>0.11958426132145508</v>
      </c>
    </row>
    <row r="23" spans="1:16" x14ac:dyDescent="0.6">
      <c r="A23" s="24">
        <v>45767</v>
      </c>
      <c r="B23" s="3">
        <v>110950.36</v>
      </c>
      <c r="C23" s="3">
        <v>5838.77</v>
      </c>
      <c r="D23" s="32">
        <f t="shared" si="0"/>
        <v>5.2625065840255052E-2</v>
      </c>
      <c r="E23" s="24">
        <v>45767</v>
      </c>
      <c r="F23" s="6">
        <v>14539</v>
      </c>
      <c r="G23" s="3">
        <v>968.51</v>
      </c>
      <c r="H23" s="32">
        <f t="shared" si="1"/>
        <v>6.6614622738840362E-2</v>
      </c>
      <c r="I23" s="24">
        <v>45767</v>
      </c>
      <c r="J23" s="3">
        <v>3515.52</v>
      </c>
      <c r="K23" s="4">
        <v>201.07</v>
      </c>
      <c r="L23" s="32">
        <f t="shared" si="2"/>
        <v>5.7194952667030764E-2</v>
      </c>
      <c r="M23" s="24">
        <v>45767</v>
      </c>
      <c r="N23" s="3">
        <v>2954</v>
      </c>
      <c r="O23" s="4">
        <v>593.03</v>
      </c>
      <c r="P23" s="32">
        <f t="shared" si="3"/>
        <v>0.20075490859851047</v>
      </c>
    </row>
    <row r="24" spans="1:16" x14ac:dyDescent="0.6">
      <c r="A24" s="24">
        <v>45768</v>
      </c>
      <c r="B24" s="3">
        <v>80529.66</v>
      </c>
      <c r="C24" s="3">
        <v>6304.89</v>
      </c>
      <c r="D24" s="32">
        <f t="shared" si="0"/>
        <v>7.8292768155236225E-2</v>
      </c>
      <c r="E24" s="24">
        <v>45768</v>
      </c>
      <c r="F24" s="3">
        <v>17689</v>
      </c>
      <c r="G24" s="6">
        <v>923.35</v>
      </c>
      <c r="H24" s="32">
        <f t="shared" si="1"/>
        <v>5.2199106789530221E-2</v>
      </c>
      <c r="I24" s="24">
        <v>45768</v>
      </c>
      <c r="J24" s="3">
        <v>1184.7200000000003</v>
      </c>
      <c r="K24" s="4">
        <v>202.37</v>
      </c>
      <c r="L24" s="32">
        <f t="shared" si="2"/>
        <v>0.17081673306772904</v>
      </c>
      <c r="M24" s="24">
        <v>45768</v>
      </c>
      <c r="N24" s="3">
        <v>4732</v>
      </c>
      <c r="O24" s="4">
        <v>536.5</v>
      </c>
      <c r="P24" s="32">
        <f t="shared" si="3"/>
        <v>0.11337700760777684</v>
      </c>
    </row>
    <row r="25" spans="1:16" x14ac:dyDescent="0.6">
      <c r="A25" s="24">
        <v>45769</v>
      </c>
      <c r="B25" s="3">
        <v>54782.38</v>
      </c>
      <c r="C25" s="3">
        <v>7726.62</v>
      </c>
      <c r="D25" s="32">
        <f t="shared" si="0"/>
        <v>0.14104206498512845</v>
      </c>
      <c r="E25" s="24">
        <v>45769</v>
      </c>
      <c r="F25" s="3">
        <v>6109</v>
      </c>
      <c r="G25" s="6">
        <v>835.43</v>
      </c>
      <c r="H25" s="32">
        <f t="shared" si="1"/>
        <v>0.13675396955311833</v>
      </c>
      <c r="I25" s="24">
        <v>45769</v>
      </c>
      <c r="J25" s="3">
        <v>2462.5099999999998</v>
      </c>
      <c r="K25" s="6">
        <v>201.49</v>
      </c>
      <c r="L25" s="32">
        <f t="shared" si="2"/>
        <v>8.1823017977591977E-2</v>
      </c>
      <c r="M25" s="24">
        <v>45769</v>
      </c>
      <c r="N25" s="3">
        <v>2206</v>
      </c>
      <c r="O25" s="4">
        <v>499.31</v>
      </c>
      <c r="P25" s="32">
        <f t="shared" si="3"/>
        <v>0.22634179510426111</v>
      </c>
    </row>
    <row r="26" spans="1:16" x14ac:dyDescent="0.6">
      <c r="A26" s="24">
        <v>45770</v>
      </c>
      <c r="B26" s="3">
        <v>74855.149999999994</v>
      </c>
      <c r="C26" s="3">
        <v>6677.18</v>
      </c>
      <c r="D26" s="32">
        <f t="shared" si="0"/>
        <v>8.9201344196090729E-2</v>
      </c>
      <c r="E26" s="24">
        <v>45770</v>
      </c>
      <c r="F26" s="3">
        <v>2197</v>
      </c>
      <c r="G26" s="6">
        <v>852.57</v>
      </c>
      <c r="H26" s="32">
        <f t="shared" si="1"/>
        <v>0.38806099226217572</v>
      </c>
      <c r="I26" s="24">
        <v>45770</v>
      </c>
      <c r="J26" s="3">
        <v>1839.2999999999997</v>
      </c>
      <c r="K26" s="6">
        <v>200.49</v>
      </c>
      <c r="L26" s="32">
        <f t="shared" si="2"/>
        <v>0.10900342521611485</v>
      </c>
      <c r="M26" s="24">
        <v>45770</v>
      </c>
      <c r="N26" s="3">
        <v>3223</v>
      </c>
      <c r="O26" s="4">
        <v>594.44000000000005</v>
      </c>
      <c r="P26" s="32">
        <f t="shared" si="3"/>
        <v>0.18443686006825941</v>
      </c>
    </row>
    <row r="27" spans="1:16" x14ac:dyDescent="0.6">
      <c r="A27" s="24">
        <v>45771</v>
      </c>
      <c r="B27" s="3">
        <v>65378.509999999995</v>
      </c>
      <c r="C27" s="3">
        <v>1857.36</v>
      </c>
      <c r="D27" s="32">
        <f t="shared" si="0"/>
        <v>2.8409335116386103E-2</v>
      </c>
      <c r="E27" s="24">
        <v>45771</v>
      </c>
      <c r="F27" s="3">
        <v>25264</v>
      </c>
      <c r="G27" s="6">
        <v>817.86</v>
      </c>
      <c r="H27" s="32">
        <f t="shared" si="1"/>
        <v>3.2372545915136164E-2</v>
      </c>
      <c r="I27" s="24">
        <v>45771</v>
      </c>
      <c r="J27" s="3">
        <v>1486.42</v>
      </c>
      <c r="K27" s="6">
        <v>201.61</v>
      </c>
      <c r="L27" s="32">
        <f t="shared" si="2"/>
        <v>0.13563461202082858</v>
      </c>
      <c r="M27" s="24">
        <v>45771</v>
      </c>
      <c r="N27" s="3">
        <v>4391</v>
      </c>
      <c r="O27" s="4">
        <v>472.37</v>
      </c>
      <c r="P27" s="32">
        <f t="shared" si="3"/>
        <v>0.10757686176269643</v>
      </c>
    </row>
    <row r="28" spans="1:16" x14ac:dyDescent="0.6">
      <c r="A28" s="24">
        <v>45772</v>
      </c>
      <c r="B28" s="3">
        <v>57989.16</v>
      </c>
      <c r="C28" s="3">
        <v>2849.55</v>
      </c>
      <c r="D28" s="32">
        <f t="shared" si="0"/>
        <v>4.913935639005635E-2</v>
      </c>
      <c r="E28" s="24">
        <v>45772</v>
      </c>
      <c r="F28" s="3">
        <v>13510</v>
      </c>
      <c r="G28" s="6">
        <v>850.4</v>
      </c>
      <c r="H28" s="32">
        <f t="shared" si="1"/>
        <v>6.2945965951147292E-2</v>
      </c>
      <c r="I28" s="24">
        <v>45772</v>
      </c>
      <c r="J28" s="3">
        <v>2682.37</v>
      </c>
      <c r="K28" s="6">
        <v>194.69</v>
      </c>
      <c r="L28" s="32">
        <f t="shared" si="2"/>
        <v>7.2581336653780054E-2</v>
      </c>
      <c r="M28" s="24">
        <v>45772</v>
      </c>
      <c r="N28" s="3">
        <v>3468</v>
      </c>
      <c r="O28" s="4">
        <v>603.66</v>
      </c>
      <c r="P28" s="32">
        <f t="shared" si="3"/>
        <v>0.17406574394463667</v>
      </c>
    </row>
    <row r="29" spans="1:16" x14ac:dyDescent="0.6">
      <c r="A29" s="24">
        <v>45773</v>
      </c>
      <c r="B29" s="3">
        <v>62590.5</v>
      </c>
      <c r="C29" s="3">
        <v>4267.08</v>
      </c>
      <c r="D29" s="32">
        <f t="shared" si="0"/>
        <v>6.8174563232439422E-2</v>
      </c>
      <c r="E29" s="24">
        <v>45773</v>
      </c>
      <c r="F29" s="6">
        <v>12874</v>
      </c>
      <c r="G29" s="6">
        <v>1012.38</v>
      </c>
      <c r="H29" s="32">
        <f t="shared" si="1"/>
        <v>7.8637564082647202E-2</v>
      </c>
      <c r="I29" s="24">
        <v>45773</v>
      </c>
      <c r="J29" s="4">
        <v>4190.17</v>
      </c>
      <c r="K29" s="6">
        <v>202.49</v>
      </c>
      <c r="L29" s="32">
        <f t="shared" si="2"/>
        <v>4.8325008293219611E-2</v>
      </c>
      <c r="M29" s="24">
        <v>45773</v>
      </c>
      <c r="N29" s="3">
        <v>4360</v>
      </c>
      <c r="O29" s="4">
        <v>532.32000000000005</v>
      </c>
      <c r="P29" s="32">
        <f t="shared" si="3"/>
        <v>0.12209174311926607</v>
      </c>
    </row>
    <row r="30" spans="1:16" x14ac:dyDescent="0.6">
      <c r="A30" s="24">
        <v>45774</v>
      </c>
      <c r="B30" s="3">
        <v>41712.21</v>
      </c>
      <c r="C30" s="3">
        <v>5715.27</v>
      </c>
      <c r="D30" s="32">
        <f t="shared" si="0"/>
        <v>0.13701671524956363</v>
      </c>
      <c r="E30" s="24">
        <v>45774</v>
      </c>
      <c r="F30" s="6">
        <v>4529</v>
      </c>
      <c r="G30" s="6">
        <v>889.18</v>
      </c>
      <c r="H30" s="32">
        <f t="shared" si="1"/>
        <v>0.19633031574298962</v>
      </c>
      <c r="I30" s="24">
        <v>45774</v>
      </c>
      <c r="J30" s="4">
        <v>1717.39</v>
      </c>
      <c r="K30" s="6">
        <v>199.74</v>
      </c>
      <c r="L30" s="32">
        <f t="shared" si="2"/>
        <v>0.11630439212991807</v>
      </c>
      <c r="M30" s="24">
        <v>45774</v>
      </c>
      <c r="N30" s="3">
        <v>4564</v>
      </c>
      <c r="O30" s="4">
        <v>579.03</v>
      </c>
      <c r="P30" s="32">
        <f t="shared" si="3"/>
        <v>0.1268689745836985</v>
      </c>
    </row>
    <row r="31" spans="1:16" x14ac:dyDescent="0.6">
      <c r="A31" s="24">
        <v>45775</v>
      </c>
      <c r="B31" s="4">
        <v>31936.18</v>
      </c>
      <c r="C31" s="3">
        <v>5203.78</v>
      </c>
      <c r="D31" s="32">
        <f t="shared" si="0"/>
        <v>0.16294309463436141</v>
      </c>
      <c r="E31" s="24">
        <v>45775</v>
      </c>
      <c r="F31" s="3">
        <v>3930</v>
      </c>
      <c r="G31" s="6">
        <v>953.61</v>
      </c>
      <c r="H31" s="32">
        <f t="shared" si="1"/>
        <v>0.24264885496183206</v>
      </c>
      <c r="I31" s="24">
        <v>45775</v>
      </c>
      <c r="J31" s="4">
        <v>2062.36</v>
      </c>
      <c r="K31" s="6">
        <v>206.62</v>
      </c>
      <c r="L31" s="32">
        <f t="shared" si="2"/>
        <v>0.10018619445683585</v>
      </c>
      <c r="M31" s="24">
        <v>45775</v>
      </c>
      <c r="N31" s="4">
        <v>5642</v>
      </c>
      <c r="O31" s="4">
        <v>572.76</v>
      </c>
      <c r="P31" s="32">
        <f t="shared" si="3"/>
        <v>0.10151719248493442</v>
      </c>
    </row>
    <row r="32" spans="1:16" x14ac:dyDescent="0.6">
      <c r="A32" s="24">
        <v>45776</v>
      </c>
      <c r="B32" s="4">
        <v>40374.6</v>
      </c>
      <c r="C32" s="3">
        <v>6674.25</v>
      </c>
      <c r="D32" s="32">
        <f t="shared" si="0"/>
        <v>0.16530813927568322</v>
      </c>
      <c r="E32" s="24">
        <v>45776</v>
      </c>
      <c r="F32" s="4">
        <v>8168</v>
      </c>
      <c r="G32" s="6">
        <v>865.93</v>
      </c>
      <c r="H32" s="32">
        <f t="shared" si="1"/>
        <v>0.10601493633692458</v>
      </c>
      <c r="I32" s="24">
        <v>45776</v>
      </c>
      <c r="J32" s="4">
        <v>3006.5199999999995</v>
      </c>
      <c r="K32" s="6">
        <v>199.01</v>
      </c>
      <c r="L32" s="32">
        <f t="shared" si="2"/>
        <v>6.6192807631414399E-2</v>
      </c>
      <c r="M32" s="24">
        <v>45776</v>
      </c>
      <c r="N32" s="4">
        <v>5552</v>
      </c>
      <c r="O32" s="4">
        <v>580.37</v>
      </c>
      <c r="P32" s="32">
        <f t="shared" si="3"/>
        <v>0.10453350144092219</v>
      </c>
    </row>
    <row r="33" spans="1:16 16384:16384" x14ac:dyDescent="0.6">
      <c r="A33" s="24">
        <v>45777</v>
      </c>
      <c r="B33" s="4">
        <v>43379.56</v>
      </c>
      <c r="C33" s="3">
        <v>6558.14</v>
      </c>
      <c r="D33" s="32">
        <f t="shared" si="0"/>
        <v>0.151180417689806</v>
      </c>
      <c r="E33" s="24">
        <v>45777</v>
      </c>
      <c r="F33" s="4">
        <v>5029</v>
      </c>
      <c r="G33" s="6">
        <v>824.38</v>
      </c>
      <c r="H33" s="32">
        <f t="shared" si="1"/>
        <v>0.16392523364485981</v>
      </c>
      <c r="I33" s="24">
        <v>45777</v>
      </c>
      <c r="J33" s="4">
        <v>4522.3100000000004</v>
      </c>
      <c r="K33" s="6">
        <v>1232.21</v>
      </c>
      <c r="L33" s="32">
        <f t="shared" si="2"/>
        <v>0.27247358097963209</v>
      </c>
      <c r="M33" s="24">
        <v>45777</v>
      </c>
      <c r="N33" s="4">
        <v>4207</v>
      </c>
      <c r="O33" s="4">
        <v>589.12</v>
      </c>
      <c r="P33" s="32">
        <f t="shared" si="3"/>
        <v>0.1400332778702163</v>
      </c>
    </row>
    <row r="34" spans="1:16 16384:16384" x14ac:dyDescent="0.6">
      <c r="A34" s="24">
        <v>45778</v>
      </c>
      <c r="B34" s="4">
        <v>0</v>
      </c>
      <c r="C34" s="4">
        <v>0</v>
      </c>
      <c r="D34" s="32">
        <v>0</v>
      </c>
      <c r="E34" s="24">
        <v>45778</v>
      </c>
      <c r="F34" s="6">
        <v>0</v>
      </c>
      <c r="G34" s="6">
        <v>0</v>
      </c>
      <c r="H34" s="32">
        <v>0</v>
      </c>
      <c r="I34" s="24">
        <v>45778</v>
      </c>
      <c r="J34" s="6">
        <v>0</v>
      </c>
      <c r="K34" s="6">
        <v>0</v>
      </c>
      <c r="L34" s="32">
        <v>0</v>
      </c>
      <c r="M34" s="24">
        <v>45778</v>
      </c>
      <c r="N34" s="4">
        <v>0</v>
      </c>
      <c r="O34" s="4">
        <v>0</v>
      </c>
      <c r="P34" s="32">
        <v>0</v>
      </c>
    </row>
    <row r="35" spans="1:16 16384:16384" s="17" customFormat="1" ht="27" thickBot="1" x14ac:dyDescent="0.75">
      <c r="A35" s="16" t="s">
        <v>11</v>
      </c>
      <c r="B35" s="39">
        <f>SUM(B4:B34)</f>
        <v>1075941.82</v>
      </c>
      <c r="C35" s="39">
        <f t="shared" ref="C35" si="4">SUM(C4:C34)</f>
        <v>190448.67999999993</v>
      </c>
      <c r="D35" s="15" t="s">
        <v>12</v>
      </c>
      <c r="E35" s="16" t="s">
        <v>11</v>
      </c>
      <c r="F35" s="39">
        <f>SUM(F4:F34)</f>
        <v>371081</v>
      </c>
      <c r="G35" s="39">
        <f t="shared" ref="G35" si="5">SUM(G4:G34)</f>
        <v>43938.239999999998</v>
      </c>
      <c r="H35" s="15" t="s">
        <v>12</v>
      </c>
      <c r="I35" s="16" t="s">
        <v>11</v>
      </c>
      <c r="J35" s="39">
        <f>SUM(J4:J34)</f>
        <v>93014.709999999992</v>
      </c>
      <c r="K35" s="39">
        <f t="shared" ref="K35" si="6">SUM(K4:K34)</f>
        <v>7149.9299999999985</v>
      </c>
      <c r="L35" s="15" t="s">
        <v>12</v>
      </c>
      <c r="M35" s="16" t="s">
        <v>11</v>
      </c>
      <c r="N35" s="39">
        <f>SUM(N4:N34)</f>
        <v>183873</v>
      </c>
      <c r="O35" s="39">
        <f t="shared" ref="O35" si="7">SUM(O4:O34)</f>
        <v>15057.760000000004</v>
      </c>
      <c r="P35" s="15" t="s">
        <v>12</v>
      </c>
      <c r="XFD35" s="17">
        <f>SUM(A35:XFC35)</f>
        <v>1980505.14</v>
      </c>
    </row>
    <row r="36" spans="1:16 16384:16384" ht="24" thickTop="1" x14ac:dyDescent="0.6">
      <c r="A36" s="6"/>
      <c r="B36" s="6"/>
      <c r="C36" s="6"/>
      <c r="D36" s="33"/>
      <c r="E36" s="6"/>
      <c r="F36" s="6"/>
      <c r="G36" s="6"/>
      <c r="H36" s="26"/>
      <c r="I36" s="6"/>
      <c r="J36" s="6"/>
      <c r="K36" s="6"/>
      <c r="L36" s="26"/>
      <c r="M36" s="6"/>
      <c r="N36" s="6"/>
      <c r="O36" s="6">
        <v>0</v>
      </c>
      <c r="P36" s="26"/>
    </row>
    <row r="37" spans="1:16 16384:16384" ht="23.4" customHeight="1" x14ac:dyDescent="0.6">
      <c r="A37" s="6"/>
      <c r="B37" s="116" t="s">
        <v>19</v>
      </c>
      <c r="C37" s="117"/>
      <c r="D37" s="117"/>
      <c r="E37" s="118"/>
      <c r="F37" s="7"/>
      <c r="G37" s="37"/>
      <c r="H37" s="6"/>
      <c r="I37" s="6"/>
      <c r="J37" s="6"/>
      <c r="K37" s="26"/>
      <c r="L37" s="6"/>
      <c r="M37" s="6"/>
      <c r="N37" s="6"/>
      <c r="O37" s="26"/>
      <c r="P37" s="1"/>
    </row>
    <row r="38" spans="1:16 16384:16384" x14ac:dyDescent="0.6">
      <c r="A38" s="8"/>
      <c r="B38" s="47" t="s">
        <v>9</v>
      </c>
      <c r="C38" s="47" t="s">
        <v>5</v>
      </c>
      <c r="D38" s="47" t="s">
        <v>6</v>
      </c>
      <c r="E38" s="47" t="s">
        <v>7</v>
      </c>
      <c r="F38" s="8"/>
      <c r="G38" s="26"/>
      <c r="H38" s="8"/>
      <c r="I38" s="8"/>
      <c r="J38" s="8"/>
      <c r="K38" s="26"/>
      <c r="L38" s="9"/>
      <c r="M38" s="6"/>
      <c r="N38" s="6"/>
      <c r="O38" s="26"/>
      <c r="P38" s="1"/>
    </row>
    <row r="39" spans="1:16 16384:16384" x14ac:dyDescent="0.6">
      <c r="A39" s="10"/>
      <c r="B39" s="40" t="s">
        <v>0</v>
      </c>
      <c r="C39" s="41">
        <f>+B35</f>
        <v>1075941.82</v>
      </c>
      <c r="D39" s="41">
        <f>+C35</f>
        <v>190448.67999999993</v>
      </c>
      <c r="E39" s="43">
        <f>+D39/C39</f>
        <v>0.17700648535066693</v>
      </c>
      <c r="F39" s="10"/>
      <c r="G39" s="28"/>
      <c r="H39" s="10"/>
      <c r="I39" s="10"/>
      <c r="J39" s="10"/>
      <c r="K39" s="26"/>
      <c r="L39" s="6"/>
      <c r="M39" s="6"/>
      <c r="N39" s="6"/>
      <c r="O39" s="26"/>
      <c r="P39" s="1"/>
    </row>
    <row r="40" spans="1:16 16384:16384" x14ac:dyDescent="0.6">
      <c r="A40" s="2"/>
      <c r="B40" s="40" t="s">
        <v>1</v>
      </c>
      <c r="C40" s="42">
        <f>+F35</f>
        <v>371081</v>
      </c>
      <c r="D40" s="42">
        <f>+G35</f>
        <v>43938.239999999998</v>
      </c>
      <c r="E40" s="43">
        <f t="shared" ref="E40:E41" si="8">+D40/C40</f>
        <v>0.11840606228828746</v>
      </c>
      <c r="F40" s="11"/>
      <c r="G40" s="29"/>
      <c r="H40" s="12"/>
      <c r="I40" s="11"/>
      <c r="J40" s="13"/>
      <c r="K40" s="26"/>
      <c r="L40" s="2"/>
      <c r="M40" s="3"/>
      <c r="N40" s="6"/>
      <c r="O40" s="26"/>
      <c r="P40" s="1"/>
    </row>
    <row r="41" spans="1:16 16384:16384" x14ac:dyDescent="0.6">
      <c r="A41" s="2"/>
      <c r="B41" s="40" t="s">
        <v>2</v>
      </c>
      <c r="C41" s="42">
        <f>+J35</f>
        <v>93014.709999999992</v>
      </c>
      <c r="D41" s="42">
        <f>+K35</f>
        <v>7149.9299999999985</v>
      </c>
      <c r="E41" s="43">
        <f t="shared" si="8"/>
        <v>7.6868809245333333E-2</v>
      </c>
      <c r="F41" s="11"/>
      <c r="G41" s="29"/>
      <c r="H41" s="12"/>
      <c r="I41" s="11"/>
      <c r="J41" s="13"/>
      <c r="K41" s="26"/>
      <c r="L41" s="2"/>
      <c r="M41" s="3"/>
      <c r="N41" s="6"/>
      <c r="O41" s="26"/>
      <c r="P41" s="1"/>
    </row>
    <row r="42" spans="1:16 16384:16384" x14ac:dyDescent="0.6">
      <c r="A42" s="2"/>
      <c r="B42" s="40" t="s">
        <v>3</v>
      </c>
      <c r="C42" s="42">
        <f>+N35</f>
        <v>183873</v>
      </c>
      <c r="D42" s="42">
        <f>+O35</f>
        <v>15057.760000000004</v>
      </c>
      <c r="E42" s="43">
        <f>+D42/C42</f>
        <v>8.1892175577708545E-2</v>
      </c>
      <c r="F42" s="11"/>
      <c r="G42" s="29"/>
      <c r="H42" s="12"/>
      <c r="I42" s="11"/>
      <c r="J42" s="13"/>
      <c r="K42" s="26"/>
      <c r="L42" s="2"/>
      <c r="M42" s="3"/>
      <c r="N42" s="6"/>
      <c r="O42" s="26"/>
      <c r="P42" s="1"/>
    </row>
    <row r="43" spans="1:16 16384:16384" x14ac:dyDescent="0.6">
      <c r="A43" s="2"/>
      <c r="B43" s="44" t="s">
        <v>10</v>
      </c>
      <c r="C43" s="45">
        <f>SUM(C39:C42)</f>
        <v>1723910.53</v>
      </c>
      <c r="D43" s="45">
        <f>SUM(D39:D42)</f>
        <v>256594.60999999993</v>
      </c>
      <c r="E43" s="46">
        <f>+D43/C43</f>
        <v>0.1488445052887982</v>
      </c>
      <c r="F43" s="11"/>
      <c r="G43" s="29"/>
      <c r="H43" s="12"/>
      <c r="I43" s="11"/>
      <c r="J43" s="13"/>
      <c r="K43" s="26"/>
      <c r="L43" s="2"/>
      <c r="M43" s="3"/>
      <c r="N43" s="6"/>
      <c r="O43" s="26"/>
      <c r="P43" s="1"/>
    </row>
    <row r="44" spans="1:16 16384:16384" x14ac:dyDescent="0.6">
      <c r="A44" s="2"/>
      <c r="B44" s="6"/>
      <c r="C44" s="6"/>
      <c r="D44" s="34"/>
      <c r="E44" s="6"/>
      <c r="F44" s="6"/>
      <c r="G44" s="8"/>
      <c r="H44" s="29"/>
      <c r="I44" s="14"/>
      <c r="J44" s="10"/>
      <c r="K44" s="10"/>
      <c r="L44" s="26"/>
      <c r="M44" s="2"/>
      <c r="N44" s="3"/>
      <c r="O44" s="6"/>
      <c r="P44" s="26"/>
    </row>
    <row r="45" spans="1:16 16384:16384" x14ac:dyDescent="0.6">
      <c r="A45" s="2"/>
      <c r="B45" s="6"/>
      <c r="C45" s="6"/>
      <c r="D45" s="32"/>
      <c r="E45" s="6"/>
      <c r="F45" s="6"/>
      <c r="G45" s="6"/>
      <c r="H45" s="26"/>
      <c r="I45" s="6"/>
      <c r="J45" s="6"/>
      <c r="K45" s="6"/>
      <c r="L45" s="26"/>
      <c r="M45" s="2"/>
      <c r="N45" s="3"/>
      <c r="O45" s="6"/>
      <c r="P45" s="26"/>
    </row>
    <row r="46" spans="1:16 16384:16384" x14ac:dyDescent="0.6">
      <c r="A46" s="2"/>
      <c r="B46" s="6"/>
      <c r="C46" s="6"/>
      <c r="D46" s="32"/>
      <c r="E46" s="6"/>
      <c r="F46" s="6"/>
      <c r="G46" s="6"/>
      <c r="H46" s="26"/>
      <c r="I46" s="6"/>
      <c r="J46" s="6"/>
      <c r="K46" s="6"/>
      <c r="L46" s="26"/>
      <c r="M46" s="2"/>
      <c r="N46" s="3"/>
      <c r="O46" s="6"/>
      <c r="P46" s="26"/>
    </row>
    <row r="47" spans="1:16 16384:16384" x14ac:dyDescent="0.6">
      <c r="A47" s="2"/>
      <c r="B47" s="6"/>
      <c r="C47" s="6"/>
      <c r="D47" s="32"/>
      <c r="E47" s="6"/>
      <c r="F47" s="6"/>
      <c r="G47" s="6"/>
      <c r="H47" s="26"/>
      <c r="I47" s="6"/>
      <c r="J47" s="6"/>
      <c r="K47" s="6"/>
      <c r="L47" s="26"/>
      <c r="M47" s="2"/>
      <c r="N47" s="3"/>
      <c r="O47" s="6"/>
      <c r="P47" s="26"/>
    </row>
    <row r="48" spans="1:16 16384:16384" x14ac:dyDescent="0.6">
      <c r="A48" s="2"/>
      <c r="B48" s="6"/>
      <c r="C48" s="6"/>
      <c r="D48" s="32"/>
      <c r="E48" s="6"/>
      <c r="F48" s="6"/>
      <c r="G48" s="6"/>
      <c r="H48" s="26"/>
      <c r="I48" s="6"/>
      <c r="J48" s="6"/>
      <c r="K48" s="6"/>
      <c r="L48" s="26"/>
      <c r="M48" s="2"/>
      <c r="N48" s="3"/>
      <c r="O48" s="6"/>
      <c r="P48" s="26"/>
    </row>
    <row r="49" spans="1:16" x14ac:dyDescent="0.6">
      <c r="A49" s="2"/>
      <c r="B49" s="6"/>
      <c r="C49" s="6"/>
      <c r="D49" s="32"/>
      <c r="E49" s="6"/>
      <c r="F49" s="6"/>
      <c r="G49" s="6"/>
      <c r="H49" s="26"/>
      <c r="I49" s="6"/>
      <c r="J49" s="6"/>
      <c r="K49" s="6"/>
      <c r="L49" s="26"/>
      <c r="M49" s="2"/>
      <c r="N49" s="3"/>
      <c r="O49" s="6"/>
      <c r="P49" s="26"/>
    </row>
    <row r="50" spans="1:16" x14ac:dyDescent="0.6">
      <c r="A50" s="2"/>
      <c r="B50" s="6"/>
      <c r="C50" s="6"/>
      <c r="D50" s="32"/>
      <c r="E50" s="6"/>
      <c r="F50" s="6"/>
      <c r="G50" s="6"/>
      <c r="H50" s="26"/>
      <c r="I50" s="6"/>
      <c r="J50" s="6"/>
      <c r="K50" s="6"/>
      <c r="L50" s="26"/>
      <c r="M50" s="2"/>
      <c r="N50" s="3"/>
      <c r="O50" s="6"/>
      <c r="P50" s="26"/>
    </row>
    <row r="51" spans="1:16" x14ac:dyDescent="0.6">
      <c r="A51" s="2"/>
      <c r="B51" s="6"/>
      <c r="C51" s="6"/>
      <c r="D51" s="32"/>
      <c r="E51" s="6"/>
      <c r="F51" s="6"/>
      <c r="G51" s="6"/>
      <c r="H51" s="26"/>
      <c r="I51" s="6"/>
      <c r="J51" s="6"/>
      <c r="K51" s="6"/>
      <c r="L51" s="26"/>
      <c r="M51" s="2"/>
      <c r="N51" s="3"/>
      <c r="O51" s="6"/>
      <c r="P51" s="26"/>
    </row>
    <row r="52" spans="1:16" x14ac:dyDescent="0.6">
      <c r="A52" s="2"/>
      <c r="B52" s="6"/>
      <c r="C52" s="6"/>
      <c r="D52" s="32"/>
      <c r="E52" s="6"/>
      <c r="F52" s="6"/>
      <c r="G52" s="6"/>
      <c r="H52" s="26"/>
      <c r="I52" s="6"/>
      <c r="J52" s="6"/>
      <c r="K52" s="6"/>
      <c r="L52" s="26"/>
      <c r="M52" s="2"/>
      <c r="N52" s="3"/>
      <c r="O52" s="6"/>
      <c r="P52" s="26"/>
    </row>
    <row r="53" spans="1:16" x14ac:dyDescent="0.6">
      <c r="A53" s="2"/>
      <c r="B53" s="6"/>
      <c r="C53" s="6"/>
      <c r="D53" s="32"/>
      <c r="E53" s="6"/>
      <c r="F53" s="6"/>
      <c r="G53" s="6"/>
      <c r="H53" s="26"/>
      <c r="I53" s="6"/>
      <c r="J53" s="6"/>
      <c r="K53" s="6"/>
      <c r="L53" s="26"/>
      <c r="M53" s="2"/>
      <c r="N53" s="3"/>
      <c r="O53" s="6"/>
      <c r="P53" s="26"/>
    </row>
    <row r="54" spans="1:16" x14ac:dyDescent="0.6">
      <c r="A54" s="2"/>
      <c r="B54" s="6"/>
      <c r="C54" s="6"/>
      <c r="D54" s="32"/>
      <c r="E54" s="6"/>
      <c r="F54" s="6"/>
      <c r="G54" s="6"/>
      <c r="H54" s="26"/>
      <c r="I54" s="6"/>
      <c r="J54" s="6"/>
      <c r="K54" s="6"/>
      <c r="L54" s="26"/>
      <c r="M54" s="2"/>
      <c r="N54" s="3"/>
      <c r="O54" s="6"/>
      <c r="P54" s="26"/>
    </row>
    <row r="55" spans="1:16" x14ac:dyDescent="0.6">
      <c r="A55" s="2"/>
      <c r="B55" s="6"/>
      <c r="C55" s="6"/>
      <c r="D55" s="32"/>
      <c r="E55" s="6"/>
      <c r="F55" s="6"/>
      <c r="G55" s="6"/>
      <c r="H55" s="26"/>
      <c r="I55" s="6"/>
      <c r="J55" s="6"/>
      <c r="K55" s="6"/>
      <c r="L55" s="26"/>
      <c r="M55" s="2"/>
      <c r="N55" s="3"/>
      <c r="O55" s="6"/>
      <c r="P55" s="26"/>
    </row>
    <row r="56" spans="1:16" x14ac:dyDescent="0.6">
      <c r="A56" s="2"/>
      <c r="B56" s="6"/>
      <c r="C56" s="6"/>
      <c r="D56" s="32"/>
      <c r="E56" s="6"/>
      <c r="F56" s="6"/>
      <c r="G56" s="6"/>
      <c r="H56" s="26"/>
      <c r="I56" s="6"/>
      <c r="J56" s="6"/>
      <c r="K56" s="6"/>
      <c r="L56" s="26"/>
      <c r="M56" s="2"/>
      <c r="N56" s="3"/>
      <c r="O56" s="6"/>
      <c r="P56" s="26"/>
    </row>
    <row r="57" spans="1:16" x14ac:dyDescent="0.6">
      <c r="A57" s="2"/>
      <c r="B57" s="6"/>
      <c r="C57" s="6"/>
      <c r="D57" s="32"/>
      <c r="E57" s="6"/>
      <c r="F57" s="6"/>
      <c r="G57" s="6"/>
      <c r="H57" s="26"/>
      <c r="I57" s="6"/>
      <c r="J57" s="6"/>
      <c r="K57" s="6"/>
      <c r="L57" s="26"/>
      <c r="M57" s="2"/>
      <c r="N57" s="3"/>
      <c r="O57" s="6"/>
      <c r="P57" s="26"/>
    </row>
    <row r="58" spans="1:16" x14ac:dyDescent="0.6">
      <c r="A58" s="2"/>
      <c r="B58" s="6"/>
      <c r="C58" s="6"/>
      <c r="D58" s="32"/>
      <c r="E58" s="6"/>
      <c r="F58" s="6"/>
      <c r="G58" s="6"/>
      <c r="H58" s="26"/>
      <c r="I58" s="6"/>
      <c r="J58" s="6"/>
      <c r="K58" s="6"/>
      <c r="L58" s="26"/>
      <c r="M58" s="2"/>
      <c r="N58" s="3"/>
      <c r="O58" s="6"/>
      <c r="P58" s="26"/>
    </row>
    <row r="59" spans="1:16" x14ac:dyDescent="0.6">
      <c r="A59" s="2"/>
      <c r="B59" s="6"/>
      <c r="C59" s="6"/>
      <c r="D59" s="32"/>
      <c r="E59" s="6"/>
      <c r="F59" s="6"/>
      <c r="G59" s="6"/>
      <c r="H59" s="26"/>
      <c r="I59" s="6"/>
      <c r="J59" s="6"/>
      <c r="K59" s="6"/>
      <c r="L59" s="26"/>
      <c r="M59" s="2"/>
      <c r="N59" s="3"/>
      <c r="O59" s="6"/>
      <c r="P59" s="26"/>
    </row>
    <row r="60" spans="1:16" x14ac:dyDescent="0.6">
      <c r="A60" s="2"/>
      <c r="B60" s="6"/>
      <c r="C60" s="6"/>
      <c r="D60" s="32"/>
      <c r="E60" s="6"/>
      <c r="F60" s="6"/>
      <c r="G60" s="6"/>
      <c r="H60" s="26"/>
      <c r="I60" s="6"/>
      <c r="J60" s="6"/>
      <c r="K60" s="6"/>
      <c r="L60" s="26"/>
      <c r="M60" s="2"/>
      <c r="N60" s="3"/>
      <c r="O60" s="6"/>
      <c r="P60" s="26"/>
    </row>
    <row r="61" spans="1:16" x14ac:dyDescent="0.6">
      <c r="A61" s="2"/>
      <c r="B61" s="6"/>
      <c r="C61" s="6"/>
      <c r="D61" s="32"/>
      <c r="E61" s="6"/>
      <c r="F61" s="6"/>
      <c r="G61" s="6"/>
      <c r="H61" s="26"/>
      <c r="I61" s="6"/>
      <c r="J61" s="6"/>
      <c r="K61" s="6"/>
      <c r="L61" s="26"/>
      <c r="M61" s="2"/>
      <c r="N61" s="3"/>
      <c r="O61" s="6"/>
      <c r="P61" s="26"/>
    </row>
    <row r="62" spans="1:16" x14ac:dyDescent="0.6">
      <c r="A62" s="2"/>
      <c r="B62" s="6"/>
      <c r="C62" s="6"/>
      <c r="D62" s="32"/>
      <c r="E62" s="6"/>
      <c r="F62" s="6"/>
      <c r="G62" s="6"/>
      <c r="H62" s="26"/>
      <c r="I62" s="6"/>
      <c r="J62" s="6"/>
      <c r="K62" s="6"/>
      <c r="L62" s="26"/>
      <c r="M62" s="2"/>
      <c r="N62" s="3"/>
      <c r="O62" s="6"/>
      <c r="P62" s="26"/>
    </row>
    <row r="63" spans="1:16" x14ac:dyDescent="0.6">
      <c r="A63" s="2"/>
      <c r="B63" s="6"/>
      <c r="C63" s="6"/>
      <c r="D63" s="32"/>
      <c r="E63" s="6"/>
      <c r="F63" s="6"/>
      <c r="G63" s="6"/>
      <c r="H63" s="26"/>
      <c r="I63" s="6"/>
      <c r="J63" s="6"/>
      <c r="K63" s="6"/>
      <c r="L63" s="26"/>
      <c r="M63" s="2"/>
      <c r="N63" s="3"/>
      <c r="O63" s="6"/>
      <c r="P63" s="26"/>
    </row>
    <row r="64" spans="1:16" x14ac:dyDescent="0.6">
      <c r="A64" s="2"/>
      <c r="B64" s="6"/>
      <c r="C64" s="6"/>
      <c r="D64" s="32"/>
      <c r="E64" s="6"/>
      <c r="F64" s="6"/>
      <c r="G64" s="6"/>
      <c r="H64" s="26"/>
      <c r="I64" s="6"/>
      <c r="J64" s="6"/>
      <c r="K64" s="6"/>
      <c r="L64" s="26"/>
      <c r="M64" s="2"/>
      <c r="N64" s="3"/>
      <c r="O64" s="6"/>
      <c r="P64" s="26"/>
    </row>
    <row r="65" spans="1:16" x14ac:dyDescent="0.6">
      <c r="A65" s="2"/>
      <c r="B65" s="6"/>
      <c r="C65" s="6"/>
      <c r="D65" s="32"/>
      <c r="E65" s="6"/>
      <c r="F65" s="6"/>
      <c r="G65" s="6"/>
      <c r="H65" s="26"/>
      <c r="I65" s="6"/>
      <c r="J65" s="6"/>
      <c r="K65" s="6"/>
      <c r="L65" s="26"/>
      <c r="M65" s="2"/>
      <c r="N65" s="3"/>
      <c r="O65" s="6"/>
      <c r="P65" s="26"/>
    </row>
    <row r="66" spans="1:16" x14ac:dyDescent="0.6">
      <c r="A66" s="2"/>
      <c r="B66" s="6"/>
      <c r="C66" s="6"/>
      <c r="D66" s="32"/>
      <c r="E66" s="6"/>
      <c r="F66" s="6"/>
      <c r="G66" s="6"/>
      <c r="H66" s="26"/>
      <c r="I66" s="6"/>
      <c r="J66" s="6"/>
      <c r="K66" s="6"/>
      <c r="L66" s="26"/>
      <c r="M66" s="2"/>
      <c r="N66" s="3"/>
      <c r="O66" s="6"/>
      <c r="P66" s="26"/>
    </row>
    <row r="67" spans="1:16" x14ac:dyDescent="0.6">
      <c r="A67" s="2"/>
      <c r="B67" s="6"/>
      <c r="C67" s="6"/>
      <c r="D67" s="32"/>
      <c r="E67" s="6"/>
      <c r="F67" s="6"/>
      <c r="G67" s="6"/>
      <c r="H67" s="26"/>
      <c r="I67" s="6"/>
      <c r="J67" s="6"/>
      <c r="K67" s="6"/>
      <c r="L67" s="26"/>
      <c r="M67" s="2"/>
      <c r="N67" s="3"/>
      <c r="O67" s="6"/>
      <c r="P67" s="26"/>
    </row>
    <row r="68" spans="1:16" x14ac:dyDescent="0.6">
      <c r="A68" s="2"/>
      <c r="B68" s="6"/>
      <c r="C68" s="6"/>
      <c r="D68" s="32"/>
      <c r="E68" s="6"/>
      <c r="F68" s="6"/>
      <c r="G68" s="6"/>
      <c r="H68" s="26"/>
      <c r="I68" s="6"/>
      <c r="J68" s="6"/>
      <c r="K68" s="6"/>
      <c r="L68" s="26"/>
      <c r="M68" s="2"/>
      <c r="N68" s="4"/>
      <c r="O68" s="6"/>
      <c r="P68" s="26"/>
    </row>
    <row r="69" spans="1:16" x14ac:dyDescent="0.6">
      <c r="A69" s="2"/>
      <c r="B69" s="6"/>
      <c r="C69" s="6"/>
      <c r="D69" s="32"/>
      <c r="E69" s="6"/>
      <c r="F69" s="6"/>
      <c r="G69" s="6"/>
      <c r="H69" s="26"/>
      <c r="I69" s="6"/>
      <c r="J69" s="6"/>
      <c r="K69" s="6"/>
      <c r="L69" s="26"/>
      <c r="M69" s="2"/>
      <c r="N69" s="4"/>
      <c r="O69" s="6"/>
      <c r="P69" s="26"/>
    </row>
    <row r="70" spans="1:16" x14ac:dyDescent="0.6">
      <c r="A70" s="2"/>
      <c r="B70" s="6"/>
      <c r="C70" s="6"/>
      <c r="D70" s="33"/>
      <c r="E70" s="6"/>
      <c r="F70" s="6"/>
      <c r="G70" s="6"/>
      <c r="H70" s="26"/>
      <c r="I70" s="6"/>
      <c r="J70" s="6"/>
      <c r="K70" s="6"/>
      <c r="L70" s="26"/>
      <c r="M70" s="2"/>
      <c r="N70" s="4"/>
      <c r="O70" s="6"/>
      <c r="P70" s="26"/>
    </row>
  </sheetData>
  <mergeCells count="5">
    <mergeCell ref="A2:D2"/>
    <mergeCell ref="E2:H2"/>
    <mergeCell ref="I2:L2"/>
    <mergeCell ref="M2:P2"/>
    <mergeCell ref="B37:E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E7CE3-9292-4F04-94EE-9521717EB19D}">
  <sheetPr>
    <tabColor rgb="FF00B0F0"/>
  </sheetPr>
  <dimension ref="A1:XFD70"/>
  <sheetViews>
    <sheetView zoomScale="115" zoomScaleNormal="115" workbookViewId="0">
      <pane xSplit="4" ySplit="3" topLeftCell="E37" activePane="bottomRight" state="frozen"/>
      <selection activeCell="F33" sqref="F33"/>
      <selection pane="topRight" activeCell="F33" sqref="F33"/>
      <selection pane="bottomLeft" activeCell="F33" sqref="F33"/>
      <selection pane="bottomRight" activeCell="S8" sqref="B6:S8"/>
    </sheetView>
  </sheetViews>
  <sheetFormatPr defaultRowHeight="23.4" x14ac:dyDescent="0.6"/>
  <cols>
    <col min="1" max="1" width="9.09765625" style="1" bestFit="1" customWidth="1"/>
    <col min="2" max="2" width="11.69921875" style="1" bestFit="1" customWidth="1"/>
    <col min="3" max="3" width="12.59765625" style="1" bestFit="1" customWidth="1"/>
    <col min="4" max="4" width="10.8984375" style="35" bestFit="1" customWidth="1"/>
    <col min="5" max="5" width="9.3984375" style="1" bestFit="1" customWidth="1"/>
    <col min="6" max="6" width="10.19921875" style="1" bestFit="1" customWidth="1"/>
    <col min="7" max="7" width="9.09765625" style="1" bestFit="1" customWidth="1"/>
    <col min="8" max="8" width="8.3984375" style="38" customWidth="1"/>
    <col min="9" max="9" width="9.09765625" style="1" bestFit="1" customWidth="1"/>
    <col min="10" max="10" width="10.19921875" style="1" bestFit="1" customWidth="1"/>
    <col min="11" max="11" width="9.09765625" style="1" bestFit="1" customWidth="1"/>
    <col min="12" max="12" width="7.8984375" style="38" bestFit="1" customWidth="1"/>
    <col min="13" max="13" width="9.09765625" style="1" bestFit="1" customWidth="1"/>
    <col min="14" max="14" width="10.19921875" style="1" bestFit="1" customWidth="1"/>
    <col min="15" max="15" width="9.09765625" style="1" bestFit="1" customWidth="1"/>
    <col min="16" max="16" width="8.3984375" style="38" customWidth="1"/>
    <col min="17" max="16383" width="8.69921875" style="1"/>
    <col min="16384" max="16384" width="9" style="1" bestFit="1" customWidth="1"/>
  </cols>
  <sheetData>
    <row r="1" spans="1:16" ht="28.8" x14ac:dyDescent="0.75">
      <c r="A1" s="48" t="s">
        <v>20</v>
      </c>
    </row>
    <row r="2" spans="1:16" s="18" customFormat="1" x14ac:dyDescent="0.6">
      <c r="A2" s="111" t="s">
        <v>0</v>
      </c>
      <c r="B2" s="111"/>
      <c r="C2" s="111"/>
      <c r="D2" s="111"/>
      <c r="E2" s="112" t="s">
        <v>1</v>
      </c>
      <c r="F2" s="112"/>
      <c r="G2" s="112"/>
      <c r="H2" s="112"/>
      <c r="I2" s="113" t="s">
        <v>2</v>
      </c>
      <c r="J2" s="113"/>
      <c r="K2" s="113"/>
      <c r="L2" s="113"/>
      <c r="M2" s="114" t="s">
        <v>3</v>
      </c>
      <c r="N2" s="114"/>
      <c r="O2" s="114"/>
      <c r="P2" s="114"/>
    </row>
    <row r="3" spans="1:16" s="22" customFormat="1" x14ac:dyDescent="0.25">
      <c r="A3" s="23" t="s">
        <v>4</v>
      </c>
      <c r="B3" s="23" t="s">
        <v>5</v>
      </c>
      <c r="C3" s="23" t="s">
        <v>6</v>
      </c>
      <c r="D3" s="25" t="s">
        <v>7</v>
      </c>
      <c r="E3" s="19" t="s">
        <v>4</v>
      </c>
      <c r="F3" s="19" t="s">
        <v>5</v>
      </c>
      <c r="G3" s="19" t="s">
        <v>6</v>
      </c>
      <c r="H3" s="27" t="s">
        <v>7</v>
      </c>
      <c r="I3" s="20" t="s">
        <v>4</v>
      </c>
      <c r="J3" s="20" t="s">
        <v>5</v>
      </c>
      <c r="K3" s="20" t="s">
        <v>6</v>
      </c>
      <c r="L3" s="30" t="s">
        <v>7</v>
      </c>
      <c r="M3" s="21" t="s">
        <v>4</v>
      </c>
      <c r="N3" s="21" t="s">
        <v>5</v>
      </c>
      <c r="O3" s="21" t="s">
        <v>6</v>
      </c>
      <c r="P3" s="31" t="s">
        <v>7</v>
      </c>
    </row>
    <row r="4" spans="1:16" x14ac:dyDescent="0.6">
      <c r="A4" s="24">
        <v>45778</v>
      </c>
      <c r="B4" s="3">
        <v>43278.42</v>
      </c>
      <c r="C4" s="3">
        <v>6275.02</v>
      </c>
      <c r="D4" s="32">
        <f>+C4/B4</f>
        <v>0.14499189203302709</v>
      </c>
      <c r="E4" s="24">
        <v>45778</v>
      </c>
      <c r="F4" s="3">
        <v>33307</v>
      </c>
      <c r="G4" s="3">
        <v>867.63</v>
      </c>
      <c r="H4" s="32">
        <f>+G4/F4</f>
        <v>2.6049479088479897E-2</v>
      </c>
      <c r="I4" s="24">
        <v>45778</v>
      </c>
      <c r="J4" s="3">
        <v>3532.58</v>
      </c>
      <c r="K4" s="3">
        <v>201.42</v>
      </c>
      <c r="L4" s="32">
        <f>+K4/J4</f>
        <v>5.7017817006267374E-2</v>
      </c>
      <c r="M4" s="24">
        <v>45778</v>
      </c>
      <c r="N4" s="3">
        <v>3886</v>
      </c>
      <c r="O4" s="4">
        <v>552.52</v>
      </c>
      <c r="P4" s="32">
        <f>+O4/N4</f>
        <v>0.14218219248584663</v>
      </c>
    </row>
    <row r="5" spans="1:16" x14ac:dyDescent="0.6">
      <c r="A5" s="24">
        <v>45779</v>
      </c>
      <c r="B5" s="3">
        <v>61457.83</v>
      </c>
      <c r="C5" s="3">
        <v>2620.59</v>
      </c>
      <c r="D5" s="32">
        <f t="shared" ref="D5:D34" si="0">+C5/B5</f>
        <v>4.264045769269758E-2</v>
      </c>
      <c r="E5" s="24">
        <v>45779</v>
      </c>
      <c r="F5" s="3">
        <v>13145</v>
      </c>
      <c r="G5" s="3">
        <v>811.38</v>
      </c>
      <c r="H5" s="32">
        <f t="shared" ref="H5:H34" si="1">+G5/F5</f>
        <v>6.1725370863446177E-2</v>
      </c>
      <c r="I5" s="24">
        <v>45779</v>
      </c>
      <c r="J5" s="5">
        <v>3895.0499999999997</v>
      </c>
      <c r="K5" s="3">
        <v>197.96</v>
      </c>
      <c r="L5" s="32">
        <f t="shared" ref="L5:L34" si="2">+K5/J5</f>
        <v>5.0823481084966822E-2</v>
      </c>
      <c r="M5" s="24">
        <v>45779</v>
      </c>
      <c r="N5" s="3">
        <v>3513</v>
      </c>
      <c r="O5" s="4">
        <v>545.46</v>
      </c>
      <c r="P5" s="32">
        <f t="shared" ref="P5:P34" si="3">+O5/N5</f>
        <v>0.15526900085397097</v>
      </c>
    </row>
    <row r="6" spans="1:16" x14ac:dyDescent="0.6">
      <c r="A6" s="24">
        <v>45780</v>
      </c>
      <c r="B6" s="3">
        <v>41129.35</v>
      </c>
      <c r="C6" s="3">
        <v>5387.55</v>
      </c>
      <c r="D6" s="32">
        <f t="shared" si="0"/>
        <v>0.13099039979965646</v>
      </c>
      <c r="E6" s="24">
        <v>45780</v>
      </c>
      <c r="F6" s="3">
        <v>24980</v>
      </c>
      <c r="G6" s="3">
        <v>1004.35</v>
      </c>
      <c r="H6" s="32">
        <f t="shared" si="1"/>
        <v>4.0206164931945558E-2</v>
      </c>
      <c r="I6" s="24">
        <v>45780</v>
      </c>
      <c r="J6" s="5">
        <v>4712.79</v>
      </c>
      <c r="K6" s="3">
        <v>196.07</v>
      </c>
      <c r="L6" s="32">
        <f t="shared" si="2"/>
        <v>4.160380581354145E-2</v>
      </c>
      <c r="M6" s="24">
        <v>45780</v>
      </c>
      <c r="N6" s="3">
        <v>3991</v>
      </c>
      <c r="O6" s="4">
        <v>597.85</v>
      </c>
      <c r="P6" s="32">
        <f t="shared" si="3"/>
        <v>0.14979954898521675</v>
      </c>
    </row>
    <row r="7" spans="1:16" x14ac:dyDescent="0.6">
      <c r="A7" s="24">
        <v>45781</v>
      </c>
      <c r="B7" s="3">
        <v>22422.05</v>
      </c>
      <c r="C7" s="3">
        <v>6117.47</v>
      </c>
      <c r="D7" s="32">
        <f t="shared" si="0"/>
        <v>0.27283276952820995</v>
      </c>
      <c r="E7" s="24">
        <v>45781</v>
      </c>
      <c r="F7" s="3">
        <v>7454</v>
      </c>
      <c r="G7" s="3">
        <v>996.94</v>
      </c>
      <c r="H7" s="32">
        <f t="shared" si="1"/>
        <v>0.13374563992487257</v>
      </c>
      <c r="I7" s="24">
        <v>45781</v>
      </c>
      <c r="J7" s="5">
        <v>1843.8899999999999</v>
      </c>
      <c r="K7" s="3">
        <v>208.17</v>
      </c>
      <c r="L7" s="32">
        <f t="shared" si="2"/>
        <v>0.11289719017945755</v>
      </c>
      <c r="M7" s="24">
        <v>45781</v>
      </c>
      <c r="N7" s="3">
        <v>5927</v>
      </c>
      <c r="O7" s="4">
        <v>710.41</v>
      </c>
      <c r="P7" s="32">
        <f t="shared" si="3"/>
        <v>0.11985996288172768</v>
      </c>
    </row>
    <row r="8" spans="1:16" x14ac:dyDescent="0.6">
      <c r="A8" s="24">
        <v>45782</v>
      </c>
      <c r="B8" s="3">
        <v>11889.41</v>
      </c>
      <c r="C8" s="3">
        <v>5659.4</v>
      </c>
      <c r="D8" s="32">
        <f t="shared" si="0"/>
        <v>0.47600343498962522</v>
      </c>
      <c r="E8" s="24">
        <v>45782</v>
      </c>
      <c r="F8" s="3">
        <v>7332</v>
      </c>
      <c r="G8" s="3">
        <v>1066.5</v>
      </c>
      <c r="H8" s="32">
        <f t="shared" si="1"/>
        <v>0.14545826513911619</v>
      </c>
      <c r="I8" s="24">
        <v>45782</v>
      </c>
      <c r="J8" s="5">
        <v>1409.57</v>
      </c>
      <c r="K8" s="3">
        <v>198.07</v>
      </c>
      <c r="L8" s="32">
        <f t="shared" si="2"/>
        <v>0.14051803032130367</v>
      </c>
      <c r="M8" s="24">
        <v>45782</v>
      </c>
      <c r="N8" s="3">
        <v>3257</v>
      </c>
      <c r="O8" s="4">
        <v>840</v>
      </c>
      <c r="P8" s="32">
        <f t="shared" si="3"/>
        <v>0.2579060485108996</v>
      </c>
    </row>
    <row r="9" spans="1:16" x14ac:dyDescent="0.6">
      <c r="A9" s="24">
        <v>45783</v>
      </c>
      <c r="B9" s="3">
        <v>22151.61</v>
      </c>
      <c r="C9" s="3">
        <v>6686.99</v>
      </c>
      <c r="D9" s="32">
        <f t="shared" si="0"/>
        <v>0.301873768994669</v>
      </c>
      <c r="E9" s="24">
        <v>45783</v>
      </c>
      <c r="F9" s="3">
        <v>19720</v>
      </c>
      <c r="G9" s="3">
        <v>911.56</v>
      </c>
      <c r="H9" s="32">
        <f t="shared" si="1"/>
        <v>4.622515212981744E-2</v>
      </c>
      <c r="I9" s="24">
        <v>45783</v>
      </c>
      <c r="J9" s="3">
        <v>1787.6200000000001</v>
      </c>
      <c r="K9" s="3">
        <v>202.22</v>
      </c>
      <c r="L9" s="32">
        <f t="shared" si="2"/>
        <v>0.11312247569393942</v>
      </c>
      <c r="M9" s="24">
        <v>45783</v>
      </c>
      <c r="N9" s="3">
        <v>5484</v>
      </c>
      <c r="O9" s="4">
        <v>537.96</v>
      </c>
      <c r="P9" s="32">
        <f t="shared" si="3"/>
        <v>9.8096280087527354E-2</v>
      </c>
    </row>
    <row r="10" spans="1:16" x14ac:dyDescent="0.6">
      <c r="A10" s="24">
        <v>45784</v>
      </c>
      <c r="B10" s="3">
        <v>31570.59</v>
      </c>
      <c r="C10" s="3">
        <v>6980.15</v>
      </c>
      <c r="D10" s="32">
        <f t="shared" si="0"/>
        <v>0.22109659654760966</v>
      </c>
      <c r="E10" s="24">
        <v>45784</v>
      </c>
      <c r="F10" s="3">
        <v>27922</v>
      </c>
      <c r="G10" s="3">
        <v>854.65</v>
      </c>
      <c r="H10" s="32">
        <f t="shared" si="1"/>
        <v>3.0608480767853306E-2</v>
      </c>
      <c r="I10" s="24">
        <v>45784</v>
      </c>
      <c r="J10" s="3">
        <v>2677.99</v>
      </c>
      <c r="K10" s="4">
        <v>186.39</v>
      </c>
      <c r="L10" s="32">
        <f t="shared" si="2"/>
        <v>6.9600707993681829E-2</v>
      </c>
      <c r="M10" s="24">
        <v>45784</v>
      </c>
      <c r="N10" s="3">
        <v>5878</v>
      </c>
      <c r="O10" s="4">
        <v>467.06</v>
      </c>
      <c r="P10" s="32">
        <f t="shared" si="3"/>
        <v>7.9458999659748217E-2</v>
      </c>
    </row>
    <row r="11" spans="1:16" x14ac:dyDescent="0.6">
      <c r="A11" s="24">
        <v>45785</v>
      </c>
      <c r="B11" s="3">
        <v>26460.99</v>
      </c>
      <c r="C11" s="3">
        <v>2752.16</v>
      </c>
      <c r="D11" s="32">
        <f t="shared" si="0"/>
        <v>0.10400820226302945</v>
      </c>
      <c r="E11" s="24">
        <v>45785</v>
      </c>
      <c r="F11" s="3">
        <v>29662</v>
      </c>
      <c r="G11" s="4">
        <v>944.64</v>
      </c>
      <c r="H11" s="32">
        <f t="shared" si="1"/>
        <v>3.1846807362955969E-2</v>
      </c>
      <c r="I11" s="24">
        <v>45785</v>
      </c>
      <c r="J11" s="3">
        <v>1588.82</v>
      </c>
      <c r="K11" s="4">
        <v>200.67</v>
      </c>
      <c r="L11" s="32">
        <f t="shared" si="2"/>
        <v>0.1263012801953651</v>
      </c>
      <c r="M11" s="24">
        <v>45785</v>
      </c>
      <c r="N11" s="3">
        <v>4293</v>
      </c>
      <c r="O11" s="4">
        <v>441.03</v>
      </c>
      <c r="P11" s="32">
        <f t="shared" si="3"/>
        <v>0.10273235499650593</v>
      </c>
    </row>
    <row r="12" spans="1:16" x14ac:dyDescent="0.6">
      <c r="A12" s="24">
        <v>45786</v>
      </c>
      <c r="B12" s="3">
        <v>34821.909999999996</v>
      </c>
      <c r="C12" s="3">
        <v>6897.11</v>
      </c>
      <c r="D12" s="32">
        <f t="shared" si="0"/>
        <v>0.19806811286342421</v>
      </c>
      <c r="E12" s="24">
        <v>45786</v>
      </c>
      <c r="F12" s="3">
        <v>3434</v>
      </c>
      <c r="G12" s="4">
        <v>1147.49</v>
      </c>
      <c r="H12" s="32">
        <f t="shared" si="1"/>
        <v>0.33415550378567271</v>
      </c>
      <c r="I12" s="24">
        <v>45786</v>
      </c>
      <c r="J12" s="3">
        <v>4149.3</v>
      </c>
      <c r="K12" s="4">
        <v>202.4</v>
      </c>
      <c r="L12" s="32">
        <f t="shared" si="2"/>
        <v>4.8779312173137634E-2</v>
      </c>
      <c r="M12" s="24">
        <v>45786</v>
      </c>
      <c r="N12" s="3">
        <v>1871</v>
      </c>
      <c r="O12" s="4">
        <v>527.25</v>
      </c>
      <c r="P12" s="32">
        <f t="shared" si="3"/>
        <v>0.28180117584179581</v>
      </c>
    </row>
    <row r="13" spans="1:16" x14ac:dyDescent="0.6">
      <c r="A13" s="24">
        <v>45787</v>
      </c>
      <c r="B13" s="3">
        <v>50159.45</v>
      </c>
      <c r="C13" s="3">
        <v>7751.24</v>
      </c>
      <c r="D13" s="32">
        <f t="shared" si="0"/>
        <v>0.15453199746009974</v>
      </c>
      <c r="E13" s="24">
        <v>45787</v>
      </c>
      <c r="F13" s="3">
        <v>9654</v>
      </c>
      <c r="G13" s="4">
        <v>1320.02</v>
      </c>
      <c r="H13" s="32">
        <f t="shared" si="1"/>
        <v>0.13673296043090946</v>
      </c>
      <c r="I13" s="24">
        <v>45787</v>
      </c>
      <c r="J13" s="3">
        <v>3197.4799999999996</v>
      </c>
      <c r="K13" s="4">
        <v>200.62</v>
      </c>
      <c r="L13" s="32">
        <f t="shared" si="2"/>
        <v>6.2743160238687978E-2</v>
      </c>
      <c r="M13" s="24">
        <v>45787</v>
      </c>
      <c r="N13" s="3">
        <v>1956</v>
      </c>
      <c r="O13" s="4">
        <v>484.74</v>
      </c>
      <c r="P13" s="32">
        <f t="shared" si="3"/>
        <v>0.24782208588957055</v>
      </c>
    </row>
    <row r="14" spans="1:16" x14ac:dyDescent="0.6">
      <c r="A14" s="24">
        <v>45788</v>
      </c>
      <c r="B14" s="3">
        <v>48695.86</v>
      </c>
      <c r="C14" s="3">
        <v>11771.37</v>
      </c>
      <c r="D14" s="32">
        <f t="shared" si="0"/>
        <v>0.24173245939182511</v>
      </c>
      <c r="E14" s="24">
        <v>45788</v>
      </c>
      <c r="F14" s="3">
        <v>6254</v>
      </c>
      <c r="G14" s="4">
        <v>958.96</v>
      </c>
      <c r="H14" s="32">
        <f t="shared" si="1"/>
        <v>0.1533354653022066</v>
      </c>
      <c r="I14" s="24">
        <v>45788</v>
      </c>
      <c r="J14" s="3">
        <v>3081.29</v>
      </c>
      <c r="K14" s="4">
        <v>195.37</v>
      </c>
      <c r="L14" s="32">
        <f t="shared" si="2"/>
        <v>6.3405262081790426E-2</v>
      </c>
      <c r="M14" s="24">
        <v>45788</v>
      </c>
      <c r="N14" s="3">
        <v>4570</v>
      </c>
      <c r="O14" s="4">
        <v>507.91</v>
      </c>
      <c r="P14" s="32">
        <f t="shared" si="3"/>
        <v>0.11114004376367616</v>
      </c>
    </row>
    <row r="15" spans="1:16" x14ac:dyDescent="0.6">
      <c r="A15" s="24">
        <v>45789</v>
      </c>
      <c r="B15" s="3">
        <v>29464.95</v>
      </c>
      <c r="C15" s="3">
        <v>7622.77</v>
      </c>
      <c r="D15" s="32">
        <f t="shared" si="0"/>
        <v>0.25870636128688496</v>
      </c>
      <c r="E15" s="24">
        <v>45789</v>
      </c>
      <c r="F15" s="3">
        <v>4343</v>
      </c>
      <c r="G15" s="4">
        <v>896.6</v>
      </c>
      <c r="H15" s="32">
        <f t="shared" si="1"/>
        <v>0.20644715634354133</v>
      </c>
      <c r="I15" s="24">
        <v>45789</v>
      </c>
      <c r="J15" s="3">
        <v>5827.5599999999995</v>
      </c>
      <c r="K15" s="4">
        <v>200.65</v>
      </c>
      <c r="L15" s="32">
        <f t="shared" si="2"/>
        <v>3.4431219927379561E-2</v>
      </c>
      <c r="M15" s="24">
        <v>45789</v>
      </c>
      <c r="N15" s="3">
        <v>2660</v>
      </c>
      <c r="O15" s="4">
        <v>503.06</v>
      </c>
      <c r="P15" s="32">
        <f t="shared" si="3"/>
        <v>0.18912030075187969</v>
      </c>
    </row>
    <row r="16" spans="1:16" x14ac:dyDescent="0.6">
      <c r="A16" s="24">
        <v>45790</v>
      </c>
      <c r="B16" s="3">
        <v>29754.400000000001</v>
      </c>
      <c r="C16" s="3">
        <v>4873.18</v>
      </c>
      <c r="D16" s="32">
        <f t="shared" si="0"/>
        <v>0.16378014680181754</v>
      </c>
      <c r="E16" s="24">
        <v>45790</v>
      </c>
      <c r="F16" s="3">
        <v>21756</v>
      </c>
      <c r="G16" s="4">
        <v>1081</v>
      </c>
      <c r="H16" s="32">
        <f t="shared" si="1"/>
        <v>4.9687442544585403E-2</v>
      </c>
      <c r="I16" s="24">
        <v>45790</v>
      </c>
      <c r="J16" s="3">
        <v>958.2</v>
      </c>
      <c r="K16" s="3">
        <v>199.95</v>
      </c>
      <c r="L16" s="32">
        <f t="shared" si="2"/>
        <v>0.20867251095804631</v>
      </c>
      <c r="M16" s="24">
        <v>45790</v>
      </c>
      <c r="N16" s="3">
        <v>6126</v>
      </c>
      <c r="O16" s="4">
        <v>538.98</v>
      </c>
      <c r="P16" s="32">
        <f t="shared" si="3"/>
        <v>8.7982370225269349E-2</v>
      </c>
    </row>
    <row r="17" spans="1:16" x14ac:dyDescent="0.6">
      <c r="A17" s="24">
        <v>45791</v>
      </c>
      <c r="B17" s="3">
        <v>33729.96</v>
      </c>
      <c r="C17" s="3">
        <v>5943.6</v>
      </c>
      <c r="D17" s="32">
        <f t="shared" si="0"/>
        <v>0.17621129701902999</v>
      </c>
      <c r="E17" s="24">
        <v>45791</v>
      </c>
      <c r="F17" s="3">
        <v>18520</v>
      </c>
      <c r="G17" s="4">
        <v>1090.8</v>
      </c>
      <c r="H17" s="32">
        <f t="shared" si="1"/>
        <v>5.8898488120950318E-2</v>
      </c>
      <c r="I17" s="24">
        <v>45791</v>
      </c>
      <c r="J17" s="3">
        <v>585.62</v>
      </c>
      <c r="K17" s="3">
        <v>198.91</v>
      </c>
      <c r="L17" s="32">
        <f t="shared" si="2"/>
        <v>0.33965711553567157</v>
      </c>
      <c r="M17" s="24">
        <v>45791</v>
      </c>
      <c r="N17" s="3">
        <v>2206</v>
      </c>
      <c r="O17" s="4">
        <v>430.82</v>
      </c>
      <c r="P17" s="32">
        <f t="shared" si="3"/>
        <v>0.19529465095194923</v>
      </c>
    </row>
    <row r="18" spans="1:16" x14ac:dyDescent="0.6">
      <c r="A18" s="24">
        <v>45792</v>
      </c>
      <c r="B18" s="3">
        <v>40380.79</v>
      </c>
      <c r="C18" s="3">
        <v>4875.1899999999996</v>
      </c>
      <c r="D18" s="32">
        <f t="shared" si="0"/>
        <v>0.12073042652211607</v>
      </c>
      <c r="E18" s="24">
        <v>45792</v>
      </c>
      <c r="F18" s="3">
        <v>28170</v>
      </c>
      <c r="G18" s="3">
        <v>1009.72</v>
      </c>
      <c r="H18" s="32">
        <f t="shared" si="1"/>
        <v>3.5843805466808661E-2</v>
      </c>
      <c r="I18" s="24">
        <v>45792</v>
      </c>
      <c r="J18" s="3">
        <v>3407.05</v>
      </c>
      <c r="K18" s="3">
        <v>194.92</v>
      </c>
      <c r="L18" s="32">
        <f t="shared" si="2"/>
        <v>5.7210783522402074E-2</v>
      </c>
      <c r="M18" s="24">
        <v>45792</v>
      </c>
      <c r="N18" s="3">
        <v>3548</v>
      </c>
      <c r="O18" s="4">
        <v>531.36</v>
      </c>
      <c r="P18" s="32">
        <f t="shared" si="3"/>
        <v>0.14976324689966178</v>
      </c>
    </row>
    <row r="19" spans="1:16" x14ac:dyDescent="0.6">
      <c r="A19" s="24">
        <v>45793</v>
      </c>
      <c r="B19" s="3">
        <v>70632.17</v>
      </c>
      <c r="C19" s="3">
        <v>2391.25</v>
      </c>
      <c r="D19" s="32">
        <f t="shared" si="0"/>
        <v>3.3854970051182064E-2</v>
      </c>
      <c r="E19" s="24">
        <v>45793</v>
      </c>
      <c r="F19" s="3">
        <v>13440</v>
      </c>
      <c r="G19" s="3">
        <v>1079.94</v>
      </c>
      <c r="H19" s="32">
        <f t="shared" si="1"/>
        <v>8.0352678571428582E-2</v>
      </c>
      <c r="I19" s="24">
        <v>45793</v>
      </c>
      <c r="J19" s="3">
        <v>833.59000000000015</v>
      </c>
      <c r="K19" s="3">
        <v>180.65</v>
      </c>
      <c r="L19" s="32">
        <f t="shared" si="2"/>
        <v>0.21671325231828595</v>
      </c>
      <c r="M19" s="24">
        <v>45793</v>
      </c>
      <c r="N19" s="3">
        <v>2774</v>
      </c>
      <c r="O19" s="4">
        <v>354.85</v>
      </c>
      <c r="P19" s="32">
        <f t="shared" si="3"/>
        <v>0.12791997116077866</v>
      </c>
    </row>
    <row r="20" spans="1:16" x14ac:dyDescent="0.6">
      <c r="A20" s="24">
        <v>45794</v>
      </c>
      <c r="B20" s="3">
        <v>109976.37</v>
      </c>
      <c r="C20" s="3">
        <v>6992.08</v>
      </c>
      <c r="D20" s="32">
        <f t="shared" si="0"/>
        <v>6.3578021351313921E-2</v>
      </c>
      <c r="E20" s="24">
        <v>45794</v>
      </c>
      <c r="F20" s="3">
        <v>10320</v>
      </c>
      <c r="G20" s="3">
        <v>1436.28</v>
      </c>
      <c r="H20" s="32">
        <f t="shared" si="1"/>
        <v>0.13917441860465116</v>
      </c>
      <c r="I20" s="24">
        <v>45794</v>
      </c>
      <c r="J20" s="3">
        <v>1187.9099999999999</v>
      </c>
      <c r="K20" s="3">
        <v>199.42</v>
      </c>
      <c r="L20" s="32">
        <f t="shared" si="2"/>
        <v>0.16787467064003167</v>
      </c>
      <c r="M20" s="24">
        <v>45794</v>
      </c>
      <c r="N20" s="3">
        <v>2257</v>
      </c>
      <c r="O20" s="4">
        <v>371.8</v>
      </c>
      <c r="P20" s="32">
        <f t="shared" si="3"/>
        <v>0.16473194505981392</v>
      </c>
    </row>
    <row r="21" spans="1:16" x14ac:dyDescent="0.6">
      <c r="A21" s="24">
        <v>45795</v>
      </c>
      <c r="B21" s="3">
        <v>57413.979999999996</v>
      </c>
      <c r="C21" s="3">
        <v>6844.17</v>
      </c>
      <c r="D21" s="32">
        <f t="shared" si="0"/>
        <v>0.119207377715323</v>
      </c>
      <c r="E21" s="24">
        <v>45795</v>
      </c>
      <c r="F21" s="3">
        <v>8932</v>
      </c>
      <c r="G21" s="4">
        <v>1458.67</v>
      </c>
      <c r="H21" s="32">
        <f t="shared" si="1"/>
        <v>0.16330832960143304</v>
      </c>
      <c r="I21" s="24">
        <v>45795</v>
      </c>
      <c r="J21" s="3">
        <v>2481.09</v>
      </c>
      <c r="K21" s="4">
        <v>200.04</v>
      </c>
      <c r="L21" s="32">
        <f t="shared" si="2"/>
        <v>8.0625853959348501E-2</v>
      </c>
      <c r="M21" s="24">
        <v>45795</v>
      </c>
      <c r="N21" s="3">
        <v>3157</v>
      </c>
      <c r="O21" s="4">
        <v>532.77</v>
      </c>
      <c r="P21" s="32">
        <f t="shared" si="3"/>
        <v>0.16875831485587584</v>
      </c>
    </row>
    <row r="22" spans="1:16" x14ac:dyDescent="0.6">
      <c r="A22" s="24">
        <v>45796</v>
      </c>
      <c r="B22" s="3">
        <v>35283.800000000003</v>
      </c>
      <c r="C22" s="3">
        <v>6011.81</v>
      </c>
      <c r="D22" s="32">
        <f t="shared" si="0"/>
        <v>0.17038442571378365</v>
      </c>
      <c r="E22" s="24">
        <v>45796</v>
      </c>
      <c r="F22" s="3">
        <v>13859</v>
      </c>
      <c r="G22" s="4">
        <v>1949.1</v>
      </c>
      <c r="H22" s="32">
        <f t="shared" si="1"/>
        <v>0.14063785265892198</v>
      </c>
      <c r="I22" s="24">
        <v>45796</v>
      </c>
      <c r="J22" s="3">
        <v>1860.3200000000002</v>
      </c>
      <c r="K22" s="4">
        <v>200.13</v>
      </c>
      <c r="L22" s="32">
        <f t="shared" si="2"/>
        <v>0.10757826610475615</v>
      </c>
      <c r="M22" s="24">
        <v>45796</v>
      </c>
      <c r="N22" s="3">
        <v>3325</v>
      </c>
      <c r="O22" s="4">
        <v>540.85</v>
      </c>
      <c r="P22" s="32">
        <f t="shared" si="3"/>
        <v>0.16266165413533834</v>
      </c>
    </row>
    <row r="23" spans="1:16" x14ac:dyDescent="0.6">
      <c r="A23" s="24">
        <v>45797</v>
      </c>
      <c r="B23" s="3">
        <v>45426.33</v>
      </c>
      <c r="C23" s="3">
        <v>5950.96</v>
      </c>
      <c r="D23" s="32">
        <f t="shared" si="0"/>
        <v>0.1310024384536457</v>
      </c>
      <c r="E23" s="24">
        <v>45797</v>
      </c>
      <c r="F23" s="6">
        <v>5119</v>
      </c>
      <c r="G23" s="3">
        <v>1827.51</v>
      </c>
      <c r="H23" s="32">
        <f t="shared" si="1"/>
        <v>0.35700527446766944</v>
      </c>
      <c r="I23" s="24">
        <v>45797</v>
      </c>
      <c r="J23" s="3">
        <v>1619.7</v>
      </c>
      <c r="K23" s="4">
        <v>198.9</v>
      </c>
      <c r="L23" s="32">
        <f t="shared" si="2"/>
        <v>0.12280051861455825</v>
      </c>
      <c r="M23" s="24">
        <v>45797</v>
      </c>
      <c r="N23" s="3">
        <v>4742</v>
      </c>
      <c r="O23" s="4">
        <v>515.97</v>
      </c>
      <c r="P23" s="32">
        <f t="shared" si="3"/>
        <v>0.10880851961197807</v>
      </c>
    </row>
    <row r="24" spans="1:16" x14ac:dyDescent="0.6">
      <c r="A24" s="24">
        <v>45798</v>
      </c>
      <c r="B24" s="3">
        <v>64247.380000000005</v>
      </c>
      <c r="C24" s="3">
        <v>7620.39</v>
      </c>
      <c r="D24" s="32">
        <f t="shared" si="0"/>
        <v>0.11861012853753725</v>
      </c>
      <c r="E24" s="24">
        <v>45798</v>
      </c>
      <c r="F24" s="3">
        <v>4283</v>
      </c>
      <c r="G24" s="6">
        <v>1480.39</v>
      </c>
      <c r="H24" s="32">
        <f t="shared" si="1"/>
        <v>0.34564324071912211</v>
      </c>
      <c r="I24" s="24">
        <v>45798</v>
      </c>
      <c r="J24" s="3">
        <v>1175.0999999999999</v>
      </c>
      <c r="K24" s="4">
        <v>200.9</v>
      </c>
      <c r="L24" s="32">
        <f t="shared" si="2"/>
        <v>0.17096417326185007</v>
      </c>
      <c r="M24" s="24">
        <v>45798</v>
      </c>
      <c r="N24" s="3">
        <v>753</v>
      </c>
      <c r="O24" s="4">
        <v>454.58</v>
      </c>
      <c r="P24" s="32">
        <f t="shared" si="3"/>
        <v>0.60369189907038512</v>
      </c>
    </row>
    <row r="25" spans="1:16" x14ac:dyDescent="0.6">
      <c r="A25" s="24">
        <v>45799</v>
      </c>
      <c r="B25" s="3">
        <v>59779.5</v>
      </c>
      <c r="C25" s="3">
        <v>4378.17</v>
      </c>
      <c r="D25" s="32">
        <f t="shared" si="0"/>
        <v>7.3238652046270045E-2</v>
      </c>
      <c r="E25" s="24">
        <v>45799</v>
      </c>
      <c r="F25" s="3">
        <v>27839</v>
      </c>
      <c r="G25" s="6">
        <v>1337.14</v>
      </c>
      <c r="H25" s="32">
        <f t="shared" si="1"/>
        <v>4.8031179280864977E-2</v>
      </c>
      <c r="I25" s="24">
        <v>45799</v>
      </c>
      <c r="J25" s="3">
        <v>2935.4399999999996</v>
      </c>
      <c r="K25" s="6">
        <v>198.2</v>
      </c>
      <c r="L25" s="32">
        <f t="shared" si="2"/>
        <v>6.7519690404164293E-2</v>
      </c>
      <c r="M25" s="24">
        <v>45799</v>
      </c>
      <c r="N25" s="3">
        <v>4261</v>
      </c>
      <c r="O25" s="4">
        <v>496.5</v>
      </c>
      <c r="P25" s="32">
        <f t="shared" si="3"/>
        <v>0.11652194320582022</v>
      </c>
    </row>
    <row r="26" spans="1:16" x14ac:dyDescent="0.6">
      <c r="A26" s="24">
        <v>45800</v>
      </c>
      <c r="B26" s="3">
        <v>53237.64</v>
      </c>
      <c r="C26" s="3">
        <v>3225.06</v>
      </c>
      <c r="D26" s="32">
        <f t="shared" si="0"/>
        <v>6.0578568095805897E-2</v>
      </c>
      <c r="E26" s="24">
        <v>45800</v>
      </c>
      <c r="F26" s="3">
        <v>5445</v>
      </c>
      <c r="G26" s="6">
        <v>1569.99</v>
      </c>
      <c r="H26" s="32">
        <f t="shared" si="1"/>
        <v>0.28833608815426998</v>
      </c>
      <c r="I26" s="24">
        <v>45800</v>
      </c>
      <c r="J26" s="3">
        <v>535.29</v>
      </c>
      <c r="K26" s="6">
        <v>196.75</v>
      </c>
      <c r="L26" s="32">
        <f t="shared" si="2"/>
        <v>0.36755777242242527</v>
      </c>
      <c r="M26" s="24">
        <v>45800</v>
      </c>
      <c r="N26" s="3">
        <v>2768</v>
      </c>
      <c r="O26" s="4">
        <v>511.02</v>
      </c>
      <c r="P26" s="32">
        <f t="shared" si="3"/>
        <v>0.18461705202312137</v>
      </c>
    </row>
    <row r="27" spans="1:16" x14ac:dyDescent="0.6">
      <c r="A27" s="24">
        <v>45801</v>
      </c>
      <c r="B27" s="3">
        <v>45187.64</v>
      </c>
      <c r="C27" s="3">
        <v>5886.52</v>
      </c>
      <c r="D27" s="32">
        <f t="shared" si="0"/>
        <v>0.13026836542027864</v>
      </c>
      <c r="E27" s="24">
        <v>45801</v>
      </c>
      <c r="F27" s="3">
        <v>11773</v>
      </c>
      <c r="G27" s="6">
        <v>1495.37</v>
      </c>
      <c r="H27" s="32">
        <f t="shared" si="1"/>
        <v>0.12701690308332625</v>
      </c>
      <c r="I27" s="24">
        <v>45801</v>
      </c>
      <c r="J27" s="3">
        <v>2884.7800000000007</v>
      </c>
      <c r="K27" s="6">
        <v>192.66</v>
      </c>
      <c r="L27" s="32">
        <f t="shared" si="2"/>
        <v>6.6784988803305606E-2</v>
      </c>
      <c r="M27" s="24">
        <v>45801</v>
      </c>
      <c r="N27" s="3">
        <v>2497</v>
      </c>
      <c r="O27" s="4">
        <v>483.16</v>
      </c>
      <c r="P27" s="32">
        <f t="shared" si="3"/>
        <v>0.19349619543452143</v>
      </c>
    </row>
    <row r="28" spans="1:16" x14ac:dyDescent="0.6">
      <c r="A28" s="24">
        <v>45802</v>
      </c>
      <c r="B28" s="3">
        <v>33320.020000000004</v>
      </c>
      <c r="C28" s="3">
        <v>4556.9399999999996</v>
      </c>
      <c r="D28" s="32">
        <f t="shared" si="0"/>
        <v>0.13676282307153476</v>
      </c>
      <c r="E28" s="24">
        <v>45802</v>
      </c>
      <c r="F28" s="3">
        <v>4839</v>
      </c>
      <c r="G28" s="6">
        <v>1542.86</v>
      </c>
      <c r="H28" s="32">
        <f t="shared" si="1"/>
        <v>0.31883860301715228</v>
      </c>
      <c r="I28" s="24">
        <v>45802</v>
      </c>
      <c r="J28" s="3">
        <v>1428.06</v>
      </c>
      <c r="K28" s="6">
        <v>196.17</v>
      </c>
      <c r="L28" s="32">
        <f t="shared" si="2"/>
        <v>0.13736817780765515</v>
      </c>
      <c r="M28" s="24">
        <v>45802</v>
      </c>
      <c r="N28" s="3">
        <v>2825</v>
      </c>
      <c r="O28" s="4">
        <v>493.17</v>
      </c>
      <c r="P28" s="32">
        <f t="shared" si="3"/>
        <v>0.17457345132743363</v>
      </c>
    </row>
    <row r="29" spans="1:16" x14ac:dyDescent="0.6">
      <c r="A29" s="24">
        <v>45803</v>
      </c>
      <c r="B29" s="3">
        <v>28729.089999999997</v>
      </c>
      <c r="C29" s="3">
        <v>4280.91</v>
      </c>
      <c r="D29" s="32">
        <f t="shared" si="0"/>
        <v>0.14900959271595446</v>
      </c>
      <c r="E29" s="24">
        <v>45803</v>
      </c>
      <c r="F29" s="6">
        <v>724</v>
      </c>
      <c r="G29" s="6">
        <v>1579.55</v>
      </c>
      <c r="H29" s="32">
        <f t="shared" si="1"/>
        <v>2.1816988950276244</v>
      </c>
      <c r="I29" s="24">
        <v>45803</v>
      </c>
      <c r="J29" s="4">
        <v>2013.6799999999998</v>
      </c>
      <c r="K29" s="6">
        <v>194.19</v>
      </c>
      <c r="L29" s="32">
        <f t="shared" si="2"/>
        <v>9.6435381987207511E-2</v>
      </c>
      <c r="M29" s="24">
        <v>45803</v>
      </c>
      <c r="N29" s="3">
        <v>3410</v>
      </c>
      <c r="O29" s="4">
        <v>450.94</v>
      </c>
      <c r="P29" s="32">
        <f t="shared" si="3"/>
        <v>0.13224046920821114</v>
      </c>
    </row>
    <row r="30" spans="1:16" x14ac:dyDescent="0.6">
      <c r="A30" s="24">
        <v>45804</v>
      </c>
      <c r="B30" s="3">
        <v>33597.82</v>
      </c>
      <c r="C30" s="3">
        <v>5716.14</v>
      </c>
      <c r="D30" s="32">
        <f t="shared" si="0"/>
        <v>0.17013425275806587</v>
      </c>
      <c r="E30" s="24">
        <v>45804</v>
      </c>
      <c r="F30" s="6">
        <v>6577</v>
      </c>
      <c r="G30" s="6">
        <v>1544.75</v>
      </c>
      <c r="H30" s="32">
        <f t="shared" si="1"/>
        <v>0.23487152197050326</v>
      </c>
      <c r="I30" s="24">
        <v>45804</v>
      </c>
      <c r="J30" s="4">
        <v>1474.6</v>
      </c>
      <c r="K30" s="6">
        <v>185.74</v>
      </c>
      <c r="L30" s="32">
        <f t="shared" si="2"/>
        <v>0.12595958225959583</v>
      </c>
      <c r="M30" s="24">
        <v>45804</v>
      </c>
      <c r="N30" s="3">
        <v>3866</v>
      </c>
      <c r="O30" s="4">
        <v>406.57</v>
      </c>
      <c r="P30" s="32">
        <f t="shared" si="3"/>
        <v>0.10516554578375582</v>
      </c>
    </row>
    <row r="31" spans="1:16" x14ac:dyDescent="0.6">
      <c r="A31" s="24">
        <v>45805</v>
      </c>
      <c r="B31" s="4">
        <v>51629.490000000005</v>
      </c>
      <c r="C31" s="3">
        <v>5315.05</v>
      </c>
      <c r="D31" s="32">
        <f t="shared" si="0"/>
        <v>0.10294601011941043</v>
      </c>
      <c r="E31" s="24">
        <v>45805</v>
      </c>
      <c r="F31" s="3">
        <v>7562</v>
      </c>
      <c r="G31" s="6">
        <v>1317.26</v>
      </c>
      <c r="H31" s="32">
        <f t="shared" si="1"/>
        <v>0.17419465749801641</v>
      </c>
      <c r="I31" s="24">
        <v>45805</v>
      </c>
      <c r="J31" s="4">
        <v>2718.7699999999995</v>
      </c>
      <c r="K31" s="6">
        <v>194.25</v>
      </c>
      <c r="L31" s="32">
        <f t="shared" si="2"/>
        <v>7.1447750269423321E-2</v>
      </c>
      <c r="M31" s="24">
        <v>45805</v>
      </c>
      <c r="N31" s="4">
        <v>2562</v>
      </c>
      <c r="O31" s="4">
        <v>352.78</v>
      </c>
      <c r="P31" s="32">
        <f t="shared" si="3"/>
        <v>0.13769711163153786</v>
      </c>
    </row>
    <row r="32" spans="1:16" x14ac:dyDescent="0.6">
      <c r="A32" s="24">
        <v>45806</v>
      </c>
      <c r="B32" s="4">
        <v>46209.740000000005</v>
      </c>
      <c r="C32" s="3">
        <v>5879.95</v>
      </c>
      <c r="D32" s="32">
        <f t="shared" si="0"/>
        <v>0.12724481894942494</v>
      </c>
      <c r="E32" s="24">
        <v>45806</v>
      </c>
      <c r="F32" s="4">
        <v>41439</v>
      </c>
      <c r="G32" s="6">
        <v>1516.08</v>
      </c>
      <c r="H32" s="32">
        <f t="shared" si="1"/>
        <v>3.658582494751321E-2</v>
      </c>
      <c r="I32" s="24">
        <v>45806</v>
      </c>
      <c r="J32" s="4">
        <v>2531.11</v>
      </c>
      <c r="K32" s="6">
        <v>200.21</v>
      </c>
      <c r="L32" s="32">
        <f t="shared" si="2"/>
        <v>7.9099683538052468E-2</v>
      </c>
      <c r="M32" s="24">
        <v>45806</v>
      </c>
      <c r="N32" s="4">
        <v>4665</v>
      </c>
      <c r="O32" s="4">
        <v>426.76</v>
      </c>
      <c r="P32" s="32">
        <f t="shared" si="3"/>
        <v>9.1481243301178988E-2</v>
      </c>
    </row>
    <row r="33" spans="1:16 16384:16384" x14ac:dyDescent="0.6">
      <c r="A33" s="24">
        <v>45807</v>
      </c>
      <c r="B33" s="4">
        <v>21378.48</v>
      </c>
      <c r="C33" s="3">
        <v>5964.19</v>
      </c>
      <c r="D33" s="32">
        <f t="shared" si="0"/>
        <v>0.27898101268191189</v>
      </c>
      <c r="E33" s="24">
        <v>45807</v>
      </c>
      <c r="F33" s="4">
        <v>49750</v>
      </c>
      <c r="G33" s="6">
        <v>1405.6</v>
      </c>
      <c r="H33" s="32">
        <f t="shared" si="1"/>
        <v>2.825326633165829E-2</v>
      </c>
      <c r="I33" s="24">
        <v>45807</v>
      </c>
      <c r="J33" s="4">
        <v>4623.67</v>
      </c>
      <c r="K33" s="6">
        <v>192.2</v>
      </c>
      <c r="L33" s="32">
        <f t="shared" si="2"/>
        <v>4.1568710569742214E-2</v>
      </c>
      <c r="M33" s="24">
        <v>45807</v>
      </c>
      <c r="N33" s="4">
        <v>3657</v>
      </c>
      <c r="O33" s="4">
        <v>484.95</v>
      </c>
      <c r="P33" s="32">
        <f t="shared" si="3"/>
        <v>0.1326086956521739</v>
      </c>
    </row>
    <row r="34" spans="1:16 16384:16384" x14ac:dyDescent="0.6">
      <c r="A34" s="24">
        <v>45808</v>
      </c>
      <c r="B34" s="4">
        <v>22800.829999999998</v>
      </c>
      <c r="C34" s="3">
        <v>7624</v>
      </c>
      <c r="D34" s="32">
        <f t="shared" si="0"/>
        <v>0.33437379253299115</v>
      </c>
      <c r="E34" s="24">
        <v>45808</v>
      </c>
      <c r="F34" s="6">
        <v>6250</v>
      </c>
      <c r="G34" s="6">
        <v>1533.6</v>
      </c>
      <c r="H34" s="32">
        <f t="shared" si="1"/>
        <v>0.24537599999999998</v>
      </c>
      <c r="I34" s="24">
        <v>45808</v>
      </c>
      <c r="J34" s="6">
        <v>2242.3000000000002</v>
      </c>
      <c r="K34" s="6">
        <v>201.04</v>
      </c>
      <c r="L34" s="32">
        <f t="shared" si="2"/>
        <v>8.9657940507514591E-2</v>
      </c>
      <c r="M34" s="24">
        <v>45808</v>
      </c>
      <c r="N34" s="4">
        <v>1873</v>
      </c>
      <c r="O34" s="4">
        <v>540</v>
      </c>
      <c r="P34" s="32">
        <f t="shared" si="3"/>
        <v>0.28830752802989856</v>
      </c>
    </row>
    <row r="35" spans="1:16 16384:16384" s="17" customFormat="1" ht="27" thickBot="1" x14ac:dyDescent="0.75">
      <c r="A35" s="16" t="s">
        <v>11</v>
      </c>
      <c r="B35" s="39">
        <f>SUM(B4:B34)</f>
        <v>1306217.8500000003</v>
      </c>
      <c r="C35" s="39">
        <f t="shared" ref="C35" si="4">SUM(C4:C34)</f>
        <v>180851.38000000003</v>
      </c>
      <c r="D35" s="15" t="s">
        <v>12</v>
      </c>
      <c r="E35" s="16" t="s">
        <v>11</v>
      </c>
      <c r="F35" s="39">
        <f>SUM(F4:F34)</f>
        <v>473804</v>
      </c>
      <c r="G35" s="39">
        <f t="shared" ref="G35" si="5">SUM(G4:G34)</f>
        <v>39036.33</v>
      </c>
      <c r="H35" s="15" t="s">
        <v>12</v>
      </c>
      <c r="I35" s="16" t="s">
        <v>11</v>
      </c>
      <c r="J35" s="39">
        <f>SUM(J4:J34)</f>
        <v>75200.219999999987</v>
      </c>
      <c r="K35" s="39">
        <f t="shared" ref="K35" si="6">SUM(K4:K34)</f>
        <v>6115.2399999999989</v>
      </c>
      <c r="L35" s="15" t="s">
        <v>12</v>
      </c>
      <c r="M35" s="16" t="s">
        <v>11</v>
      </c>
      <c r="N35" s="39">
        <f>SUM(N4:N34)</f>
        <v>108558</v>
      </c>
      <c r="O35" s="39">
        <f t="shared" ref="O35" si="7">SUM(O4:O34)</f>
        <v>15633.080000000002</v>
      </c>
      <c r="P35" s="15" t="s">
        <v>12</v>
      </c>
      <c r="XFD35" s="17">
        <f>SUM(A35:XFC35)</f>
        <v>2205416.1000000006</v>
      </c>
    </row>
    <row r="36" spans="1:16 16384:16384" ht="24" thickTop="1" x14ac:dyDescent="0.6">
      <c r="A36" s="6"/>
      <c r="B36" s="6"/>
      <c r="C36" s="6"/>
      <c r="D36" s="33"/>
      <c r="E36" s="6"/>
      <c r="F36" s="6"/>
      <c r="G36" s="6"/>
      <c r="H36" s="26"/>
      <c r="I36" s="6"/>
      <c r="J36" s="6"/>
      <c r="K36" s="6"/>
      <c r="L36" s="26"/>
      <c r="M36" s="6"/>
      <c r="N36" s="6"/>
      <c r="O36" s="6"/>
      <c r="P36" s="26"/>
    </row>
    <row r="37" spans="1:16 16384:16384" ht="23.4" customHeight="1" x14ac:dyDescent="0.6">
      <c r="A37" s="6"/>
      <c r="B37" s="116" t="s">
        <v>21</v>
      </c>
      <c r="C37" s="117"/>
      <c r="D37" s="117"/>
      <c r="E37" s="118"/>
      <c r="F37" s="7"/>
      <c r="G37" s="37"/>
      <c r="H37" s="6"/>
      <c r="I37" s="6"/>
      <c r="J37" s="6"/>
      <c r="K37" s="26"/>
      <c r="L37" s="6"/>
      <c r="M37" s="6"/>
      <c r="N37" s="6"/>
      <c r="O37" s="26"/>
      <c r="P37" s="1"/>
    </row>
    <row r="38" spans="1:16 16384:16384" x14ac:dyDescent="0.6">
      <c r="A38" s="8"/>
      <c r="B38" s="47" t="s">
        <v>9</v>
      </c>
      <c r="C38" s="47" t="s">
        <v>5</v>
      </c>
      <c r="D38" s="47" t="s">
        <v>6</v>
      </c>
      <c r="E38" s="47" t="s">
        <v>7</v>
      </c>
      <c r="F38" s="8"/>
      <c r="G38" s="26"/>
      <c r="H38" s="8"/>
      <c r="I38" s="8"/>
      <c r="J38" s="8"/>
      <c r="K38" s="26"/>
      <c r="L38" s="9"/>
      <c r="M38" s="6"/>
      <c r="N38" s="6"/>
      <c r="O38" s="26"/>
      <c r="P38" s="1"/>
    </row>
    <row r="39" spans="1:16 16384:16384" x14ac:dyDescent="0.6">
      <c r="A39" s="10"/>
      <c r="B39" s="40" t="s">
        <v>0</v>
      </c>
      <c r="C39" s="41">
        <f>+B35</f>
        <v>1306217.8500000003</v>
      </c>
      <c r="D39" s="41">
        <f>+C35</f>
        <v>180851.38000000003</v>
      </c>
      <c r="E39" s="43">
        <f>+D39/C39</f>
        <v>0.13845422492121048</v>
      </c>
      <c r="F39" s="10"/>
      <c r="G39" s="28"/>
      <c r="H39" s="10"/>
      <c r="I39" s="10"/>
      <c r="J39" s="10"/>
      <c r="K39" s="26"/>
      <c r="L39" s="6"/>
      <c r="M39" s="6"/>
      <c r="N39" s="6"/>
      <c r="O39" s="26"/>
      <c r="P39" s="1"/>
    </row>
    <row r="40" spans="1:16 16384:16384" x14ac:dyDescent="0.6">
      <c r="A40" s="2"/>
      <c r="B40" s="40" t="s">
        <v>1</v>
      </c>
      <c r="C40" s="42">
        <f>+F35</f>
        <v>473804</v>
      </c>
      <c r="D40" s="42">
        <f>+G35</f>
        <v>39036.33</v>
      </c>
      <c r="E40" s="43">
        <f t="shared" ref="E40:E41" si="8">+D40/C40</f>
        <v>8.2389194688098882E-2</v>
      </c>
      <c r="F40" s="11"/>
      <c r="G40" s="29"/>
      <c r="H40" s="12"/>
      <c r="I40" s="11"/>
      <c r="J40" s="13"/>
      <c r="K40" s="26"/>
      <c r="L40" s="2"/>
      <c r="M40" s="3"/>
      <c r="N40" s="6"/>
      <c r="O40" s="26"/>
      <c r="P40" s="1"/>
    </row>
    <row r="41" spans="1:16 16384:16384" x14ac:dyDescent="0.6">
      <c r="A41" s="2"/>
      <c r="B41" s="40" t="s">
        <v>2</v>
      </c>
      <c r="C41" s="42">
        <f>+J35</f>
        <v>75200.219999999987</v>
      </c>
      <c r="D41" s="42">
        <f>+K35</f>
        <v>6115.2399999999989</v>
      </c>
      <c r="E41" s="43">
        <f t="shared" si="8"/>
        <v>8.1319442948438181E-2</v>
      </c>
      <c r="F41" s="11"/>
      <c r="G41" s="29"/>
      <c r="H41" s="12"/>
      <c r="I41" s="11"/>
      <c r="J41" s="13"/>
      <c r="K41" s="26"/>
      <c r="L41" s="2"/>
      <c r="M41" s="3"/>
      <c r="N41" s="6"/>
      <c r="O41" s="26"/>
      <c r="P41" s="1"/>
    </row>
    <row r="42" spans="1:16 16384:16384" x14ac:dyDescent="0.6">
      <c r="A42" s="2"/>
      <c r="B42" s="40" t="s">
        <v>3</v>
      </c>
      <c r="C42" s="42">
        <f>+N35</f>
        <v>108558</v>
      </c>
      <c r="D42" s="42">
        <f>+O35</f>
        <v>15633.080000000002</v>
      </c>
      <c r="E42" s="43">
        <f>+D42/C42</f>
        <v>0.14400670609259567</v>
      </c>
      <c r="F42" s="11"/>
      <c r="G42" s="29"/>
      <c r="H42" s="12"/>
      <c r="I42" s="11"/>
      <c r="J42" s="13"/>
      <c r="K42" s="26"/>
      <c r="L42" s="2"/>
      <c r="M42" s="3"/>
      <c r="N42" s="6"/>
      <c r="O42" s="26"/>
      <c r="P42" s="1"/>
    </row>
    <row r="43" spans="1:16 16384:16384" x14ac:dyDescent="0.6">
      <c r="A43" s="2"/>
      <c r="B43" s="44" t="s">
        <v>10</v>
      </c>
      <c r="C43" s="45">
        <f>SUM(C39:C42)</f>
        <v>1963780.0700000003</v>
      </c>
      <c r="D43" s="45">
        <f>SUM(D39:D42)</f>
        <v>241636.03000000003</v>
      </c>
      <c r="E43" s="46">
        <f>+D43/C43</f>
        <v>0.12304638064689188</v>
      </c>
      <c r="F43" s="11"/>
      <c r="G43" s="29"/>
      <c r="H43" s="12"/>
      <c r="I43" s="11"/>
      <c r="J43" s="13"/>
      <c r="K43" s="26"/>
      <c r="L43" s="2"/>
      <c r="M43" s="3"/>
      <c r="N43" s="6"/>
      <c r="O43" s="26"/>
      <c r="P43" s="1"/>
    </row>
    <row r="44" spans="1:16 16384:16384" x14ac:dyDescent="0.6">
      <c r="A44" s="2"/>
      <c r="B44" s="6"/>
      <c r="C44" s="6"/>
      <c r="D44" s="34"/>
      <c r="E44" s="6"/>
      <c r="F44" s="6"/>
      <c r="G44" s="8"/>
      <c r="H44" s="29"/>
      <c r="I44" s="14"/>
      <c r="J44" s="10"/>
      <c r="K44" s="10"/>
      <c r="L44" s="26"/>
      <c r="M44" s="2"/>
      <c r="N44" s="3"/>
      <c r="O44" s="6"/>
      <c r="P44" s="26"/>
    </row>
    <row r="45" spans="1:16 16384:16384" x14ac:dyDescent="0.6">
      <c r="A45" s="2"/>
      <c r="B45" s="6"/>
      <c r="C45" s="6"/>
      <c r="D45" s="32"/>
      <c r="E45" s="6"/>
      <c r="F45" s="6"/>
      <c r="G45" s="6"/>
      <c r="H45" s="26"/>
      <c r="I45" s="6"/>
      <c r="J45" s="6"/>
      <c r="K45" s="6"/>
      <c r="L45" s="26"/>
      <c r="M45" s="2"/>
      <c r="N45" s="3"/>
      <c r="O45" s="6"/>
      <c r="P45" s="26"/>
    </row>
    <row r="46" spans="1:16 16384:16384" x14ac:dyDescent="0.6">
      <c r="A46" s="2"/>
      <c r="B46" s="6"/>
      <c r="C46" s="6"/>
      <c r="D46" s="32"/>
      <c r="E46" s="6"/>
      <c r="F46" s="6"/>
      <c r="G46" s="6"/>
      <c r="H46" s="26"/>
      <c r="I46" s="6"/>
      <c r="J46" s="6"/>
      <c r="K46" s="6"/>
      <c r="L46" s="26"/>
      <c r="M46" s="2"/>
      <c r="N46" s="3"/>
      <c r="O46" s="6"/>
      <c r="P46" s="26"/>
    </row>
    <row r="47" spans="1:16 16384:16384" x14ac:dyDescent="0.6">
      <c r="A47" s="2"/>
      <c r="B47" s="6"/>
      <c r="C47" s="6"/>
      <c r="D47" s="32"/>
      <c r="E47" s="6"/>
      <c r="F47" s="6"/>
      <c r="G47" s="6"/>
      <c r="H47" s="26"/>
      <c r="I47" s="6"/>
      <c r="J47" s="6"/>
      <c r="K47" s="6"/>
      <c r="L47" s="26"/>
      <c r="M47" s="2"/>
      <c r="N47" s="3"/>
      <c r="O47" s="6"/>
      <c r="P47" s="26"/>
    </row>
    <row r="48" spans="1:16 16384:16384" x14ac:dyDescent="0.6">
      <c r="A48" s="2"/>
      <c r="B48" s="6"/>
      <c r="C48" s="6"/>
      <c r="D48" s="32"/>
      <c r="E48" s="6"/>
      <c r="F48" s="6"/>
      <c r="G48" s="6"/>
      <c r="H48" s="26"/>
      <c r="I48" s="6"/>
      <c r="J48" s="6"/>
      <c r="K48" s="6"/>
      <c r="L48" s="26"/>
      <c r="M48" s="2"/>
      <c r="N48" s="3"/>
      <c r="O48" s="6"/>
      <c r="P48" s="26"/>
    </row>
    <row r="49" spans="1:16" x14ac:dyDescent="0.6">
      <c r="A49" s="2"/>
      <c r="B49" s="6"/>
      <c r="C49" s="6"/>
      <c r="D49" s="32"/>
      <c r="E49" s="6"/>
      <c r="F49" s="6"/>
      <c r="G49" s="6"/>
      <c r="H49" s="26"/>
      <c r="I49" s="6"/>
      <c r="J49" s="6"/>
      <c r="K49" s="6"/>
      <c r="L49" s="26"/>
      <c r="M49" s="2"/>
      <c r="N49" s="3"/>
      <c r="O49" s="6"/>
      <c r="P49" s="26"/>
    </row>
    <row r="50" spans="1:16" x14ac:dyDescent="0.6">
      <c r="A50" s="2"/>
      <c r="B50" s="6"/>
      <c r="C50" s="6"/>
      <c r="D50" s="32"/>
      <c r="E50" s="6"/>
      <c r="F50" s="6"/>
      <c r="G50" s="6"/>
      <c r="H50" s="26"/>
      <c r="I50" s="6"/>
      <c r="J50" s="6"/>
      <c r="K50" s="6"/>
      <c r="L50" s="26"/>
      <c r="M50" s="2"/>
      <c r="N50" s="3"/>
      <c r="O50" s="6"/>
      <c r="P50" s="26"/>
    </row>
    <row r="51" spans="1:16" x14ac:dyDescent="0.6">
      <c r="A51" s="2"/>
      <c r="B51" s="6"/>
      <c r="C51" s="6"/>
      <c r="D51" s="32"/>
      <c r="E51" s="6"/>
      <c r="F51" s="6"/>
      <c r="G51" s="6"/>
      <c r="H51" s="26"/>
      <c r="I51" s="6"/>
      <c r="J51" s="6"/>
      <c r="K51" s="6"/>
      <c r="L51" s="26"/>
      <c r="M51" s="2"/>
      <c r="N51" s="3"/>
      <c r="O51" s="6"/>
      <c r="P51" s="26"/>
    </row>
    <row r="52" spans="1:16" x14ac:dyDescent="0.6">
      <c r="A52" s="2"/>
      <c r="B52" s="6"/>
      <c r="C52" s="6"/>
      <c r="D52" s="32"/>
      <c r="E52" s="6"/>
      <c r="F52" s="6"/>
      <c r="G52" s="6"/>
      <c r="H52" s="26"/>
      <c r="I52" s="6"/>
      <c r="J52" s="6"/>
      <c r="K52" s="6"/>
      <c r="L52" s="26"/>
      <c r="M52" s="2"/>
      <c r="N52" s="3"/>
      <c r="O52" s="6"/>
      <c r="P52" s="26"/>
    </row>
    <row r="53" spans="1:16" x14ac:dyDescent="0.6">
      <c r="A53" s="2"/>
      <c r="B53" s="6"/>
      <c r="C53" s="6"/>
      <c r="D53" s="32"/>
      <c r="E53" s="6"/>
      <c r="F53" s="6"/>
      <c r="G53" s="6"/>
      <c r="H53" s="26"/>
      <c r="I53" s="6"/>
      <c r="J53" s="6"/>
      <c r="K53" s="6"/>
      <c r="L53" s="26"/>
      <c r="M53" s="2"/>
      <c r="N53" s="3"/>
      <c r="O53" s="6"/>
      <c r="P53" s="26"/>
    </row>
    <row r="54" spans="1:16" x14ac:dyDescent="0.6">
      <c r="A54" s="2"/>
      <c r="B54" s="6"/>
      <c r="C54" s="6"/>
      <c r="D54" s="32"/>
      <c r="E54" s="6"/>
      <c r="F54" s="6"/>
      <c r="G54" s="6"/>
      <c r="H54" s="26"/>
      <c r="I54" s="6"/>
      <c r="J54" s="6"/>
      <c r="K54" s="6"/>
      <c r="L54" s="26"/>
      <c r="M54" s="2"/>
      <c r="N54" s="3"/>
      <c r="O54" s="6"/>
      <c r="P54" s="26"/>
    </row>
    <row r="55" spans="1:16" x14ac:dyDescent="0.6">
      <c r="A55" s="2"/>
      <c r="B55" s="6"/>
      <c r="C55" s="6"/>
      <c r="D55" s="32"/>
      <c r="E55" s="6"/>
      <c r="F55" s="6"/>
      <c r="G55" s="6"/>
      <c r="H55" s="26"/>
      <c r="I55" s="6"/>
      <c r="J55" s="6"/>
      <c r="K55" s="6"/>
      <c r="L55" s="26"/>
      <c r="M55" s="2"/>
      <c r="N55" s="3"/>
      <c r="O55" s="6"/>
      <c r="P55" s="26"/>
    </row>
    <row r="56" spans="1:16" x14ac:dyDescent="0.6">
      <c r="A56" s="2"/>
      <c r="B56" s="6"/>
      <c r="C56" s="6"/>
      <c r="D56" s="32"/>
      <c r="E56" s="6"/>
      <c r="F56" s="6"/>
      <c r="G56" s="6"/>
      <c r="H56" s="26"/>
      <c r="I56" s="6"/>
      <c r="J56" s="6"/>
      <c r="K56" s="6"/>
      <c r="L56" s="26"/>
      <c r="M56" s="2"/>
      <c r="N56" s="3"/>
      <c r="O56" s="6"/>
      <c r="P56" s="26"/>
    </row>
    <row r="57" spans="1:16" x14ac:dyDescent="0.6">
      <c r="A57" s="2"/>
      <c r="B57" s="6"/>
      <c r="C57" s="6"/>
      <c r="D57" s="32"/>
      <c r="E57" s="6"/>
      <c r="F57" s="6"/>
      <c r="G57" s="6"/>
      <c r="H57" s="26"/>
      <c r="I57" s="6"/>
      <c r="J57" s="6"/>
      <c r="K57" s="6"/>
      <c r="L57" s="26"/>
      <c r="M57" s="2"/>
      <c r="N57" s="3"/>
      <c r="O57" s="6"/>
      <c r="P57" s="26"/>
    </row>
    <row r="58" spans="1:16" x14ac:dyDescent="0.6">
      <c r="A58" s="2"/>
      <c r="B58" s="6"/>
      <c r="C58" s="6"/>
      <c r="D58" s="32"/>
      <c r="E58" s="6"/>
      <c r="F58" s="6"/>
      <c r="G58" s="6"/>
      <c r="H58" s="26"/>
      <c r="I58" s="6"/>
      <c r="J58" s="6"/>
      <c r="K58" s="6"/>
      <c r="L58" s="26"/>
      <c r="M58" s="2"/>
      <c r="N58" s="3"/>
      <c r="O58" s="6"/>
      <c r="P58" s="26"/>
    </row>
    <row r="59" spans="1:16" x14ac:dyDescent="0.6">
      <c r="A59" s="2"/>
      <c r="B59" s="6"/>
      <c r="C59" s="6"/>
      <c r="D59" s="32"/>
      <c r="E59" s="6"/>
      <c r="F59" s="6"/>
      <c r="G59" s="6"/>
      <c r="H59" s="26"/>
      <c r="I59" s="6"/>
      <c r="J59" s="6"/>
      <c r="K59" s="6"/>
      <c r="L59" s="26"/>
      <c r="M59" s="2"/>
      <c r="N59" s="3"/>
      <c r="O59" s="6"/>
      <c r="P59" s="26"/>
    </row>
    <row r="60" spans="1:16" x14ac:dyDescent="0.6">
      <c r="A60" s="2"/>
      <c r="B60" s="6"/>
      <c r="C60" s="6"/>
      <c r="D60" s="32"/>
      <c r="E60" s="6"/>
      <c r="F60" s="6"/>
      <c r="G60" s="6"/>
      <c r="H60" s="26"/>
      <c r="I60" s="6"/>
      <c r="J60" s="6"/>
      <c r="K60" s="6"/>
      <c r="L60" s="26"/>
      <c r="M60" s="2"/>
      <c r="N60" s="3"/>
      <c r="O60" s="6"/>
      <c r="P60" s="26"/>
    </row>
    <row r="61" spans="1:16" x14ac:dyDescent="0.6">
      <c r="A61" s="2"/>
      <c r="B61" s="6"/>
      <c r="C61" s="6"/>
      <c r="D61" s="32"/>
      <c r="E61" s="6"/>
      <c r="F61" s="6"/>
      <c r="G61" s="6"/>
      <c r="H61" s="26"/>
      <c r="I61" s="6"/>
      <c r="J61" s="6"/>
      <c r="K61" s="6"/>
      <c r="L61" s="26"/>
      <c r="M61" s="2"/>
      <c r="N61" s="3"/>
      <c r="O61" s="6"/>
      <c r="P61" s="26"/>
    </row>
    <row r="62" spans="1:16" x14ac:dyDescent="0.6">
      <c r="A62" s="2"/>
      <c r="B62" s="6"/>
      <c r="C62" s="6"/>
      <c r="D62" s="32"/>
      <c r="E62" s="6"/>
      <c r="F62" s="6"/>
      <c r="G62" s="6"/>
      <c r="H62" s="26"/>
      <c r="I62" s="6"/>
      <c r="J62" s="6"/>
      <c r="K62" s="6"/>
      <c r="L62" s="26"/>
      <c r="M62" s="2"/>
      <c r="N62" s="3"/>
      <c r="O62" s="6"/>
      <c r="P62" s="26"/>
    </row>
    <row r="63" spans="1:16" x14ac:dyDescent="0.6">
      <c r="A63" s="2"/>
      <c r="B63" s="6"/>
      <c r="C63" s="6"/>
      <c r="D63" s="32"/>
      <c r="E63" s="6"/>
      <c r="F63" s="6"/>
      <c r="G63" s="6"/>
      <c r="H63" s="26"/>
      <c r="I63" s="6"/>
      <c r="J63" s="6"/>
      <c r="K63" s="6"/>
      <c r="L63" s="26"/>
      <c r="M63" s="2"/>
      <c r="N63" s="3"/>
      <c r="O63" s="6"/>
      <c r="P63" s="26"/>
    </row>
    <row r="64" spans="1:16" x14ac:dyDescent="0.6">
      <c r="A64" s="2"/>
      <c r="B64" s="6"/>
      <c r="C64" s="6"/>
      <c r="D64" s="32"/>
      <c r="E64" s="6"/>
      <c r="F64" s="6"/>
      <c r="G64" s="6"/>
      <c r="H64" s="26"/>
      <c r="I64" s="6"/>
      <c r="J64" s="6"/>
      <c r="K64" s="6"/>
      <c r="L64" s="26"/>
      <c r="M64" s="2"/>
      <c r="N64" s="3"/>
      <c r="O64" s="6"/>
      <c r="P64" s="26"/>
    </row>
    <row r="65" spans="1:16" x14ac:dyDescent="0.6">
      <c r="A65" s="2"/>
      <c r="B65" s="6"/>
      <c r="C65" s="6"/>
      <c r="D65" s="32"/>
      <c r="E65" s="6"/>
      <c r="F65" s="6"/>
      <c r="G65" s="6"/>
      <c r="H65" s="26"/>
      <c r="I65" s="6"/>
      <c r="J65" s="6"/>
      <c r="K65" s="6"/>
      <c r="L65" s="26"/>
      <c r="M65" s="2"/>
      <c r="N65" s="3"/>
      <c r="O65" s="6"/>
      <c r="P65" s="26"/>
    </row>
    <row r="66" spans="1:16" x14ac:dyDescent="0.6">
      <c r="A66" s="2"/>
      <c r="B66" s="6"/>
      <c r="C66" s="6"/>
      <c r="D66" s="32"/>
      <c r="E66" s="6"/>
      <c r="F66" s="6"/>
      <c r="G66" s="6"/>
      <c r="H66" s="26"/>
      <c r="I66" s="6"/>
      <c r="J66" s="6"/>
      <c r="K66" s="6"/>
      <c r="L66" s="26"/>
      <c r="M66" s="2"/>
      <c r="N66" s="3"/>
      <c r="O66" s="6"/>
      <c r="P66" s="26"/>
    </row>
    <row r="67" spans="1:16" x14ac:dyDescent="0.6">
      <c r="A67" s="2"/>
      <c r="B67" s="6"/>
      <c r="C67" s="6"/>
      <c r="D67" s="32"/>
      <c r="E67" s="6"/>
      <c r="F67" s="6"/>
      <c r="G67" s="6"/>
      <c r="H67" s="26"/>
      <c r="I67" s="6"/>
      <c r="J67" s="6"/>
      <c r="K67" s="6"/>
      <c r="L67" s="26"/>
      <c r="M67" s="2"/>
      <c r="N67" s="3"/>
      <c r="O67" s="6"/>
      <c r="P67" s="26"/>
    </row>
    <row r="68" spans="1:16" x14ac:dyDescent="0.6">
      <c r="A68" s="2"/>
      <c r="B68" s="6"/>
      <c r="C68" s="6"/>
      <c r="D68" s="32"/>
      <c r="E68" s="6"/>
      <c r="F68" s="6"/>
      <c r="G68" s="6"/>
      <c r="H68" s="26"/>
      <c r="I68" s="6"/>
      <c r="J68" s="6"/>
      <c r="K68" s="6"/>
      <c r="L68" s="26"/>
      <c r="M68" s="2"/>
      <c r="N68" s="4"/>
      <c r="O68" s="6"/>
      <c r="P68" s="26"/>
    </row>
    <row r="69" spans="1:16" x14ac:dyDescent="0.6">
      <c r="A69" s="2"/>
      <c r="B69" s="6"/>
      <c r="C69" s="6"/>
      <c r="D69" s="32"/>
      <c r="E69" s="6"/>
      <c r="F69" s="6"/>
      <c r="G69" s="6"/>
      <c r="H69" s="26"/>
      <c r="I69" s="6"/>
      <c r="J69" s="6"/>
      <c r="K69" s="6"/>
      <c r="L69" s="26"/>
      <c r="M69" s="2"/>
      <c r="N69" s="4"/>
      <c r="O69" s="6"/>
      <c r="P69" s="26"/>
    </row>
    <row r="70" spans="1:16" x14ac:dyDescent="0.6">
      <c r="A70" s="2"/>
      <c r="B70" s="6"/>
      <c r="C70" s="6"/>
      <c r="D70" s="33"/>
      <c r="E70" s="6"/>
      <c r="F70" s="6"/>
      <c r="G70" s="6"/>
      <c r="H70" s="26"/>
      <c r="I70" s="6"/>
      <c r="J70" s="6"/>
      <c r="K70" s="6"/>
      <c r="L70" s="26"/>
      <c r="M70" s="2"/>
      <c r="N70" s="4"/>
      <c r="O70" s="6"/>
      <c r="P70" s="26"/>
    </row>
  </sheetData>
  <mergeCells count="5">
    <mergeCell ref="A2:D2"/>
    <mergeCell ref="E2:H2"/>
    <mergeCell ref="I2:L2"/>
    <mergeCell ref="M2:P2"/>
    <mergeCell ref="B37:E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9F8D-2745-498A-AF1E-D0B6E18299C6}">
  <sheetPr>
    <tabColor rgb="FF00B0F0"/>
  </sheetPr>
  <dimension ref="A1:XFD70"/>
  <sheetViews>
    <sheetView zoomScale="115" zoomScaleNormal="115" workbookViewId="0">
      <pane xSplit="4" ySplit="3" topLeftCell="E36" activePane="bottomRight" state="frozen"/>
      <selection activeCell="F33" sqref="F33"/>
      <selection pane="topRight" activeCell="F33" sqref="F33"/>
      <selection pane="bottomLeft" activeCell="F33" sqref="F33"/>
      <selection pane="bottomRight" activeCell="G43" sqref="G43"/>
    </sheetView>
  </sheetViews>
  <sheetFormatPr defaultRowHeight="23.4" x14ac:dyDescent="0.6"/>
  <cols>
    <col min="1" max="1" width="9.09765625" style="1" bestFit="1" customWidth="1"/>
    <col min="2" max="2" width="11.69921875" style="1" bestFit="1" customWidth="1"/>
    <col min="3" max="3" width="14.69921875" style="1" customWidth="1"/>
    <col min="4" max="4" width="12" style="35" customWidth="1"/>
    <col min="5" max="5" width="11" style="1" customWidth="1"/>
    <col min="6" max="6" width="10.19921875" style="1" bestFit="1" customWidth="1"/>
    <col min="7" max="7" width="9.09765625" style="1" bestFit="1" customWidth="1"/>
    <col min="8" max="8" width="7.8984375" style="38" bestFit="1" customWidth="1"/>
    <col min="9" max="10" width="9.09765625" style="1" bestFit="1" customWidth="1"/>
    <col min="11" max="11" width="8.09765625" style="1" bestFit="1" customWidth="1"/>
    <col min="12" max="12" width="7.8984375" style="38" bestFit="1" customWidth="1"/>
    <col min="13" max="15" width="9.09765625" style="1" bestFit="1" customWidth="1"/>
    <col min="16" max="16" width="7.8984375" style="38" bestFit="1" customWidth="1"/>
    <col min="17" max="16383" width="8.69921875" style="1"/>
    <col min="16384" max="16384" width="9" style="1" bestFit="1" customWidth="1"/>
  </cols>
  <sheetData>
    <row r="1" spans="1:16" ht="28.8" x14ac:dyDescent="0.75">
      <c r="A1" s="48" t="s">
        <v>23</v>
      </c>
    </row>
    <row r="2" spans="1:16" s="18" customFormat="1" x14ac:dyDescent="0.6">
      <c r="A2" s="111" t="s">
        <v>0</v>
      </c>
      <c r="B2" s="111"/>
      <c r="C2" s="111"/>
      <c r="D2" s="111"/>
      <c r="E2" s="112" t="s">
        <v>1</v>
      </c>
      <c r="F2" s="112"/>
      <c r="G2" s="112"/>
      <c r="H2" s="112"/>
      <c r="I2" s="113" t="s">
        <v>2</v>
      </c>
      <c r="J2" s="113"/>
      <c r="K2" s="113"/>
      <c r="L2" s="113"/>
      <c r="M2" s="114" t="s">
        <v>3</v>
      </c>
      <c r="N2" s="114"/>
      <c r="O2" s="114"/>
      <c r="P2" s="114"/>
    </row>
    <row r="3" spans="1:16" s="22" customFormat="1" x14ac:dyDescent="0.25">
      <c r="A3" s="23" t="s">
        <v>4</v>
      </c>
      <c r="B3" s="23" t="s">
        <v>5</v>
      </c>
      <c r="C3" s="23" t="s">
        <v>6</v>
      </c>
      <c r="D3" s="25" t="s">
        <v>7</v>
      </c>
      <c r="E3" s="19" t="s">
        <v>4</v>
      </c>
      <c r="F3" s="19" t="s">
        <v>5</v>
      </c>
      <c r="G3" s="19" t="s">
        <v>6</v>
      </c>
      <c r="H3" s="27" t="s">
        <v>7</v>
      </c>
      <c r="I3" s="20" t="s">
        <v>4</v>
      </c>
      <c r="J3" s="20" t="s">
        <v>5</v>
      </c>
      <c r="K3" s="20" t="s">
        <v>6</v>
      </c>
      <c r="L3" s="30" t="s">
        <v>7</v>
      </c>
      <c r="M3" s="21" t="s">
        <v>4</v>
      </c>
      <c r="N3" s="21" t="s">
        <v>5</v>
      </c>
      <c r="O3" s="21" t="s">
        <v>6</v>
      </c>
      <c r="P3" s="31" t="s">
        <v>7</v>
      </c>
    </row>
    <row r="4" spans="1:16" x14ac:dyDescent="0.6">
      <c r="A4" s="24">
        <v>45809</v>
      </c>
      <c r="B4" s="3">
        <v>20448.260000000002</v>
      </c>
      <c r="C4" s="3">
        <v>8947.98</v>
      </c>
      <c r="D4" s="32">
        <f>+C4/B4</f>
        <v>0.43759126693420364</v>
      </c>
      <c r="E4" s="24">
        <v>45809</v>
      </c>
      <c r="F4" s="3">
        <v>16761</v>
      </c>
      <c r="G4" s="3">
        <v>1669.1</v>
      </c>
      <c r="H4" s="32">
        <f>+G4/F4</f>
        <v>9.9582363820774414E-2</v>
      </c>
      <c r="I4" s="24">
        <v>45809</v>
      </c>
      <c r="J4" s="3">
        <v>1868.9899999999998</v>
      </c>
      <c r="K4" s="3">
        <v>202.65</v>
      </c>
      <c r="L4" s="32">
        <f>+K4/J4</f>
        <v>0.10842754642881985</v>
      </c>
      <c r="M4" s="24">
        <v>45809</v>
      </c>
      <c r="N4" s="3">
        <v>3910</v>
      </c>
      <c r="O4" s="4">
        <v>437.33</v>
      </c>
      <c r="P4" s="32">
        <f>+O4/N4</f>
        <v>0.11184910485933504</v>
      </c>
    </row>
    <row r="5" spans="1:16" x14ac:dyDescent="0.6">
      <c r="A5" s="24">
        <v>45810</v>
      </c>
      <c r="B5" s="3">
        <v>9602.07</v>
      </c>
      <c r="C5" s="3">
        <v>7194.4</v>
      </c>
      <c r="D5" s="32">
        <f t="shared" ref="D5:D33" si="0">+C5/B5</f>
        <v>0.74925510853388899</v>
      </c>
      <c r="E5" s="24">
        <v>45810</v>
      </c>
      <c r="F5" s="3">
        <v>3874</v>
      </c>
      <c r="G5" s="3">
        <v>1458.63</v>
      </c>
      <c r="H5" s="32">
        <f t="shared" ref="H5:H33" si="1">+G5/F5</f>
        <v>0.37651781104801241</v>
      </c>
      <c r="I5" s="24">
        <v>45810</v>
      </c>
      <c r="J5" s="5">
        <v>2615.2400000000002</v>
      </c>
      <c r="K5" s="3">
        <v>200.17</v>
      </c>
      <c r="L5" s="32">
        <f t="shared" ref="L5:L33" si="2">+K5/J5</f>
        <v>7.6539820437130035E-2</v>
      </c>
      <c r="M5" s="24">
        <v>45810</v>
      </c>
      <c r="N5" s="3">
        <v>4769</v>
      </c>
      <c r="O5" s="4">
        <v>490.86</v>
      </c>
      <c r="P5" s="32">
        <f t="shared" ref="P5:P33" si="3">+O5/N5</f>
        <v>0.10292723841476201</v>
      </c>
    </row>
    <row r="6" spans="1:16" x14ac:dyDescent="0.6">
      <c r="A6" s="24">
        <v>45811</v>
      </c>
      <c r="B6" s="3">
        <v>15993.89</v>
      </c>
      <c r="C6" s="3">
        <v>8464.1</v>
      </c>
      <c r="D6" s="32">
        <f t="shared" si="0"/>
        <v>0.52920834143538564</v>
      </c>
      <c r="E6" s="24">
        <v>45811</v>
      </c>
      <c r="F6" s="3">
        <v>2340</v>
      </c>
      <c r="G6" s="3">
        <v>1479.25</v>
      </c>
      <c r="H6" s="32">
        <f t="shared" si="1"/>
        <v>0.63215811965811963</v>
      </c>
      <c r="I6" s="24">
        <v>45811</v>
      </c>
      <c r="J6" s="5">
        <v>1895.9900000000002</v>
      </c>
      <c r="K6" s="3">
        <v>200.66</v>
      </c>
      <c r="L6" s="32">
        <f t="shared" si="2"/>
        <v>0.10583389152896375</v>
      </c>
      <c r="M6" s="24">
        <v>45811</v>
      </c>
      <c r="N6" s="3">
        <v>3066</v>
      </c>
      <c r="O6" s="4">
        <v>456.16</v>
      </c>
      <c r="P6" s="32">
        <f t="shared" si="3"/>
        <v>0.14878016960208743</v>
      </c>
    </row>
    <row r="7" spans="1:16" x14ac:dyDescent="0.6">
      <c r="A7" s="24">
        <v>45812</v>
      </c>
      <c r="B7" s="3">
        <v>34761.22</v>
      </c>
      <c r="C7" s="3">
        <v>6206.39</v>
      </c>
      <c r="D7" s="32">
        <f t="shared" si="0"/>
        <v>0.17854350336380601</v>
      </c>
      <c r="E7" s="24">
        <v>45812</v>
      </c>
      <c r="F7" s="3">
        <v>13909</v>
      </c>
      <c r="G7" s="3">
        <v>1269.25</v>
      </c>
      <c r="H7" s="32">
        <f t="shared" si="1"/>
        <v>9.1253864404342508E-2</v>
      </c>
      <c r="I7" s="24">
        <v>45812</v>
      </c>
      <c r="J7" s="5">
        <v>2123.4700000000003</v>
      </c>
      <c r="K7" s="3">
        <v>193.08</v>
      </c>
      <c r="L7" s="32">
        <f t="shared" si="2"/>
        <v>9.0926643654019118E-2</v>
      </c>
      <c r="M7" s="24">
        <v>45812</v>
      </c>
      <c r="N7" s="3">
        <v>3240</v>
      </c>
      <c r="O7" s="4">
        <v>415.03</v>
      </c>
      <c r="P7" s="32">
        <f t="shared" si="3"/>
        <v>0.12809567901234567</v>
      </c>
    </row>
    <row r="8" spans="1:16" x14ac:dyDescent="0.6">
      <c r="A8" s="24">
        <v>45813</v>
      </c>
      <c r="B8" s="3">
        <v>34551.25</v>
      </c>
      <c r="C8" s="3">
        <v>10978.93</v>
      </c>
      <c r="D8" s="32">
        <f t="shared" si="0"/>
        <v>0.31775782352302739</v>
      </c>
      <c r="E8" s="24">
        <v>45813</v>
      </c>
      <c r="F8" s="3">
        <v>36420.5</v>
      </c>
      <c r="G8" s="3">
        <v>2256.29</v>
      </c>
      <c r="H8" s="32">
        <f t="shared" si="1"/>
        <v>6.1951098968987248E-2</v>
      </c>
      <c r="I8" s="24">
        <v>45813</v>
      </c>
      <c r="J8" s="5">
        <v>1465.1999999999998</v>
      </c>
      <c r="K8" s="3">
        <v>195.86</v>
      </c>
      <c r="L8" s="32">
        <f t="shared" si="2"/>
        <v>0.13367458367458371</v>
      </c>
      <c r="M8" s="24">
        <v>45813</v>
      </c>
      <c r="N8" s="3">
        <v>1136</v>
      </c>
      <c r="O8" s="4">
        <v>409.04</v>
      </c>
      <c r="P8" s="32">
        <f t="shared" si="3"/>
        <v>0.36007042253521127</v>
      </c>
    </row>
    <row r="9" spans="1:16" x14ac:dyDescent="0.6">
      <c r="A9" s="24">
        <v>45814</v>
      </c>
      <c r="B9" s="3">
        <v>46431.789999999994</v>
      </c>
      <c r="C9" s="3">
        <v>8926.2000000000007</v>
      </c>
      <c r="D9" s="32">
        <f t="shared" si="0"/>
        <v>0.1922432884883396</v>
      </c>
      <c r="E9" s="24">
        <v>45814</v>
      </c>
      <c r="F9" s="3">
        <v>5078</v>
      </c>
      <c r="G9" s="3">
        <v>2951.9</v>
      </c>
      <c r="H9" s="32">
        <f t="shared" si="1"/>
        <v>0.58131153997636864</v>
      </c>
      <c r="I9" s="24">
        <v>45814</v>
      </c>
      <c r="J9" s="3">
        <v>2354.0299999999997</v>
      </c>
      <c r="K9" s="3">
        <v>202.5</v>
      </c>
      <c r="L9" s="32">
        <f t="shared" si="2"/>
        <v>8.6022692998814806E-2</v>
      </c>
      <c r="M9" s="24">
        <v>45814</v>
      </c>
      <c r="N9" s="3">
        <v>1472</v>
      </c>
      <c r="O9" s="4">
        <v>616.41</v>
      </c>
      <c r="P9" s="32">
        <f t="shared" si="3"/>
        <v>0.41875679347826084</v>
      </c>
    </row>
    <row r="10" spans="1:16" x14ac:dyDescent="0.6">
      <c r="A10" s="24">
        <v>45815</v>
      </c>
      <c r="B10" s="3">
        <v>48404.380000000005</v>
      </c>
      <c r="C10" s="3">
        <v>7282.82</v>
      </c>
      <c r="D10" s="32">
        <f t="shared" si="0"/>
        <v>0.15045787178763573</v>
      </c>
      <c r="E10" s="24">
        <v>45815</v>
      </c>
      <c r="F10" s="3">
        <v>15573</v>
      </c>
      <c r="G10" s="3">
        <v>2449.8000000000002</v>
      </c>
      <c r="H10" s="32">
        <f t="shared" si="1"/>
        <v>0.15731073010980545</v>
      </c>
      <c r="I10" s="24">
        <v>45815</v>
      </c>
      <c r="J10" s="3">
        <v>2500.09</v>
      </c>
      <c r="K10" s="4">
        <v>189.09</v>
      </c>
      <c r="L10" s="32">
        <f t="shared" si="2"/>
        <v>7.5633277202020718E-2</v>
      </c>
      <c r="M10" s="24">
        <v>45815</v>
      </c>
      <c r="N10" s="3">
        <v>1934</v>
      </c>
      <c r="O10" s="4">
        <v>386.74</v>
      </c>
      <c r="P10" s="32">
        <f t="shared" si="3"/>
        <v>0.19996897621509824</v>
      </c>
    </row>
    <row r="11" spans="1:16" x14ac:dyDescent="0.6">
      <c r="A11" s="24">
        <v>45816</v>
      </c>
      <c r="B11" s="3">
        <v>44105.67</v>
      </c>
      <c r="C11" s="3">
        <v>8950.89</v>
      </c>
      <c r="D11" s="32">
        <f t="shared" si="0"/>
        <v>0.20294193467642596</v>
      </c>
      <c r="E11" s="24">
        <v>45816</v>
      </c>
      <c r="F11" s="3">
        <v>11270</v>
      </c>
      <c r="G11" s="4">
        <v>1975.12</v>
      </c>
      <c r="H11" s="32">
        <f t="shared" si="1"/>
        <v>0.17525465838509316</v>
      </c>
      <c r="I11" s="24">
        <v>45816</v>
      </c>
      <c r="J11" s="3">
        <v>3923.1499999999996</v>
      </c>
      <c r="K11" s="4">
        <v>195.91</v>
      </c>
      <c r="L11" s="32">
        <f t="shared" si="2"/>
        <v>4.9936912939857005E-2</v>
      </c>
      <c r="M11" s="24">
        <v>45816</v>
      </c>
      <c r="N11" s="3">
        <v>3305</v>
      </c>
      <c r="O11" s="4">
        <v>442.22</v>
      </c>
      <c r="P11" s="32">
        <f t="shared" si="3"/>
        <v>0.13380332829046898</v>
      </c>
    </row>
    <row r="12" spans="1:16" x14ac:dyDescent="0.6">
      <c r="A12" s="24">
        <v>45817</v>
      </c>
      <c r="B12" s="3">
        <v>36056.65</v>
      </c>
      <c r="C12" s="3">
        <v>5015.5600000000004</v>
      </c>
      <c r="D12" s="32">
        <f t="shared" si="0"/>
        <v>0.13910221831479075</v>
      </c>
      <c r="E12" s="24">
        <v>45817</v>
      </c>
      <c r="F12" s="3">
        <v>4666</v>
      </c>
      <c r="G12" s="4">
        <v>1898.16</v>
      </c>
      <c r="H12" s="32">
        <f t="shared" si="1"/>
        <v>0.40680668666952424</v>
      </c>
      <c r="I12" s="24">
        <v>45817</v>
      </c>
      <c r="J12" s="3">
        <v>1716.7</v>
      </c>
      <c r="K12" s="4">
        <v>199.48</v>
      </c>
      <c r="L12" s="32">
        <f t="shared" si="2"/>
        <v>0.11619968544300109</v>
      </c>
      <c r="M12" s="24">
        <v>45817</v>
      </c>
      <c r="N12" s="3">
        <v>2362</v>
      </c>
      <c r="O12" s="4">
        <v>458.96</v>
      </c>
      <c r="P12" s="32">
        <f t="shared" si="3"/>
        <v>0.19430990685859439</v>
      </c>
    </row>
    <row r="13" spans="1:16" x14ac:dyDescent="0.6">
      <c r="A13" s="24">
        <v>45818</v>
      </c>
      <c r="B13" s="3">
        <v>45800.15</v>
      </c>
      <c r="C13" s="3">
        <v>5327.49</v>
      </c>
      <c r="D13" s="32">
        <f t="shared" si="0"/>
        <v>0.1163203613961963</v>
      </c>
      <c r="E13" s="24">
        <v>45818</v>
      </c>
      <c r="F13" s="3">
        <v>17622</v>
      </c>
      <c r="G13" s="4">
        <v>1793.54</v>
      </c>
      <c r="H13" s="32">
        <f t="shared" si="1"/>
        <v>0.10177845874475087</v>
      </c>
      <c r="I13" s="24">
        <v>45818</v>
      </c>
      <c r="J13" s="3">
        <v>1496.3999999999999</v>
      </c>
      <c r="K13" s="4">
        <v>190.06</v>
      </c>
      <c r="L13" s="32">
        <f t="shared" si="2"/>
        <v>0.12701149425287359</v>
      </c>
      <c r="M13" s="24">
        <v>45818</v>
      </c>
      <c r="N13" s="3">
        <v>4036</v>
      </c>
      <c r="O13" s="4">
        <v>517.44000000000005</v>
      </c>
      <c r="P13" s="32">
        <f t="shared" si="3"/>
        <v>0.12820614469772054</v>
      </c>
    </row>
    <row r="14" spans="1:16" x14ac:dyDescent="0.6">
      <c r="A14" s="24">
        <v>45819</v>
      </c>
      <c r="B14" s="3">
        <v>49496.090000000004</v>
      </c>
      <c r="C14" s="3">
        <v>10983.46</v>
      </c>
      <c r="D14" s="32">
        <f t="shared" si="0"/>
        <v>0.22190560910972965</v>
      </c>
      <c r="E14" s="24">
        <v>45819</v>
      </c>
      <c r="F14" s="3">
        <v>7025</v>
      </c>
      <c r="G14" s="4">
        <v>1906.71</v>
      </c>
      <c r="H14" s="32">
        <f t="shared" si="1"/>
        <v>0.27141779359430607</v>
      </c>
      <c r="I14" s="24">
        <v>45819</v>
      </c>
      <c r="J14" s="3">
        <v>4251.4900000000007</v>
      </c>
      <c r="K14" s="4">
        <v>197.97</v>
      </c>
      <c r="L14" s="32">
        <f t="shared" si="2"/>
        <v>4.656485138151565E-2</v>
      </c>
      <c r="M14" s="24">
        <v>45819</v>
      </c>
      <c r="N14" s="3">
        <v>3881</v>
      </c>
      <c r="O14" s="4">
        <v>514.26</v>
      </c>
      <c r="P14" s="32">
        <f t="shared" si="3"/>
        <v>0.13250708580262818</v>
      </c>
    </row>
    <row r="15" spans="1:16" x14ac:dyDescent="0.6">
      <c r="A15" s="24">
        <v>45820</v>
      </c>
      <c r="B15" s="3">
        <v>48656.619999999995</v>
      </c>
      <c r="C15" s="3">
        <v>7493.54</v>
      </c>
      <c r="D15" s="32">
        <f t="shared" si="0"/>
        <v>0.15400864260608321</v>
      </c>
      <c r="E15" s="24">
        <v>45820</v>
      </c>
      <c r="F15" s="3">
        <v>24048</v>
      </c>
      <c r="G15" s="4">
        <v>1928.38</v>
      </c>
      <c r="H15" s="32">
        <f t="shared" si="1"/>
        <v>8.0188789088489698E-2</v>
      </c>
      <c r="I15" s="24">
        <v>45820</v>
      </c>
      <c r="J15" s="3">
        <v>3490.62</v>
      </c>
      <c r="K15" s="4">
        <v>200.49</v>
      </c>
      <c r="L15" s="32">
        <f t="shared" si="2"/>
        <v>5.7436787733984224E-2</v>
      </c>
      <c r="M15" s="24">
        <v>45820</v>
      </c>
      <c r="N15" s="3">
        <v>3922</v>
      </c>
      <c r="O15" s="4">
        <v>470</v>
      </c>
      <c r="P15" s="32">
        <f t="shared" si="3"/>
        <v>0.1198368179500255</v>
      </c>
    </row>
    <row r="16" spans="1:16" x14ac:dyDescent="0.6">
      <c r="A16" s="24">
        <v>45821</v>
      </c>
      <c r="B16" s="3">
        <v>50784.450000000004</v>
      </c>
      <c r="C16" s="3">
        <v>2542.96</v>
      </c>
      <c r="D16" s="32">
        <f t="shared" si="0"/>
        <v>5.0073595362359932E-2</v>
      </c>
      <c r="E16" s="24">
        <v>45821</v>
      </c>
      <c r="F16" s="3">
        <v>7412</v>
      </c>
      <c r="G16" s="4">
        <v>2056.58</v>
      </c>
      <c r="H16" s="32">
        <f t="shared" si="1"/>
        <v>0.27746627091203452</v>
      </c>
      <c r="I16" s="24">
        <v>45821</v>
      </c>
      <c r="J16" s="3">
        <v>4771.04</v>
      </c>
      <c r="K16" s="3">
        <v>198.27</v>
      </c>
      <c r="L16" s="32">
        <f t="shared" si="2"/>
        <v>4.1556977095140682E-2</v>
      </c>
      <c r="M16" s="24">
        <v>45821</v>
      </c>
      <c r="N16" s="3">
        <v>5971</v>
      </c>
      <c r="O16" s="4">
        <v>465.14</v>
      </c>
      <c r="P16" s="32">
        <f t="shared" si="3"/>
        <v>7.7899849271478819E-2</v>
      </c>
    </row>
    <row r="17" spans="1:16" x14ac:dyDescent="0.6">
      <c r="A17" s="24">
        <v>45822</v>
      </c>
      <c r="B17" s="3">
        <v>38515.89</v>
      </c>
      <c r="C17" s="3">
        <v>4822.3999999999996</v>
      </c>
      <c r="D17" s="32">
        <f t="shared" si="0"/>
        <v>0.12520546714615707</v>
      </c>
      <c r="E17" s="24">
        <v>45822</v>
      </c>
      <c r="F17" s="3">
        <v>11817</v>
      </c>
      <c r="G17" s="4">
        <v>2115.9499999999998</v>
      </c>
      <c r="H17" s="32">
        <f t="shared" si="1"/>
        <v>0.17905982905982903</v>
      </c>
      <c r="I17" s="24">
        <v>45822</v>
      </c>
      <c r="J17" s="3">
        <v>3215.23</v>
      </c>
      <c r="K17" s="3">
        <v>200.24</v>
      </c>
      <c r="L17" s="32">
        <f t="shared" si="2"/>
        <v>6.2278592822286434E-2</v>
      </c>
      <c r="M17" s="24">
        <v>45822</v>
      </c>
      <c r="N17" s="3">
        <v>2882</v>
      </c>
      <c r="O17" s="4">
        <v>456.67</v>
      </c>
      <c r="P17" s="32">
        <f t="shared" si="3"/>
        <v>0.15845593337959751</v>
      </c>
    </row>
    <row r="18" spans="1:16" x14ac:dyDescent="0.6">
      <c r="A18" s="24">
        <v>45823</v>
      </c>
      <c r="B18" s="3">
        <v>45989.75</v>
      </c>
      <c r="C18" s="3">
        <v>4907.37</v>
      </c>
      <c r="D18" s="32">
        <f t="shared" si="0"/>
        <v>0.10670573334275572</v>
      </c>
      <c r="E18" s="24">
        <v>45823</v>
      </c>
      <c r="F18" s="3">
        <v>14472</v>
      </c>
      <c r="G18" s="3">
        <v>2398.52</v>
      </c>
      <c r="H18" s="32">
        <f t="shared" si="1"/>
        <v>0.16573521282476505</v>
      </c>
      <c r="I18" s="24">
        <v>45823</v>
      </c>
      <c r="J18" s="3">
        <v>1068.82</v>
      </c>
      <c r="K18" s="3">
        <v>172.66</v>
      </c>
      <c r="L18" s="32">
        <f t="shared" si="2"/>
        <v>0.16154263580397074</v>
      </c>
      <c r="M18" s="24">
        <v>45823</v>
      </c>
      <c r="N18" s="3">
        <v>4020</v>
      </c>
      <c r="O18" s="4">
        <v>521.67999999999995</v>
      </c>
      <c r="P18" s="32">
        <f t="shared" si="3"/>
        <v>0.12977114427860695</v>
      </c>
    </row>
    <row r="19" spans="1:16" x14ac:dyDescent="0.6">
      <c r="A19" s="24">
        <v>45824</v>
      </c>
      <c r="B19" s="3">
        <v>44802.719999999994</v>
      </c>
      <c r="C19" s="3">
        <v>5749.46</v>
      </c>
      <c r="D19" s="32">
        <f t="shared" si="0"/>
        <v>0.12832836934900382</v>
      </c>
      <c r="E19" s="24">
        <v>45824</v>
      </c>
      <c r="F19" s="3">
        <v>47837</v>
      </c>
      <c r="G19" s="3">
        <v>1311.13</v>
      </c>
      <c r="H19" s="32">
        <f t="shared" si="1"/>
        <v>2.7408282291949748E-2</v>
      </c>
      <c r="I19" s="24">
        <v>45824</v>
      </c>
      <c r="J19" s="3">
        <v>1118.44</v>
      </c>
      <c r="K19" s="3">
        <v>201.82</v>
      </c>
      <c r="L19" s="32">
        <f t="shared" si="2"/>
        <v>0.18044776653195521</v>
      </c>
      <c r="M19" s="24">
        <v>45824</v>
      </c>
      <c r="N19" s="3">
        <v>4412</v>
      </c>
      <c r="O19" s="4">
        <v>449.5</v>
      </c>
      <c r="P19" s="32">
        <f t="shared" si="3"/>
        <v>0.10188123300090662</v>
      </c>
    </row>
    <row r="20" spans="1:16" x14ac:dyDescent="0.6">
      <c r="A20" s="24">
        <v>45825</v>
      </c>
      <c r="B20" s="3">
        <v>54922.38</v>
      </c>
      <c r="C20" s="3">
        <v>4673.03</v>
      </c>
      <c r="D20" s="32">
        <f t="shared" si="0"/>
        <v>8.5084258912304964E-2</v>
      </c>
      <c r="E20" s="24">
        <v>45825</v>
      </c>
      <c r="F20" s="3">
        <v>5816</v>
      </c>
      <c r="G20" s="3">
        <v>1630.84</v>
      </c>
      <c r="H20" s="32">
        <f t="shared" si="1"/>
        <v>0.28040577716643739</v>
      </c>
      <c r="I20" s="24">
        <v>45825</v>
      </c>
      <c r="J20" s="3">
        <v>1424.8400000000001</v>
      </c>
      <c r="K20" s="3">
        <v>200.05</v>
      </c>
      <c r="L20" s="32">
        <f t="shared" si="2"/>
        <v>0.14040172931697595</v>
      </c>
      <c r="M20" s="24">
        <v>45825</v>
      </c>
      <c r="N20" s="3">
        <v>3813</v>
      </c>
      <c r="O20" s="4">
        <v>509.92</v>
      </c>
      <c r="P20" s="32">
        <f t="shared" si="3"/>
        <v>0.13373196957776029</v>
      </c>
    </row>
    <row r="21" spans="1:16" x14ac:dyDescent="0.6">
      <c r="A21" s="24">
        <v>45826</v>
      </c>
      <c r="B21" s="3">
        <v>58371.76</v>
      </c>
      <c r="C21" s="3">
        <v>3843.41</v>
      </c>
      <c r="D21" s="32">
        <f t="shared" si="0"/>
        <v>6.5843654534315899E-2</v>
      </c>
      <c r="E21" s="24">
        <v>45826</v>
      </c>
      <c r="F21" s="3">
        <v>9617</v>
      </c>
      <c r="G21" s="4">
        <v>1647.7</v>
      </c>
      <c r="H21" s="32">
        <f t="shared" si="1"/>
        <v>0.17133201622127484</v>
      </c>
      <c r="I21" s="24">
        <v>45826</v>
      </c>
      <c r="J21" s="3">
        <v>2447.9100000000003</v>
      </c>
      <c r="K21" s="4">
        <v>192.46</v>
      </c>
      <c r="L21" s="32">
        <f t="shared" si="2"/>
        <v>7.8622171566765112E-2</v>
      </c>
      <c r="M21" s="24">
        <v>45826</v>
      </c>
      <c r="N21" s="3">
        <v>1325</v>
      </c>
      <c r="O21" s="4">
        <v>446.36</v>
      </c>
      <c r="P21" s="32">
        <f t="shared" si="3"/>
        <v>0.33687547169811322</v>
      </c>
    </row>
    <row r="22" spans="1:16" x14ac:dyDescent="0.6">
      <c r="A22" s="24">
        <v>45827</v>
      </c>
      <c r="B22" s="3">
        <v>40403.909999999996</v>
      </c>
      <c r="C22" s="3">
        <v>2807.04</v>
      </c>
      <c r="D22" s="32">
        <f t="shared" si="0"/>
        <v>6.9474464228833299E-2</v>
      </c>
      <c r="E22" s="24">
        <v>45827</v>
      </c>
      <c r="F22" s="3">
        <v>42071</v>
      </c>
      <c r="G22" s="4">
        <v>1741.62</v>
      </c>
      <c r="H22" s="32">
        <f t="shared" si="1"/>
        <v>4.1397161940529101E-2</v>
      </c>
      <c r="I22" s="24">
        <v>45827</v>
      </c>
      <c r="J22" s="3">
        <v>1428.7799999999997</v>
      </c>
      <c r="K22" s="4">
        <v>177.71</v>
      </c>
      <c r="L22" s="32">
        <f t="shared" si="2"/>
        <v>0.12437884068925939</v>
      </c>
      <c r="M22" s="24">
        <v>45827</v>
      </c>
      <c r="N22" s="3">
        <v>3226</v>
      </c>
      <c r="O22" s="4">
        <v>348.55</v>
      </c>
      <c r="P22" s="32">
        <f t="shared" si="3"/>
        <v>0.10804401735895847</v>
      </c>
    </row>
    <row r="23" spans="1:16" x14ac:dyDescent="0.6">
      <c r="A23" s="24">
        <v>45828</v>
      </c>
      <c r="B23" s="3">
        <v>38601.29</v>
      </c>
      <c r="C23" s="3">
        <v>3548.49</v>
      </c>
      <c r="D23" s="32">
        <f t="shared" si="0"/>
        <v>9.1926720583690336E-2</v>
      </c>
      <c r="E23" s="24">
        <v>45828</v>
      </c>
      <c r="F23" s="6">
        <v>7124</v>
      </c>
      <c r="G23" s="3">
        <v>1912.34</v>
      </c>
      <c r="H23" s="32">
        <f t="shared" si="1"/>
        <v>0.26843627175743962</v>
      </c>
      <c r="I23" s="24">
        <v>45828</v>
      </c>
      <c r="J23" s="3">
        <v>1249.9599999999998</v>
      </c>
      <c r="K23" s="4">
        <v>200.99</v>
      </c>
      <c r="L23" s="32">
        <f t="shared" si="2"/>
        <v>0.16079714550865631</v>
      </c>
      <c r="M23" s="24">
        <v>45828</v>
      </c>
      <c r="N23" s="3">
        <v>2423</v>
      </c>
      <c r="O23" s="4">
        <v>514.69000000000005</v>
      </c>
      <c r="P23" s="32">
        <f t="shared" si="3"/>
        <v>0.2124184894758564</v>
      </c>
    </row>
    <row r="24" spans="1:16" x14ac:dyDescent="0.6">
      <c r="A24" s="24">
        <v>45829</v>
      </c>
      <c r="B24" s="3">
        <v>41146.229999999996</v>
      </c>
      <c r="C24" s="3">
        <v>5402.91</v>
      </c>
      <c r="D24" s="32">
        <f t="shared" si="0"/>
        <v>0.13130996448520316</v>
      </c>
      <c r="E24" s="24">
        <v>45829</v>
      </c>
      <c r="F24" s="3">
        <v>18825</v>
      </c>
      <c r="G24" s="6">
        <v>1882.75</v>
      </c>
      <c r="H24" s="32">
        <f t="shared" si="1"/>
        <v>0.1000132802124834</v>
      </c>
      <c r="I24" s="24">
        <v>45829</v>
      </c>
      <c r="J24" s="3">
        <v>1670.1799999999998</v>
      </c>
      <c r="K24" s="4">
        <v>201.88</v>
      </c>
      <c r="L24" s="32">
        <f t="shared" si="2"/>
        <v>0.12087319929588429</v>
      </c>
      <c r="M24" s="24">
        <v>45829</v>
      </c>
      <c r="N24" s="3">
        <v>2418</v>
      </c>
      <c r="O24" s="4">
        <v>490.24</v>
      </c>
      <c r="P24" s="32">
        <f t="shared" si="3"/>
        <v>0.20274607113316792</v>
      </c>
    </row>
    <row r="25" spans="1:16" x14ac:dyDescent="0.6">
      <c r="A25" s="24">
        <v>45830</v>
      </c>
      <c r="B25" s="3">
        <v>44684.74</v>
      </c>
      <c r="C25" s="3">
        <v>7699.5</v>
      </c>
      <c r="D25" s="32">
        <f t="shared" si="0"/>
        <v>0.17230714557139643</v>
      </c>
      <c r="E25" s="24">
        <v>45830</v>
      </c>
      <c r="F25" s="3">
        <v>13019</v>
      </c>
      <c r="G25" s="6">
        <v>1695.54</v>
      </c>
      <c r="H25" s="32">
        <f t="shared" si="1"/>
        <v>0.13023580920193564</v>
      </c>
      <c r="I25" s="24">
        <v>45830</v>
      </c>
      <c r="J25" s="3">
        <v>2120.4899999999998</v>
      </c>
      <c r="K25" s="6">
        <v>200.6</v>
      </c>
      <c r="L25" s="32">
        <f t="shared" si="2"/>
        <v>9.4600776235681389E-2</v>
      </c>
      <c r="M25" s="24">
        <v>45830</v>
      </c>
      <c r="N25" s="3">
        <v>4238</v>
      </c>
      <c r="O25" s="4">
        <v>550.33000000000004</v>
      </c>
      <c r="P25" s="32">
        <f t="shared" si="3"/>
        <v>0.12985606418121756</v>
      </c>
    </row>
    <row r="26" spans="1:16" x14ac:dyDescent="0.6">
      <c r="A26" s="24">
        <v>45831</v>
      </c>
      <c r="B26" s="3">
        <v>26900.120000000003</v>
      </c>
      <c r="C26" s="3">
        <v>6103.86</v>
      </c>
      <c r="D26" s="32">
        <f t="shared" si="0"/>
        <v>0.22690828145004555</v>
      </c>
      <c r="E26" s="24">
        <v>45831</v>
      </c>
      <c r="F26" s="3">
        <v>3184</v>
      </c>
      <c r="G26" s="6">
        <v>2045.86</v>
      </c>
      <c r="H26" s="32">
        <f t="shared" si="1"/>
        <v>0.64254396984924622</v>
      </c>
      <c r="I26" s="24">
        <v>45831</v>
      </c>
      <c r="J26" s="3">
        <v>3923.71</v>
      </c>
      <c r="K26" s="6">
        <v>200.67</v>
      </c>
      <c r="L26" s="32">
        <f t="shared" si="2"/>
        <v>5.1142923406673785E-2</v>
      </c>
      <c r="M26" s="24">
        <v>45831</v>
      </c>
      <c r="N26" s="3">
        <v>5003</v>
      </c>
      <c r="O26" s="4">
        <v>424.08</v>
      </c>
      <c r="P26" s="32">
        <f t="shared" si="3"/>
        <v>8.4765140915450732E-2</v>
      </c>
    </row>
    <row r="27" spans="1:16" x14ac:dyDescent="0.6">
      <c r="A27" s="24">
        <v>45832</v>
      </c>
      <c r="B27" s="3">
        <v>21093.9</v>
      </c>
      <c r="C27" s="3">
        <v>8119</v>
      </c>
      <c r="D27" s="32">
        <f t="shared" si="0"/>
        <v>0.38489800368827004</v>
      </c>
      <c r="E27" s="24">
        <v>45832</v>
      </c>
      <c r="F27" s="3">
        <v>1393</v>
      </c>
      <c r="G27" s="6">
        <v>1774.06</v>
      </c>
      <c r="H27" s="32">
        <f t="shared" si="1"/>
        <v>1.2735534816941851</v>
      </c>
      <c r="I27" s="24">
        <v>45832</v>
      </c>
      <c r="J27" s="3">
        <v>1391.21</v>
      </c>
      <c r="K27" s="6">
        <v>148.35</v>
      </c>
      <c r="L27" s="32">
        <f t="shared" si="2"/>
        <v>0.10663379360412878</v>
      </c>
      <c r="M27" s="24">
        <v>45832</v>
      </c>
      <c r="N27" s="3">
        <v>1940</v>
      </c>
      <c r="O27" s="4">
        <v>562.53</v>
      </c>
      <c r="P27" s="32">
        <f t="shared" si="3"/>
        <v>0.28996391752577316</v>
      </c>
    </row>
    <row r="28" spans="1:16" x14ac:dyDescent="0.6">
      <c r="A28" s="24">
        <v>45833</v>
      </c>
      <c r="B28" s="3">
        <v>20296.07</v>
      </c>
      <c r="C28" s="3">
        <v>7155.06</v>
      </c>
      <c r="D28" s="32">
        <f t="shared" si="0"/>
        <v>0.35253425909548008</v>
      </c>
      <c r="E28" s="24">
        <v>45833</v>
      </c>
      <c r="F28" s="3">
        <v>25173</v>
      </c>
      <c r="G28" s="6">
        <v>1702.95</v>
      </c>
      <c r="H28" s="32">
        <f t="shared" si="1"/>
        <v>6.7649862948397088E-2</v>
      </c>
      <c r="I28" s="24">
        <v>45833</v>
      </c>
      <c r="J28" s="3">
        <v>702.09</v>
      </c>
      <c r="K28" s="6">
        <v>0</v>
      </c>
      <c r="L28" s="32">
        <f t="shared" si="2"/>
        <v>0</v>
      </c>
      <c r="M28" s="24">
        <v>45833</v>
      </c>
      <c r="N28" s="3">
        <v>2572</v>
      </c>
      <c r="O28" s="4">
        <v>592.02</v>
      </c>
      <c r="P28" s="32">
        <f t="shared" si="3"/>
        <v>0.23017884914463452</v>
      </c>
    </row>
    <row r="29" spans="1:16" x14ac:dyDescent="0.6">
      <c r="A29" s="24">
        <v>45834</v>
      </c>
      <c r="B29" s="3">
        <v>33757.43</v>
      </c>
      <c r="C29" s="3">
        <v>4577.3900000000003</v>
      </c>
      <c r="D29" s="32">
        <f t="shared" si="0"/>
        <v>0.13559651904780667</v>
      </c>
      <c r="E29" s="24">
        <v>45834</v>
      </c>
      <c r="F29" s="6">
        <v>22181</v>
      </c>
      <c r="G29" s="6">
        <v>1194.03</v>
      </c>
      <c r="H29" s="32">
        <f t="shared" si="1"/>
        <v>5.3831206888778682E-2</v>
      </c>
      <c r="I29" s="24">
        <v>45834</v>
      </c>
      <c r="J29" s="4">
        <v>1081.56</v>
      </c>
      <c r="K29" s="6">
        <v>0</v>
      </c>
      <c r="L29" s="32">
        <f t="shared" si="2"/>
        <v>0</v>
      </c>
      <c r="M29" s="24">
        <v>45834</v>
      </c>
      <c r="N29" s="3">
        <v>5030</v>
      </c>
      <c r="O29" s="4">
        <v>568.25</v>
      </c>
      <c r="P29" s="32">
        <f t="shared" si="3"/>
        <v>0.11297216699801192</v>
      </c>
    </row>
    <row r="30" spans="1:16" x14ac:dyDescent="0.6">
      <c r="A30" s="24">
        <v>45835</v>
      </c>
      <c r="B30" s="3">
        <v>36246.660000000003</v>
      </c>
      <c r="C30" s="3">
        <v>4063.63</v>
      </c>
      <c r="D30" s="32">
        <f t="shared" si="0"/>
        <v>0.11211046755756254</v>
      </c>
      <c r="E30" s="24">
        <v>45835</v>
      </c>
      <c r="F30" s="6">
        <v>18554</v>
      </c>
      <c r="G30" s="6">
        <v>882.62</v>
      </c>
      <c r="H30" s="32">
        <f t="shared" si="1"/>
        <v>4.7570335237684599E-2</v>
      </c>
      <c r="I30" s="24">
        <v>45835</v>
      </c>
      <c r="J30" s="4">
        <v>1882.6699999999998</v>
      </c>
      <c r="K30" s="6">
        <v>0</v>
      </c>
      <c r="L30" s="32">
        <f t="shared" si="2"/>
        <v>0</v>
      </c>
      <c r="M30" s="24">
        <v>45835</v>
      </c>
      <c r="N30" s="3">
        <v>1903</v>
      </c>
      <c r="O30" s="4">
        <v>538.09</v>
      </c>
      <c r="P30" s="32">
        <f t="shared" si="3"/>
        <v>0.2827588018917499</v>
      </c>
    </row>
    <row r="31" spans="1:16" x14ac:dyDescent="0.6">
      <c r="A31" s="24">
        <v>45836</v>
      </c>
      <c r="B31" s="4">
        <v>34743.53</v>
      </c>
      <c r="C31" s="3">
        <v>3699.53</v>
      </c>
      <c r="D31" s="32">
        <f t="shared" si="0"/>
        <v>0.10648112036974942</v>
      </c>
      <c r="E31" s="24">
        <v>45836</v>
      </c>
      <c r="F31" s="3">
        <v>3029</v>
      </c>
      <c r="G31" s="6">
        <v>932.11</v>
      </c>
      <c r="H31" s="32">
        <f t="shared" si="1"/>
        <v>0.30772862330802248</v>
      </c>
      <c r="I31" s="24">
        <v>45836</v>
      </c>
      <c r="J31" s="4">
        <v>1587.26</v>
      </c>
      <c r="K31" s="6">
        <v>0</v>
      </c>
      <c r="L31" s="32">
        <f t="shared" si="2"/>
        <v>0</v>
      </c>
      <c r="M31" s="24">
        <v>45836</v>
      </c>
      <c r="N31" s="4">
        <v>2270</v>
      </c>
      <c r="O31" s="4">
        <v>567.98</v>
      </c>
      <c r="P31" s="32">
        <f t="shared" si="3"/>
        <v>0.25021145374449338</v>
      </c>
    </row>
    <row r="32" spans="1:16" x14ac:dyDescent="0.6">
      <c r="A32" s="24">
        <v>45837</v>
      </c>
      <c r="B32" s="4">
        <v>31212.58</v>
      </c>
      <c r="C32" s="3">
        <v>5906.38</v>
      </c>
      <c r="D32" s="32">
        <f t="shared" si="0"/>
        <v>0.18923075247224036</v>
      </c>
      <c r="E32" s="24">
        <v>45837</v>
      </c>
      <c r="F32" s="4">
        <v>4475</v>
      </c>
      <c r="G32" s="6">
        <v>1311.41</v>
      </c>
      <c r="H32" s="32">
        <f t="shared" si="1"/>
        <v>0.29305251396648047</v>
      </c>
      <c r="I32" s="24">
        <v>45837</v>
      </c>
      <c r="J32" s="4">
        <v>1640.7099999999998</v>
      </c>
      <c r="K32" s="6">
        <v>0</v>
      </c>
      <c r="L32" s="32">
        <f t="shared" si="2"/>
        <v>0</v>
      </c>
      <c r="M32" s="24">
        <v>45837</v>
      </c>
      <c r="N32" s="4">
        <v>5884</v>
      </c>
      <c r="O32" s="4">
        <v>512.15</v>
      </c>
      <c r="P32" s="32">
        <f t="shared" si="3"/>
        <v>8.7041128484024469E-2</v>
      </c>
    </row>
    <row r="33" spans="1:16 16384:16384" x14ac:dyDescent="0.6">
      <c r="A33" s="24">
        <v>45838</v>
      </c>
      <c r="B33" s="4">
        <v>20254.739999999998</v>
      </c>
      <c r="C33" s="3">
        <v>6158.53</v>
      </c>
      <c r="D33" s="32">
        <f t="shared" si="0"/>
        <v>0.30405376716758648</v>
      </c>
      <c r="E33" s="24">
        <v>45838</v>
      </c>
      <c r="F33" s="4">
        <v>23795</v>
      </c>
      <c r="G33" s="6">
        <v>1144.96</v>
      </c>
      <c r="H33" s="32">
        <f t="shared" si="1"/>
        <v>4.8117671779785667E-2</v>
      </c>
      <c r="I33" s="24">
        <v>45838</v>
      </c>
      <c r="J33" s="4">
        <v>1607.33</v>
      </c>
      <c r="K33" s="6">
        <v>0</v>
      </c>
      <c r="L33" s="32">
        <f t="shared" si="2"/>
        <v>0</v>
      </c>
      <c r="M33" s="24">
        <v>45838</v>
      </c>
      <c r="N33" s="4">
        <v>3375</v>
      </c>
      <c r="O33" s="4">
        <v>578.34</v>
      </c>
      <c r="P33" s="32">
        <f t="shared" si="3"/>
        <v>0.17136000000000001</v>
      </c>
    </row>
    <row r="34" spans="1:16 16384:16384" x14ac:dyDescent="0.6">
      <c r="A34" s="24">
        <v>45839</v>
      </c>
      <c r="B34" s="4">
        <v>0</v>
      </c>
      <c r="C34" s="4">
        <v>0</v>
      </c>
      <c r="D34" s="32">
        <v>0</v>
      </c>
      <c r="E34" s="24">
        <v>45839</v>
      </c>
      <c r="F34" s="6">
        <v>0</v>
      </c>
      <c r="G34" s="6"/>
      <c r="H34" s="32">
        <v>0</v>
      </c>
      <c r="I34" s="24">
        <v>45839</v>
      </c>
      <c r="J34" s="6">
        <v>0</v>
      </c>
      <c r="K34" s="6">
        <v>0</v>
      </c>
      <c r="L34" s="32">
        <v>0</v>
      </c>
      <c r="M34" s="24">
        <v>45839</v>
      </c>
      <c r="N34" s="4">
        <v>0</v>
      </c>
      <c r="O34" s="4">
        <v>0</v>
      </c>
      <c r="P34" s="32">
        <v>0</v>
      </c>
    </row>
    <row r="35" spans="1:16 16384:16384" s="17" customFormat="1" ht="27" thickBot="1" x14ac:dyDescent="0.75">
      <c r="A35" s="16" t="s">
        <v>11</v>
      </c>
      <c r="B35" s="39">
        <f>SUM(B4:B34)</f>
        <v>1117036.1900000002</v>
      </c>
      <c r="C35" s="39">
        <f t="shared" ref="C35" si="4">SUM(C4:C34)</f>
        <v>187551.71</v>
      </c>
      <c r="D35" s="15" t="s">
        <v>12</v>
      </c>
      <c r="E35" s="16" t="s">
        <v>11</v>
      </c>
      <c r="F35" s="39">
        <f>SUM(F4:F34)</f>
        <v>438380.5</v>
      </c>
      <c r="G35" s="39">
        <f t="shared" ref="G35" si="5">SUM(G4:G34)</f>
        <v>52417.1</v>
      </c>
      <c r="H35" s="15" t="s">
        <v>12</v>
      </c>
      <c r="I35" s="16" t="s">
        <v>11</v>
      </c>
      <c r="J35" s="39">
        <f>SUM(J4:J34)</f>
        <v>64033.599999999999</v>
      </c>
      <c r="K35" s="39">
        <f t="shared" ref="K35" si="6">SUM(K4:K34)</f>
        <v>4663.6200000000017</v>
      </c>
      <c r="L35" s="15" t="s">
        <v>12</v>
      </c>
      <c r="M35" s="16" t="s">
        <v>11</v>
      </c>
      <c r="N35" s="39">
        <f>SUM(N4:N34)</f>
        <v>99738</v>
      </c>
      <c r="O35" s="39">
        <f t="shared" ref="O35" si="7">SUM(O4:O34)</f>
        <v>14710.970000000001</v>
      </c>
      <c r="P35" s="15" t="s">
        <v>12</v>
      </c>
      <c r="XFD35" s="17">
        <f>SUM(A35:XFC35)</f>
        <v>1978531.6900000004</v>
      </c>
    </row>
    <row r="36" spans="1:16 16384:16384" ht="24" thickTop="1" x14ac:dyDescent="0.6">
      <c r="A36" s="6"/>
      <c r="B36" s="6"/>
      <c r="C36" s="6"/>
      <c r="D36" s="33"/>
      <c r="E36" s="6"/>
      <c r="F36" s="6"/>
      <c r="G36" s="6"/>
      <c r="H36" s="26"/>
      <c r="I36" s="6"/>
      <c r="J36" s="6"/>
      <c r="K36" s="6"/>
      <c r="L36" s="26"/>
      <c r="M36" s="6"/>
      <c r="N36" s="6"/>
      <c r="O36" s="6"/>
      <c r="P36" s="26"/>
    </row>
    <row r="37" spans="1:16 16384:16384" ht="23.4" customHeight="1" x14ac:dyDescent="0.6">
      <c r="A37" s="6"/>
      <c r="B37" s="116" t="s">
        <v>22</v>
      </c>
      <c r="C37" s="117"/>
      <c r="D37" s="117"/>
      <c r="E37" s="118"/>
      <c r="F37" s="7"/>
      <c r="G37" s="37"/>
      <c r="H37" s="6"/>
      <c r="I37" s="6"/>
      <c r="J37" s="6"/>
      <c r="K37" s="26"/>
      <c r="L37" s="6"/>
      <c r="M37" s="6"/>
      <c r="N37" s="6"/>
      <c r="O37" s="26"/>
      <c r="P37" s="1"/>
    </row>
    <row r="38" spans="1:16 16384:16384" x14ac:dyDescent="0.6">
      <c r="A38" s="8"/>
      <c r="B38" s="47" t="s">
        <v>9</v>
      </c>
      <c r="C38" s="47" t="s">
        <v>5</v>
      </c>
      <c r="D38" s="47" t="s">
        <v>6</v>
      </c>
      <c r="E38" s="47" t="s">
        <v>7</v>
      </c>
      <c r="F38" s="8"/>
      <c r="G38" s="26"/>
      <c r="H38" s="8"/>
      <c r="I38" s="8"/>
      <c r="J38" s="8"/>
      <c r="K38" s="26"/>
      <c r="L38" s="9"/>
      <c r="M38" s="6"/>
      <c r="N38" s="6"/>
      <c r="O38" s="26"/>
      <c r="P38" s="1"/>
    </row>
    <row r="39" spans="1:16 16384:16384" x14ac:dyDescent="0.6">
      <c r="A39" s="10"/>
      <c r="B39" s="40" t="s">
        <v>0</v>
      </c>
      <c r="C39" s="41">
        <f>+B35</f>
        <v>1117036.1900000002</v>
      </c>
      <c r="D39" s="41">
        <f>+C35</f>
        <v>187551.71</v>
      </c>
      <c r="E39" s="43">
        <f>+D39/C39</f>
        <v>0.1679011939622117</v>
      </c>
      <c r="F39" s="10"/>
      <c r="G39" s="28"/>
      <c r="H39" s="10"/>
      <c r="I39" s="10"/>
      <c r="J39" s="10"/>
      <c r="K39" s="26"/>
      <c r="L39" s="6"/>
      <c r="M39" s="6"/>
      <c r="N39" s="6"/>
      <c r="O39" s="26"/>
      <c r="P39" s="1"/>
    </row>
    <row r="40" spans="1:16 16384:16384" x14ac:dyDescent="0.6">
      <c r="A40" s="2"/>
      <c r="B40" s="40" t="s">
        <v>1</v>
      </c>
      <c r="C40" s="42">
        <f>+F35</f>
        <v>438380.5</v>
      </c>
      <c r="D40" s="42">
        <f>+G35</f>
        <v>52417.1</v>
      </c>
      <c r="E40" s="43">
        <f t="shared" ref="E40:E41" si="8">+D40/C40</f>
        <v>0.11956987137885923</v>
      </c>
      <c r="F40" s="11"/>
      <c r="G40" s="29"/>
      <c r="H40" s="12"/>
      <c r="I40" s="11"/>
      <c r="J40" s="13"/>
      <c r="K40" s="26"/>
      <c r="L40" s="2"/>
      <c r="M40" s="3"/>
      <c r="N40" s="6"/>
      <c r="O40" s="26"/>
      <c r="P40" s="1"/>
    </row>
    <row r="41" spans="1:16 16384:16384" x14ac:dyDescent="0.6">
      <c r="A41" s="2"/>
      <c r="B41" s="40" t="s">
        <v>2</v>
      </c>
      <c r="C41" s="42">
        <f>+J35</f>
        <v>64033.599999999999</v>
      </c>
      <c r="D41" s="42">
        <f>+K35</f>
        <v>4663.6200000000017</v>
      </c>
      <c r="E41" s="43">
        <f t="shared" si="8"/>
        <v>7.2830826316184039E-2</v>
      </c>
      <c r="F41" s="11"/>
      <c r="G41" s="29"/>
      <c r="H41" s="12"/>
      <c r="I41" s="11"/>
      <c r="J41" s="13"/>
      <c r="K41" s="26"/>
      <c r="L41" s="2"/>
      <c r="M41" s="3"/>
      <c r="N41" s="6"/>
      <c r="O41" s="26"/>
      <c r="P41" s="1"/>
    </row>
    <row r="42" spans="1:16 16384:16384" x14ac:dyDescent="0.6">
      <c r="A42" s="2"/>
      <c r="B42" s="40" t="s">
        <v>3</v>
      </c>
      <c r="C42" s="42">
        <f>+N35</f>
        <v>99738</v>
      </c>
      <c r="D42" s="42">
        <f>+O35</f>
        <v>14710.970000000001</v>
      </c>
      <c r="E42" s="43">
        <f>+D42/C42</f>
        <v>0.14749613988650265</v>
      </c>
      <c r="F42" s="11"/>
      <c r="G42" s="29"/>
      <c r="H42" s="12"/>
      <c r="I42" s="11"/>
      <c r="J42" s="13"/>
      <c r="K42" s="26"/>
      <c r="L42" s="2"/>
      <c r="M42" s="3"/>
      <c r="N42" s="6"/>
      <c r="O42" s="26"/>
      <c r="P42" s="1"/>
    </row>
    <row r="43" spans="1:16 16384:16384" x14ac:dyDescent="0.6">
      <c r="A43" s="2"/>
      <c r="B43" s="44" t="s">
        <v>10</v>
      </c>
      <c r="C43" s="45">
        <f>SUM(C39:C42)</f>
        <v>1719188.2900000003</v>
      </c>
      <c r="D43" s="45">
        <f>SUM(D39:D42)</f>
        <v>259343.4</v>
      </c>
      <c r="E43" s="46">
        <f>+D43/C43</f>
        <v>0.15085223736604206</v>
      </c>
      <c r="F43" s="11"/>
      <c r="G43" s="29"/>
      <c r="H43" s="12"/>
      <c r="I43" s="11"/>
      <c r="J43" s="13"/>
      <c r="K43" s="26"/>
      <c r="L43" s="2"/>
      <c r="M43" s="3"/>
      <c r="N43" s="6"/>
      <c r="O43" s="26"/>
      <c r="P43" s="1"/>
    </row>
    <row r="44" spans="1:16 16384:16384" x14ac:dyDescent="0.6">
      <c r="A44" s="2"/>
      <c r="B44" s="6"/>
      <c r="C44" s="6"/>
      <c r="D44" s="34"/>
      <c r="E44" s="6"/>
      <c r="F44" s="6"/>
      <c r="G44" s="8"/>
      <c r="H44" s="29"/>
      <c r="I44" s="14"/>
      <c r="J44" s="10"/>
      <c r="K44" s="10"/>
      <c r="L44" s="26"/>
      <c r="M44" s="2"/>
      <c r="N44" s="3"/>
      <c r="O44" s="6"/>
      <c r="P44" s="26"/>
    </row>
    <row r="45" spans="1:16 16384:16384" x14ac:dyDescent="0.6">
      <c r="A45" s="2"/>
      <c r="B45" s="6"/>
      <c r="C45" s="6"/>
      <c r="D45" s="32"/>
      <c r="E45" s="6"/>
      <c r="F45" s="6"/>
      <c r="G45" s="6"/>
      <c r="H45" s="26"/>
      <c r="I45" s="6"/>
      <c r="J45" s="6"/>
      <c r="K45" s="6"/>
      <c r="L45" s="26"/>
      <c r="M45" s="2"/>
      <c r="N45" s="3"/>
      <c r="O45" s="6"/>
      <c r="P45" s="26"/>
    </row>
    <row r="46" spans="1:16 16384:16384" x14ac:dyDescent="0.6">
      <c r="A46" s="2"/>
      <c r="B46" s="6"/>
      <c r="C46" s="6"/>
      <c r="D46" s="32"/>
      <c r="E46" s="6"/>
      <c r="F46" s="6"/>
      <c r="G46" s="6"/>
      <c r="H46" s="26"/>
      <c r="I46" s="6"/>
      <c r="J46" s="6"/>
      <c r="K46" s="6"/>
      <c r="L46" s="26"/>
      <c r="M46" s="2"/>
      <c r="N46" s="3"/>
      <c r="O46" s="6"/>
      <c r="P46" s="26"/>
    </row>
    <row r="47" spans="1:16 16384:16384" x14ac:dyDescent="0.6">
      <c r="A47" s="2"/>
      <c r="B47" s="6"/>
      <c r="C47" s="6"/>
      <c r="D47" s="32"/>
      <c r="E47" s="6"/>
      <c r="F47" s="6"/>
      <c r="G47" s="6"/>
      <c r="H47" s="26"/>
      <c r="I47" s="6"/>
      <c r="J47" s="6"/>
      <c r="K47" s="6"/>
      <c r="L47" s="26"/>
      <c r="M47" s="2"/>
      <c r="N47" s="3"/>
      <c r="O47" s="6"/>
      <c r="P47" s="26"/>
    </row>
    <row r="48" spans="1:16 16384:16384" x14ac:dyDescent="0.6">
      <c r="A48" s="2"/>
      <c r="B48" s="6"/>
      <c r="C48" s="6"/>
      <c r="D48" s="32"/>
      <c r="E48" s="6"/>
      <c r="F48" s="6"/>
      <c r="G48" s="6"/>
      <c r="H48" s="26"/>
      <c r="I48" s="6"/>
      <c r="J48" s="6"/>
      <c r="K48" s="6"/>
      <c r="L48" s="26"/>
      <c r="M48" s="2"/>
      <c r="N48" s="3"/>
      <c r="O48" s="6"/>
      <c r="P48" s="26"/>
    </row>
    <row r="49" spans="1:16" x14ac:dyDescent="0.6">
      <c r="A49" s="2"/>
      <c r="B49" s="6"/>
      <c r="C49" s="6"/>
      <c r="D49" s="32"/>
      <c r="E49" s="6"/>
      <c r="F49" s="6"/>
      <c r="G49" s="6"/>
      <c r="H49" s="26"/>
      <c r="I49" s="6"/>
      <c r="J49" s="6"/>
      <c r="K49" s="6"/>
      <c r="L49" s="26"/>
      <c r="M49" s="2"/>
      <c r="N49" s="3"/>
      <c r="O49" s="6"/>
      <c r="P49" s="26"/>
    </row>
    <row r="50" spans="1:16" x14ac:dyDescent="0.6">
      <c r="A50" s="2"/>
      <c r="B50" s="6"/>
      <c r="C50" s="6"/>
      <c r="D50" s="32"/>
      <c r="E50" s="6"/>
      <c r="F50" s="6"/>
      <c r="G50" s="6"/>
      <c r="H50" s="26"/>
      <c r="I50" s="6"/>
      <c r="J50" s="6"/>
      <c r="K50" s="6"/>
      <c r="L50" s="26"/>
      <c r="M50" s="2"/>
      <c r="N50" s="3"/>
      <c r="O50" s="6"/>
      <c r="P50" s="26"/>
    </row>
    <row r="51" spans="1:16" x14ac:dyDescent="0.6">
      <c r="A51" s="2"/>
      <c r="B51" s="6"/>
      <c r="C51" s="6"/>
      <c r="D51" s="32"/>
      <c r="E51" s="6"/>
      <c r="F51" s="6"/>
      <c r="G51" s="6"/>
      <c r="H51" s="26"/>
      <c r="I51" s="6"/>
      <c r="J51" s="6"/>
      <c r="K51" s="6"/>
      <c r="L51" s="26"/>
      <c r="M51" s="2"/>
      <c r="N51" s="3"/>
      <c r="O51" s="6"/>
      <c r="P51" s="26"/>
    </row>
    <row r="52" spans="1:16" x14ac:dyDescent="0.6">
      <c r="A52" s="2"/>
      <c r="B52" s="6"/>
      <c r="C52" s="6"/>
      <c r="D52" s="32"/>
      <c r="E52" s="6"/>
      <c r="F52" s="6"/>
      <c r="G52" s="6"/>
      <c r="H52" s="26"/>
      <c r="I52" s="6"/>
      <c r="J52" s="6"/>
      <c r="K52" s="6"/>
      <c r="L52" s="26"/>
      <c r="M52" s="2"/>
      <c r="N52" s="3"/>
      <c r="O52" s="6"/>
      <c r="P52" s="26"/>
    </row>
    <row r="53" spans="1:16" x14ac:dyDescent="0.6">
      <c r="A53" s="2"/>
      <c r="B53" s="6"/>
      <c r="C53" s="6"/>
      <c r="D53" s="32"/>
      <c r="E53" s="6"/>
      <c r="F53" s="6"/>
      <c r="G53" s="6"/>
      <c r="H53" s="26"/>
      <c r="I53" s="6"/>
      <c r="J53" s="6"/>
      <c r="K53" s="6"/>
      <c r="L53" s="26"/>
      <c r="M53" s="2"/>
      <c r="N53" s="3"/>
      <c r="O53" s="6"/>
      <c r="P53" s="26"/>
    </row>
    <row r="54" spans="1:16" x14ac:dyDescent="0.6">
      <c r="A54" s="2"/>
      <c r="B54" s="6"/>
      <c r="C54" s="6"/>
      <c r="D54" s="32"/>
      <c r="E54" s="6"/>
      <c r="F54" s="6"/>
      <c r="G54" s="6"/>
      <c r="H54" s="26"/>
      <c r="I54" s="6"/>
      <c r="J54" s="6"/>
      <c r="K54" s="6"/>
      <c r="L54" s="26"/>
      <c r="M54" s="2"/>
      <c r="N54" s="3"/>
      <c r="O54" s="6"/>
      <c r="P54" s="26"/>
    </row>
    <row r="55" spans="1:16" x14ac:dyDescent="0.6">
      <c r="A55" s="2"/>
      <c r="B55" s="6"/>
      <c r="C55" s="6"/>
      <c r="D55" s="32"/>
      <c r="E55" s="6"/>
      <c r="F55" s="6"/>
      <c r="G55" s="6"/>
      <c r="H55" s="26"/>
      <c r="I55" s="6"/>
      <c r="J55" s="6"/>
      <c r="K55" s="6"/>
      <c r="L55" s="26"/>
      <c r="M55" s="2"/>
      <c r="N55" s="3"/>
      <c r="O55" s="6"/>
      <c r="P55" s="26"/>
    </row>
    <row r="56" spans="1:16" x14ac:dyDescent="0.6">
      <c r="A56" s="2"/>
      <c r="B56" s="6"/>
      <c r="C56" s="6"/>
      <c r="D56" s="32"/>
      <c r="E56" s="6"/>
      <c r="F56" s="6"/>
      <c r="G56" s="6"/>
      <c r="H56" s="26"/>
      <c r="I56" s="6"/>
      <c r="J56" s="6"/>
      <c r="K56" s="6"/>
      <c r="L56" s="26"/>
      <c r="M56" s="2"/>
      <c r="N56" s="3"/>
      <c r="O56" s="6"/>
      <c r="P56" s="26"/>
    </row>
    <row r="57" spans="1:16" x14ac:dyDescent="0.6">
      <c r="A57" s="2"/>
      <c r="B57" s="6"/>
      <c r="C57" s="6"/>
      <c r="D57" s="32"/>
      <c r="E57" s="6"/>
      <c r="F57" s="6"/>
      <c r="G57" s="6"/>
      <c r="H57" s="26"/>
      <c r="I57" s="6"/>
      <c r="J57" s="6"/>
      <c r="K57" s="6"/>
      <c r="L57" s="26"/>
      <c r="M57" s="2"/>
      <c r="N57" s="3"/>
      <c r="O57" s="6"/>
      <c r="P57" s="26"/>
    </row>
    <row r="58" spans="1:16" x14ac:dyDescent="0.6">
      <c r="A58" s="2"/>
      <c r="B58" s="6"/>
      <c r="C58" s="6"/>
      <c r="D58" s="32"/>
      <c r="E58" s="6"/>
      <c r="F58" s="6"/>
      <c r="G58" s="6"/>
      <c r="H58" s="26"/>
      <c r="I58" s="6"/>
      <c r="J58" s="6"/>
      <c r="K58" s="6"/>
      <c r="L58" s="26"/>
      <c r="M58" s="2"/>
      <c r="N58" s="3"/>
      <c r="O58" s="6"/>
      <c r="P58" s="26"/>
    </row>
    <row r="59" spans="1:16" x14ac:dyDescent="0.6">
      <c r="A59" s="2"/>
      <c r="B59" s="6"/>
      <c r="C59" s="6"/>
      <c r="D59" s="32"/>
      <c r="E59" s="6"/>
      <c r="F59" s="6"/>
      <c r="G59" s="6"/>
      <c r="H59" s="26"/>
      <c r="I59" s="6"/>
      <c r="J59" s="6"/>
      <c r="K59" s="6"/>
      <c r="L59" s="26"/>
      <c r="M59" s="2"/>
      <c r="N59" s="3"/>
      <c r="O59" s="6"/>
      <c r="P59" s="26"/>
    </row>
    <row r="60" spans="1:16" x14ac:dyDescent="0.6">
      <c r="A60" s="2"/>
      <c r="B60" s="6"/>
      <c r="C60" s="6"/>
      <c r="D60" s="32"/>
      <c r="E60" s="6"/>
      <c r="F60" s="6"/>
      <c r="G60" s="6"/>
      <c r="H60" s="26"/>
      <c r="I60" s="6"/>
      <c r="J60" s="6"/>
      <c r="K60" s="6"/>
      <c r="L60" s="26"/>
      <c r="M60" s="2"/>
      <c r="N60" s="3"/>
      <c r="O60" s="6"/>
      <c r="P60" s="26"/>
    </row>
    <row r="61" spans="1:16" x14ac:dyDescent="0.6">
      <c r="A61" s="2"/>
      <c r="B61" s="6"/>
      <c r="C61" s="6"/>
      <c r="D61" s="32"/>
      <c r="E61" s="6"/>
      <c r="F61" s="6"/>
      <c r="G61" s="6"/>
      <c r="H61" s="26"/>
      <c r="I61" s="6"/>
      <c r="J61" s="6"/>
      <c r="K61" s="6"/>
      <c r="L61" s="26"/>
      <c r="M61" s="2"/>
      <c r="N61" s="3"/>
      <c r="O61" s="6"/>
      <c r="P61" s="26"/>
    </row>
    <row r="62" spans="1:16" x14ac:dyDescent="0.6">
      <c r="A62" s="2"/>
      <c r="B62" s="6"/>
      <c r="C62" s="6"/>
      <c r="D62" s="32"/>
      <c r="E62" s="6"/>
      <c r="F62" s="6"/>
      <c r="G62" s="6"/>
      <c r="H62" s="26"/>
      <c r="I62" s="6"/>
      <c r="J62" s="6"/>
      <c r="K62" s="6"/>
      <c r="L62" s="26"/>
      <c r="M62" s="2"/>
      <c r="N62" s="3"/>
      <c r="O62" s="6"/>
      <c r="P62" s="26"/>
    </row>
    <row r="63" spans="1:16" x14ac:dyDescent="0.6">
      <c r="A63" s="2"/>
      <c r="B63" s="6"/>
      <c r="C63" s="6"/>
      <c r="D63" s="32"/>
      <c r="E63" s="6"/>
      <c r="F63" s="6"/>
      <c r="G63" s="6"/>
      <c r="H63" s="26"/>
      <c r="I63" s="6"/>
      <c r="J63" s="6"/>
      <c r="K63" s="6"/>
      <c r="L63" s="26"/>
      <c r="M63" s="2"/>
      <c r="N63" s="3"/>
      <c r="O63" s="6"/>
      <c r="P63" s="26"/>
    </row>
    <row r="64" spans="1:16" x14ac:dyDescent="0.6">
      <c r="A64" s="2"/>
      <c r="B64" s="6"/>
      <c r="C64" s="6"/>
      <c r="D64" s="32"/>
      <c r="E64" s="6"/>
      <c r="F64" s="6"/>
      <c r="G64" s="6"/>
      <c r="H64" s="26"/>
      <c r="I64" s="6"/>
      <c r="J64" s="6"/>
      <c r="K64" s="6"/>
      <c r="L64" s="26"/>
      <c r="M64" s="2"/>
      <c r="N64" s="3"/>
      <c r="O64" s="6"/>
      <c r="P64" s="26"/>
    </row>
    <row r="65" spans="1:16" x14ac:dyDescent="0.6">
      <c r="A65" s="2"/>
      <c r="B65" s="6"/>
      <c r="C65" s="6"/>
      <c r="D65" s="32"/>
      <c r="E65" s="6"/>
      <c r="F65" s="6"/>
      <c r="G65" s="6"/>
      <c r="H65" s="26"/>
      <c r="I65" s="6"/>
      <c r="J65" s="6"/>
      <c r="K65" s="6"/>
      <c r="L65" s="26"/>
      <c r="M65" s="2"/>
      <c r="N65" s="3"/>
      <c r="O65" s="6"/>
      <c r="P65" s="26"/>
    </row>
    <row r="66" spans="1:16" x14ac:dyDescent="0.6">
      <c r="A66" s="2"/>
      <c r="B66" s="6"/>
      <c r="C66" s="6"/>
      <c r="D66" s="32"/>
      <c r="E66" s="6"/>
      <c r="F66" s="6"/>
      <c r="G66" s="6"/>
      <c r="H66" s="26"/>
      <c r="I66" s="6"/>
      <c r="J66" s="6"/>
      <c r="K66" s="6"/>
      <c r="L66" s="26"/>
      <c r="M66" s="2"/>
      <c r="N66" s="3"/>
      <c r="O66" s="6"/>
      <c r="P66" s="26"/>
    </row>
    <row r="67" spans="1:16" x14ac:dyDescent="0.6">
      <c r="A67" s="2"/>
      <c r="B67" s="6"/>
      <c r="C67" s="6"/>
      <c r="D67" s="32"/>
      <c r="E67" s="6"/>
      <c r="F67" s="6"/>
      <c r="G67" s="6"/>
      <c r="H67" s="26"/>
      <c r="I67" s="6"/>
      <c r="J67" s="6"/>
      <c r="K67" s="6"/>
      <c r="L67" s="26"/>
      <c r="M67" s="2"/>
      <c r="N67" s="3"/>
      <c r="O67" s="6"/>
      <c r="P67" s="26"/>
    </row>
    <row r="68" spans="1:16" x14ac:dyDescent="0.6">
      <c r="A68" s="2"/>
      <c r="B68" s="6"/>
      <c r="C68" s="6"/>
      <c r="D68" s="32"/>
      <c r="E68" s="6"/>
      <c r="F68" s="6"/>
      <c r="G68" s="6"/>
      <c r="H68" s="26"/>
      <c r="I68" s="6"/>
      <c r="J68" s="6"/>
      <c r="K68" s="6"/>
      <c r="L68" s="26"/>
      <c r="M68" s="2"/>
      <c r="N68" s="4"/>
      <c r="O68" s="6"/>
      <c r="P68" s="26"/>
    </row>
    <row r="69" spans="1:16" x14ac:dyDescent="0.6">
      <c r="A69" s="2"/>
      <c r="B69" s="6"/>
      <c r="C69" s="6"/>
      <c r="D69" s="32"/>
      <c r="E69" s="6"/>
      <c r="F69" s="6"/>
      <c r="G69" s="6"/>
      <c r="H69" s="26"/>
      <c r="I69" s="6"/>
      <c r="J69" s="6"/>
      <c r="K69" s="6"/>
      <c r="L69" s="26"/>
      <c r="M69" s="2"/>
      <c r="N69" s="4"/>
      <c r="O69" s="6"/>
      <c r="P69" s="26"/>
    </row>
    <row r="70" spans="1:16" x14ac:dyDescent="0.6">
      <c r="A70" s="2"/>
      <c r="B70" s="6"/>
      <c r="C70" s="6"/>
      <c r="D70" s="33"/>
      <c r="E70" s="6"/>
      <c r="F70" s="6"/>
      <c r="G70" s="6"/>
      <c r="H70" s="26"/>
      <c r="I70" s="6"/>
      <c r="J70" s="6"/>
      <c r="K70" s="6"/>
      <c r="L70" s="26"/>
      <c r="M70" s="2"/>
      <c r="N70" s="4"/>
      <c r="O70" s="6"/>
      <c r="P70" s="26"/>
    </row>
  </sheetData>
  <mergeCells count="5">
    <mergeCell ref="A2:D2"/>
    <mergeCell ref="E2:H2"/>
    <mergeCell ref="I2:L2"/>
    <mergeCell ref="M2:P2"/>
    <mergeCell ref="B37:E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FB7D-484F-4918-AAE4-17698038DBF6}">
  <sheetPr>
    <tabColor rgb="FF00B0F0"/>
  </sheetPr>
  <dimension ref="A1:XFD70"/>
  <sheetViews>
    <sheetView zoomScale="115" zoomScaleNormal="115" workbookViewId="0">
      <pane xSplit="4" ySplit="3" topLeftCell="E37" activePane="bottomRight" state="frozen"/>
      <selection activeCell="F33" sqref="F33"/>
      <selection pane="topRight" activeCell="F33" sqref="F33"/>
      <selection pane="bottomLeft" activeCell="F33" sqref="F33"/>
      <selection pane="bottomRight" activeCell="F48" sqref="F48"/>
    </sheetView>
  </sheetViews>
  <sheetFormatPr defaultRowHeight="23.4" x14ac:dyDescent="0.6"/>
  <cols>
    <col min="1" max="1" width="9.09765625" style="1" bestFit="1" customWidth="1"/>
    <col min="2" max="2" width="11.69921875" style="1" bestFit="1" customWidth="1"/>
    <col min="3" max="3" width="12.59765625" style="1" bestFit="1" customWidth="1"/>
    <col min="4" max="4" width="16.8984375" style="35" customWidth="1"/>
    <col min="5" max="5" width="13.5" style="1" customWidth="1"/>
    <col min="6" max="6" width="10.19921875" style="1" bestFit="1" customWidth="1"/>
    <col min="7" max="7" width="23.59765625" style="1" customWidth="1"/>
    <col min="8" max="8" width="16.59765625" style="38" customWidth="1"/>
    <col min="9" max="9" width="15.5" style="1" customWidth="1"/>
    <col min="10" max="10" width="10.19921875" style="1" bestFit="1" customWidth="1"/>
    <col min="11" max="11" width="9.09765625" style="1" bestFit="1" customWidth="1"/>
    <col min="12" max="12" width="7.8984375" style="38" bestFit="1" customWidth="1"/>
    <col min="13" max="13" width="13.3984375" style="1" customWidth="1"/>
    <col min="14" max="14" width="10.19921875" style="1" bestFit="1" customWidth="1"/>
    <col min="15" max="15" width="9.09765625" style="1" bestFit="1" customWidth="1"/>
    <col min="16" max="16" width="8.3984375" style="38" customWidth="1"/>
    <col min="17" max="16383" width="8.69921875" style="1"/>
    <col min="16384" max="16384" width="9" style="1" bestFit="1" customWidth="1"/>
  </cols>
  <sheetData>
    <row r="1" spans="1:16" ht="28.8" x14ac:dyDescent="0.75">
      <c r="A1" s="48" t="s">
        <v>24</v>
      </c>
    </row>
    <row r="2" spans="1:16" s="18" customFormat="1" x14ac:dyDescent="0.6">
      <c r="A2" s="111" t="s">
        <v>0</v>
      </c>
      <c r="B2" s="111"/>
      <c r="C2" s="111"/>
      <c r="D2" s="111"/>
      <c r="E2" s="112" t="s">
        <v>1</v>
      </c>
      <c r="F2" s="112"/>
      <c r="G2" s="112"/>
      <c r="H2" s="112"/>
      <c r="I2" s="113" t="s">
        <v>2</v>
      </c>
      <c r="J2" s="113"/>
      <c r="K2" s="113"/>
      <c r="L2" s="113"/>
      <c r="M2" s="114" t="s">
        <v>3</v>
      </c>
      <c r="N2" s="114"/>
      <c r="O2" s="114"/>
      <c r="P2" s="114"/>
    </row>
    <row r="3" spans="1:16" s="22" customFormat="1" x14ac:dyDescent="0.25">
      <c r="A3" s="23" t="s">
        <v>4</v>
      </c>
      <c r="B3" s="23" t="s">
        <v>5</v>
      </c>
      <c r="C3" s="23" t="s">
        <v>6</v>
      </c>
      <c r="D3" s="25" t="s">
        <v>7</v>
      </c>
      <c r="E3" s="19" t="s">
        <v>4</v>
      </c>
      <c r="F3" s="19" t="s">
        <v>5</v>
      </c>
      <c r="G3" s="19" t="s">
        <v>6</v>
      </c>
      <c r="H3" s="27" t="s">
        <v>7</v>
      </c>
      <c r="I3" s="20" t="s">
        <v>4</v>
      </c>
      <c r="J3" s="20" t="s">
        <v>5</v>
      </c>
      <c r="K3" s="20" t="s">
        <v>6</v>
      </c>
      <c r="L3" s="30" t="s">
        <v>7</v>
      </c>
      <c r="M3" s="21" t="s">
        <v>4</v>
      </c>
      <c r="N3" s="21" t="s">
        <v>5</v>
      </c>
      <c r="O3" s="21" t="s">
        <v>6</v>
      </c>
      <c r="P3" s="31" t="s">
        <v>7</v>
      </c>
    </row>
    <row r="4" spans="1:16" x14ac:dyDescent="0.6">
      <c r="A4" s="24">
        <v>45839</v>
      </c>
      <c r="B4" s="3">
        <v>28787.51</v>
      </c>
      <c r="C4" s="3">
        <v>8496.1</v>
      </c>
      <c r="D4" s="32">
        <f>+C4/B4</f>
        <v>0.29513146499992532</v>
      </c>
      <c r="E4" s="24">
        <v>45839</v>
      </c>
      <c r="F4" s="3">
        <v>7387</v>
      </c>
      <c r="G4" s="3">
        <v>1114.43</v>
      </c>
      <c r="H4" s="32">
        <f>+G4/F4</f>
        <v>0.15086367943684853</v>
      </c>
      <c r="I4" s="24">
        <v>45839</v>
      </c>
      <c r="J4" s="3">
        <v>2739.0900000000006</v>
      </c>
      <c r="K4" s="3">
        <v>0</v>
      </c>
      <c r="L4" s="32">
        <f>+K4/J4</f>
        <v>0</v>
      </c>
      <c r="M4" s="24">
        <v>45839</v>
      </c>
      <c r="N4" s="3">
        <v>3006</v>
      </c>
      <c r="O4" s="4">
        <v>640</v>
      </c>
      <c r="P4" s="32">
        <f>+O4/N4</f>
        <v>0.21290751829673984</v>
      </c>
    </row>
    <row r="5" spans="1:16" x14ac:dyDescent="0.6">
      <c r="A5" s="24">
        <v>45840</v>
      </c>
      <c r="B5" s="3">
        <v>42606.74</v>
      </c>
      <c r="C5" s="3">
        <v>4401.46</v>
      </c>
      <c r="D5" s="32">
        <f t="shared" ref="D5:D34" si="0">+C5/B5</f>
        <v>0.10330431288570777</v>
      </c>
      <c r="E5" s="24">
        <v>45840</v>
      </c>
      <c r="F5" s="3">
        <v>4038</v>
      </c>
      <c r="G5" s="3">
        <v>1126.01</v>
      </c>
      <c r="H5" s="32">
        <f t="shared" ref="H5:H34" si="1">+G5/F5</f>
        <v>0.27885339276869736</v>
      </c>
      <c r="I5" s="24">
        <v>45840</v>
      </c>
      <c r="J5" s="5">
        <v>2942.09</v>
      </c>
      <c r="K5" s="3">
        <v>9.26</v>
      </c>
      <c r="L5" s="32">
        <f t="shared" ref="L5:L34" si="2">+K5/J5</f>
        <v>3.1474224105992677E-3</v>
      </c>
      <c r="M5" s="24">
        <v>45840</v>
      </c>
      <c r="N5" s="3">
        <v>4530</v>
      </c>
      <c r="O5" s="4">
        <v>627.79</v>
      </c>
      <c r="P5" s="32">
        <f t="shared" ref="P5:P34" si="3">+O5/N5</f>
        <v>0.1385849889624724</v>
      </c>
    </row>
    <row r="6" spans="1:16" x14ac:dyDescent="0.6">
      <c r="A6" s="24">
        <v>45841</v>
      </c>
      <c r="B6" s="3">
        <v>36674.229999999996</v>
      </c>
      <c r="C6" s="3">
        <v>3496.1</v>
      </c>
      <c r="D6" s="32">
        <f t="shared" si="0"/>
        <v>9.5328518144757235E-2</v>
      </c>
      <c r="E6" s="24">
        <v>45841</v>
      </c>
      <c r="F6" s="3">
        <v>47069</v>
      </c>
      <c r="G6" s="3">
        <v>1049</v>
      </c>
      <c r="H6" s="32">
        <f t="shared" si="1"/>
        <v>2.2286430559391533E-2</v>
      </c>
      <c r="I6" s="24">
        <v>45841</v>
      </c>
      <c r="J6" s="5">
        <v>2837.0899999999997</v>
      </c>
      <c r="K6" s="3">
        <v>100.11</v>
      </c>
      <c r="L6" s="32">
        <f t="shared" si="2"/>
        <v>3.5286155885079433E-2</v>
      </c>
      <c r="M6" s="24">
        <v>45841</v>
      </c>
      <c r="N6" s="3">
        <v>3670</v>
      </c>
      <c r="O6" s="4">
        <v>590.6</v>
      </c>
      <c r="P6" s="32">
        <f t="shared" si="3"/>
        <v>0.16092643051771119</v>
      </c>
    </row>
    <row r="7" spans="1:16" x14ac:dyDescent="0.6">
      <c r="A7" s="24">
        <v>45842</v>
      </c>
      <c r="B7" s="3">
        <v>44096.740000000005</v>
      </c>
      <c r="C7" s="3">
        <v>4942.1400000000003</v>
      </c>
      <c r="D7" s="32">
        <f t="shared" si="0"/>
        <v>0.1120749515723838</v>
      </c>
      <c r="E7" s="24">
        <v>45842</v>
      </c>
      <c r="F7" s="3">
        <v>8020</v>
      </c>
      <c r="G7" s="3">
        <v>918.96</v>
      </c>
      <c r="H7" s="32">
        <f t="shared" si="1"/>
        <v>0.11458354114713218</v>
      </c>
      <c r="I7" s="24">
        <v>45842</v>
      </c>
      <c r="J7" s="5">
        <v>5397.3099999999995</v>
      </c>
      <c r="K7" s="3">
        <v>102.5</v>
      </c>
      <c r="L7" s="32">
        <f t="shared" si="2"/>
        <v>1.8990941783962753E-2</v>
      </c>
      <c r="M7" s="24">
        <v>45842</v>
      </c>
      <c r="N7" s="3">
        <v>4390</v>
      </c>
      <c r="O7" s="4">
        <v>613.34</v>
      </c>
      <c r="P7" s="32">
        <f t="shared" si="3"/>
        <v>0.1397129840546697</v>
      </c>
    </row>
    <row r="8" spans="1:16" x14ac:dyDescent="0.6">
      <c r="A8" s="24">
        <v>45843</v>
      </c>
      <c r="B8" s="3">
        <v>37468.229999999996</v>
      </c>
      <c r="C8" s="3">
        <v>4481.57</v>
      </c>
      <c r="D8" s="32">
        <f t="shared" si="0"/>
        <v>0.11960986681249688</v>
      </c>
      <c r="E8" s="24">
        <v>45843</v>
      </c>
      <c r="F8" s="3">
        <v>10238</v>
      </c>
      <c r="G8" s="3">
        <v>911.75</v>
      </c>
      <c r="H8" s="32">
        <f t="shared" si="1"/>
        <v>8.9055479585856606E-2</v>
      </c>
      <c r="I8" s="24">
        <v>45843</v>
      </c>
      <c r="J8" s="5">
        <v>1885.4399999999998</v>
      </c>
      <c r="K8" s="3">
        <v>103.14</v>
      </c>
      <c r="L8" s="32">
        <f t="shared" si="2"/>
        <v>5.4703411405295319E-2</v>
      </c>
      <c r="M8" s="24">
        <v>45843</v>
      </c>
      <c r="N8" s="3">
        <v>3368</v>
      </c>
      <c r="O8" s="4">
        <v>595.66999999999996</v>
      </c>
      <c r="P8" s="32">
        <f t="shared" si="3"/>
        <v>0.17686163895486934</v>
      </c>
    </row>
    <row r="9" spans="1:16" x14ac:dyDescent="0.6">
      <c r="A9" s="24">
        <v>45844</v>
      </c>
      <c r="B9" s="3">
        <v>40571.06</v>
      </c>
      <c r="C9" s="3">
        <v>5494.84</v>
      </c>
      <c r="D9" s="32">
        <f t="shared" si="0"/>
        <v>0.13543742756536312</v>
      </c>
      <c r="E9" s="24">
        <v>45844</v>
      </c>
      <c r="F9" s="3">
        <v>5902</v>
      </c>
      <c r="G9" s="3">
        <v>873.6</v>
      </c>
      <c r="H9" s="32">
        <f t="shared" si="1"/>
        <v>0.14801762114537445</v>
      </c>
      <c r="I9" s="24">
        <v>45844</v>
      </c>
      <c r="J9" s="3">
        <v>3789.75</v>
      </c>
      <c r="K9" s="3">
        <v>103</v>
      </c>
      <c r="L9" s="32">
        <f t="shared" si="2"/>
        <v>2.7178573784550433E-2</v>
      </c>
      <c r="M9" s="24">
        <v>45844</v>
      </c>
      <c r="N9" s="3">
        <v>3448</v>
      </c>
      <c r="O9" s="4">
        <v>651.76</v>
      </c>
      <c r="P9" s="32">
        <f t="shared" si="3"/>
        <v>0.18902552204176334</v>
      </c>
    </row>
    <row r="10" spans="1:16" x14ac:dyDescent="0.6">
      <c r="A10" s="24">
        <v>45845</v>
      </c>
      <c r="B10" s="3">
        <v>26490.93</v>
      </c>
      <c r="C10" s="3">
        <v>5205.95</v>
      </c>
      <c r="D10" s="32">
        <f t="shared" si="0"/>
        <v>0.19651820453264568</v>
      </c>
      <c r="E10" s="24">
        <v>45845</v>
      </c>
      <c r="F10" s="3">
        <v>10403</v>
      </c>
      <c r="G10" s="3">
        <v>1134.8699999999999</v>
      </c>
      <c r="H10" s="32">
        <f t="shared" si="1"/>
        <v>0.10909064692877053</v>
      </c>
      <c r="I10" s="24">
        <v>45845</v>
      </c>
      <c r="J10" s="3">
        <v>2237.6099999999997</v>
      </c>
      <c r="K10" s="4">
        <v>72.239999999999995</v>
      </c>
      <c r="L10" s="32">
        <f t="shared" si="2"/>
        <v>3.2284446351240836E-2</v>
      </c>
      <c r="M10" s="24">
        <v>45845</v>
      </c>
      <c r="N10" s="3">
        <v>5384</v>
      </c>
      <c r="O10" s="4">
        <v>649.27</v>
      </c>
      <c r="P10" s="32">
        <f t="shared" si="3"/>
        <v>0.12059249628528974</v>
      </c>
    </row>
    <row r="11" spans="1:16" x14ac:dyDescent="0.6">
      <c r="A11" s="24">
        <v>45846</v>
      </c>
      <c r="B11" s="3">
        <v>26220.949999999997</v>
      </c>
      <c r="C11" s="3">
        <v>5968.02</v>
      </c>
      <c r="D11" s="32">
        <f t="shared" si="0"/>
        <v>0.22760502575230879</v>
      </c>
      <c r="E11" s="24">
        <v>45846</v>
      </c>
      <c r="F11" s="3">
        <v>8026</v>
      </c>
      <c r="G11" s="4">
        <v>734.3</v>
      </c>
      <c r="H11" s="32">
        <f t="shared" si="1"/>
        <v>9.1490156989783203E-2</v>
      </c>
      <c r="I11" s="24">
        <v>45846</v>
      </c>
      <c r="J11" s="3">
        <v>3283.9700000000003</v>
      </c>
      <c r="K11" s="4">
        <v>91.22</v>
      </c>
      <c r="L11" s="32">
        <f t="shared" si="2"/>
        <v>2.7777354847943189E-2</v>
      </c>
      <c r="M11" s="24">
        <v>45846</v>
      </c>
      <c r="N11" s="3">
        <v>6164</v>
      </c>
      <c r="O11" s="4">
        <v>716.45</v>
      </c>
      <c r="P11" s="32">
        <f t="shared" si="3"/>
        <v>0.1162313432835821</v>
      </c>
    </row>
    <row r="12" spans="1:16" x14ac:dyDescent="0.6">
      <c r="A12" s="24">
        <v>45847</v>
      </c>
      <c r="B12" s="3">
        <v>20841.28</v>
      </c>
      <c r="C12" s="3">
        <v>3555.51</v>
      </c>
      <c r="D12" s="32">
        <f t="shared" si="0"/>
        <v>0.17059940656236086</v>
      </c>
      <c r="E12" s="24">
        <v>45847</v>
      </c>
      <c r="F12" s="3">
        <v>11795</v>
      </c>
      <c r="G12" s="4">
        <v>810.4</v>
      </c>
      <c r="H12" s="32">
        <f t="shared" si="1"/>
        <v>6.8707079270877491E-2</v>
      </c>
      <c r="I12" s="24">
        <v>45847</v>
      </c>
      <c r="J12" s="3">
        <v>6302.06</v>
      </c>
      <c r="K12" s="4">
        <v>93</v>
      </c>
      <c r="L12" s="32">
        <f t="shared" si="2"/>
        <v>1.4757079431170125E-2</v>
      </c>
      <c r="M12" s="24">
        <v>45847</v>
      </c>
      <c r="N12" s="3">
        <v>2727</v>
      </c>
      <c r="O12" s="4">
        <v>550.87</v>
      </c>
      <c r="P12" s="32">
        <f t="shared" si="3"/>
        <v>0.20200586725339201</v>
      </c>
    </row>
    <row r="13" spans="1:16" x14ac:dyDescent="0.6">
      <c r="A13" s="24">
        <v>45848</v>
      </c>
      <c r="B13" s="3">
        <v>42203.57</v>
      </c>
      <c r="C13" s="3">
        <v>3722.4</v>
      </c>
      <c r="D13" s="32">
        <f t="shared" si="0"/>
        <v>8.8201069246037725E-2</v>
      </c>
      <c r="E13" s="24">
        <v>45848</v>
      </c>
      <c r="F13" s="3">
        <v>33459</v>
      </c>
      <c r="G13" s="4">
        <v>756.56</v>
      </c>
      <c r="H13" s="32">
        <f t="shared" si="1"/>
        <v>2.2611554439762094E-2</v>
      </c>
      <c r="I13" s="24">
        <v>45848</v>
      </c>
      <c r="J13" s="3">
        <v>3740.35</v>
      </c>
      <c r="K13" s="4">
        <v>100.32</v>
      </c>
      <c r="L13" s="32">
        <f t="shared" si="2"/>
        <v>2.6821019423315998E-2</v>
      </c>
      <c r="M13" s="24">
        <v>45848</v>
      </c>
      <c r="N13" s="3">
        <v>2871</v>
      </c>
      <c r="O13" s="4">
        <v>544.28</v>
      </c>
      <c r="P13" s="32">
        <f t="shared" si="3"/>
        <v>0.18957854406130267</v>
      </c>
    </row>
    <row r="14" spans="1:16" x14ac:dyDescent="0.6">
      <c r="A14" s="24">
        <v>45849</v>
      </c>
      <c r="B14" s="3">
        <v>41316.619999999995</v>
      </c>
      <c r="C14" s="3">
        <v>5116.45</v>
      </c>
      <c r="D14" s="32">
        <f t="shared" si="0"/>
        <v>0.12383515398887907</v>
      </c>
      <c r="E14" s="24">
        <v>45849</v>
      </c>
      <c r="F14" s="3">
        <v>4373</v>
      </c>
      <c r="G14" s="4">
        <v>936.73</v>
      </c>
      <c r="H14" s="32">
        <f t="shared" si="1"/>
        <v>0.21420763777726962</v>
      </c>
      <c r="I14" s="24">
        <v>45849</v>
      </c>
      <c r="J14" s="3">
        <v>4609.7700000000004</v>
      </c>
      <c r="K14" s="4">
        <v>80.66</v>
      </c>
      <c r="L14" s="32">
        <f t="shared" si="2"/>
        <v>1.7497619187074407E-2</v>
      </c>
      <c r="M14" s="24">
        <v>45849</v>
      </c>
      <c r="N14" s="3">
        <v>2237</v>
      </c>
      <c r="O14" s="4">
        <v>519.29999999999995</v>
      </c>
      <c r="P14" s="32">
        <f t="shared" si="3"/>
        <v>0.2321412606168976</v>
      </c>
    </row>
    <row r="15" spans="1:16" x14ac:dyDescent="0.6">
      <c r="A15" s="24">
        <v>45850</v>
      </c>
      <c r="B15" s="3">
        <v>44573.06</v>
      </c>
      <c r="C15" s="3">
        <v>2078.5</v>
      </c>
      <c r="D15" s="32">
        <f t="shared" si="0"/>
        <v>4.663130599514595E-2</v>
      </c>
      <c r="E15" s="24">
        <v>45850</v>
      </c>
      <c r="F15" s="3">
        <v>7697</v>
      </c>
      <c r="G15" s="4">
        <v>1002.69</v>
      </c>
      <c r="H15" s="32">
        <f t="shared" si="1"/>
        <v>0.1302702351565545</v>
      </c>
      <c r="I15" s="24">
        <v>45850</v>
      </c>
      <c r="J15" s="3">
        <v>5995.4099999999989</v>
      </c>
      <c r="K15" s="4">
        <v>92.7</v>
      </c>
      <c r="L15" s="32">
        <f t="shared" si="2"/>
        <v>1.5461828298648469E-2</v>
      </c>
      <c r="M15" s="24">
        <v>45850</v>
      </c>
      <c r="N15" s="3">
        <v>5745</v>
      </c>
      <c r="O15" s="4">
        <v>471.99</v>
      </c>
      <c r="P15" s="32">
        <f t="shared" si="3"/>
        <v>8.2156657963446483E-2</v>
      </c>
    </row>
    <row r="16" spans="1:16" x14ac:dyDescent="0.6">
      <c r="A16" s="24">
        <v>45851</v>
      </c>
      <c r="B16" s="3">
        <v>24771.89</v>
      </c>
      <c r="C16" s="3">
        <v>5058.5200000000004</v>
      </c>
      <c r="D16" s="32">
        <f t="shared" si="0"/>
        <v>0.20420403933652218</v>
      </c>
      <c r="E16" s="24">
        <v>45851</v>
      </c>
      <c r="F16" s="3">
        <v>9221</v>
      </c>
      <c r="G16" s="4">
        <v>1034.76</v>
      </c>
      <c r="H16" s="32">
        <f t="shared" si="1"/>
        <v>0.11221776380002169</v>
      </c>
      <c r="I16" s="24">
        <v>45851</v>
      </c>
      <c r="J16" s="3">
        <v>2735.9900000000002</v>
      </c>
      <c r="K16" s="3">
        <v>87</v>
      </c>
      <c r="L16" s="32">
        <f t="shared" si="2"/>
        <v>3.1798361836117818E-2</v>
      </c>
      <c r="M16" s="24">
        <v>45851</v>
      </c>
      <c r="N16" s="3">
        <v>3117</v>
      </c>
      <c r="O16" s="4">
        <v>583.86</v>
      </c>
      <c r="P16" s="32">
        <f t="shared" si="3"/>
        <v>0.18731472569778634</v>
      </c>
    </row>
    <row r="17" spans="1:16" x14ac:dyDescent="0.6">
      <c r="A17" s="24">
        <v>45852</v>
      </c>
      <c r="B17" s="3">
        <v>26638.23</v>
      </c>
      <c r="C17" s="3">
        <v>2303.29</v>
      </c>
      <c r="D17" s="32">
        <f t="shared" si="0"/>
        <v>8.6465579732587339E-2</v>
      </c>
      <c r="E17" s="24">
        <v>45852</v>
      </c>
      <c r="F17" s="3">
        <v>208173</v>
      </c>
      <c r="G17" s="4">
        <v>1031.21</v>
      </c>
      <c r="H17" s="32">
        <f t="shared" si="1"/>
        <v>4.9536203061876418E-3</v>
      </c>
      <c r="I17" s="24">
        <v>45852</v>
      </c>
      <c r="J17" s="3">
        <v>3028.1800000000003</v>
      </c>
      <c r="K17" s="3">
        <v>91.39</v>
      </c>
      <c r="L17" s="32">
        <f t="shared" si="2"/>
        <v>3.0179843998705491E-2</v>
      </c>
      <c r="M17" s="24">
        <v>45852</v>
      </c>
      <c r="N17" s="3">
        <v>6221</v>
      </c>
      <c r="O17" s="4">
        <v>611.51</v>
      </c>
      <c r="P17" s="32">
        <f t="shared" si="3"/>
        <v>9.8297701334190649E-2</v>
      </c>
    </row>
    <row r="18" spans="1:16" x14ac:dyDescent="0.6">
      <c r="A18" s="24">
        <v>45853</v>
      </c>
      <c r="B18" s="3">
        <v>32826.89</v>
      </c>
      <c r="C18" s="3">
        <v>2864.27</v>
      </c>
      <c r="D18" s="32">
        <f t="shared" si="0"/>
        <v>8.7253772745453498E-2</v>
      </c>
      <c r="E18" s="24">
        <v>45853</v>
      </c>
      <c r="F18" s="3">
        <v>4912</v>
      </c>
      <c r="G18" s="3">
        <v>1079.8</v>
      </c>
      <c r="H18" s="32">
        <f t="shared" si="1"/>
        <v>0.21982899022801303</v>
      </c>
      <c r="I18" s="24">
        <v>45853</v>
      </c>
      <c r="J18" s="3">
        <v>2515.9399999999996</v>
      </c>
      <c r="K18" s="3">
        <v>82.5</v>
      </c>
      <c r="L18" s="32">
        <f t="shared" si="2"/>
        <v>3.2790925061805934E-2</v>
      </c>
      <c r="M18" s="24">
        <v>45853</v>
      </c>
      <c r="N18" s="3">
        <v>3742</v>
      </c>
      <c r="O18" s="4">
        <v>778.64</v>
      </c>
      <c r="P18" s="32">
        <f t="shared" si="3"/>
        <v>0.20808123997862105</v>
      </c>
    </row>
    <row r="19" spans="1:16" x14ac:dyDescent="0.6">
      <c r="A19" s="24">
        <v>45854</v>
      </c>
      <c r="B19" s="3">
        <v>33079.25</v>
      </c>
      <c r="C19" s="3">
        <v>2223.67</v>
      </c>
      <c r="D19" s="32">
        <f t="shared" si="0"/>
        <v>6.7222503533181682E-2</v>
      </c>
      <c r="E19" s="24">
        <v>45854</v>
      </c>
      <c r="F19" s="3">
        <v>7079</v>
      </c>
      <c r="G19" s="3">
        <v>1170.5</v>
      </c>
      <c r="H19" s="32">
        <f t="shared" si="1"/>
        <v>0.16534821302443847</v>
      </c>
      <c r="I19" s="24">
        <v>45854</v>
      </c>
      <c r="J19" s="3">
        <v>3044.6999999999994</v>
      </c>
      <c r="K19" s="3">
        <v>101.45</v>
      </c>
      <c r="L19" s="32">
        <f t="shared" si="2"/>
        <v>3.3320195749991795E-2</v>
      </c>
      <c r="M19" s="24">
        <v>45854</v>
      </c>
      <c r="N19" s="3">
        <v>2696</v>
      </c>
      <c r="O19" s="4">
        <v>599.79999999999995</v>
      </c>
      <c r="P19" s="32">
        <f t="shared" si="3"/>
        <v>0.22247774480712165</v>
      </c>
    </row>
    <row r="20" spans="1:16" x14ac:dyDescent="0.6">
      <c r="A20" s="24">
        <v>45855</v>
      </c>
      <c r="B20" s="3">
        <v>25092.12</v>
      </c>
      <c r="C20" s="3">
        <v>3061.2</v>
      </c>
      <c r="D20" s="32">
        <f t="shared" si="0"/>
        <v>0.12199846007431815</v>
      </c>
      <c r="E20" s="24">
        <v>45855</v>
      </c>
      <c r="F20" s="3">
        <v>34687</v>
      </c>
      <c r="G20" s="3">
        <v>1142.21</v>
      </c>
      <c r="H20" s="32">
        <f t="shared" si="1"/>
        <v>3.2929051229567276E-2</v>
      </c>
      <c r="I20" s="24">
        <v>45855</v>
      </c>
      <c r="J20" s="3">
        <v>3102.2400000000002</v>
      </c>
      <c r="K20" s="3">
        <v>100.02</v>
      </c>
      <c r="L20" s="32">
        <f t="shared" si="2"/>
        <v>3.2241219248027225E-2</v>
      </c>
      <c r="M20" s="24">
        <v>45855</v>
      </c>
      <c r="N20" s="3">
        <v>1547</v>
      </c>
      <c r="O20" s="4">
        <v>611.85</v>
      </c>
      <c r="P20" s="32">
        <f t="shared" si="3"/>
        <v>0.3955074337427279</v>
      </c>
    </row>
    <row r="21" spans="1:16" x14ac:dyDescent="0.6">
      <c r="A21" s="24">
        <v>45856</v>
      </c>
      <c r="B21" s="3">
        <v>30242.79</v>
      </c>
      <c r="C21" s="3">
        <v>1825.51</v>
      </c>
      <c r="D21" s="32">
        <f t="shared" si="0"/>
        <v>6.0361825082937123E-2</v>
      </c>
      <c r="E21" s="24">
        <v>45856</v>
      </c>
      <c r="F21" s="3">
        <v>7778</v>
      </c>
      <c r="G21" s="4">
        <v>1228.9100000000001</v>
      </c>
      <c r="H21" s="32">
        <f t="shared" si="1"/>
        <v>0.15799820005142712</v>
      </c>
      <c r="I21" s="24">
        <v>45856</v>
      </c>
      <c r="J21" s="3">
        <v>3939.6599999999994</v>
      </c>
      <c r="K21" s="4">
        <v>101.75</v>
      </c>
      <c r="L21" s="32">
        <f t="shared" si="2"/>
        <v>2.5827101831122485E-2</v>
      </c>
      <c r="M21" s="24">
        <v>45856</v>
      </c>
      <c r="N21" s="3">
        <v>4078</v>
      </c>
      <c r="O21" s="4">
        <v>564.59</v>
      </c>
      <c r="P21" s="32">
        <f t="shared" si="3"/>
        <v>0.13844776851397744</v>
      </c>
    </row>
    <row r="22" spans="1:16" x14ac:dyDescent="0.6">
      <c r="A22" s="24">
        <v>45857</v>
      </c>
      <c r="B22" s="3">
        <v>27721.85</v>
      </c>
      <c r="C22" s="3">
        <v>1571.96</v>
      </c>
      <c r="D22" s="32">
        <f t="shared" si="0"/>
        <v>5.6704729301976606E-2</v>
      </c>
      <c r="E22" s="24">
        <v>45857</v>
      </c>
      <c r="F22" s="3">
        <v>5384</v>
      </c>
      <c r="G22" s="4">
        <v>1261.96</v>
      </c>
      <c r="H22" s="32">
        <f t="shared" si="1"/>
        <v>0.23439078751857356</v>
      </c>
      <c r="I22" s="24">
        <v>45857</v>
      </c>
      <c r="J22" s="3">
        <v>4545.119999999999</v>
      </c>
      <c r="K22" s="4">
        <v>96.63</v>
      </c>
      <c r="L22" s="32">
        <f t="shared" si="2"/>
        <v>2.1260164748125466E-2</v>
      </c>
      <c r="M22" s="24">
        <v>45857</v>
      </c>
      <c r="N22" s="3">
        <v>3389</v>
      </c>
      <c r="O22" s="4">
        <v>533.04999999999995</v>
      </c>
      <c r="P22" s="32">
        <f t="shared" si="3"/>
        <v>0.15728828562997932</v>
      </c>
    </row>
    <row r="23" spans="1:16" x14ac:dyDescent="0.6">
      <c r="A23" s="24">
        <v>45858</v>
      </c>
      <c r="B23" s="3">
        <v>20047.490000000002</v>
      </c>
      <c r="C23" s="3">
        <v>2512.33</v>
      </c>
      <c r="D23" s="32">
        <f t="shared" si="0"/>
        <v>0.12531893020023951</v>
      </c>
      <c r="E23" s="24">
        <v>45858</v>
      </c>
      <c r="F23" s="6">
        <v>81521</v>
      </c>
      <c r="G23" s="3">
        <v>1050.25</v>
      </c>
      <c r="H23" s="32">
        <f t="shared" si="1"/>
        <v>1.2883183474196832E-2</v>
      </c>
      <c r="I23" s="24">
        <v>45858</v>
      </c>
      <c r="J23" s="3">
        <v>3436.92</v>
      </c>
      <c r="K23" s="4">
        <v>100.36</v>
      </c>
      <c r="L23" s="32">
        <f t="shared" si="2"/>
        <v>2.9200563295043235E-2</v>
      </c>
      <c r="M23" s="24">
        <v>45858</v>
      </c>
      <c r="N23" s="3">
        <v>2045</v>
      </c>
      <c r="O23" s="4">
        <v>462.69</v>
      </c>
      <c r="P23" s="32">
        <f t="shared" si="3"/>
        <v>0.22625427872860635</v>
      </c>
    </row>
    <row r="24" spans="1:16" x14ac:dyDescent="0.6">
      <c r="A24" s="24">
        <v>45859</v>
      </c>
      <c r="B24" s="3">
        <v>15867.35</v>
      </c>
      <c r="C24" s="3">
        <v>2199.7800000000002</v>
      </c>
      <c r="D24" s="32">
        <f t="shared" si="0"/>
        <v>0.13863562598669596</v>
      </c>
      <c r="E24" s="24">
        <v>45859</v>
      </c>
      <c r="F24" s="3">
        <v>9347</v>
      </c>
      <c r="G24" s="6">
        <v>1006.33</v>
      </c>
      <c r="H24" s="32">
        <f t="shared" si="1"/>
        <v>0.107663421418637</v>
      </c>
      <c r="I24" s="24">
        <v>45859</v>
      </c>
      <c r="J24" s="3">
        <v>1646.15</v>
      </c>
      <c r="K24" s="4">
        <v>91.23</v>
      </c>
      <c r="L24" s="32">
        <f t="shared" si="2"/>
        <v>5.5420222944446131E-2</v>
      </c>
      <c r="M24" s="24">
        <v>45859</v>
      </c>
      <c r="N24" s="3">
        <v>5459</v>
      </c>
      <c r="O24" s="4">
        <v>462.51</v>
      </c>
      <c r="P24" s="32">
        <f t="shared" si="3"/>
        <v>8.4724308481406843E-2</v>
      </c>
    </row>
    <row r="25" spans="1:16" x14ac:dyDescent="0.6">
      <c r="A25" s="24">
        <v>45860</v>
      </c>
      <c r="B25" s="3">
        <v>16358.75</v>
      </c>
      <c r="C25" s="3">
        <v>3182.91</v>
      </c>
      <c r="D25" s="32">
        <f t="shared" si="0"/>
        <v>0.19456926721173684</v>
      </c>
      <c r="E25" s="24">
        <v>45860</v>
      </c>
      <c r="F25" s="3">
        <v>11524</v>
      </c>
      <c r="G25" s="6">
        <v>843.25</v>
      </c>
      <c r="H25" s="32">
        <f t="shared" si="1"/>
        <v>7.3173377299548772E-2</v>
      </c>
      <c r="I25" s="24">
        <v>45860</v>
      </c>
      <c r="J25" s="3">
        <v>2934.7000000000003</v>
      </c>
      <c r="K25" s="6">
        <v>98.06</v>
      </c>
      <c r="L25" s="32">
        <f t="shared" si="2"/>
        <v>3.3413977578628136E-2</v>
      </c>
      <c r="M25" s="24">
        <v>45860</v>
      </c>
      <c r="N25" s="3">
        <v>1199</v>
      </c>
      <c r="O25" s="4">
        <v>427.85</v>
      </c>
      <c r="P25" s="32">
        <f t="shared" si="3"/>
        <v>0.35683903252710591</v>
      </c>
    </row>
    <row r="26" spans="1:16" x14ac:dyDescent="0.6">
      <c r="A26" s="24">
        <v>45861</v>
      </c>
      <c r="B26" s="3">
        <v>28180.2</v>
      </c>
      <c r="C26" s="3">
        <v>3367.99</v>
      </c>
      <c r="D26" s="32">
        <f t="shared" si="0"/>
        <v>0.1195161851228877</v>
      </c>
      <c r="E26" s="24">
        <v>45861</v>
      </c>
      <c r="F26" s="3">
        <v>44992</v>
      </c>
      <c r="G26" s="6">
        <v>881.46</v>
      </c>
      <c r="H26" s="32">
        <f t="shared" si="1"/>
        <v>1.959148293029872E-2</v>
      </c>
      <c r="I26" s="24">
        <v>45861</v>
      </c>
      <c r="J26" s="3">
        <v>2504.54</v>
      </c>
      <c r="K26" s="6">
        <v>101.04</v>
      </c>
      <c r="L26" s="32">
        <f t="shared" si="2"/>
        <v>4.0342737588539214E-2</v>
      </c>
      <c r="M26" s="24">
        <v>45861</v>
      </c>
      <c r="N26" s="3">
        <v>2871</v>
      </c>
      <c r="O26" s="4">
        <v>514.65</v>
      </c>
      <c r="P26" s="32">
        <f t="shared" si="3"/>
        <v>0.17925809822361546</v>
      </c>
    </row>
    <row r="27" spans="1:16" x14ac:dyDescent="0.6">
      <c r="A27" s="24">
        <v>45862</v>
      </c>
      <c r="B27" s="3">
        <v>23140.149999999998</v>
      </c>
      <c r="C27" s="3">
        <v>2039.13</v>
      </c>
      <c r="D27" s="32">
        <f t="shared" si="0"/>
        <v>8.8120863520763704E-2</v>
      </c>
      <c r="E27" s="24">
        <v>45862</v>
      </c>
      <c r="F27" s="3">
        <v>29959</v>
      </c>
      <c r="G27" s="6">
        <v>774.97</v>
      </c>
      <c r="H27" s="32">
        <f t="shared" si="1"/>
        <v>2.5867685837310993E-2</v>
      </c>
      <c r="I27" s="24">
        <v>45862</v>
      </c>
      <c r="J27" s="3">
        <v>3789.76</v>
      </c>
      <c r="K27" s="6">
        <v>72</v>
      </c>
      <c r="L27" s="32">
        <f t="shared" si="2"/>
        <v>1.8998564552900447E-2</v>
      </c>
      <c r="M27" s="24">
        <v>45862</v>
      </c>
      <c r="N27" s="3">
        <v>2794</v>
      </c>
      <c r="O27" s="4">
        <v>739.09</v>
      </c>
      <c r="P27" s="32">
        <f t="shared" si="3"/>
        <v>0.2645275590551181</v>
      </c>
    </row>
    <row r="28" spans="1:16" x14ac:dyDescent="0.6">
      <c r="A28" s="24">
        <v>45863</v>
      </c>
      <c r="B28" s="3">
        <v>17935.599999999999</v>
      </c>
      <c r="C28" s="3">
        <v>1800.15</v>
      </c>
      <c r="D28" s="32">
        <f t="shared" si="0"/>
        <v>0.10036742567853879</v>
      </c>
      <c r="E28" s="24">
        <v>45863</v>
      </c>
      <c r="F28" s="3">
        <v>7011</v>
      </c>
      <c r="G28" s="6">
        <v>942.27</v>
      </c>
      <c r="H28" s="32">
        <f t="shared" si="1"/>
        <v>0.13439880188275566</v>
      </c>
      <c r="I28" s="24">
        <v>45863</v>
      </c>
      <c r="J28" s="3">
        <v>2229.4499999999998</v>
      </c>
      <c r="K28" s="6">
        <v>69.05</v>
      </c>
      <c r="L28" s="32">
        <f t="shared" si="2"/>
        <v>3.0971764336495549E-2</v>
      </c>
      <c r="M28" s="24">
        <v>45863</v>
      </c>
      <c r="N28" s="3">
        <v>2578</v>
      </c>
      <c r="O28" s="4">
        <v>577.67999999999995</v>
      </c>
      <c r="P28" s="32">
        <f t="shared" si="3"/>
        <v>0.22408068269976725</v>
      </c>
    </row>
    <row r="29" spans="1:16" x14ac:dyDescent="0.6">
      <c r="A29" s="24">
        <v>45864</v>
      </c>
      <c r="B29" s="3">
        <v>18023.830000000002</v>
      </c>
      <c r="C29" s="4">
        <v>719.69</v>
      </c>
      <c r="D29" s="32">
        <f t="shared" si="0"/>
        <v>3.9929915006965779E-2</v>
      </c>
      <c r="E29" s="24">
        <v>45864</v>
      </c>
      <c r="F29" s="6">
        <v>5665</v>
      </c>
      <c r="G29" s="6">
        <v>980.23</v>
      </c>
      <c r="H29" s="32">
        <f t="shared" si="1"/>
        <v>0.17303265666372464</v>
      </c>
      <c r="I29" s="24">
        <v>45864</v>
      </c>
      <c r="J29" s="4">
        <v>201.95999999999998</v>
      </c>
      <c r="K29" s="6">
        <v>4.1500000000000004</v>
      </c>
      <c r="L29" s="32">
        <f t="shared" si="2"/>
        <v>2.0548623489799963E-2</v>
      </c>
      <c r="M29" s="24">
        <v>45864</v>
      </c>
      <c r="N29" s="3">
        <v>5399</v>
      </c>
      <c r="O29" s="4">
        <v>153.66</v>
      </c>
      <c r="P29" s="32">
        <f t="shared" si="3"/>
        <v>2.84608260789035E-2</v>
      </c>
    </row>
    <row r="30" spans="1:16" x14ac:dyDescent="0.6">
      <c r="A30" s="24">
        <v>45865</v>
      </c>
      <c r="B30" s="3">
        <v>13595.46</v>
      </c>
      <c r="C30" s="3">
        <v>4956.38</v>
      </c>
      <c r="D30" s="32">
        <f t="shared" si="0"/>
        <v>0.36456140505727652</v>
      </c>
      <c r="E30" s="24">
        <v>45865</v>
      </c>
      <c r="F30" s="6">
        <v>4803</v>
      </c>
      <c r="G30" s="6">
        <v>873.49</v>
      </c>
      <c r="H30" s="32">
        <f t="shared" si="1"/>
        <v>0.18186341869664793</v>
      </c>
      <c r="I30" s="24">
        <v>45865</v>
      </c>
      <c r="J30" s="4">
        <v>1533.67</v>
      </c>
      <c r="K30" s="6">
        <v>86.84</v>
      </c>
      <c r="L30" s="32">
        <f t="shared" si="2"/>
        <v>5.662235031004062E-2</v>
      </c>
      <c r="M30" s="24">
        <v>45865</v>
      </c>
      <c r="N30" s="3">
        <v>1820</v>
      </c>
      <c r="O30" s="4">
        <v>801.69</v>
      </c>
      <c r="P30" s="32">
        <f t="shared" si="3"/>
        <v>0.440489010989011</v>
      </c>
    </row>
    <row r="31" spans="1:16" x14ac:dyDescent="0.6">
      <c r="A31" s="24">
        <v>45866</v>
      </c>
      <c r="B31" s="4">
        <v>9002.6</v>
      </c>
      <c r="C31" s="3">
        <v>2801.6</v>
      </c>
      <c r="D31" s="32">
        <f t="shared" si="0"/>
        <v>0.31119898695932285</v>
      </c>
      <c r="E31" s="24">
        <v>45866</v>
      </c>
      <c r="F31" s="3">
        <v>8953</v>
      </c>
      <c r="G31" s="6">
        <v>912.52</v>
      </c>
      <c r="H31" s="32">
        <f t="shared" si="1"/>
        <v>0.1019233776387803</v>
      </c>
      <c r="I31" s="24">
        <v>45866</v>
      </c>
      <c r="J31" s="4">
        <v>715.63</v>
      </c>
      <c r="K31" s="6">
        <v>87.35</v>
      </c>
      <c r="L31" s="32">
        <f t="shared" si="2"/>
        <v>0.12206028254824419</v>
      </c>
      <c r="M31" s="24">
        <v>45866</v>
      </c>
      <c r="N31" s="4">
        <v>3317</v>
      </c>
      <c r="O31" s="4">
        <v>887.54</v>
      </c>
      <c r="P31" s="32">
        <f t="shared" si="3"/>
        <v>0.26757310823032859</v>
      </c>
    </row>
    <row r="32" spans="1:16" x14ac:dyDescent="0.6">
      <c r="A32" s="24">
        <v>45867</v>
      </c>
      <c r="B32" s="4">
        <v>8647.76</v>
      </c>
      <c r="C32" s="3">
        <v>3816.61</v>
      </c>
      <c r="D32" s="32">
        <f t="shared" si="0"/>
        <v>0.44134087902531988</v>
      </c>
      <c r="E32" s="24">
        <v>45867</v>
      </c>
      <c r="F32" s="4">
        <v>7366</v>
      </c>
      <c r="G32" s="6">
        <v>873.04</v>
      </c>
      <c r="H32" s="32">
        <f t="shared" si="1"/>
        <v>0.11852294325278305</v>
      </c>
      <c r="I32" s="24">
        <v>45867</v>
      </c>
      <c r="J32" s="4">
        <v>1309.1299999999999</v>
      </c>
      <c r="K32" s="6">
        <v>97.38</v>
      </c>
      <c r="L32" s="32">
        <f t="shared" si="2"/>
        <v>7.4385278772925528E-2</v>
      </c>
      <c r="M32" s="24">
        <v>45867</v>
      </c>
      <c r="N32" s="4">
        <v>3653</v>
      </c>
      <c r="O32" s="4">
        <v>829.05</v>
      </c>
      <c r="P32" s="32">
        <f t="shared" si="3"/>
        <v>0.22695045168354774</v>
      </c>
    </row>
    <row r="33" spans="1:16 16384:16384" x14ac:dyDescent="0.6">
      <c r="A33" s="24">
        <v>45868</v>
      </c>
      <c r="B33" s="4">
        <v>6945.02</v>
      </c>
      <c r="C33" s="3">
        <v>4296.5600000000004</v>
      </c>
      <c r="D33" s="32">
        <f t="shared" si="0"/>
        <v>0.61865336600902521</v>
      </c>
      <c r="E33" s="24">
        <v>45868</v>
      </c>
      <c r="F33" s="4">
        <v>12148</v>
      </c>
      <c r="G33" s="6">
        <v>883.46</v>
      </c>
      <c r="H33" s="32">
        <f t="shared" si="1"/>
        <v>7.2724728350345741E-2</v>
      </c>
      <c r="I33" s="24">
        <v>45868</v>
      </c>
      <c r="J33" s="4">
        <v>2666.8399999999997</v>
      </c>
      <c r="K33" s="6">
        <v>59.79</v>
      </c>
      <c r="L33" s="32">
        <f t="shared" si="2"/>
        <v>2.2419792713473625E-2</v>
      </c>
      <c r="M33" s="24">
        <v>45868</v>
      </c>
      <c r="N33" s="4">
        <v>3276</v>
      </c>
      <c r="O33" s="4">
        <v>823</v>
      </c>
      <c r="P33" s="32">
        <f t="shared" si="3"/>
        <v>0.25122100122100122</v>
      </c>
    </row>
    <row r="34" spans="1:16 16384:16384" x14ac:dyDescent="0.6">
      <c r="A34" s="24">
        <v>45869</v>
      </c>
      <c r="B34" s="4">
        <v>6517.7800000000007</v>
      </c>
      <c r="C34" s="4">
        <v>978.83</v>
      </c>
      <c r="D34" s="32">
        <f t="shared" si="0"/>
        <v>0.1501784349886004</v>
      </c>
      <c r="E34" s="24">
        <v>45869</v>
      </c>
      <c r="F34" s="6">
        <v>25656</v>
      </c>
      <c r="G34" s="6">
        <v>826.52</v>
      </c>
      <c r="H34" s="32">
        <f t="shared" si="1"/>
        <v>3.2215466167758028E-2</v>
      </c>
      <c r="I34" s="24">
        <v>45869</v>
      </c>
      <c r="J34" s="6">
        <v>1559.38</v>
      </c>
      <c r="K34" s="6">
        <v>89.66</v>
      </c>
      <c r="L34" s="32">
        <f t="shared" si="2"/>
        <v>5.7497210429786193E-2</v>
      </c>
      <c r="M34" s="24">
        <v>45869</v>
      </c>
      <c r="N34" s="4">
        <v>2955</v>
      </c>
      <c r="O34" s="4">
        <v>580.29999999999995</v>
      </c>
      <c r="P34" s="32">
        <f t="shared" si="3"/>
        <v>0.19637901861252113</v>
      </c>
    </row>
    <row r="35" spans="1:16 16384:16384" s="17" customFormat="1" ht="27" thickBot="1" x14ac:dyDescent="0.75">
      <c r="A35" s="16" t="s">
        <v>11</v>
      </c>
      <c r="B35" s="39">
        <f>SUM(B4:B34)</f>
        <v>816485.92999999993</v>
      </c>
      <c r="C35" s="39">
        <f t="shared" ref="C35" si="4">SUM(C4:C34)</f>
        <v>108539.42000000001</v>
      </c>
      <c r="D35" s="15" t="s">
        <v>12</v>
      </c>
      <c r="E35" s="16" t="s">
        <v>11</v>
      </c>
      <c r="F35" s="39">
        <f>SUM(F4:F34)</f>
        <v>684586</v>
      </c>
      <c r="G35" s="39">
        <f t="shared" ref="G35" si="5">SUM(G4:G34)</f>
        <v>30166.440000000002</v>
      </c>
      <c r="H35" s="15" t="s">
        <v>12</v>
      </c>
      <c r="I35" s="16" t="s">
        <v>11</v>
      </c>
      <c r="J35" s="39">
        <f>SUM(J4:J34)</f>
        <v>93199.89999999998</v>
      </c>
      <c r="K35" s="39">
        <f t="shared" ref="K35" si="6">SUM(K4:K34)</f>
        <v>2565.8000000000002</v>
      </c>
      <c r="L35" s="15" t="s">
        <v>12</v>
      </c>
      <c r="M35" s="16" t="s">
        <v>11</v>
      </c>
      <c r="N35" s="39">
        <f>SUM(N4:N34)</f>
        <v>109696</v>
      </c>
      <c r="O35" s="39">
        <f t="shared" ref="O35" si="7">SUM(O4:O34)</f>
        <v>18714.329999999998</v>
      </c>
      <c r="P35" s="15" t="s">
        <v>12</v>
      </c>
      <c r="XFD35" s="17">
        <f>SUM(A35:XFC35)</f>
        <v>1863953.82</v>
      </c>
    </row>
    <row r="36" spans="1:16 16384:16384" ht="24" thickTop="1" x14ac:dyDescent="0.6">
      <c r="A36" s="6"/>
      <c r="B36" s="6"/>
      <c r="C36" s="6"/>
      <c r="D36" s="33"/>
      <c r="E36" s="6"/>
      <c r="F36" s="6"/>
      <c r="G36" s="6"/>
      <c r="H36" s="26"/>
      <c r="I36" s="6"/>
      <c r="J36" s="6"/>
      <c r="K36" s="6"/>
      <c r="L36" s="26"/>
      <c r="M36" s="6"/>
      <c r="N36" s="6"/>
      <c r="O36" s="6"/>
      <c r="P36" s="26"/>
    </row>
    <row r="37" spans="1:16 16384:16384" ht="23.4" customHeight="1" x14ac:dyDescent="0.6">
      <c r="A37" s="6"/>
      <c r="B37" s="116" t="s">
        <v>27</v>
      </c>
      <c r="C37" s="117"/>
      <c r="D37" s="117"/>
      <c r="E37" s="118"/>
      <c r="F37" s="7"/>
      <c r="G37" s="37"/>
      <c r="H37" s="6"/>
      <c r="I37" s="6"/>
      <c r="J37" s="6"/>
      <c r="K37" s="26"/>
      <c r="L37" s="6"/>
      <c r="M37" s="6"/>
      <c r="N37" s="6"/>
      <c r="O37" s="26"/>
      <c r="P37" s="1"/>
    </row>
    <row r="38" spans="1:16 16384:16384" x14ac:dyDescent="0.6">
      <c r="A38" s="8"/>
      <c r="B38" s="47" t="s">
        <v>9</v>
      </c>
      <c r="C38" s="47" t="s">
        <v>5</v>
      </c>
      <c r="D38" s="47" t="s">
        <v>6</v>
      </c>
      <c r="E38" s="47" t="s">
        <v>7</v>
      </c>
      <c r="F38" s="8"/>
      <c r="G38" s="26"/>
      <c r="H38" s="8"/>
      <c r="I38" s="8"/>
      <c r="J38" s="8"/>
      <c r="K38" s="26"/>
      <c r="L38" s="9"/>
      <c r="M38" s="6"/>
      <c r="N38" s="6"/>
      <c r="O38" s="26"/>
      <c r="P38" s="1"/>
    </row>
    <row r="39" spans="1:16 16384:16384" x14ac:dyDescent="0.6">
      <c r="A39" s="10"/>
      <c r="B39" s="40" t="s">
        <v>0</v>
      </c>
      <c r="C39" s="41">
        <f>+B35</f>
        <v>816485.92999999993</v>
      </c>
      <c r="D39" s="41">
        <f>+C35</f>
        <v>108539.42000000001</v>
      </c>
      <c r="E39" s="43">
        <f>+D39/C39</f>
        <v>0.1329348320797151</v>
      </c>
      <c r="F39" s="10"/>
      <c r="G39" s="28"/>
      <c r="H39" s="10"/>
      <c r="I39" s="10"/>
      <c r="J39" s="10"/>
      <c r="K39" s="26"/>
      <c r="L39" s="6"/>
      <c r="M39" s="6"/>
      <c r="N39" s="6"/>
      <c r="O39" s="26"/>
      <c r="P39" s="1"/>
    </row>
    <row r="40" spans="1:16 16384:16384" x14ac:dyDescent="0.6">
      <c r="A40" s="2"/>
      <c r="B40" s="40" t="s">
        <v>1</v>
      </c>
      <c r="C40" s="42">
        <f>+F35</f>
        <v>684586</v>
      </c>
      <c r="D40" s="42">
        <f>+G35</f>
        <v>30166.440000000002</v>
      </c>
      <c r="E40" s="43">
        <f t="shared" ref="E40:E41" si="8">+D40/C40</f>
        <v>4.4065230664956635E-2</v>
      </c>
      <c r="F40" s="11"/>
      <c r="G40" s="29"/>
      <c r="H40" s="12"/>
      <c r="I40" s="11"/>
      <c r="J40" s="13"/>
      <c r="K40" s="26"/>
      <c r="L40" s="2"/>
      <c r="M40" s="3"/>
      <c r="N40" s="6"/>
      <c r="O40" s="26"/>
      <c r="P40" s="1"/>
    </row>
    <row r="41" spans="1:16 16384:16384" x14ac:dyDescent="0.6">
      <c r="A41" s="2"/>
      <c r="B41" s="40" t="s">
        <v>2</v>
      </c>
      <c r="C41" s="42">
        <f>+J35</f>
        <v>93199.89999999998</v>
      </c>
      <c r="D41" s="42">
        <f>+K35</f>
        <v>2565.8000000000002</v>
      </c>
      <c r="E41" s="43">
        <f t="shared" si="8"/>
        <v>2.7530072457159296E-2</v>
      </c>
      <c r="F41" s="11"/>
      <c r="G41" s="29"/>
      <c r="H41" s="12"/>
      <c r="I41" s="11"/>
      <c r="J41" s="13"/>
      <c r="K41" s="26"/>
      <c r="L41" s="2"/>
      <c r="M41" s="3"/>
      <c r="N41" s="6"/>
      <c r="O41" s="26"/>
      <c r="P41" s="1"/>
    </row>
    <row r="42" spans="1:16 16384:16384" x14ac:dyDescent="0.6">
      <c r="A42" s="2"/>
      <c r="B42" s="40" t="s">
        <v>3</v>
      </c>
      <c r="C42" s="42">
        <f>+N35</f>
        <v>109696</v>
      </c>
      <c r="D42" s="42">
        <f>+O35</f>
        <v>18714.329999999998</v>
      </c>
      <c r="E42" s="43">
        <f>+D42/C42</f>
        <v>0.17060175393815635</v>
      </c>
      <c r="F42" s="11"/>
      <c r="G42" s="29"/>
      <c r="H42" s="12"/>
      <c r="I42" s="11"/>
      <c r="J42" s="13"/>
      <c r="K42" s="26"/>
      <c r="L42" s="2"/>
      <c r="M42" s="3"/>
      <c r="N42" s="6"/>
      <c r="O42" s="26"/>
      <c r="P42" s="1"/>
    </row>
    <row r="43" spans="1:16 16384:16384" x14ac:dyDescent="0.6">
      <c r="A43" s="2"/>
      <c r="B43" s="44" t="s">
        <v>10</v>
      </c>
      <c r="C43" s="45">
        <f>SUM(C39:C42)</f>
        <v>1703967.8299999998</v>
      </c>
      <c r="D43" s="45">
        <f>SUM(D39:D42)</f>
        <v>159985.99</v>
      </c>
      <c r="E43" s="46">
        <f>+D43/C43</f>
        <v>9.3890264348476582E-2</v>
      </c>
      <c r="F43" s="11"/>
      <c r="G43" s="29"/>
      <c r="H43" s="12"/>
      <c r="I43" s="11"/>
      <c r="J43" s="13"/>
      <c r="K43" s="26"/>
      <c r="L43" s="2"/>
      <c r="M43" s="3"/>
      <c r="N43" s="6"/>
      <c r="O43" s="26"/>
      <c r="P43" s="1"/>
    </row>
    <row r="44" spans="1:16 16384:16384" x14ac:dyDescent="0.6">
      <c r="A44" s="2"/>
      <c r="B44" s="6"/>
      <c r="C44" s="6"/>
      <c r="D44" s="34"/>
      <c r="E44" s="6"/>
      <c r="F44" s="6"/>
      <c r="G44" s="8"/>
      <c r="H44" s="29"/>
      <c r="I44" s="14"/>
      <c r="J44" s="10"/>
      <c r="K44" s="10"/>
      <c r="L44" s="26"/>
      <c r="M44" s="2"/>
      <c r="N44" s="3"/>
      <c r="O44" s="6"/>
      <c r="P44" s="26"/>
    </row>
    <row r="45" spans="1:16 16384:16384" x14ac:dyDescent="0.6">
      <c r="A45" s="2"/>
      <c r="B45" s="6"/>
      <c r="C45" s="6"/>
      <c r="D45" s="32"/>
      <c r="E45" s="6"/>
      <c r="F45" s="6"/>
      <c r="G45" s="6"/>
      <c r="H45" s="26"/>
      <c r="I45" s="6"/>
      <c r="J45" s="6"/>
      <c r="K45" s="6"/>
      <c r="L45" s="26"/>
      <c r="M45" s="2"/>
      <c r="N45" s="3"/>
      <c r="O45" s="6"/>
      <c r="P45" s="26"/>
    </row>
    <row r="46" spans="1:16 16384:16384" x14ac:dyDescent="0.6">
      <c r="A46" s="2"/>
      <c r="B46" s="6"/>
      <c r="C46" s="6"/>
      <c r="D46" s="32"/>
      <c r="E46" s="6"/>
      <c r="F46" s="6"/>
      <c r="G46" s="6"/>
      <c r="H46" s="26"/>
      <c r="I46" s="6"/>
      <c r="J46" s="6"/>
      <c r="K46" s="6"/>
      <c r="L46" s="26"/>
      <c r="M46" s="2"/>
      <c r="N46" s="3"/>
      <c r="O46" s="6"/>
      <c r="P46" s="26"/>
    </row>
    <row r="47" spans="1:16 16384:16384" x14ac:dyDescent="0.6">
      <c r="A47" s="2"/>
      <c r="B47" s="6"/>
      <c r="C47" s="6"/>
      <c r="D47" s="32"/>
      <c r="E47" s="6"/>
      <c r="F47" s="6"/>
      <c r="G47" s="6"/>
      <c r="H47" s="26"/>
      <c r="I47" s="6"/>
      <c r="J47" s="6"/>
      <c r="K47" s="6"/>
      <c r="L47" s="26"/>
      <c r="M47" s="2"/>
      <c r="N47" s="3"/>
      <c r="O47" s="6"/>
      <c r="P47" s="26"/>
    </row>
    <row r="48" spans="1:16 16384:16384" x14ac:dyDescent="0.6">
      <c r="A48" s="2"/>
      <c r="B48" s="6"/>
      <c r="C48" s="6"/>
      <c r="D48" s="32"/>
      <c r="E48" s="6"/>
      <c r="F48" s="6"/>
      <c r="G48" s="6"/>
      <c r="H48" s="26"/>
      <c r="I48" s="6"/>
      <c r="J48" s="6"/>
      <c r="K48" s="6"/>
      <c r="L48" s="26"/>
      <c r="M48" s="2"/>
      <c r="N48" s="3"/>
      <c r="O48" s="6"/>
      <c r="P48" s="26"/>
    </row>
    <row r="49" spans="1:16" x14ac:dyDescent="0.6">
      <c r="A49" s="2"/>
      <c r="B49" s="6"/>
      <c r="C49" s="6"/>
      <c r="D49" s="32"/>
      <c r="E49" s="6"/>
      <c r="F49" s="6"/>
      <c r="G49" s="6"/>
      <c r="H49" s="26"/>
      <c r="I49" s="6"/>
      <c r="J49" s="6"/>
      <c r="K49" s="6"/>
      <c r="L49" s="26"/>
      <c r="M49" s="2"/>
      <c r="N49" s="3"/>
      <c r="O49" s="6"/>
      <c r="P49" s="26"/>
    </row>
    <row r="50" spans="1:16" x14ac:dyDescent="0.6">
      <c r="A50" s="2"/>
      <c r="B50" s="6"/>
      <c r="C50" s="6"/>
      <c r="D50" s="32"/>
      <c r="E50" s="6"/>
      <c r="F50" s="6"/>
      <c r="G50" s="6"/>
      <c r="H50" s="26"/>
      <c r="I50" s="6"/>
      <c r="J50" s="6"/>
      <c r="K50" s="6"/>
      <c r="L50" s="26"/>
      <c r="M50" s="2"/>
      <c r="N50" s="3"/>
      <c r="O50" s="6"/>
      <c r="P50" s="26"/>
    </row>
    <row r="51" spans="1:16" x14ac:dyDescent="0.6">
      <c r="A51" s="2"/>
      <c r="B51" s="6"/>
      <c r="C51" s="6"/>
      <c r="D51" s="32"/>
      <c r="E51" s="6"/>
      <c r="F51" s="6"/>
      <c r="G51" s="6"/>
      <c r="H51" s="26"/>
      <c r="I51" s="6"/>
      <c r="J51" s="6"/>
      <c r="K51" s="6"/>
      <c r="L51" s="26"/>
      <c r="M51" s="2"/>
      <c r="N51" s="3"/>
      <c r="O51" s="6"/>
      <c r="P51" s="26"/>
    </row>
    <row r="52" spans="1:16" x14ac:dyDescent="0.6">
      <c r="A52" s="2"/>
      <c r="B52" s="6"/>
      <c r="C52" s="6"/>
      <c r="D52" s="32"/>
      <c r="E52" s="6"/>
      <c r="F52" s="6"/>
      <c r="G52" s="6"/>
      <c r="H52" s="26"/>
      <c r="I52" s="6"/>
      <c r="J52" s="6"/>
      <c r="K52" s="6"/>
      <c r="L52" s="26"/>
      <c r="M52" s="2"/>
      <c r="N52" s="3"/>
      <c r="O52" s="6"/>
      <c r="P52" s="26"/>
    </row>
    <row r="53" spans="1:16" x14ac:dyDescent="0.6">
      <c r="A53" s="2"/>
      <c r="B53" s="6"/>
      <c r="C53" s="6"/>
      <c r="D53" s="32"/>
      <c r="E53" s="6"/>
      <c r="F53" s="6"/>
      <c r="G53" s="6"/>
      <c r="H53" s="26"/>
      <c r="I53" s="6"/>
      <c r="J53" s="6"/>
      <c r="K53" s="6"/>
      <c r="L53" s="26"/>
      <c r="M53" s="2"/>
      <c r="N53" s="3"/>
      <c r="O53" s="6"/>
      <c r="P53" s="26"/>
    </row>
    <row r="54" spans="1:16" x14ac:dyDescent="0.6">
      <c r="A54" s="2"/>
      <c r="B54" s="6"/>
      <c r="C54" s="6"/>
      <c r="D54" s="32"/>
      <c r="E54" s="6"/>
      <c r="F54" s="6"/>
      <c r="G54" s="6"/>
      <c r="H54" s="26"/>
      <c r="I54" s="6"/>
      <c r="J54" s="6"/>
      <c r="K54" s="6"/>
      <c r="L54" s="26"/>
      <c r="M54" s="2"/>
      <c r="N54" s="3"/>
      <c r="O54" s="6"/>
      <c r="P54" s="26"/>
    </row>
    <row r="55" spans="1:16" x14ac:dyDescent="0.6">
      <c r="A55" s="2"/>
      <c r="B55" s="6"/>
      <c r="C55" s="6"/>
      <c r="D55" s="32"/>
      <c r="E55" s="6"/>
      <c r="F55" s="6"/>
      <c r="G55" s="6"/>
      <c r="H55" s="26"/>
      <c r="I55" s="6"/>
      <c r="J55" s="6"/>
      <c r="K55" s="6"/>
      <c r="L55" s="26"/>
      <c r="M55" s="2"/>
      <c r="N55" s="3"/>
      <c r="O55" s="6"/>
      <c r="P55" s="26"/>
    </row>
    <row r="56" spans="1:16" x14ac:dyDescent="0.6">
      <c r="A56" s="2"/>
      <c r="B56" s="6"/>
      <c r="C56" s="6"/>
      <c r="D56" s="32"/>
      <c r="E56" s="6"/>
      <c r="F56" s="6"/>
      <c r="G56" s="6"/>
      <c r="H56" s="26"/>
      <c r="I56" s="6"/>
      <c r="J56" s="6"/>
      <c r="K56" s="6"/>
      <c r="L56" s="26"/>
      <c r="M56" s="2"/>
      <c r="N56" s="3"/>
      <c r="O56" s="6"/>
      <c r="P56" s="26"/>
    </row>
    <row r="57" spans="1:16" x14ac:dyDescent="0.6">
      <c r="A57" s="2"/>
      <c r="B57" s="6"/>
      <c r="C57" s="6"/>
      <c r="D57" s="32"/>
      <c r="E57" s="6"/>
      <c r="F57" s="6"/>
      <c r="G57" s="6"/>
      <c r="H57" s="26"/>
      <c r="I57" s="6"/>
      <c r="J57" s="6"/>
      <c r="K57" s="6"/>
      <c r="L57" s="26"/>
      <c r="M57" s="2"/>
      <c r="N57" s="3"/>
      <c r="O57" s="6"/>
      <c r="P57" s="26"/>
    </row>
    <row r="58" spans="1:16" x14ac:dyDescent="0.6">
      <c r="A58" s="2"/>
      <c r="B58" s="6"/>
      <c r="C58" s="6"/>
      <c r="D58" s="32"/>
      <c r="E58" s="6"/>
      <c r="F58" s="6"/>
      <c r="G58" s="6"/>
      <c r="H58" s="26"/>
      <c r="I58" s="6"/>
      <c r="J58" s="6"/>
      <c r="K58" s="6"/>
      <c r="L58" s="26"/>
      <c r="M58" s="2"/>
      <c r="N58" s="3"/>
      <c r="O58" s="6"/>
      <c r="P58" s="26"/>
    </row>
    <row r="59" spans="1:16" x14ac:dyDescent="0.6">
      <c r="A59" s="2"/>
      <c r="B59" s="6"/>
      <c r="C59" s="6"/>
      <c r="D59" s="32"/>
      <c r="E59" s="6"/>
      <c r="F59" s="6"/>
      <c r="G59" s="6"/>
      <c r="H59" s="26"/>
      <c r="I59" s="6"/>
      <c r="J59" s="6"/>
      <c r="K59" s="6"/>
      <c r="L59" s="26"/>
      <c r="M59" s="2"/>
      <c r="N59" s="3"/>
      <c r="O59" s="6"/>
      <c r="P59" s="26"/>
    </row>
    <row r="60" spans="1:16" x14ac:dyDescent="0.6">
      <c r="A60" s="2"/>
      <c r="B60" s="6"/>
      <c r="C60" s="6"/>
      <c r="D60" s="32"/>
      <c r="E60" s="6"/>
      <c r="F60" s="6"/>
      <c r="G60" s="6"/>
      <c r="H60" s="26"/>
      <c r="I60" s="6"/>
      <c r="J60" s="6"/>
      <c r="K60" s="6"/>
      <c r="L60" s="26"/>
      <c r="M60" s="2"/>
      <c r="N60" s="3"/>
      <c r="O60" s="6"/>
      <c r="P60" s="26"/>
    </row>
    <row r="61" spans="1:16" x14ac:dyDescent="0.6">
      <c r="A61" s="2"/>
      <c r="B61" s="6"/>
      <c r="C61" s="6"/>
      <c r="D61" s="32"/>
      <c r="E61" s="6"/>
      <c r="F61" s="6"/>
      <c r="G61" s="6"/>
      <c r="H61" s="26"/>
      <c r="I61" s="6"/>
      <c r="J61" s="6"/>
      <c r="K61" s="6"/>
      <c r="L61" s="26"/>
      <c r="M61" s="2"/>
      <c r="N61" s="3"/>
      <c r="O61" s="6"/>
      <c r="P61" s="26"/>
    </row>
    <row r="62" spans="1:16" x14ac:dyDescent="0.6">
      <c r="A62" s="2"/>
      <c r="B62" s="6"/>
      <c r="C62" s="6"/>
      <c r="D62" s="32"/>
      <c r="E62" s="6"/>
      <c r="F62" s="6"/>
      <c r="G62" s="6"/>
      <c r="H62" s="26"/>
      <c r="I62" s="6"/>
      <c r="J62" s="6"/>
      <c r="K62" s="6"/>
      <c r="L62" s="26"/>
      <c r="M62" s="2"/>
      <c r="N62" s="3"/>
      <c r="O62" s="6"/>
      <c r="P62" s="26"/>
    </row>
    <row r="63" spans="1:16" x14ac:dyDescent="0.6">
      <c r="A63" s="2"/>
      <c r="B63" s="6"/>
      <c r="C63" s="6"/>
      <c r="D63" s="32"/>
      <c r="E63" s="6"/>
      <c r="F63" s="6"/>
      <c r="G63" s="6"/>
      <c r="H63" s="26"/>
      <c r="I63" s="6"/>
      <c r="J63" s="6"/>
      <c r="K63" s="6"/>
      <c r="L63" s="26"/>
      <c r="M63" s="2"/>
      <c r="N63" s="3"/>
      <c r="O63" s="6"/>
      <c r="P63" s="26"/>
    </row>
    <row r="64" spans="1:16" x14ac:dyDescent="0.6">
      <c r="A64" s="2"/>
      <c r="B64" s="6"/>
      <c r="C64" s="6"/>
      <c r="D64" s="32"/>
      <c r="E64" s="6"/>
      <c r="F64" s="6"/>
      <c r="G64" s="6"/>
      <c r="H64" s="26"/>
      <c r="I64" s="6"/>
      <c r="J64" s="6"/>
      <c r="K64" s="6"/>
      <c r="L64" s="26"/>
      <c r="M64" s="2"/>
      <c r="N64" s="3"/>
      <c r="O64" s="6"/>
      <c r="P64" s="26"/>
    </row>
    <row r="65" spans="1:16" x14ac:dyDescent="0.6">
      <c r="A65" s="2"/>
      <c r="B65" s="6"/>
      <c r="C65" s="6"/>
      <c r="D65" s="32"/>
      <c r="E65" s="6"/>
      <c r="F65" s="6"/>
      <c r="G65" s="6"/>
      <c r="H65" s="26"/>
      <c r="I65" s="6"/>
      <c r="J65" s="6"/>
      <c r="K65" s="6"/>
      <c r="L65" s="26"/>
      <c r="M65" s="2"/>
      <c r="N65" s="3"/>
      <c r="O65" s="6"/>
      <c r="P65" s="26"/>
    </row>
    <row r="66" spans="1:16" x14ac:dyDescent="0.6">
      <c r="A66" s="2"/>
      <c r="B66" s="6"/>
      <c r="C66" s="6"/>
      <c r="D66" s="32"/>
      <c r="E66" s="6"/>
      <c r="F66" s="6"/>
      <c r="G66" s="6"/>
      <c r="H66" s="26"/>
      <c r="I66" s="6"/>
      <c r="J66" s="6"/>
      <c r="K66" s="6"/>
      <c r="L66" s="26"/>
      <c r="M66" s="2"/>
      <c r="N66" s="3"/>
      <c r="O66" s="6"/>
      <c r="P66" s="26"/>
    </row>
    <row r="67" spans="1:16" x14ac:dyDescent="0.6">
      <c r="A67" s="2"/>
      <c r="B67" s="6"/>
      <c r="C67" s="6"/>
      <c r="D67" s="32"/>
      <c r="E67" s="6"/>
      <c r="F67" s="6"/>
      <c r="G67" s="6"/>
      <c r="H67" s="26"/>
      <c r="I67" s="6"/>
      <c r="J67" s="6"/>
      <c r="K67" s="6"/>
      <c r="L67" s="26"/>
      <c r="M67" s="2"/>
      <c r="N67" s="3"/>
      <c r="O67" s="6"/>
      <c r="P67" s="26"/>
    </row>
    <row r="68" spans="1:16" x14ac:dyDescent="0.6">
      <c r="A68" s="2"/>
      <c r="B68" s="6"/>
      <c r="C68" s="6"/>
      <c r="D68" s="32"/>
      <c r="E68" s="6"/>
      <c r="F68" s="6"/>
      <c r="G68" s="6"/>
      <c r="H68" s="26"/>
      <c r="I68" s="6"/>
      <c r="J68" s="6"/>
      <c r="K68" s="6"/>
      <c r="L68" s="26"/>
      <c r="M68" s="2"/>
      <c r="N68" s="4"/>
      <c r="O68" s="6"/>
      <c r="P68" s="26"/>
    </row>
    <row r="69" spans="1:16" x14ac:dyDescent="0.6">
      <c r="A69" s="2"/>
      <c r="B69" s="6"/>
      <c r="C69" s="6"/>
      <c r="D69" s="32"/>
      <c r="E69" s="6"/>
      <c r="F69" s="6"/>
      <c r="G69" s="6"/>
      <c r="H69" s="26"/>
      <c r="I69" s="6"/>
      <c r="J69" s="6"/>
      <c r="K69" s="6"/>
      <c r="L69" s="26"/>
      <c r="M69" s="2"/>
      <c r="N69" s="4"/>
      <c r="O69" s="6"/>
      <c r="P69" s="26"/>
    </row>
    <row r="70" spans="1:16" x14ac:dyDescent="0.6">
      <c r="A70" s="2"/>
      <c r="B70" s="6"/>
      <c r="C70" s="6"/>
      <c r="D70" s="33"/>
      <c r="E70" s="6"/>
      <c r="F70" s="6"/>
      <c r="G70" s="6"/>
      <c r="H70" s="26"/>
      <c r="I70" s="6"/>
      <c r="J70" s="6"/>
      <c r="K70" s="6"/>
      <c r="L70" s="26"/>
      <c r="M70" s="2"/>
      <c r="N70" s="4"/>
      <c r="O70" s="6"/>
      <c r="P70" s="26"/>
    </row>
  </sheetData>
  <mergeCells count="5">
    <mergeCell ref="A2:D2"/>
    <mergeCell ref="E2:H2"/>
    <mergeCell ref="I2:L2"/>
    <mergeCell ref="M2:P2"/>
    <mergeCell ref="B37:E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44AC-0597-4EF5-950B-839896574919}">
  <sheetPr>
    <tabColor rgb="FF00B0F0"/>
  </sheetPr>
  <dimension ref="A1:XFD70"/>
  <sheetViews>
    <sheetView zoomScale="115" zoomScaleNormal="115" workbookViewId="0">
      <pane xSplit="4" ySplit="3" topLeftCell="G19" activePane="bottomRight" state="frozen"/>
      <selection activeCell="F33" sqref="F33"/>
      <selection pane="topRight" activeCell="F33" sqref="F33"/>
      <selection pane="bottomLeft" activeCell="F33" sqref="F33"/>
      <selection pane="bottomRight" activeCell="H42" sqref="H42"/>
    </sheetView>
  </sheetViews>
  <sheetFormatPr defaultRowHeight="23.4" x14ac:dyDescent="0.25"/>
  <cols>
    <col min="1" max="1" width="13.3984375" style="9" customWidth="1"/>
    <col min="2" max="2" width="11.69921875" style="9" bestFit="1" customWidth="1"/>
    <col min="3" max="3" width="12.59765625" style="9" bestFit="1" customWidth="1"/>
    <col min="4" max="4" width="10.8984375" style="72" bestFit="1" customWidth="1"/>
    <col min="5" max="5" width="9.3984375" style="9" bestFit="1" customWidth="1"/>
    <col min="6" max="6" width="10.19921875" style="9" bestFit="1" customWidth="1"/>
    <col min="7" max="7" width="20.8984375" style="9" customWidth="1"/>
    <col min="8" max="8" width="14.59765625" style="73" customWidth="1"/>
    <col min="9" max="9" width="18.3984375" style="9" customWidth="1"/>
    <col min="10" max="10" width="10.19921875" style="9" bestFit="1" customWidth="1"/>
    <col min="11" max="11" width="9.09765625" style="9" bestFit="1" customWidth="1"/>
    <col min="12" max="12" width="7.8984375" style="73" bestFit="1" customWidth="1"/>
    <col min="13" max="13" width="9.09765625" style="9" bestFit="1" customWidth="1"/>
    <col min="14" max="14" width="10.19921875" style="9" bestFit="1" customWidth="1"/>
    <col min="15" max="15" width="7.8984375" style="9" bestFit="1" customWidth="1"/>
    <col min="16" max="16" width="8.3984375" style="73" customWidth="1"/>
    <col min="17" max="16383" width="8.69921875" style="9"/>
    <col min="16384" max="16384" width="9" style="9" bestFit="1" customWidth="1"/>
  </cols>
  <sheetData>
    <row r="1" spans="1:16" ht="28.8" x14ac:dyDescent="0.25">
      <c r="A1" s="71" t="s">
        <v>25</v>
      </c>
    </row>
    <row r="2" spans="1:16" s="22" customFormat="1" x14ac:dyDescent="0.25">
      <c r="A2" s="126" t="s">
        <v>0</v>
      </c>
      <c r="B2" s="126"/>
      <c r="C2" s="126"/>
      <c r="D2" s="126"/>
      <c r="E2" s="127" t="s">
        <v>1</v>
      </c>
      <c r="F2" s="127"/>
      <c r="G2" s="127"/>
      <c r="H2" s="127"/>
      <c r="I2" s="128" t="s">
        <v>2</v>
      </c>
      <c r="J2" s="128"/>
      <c r="K2" s="128"/>
      <c r="L2" s="128"/>
      <c r="M2" s="129" t="s">
        <v>3</v>
      </c>
      <c r="N2" s="129"/>
      <c r="O2" s="129"/>
      <c r="P2" s="129"/>
    </row>
    <row r="3" spans="1:16" s="22" customFormat="1" x14ac:dyDescent="0.25">
      <c r="A3" s="23" t="s">
        <v>4</v>
      </c>
      <c r="B3" s="23" t="s">
        <v>5</v>
      </c>
      <c r="C3" s="23" t="s">
        <v>6</v>
      </c>
      <c r="D3" s="25" t="s">
        <v>7</v>
      </c>
      <c r="E3" s="19" t="s">
        <v>4</v>
      </c>
      <c r="F3" s="19" t="s">
        <v>5</v>
      </c>
      <c r="G3" s="19" t="s">
        <v>6</v>
      </c>
      <c r="H3" s="27" t="s">
        <v>7</v>
      </c>
      <c r="I3" s="20" t="s">
        <v>4</v>
      </c>
      <c r="J3" s="20" t="s">
        <v>5</v>
      </c>
      <c r="K3" s="20" t="s">
        <v>6</v>
      </c>
      <c r="L3" s="30" t="s">
        <v>7</v>
      </c>
      <c r="M3" s="21" t="s">
        <v>4</v>
      </c>
      <c r="N3" s="21" t="s">
        <v>5</v>
      </c>
      <c r="O3" s="21" t="s">
        <v>6</v>
      </c>
      <c r="P3" s="31" t="s">
        <v>7</v>
      </c>
    </row>
    <row r="4" spans="1:16" x14ac:dyDescent="0.25">
      <c r="A4" s="74">
        <v>45870</v>
      </c>
      <c r="B4" s="75">
        <v>17520</v>
      </c>
      <c r="C4" s="75">
        <v>2086.64</v>
      </c>
      <c r="D4" s="76">
        <f>+C4/B4</f>
        <v>0.11910045662100456</v>
      </c>
      <c r="E4" s="74">
        <v>45870</v>
      </c>
      <c r="F4" s="75">
        <v>9116</v>
      </c>
      <c r="G4" s="75">
        <v>863.04</v>
      </c>
      <c r="H4" s="76">
        <f>+G4/F4</f>
        <v>9.4673102237823603E-2</v>
      </c>
      <c r="I4" s="74">
        <v>45870</v>
      </c>
      <c r="J4" s="75">
        <v>2193.25</v>
      </c>
      <c r="K4" s="75">
        <v>83.17</v>
      </c>
      <c r="L4" s="76">
        <f>+K4/J4</f>
        <v>3.7920893650974584E-2</v>
      </c>
      <c r="M4" s="74">
        <v>45870</v>
      </c>
      <c r="N4" s="75">
        <v>2411</v>
      </c>
      <c r="O4" s="77">
        <v>546.29999999999995</v>
      </c>
      <c r="P4" s="76">
        <f>+O4/N4</f>
        <v>0.22658647863956863</v>
      </c>
    </row>
    <row r="5" spans="1:16" x14ac:dyDescent="0.25">
      <c r="A5" s="74">
        <v>45871</v>
      </c>
      <c r="B5" s="75">
        <v>8629</v>
      </c>
      <c r="C5" s="75">
        <v>999.49</v>
      </c>
      <c r="D5" s="76">
        <f t="shared" ref="D5:D34" si="0">+C5/B5</f>
        <v>0.11582918066983428</v>
      </c>
      <c r="E5" s="74">
        <v>45871</v>
      </c>
      <c r="F5" s="75">
        <v>13410</v>
      </c>
      <c r="G5" s="75">
        <v>1044.95</v>
      </c>
      <c r="H5" s="76">
        <f t="shared" ref="H5:H34" si="1">+G5/F5</f>
        <v>7.792319164802386E-2</v>
      </c>
      <c r="I5" s="74">
        <v>45871</v>
      </c>
      <c r="J5" s="78">
        <v>4160.55</v>
      </c>
      <c r="K5" s="75">
        <v>88.96</v>
      </c>
      <c r="L5" s="76">
        <f t="shared" ref="L5:L34" si="2">+K5/J5</f>
        <v>2.1381788465467302E-2</v>
      </c>
      <c r="M5" s="74">
        <v>45871</v>
      </c>
      <c r="N5" s="75">
        <v>1373</v>
      </c>
      <c r="O5" s="77">
        <v>395.19</v>
      </c>
      <c r="P5" s="76">
        <f t="shared" ref="P5:P34" si="3">+O5/N5</f>
        <v>0.28782957028404954</v>
      </c>
    </row>
    <row r="6" spans="1:16" x14ac:dyDescent="0.25">
      <c r="A6" s="74">
        <v>45872</v>
      </c>
      <c r="B6" s="75">
        <v>18474</v>
      </c>
      <c r="C6" s="75">
        <v>2376.0300000000002</v>
      </c>
      <c r="D6" s="76">
        <f t="shared" si="0"/>
        <v>0.12861481000324781</v>
      </c>
      <c r="E6" s="74">
        <v>45872</v>
      </c>
      <c r="F6" s="75">
        <v>2765</v>
      </c>
      <c r="G6" s="75">
        <v>933.84</v>
      </c>
      <c r="H6" s="76">
        <f t="shared" si="1"/>
        <v>0.33773598553345391</v>
      </c>
      <c r="I6" s="74">
        <v>45872</v>
      </c>
      <c r="J6" s="78">
        <v>4281.45</v>
      </c>
      <c r="K6" s="75">
        <v>71.14</v>
      </c>
      <c r="L6" s="76">
        <f t="shared" si="2"/>
        <v>1.6615866120122856E-2</v>
      </c>
      <c r="M6" s="74">
        <v>45872</v>
      </c>
      <c r="N6" s="75">
        <v>4575</v>
      </c>
      <c r="O6" s="77">
        <v>461</v>
      </c>
      <c r="P6" s="76">
        <f t="shared" si="3"/>
        <v>0.10076502732240437</v>
      </c>
    </row>
    <row r="7" spans="1:16" x14ac:dyDescent="0.25">
      <c r="A7" s="74">
        <v>45873</v>
      </c>
      <c r="B7" s="75">
        <v>11722</v>
      </c>
      <c r="C7" s="75">
        <v>2544.04</v>
      </c>
      <c r="D7" s="76">
        <f t="shared" si="0"/>
        <v>0.21703122334072683</v>
      </c>
      <c r="E7" s="74">
        <v>45873</v>
      </c>
      <c r="F7" s="75">
        <v>5387</v>
      </c>
      <c r="G7" s="75">
        <v>873.31</v>
      </c>
      <c r="H7" s="76">
        <f t="shared" si="1"/>
        <v>0.16211434935956931</v>
      </c>
      <c r="I7" s="74">
        <v>45873</v>
      </c>
      <c r="J7" s="78">
        <v>5295.71</v>
      </c>
      <c r="K7" s="75">
        <v>96.46</v>
      </c>
      <c r="L7" s="76">
        <f t="shared" si="2"/>
        <v>1.8214743632109762E-2</v>
      </c>
      <c r="M7" s="74">
        <v>45873</v>
      </c>
      <c r="N7" s="75">
        <v>3308</v>
      </c>
      <c r="O7" s="77">
        <v>583</v>
      </c>
      <c r="P7" s="76">
        <f t="shared" si="3"/>
        <v>0.17623941958887546</v>
      </c>
    </row>
    <row r="8" spans="1:16" x14ac:dyDescent="0.25">
      <c r="A8" s="74">
        <v>45874</v>
      </c>
      <c r="B8" s="75">
        <v>15044.7</v>
      </c>
      <c r="C8" s="75">
        <v>2418.73</v>
      </c>
      <c r="D8" s="76">
        <f t="shared" si="0"/>
        <v>0.16076957333811906</v>
      </c>
      <c r="E8" s="74">
        <v>45874</v>
      </c>
      <c r="F8" s="75">
        <v>6162</v>
      </c>
      <c r="G8" s="75">
        <v>1301.8900000000001</v>
      </c>
      <c r="H8" s="76">
        <f t="shared" si="1"/>
        <v>0.21127718273287896</v>
      </c>
      <c r="I8" s="74">
        <v>45874</v>
      </c>
      <c r="J8" s="78">
        <v>4694.2</v>
      </c>
      <c r="K8" s="75">
        <v>90.16</v>
      </c>
      <c r="L8" s="76">
        <f t="shared" si="2"/>
        <v>1.9206680584551147E-2</v>
      </c>
      <c r="M8" s="74">
        <v>45874</v>
      </c>
      <c r="N8" s="75">
        <v>4622</v>
      </c>
      <c r="O8" s="77">
        <v>930</v>
      </c>
      <c r="P8" s="76">
        <f t="shared" si="3"/>
        <v>0.20121159671138036</v>
      </c>
    </row>
    <row r="9" spans="1:16" x14ac:dyDescent="0.25">
      <c r="A9" s="74">
        <v>45875</v>
      </c>
      <c r="B9" s="75">
        <v>25554.95</v>
      </c>
      <c r="C9" s="75">
        <v>3772.6</v>
      </c>
      <c r="D9" s="76">
        <f t="shared" si="0"/>
        <v>0.14762697637835331</v>
      </c>
      <c r="E9" s="74">
        <v>45875</v>
      </c>
      <c r="F9" s="75">
        <v>20521</v>
      </c>
      <c r="G9" s="75">
        <v>724.29</v>
      </c>
      <c r="H9" s="76">
        <f t="shared" si="1"/>
        <v>3.5295063593392136E-2</v>
      </c>
      <c r="I9" s="74">
        <v>45875</v>
      </c>
      <c r="J9" s="75">
        <v>5293.6</v>
      </c>
      <c r="K9" s="75">
        <v>123.26</v>
      </c>
      <c r="L9" s="76">
        <f t="shared" si="2"/>
        <v>2.3284721172736889E-2</v>
      </c>
      <c r="M9" s="74">
        <v>45875</v>
      </c>
      <c r="N9" s="75">
        <v>5951</v>
      </c>
      <c r="O9" s="77">
        <v>618</v>
      </c>
      <c r="P9" s="76">
        <f t="shared" si="3"/>
        <v>0.10384809275751974</v>
      </c>
    </row>
    <row r="10" spans="1:16" x14ac:dyDescent="0.25">
      <c r="A10" s="74">
        <v>45876</v>
      </c>
      <c r="B10" s="75">
        <v>36102.080000000002</v>
      </c>
      <c r="C10" s="75">
        <v>4936.32</v>
      </c>
      <c r="D10" s="76">
        <f t="shared" si="0"/>
        <v>0.13673228800113454</v>
      </c>
      <c r="E10" s="74">
        <v>45876</v>
      </c>
      <c r="F10" s="75">
        <v>40282</v>
      </c>
      <c r="G10" s="75">
        <v>651.42999999999995</v>
      </c>
      <c r="H10" s="76">
        <f t="shared" si="1"/>
        <v>1.6171739238369495E-2</v>
      </c>
      <c r="I10" s="74">
        <v>45876</v>
      </c>
      <c r="J10" s="75">
        <v>2617.71</v>
      </c>
      <c r="K10" s="77">
        <v>170.32</v>
      </c>
      <c r="L10" s="76">
        <f t="shared" si="2"/>
        <v>6.5064502943412372E-2</v>
      </c>
      <c r="M10" s="74">
        <v>45876</v>
      </c>
      <c r="N10" s="75">
        <v>9179</v>
      </c>
      <c r="O10" s="77">
        <v>352</v>
      </c>
      <c r="P10" s="76">
        <f t="shared" si="3"/>
        <v>3.8348403965573589E-2</v>
      </c>
    </row>
    <row r="11" spans="1:16" x14ac:dyDescent="0.25">
      <c r="A11" s="74">
        <v>45877</v>
      </c>
      <c r="B11" s="75">
        <v>39997</v>
      </c>
      <c r="C11" s="75">
        <v>5179.6099999999997</v>
      </c>
      <c r="D11" s="76">
        <f t="shared" si="0"/>
        <v>0.12949996249718729</v>
      </c>
      <c r="E11" s="74">
        <v>45877</v>
      </c>
      <c r="F11" s="75">
        <v>24804</v>
      </c>
      <c r="G11" s="77" t="s">
        <v>52</v>
      </c>
      <c r="H11" s="76" t="e">
        <f t="shared" si="1"/>
        <v>#VALUE!</v>
      </c>
      <c r="I11" s="74">
        <v>45877</v>
      </c>
      <c r="J11" s="75">
        <v>3169.74</v>
      </c>
      <c r="K11" s="77">
        <v>150.52000000000001</v>
      </c>
      <c r="L11" s="76">
        <f t="shared" si="2"/>
        <v>4.7486544637730548E-2</v>
      </c>
      <c r="M11" s="74">
        <v>45877</v>
      </c>
      <c r="N11" s="75">
        <v>12105</v>
      </c>
      <c r="O11" s="77">
        <v>795</v>
      </c>
      <c r="P11" s="76">
        <f t="shared" si="3"/>
        <v>6.5675340768277565E-2</v>
      </c>
    </row>
    <row r="12" spans="1:16" x14ac:dyDescent="0.25">
      <c r="A12" s="74">
        <v>45878</v>
      </c>
      <c r="B12" s="75">
        <v>8759.75</v>
      </c>
      <c r="C12" s="75">
        <v>1268.95</v>
      </c>
      <c r="D12" s="76">
        <f t="shared" si="0"/>
        <v>0.14486144010959218</v>
      </c>
      <c r="E12" s="74">
        <v>45878</v>
      </c>
      <c r="F12" s="75">
        <v>14056</v>
      </c>
      <c r="G12" s="77" t="s">
        <v>52</v>
      </c>
      <c r="H12" s="76" t="e">
        <f t="shared" si="1"/>
        <v>#VALUE!</v>
      </c>
      <c r="I12" s="74">
        <v>45878</v>
      </c>
      <c r="J12" s="75">
        <v>4044.65</v>
      </c>
      <c r="K12" s="77">
        <v>150.31</v>
      </c>
      <c r="L12" s="76">
        <f t="shared" si="2"/>
        <v>3.7162671677401012E-2</v>
      </c>
      <c r="M12" s="74">
        <v>45878</v>
      </c>
      <c r="N12" s="75">
        <v>8320</v>
      </c>
      <c r="O12" s="77">
        <v>651</v>
      </c>
      <c r="P12" s="76">
        <f t="shared" si="3"/>
        <v>7.8245192307692307E-2</v>
      </c>
    </row>
    <row r="13" spans="1:16" x14ac:dyDescent="0.25">
      <c r="A13" s="74">
        <v>45879</v>
      </c>
      <c r="B13" s="75">
        <v>25189.21</v>
      </c>
      <c r="C13" s="75">
        <v>4155.67</v>
      </c>
      <c r="D13" s="76">
        <f t="shared" si="0"/>
        <v>0.16497817914892926</v>
      </c>
      <c r="E13" s="74">
        <v>45879</v>
      </c>
      <c r="F13" s="75">
        <v>6374</v>
      </c>
      <c r="G13" s="77" t="s">
        <v>52</v>
      </c>
      <c r="H13" s="76" t="e">
        <f t="shared" si="1"/>
        <v>#VALUE!</v>
      </c>
      <c r="I13" s="74">
        <v>45879</v>
      </c>
      <c r="J13" s="75">
        <v>4282.1400000000003</v>
      </c>
      <c r="K13" s="77">
        <v>150.19999999999999</v>
      </c>
      <c r="L13" s="76">
        <f t="shared" si="2"/>
        <v>3.5075919983933258E-2</v>
      </c>
      <c r="M13" s="74">
        <v>45879</v>
      </c>
      <c r="N13" s="75">
        <v>3301</v>
      </c>
      <c r="O13" s="77">
        <v>391</v>
      </c>
      <c r="P13" s="76">
        <f t="shared" si="3"/>
        <v>0.11844895486216298</v>
      </c>
    </row>
    <row r="14" spans="1:16" x14ac:dyDescent="0.25">
      <c r="A14" s="74">
        <v>45880</v>
      </c>
      <c r="B14" s="75">
        <v>23087.54</v>
      </c>
      <c r="C14" s="75">
        <v>4271.4399999999996</v>
      </c>
      <c r="D14" s="76">
        <f t="shared" si="0"/>
        <v>0.18501061611587893</v>
      </c>
      <c r="E14" s="74">
        <v>45880</v>
      </c>
      <c r="F14" s="75">
        <v>9104</v>
      </c>
      <c r="G14" s="77" t="s">
        <v>52</v>
      </c>
      <c r="H14" s="76" t="e">
        <f t="shared" si="1"/>
        <v>#VALUE!</v>
      </c>
      <c r="I14" s="74">
        <v>45880</v>
      </c>
      <c r="J14" s="75">
        <v>4113.95</v>
      </c>
      <c r="K14" s="77">
        <v>150.04</v>
      </c>
      <c r="L14" s="76">
        <f t="shared" si="2"/>
        <v>3.647103149041675E-2</v>
      </c>
      <c r="M14" s="74">
        <v>45880</v>
      </c>
      <c r="N14" s="75">
        <v>3813</v>
      </c>
      <c r="O14" s="77">
        <v>465</v>
      </c>
      <c r="P14" s="76">
        <f t="shared" si="3"/>
        <v>0.12195121951219512</v>
      </c>
    </row>
    <row r="15" spans="1:16" x14ac:dyDescent="0.25">
      <c r="A15" s="74">
        <v>45881</v>
      </c>
      <c r="B15" s="75">
        <v>16046</v>
      </c>
      <c r="C15" s="75">
        <v>2348.9699999999998</v>
      </c>
      <c r="D15" s="76">
        <f t="shared" si="0"/>
        <v>0.14638975445593916</v>
      </c>
      <c r="E15" s="74">
        <v>45881</v>
      </c>
      <c r="F15" s="75">
        <v>2014</v>
      </c>
      <c r="G15" s="77" t="s">
        <v>52</v>
      </c>
      <c r="H15" s="76" t="e">
        <f t="shared" si="1"/>
        <v>#VALUE!</v>
      </c>
      <c r="I15" s="74">
        <v>45881</v>
      </c>
      <c r="J15" s="75">
        <v>1500.4</v>
      </c>
      <c r="K15" s="77">
        <v>150.34</v>
      </c>
      <c r="L15" s="76">
        <f t="shared" si="2"/>
        <v>0.1001999466808851</v>
      </c>
      <c r="M15" s="74">
        <v>45881</v>
      </c>
      <c r="N15" s="75">
        <v>3568</v>
      </c>
      <c r="O15" s="77">
        <v>521</v>
      </c>
      <c r="P15" s="76">
        <f t="shared" si="3"/>
        <v>0.1460201793721973</v>
      </c>
    </row>
    <row r="16" spans="1:16" x14ac:dyDescent="0.25">
      <c r="A16" s="74">
        <v>45882</v>
      </c>
      <c r="B16" s="75">
        <v>23920.81</v>
      </c>
      <c r="C16" s="75">
        <v>3576.83</v>
      </c>
      <c r="D16" s="76">
        <f t="shared" si="0"/>
        <v>0.14952796330893475</v>
      </c>
      <c r="E16" s="74">
        <v>45882</v>
      </c>
      <c r="F16" s="75">
        <v>35880</v>
      </c>
      <c r="G16" s="77" t="s">
        <v>52</v>
      </c>
      <c r="H16" s="76" t="e">
        <f t="shared" si="1"/>
        <v>#VALUE!</v>
      </c>
      <c r="I16" s="74">
        <v>45882</v>
      </c>
      <c r="J16" s="75">
        <v>2246</v>
      </c>
      <c r="K16" s="75">
        <v>154.05000000000001</v>
      </c>
      <c r="L16" s="76">
        <f t="shared" si="2"/>
        <v>6.8588601959038292E-2</v>
      </c>
      <c r="M16" s="74">
        <v>45882</v>
      </c>
      <c r="N16" s="75">
        <v>6272</v>
      </c>
      <c r="O16" s="77">
        <v>742</v>
      </c>
      <c r="P16" s="76">
        <f t="shared" si="3"/>
        <v>0.11830357142857142</v>
      </c>
    </row>
    <row r="17" spans="1:16" x14ac:dyDescent="0.25">
      <c r="A17" s="74">
        <v>45883</v>
      </c>
      <c r="B17" s="75">
        <v>16880.62</v>
      </c>
      <c r="C17" s="75">
        <v>2396.1999999999998</v>
      </c>
      <c r="D17" s="76">
        <f t="shared" si="0"/>
        <v>0.14194976250872302</v>
      </c>
      <c r="E17" s="74">
        <v>45883</v>
      </c>
      <c r="F17" s="75">
        <v>24840</v>
      </c>
      <c r="G17" s="77" t="s">
        <v>52</v>
      </c>
      <c r="H17" s="76" t="e">
        <f t="shared" si="1"/>
        <v>#VALUE!</v>
      </c>
      <c r="I17" s="74">
        <v>45883</v>
      </c>
      <c r="J17" s="75">
        <v>3201.3</v>
      </c>
      <c r="K17" s="75">
        <v>150.09</v>
      </c>
      <c r="L17" s="76">
        <f t="shared" si="2"/>
        <v>4.6884078343173083E-2</v>
      </c>
      <c r="M17" s="74">
        <v>45883</v>
      </c>
      <c r="N17" s="75">
        <v>3733</v>
      </c>
      <c r="O17" s="77">
        <v>675</v>
      </c>
      <c r="P17" s="76">
        <f t="shared" si="3"/>
        <v>0.18081971604607555</v>
      </c>
    </row>
    <row r="18" spans="1:16" x14ac:dyDescent="0.25">
      <c r="A18" s="74">
        <v>45884</v>
      </c>
      <c r="B18" s="75">
        <v>12253.33</v>
      </c>
      <c r="C18" s="75">
        <v>1467.8</v>
      </c>
      <c r="D18" s="76">
        <f t="shared" si="0"/>
        <v>0.11978784542650854</v>
      </c>
      <c r="E18" s="74">
        <v>45884</v>
      </c>
      <c r="F18" s="75">
        <v>1200</v>
      </c>
      <c r="G18" s="75" t="s">
        <v>52</v>
      </c>
      <c r="H18" s="76" t="e">
        <f t="shared" si="1"/>
        <v>#VALUE!</v>
      </c>
      <c r="I18" s="74">
        <v>45884</v>
      </c>
      <c r="J18" s="75">
        <v>1492.01</v>
      </c>
      <c r="K18" s="75">
        <v>153.16999999999999</v>
      </c>
      <c r="L18" s="76">
        <f t="shared" si="2"/>
        <v>0.10266016983800376</v>
      </c>
      <c r="M18" s="74">
        <v>45884</v>
      </c>
      <c r="N18" s="75">
        <v>6582</v>
      </c>
      <c r="O18" s="77">
        <v>681</v>
      </c>
      <c r="P18" s="76">
        <f t="shared" si="3"/>
        <v>0.10346399270738377</v>
      </c>
    </row>
    <row r="19" spans="1:16" x14ac:dyDescent="0.25">
      <c r="A19" s="74">
        <v>45885</v>
      </c>
      <c r="B19" s="75">
        <v>26972.73</v>
      </c>
      <c r="C19" s="75">
        <v>4132.8599999999997</v>
      </c>
      <c r="D19" s="76">
        <f t="shared" si="0"/>
        <v>0.15322364477010669</v>
      </c>
      <c r="E19" s="74">
        <v>45885</v>
      </c>
      <c r="F19" s="75">
        <v>6150</v>
      </c>
      <c r="G19" s="75" t="s">
        <v>52</v>
      </c>
      <c r="H19" s="76" t="e">
        <f t="shared" si="1"/>
        <v>#VALUE!</v>
      </c>
      <c r="I19" s="74">
        <v>45885</v>
      </c>
      <c r="J19" s="75">
        <v>2661.74</v>
      </c>
      <c r="K19" s="75">
        <v>139.5</v>
      </c>
      <c r="L19" s="76">
        <f t="shared" si="2"/>
        <v>5.2409326230210315E-2</v>
      </c>
      <c r="M19" s="74">
        <v>45885</v>
      </c>
      <c r="N19" s="75">
        <v>3865</v>
      </c>
      <c r="O19" s="77">
        <v>705</v>
      </c>
      <c r="P19" s="76">
        <f t="shared" si="3"/>
        <v>0.18240620957309184</v>
      </c>
    </row>
    <row r="20" spans="1:16" x14ac:dyDescent="0.25">
      <c r="A20" s="74">
        <v>45886</v>
      </c>
      <c r="B20" s="75">
        <v>21727.25</v>
      </c>
      <c r="C20" s="75">
        <v>3037.35</v>
      </c>
      <c r="D20" s="76">
        <f t="shared" si="0"/>
        <v>0.13979449769298921</v>
      </c>
      <c r="E20" s="74">
        <v>45886</v>
      </c>
      <c r="F20" s="75">
        <v>61005</v>
      </c>
      <c r="G20" s="75" t="s">
        <v>52</v>
      </c>
      <c r="H20" s="76" t="e">
        <f t="shared" si="1"/>
        <v>#VALUE!</v>
      </c>
      <c r="I20" s="74">
        <v>45886</v>
      </c>
      <c r="J20" s="75">
        <v>2920.71</v>
      </c>
      <c r="K20" s="75">
        <v>150.06</v>
      </c>
      <c r="L20" s="76">
        <f t="shared" si="2"/>
        <v>5.1377918382858961E-2</v>
      </c>
      <c r="M20" s="74">
        <v>45886</v>
      </c>
      <c r="N20" s="75">
        <v>8273</v>
      </c>
      <c r="O20" s="77">
        <v>1877</v>
      </c>
      <c r="P20" s="76">
        <f t="shared" si="3"/>
        <v>0.22688263024295902</v>
      </c>
    </row>
    <row r="21" spans="1:16" x14ac:dyDescent="0.25">
      <c r="A21" s="74">
        <v>45887</v>
      </c>
      <c r="B21" s="75">
        <v>16602.89</v>
      </c>
      <c r="C21" s="75">
        <v>3054.1</v>
      </c>
      <c r="D21" s="76">
        <f t="shared" si="0"/>
        <v>0.18394990269766287</v>
      </c>
      <c r="E21" s="74">
        <v>45887</v>
      </c>
      <c r="F21" s="75">
        <v>36435</v>
      </c>
      <c r="G21" s="77" t="s">
        <v>52</v>
      </c>
      <c r="H21" s="76" t="e">
        <f t="shared" si="1"/>
        <v>#VALUE!</v>
      </c>
      <c r="I21" s="74">
        <v>45887</v>
      </c>
      <c r="J21" s="75">
        <v>4135.8</v>
      </c>
      <c r="K21" s="77">
        <v>151.41</v>
      </c>
      <c r="L21" s="76">
        <f t="shared" si="2"/>
        <v>3.6609603946032201E-2</v>
      </c>
      <c r="M21" s="74">
        <v>45887</v>
      </c>
      <c r="N21" s="75">
        <v>4880</v>
      </c>
      <c r="O21" s="77">
        <v>765</v>
      </c>
      <c r="P21" s="76">
        <f t="shared" si="3"/>
        <v>0.15676229508196721</v>
      </c>
    </row>
    <row r="22" spans="1:16" x14ac:dyDescent="0.25">
      <c r="A22" s="74">
        <v>45888</v>
      </c>
      <c r="B22" s="75">
        <v>22824.98</v>
      </c>
      <c r="C22" s="75">
        <v>3285.48</v>
      </c>
      <c r="D22" s="76">
        <f t="shared" si="0"/>
        <v>0.14394229480157267</v>
      </c>
      <c r="E22" s="74">
        <v>45888</v>
      </c>
      <c r="F22" s="75">
        <v>2440</v>
      </c>
      <c r="G22" s="77" t="s">
        <v>52</v>
      </c>
      <c r="H22" s="76" t="e">
        <f t="shared" si="1"/>
        <v>#VALUE!</v>
      </c>
      <c r="I22" s="74">
        <v>45888</v>
      </c>
      <c r="J22" s="75">
        <v>4431.3</v>
      </c>
      <c r="K22" s="77">
        <v>150.09</v>
      </c>
      <c r="L22" s="76">
        <f t="shared" si="2"/>
        <v>3.387042177239185E-2</v>
      </c>
      <c r="M22" s="74">
        <v>45888</v>
      </c>
      <c r="N22" s="75">
        <v>7292</v>
      </c>
      <c r="O22" s="77">
        <v>194</v>
      </c>
      <c r="P22" s="76">
        <f t="shared" si="3"/>
        <v>2.6604498080087767E-2</v>
      </c>
    </row>
    <row r="23" spans="1:16" x14ac:dyDescent="0.25">
      <c r="A23" s="74">
        <v>45889</v>
      </c>
      <c r="B23" s="75">
        <v>35457.18</v>
      </c>
      <c r="C23" s="75">
        <v>5198.88</v>
      </c>
      <c r="D23" s="76">
        <f t="shared" si="0"/>
        <v>0.14662418161850435</v>
      </c>
      <c r="E23" s="74">
        <v>45889</v>
      </c>
      <c r="F23" s="79">
        <v>7631.66</v>
      </c>
      <c r="G23" s="75" t="s">
        <v>52</v>
      </c>
      <c r="H23" s="76" t="e">
        <f t="shared" si="1"/>
        <v>#VALUE!</v>
      </c>
      <c r="I23" s="74">
        <v>45889</v>
      </c>
      <c r="J23" s="75">
        <v>3096.92</v>
      </c>
      <c r="K23" s="77">
        <v>150.08000000000001</v>
      </c>
      <c r="L23" s="76">
        <f t="shared" si="2"/>
        <v>4.8461051625485967E-2</v>
      </c>
      <c r="M23" s="74">
        <v>45889</v>
      </c>
      <c r="N23" s="75">
        <v>7783</v>
      </c>
      <c r="O23" s="77">
        <v>74</v>
      </c>
      <c r="P23" s="76">
        <f t="shared" si="3"/>
        <v>9.5079018373377868E-3</v>
      </c>
    </row>
    <row r="24" spans="1:16" x14ac:dyDescent="0.25">
      <c r="A24" s="74">
        <v>45890</v>
      </c>
      <c r="B24" s="75">
        <v>40154.36</v>
      </c>
      <c r="C24" s="75">
        <v>5320.5</v>
      </c>
      <c r="D24" s="76">
        <f t="shared" si="0"/>
        <v>0.13250117795427446</v>
      </c>
      <c r="E24" s="74">
        <v>45890</v>
      </c>
      <c r="F24" s="75">
        <v>38499</v>
      </c>
      <c r="G24" s="7" t="s">
        <v>53</v>
      </c>
      <c r="H24" s="76" t="e">
        <f t="shared" si="1"/>
        <v>#VALUE!</v>
      </c>
      <c r="I24" s="74">
        <v>45890</v>
      </c>
      <c r="J24" s="75">
        <v>4388.6000000000004</v>
      </c>
      <c r="K24" s="77">
        <v>150.05000000000001</v>
      </c>
      <c r="L24" s="76">
        <f t="shared" si="2"/>
        <v>3.4190858132434034E-2</v>
      </c>
      <c r="M24" s="74">
        <v>45890</v>
      </c>
      <c r="N24" s="75">
        <v>5334</v>
      </c>
      <c r="O24" s="77">
        <v>100</v>
      </c>
      <c r="P24" s="76">
        <f t="shared" si="3"/>
        <v>1.8747656542932135E-2</v>
      </c>
    </row>
    <row r="25" spans="1:16" x14ac:dyDescent="0.25">
      <c r="A25" s="74">
        <v>45891</v>
      </c>
      <c r="B25" s="75">
        <v>32426.22</v>
      </c>
      <c r="C25" s="75">
        <v>5036.53</v>
      </c>
      <c r="D25" s="76">
        <f t="shared" si="0"/>
        <v>0.15532276040808948</v>
      </c>
      <c r="E25" s="74">
        <v>45891</v>
      </c>
      <c r="F25" s="75">
        <v>1079</v>
      </c>
      <c r="G25" s="7" t="s">
        <v>52</v>
      </c>
      <c r="H25" s="76" t="e">
        <f t="shared" si="1"/>
        <v>#VALUE!</v>
      </c>
      <c r="I25" s="74">
        <v>45891</v>
      </c>
      <c r="J25" s="75">
        <v>3239.65</v>
      </c>
      <c r="K25" s="7">
        <v>150.77000000000001</v>
      </c>
      <c r="L25" s="76">
        <f t="shared" si="2"/>
        <v>4.653897797601593E-2</v>
      </c>
      <c r="M25" s="74">
        <v>45891</v>
      </c>
      <c r="N25" s="75">
        <v>4324</v>
      </c>
      <c r="O25" s="77">
        <v>87</v>
      </c>
      <c r="P25" s="76">
        <f t="shared" si="3"/>
        <v>2.0120259019426458E-2</v>
      </c>
    </row>
    <row r="26" spans="1:16" x14ac:dyDescent="0.25">
      <c r="A26" s="74">
        <v>45892</v>
      </c>
      <c r="B26" s="75">
        <v>25185.06</v>
      </c>
      <c r="C26" s="75">
        <v>3468.45</v>
      </c>
      <c r="D26" s="76">
        <f t="shared" si="0"/>
        <v>0.13771855218927409</v>
      </c>
      <c r="E26" s="74">
        <v>45892</v>
      </c>
      <c r="F26" s="75">
        <v>9555</v>
      </c>
      <c r="G26" s="7" t="s">
        <v>52</v>
      </c>
      <c r="H26" s="76" t="e">
        <f t="shared" si="1"/>
        <v>#VALUE!</v>
      </c>
      <c r="I26" s="74">
        <v>45892</v>
      </c>
      <c r="J26" s="75">
        <v>3297.7</v>
      </c>
      <c r="K26" s="7">
        <v>150.25</v>
      </c>
      <c r="L26" s="76">
        <f t="shared" si="2"/>
        <v>4.5562058404342423E-2</v>
      </c>
      <c r="M26" s="74">
        <v>45892</v>
      </c>
      <c r="N26" s="75">
        <v>4247</v>
      </c>
      <c r="O26" s="77">
        <v>41</v>
      </c>
      <c r="P26" s="76">
        <f t="shared" si="3"/>
        <v>9.6538733223451856E-3</v>
      </c>
    </row>
    <row r="27" spans="1:16" x14ac:dyDescent="0.25">
      <c r="A27" s="74">
        <v>45893</v>
      </c>
      <c r="B27" s="75">
        <v>30459.87</v>
      </c>
      <c r="C27" s="75">
        <v>4665.42</v>
      </c>
      <c r="D27" s="76">
        <f t="shared" si="0"/>
        <v>0.15316611659865917</v>
      </c>
      <c r="E27" s="74">
        <v>45893</v>
      </c>
      <c r="F27" s="75">
        <v>5100</v>
      </c>
      <c r="G27" s="7" t="s">
        <v>52</v>
      </c>
      <c r="H27" s="76" t="e">
        <f t="shared" si="1"/>
        <v>#VALUE!</v>
      </c>
      <c r="I27" s="74">
        <v>45893</v>
      </c>
      <c r="J27" s="75">
        <v>3584.65</v>
      </c>
      <c r="K27" s="7">
        <v>150.5</v>
      </c>
      <c r="L27" s="76">
        <f t="shared" si="2"/>
        <v>4.1984573110345501E-2</v>
      </c>
      <c r="M27" s="74">
        <v>45893</v>
      </c>
      <c r="N27" s="75">
        <v>6940</v>
      </c>
      <c r="O27" s="77">
        <v>74</v>
      </c>
      <c r="P27" s="76">
        <f t="shared" si="3"/>
        <v>1.0662824207492795E-2</v>
      </c>
    </row>
    <row r="28" spans="1:16" x14ac:dyDescent="0.25">
      <c r="A28" s="74">
        <v>45894</v>
      </c>
      <c r="B28" s="75">
        <v>19775.150000000001</v>
      </c>
      <c r="C28" s="75">
        <v>3492.17</v>
      </c>
      <c r="D28" s="76">
        <f t="shared" si="0"/>
        <v>0.17659385643092465</v>
      </c>
      <c r="E28" s="74">
        <v>45894</v>
      </c>
      <c r="F28" s="75">
        <v>3804</v>
      </c>
      <c r="G28" s="7" t="s">
        <v>52</v>
      </c>
      <c r="H28" s="76" t="e">
        <f t="shared" si="1"/>
        <v>#VALUE!</v>
      </c>
      <c r="I28" s="74">
        <v>45894</v>
      </c>
      <c r="J28" s="75">
        <v>4064.56</v>
      </c>
      <c r="K28" s="7">
        <v>151.05000000000001</v>
      </c>
      <c r="L28" s="76">
        <f t="shared" si="2"/>
        <v>3.7162694116952388E-2</v>
      </c>
      <c r="M28" s="74">
        <v>45894</v>
      </c>
      <c r="N28" s="75">
        <v>6200</v>
      </c>
      <c r="O28" s="77">
        <v>70</v>
      </c>
      <c r="P28" s="76">
        <f t="shared" si="3"/>
        <v>1.1290322580645161E-2</v>
      </c>
    </row>
    <row r="29" spans="1:16" x14ac:dyDescent="0.25">
      <c r="A29" s="74">
        <v>45895</v>
      </c>
      <c r="B29" s="75">
        <v>18232.48</v>
      </c>
      <c r="C29" s="75">
        <v>2674.92</v>
      </c>
      <c r="D29" s="76">
        <f t="shared" si="0"/>
        <v>0.14671180223425448</v>
      </c>
      <c r="E29" s="74">
        <v>45895</v>
      </c>
      <c r="F29" s="79">
        <v>2185</v>
      </c>
      <c r="G29" s="7" t="s">
        <v>52</v>
      </c>
      <c r="H29" s="76" t="e">
        <f t="shared" si="1"/>
        <v>#VALUE!</v>
      </c>
      <c r="I29" s="74">
        <v>45895</v>
      </c>
      <c r="J29" s="75">
        <v>3603.25</v>
      </c>
      <c r="K29" s="7">
        <v>150.13</v>
      </c>
      <c r="L29" s="76">
        <f t="shared" si="2"/>
        <v>4.1665163394158052E-2</v>
      </c>
      <c r="M29" s="74">
        <v>45895</v>
      </c>
      <c r="N29" s="75">
        <v>7497</v>
      </c>
      <c r="O29" s="77">
        <v>54</v>
      </c>
      <c r="P29" s="76">
        <f t="shared" si="3"/>
        <v>7.2028811524609843E-3</v>
      </c>
    </row>
    <row r="30" spans="1:16" x14ac:dyDescent="0.25">
      <c r="A30" s="74">
        <v>45896</v>
      </c>
      <c r="B30" s="75">
        <v>41042.769999999997</v>
      </c>
      <c r="C30" s="75">
        <v>6512.51</v>
      </c>
      <c r="D30" s="76">
        <f t="shared" si="0"/>
        <v>0.15867618096926694</v>
      </c>
      <c r="E30" s="74">
        <v>45896</v>
      </c>
      <c r="F30" s="79">
        <v>3252</v>
      </c>
      <c r="G30" s="7" t="s">
        <v>52</v>
      </c>
      <c r="H30" s="76" t="e">
        <f t="shared" si="1"/>
        <v>#VALUE!</v>
      </c>
      <c r="I30" s="74">
        <v>45896</v>
      </c>
      <c r="J30" s="75">
        <v>1955.31</v>
      </c>
      <c r="K30" s="7">
        <v>150.19999999999999</v>
      </c>
      <c r="L30" s="76">
        <f t="shared" si="2"/>
        <v>7.6816463885521991E-2</v>
      </c>
      <c r="M30" s="74">
        <v>45896</v>
      </c>
      <c r="N30" s="75">
        <v>9132</v>
      </c>
      <c r="O30" s="77">
        <v>87</v>
      </c>
      <c r="P30" s="76">
        <f t="shared" si="3"/>
        <v>9.5269382391590021E-3</v>
      </c>
    </row>
    <row r="31" spans="1:16" x14ac:dyDescent="0.25">
      <c r="A31" s="74">
        <v>45897</v>
      </c>
      <c r="B31" s="75">
        <v>38335.43</v>
      </c>
      <c r="C31" s="75">
        <v>7629.89</v>
      </c>
      <c r="D31" s="76">
        <f t="shared" si="0"/>
        <v>0.19902972263517066</v>
      </c>
      <c r="E31" s="74">
        <v>45897</v>
      </c>
      <c r="F31" s="75">
        <v>19595</v>
      </c>
      <c r="G31" s="7">
        <v>345.55</v>
      </c>
      <c r="H31" s="76">
        <f t="shared" si="1"/>
        <v>1.7634600663434551E-2</v>
      </c>
      <c r="I31" s="74">
        <v>45897</v>
      </c>
      <c r="J31" s="75">
        <v>3858.34</v>
      </c>
      <c r="K31" s="7">
        <v>170.39</v>
      </c>
      <c r="L31" s="76">
        <f t="shared" si="2"/>
        <v>4.4161478770663024E-2</v>
      </c>
      <c r="M31" s="74">
        <v>45897</v>
      </c>
      <c r="N31" s="75">
        <v>5876</v>
      </c>
      <c r="O31" s="77">
        <v>844</v>
      </c>
      <c r="P31" s="76">
        <f t="shared" si="3"/>
        <v>0.14363512593601088</v>
      </c>
    </row>
    <row r="32" spans="1:16" x14ac:dyDescent="0.25">
      <c r="A32" s="74">
        <v>45898</v>
      </c>
      <c r="B32" s="75">
        <v>29155.43</v>
      </c>
      <c r="C32" s="75">
        <v>4543.72</v>
      </c>
      <c r="D32" s="76">
        <f t="shared" si="0"/>
        <v>0.15584472600815699</v>
      </c>
      <c r="E32" s="74">
        <v>45898</v>
      </c>
      <c r="F32" s="75">
        <v>1150</v>
      </c>
      <c r="G32" s="7">
        <v>548.79999999999995</v>
      </c>
      <c r="H32" s="76">
        <f t="shared" si="1"/>
        <v>0.47721739130434776</v>
      </c>
      <c r="I32" s="74">
        <v>45898</v>
      </c>
      <c r="J32" s="75">
        <v>2634.95</v>
      </c>
      <c r="K32" s="7">
        <v>169.94</v>
      </c>
      <c r="L32" s="76">
        <f t="shared" si="2"/>
        <v>6.4494582439894504E-2</v>
      </c>
      <c r="M32" s="74">
        <v>45898</v>
      </c>
      <c r="N32" s="75">
        <v>3582</v>
      </c>
      <c r="O32" s="77">
        <v>340</v>
      </c>
      <c r="P32" s="76">
        <f t="shared" si="3"/>
        <v>9.4919039642657729E-2</v>
      </c>
    </row>
    <row r="33" spans="1:16 16384:16384" x14ac:dyDescent="0.25">
      <c r="A33" s="74">
        <v>45899</v>
      </c>
      <c r="B33" s="75">
        <v>2755</v>
      </c>
      <c r="C33" s="75">
        <v>2738.53</v>
      </c>
      <c r="D33" s="76">
        <f t="shared" si="0"/>
        <v>0.99402177858439211</v>
      </c>
      <c r="E33" s="74">
        <v>45899</v>
      </c>
      <c r="F33" s="75">
        <v>6254</v>
      </c>
      <c r="G33" s="7">
        <v>550.71</v>
      </c>
      <c r="H33" s="76">
        <f t="shared" si="1"/>
        <v>8.805724336424689E-2</v>
      </c>
      <c r="I33" s="74">
        <v>45899</v>
      </c>
      <c r="J33" s="75">
        <v>4179.6000000000004</v>
      </c>
      <c r="K33" s="7">
        <v>166.73</v>
      </c>
      <c r="L33" s="76">
        <f t="shared" si="2"/>
        <v>3.989137716527897E-2</v>
      </c>
      <c r="M33" s="74">
        <v>45899</v>
      </c>
      <c r="N33" s="75">
        <v>7752</v>
      </c>
      <c r="O33" s="77">
        <v>767</v>
      </c>
      <c r="P33" s="76">
        <f t="shared" si="3"/>
        <v>9.8942208462332301E-2</v>
      </c>
    </row>
    <row r="34" spans="1:16 16384:16384" x14ac:dyDescent="0.25">
      <c r="A34" s="74">
        <v>45900</v>
      </c>
      <c r="B34" s="75">
        <v>44007.29</v>
      </c>
      <c r="C34" s="75">
        <v>7903.06</v>
      </c>
      <c r="D34" s="76">
        <f t="shared" si="0"/>
        <v>0.17958524598992576</v>
      </c>
      <c r="E34" s="74">
        <v>45900</v>
      </c>
      <c r="F34" s="79">
        <v>8128</v>
      </c>
      <c r="G34" s="7">
        <v>711.15</v>
      </c>
      <c r="H34" s="76">
        <f t="shared" si="1"/>
        <v>8.7493848425196849E-2</v>
      </c>
      <c r="I34" s="74">
        <v>45900</v>
      </c>
      <c r="J34" s="79">
        <v>3553.14</v>
      </c>
      <c r="K34" s="7">
        <v>170.86</v>
      </c>
      <c r="L34" s="76">
        <f t="shared" si="2"/>
        <v>4.8087044135609637E-2</v>
      </c>
      <c r="M34" s="74">
        <v>45900</v>
      </c>
      <c r="N34" s="75">
        <v>7455</v>
      </c>
      <c r="O34" s="77">
        <v>791</v>
      </c>
      <c r="P34" s="76">
        <f t="shared" si="3"/>
        <v>0.10610328638497653</v>
      </c>
    </row>
    <row r="35" spans="1:16 16384:16384" s="83" customFormat="1" ht="53.4" thickBot="1" x14ac:dyDescent="0.3">
      <c r="A35" s="80" t="s">
        <v>11</v>
      </c>
      <c r="B35" s="81">
        <f>SUM(B4:B34)</f>
        <v>744295.08000000019</v>
      </c>
      <c r="C35" s="81">
        <f t="shared" ref="C35" si="4">SUM(C4:C34)</f>
        <v>116493.68999999999</v>
      </c>
      <c r="D35" s="82" t="s">
        <v>12</v>
      </c>
      <c r="E35" s="80" t="s">
        <v>11</v>
      </c>
      <c r="F35" s="81">
        <f>SUM(F4:F34)</f>
        <v>428177.66</v>
      </c>
      <c r="G35" s="81">
        <f t="shared" ref="G35" si="5">SUM(G4:G34)</f>
        <v>8548.9600000000009</v>
      </c>
      <c r="H35" s="82" t="s">
        <v>12</v>
      </c>
      <c r="I35" s="80" t="s">
        <v>11</v>
      </c>
      <c r="J35" s="81">
        <f>SUM(J4:J34)</f>
        <v>108192.87999999999</v>
      </c>
      <c r="K35" s="81">
        <f t="shared" ref="K35" si="6">SUM(K4:K34)</f>
        <v>4404.1999999999989</v>
      </c>
      <c r="L35" s="82" t="s">
        <v>12</v>
      </c>
      <c r="M35" s="80" t="s">
        <v>11</v>
      </c>
      <c r="N35" s="81">
        <f>SUM(N4:N34)</f>
        <v>179545</v>
      </c>
      <c r="O35" s="81">
        <f t="shared" ref="O35" si="7">SUM(O4:O34)</f>
        <v>15676.49</v>
      </c>
      <c r="P35" s="82" t="s">
        <v>12</v>
      </c>
      <c r="XFD35" s="83">
        <f>SUM(A35:XFC35)</f>
        <v>1605333.96</v>
      </c>
    </row>
    <row r="36" spans="1:16 16384:16384" ht="24" thickTop="1" x14ac:dyDescent="0.25">
      <c r="A36" s="7"/>
      <c r="B36" s="7"/>
      <c r="C36" s="7"/>
      <c r="D36" s="84"/>
      <c r="E36" s="7"/>
      <c r="F36" s="7"/>
      <c r="G36" s="7"/>
      <c r="H36" s="37"/>
      <c r="I36" s="7"/>
      <c r="J36" s="7"/>
      <c r="K36" s="7"/>
      <c r="L36" s="37"/>
      <c r="M36" s="7"/>
      <c r="N36" s="7"/>
      <c r="O36" s="7"/>
      <c r="P36" s="37"/>
    </row>
    <row r="37" spans="1:16 16384:16384" ht="23.4" customHeight="1" x14ac:dyDescent="0.25">
      <c r="A37" s="7"/>
      <c r="B37" s="130" t="s">
        <v>26</v>
      </c>
      <c r="C37" s="131"/>
      <c r="D37" s="131"/>
      <c r="E37" s="132"/>
      <c r="F37" s="7"/>
      <c r="G37" s="37"/>
      <c r="H37" s="7"/>
      <c r="I37" s="7"/>
      <c r="J37" s="7"/>
      <c r="K37" s="37"/>
      <c r="L37" s="7"/>
      <c r="M37" s="7"/>
      <c r="N37" s="7"/>
      <c r="O37" s="37"/>
      <c r="P37" s="9"/>
    </row>
    <row r="38" spans="1:16 16384:16384" x14ac:dyDescent="0.25">
      <c r="A38" s="85"/>
      <c r="B38" s="86" t="s">
        <v>9</v>
      </c>
      <c r="C38" s="86" t="s">
        <v>5</v>
      </c>
      <c r="D38" s="86" t="s">
        <v>6</v>
      </c>
      <c r="E38" s="86" t="s">
        <v>7</v>
      </c>
      <c r="F38" s="85"/>
      <c r="G38" s="37"/>
      <c r="H38" s="85"/>
      <c r="I38" s="85"/>
      <c r="J38" s="85"/>
      <c r="K38" s="37"/>
      <c r="L38" s="9"/>
      <c r="M38" s="7"/>
      <c r="N38" s="7"/>
      <c r="O38" s="37"/>
      <c r="P38" s="9"/>
    </row>
    <row r="39" spans="1:16 16384:16384" x14ac:dyDescent="0.25">
      <c r="A39" s="87"/>
      <c r="B39" s="88" t="s">
        <v>0</v>
      </c>
      <c r="C39" s="89">
        <f>+B35</f>
        <v>744295.08000000019</v>
      </c>
      <c r="D39" s="89">
        <f>+C35</f>
        <v>116493.68999999999</v>
      </c>
      <c r="E39" s="90">
        <f>+D39/C39</f>
        <v>0.15651546426989676</v>
      </c>
      <c r="F39" s="87"/>
      <c r="G39" s="91"/>
      <c r="H39" s="87"/>
      <c r="I39" s="87"/>
      <c r="J39" s="87"/>
      <c r="K39" s="37"/>
      <c r="L39" s="7"/>
      <c r="M39" s="7"/>
      <c r="N39" s="7"/>
      <c r="O39" s="37"/>
      <c r="P39" s="9"/>
    </row>
    <row r="40" spans="1:16 16384:16384" x14ac:dyDescent="0.25">
      <c r="A40" s="92"/>
      <c r="B40" s="88" t="s">
        <v>1</v>
      </c>
      <c r="C40" s="93">
        <f>+F35</f>
        <v>428177.66</v>
      </c>
      <c r="D40" s="93">
        <f>+G35</f>
        <v>8548.9600000000009</v>
      </c>
      <c r="E40" s="90">
        <f t="shared" ref="E40:E41" si="8">+D40/C40</f>
        <v>1.9965917885580491E-2</v>
      </c>
      <c r="F40" s="94"/>
      <c r="G40" s="95"/>
      <c r="H40" s="96"/>
      <c r="I40" s="94"/>
      <c r="J40" s="97"/>
      <c r="K40" s="37"/>
      <c r="L40" s="92"/>
      <c r="M40" s="75"/>
      <c r="N40" s="7"/>
      <c r="O40" s="37"/>
      <c r="P40" s="9"/>
    </row>
    <row r="41" spans="1:16 16384:16384" x14ac:dyDescent="0.25">
      <c r="A41" s="92"/>
      <c r="B41" s="88" t="s">
        <v>2</v>
      </c>
      <c r="C41" s="93">
        <f>+J35</f>
        <v>108192.87999999999</v>
      </c>
      <c r="D41" s="93">
        <f>+K35</f>
        <v>4404.1999999999989</v>
      </c>
      <c r="E41" s="90">
        <f t="shared" si="8"/>
        <v>4.0706930067856584E-2</v>
      </c>
      <c r="F41" s="94"/>
      <c r="G41" s="95"/>
      <c r="H41" s="96"/>
      <c r="I41" s="94"/>
      <c r="J41" s="97"/>
      <c r="K41" s="37"/>
      <c r="L41" s="92"/>
      <c r="M41" s="75"/>
      <c r="N41" s="7"/>
      <c r="O41" s="37"/>
      <c r="P41" s="9"/>
    </row>
    <row r="42" spans="1:16 16384:16384" x14ac:dyDescent="0.25">
      <c r="A42" s="92"/>
      <c r="B42" s="88" t="s">
        <v>3</v>
      </c>
      <c r="C42" s="93">
        <f>+N35</f>
        <v>179545</v>
      </c>
      <c r="D42" s="93">
        <f>+O35</f>
        <v>15676.49</v>
      </c>
      <c r="E42" s="90">
        <f>+D42/C42</f>
        <v>8.731231724637277E-2</v>
      </c>
      <c r="F42" s="94"/>
      <c r="G42" s="95"/>
      <c r="H42" s="96"/>
      <c r="I42" s="94"/>
      <c r="J42" s="97"/>
      <c r="K42" s="37"/>
      <c r="L42" s="92"/>
      <c r="M42" s="75"/>
      <c r="N42" s="7"/>
      <c r="O42" s="37"/>
      <c r="P42" s="9"/>
    </row>
    <row r="43" spans="1:16 16384:16384" x14ac:dyDescent="0.25">
      <c r="A43" s="92"/>
      <c r="B43" s="98" t="s">
        <v>10</v>
      </c>
      <c r="C43" s="99">
        <f>SUM(C39:C42)</f>
        <v>1460210.62</v>
      </c>
      <c r="D43" s="99">
        <f>SUM(D39:D42)</f>
        <v>145123.34</v>
      </c>
      <c r="E43" s="100">
        <f>+D43/C43</f>
        <v>9.9385210607494404E-2</v>
      </c>
      <c r="F43" s="94"/>
      <c r="G43" s="95"/>
      <c r="H43" s="96"/>
      <c r="I43" s="94"/>
      <c r="J43" s="97"/>
      <c r="K43" s="37"/>
      <c r="L43" s="92"/>
      <c r="M43" s="75"/>
      <c r="N43" s="7"/>
      <c r="O43" s="37"/>
      <c r="P43" s="9"/>
    </row>
    <row r="44" spans="1:16 16384:16384" x14ac:dyDescent="0.25">
      <c r="A44" s="92"/>
      <c r="B44" s="7"/>
      <c r="C44" s="7"/>
      <c r="D44" s="101"/>
      <c r="E44" s="7"/>
      <c r="F44" s="7"/>
      <c r="G44" s="85"/>
      <c r="H44" s="95"/>
      <c r="I44" s="102"/>
      <c r="J44" s="87"/>
      <c r="K44" s="87"/>
      <c r="L44" s="37"/>
      <c r="M44" s="92"/>
      <c r="N44" s="75"/>
      <c r="O44" s="7"/>
      <c r="P44" s="37"/>
    </row>
    <row r="45" spans="1:16 16384:16384" x14ac:dyDescent="0.25">
      <c r="A45" s="92"/>
      <c r="B45" s="7"/>
      <c r="C45" s="7"/>
      <c r="D45" s="76"/>
      <c r="E45" s="7"/>
      <c r="F45" s="7"/>
      <c r="G45" s="7"/>
      <c r="H45" s="37"/>
      <c r="I45" s="7"/>
      <c r="J45" s="7"/>
      <c r="K45" s="7"/>
      <c r="L45" s="37"/>
      <c r="M45" s="92"/>
      <c r="N45" s="75"/>
      <c r="O45" s="7"/>
      <c r="P45" s="37"/>
    </row>
    <row r="46" spans="1:16 16384:16384" x14ac:dyDescent="0.25">
      <c r="A46" s="92"/>
      <c r="B46" s="7"/>
      <c r="C46" s="7"/>
      <c r="D46" s="76"/>
      <c r="E46" s="7"/>
      <c r="F46" s="7"/>
      <c r="G46" s="7"/>
      <c r="H46" s="37"/>
      <c r="I46" s="7"/>
      <c r="J46" s="7"/>
      <c r="K46" s="7"/>
      <c r="L46" s="37"/>
      <c r="M46" s="92"/>
      <c r="N46" s="75"/>
      <c r="O46" s="7"/>
      <c r="P46" s="37"/>
    </row>
    <row r="47" spans="1:16 16384:16384" x14ac:dyDescent="0.25">
      <c r="A47" s="92"/>
      <c r="B47" s="7"/>
      <c r="C47" s="7"/>
      <c r="D47" s="76"/>
      <c r="E47" s="7"/>
      <c r="F47" s="7"/>
      <c r="G47" s="7"/>
      <c r="H47" s="37"/>
      <c r="I47" s="7"/>
      <c r="J47" s="7"/>
      <c r="K47" s="7"/>
      <c r="L47" s="37"/>
      <c r="M47" s="92"/>
      <c r="N47" s="75"/>
      <c r="O47" s="7"/>
      <c r="P47" s="37"/>
    </row>
    <row r="48" spans="1:16 16384:16384" x14ac:dyDescent="0.25">
      <c r="A48" s="92"/>
      <c r="B48" s="7"/>
      <c r="C48" s="7"/>
      <c r="D48" s="76"/>
      <c r="E48" s="7"/>
      <c r="F48" s="7"/>
      <c r="G48" s="7"/>
      <c r="H48" s="37"/>
      <c r="I48" s="7"/>
      <c r="J48" s="7"/>
      <c r="K48" s="7"/>
      <c r="L48" s="37"/>
      <c r="M48" s="92"/>
      <c r="N48" s="75"/>
      <c r="O48" s="7"/>
      <c r="P48" s="37"/>
    </row>
    <row r="49" spans="1:16" x14ac:dyDescent="0.25">
      <c r="A49" s="92"/>
      <c r="B49" s="7"/>
      <c r="C49" s="7"/>
      <c r="D49" s="76"/>
      <c r="E49" s="7"/>
      <c r="F49" s="7"/>
      <c r="G49" s="7"/>
      <c r="H49" s="37"/>
      <c r="I49" s="7"/>
      <c r="J49" s="7"/>
      <c r="K49" s="7"/>
      <c r="L49" s="37"/>
      <c r="M49" s="92"/>
      <c r="N49" s="75"/>
      <c r="O49" s="7"/>
      <c r="P49" s="37"/>
    </row>
    <row r="50" spans="1:16" x14ac:dyDescent="0.25">
      <c r="A50" s="92"/>
      <c r="B50" s="7"/>
      <c r="C50" s="7"/>
      <c r="D50" s="76"/>
      <c r="E50" s="7"/>
      <c r="F50" s="7"/>
      <c r="G50" s="7"/>
      <c r="H50" s="37"/>
      <c r="I50" s="7"/>
      <c r="J50" s="7"/>
      <c r="K50" s="7"/>
      <c r="L50" s="37"/>
      <c r="M50" s="92"/>
      <c r="N50" s="75"/>
      <c r="O50" s="7"/>
      <c r="P50" s="37"/>
    </row>
    <row r="51" spans="1:16" x14ac:dyDescent="0.25">
      <c r="A51" s="92"/>
      <c r="B51" s="7"/>
      <c r="C51" s="7"/>
      <c r="D51" s="76"/>
      <c r="E51" s="7"/>
      <c r="F51" s="7"/>
      <c r="G51" s="7"/>
      <c r="H51" s="37"/>
      <c r="I51" s="7"/>
      <c r="J51" s="7"/>
      <c r="K51" s="7"/>
      <c r="L51" s="37"/>
      <c r="M51" s="92"/>
      <c r="N51" s="75"/>
      <c r="O51" s="7"/>
      <c r="P51" s="37"/>
    </row>
    <row r="52" spans="1:16" x14ac:dyDescent="0.25">
      <c r="A52" s="92"/>
      <c r="B52" s="7"/>
      <c r="C52" s="7"/>
      <c r="D52" s="76"/>
      <c r="E52" s="7"/>
      <c r="F52" s="7"/>
      <c r="G52" s="7"/>
      <c r="H52" s="37"/>
      <c r="I52" s="7"/>
      <c r="J52" s="7"/>
      <c r="K52" s="7"/>
      <c r="L52" s="37"/>
      <c r="M52" s="92"/>
      <c r="N52" s="75"/>
      <c r="O52" s="7"/>
      <c r="P52" s="37"/>
    </row>
    <row r="53" spans="1:16" x14ac:dyDescent="0.25">
      <c r="A53" s="92"/>
      <c r="B53" s="7"/>
      <c r="C53" s="7"/>
      <c r="D53" s="76"/>
      <c r="E53" s="7"/>
      <c r="F53" s="7"/>
      <c r="G53" s="7"/>
      <c r="H53" s="37"/>
      <c r="I53" s="7"/>
      <c r="J53" s="7"/>
      <c r="K53" s="7"/>
      <c r="L53" s="37"/>
      <c r="M53" s="92"/>
      <c r="N53" s="75"/>
      <c r="O53" s="7"/>
      <c r="P53" s="37"/>
    </row>
    <row r="54" spans="1:16" x14ac:dyDescent="0.25">
      <c r="A54" s="92"/>
      <c r="B54" s="7"/>
      <c r="C54" s="7"/>
      <c r="D54" s="76"/>
      <c r="E54" s="7"/>
      <c r="F54" s="7"/>
      <c r="G54" s="7"/>
      <c r="H54" s="37"/>
      <c r="I54" s="7"/>
      <c r="J54" s="7"/>
      <c r="K54" s="7"/>
      <c r="L54" s="37"/>
      <c r="M54" s="92"/>
      <c r="N54" s="75"/>
      <c r="O54" s="7"/>
      <c r="P54" s="37"/>
    </row>
    <row r="55" spans="1:16" x14ac:dyDescent="0.25">
      <c r="A55" s="92"/>
      <c r="B55" s="7"/>
      <c r="C55" s="7"/>
      <c r="D55" s="76"/>
      <c r="E55" s="7"/>
      <c r="F55" s="7"/>
      <c r="G55" s="7"/>
      <c r="H55" s="37"/>
      <c r="I55" s="7"/>
      <c r="J55" s="7"/>
      <c r="K55" s="7"/>
      <c r="L55" s="37"/>
      <c r="M55" s="92"/>
      <c r="N55" s="75"/>
      <c r="O55" s="7"/>
      <c r="P55" s="37"/>
    </row>
    <row r="56" spans="1:16" x14ac:dyDescent="0.25">
      <c r="A56" s="92"/>
      <c r="B56" s="7"/>
      <c r="C56" s="7"/>
      <c r="D56" s="76"/>
      <c r="E56" s="7"/>
      <c r="F56" s="7"/>
      <c r="G56" s="7"/>
      <c r="H56" s="37"/>
      <c r="I56" s="7"/>
      <c r="J56" s="7"/>
      <c r="K56" s="7"/>
      <c r="L56" s="37"/>
      <c r="M56" s="92"/>
      <c r="N56" s="75"/>
      <c r="O56" s="7"/>
      <c r="P56" s="37"/>
    </row>
    <row r="57" spans="1:16" x14ac:dyDescent="0.25">
      <c r="A57" s="92"/>
      <c r="B57" s="7"/>
      <c r="C57" s="7"/>
      <c r="D57" s="76"/>
      <c r="E57" s="7"/>
      <c r="F57" s="7"/>
      <c r="G57" s="7"/>
      <c r="H57" s="37"/>
      <c r="I57" s="7"/>
      <c r="J57" s="7"/>
      <c r="K57" s="7"/>
      <c r="L57" s="37"/>
      <c r="M57" s="92"/>
      <c r="N57" s="75"/>
      <c r="O57" s="7"/>
      <c r="P57" s="37"/>
    </row>
    <row r="58" spans="1:16" x14ac:dyDescent="0.25">
      <c r="A58" s="92"/>
      <c r="B58" s="7"/>
      <c r="C58" s="7"/>
      <c r="D58" s="76"/>
      <c r="E58" s="7"/>
      <c r="F58" s="7"/>
      <c r="G58" s="7"/>
      <c r="H58" s="37"/>
      <c r="I58" s="7"/>
      <c r="J58" s="7"/>
      <c r="K58" s="7"/>
      <c r="L58" s="37"/>
      <c r="M58" s="92"/>
      <c r="N58" s="75"/>
      <c r="O58" s="7"/>
      <c r="P58" s="37"/>
    </row>
    <row r="59" spans="1:16" x14ac:dyDescent="0.25">
      <c r="A59" s="92"/>
      <c r="B59" s="7"/>
      <c r="C59" s="7"/>
      <c r="D59" s="76"/>
      <c r="E59" s="7"/>
      <c r="F59" s="7"/>
      <c r="G59" s="7"/>
      <c r="H59" s="37"/>
      <c r="I59" s="7"/>
      <c r="J59" s="7"/>
      <c r="K59" s="7"/>
      <c r="L59" s="37"/>
      <c r="M59" s="92"/>
      <c r="N59" s="75"/>
      <c r="O59" s="7"/>
      <c r="P59" s="37"/>
    </row>
    <row r="60" spans="1:16" x14ac:dyDescent="0.25">
      <c r="A60" s="92"/>
      <c r="B60" s="7"/>
      <c r="C60" s="7"/>
      <c r="D60" s="76"/>
      <c r="E60" s="7"/>
      <c r="F60" s="7"/>
      <c r="G60" s="7"/>
      <c r="H60" s="37"/>
      <c r="I60" s="7"/>
      <c r="J60" s="7"/>
      <c r="K60" s="7"/>
      <c r="L60" s="37"/>
      <c r="M60" s="92"/>
      <c r="N60" s="75"/>
      <c r="O60" s="7"/>
      <c r="P60" s="37"/>
    </row>
    <row r="61" spans="1:16" x14ac:dyDescent="0.25">
      <c r="A61" s="92"/>
      <c r="B61" s="7"/>
      <c r="C61" s="7"/>
      <c r="D61" s="76"/>
      <c r="E61" s="7"/>
      <c r="F61" s="7"/>
      <c r="G61" s="7"/>
      <c r="H61" s="37"/>
      <c r="I61" s="7"/>
      <c r="J61" s="7"/>
      <c r="K61" s="7"/>
      <c r="L61" s="37"/>
      <c r="M61" s="92"/>
      <c r="N61" s="75"/>
      <c r="O61" s="7"/>
      <c r="P61" s="37"/>
    </row>
    <row r="62" spans="1:16" x14ac:dyDescent="0.25">
      <c r="A62" s="92"/>
      <c r="B62" s="7"/>
      <c r="C62" s="7"/>
      <c r="D62" s="76"/>
      <c r="E62" s="7"/>
      <c r="F62" s="7"/>
      <c r="G62" s="7"/>
      <c r="H62" s="37"/>
      <c r="I62" s="7"/>
      <c r="J62" s="7"/>
      <c r="K62" s="7"/>
      <c r="L62" s="37"/>
      <c r="M62" s="92"/>
      <c r="N62" s="75"/>
      <c r="O62" s="7"/>
      <c r="P62" s="37"/>
    </row>
    <row r="63" spans="1:16" x14ac:dyDescent="0.25">
      <c r="A63" s="92"/>
      <c r="B63" s="7"/>
      <c r="C63" s="7"/>
      <c r="D63" s="76"/>
      <c r="E63" s="7"/>
      <c r="F63" s="7"/>
      <c r="G63" s="7"/>
      <c r="H63" s="37"/>
      <c r="I63" s="7"/>
      <c r="J63" s="7"/>
      <c r="K63" s="7"/>
      <c r="L63" s="37"/>
      <c r="M63" s="92"/>
      <c r="N63" s="75"/>
      <c r="O63" s="7"/>
      <c r="P63" s="37"/>
    </row>
    <row r="64" spans="1:16" x14ac:dyDescent="0.25">
      <c r="A64" s="92"/>
      <c r="B64" s="7"/>
      <c r="C64" s="7"/>
      <c r="D64" s="76"/>
      <c r="E64" s="7"/>
      <c r="F64" s="7"/>
      <c r="G64" s="7"/>
      <c r="H64" s="37"/>
      <c r="I64" s="7"/>
      <c r="J64" s="7"/>
      <c r="K64" s="7"/>
      <c r="L64" s="37"/>
      <c r="M64" s="92"/>
      <c r="N64" s="75"/>
      <c r="O64" s="7"/>
      <c r="P64" s="37"/>
    </row>
    <row r="65" spans="1:16" x14ac:dyDescent="0.25">
      <c r="A65" s="92"/>
      <c r="B65" s="7"/>
      <c r="C65" s="7"/>
      <c r="D65" s="76"/>
      <c r="E65" s="7"/>
      <c r="F65" s="7"/>
      <c r="G65" s="7"/>
      <c r="H65" s="37"/>
      <c r="I65" s="7"/>
      <c r="J65" s="7"/>
      <c r="K65" s="7"/>
      <c r="L65" s="37"/>
      <c r="M65" s="92"/>
      <c r="N65" s="75"/>
      <c r="O65" s="7"/>
      <c r="P65" s="37"/>
    </row>
    <row r="66" spans="1:16" x14ac:dyDescent="0.25">
      <c r="A66" s="92"/>
      <c r="B66" s="7"/>
      <c r="C66" s="7"/>
      <c r="D66" s="76"/>
      <c r="E66" s="7"/>
      <c r="F66" s="7"/>
      <c r="G66" s="7"/>
      <c r="H66" s="37"/>
      <c r="I66" s="7"/>
      <c r="J66" s="7"/>
      <c r="K66" s="7"/>
      <c r="L66" s="37"/>
      <c r="M66" s="92"/>
      <c r="N66" s="75"/>
      <c r="O66" s="7"/>
      <c r="P66" s="37"/>
    </row>
    <row r="67" spans="1:16" x14ac:dyDescent="0.25">
      <c r="A67" s="92"/>
      <c r="B67" s="7"/>
      <c r="C67" s="7"/>
      <c r="D67" s="76"/>
      <c r="E67" s="7"/>
      <c r="F67" s="7"/>
      <c r="G67" s="7"/>
      <c r="H67" s="37"/>
      <c r="I67" s="7"/>
      <c r="J67" s="7"/>
      <c r="K67" s="7"/>
      <c r="L67" s="37"/>
      <c r="M67" s="92"/>
      <c r="N67" s="75"/>
      <c r="O67" s="7"/>
      <c r="P67" s="37"/>
    </row>
    <row r="68" spans="1:16" x14ac:dyDescent="0.25">
      <c r="A68" s="92"/>
      <c r="B68" s="7"/>
      <c r="C68" s="7"/>
      <c r="D68" s="76"/>
      <c r="E68" s="7"/>
      <c r="F68" s="7"/>
      <c r="G68" s="7"/>
      <c r="H68" s="37"/>
      <c r="I68" s="7"/>
      <c r="J68" s="7"/>
      <c r="K68" s="7"/>
      <c r="L68" s="37"/>
      <c r="M68" s="92"/>
      <c r="N68" s="77"/>
      <c r="O68" s="7"/>
      <c r="P68" s="37"/>
    </row>
    <row r="69" spans="1:16" x14ac:dyDescent="0.25">
      <c r="A69" s="92"/>
      <c r="B69" s="7"/>
      <c r="C69" s="7"/>
      <c r="D69" s="76"/>
      <c r="E69" s="7"/>
      <c r="F69" s="7"/>
      <c r="G69" s="7"/>
      <c r="H69" s="37"/>
      <c r="I69" s="7"/>
      <c r="J69" s="7"/>
      <c r="K69" s="7"/>
      <c r="L69" s="37"/>
      <c r="M69" s="92"/>
      <c r="N69" s="77"/>
      <c r="O69" s="7"/>
      <c r="P69" s="37"/>
    </row>
    <row r="70" spans="1:16" x14ac:dyDescent="0.25">
      <c r="A70" s="92"/>
      <c r="B70" s="7"/>
      <c r="C70" s="7"/>
      <c r="D70" s="84"/>
      <c r="E70" s="7"/>
      <c r="F70" s="7"/>
      <c r="G70" s="7"/>
      <c r="H70" s="37"/>
      <c r="I70" s="7"/>
      <c r="J70" s="7"/>
      <c r="K70" s="7"/>
      <c r="L70" s="37"/>
      <c r="M70" s="92"/>
      <c r="N70" s="77"/>
      <c r="O70" s="7"/>
      <c r="P70" s="37"/>
    </row>
  </sheetData>
  <mergeCells count="5">
    <mergeCell ref="A2:D2"/>
    <mergeCell ref="E2:H2"/>
    <mergeCell ref="I2:L2"/>
    <mergeCell ref="M2:P2"/>
    <mergeCell ref="B37:E3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3A2A1-B319-4FB2-A68B-B052C73BB2D4}">
  <sheetPr>
    <tabColor rgb="FF00B0F0"/>
  </sheetPr>
  <dimension ref="A1:XFD70"/>
  <sheetViews>
    <sheetView zoomScale="115" zoomScaleNormal="115" workbookViewId="0">
      <pane xSplit="4" ySplit="3" topLeftCell="E25" activePane="bottomRight" state="frozen"/>
      <selection activeCell="F33" sqref="F33"/>
      <selection pane="topRight" activeCell="F33" sqref="F33"/>
      <selection pane="bottomLeft" activeCell="F33" sqref="F33"/>
      <selection pane="bottomRight" activeCell="H41" sqref="H41"/>
    </sheetView>
  </sheetViews>
  <sheetFormatPr defaultRowHeight="23.4" x14ac:dyDescent="0.6"/>
  <cols>
    <col min="1" max="1" width="9.09765625" style="1" bestFit="1" customWidth="1"/>
    <col min="2" max="2" width="11.69921875" style="1" bestFit="1" customWidth="1"/>
    <col min="3" max="3" width="12.59765625" style="1" bestFit="1" customWidth="1"/>
    <col min="4" max="4" width="10.8984375" style="35" bestFit="1" customWidth="1"/>
    <col min="5" max="5" width="9.3984375" style="1" bestFit="1" customWidth="1"/>
    <col min="6" max="6" width="10.19921875" style="1" bestFit="1" customWidth="1"/>
    <col min="7" max="7" width="9.09765625" style="1" bestFit="1" customWidth="1"/>
    <col min="8" max="8" width="8.3984375" style="38" customWidth="1"/>
    <col min="9" max="9" width="9.09765625" style="1" bestFit="1" customWidth="1"/>
    <col min="10" max="10" width="10.19921875" style="1" bestFit="1" customWidth="1"/>
    <col min="11" max="11" width="9.09765625" style="1" bestFit="1" customWidth="1"/>
    <col min="12" max="12" width="7.8984375" style="38" bestFit="1" customWidth="1"/>
    <col min="13" max="13" width="9.09765625" style="1" bestFit="1" customWidth="1"/>
    <col min="14" max="14" width="10.19921875" style="1" bestFit="1" customWidth="1"/>
    <col min="15" max="15" width="7.8984375" style="1" bestFit="1" customWidth="1"/>
    <col min="16" max="16" width="8.3984375" style="38" customWidth="1"/>
    <col min="17" max="16383" width="8.69921875" style="1"/>
    <col min="16384" max="16384" width="9" style="1" bestFit="1" customWidth="1"/>
  </cols>
  <sheetData>
    <row r="1" spans="1:16" ht="28.8" x14ac:dyDescent="0.75">
      <c r="A1" s="48" t="s">
        <v>28</v>
      </c>
    </row>
    <row r="2" spans="1:16" s="18" customFormat="1" x14ac:dyDescent="0.6">
      <c r="A2" s="111" t="s">
        <v>0</v>
      </c>
      <c r="B2" s="111"/>
      <c r="C2" s="111"/>
      <c r="D2" s="111"/>
      <c r="E2" s="112" t="s">
        <v>1</v>
      </c>
      <c r="F2" s="112"/>
      <c r="G2" s="112"/>
      <c r="H2" s="112"/>
      <c r="I2" s="113" t="s">
        <v>2</v>
      </c>
      <c r="J2" s="113"/>
      <c r="K2" s="113"/>
      <c r="L2" s="113"/>
      <c r="M2" s="114" t="s">
        <v>3</v>
      </c>
      <c r="N2" s="114"/>
      <c r="O2" s="114"/>
      <c r="P2" s="114"/>
    </row>
    <row r="3" spans="1:16" s="22" customFormat="1" x14ac:dyDescent="0.25">
      <c r="A3" s="23" t="s">
        <v>4</v>
      </c>
      <c r="B3" s="23" t="s">
        <v>5</v>
      </c>
      <c r="C3" s="23" t="s">
        <v>6</v>
      </c>
      <c r="D3" s="25" t="s">
        <v>7</v>
      </c>
      <c r="E3" s="19" t="s">
        <v>4</v>
      </c>
      <c r="F3" s="19" t="s">
        <v>5</v>
      </c>
      <c r="G3" s="19" t="s">
        <v>6</v>
      </c>
      <c r="H3" s="27" t="s">
        <v>7</v>
      </c>
      <c r="I3" s="20" t="s">
        <v>4</v>
      </c>
      <c r="J3" s="20" t="s">
        <v>5</v>
      </c>
      <c r="K3" s="20" t="s">
        <v>6</v>
      </c>
      <c r="L3" s="30" t="s">
        <v>7</v>
      </c>
      <c r="M3" s="21" t="s">
        <v>4</v>
      </c>
      <c r="N3" s="21" t="s">
        <v>5</v>
      </c>
      <c r="O3" s="21" t="s">
        <v>6</v>
      </c>
      <c r="P3" s="31" t="s">
        <v>7</v>
      </c>
    </row>
    <row r="4" spans="1:16" x14ac:dyDescent="0.6">
      <c r="A4" s="24">
        <v>45901</v>
      </c>
      <c r="B4" s="3">
        <v>31350.76</v>
      </c>
      <c r="C4" s="3">
        <v>4562.29</v>
      </c>
      <c r="D4" s="32">
        <f>+C4/B4</f>
        <v>0.14552406385044575</v>
      </c>
      <c r="E4" s="24">
        <v>45901</v>
      </c>
      <c r="F4" s="3">
        <v>12372</v>
      </c>
      <c r="G4" s="3">
        <v>766.11</v>
      </c>
      <c r="H4" s="32">
        <f>+G4/F4</f>
        <v>6.1922890397672167E-2</v>
      </c>
      <c r="I4" s="24">
        <v>45901</v>
      </c>
      <c r="J4" s="3">
        <v>7515</v>
      </c>
      <c r="K4" s="3">
        <v>280.44</v>
      </c>
      <c r="L4" s="32">
        <f>+K4/J4</f>
        <v>3.7317365269461077E-2</v>
      </c>
      <c r="M4" s="24">
        <v>45901</v>
      </c>
      <c r="N4" s="3">
        <v>8483</v>
      </c>
      <c r="O4" s="4">
        <v>649.54999999999995</v>
      </c>
      <c r="P4" s="32">
        <f>+O4/N4</f>
        <v>7.6570788636095719E-2</v>
      </c>
    </row>
    <row r="5" spans="1:16" x14ac:dyDescent="0.6">
      <c r="A5" s="24">
        <v>45902</v>
      </c>
      <c r="B5" s="3">
        <v>33116.75</v>
      </c>
      <c r="C5" s="3">
        <v>4471.49</v>
      </c>
      <c r="D5" s="32">
        <f t="shared" ref="D5:D34" si="0">+C5/B5</f>
        <v>0.13502200548061025</v>
      </c>
      <c r="E5" s="24">
        <v>45902</v>
      </c>
      <c r="F5" s="3">
        <v>42816</v>
      </c>
      <c r="G5" s="3">
        <v>579.08000000000004</v>
      </c>
      <c r="H5" s="32">
        <f t="shared" ref="H5:H34" si="1">+G5/F5</f>
        <v>1.3524850523168909E-2</v>
      </c>
      <c r="I5" s="24">
        <v>45902</v>
      </c>
      <c r="J5" s="5">
        <v>6296.1</v>
      </c>
      <c r="K5" s="3">
        <v>300.64999999999998</v>
      </c>
      <c r="L5" s="32">
        <f t="shared" ref="L5:L34" si="2">+K5/J5</f>
        <v>4.7751782849700601E-2</v>
      </c>
      <c r="M5" s="24">
        <v>45902</v>
      </c>
      <c r="N5" s="3">
        <v>9980</v>
      </c>
      <c r="O5" s="3">
        <v>1367.95</v>
      </c>
      <c r="P5" s="32">
        <f t="shared" ref="P5:P34" si="3">+O5/N5</f>
        <v>0.13706913827655312</v>
      </c>
    </row>
    <row r="6" spans="1:16" x14ac:dyDescent="0.6">
      <c r="A6" s="24">
        <v>45903</v>
      </c>
      <c r="B6" s="3">
        <v>33583.96</v>
      </c>
      <c r="C6" s="3">
        <v>5331.82</v>
      </c>
      <c r="D6" s="32">
        <f t="shared" si="0"/>
        <v>0.15876090848131072</v>
      </c>
      <c r="E6" s="24">
        <v>45903</v>
      </c>
      <c r="F6" s="3">
        <v>8914</v>
      </c>
      <c r="G6" s="3">
        <v>789.95</v>
      </c>
      <c r="H6" s="32">
        <f t="shared" si="1"/>
        <v>8.8619026250841379E-2</v>
      </c>
      <c r="I6" s="24">
        <v>45903</v>
      </c>
      <c r="J6" s="5">
        <v>7476.35</v>
      </c>
      <c r="K6" s="3">
        <v>299.54000000000002</v>
      </c>
      <c r="L6" s="32">
        <f t="shared" si="2"/>
        <v>4.0065004982377764E-2</v>
      </c>
      <c r="M6" s="24">
        <v>45903</v>
      </c>
      <c r="N6" s="3">
        <v>5973</v>
      </c>
      <c r="O6" s="4">
        <v>636.32000000000005</v>
      </c>
      <c r="P6" s="32">
        <f t="shared" si="3"/>
        <v>0.10653273062112842</v>
      </c>
    </row>
    <row r="7" spans="1:16" x14ac:dyDescent="0.6">
      <c r="A7" s="24">
        <v>45904</v>
      </c>
      <c r="B7" s="3">
        <v>29609.61</v>
      </c>
      <c r="C7" s="3">
        <v>6495.69</v>
      </c>
      <c r="D7" s="32">
        <f t="shared" si="0"/>
        <v>0.21937776282767654</v>
      </c>
      <c r="E7" s="24">
        <v>45904</v>
      </c>
      <c r="F7" s="3">
        <v>25498</v>
      </c>
      <c r="G7" s="3">
        <v>1434.9</v>
      </c>
      <c r="H7" s="32">
        <f t="shared" si="1"/>
        <v>5.6275001960938119E-2</v>
      </c>
      <c r="I7" s="24">
        <v>45904</v>
      </c>
      <c r="J7" s="5">
        <v>3977.2</v>
      </c>
      <c r="K7" s="3">
        <v>377</v>
      </c>
      <c r="L7" s="32">
        <f t="shared" si="2"/>
        <v>9.4790304737000911E-2</v>
      </c>
      <c r="M7" s="24">
        <v>45904</v>
      </c>
      <c r="N7" s="3">
        <v>6068</v>
      </c>
      <c r="O7" s="4">
        <v>637.79999999999995</v>
      </c>
      <c r="P7" s="32">
        <f t="shared" si="3"/>
        <v>0.10510876730388925</v>
      </c>
    </row>
    <row r="8" spans="1:16" x14ac:dyDescent="0.6">
      <c r="A8" s="24">
        <v>45905</v>
      </c>
      <c r="B8" s="3">
        <v>17401.689999999999</v>
      </c>
      <c r="C8" s="3">
        <v>2375.75</v>
      </c>
      <c r="D8" s="32">
        <f t="shared" si="0"/>
        <v>0.13652409622283815</v>
      </c>
      <c r="E8" s="24">
        <v>45905</v>
      </c>
      <c r="F8" s="3">
        <v>3344</v>
      </c>
      <c r="G8" s="3">
        <v>1658.45</v>
      </c>
      <c r="H8" s="32">
        <f t="shared" si="1"/>
        <v>0.49594796650717704</v>
      </c>
      <c r="I8" s="24">
        <v>45905</v>
      </c>
      <c r="J8" s="5">
        <v>4734.45</v>
      </c>
      <c r="K8" s="3">
        <v>299.54000000000002</v>
      </c>
      <c r="L8" s="32">
        <f t="shared" si="2"/>
        <v>6.3268172649410176E-2</v>
      </c>
      <c r="M8" s="24">
        <v>45905</v>
      </c>
      <c r="N8" s="3">
        <v>6998</v>
      </c>
      <c r="O8" s="4">
        <v>576.21</v>
      </c>
      <c r="P8" s="32">
        <f t="shared" si="3"/>
        <v>8.2339239782795087E-2</v>
      </c>
    </row>
    <row r="9" spans="1:16" x14ac:dyDescent="0.6">
      <c r="A9" s="24">
        <v>45906</v>
      </c>
      <c r="B9" s="3">
        <v>28281.23</v>
      </c>
      <c r="C9" s="3">
        <v>5705.14</v>
      </c>
      <c r="D9" s="32">
        <f t="shared" si="0"/>
        <v>0.20172884984139658</v>
      </c>
      <c r="E9" s="24">
        <v>45906</v>
      </c>
      <c r="F9" s="3">
        <v>9663</v>
      </c>
      <c r="G9" s="3">
        <v>1772.35</v>
      </c>
      <c r="H9" s="32">
        <f t="shared" si="1"/>
        <v>0.18341612335713545</v>
      </c>
      <c r="I9" s="24">
        <v>45906</v>
      </c>
      <c r="J9" s="3">
        <v>3635.6</v>
      </c>
      <c r="K9" s="3">
        <v>339.76</v>
      </c>
      <c r="L9" s="32">
        <f t="shared" si="2"/>
        <v>9.3453625261304879E-2</v>
      </c>
      <c r="M9" s="24">
        <v>45906</v>
      </c>
      <c r="N9" s="3">
        <v>10472</v>
      </c>
      <c r="O9" s="4">
        <v>772.24</v>
      </c>
      <c r="P9" s="32">
        <f t="shared" si="3"/>
        <v>7.3743315508021393E-2</v>
      </c>
    </row>
    <row r="10" spans="1:16" x14ac:dyDescent="0.6">
      <c r="A10" s="24">
        <v>45907</v>
      </c>
      <c r="B10" s="3">
        <v>43595.43</v>
      </c>
      <c r="C10" s="3">
        <v>8199.86</v>
      </c>
      <c r="D10" s="32">
        <f t="shared" si="0"/>
        <v>0.18808989841366403</v>
      </c>
      <c r="E10" s="24">
        <v>45907</v>
      </c>
      <c r="F10" s="3">
        <v>11342</v>
      </c>
      <c r="G10" s="3">
        <v>1747.27</v>
      </c>
      <c r="H10" s="32">
        <f t="shared" si="1"/>
        <v>0.15405307705871979</v>
      </c>
      <c r="I10" s="24">
        <v>45907</v>
      </c>
      <c r="J10" s="3">
        <v>4532.45</v>
      </c>
      <c r="K10" s="4">
        <v>639.91999999999996</v>
      </c>
      <c r="L10" s="32">
        <f t="shared" si="2"/>
        <v>0.14118633410186543</v>
      </c>
      <c r="M10" s="24">
        <v>45907</v>
      </c>
      <c r="N10" s="3">
        <v>12230</v>
      </c>
      <c r="O10" s="4">
        <v>1138.25</v>
      </c>
      <c r="P10" s="32">
        <f t="shared" si="3"/>
        <v>9.3070318887980383E-2</v>
      </c>
    </row>
    <row r="11" spans="1:16" x14ac:dyDescent="0.6">
      <c r="A11" s="24">
        <v>45908</v>
      </c>
      <c r="B11" s="3">
        <v>34618.1</v>
      </c>
      <c r="C11" s="3">
        <v>8553.49</v>
      </c>
      <c r="D11" s="32">
        <f t="shared" si="0"/>
        <v>0.2470814400559245</v>
      </c>
      <c r="E11" s="24">
        <v>45908</v>
      </c>
      <c r="F11" s="3">
        <v>27819</v>
      </c>
      <c r="G11" s="4">
        <v>1726.87</v>
      </c>
      <c r="H11" s="32">
        <f t="shared" si="1"/>
        <v>6.2075200402602532E-2</v>
      </c>
      <c r="I11" s="24">
        <v>45908</v>
      </c>
      <c r="J11" s="3">
        <v>5749.29</v>
      </c>
      <c r="K11" s="4">
        <v>722.17</v>
      </c>
      <c r="L11" s="32">
        <f t="shared" si="2"/>
        <v>0.12561029274919164</v>
      </c>
      <c r="M11" s="24">
        <v>45908</v>
      </c>
      <c r="N11" s="3">
        <v>10122</v>
      </c>
      <c r="O11" s="4">
        <v>1246.3900000000001</v>
      </c>
      <c r="P11" s="32">
        <f t="shared" si="3"/>
        <v>0.12313673187117172</v>
      </c>
    </row>
    <row r="12" spans="1:16" x14ac:dyDescent="0.6">
      <c r="A12" s="24">
        <v>45909</v>
      </c>
      <c r="B12" s="3">
        <v>22227.89</v>
      </c>
      <c r="C12" s="3">
        <v>3842.81</v>
      </c>
      <c r="D12" s="32">
        <f t="shared" si="0"/>
        <v>0.17288235635501165</v>
      </c>
      <c r="E12" s="24">
        <v>45909</v>
      </c>
      <c r="F12" s="3">
        <v>8727</v>
      </c>
      <c r="G12" s="4">
        <v>1739.83</v>
      </c>
      <c r="H12" s="32">
        <f t="shared" si="1"/>
        <v>0.19936175088804858</v>
      </c>
      <c r="I12" s="24">
        <v>45909</v>
      </c>
      <c r="J12" s="3">
        <v>8216</v>
      </c>
      <c r="K12" s="4">
        <v>1389.07</v>
      </c>
      <c r="L12" s="32">
        <f t="shared" si="2"/>
        <v>0.1690688899707887</v>
      </c>
      <c r="M12" s="24">
        <v>45909</v>
      </c>
      <c r="N12" s="3">
        <v>17860</v>
      </c>
      <c r="O12" s="4">
        <v>2507.1</v>
      </c>
      <c r="P12" s="32">
        <f t="shared" si="3"/>
        <v>0.14037513997760359</v>
      </c>
    </row>
    <row r="13" spans="1:16" x14ac:dyDescent="0.6">
      <c r="A13" s="24">
        <v>45910</v>
      </c>
      <c r="B13" s="3">
        <v>24417.99</v>
      </c>
      <c r="C13" s="3">
        <v>3703.75</v>
      </c>
      <c r="D13" s="32">
        <f t="shared" si="0"/>
        <v>0.1516811989848468</v>
      </c>
      <c r="E13" s="24">
        <v>45910</v>
      </c>
      <c r="F13" s="3">
        <v>5466</v>
      </c>
      <c r="G13" s="4">
        <v>1818.71</v>
      </c>
      <c r="H13" s="32">
        <f t="shared" si="1"/>
        <v>0.3327314306622759</v>
      </c>
      <c r="I13" s="24">
        <v>45910</v>
      </c>
      <c r="J13" s="3">
        <v>4723.42</v>
      </c>
      <c r="K13" s="4">
        <v>657.25</v>
      </c>
      <c r="L13" s="32">
        <f t="shared" si="2"/>
        <v>0.13914705869899352</v>
      </c>
      <c r="M13" s="24">
        <v>45910</v>
      </c>
      <c r="N13" s="3">
        <v>5247</v>
      </c>
      <c r="O13" s="4">
        <v>414</v>
      </c>
      <c r="P13" s="32">
        <f t="shared" si="3"/>
        <v>7.8902229845626073E-2</v>
      </c>
    </row>
    <row r="14" spans="1:16" x14ac:dyDescent="0.6">
      <c r="A14" s="24">
        <v>45911</v>
      </c>
      <c r="B14" s="3">
        <v>29923.26</v>
      </c>
      <c r="C14" s="3">
        <v>3851.95</v>
      </c>
      <c r="D14" s="32">
        <f t="shared" si="0"/>
        <v>0.12872761858166523</v>
      </c>
      <c r="E14" s="24">
        <v>45911</v>
      </c>
      <c r="F14" s="3">
        <v>31243</v>
      </c>
      <c r="G14" s="4">
        <v>1807.46</v>
      </c>
      <c r="H14" s="32">
        <f t="shared" si="1"/>
        <v>5.7851678776045835E-2</v>
      </c>
      <c r="I14" s="24">
        <v>45911</v>
      </c>
      <c r="J14" s="3">
        <v>8374.4699999999993</v>
      </c>
      <c r="K14" s="4">
        <v>659.09</v>
      </c>
      <c r="L14" s="32">
        <f t="shared" si="2"/>
        <v>7.8702293995918562E-2</v>
      </c>
      <c r="M14" s="24">
        <v>45911</v>
      </c>
      <c r="N14" s="3">
        <v>5248</v>
      </c>
      <c r="O14" s="4">
        <v>775.9</v>
      </c>
      <c r="P14" s="32">
        <f t="shared" si="3"/>
        <v>0.14784679878048779</v>
      </c>
    </row>
    <row r="15" spans="1:16" x14ac:dyDescent="0.6">
      <c r="A15" s="24">
        <v>45912</v>
      </c>
      <c r="B15" s="3">
        <v>25499.06</v>
      </c>
      <c r="C15" s="3">
        <v>3190.78</v>
      </c>
      <c r="D15" s="32">
        <f t="shared" si="0"/>
        <v>0.12513324020571739</v>
      </c>
      <c r="E15" s="24">
        <v>45912</v>
      </c>
      <c r="F15" s="3">
        <v>2112</v>
      </c>
      <c r="G15" s="4">
        <v>1938.22</v>
      </c>
      <c r="H15" s="32">
        <f t="shared" si="1"/>
        <v>0.91771780303030304</v>
      </c>
      <c r="I15" s="24">
        <v>45912</v>
      </c>
      <c r="J15" s="3">
        <v>4667.91</v>
      </c>
      <c r="K15" s="4">
        <v>295.19</v>
      </c>
      <c r="L15" s="32">
        <f t="shared" si="2"/>
        <v>6.3238151549622854E-2</v>
      </c>
      <c r="M15" s="24">
        <v>45912</v>
      </c>
      <c r="N15" s="3">
        <v>9508</v>
      </c>
      <c r="O15" s="4">
        <v>1045.24</v>
      </c>
      <c r="P15" s="32">
        <f t="shared" si="3"/>
        <v>0.10993268826251577</v>
      </c>
    </row>
    <row r="16" spans="1:16" x14ac:dyDescent="0.6">
      <c r="A16" s="24">
        <v>45913</v>
      </c>
      <c r="B16" s="3">
        <v>39061.03</v>
      </c>
      <c r="C16" s="3">
        <v>5494.55</v>
      </c>
      <c r="D16" s="32">
        <f t="shared" si="0"/>
        <v>0.14066577353438967</v>
      </c>
      <c r="E16" s="24">
        <v>45913</v>
      </c>
      <c r="F16" s="3">
        <v>7942</v>
      </c>
      <c r="G16" s="4">
        <v>1853.75</v>
      </c>
      <c r="H16" s="32">
        <f t="shared" si="1"/>
        <v>0.23341097960211535</v>
      </c>
      <c r="I16" s="24">
        <v>45913</v>
      </c>
      <c r="J16" s="3">
        <v>2257.8000000000002</v>
      </c>
      <c r="K16" s="3">
        <v>299.38</v>
      </c>
      <c r="L16" s="32">
        <f t="shared" si="2"/>
        <v>0.13259810434936664</v>
      </c>
      <c r="M16" s="24">
        <v>45913</v>
      </c>
      <c r="N16" s="3">
        <v>8311</v>
      </c>
      <c r="O16" s="4">
        <v>1259.21</v>
      </c>
      <c r="P16" s="32">
        <f t="shared" si="3"/>
        <v>0.15151125015040309</v>
      </c>
    </row>
    <row r="17" spans="1:16" x14ac:dyDescent="0.6">
      <c r="A17" s="24">
        <v>45914</v>
      </c>
      <c r="B17" s="3">
        <v>36738.18</v>
      </c>
      <c r="C17" s="3">
        <v>5895.4</v>
      </c>
      <c r="D17" s="32">
        <f t="shared" si="0"/>
        <v>0.1604706602232337</v>
      </c>
      <c r="E17" s="24">
        <v>45914</v>
      </c>
      <c r="F17" s="3">
        <v>9264</v>
      </c>
      <c r="G17" s="4">
        <v>1748.46</v>
      </c>
      <c r="H17" s="32">
        <f t="shared" si="1"/>
        <v>0.18873704663212434</v>
      </c>
      <c r="I17" s="24">
        <v>45914</v>
      </c>
      <c r="J17" s="3">
        <v>5114.6000000000004</v>
      </c>
      <c r="K17" s="3">
        <v>298.05</v>
      </c>
      <c r="L17" s="32">
        <f t="shared" si="2"/>
        <v>5.827435185547257E-2</v>
      </c>
      <c r="M17" s="24">
        <v>45914</v>
      </c>
      <c r="N17" s="3">
        <v>5191</v>
      </c>
      <c r="O17" s="4">
        <v>969</v>
      </c>
      <c r="P17" s="32">
        <f t="shared" si="3"/>
        <v>0.18666923521479484</v>
      </c>
    </row>
    <row r="18" spans="1:16" x14ac:dyDescent="0.6">
      <c r="A18" s="24">
        <v>45915</v>
      </c>
      <c r="B18" s="3">
        <v>29537.31</v>
      </c>
      <c r="C18" s="3">
        <v>4572.41</v>
      </c>
      <c r="D18" s="32">
        <f t="shared" si="0"/>
        <v>0.15480116503500149</v>
      </c>
      <c r="E18" s="24">
        <v>45915</v>
      </c>
      <c r="F18" s="3">
        <v>6408</v>
      </c>
      <c r="G18" s="3">
        <v>1766.11</v>
      </c>
      <c r="H18" s="32">
        <f t="shared" si="1"/>
        <v>0.27561017478152305</v>
      </c>
      <c r="I18" s="24">
        <v>45915</v>
      </c>
      <c r="J18" s="3">
        <v>3310.52</v>
      </c>
      <c r="K18" s="3">
        <v>653.62</v>
      </c>
      <c r="L18" s="32">
        <f t="shared" si="2"/>
        <v>0.19743726061162598</v>
      </c>
      <c r="M18" s="24">
        <v>45915</v>
      </c>
      <c r="N18" s="3">
        <v>6604</v>
      </c>
      <c r="O18" s="4">
        <v>807.06</v>
      </c>
      <c r="P18" s="32">
        <f t="shared" si="3"/>
        <v>0.1222077528770442</v>
      </c>
    </row>
    <row r="19" spans="1:16" x14ac:dyDescent="0.6">
      <c r="A19" s="24">
        <v>45916</v>
      </c>
      <c r="B19" s="3">
        <v>22321.52</v>
      </c>
      <c r="C19" s="3">
        <v>3315.12</v>
      </c>
      <c r="D19" s="32">
        <f t="shared" si="0"/>
        <v>0.1485167676753196</v>
      </c>
      <c r="E19" s="24">
        <v>45916</v>
      </c>
      <c r="F19" s="3">
        <v>17223</v>
      </c>
      <c r="G19" s="3">
        <v>1754.21</v>
      </c>
      <c r="H19" s="32">
        <f t="shared" si="1"/>
        <v>0.1018527550368693</v>
      </c>
      <c r="I19" s="24">
        <v>45916</v>
      </c>
      <c r="J19" s="3">
        <v>4732.47</v>
      </c>
      <c r="K19" s="3">
        <v>1024.05</v>
      </c>
      <c r="L19" s="32">
        <f t="shared" si="2"/>
        <v>0.21638805951226314</v>
      </c>
      <c r="M19" s="24">
        <v>45916</v>
      </c>
      <c r="N19" s="3">
        <v>7567</v>
      </c>
      <c r="O19" s="4">
        <v>914.02</v>
      </c>
      <c r="P19" s="32">
        <f t="shared" si="3"/>
        <v>0.120790273556231</v>
      </c>
    </row>
    <row r="20" spans="1:16" x14ac:dyDescent="0.6">
      <c r="A20" s="24">
        <v>45917</v>
      </c>
      <c r="B20" s="3">
        <v>42091.96</v>
      </c>
      <c r="C20" s="3">
        <v>9424.18</v>
      </c>
      <c r="D20" s="32">
        <f t="shared" si="0"/>
        <v>0.22389501462987232</v>
      </c>
      <c r="E20" s="24">
        <v>45917</v>
      </c>
      <c r="F20" s="3">
        <v>3571</v>
      </c>
      <c r="G20" s="3">
        <v>1103.69</v>
      </c>
      <c r="H20" s="32">
        <f t="shared" si="1"/>
        <v>0.30907028843461215</v>
      </c>
      <c r="I20" s="24">
        <v>45917</v>
      </c>
      <c r="J20" s="3">
        <v>3501.7</v>
      </c>
      <c r="K20" s="3">
        <v>431.66</v>
      </c>
      <c r="L20" s="32">
        <f t="shared" si="2"/>
        <v>0.1232715538167176</v>
      </c>
      <c r="M20" s="24">
        <v>45917</v>
      </c>
      <c r="N20" s="3">
        <v>10757</v>
      </c>
      <c r="O20" s="4">
        <v>1187.54</v>
      </c>
      <c r="P20" s="32">
        <f t="shared" si="3"/>
        <v>0.11039695082272008</v>
      </c>
    </row>
    <row r="21" spans="1:16" x14ac:dyDescent="0.6">
      <c r="A21" s="24">
        <v>45918</v>
      </c>
      <c r="B21" s="3">
        <v>35555.919999999998</v>
      </c>
      <c r="C21" s="3">
        <v>5990.88</v>
      </c>
      <c r="D21" s="32">
        <f t="shared" si="0"/>
        <v>0.16849177295932719</v>
      </c>
      <c r="E21" s="24">
        <v>45918</v>
      </c>
      <c r="F21" s="3">
        <v>25769</v>
      </c>
      <c r="G21" s="4">
        <v>570.88</v>
      </c>
      <c r="H21" s="32">
        <f t="shared" si="1"/>
        <v>2.2153750630602664E-2</v>
      </c>
      <c r="I21" s="24">
        <v>45918</v>
      </c>
      <c r="J21" s="3">
        <v>5566.6</v>
      </c>
      <c r="K21" s="4">
        <v>299.85000000000002</v>
      </c>
      <c r="L21" s="32">
        <f t="shared" si="2"/>
        <v>5.3865914561851039E-2</v>
      </c>
      <c r="M21" s="24">
        <v>45918</v>
      </c>
      <c r="N21" s="3">
        <v>5298</v>
      </c>
      <c r="O21" s="4">
        <v>821</v>
      </c>
      <c r="P21" s="32">
        <f t="shared" si="3"/>
        <v>0.15496413741034354</v>
      </c>
    </row>
    <row r="22" spans="1:16" x14ac:dyDescent="0.6">
      <c r="A22" s="24">
        <v>45919</v>
      </c>
      <c r="B22" s="3">
        <v>32702.51</v>
      </c>
      <c r="C22" s="3">
        <v>5772.08</v>
      </c>
      <c r="D22" s="32">
        <f t="shared" si="0"/>
        <v>0.17650265988757438</v>
      </c>
      <c r="E22" s="24">
        <v>45919</v>
      </c>
      <c r="F22" s="3">
        <v>14963</v>
      </c>
      <c r="G22" s="4">
        <v>603.71</v>
      </c>
      <c r="H22" s="32">
        <f t="shared" si="1"/>
        <v>4.0346855577090161E-2</v>
      </c>
      <c r="I22" s="24">
        <v>45919</v>
      </c>
      <c r="J22" s="3">
        <v>2219.25</v>
      </c>
      <c r="K22" s="4">
        <v>300.14</v>
      </c>
      <c r="L22" s="32">
        <f t="shared" si="2"/>
        <v>0.13524388870113777</v>
      </c>
      <c r="M22" s="24">
        <v>45919</v>
      </c>
      <c r="N22" s="3">
        <v>4771</v>
      </c>
      <c r="O22" s="4">
        <v>647.33000000000004</v>
      </c>
      <c r="P22" s="32">
        <f t="shared" si="3"/>
        <v>0.13568015091175856</v>
      </c>
    </row>
    <row r="23" spans="1:16" x14ac:dyDescent="0.6">
      <c r="A23" s="24">
        <v>45920</v>
      </c>
      <c r="B23" s="3">
        <v>32020</v>
      </c>
      <c r="C23" s="3">
        <v>5129.72</v>
      </c>
      <c r="D23" s="32">
        <f t="shared" si="0"/>
        <v>0.16020362273579014</v>
      </c>
      <c r="E23" s="24">
        <v>45920</v>
      </c>
      <c r="F23" s="61">
        <v>6346</v>
      </c>
      <c r="G23" s="3">
        <v>452.95</v>
      </c>
      <c r="H23" s="32">
        <f t="shared" si="1"/>
        <v>7.1375669713205164E-2</v>
      </c>
      <c r="I23" s="24">
        <v>45920</v>
      </c>
      <c r="J23" s="3">
        <v>3954</v>
      </c>
      <c r="K23" s="4">
        <v>300.52</v>
      </c>
      <c r="L23" s="32">
        <f t="shared" si="2"/>
        <v>7.6004046535154274E-2</v>
      </c>
      <c r="M23" s="24">
        <v>45920</v>
      </c>
      <c r="N23" s="3">
        <v>6279</v>
      </c>
      <c r="O23" s="4">
        <v>611.26</v>
      </c>
      <c r="P23" s="32">
        <f t="shared" si="3"/>
        <v>9.7349896480331266E-2</v>
      </c>
    </row>
    <row r="24" spans="1:16" x14ac:dyDescent="0.6">
      <c r="A24" s="24">
        <v>45921</v>
      </c>
      <c r="B24" s="3">
        <v>43937.57</v>
      </c>
      <c r="C24" s="3">
        <v>6933.51</v>
      </c>
      <c r="D24" s="32">
        <f t="shared" si="0"/>
        <v>0.1578036746228797</v>
      </c>
      <c r="E24" s="24">
        <v>45921</v>
      </c>
      <c r="F24" s="3">
        <v>7910</v>
      </c>
      <c r="G24" s="6">
        <v>550.77</v>
      </c>
      <c r="H24" s="32">
        <f t="shared" si="1"/>
        <v>6.9629582806573956E-2</v>
      </c>
      <c r="I24" s="24">
        <v>45921</v>
      </c>
      <c r="J24" s="3">
        <v>2489.4</v>
      </c>
      <c r="K24" s="4">
        <v>397.7</v>
      </c>
      <c r="L24" s="32">
        <f t="shared" si="2"/>
        <v>0.15975737125411746</v>
      </c>
      <c r="M24" s="24">
        <v>45921</v>
      </c>
      <c r="N24" s="3">
        <v>4490</v>
      </c>
      <c r="O24" s="4">
        <v>543.02</v>
      </c>
      <c r="P24" s="32">
        <f t="shared" si="3"/>
        <v>0.12093986636971046</v>
      </c>
    </row>
    <row r="25" spans="1:16" x14ac:dyDescent="0.6">
      <c r="A25" s="24">
        <v>45922</v>
      </c>
      <c r="B25" s="3">
        <v>33562.050000000003</v>
      </c>
      <c r="C25" s="3">
        <v>4737.45</v>
      </c>
      <c r="D25" s="32">
        <f t="shared" si="0"/>
        <v>0.14115496520623738</v>
      </c>
      <c r="E25" s="24">
        <v>45922</v>
      </c>
      <c r="F25" s="3">
        <v>897</v>
      </c>
      <c r="G25" s="6">
        <v>78.349999999999994</v>
      </c>
      <c r="H25" s="32">
        <f t="shared" si="1"/>
        <v>8.7346711259754725E-2</v>
      </c>
      <c r="I25" s="24">
        <v>45922</v>
      </c>
      <c r="J25" s="3">
        <v>1789.4</v>
      </c>
      <c r="K25" s="6">
        <v>498.86</v>
      </c>
      <c r="L25" s="32">
        <f t="shared" si="2"/>
        <v>0.2787861853135129</v>
      </c>
      <c r="M25" s="24">
        <v>45922</v>
      </c>
      <c r="N25" s="3">
        <v>7385</v>
      </c>
      <c r="O25" s="4">
        <v>531.85</v>
      </c>
      <c r="P25" s="32">
        <f t="shared" si="3"/>
        <v>7.2017603249830739E-2</v>
      </c>
    </row>
    <row r="26" spans="1:16" x14ac:dyDescent="0.6">
      <c r="A26" s="24">
        <v>45923</v>
      </c>
      <c r="B26" s="3">
        <v>28268</v>
      </c>
      <c r="C26" s="3">
        <v>4022.9</v>
      </c>
      <c r="D26" s="32">
        <f t="shared" si="0"/>
        <v>0.14231286260082071</v>
      </c>
      <c r="E26" s="24">
        <v>45923</v>
      </c>
      <c r="F26" s="3">
        <v>3481</v>
      </c>
      <c r="G26" s="6">
        <v>0</v>
      </c>
      <c r="H26" s="32">
        <f t="shared" si="1"/>
        <v>0</v>
      </c>
      <c r="I26" s="24">
        <v>45923</v>
      </c>
      <c r="J26" s="3">
        <v>1877.7</v>
      </c>
      <c r="K26" s="6">
        <v>500.9</v>
      </c>
      <c r="L26" s="32">
        <f t="shared" si="2"/>
        <v>0.26676252862544603</v>
      </c>
      <c r="M26" s="24">
        <v>45923</v>
      </c>
      <c r="N26" s="3">
        <v>5378</v>
      </c>
      <c r="O26" s="4">
        <v>420</v>
      </c>
      <c r="P26" s="32">
        <f t="shared" si="3"/>
        <v>7.8095946448493866E-2</v>
      </c>
    </row>
    <row r="27" spans="1:16" x14ac:dyDescent="0.6">
      <c r="A27" s="24">
        <v>45924</v>
      </c>
      <c r="B27" s="3">
        <v>15616</v>
      </c>
      <c r="C27" s="3">
        <v>1848.85</v>
      </c>
      <c r="D27" s="32">
        <f t="shared" si="0"/>
        <v>0.11839459528688524</v>
      </c>
      <c r="E27" s="24">
        <v>45924</v>
      </c>
      <c r="F27" s="3" t="s">
        <v>54</v>
      </c>
      <c r="G27" s="6">
        <v>0</v>
      </c>
      <c r="H27" s="32" t="e">
        <f t="shared" si="1"/>
        <v>#VALUE!</v>
      </c>
      <c r="I27" s="24">
        <v>45924</v>
      </c>
      <c r="J27" s="3">
        <v>3095.9</v>
      </c>
      <c r="K27" s="6">
        <v>497.58</v>
      </c>
      <c r="L27" s="32">
        <f t="shared" si="2"/>
        <v>0.16072224555056686</v>
      </c>
      <c r="M27" s="24">
        <v>45924</v>
      </c>
      <c r="N27" s="3">
        <v>7071</v>
      </c>
      <c r="O27" s="4">
        <v>746</v>
      </c>
      <c r="P27" s="32">
        <f t="shared" si="3"/>
        <v>0.10550134351576863</v>
      </c>
    </row>
    <row r="28" spans="1:16" x14ac:dyDescent="0.6">
      <c r="A28" s="24">
        <v>45925</v>
      </c>
      <c r="B28" s="3">
        <v>26410.799999999999</v>
      </c>
      <c r="C28" s="3">
        <v>3400.61</v>
      </c>
      <c r="D28" s="32">
        <f t="shared" si="0"/>
        <v>0.12875831099398732</v>
      </c>
      <c r="E28" s="24">
        <v>45925</v>
      </c>
      <c r="F28" s="3">
        <v>28229</v>
      </c>
      <c r="G28" s="6">
        <v>1387.31</v>
      </c>
      <c r="H28" s="32">
        <f t="shared" si="1"/>
        <v>4.9144851039710932E-2</v>
      </c>
      <c r="I28" s="24">
        <v>45925</v>
      </c>
      <c r="J28" s="3">
        <v>2939.37</v>
      </c>
      <c r="K28" s="6">
        <v>492.14</v>
      </c>
      <c r="L28" s="32">
        <f t="shared" si="2"/>
        <v>0.16743043577365219</v>
      </c>
      <c r="M28" s="24">
        <v>45925</v>
      </c>
      <c r="N28" s="3">
        <v>6239</v>
      </c>
      <c r="O28" s="4">
        <v>802.38</v>
      </c>
      <c r="P28" s="32">
        <f t="shared" si="3"/>
        <v>0.12860714858150343</v>
      </c>
    </row>
    <row r="29" spans="1:16" x14ac:dyDescent="0.6">
      <c r="A29" s="24">
        <v>45926</v>
      </c>
      <c r="B29" s="3">
        <v>28896.17</v>
      </c>
      <c r="C29" s="3">
        <v>4768.1499999999996</v>
      </c>
      <c r="D29" s="32">
        <f t="shared" si="0"/>
        <v>0.16500975734846521</v>
      </c>
      <c r="E29" s="24">
        <v>45926</v>
      </c>
      <c r="F29" s="61">
        <v>9233</v>
      </c>
      <c r="G29" s="6">
        <v>1674.77</v>
      </c>
      <c r="H29" s="32">
        <f t="shared" si="1"/>
        <v>0.18138958085129428</v>
      </c>
      <c r="I29" s="24">
        <v>45926</v>
      </c>
      <c r="J29" s="3">
        <v>3976.23</v>
      </c>
      <c r="K29" s="6">
        <v>488.63</v>
      </c>
      <c r="L29" s="32">
        <f t="shared" si="2"/>
        <v>0.1228877605168715</v>
      </c>
      <c r="M29" s="24">
        <v>45926</v>
      </c>
      <c r="N29" s="3">
        <v>5903</v>
      </c>
      <c r="O29" s="4">
        <v>883.1</v>
      </c>
      <c r="P29" s="32">
        <f t="shared" si="3"/>
        <v>0.14960189734033544</v>
      </c>
    </row>
    <row r="30" spans="1:16" x14ac:dyDescent="0.6">
      <c r="A30" s="24">
        <v>45927</v>
      </c>
      <c r="B30" s="3">
        <v>24900.81</v>
      </c>
      <c r="C30" s="3">
        <v>3173.9</v>
      </c>
      <c r="D30" s="32">
        <f t="shared" si="0"/>
        <v>0.12746171710880089</v>
      </c>
      <c r="E30" s="24">
        <v>45927</v>
      </c>
      <c r="F30" s="61">
        <v>9444</v>
      </c>
      <c r="G30" s="6">
        <v>2047.28</v>
      </c>
      <c r="H30" s="32">
        <f t="shared" si="1"/>
        <v>0.21678102498941126</v>
      </c>
      <c r="I30" s="24">
        <v>45927</v>
      </c>
      <c r="J30" s="3">
        <v>2432.4299999999998</v>
      </c>
      <c r="K30" s="6">
        <v>494.01</v>
      </c>
      <c r="L30" s="32">
        <f t="shared" si="2"/>
        <v>0.20309320309320311</v>
      </c>
      <c r="M30" s="24">
        <v>45927</v>
      </c>
      <c r="N30" s="3">
        <v>7834</v>
      </c>
      <c r="O30" s="4">
        <v>804.67</v>
      </c>
      <c r="P30" s="32">
        <f t="shared" si="3"/>
        <v>0.10271508807761041</v>
      </c>
    </row>
    <row r="31" spans="1:16" x14ac:dyDescent="0.6">
      <c r="A31" s="24">
        <v>45928</v>
      </c>
      <c r="B31" s="3">
        <v>34752.980000000003</v>
      </c>
      <c r="C31" s="3">
        <v>4109.4399999999996</v>
      </c>
      <c r="D31" s="32">
        <f t="shared" si="0"/>
        <v>0.11824712585798396</v>
      </c>
      <c r="E31" s="24">
        <v>45928</v>
      </c>
      <c r="F31" s="3">
        <v>9614</v>
      </c>
      <c r="G31" s="6">
        <v>2323.89</v>
      </c>
      <c r="H31" s="32">
        <f t="shared" si="1"/>
        <v>0.24171936758893278</v>
      </c>
      <c r="I31" s="24">
        <v>45928</v>
      </c>
      <c r="J31" s="3">
        <v>2964.63</v>
      </c>
      <c r="K31" s="6">
        <v>493.95</v>
      </c>
      <c r="L31" s="32">
        <f t="shared" si="2"/>
        <v>0.16661438358243691</v>
      </c>
      <c r="M31" s="24">
        <v>45928</v>
      </c>
      <c r="N31" s="3">
        <v>5110</v>
      </c>
      <c r="O31" s="4">
        <v>759.56</v>
      </c>
      <c r="P31" s="32">
        <f t="shared" si="3"/>
        <v>0.14864187866927592</v>
      </c>
    </row>
    <row r="32" spans="1:16" x14ac:dyDescent="0.6">
      <c r="A32" s="24">
        <v>45929</v>
      </c>
      <c r="B32" s="3">
        <v>35815.620000000003</v>
      </c>
      <c r="C32" s="3">
        <v>6157.58</v>
      </c>
      <c r="D32" s="32">
        <f t="shared" si="0"/>
        <v>0.17192442850354117</v>
      </c>
      <c r="E32" s="24">
        <v>45929</v>
      </c>
      <c r="F32" s="3">
        <v>2547</v>
      </c>
      <c r="G32" s="6">
        <v>2235.0700000000002</v>
      </c>
      <c r="H32" s="32">
        <f t="shared" si="1"/>
        <v>0.87753042795445624</v>
      </c>
      <c r="I32" s="24">
        <v>45929</v>
      </c>
      <c r="J32" s="3">
        <v>3951.81</v>
      </c>
      <c r="K32" s="6">
        <v>494.9</v>
      </c>
      <c r="L32" s="32">
        <f t="shared" si="2"/>
        <v>0.12523375364706299</v>
      </c>
      <c r="M32" s="24">
        <v>45929</v>
      </c>
      <c r="N32" s="3">
        <v>4994</v>
      </c>
      <c r="O32" s="4">
        <v>637.34</v>
      </c>
      <c r="P32" s="32">
        <f t="shared" si="3"/>
        <v>0.12762114537444935</v>
      </c>
    </row>
    <row r="33" spans="1:16 16384:16384" x14ac:dyDescent="0.6">
      <c r="A33" s="24">
        <v>45930</v>
      </c>
      <c r="B33" s="3">
        <v>41585.129999999997</v>
      </c>
      <c r="C33" s="3">
        <v>5692.69</v>
      </c>
      <c r="D33" s="32">
        <f t="shared" si="0"/>
        <v>0.13689244208206156</v>
      </c>
      <c r="E33" s="24">
        <v>45930</v>
      </c>
      <c r="F33" s="3">
        <v>10689</v>
      </c>
      <c r="G33" s="6">
        <v>2240.9899999999998</v>
      </c>
      <c r="H33" s="32">
        <f t="shared" si="1"/>
        <v>0.20965384975208157</v>
      </c>
      <c r="I33" s="24">
        <v>45930</v>
      </c>
      <c r="J33" s="3">
        <v>4969.01</v>
      </c>
      <c r="K33" s="6">
        <v>500.51</v>
      </c>
      <c r="L33" s="32">
        <f t="shared" si="2"/>
        <v>0.1007263016174248</v>
      </c>
      <c r="M33" s="24">
        <v>45930</v>
      </c>
      <c r="N33" s="3">
        <v>6793</v>
      </c>
      <c r="O33" s="4">
        <v>690.03</v>
      </c>
      <c r="P33" s="32">
        <f t="shared" si="3"/>
        <v>0.10157956720153098</v>
      </c>
    </row>
    <row r="34" spans="1:16 16384:16384" x14ac:dyDescent="0.6">
      <c r="A34" s="24">
        <v>45931</v>
      </c>
      <c r="B34" s="4">
        <v>0</v>
      </c>
      <c r="C34" s="4">
        <v>0</v>
      </c>
      <c r="D34" s="32" t="e">
        <f t="shared" si="0"/>
        <v>#DIV/0!</v>
      </c>
      <c r="E34" s="24">
        <v>45931</v>
      </c>
      <c r="F34" s="6"/>
      <c r="G34" s="6"/>
      <c r="H34" s="32" t="e">
        <f t="shared" si="1"/>
        <v>#DIV/0!</v>
      </c>
      <c r="I34" s="24">
        <v>45931</v>
      </c>
      <c r="J34" s="6">
        <v>0</v>
      </c>
      <c r="K34" s="6">
        <v>0</v>
      </c>
      <c r="L34" s="32" t="e">
        <f t="shared" si="2"/>
        <v>#DIV/0!</v>
      </c>
      <c r="M34" s="24">
        <v>45931</v>
      </c>
      <c r="N34" s="4">
        <v>0</v>
      </c>
      <c r="O34" s="4">
        <v>0</v>
      </c>
      <c r="P34" s="32" t="e">
        <f t="shared" si="3"/>
        <v>#DIV/0!</v>
      </c>
    </row>
    <row r="35" spans="1:16 16384:16384" s="17" customFormat="1" ht="53.4" thickBot="1" x14ac:dyDescent="0.75">
      <c r="A35" s="16" t="s">
        <v>11</v>
      </c>
      <c r="B35" s="39">
        <f>SUM(B4:B34)</f>
        <v>937399.29000000015</v>
      </c>
      <c r="C35" s="39">
        <f t="shared" ref="C35" si="4">SUM(C4:C34)</f>
        <v>150724.23999999996</v>
      </c>
      <c r="D35" s="15" t="s">
        <v>12</v>
      </c>
      <c r="E35" s="16" t="s">
        <v>11</v>
      </c>
      <c r="F35" s="39">
        <f>SUM(F4:F34)</f>
        <v>362846</v>
      </c>
      <c r="G35" s="39">
        <f t="shared" ref="G35" si="5">SUM(G4:G34)</f>
        <v>40171.39</v>
      </c>
      <c r="H35" s="15" t="s">
        <v>12</v>
      </c>
      <c r="I35" s="16" t="s">
        <v>11</v>
      </c>
      <c r="J35" s="39">
        <f>SUM(J4:J34)</f>
        <v>131041.05999999998</v>
      </c>
      <c r="K35" s="39">
        <f t="shared" ref="K35" si="6">SUM(K4:K34)</f>
        <v>14726.07</v>
      </c>
      <c r="L35" s="15" t="s">
        <v>12</v>
      </c>
      <c r="M35" s="16" t="s">
        <v>11</v>
      </c>
      <c r="N35" s="39">
        <f>SUM(N4:N34)</f>
        <v>224164</v>
      </c>
      <c r="O35" s="39">
        <f t="shared" ref="O35" si="7">SUM(O4:O34)</f>
        <v>25801.319999999996</v>
      </c>
      <c r="P35" s="15" t="s">
        <v>12</v>
      </c>
      <c r="XFD35" s="17">
        <f>SUM(A35:XFC35)</f>
        <v>1886873.37</v>
      </c>
    </row>
    <row r="36" spans="1:16 16384:16384" ht="24" thickTop="1" x14ac:dyDescent="0.6">
      <c r="A36" s="6"/>
      <c r="B36" s="6"/>
      <c r="C36" s="6"/>
      <c r="D36" s="33"/>
      <c r="E36" s="6"/>
      <c r="F36" s="6"/>
      <c r="G36" s="6"/>
      <c r="H36" s="26"/>
      <c r="I36" s="6"/>
      <c r="J36" s="6"/>
      <c r="K36" s="6"/>
      <c r="L36" s="26"/>
      <c r="M36" s="6"/>
      <c r="N36" s="6"/>
      <c r="O36" s="6"/>
      <c r="P36" s="26"/>
    </row>
    <row r="37" spans="1:16 16384:16384" ht="23.4" customHeight="1" x14ac:dyDescent="0.6">
      <c r="A37" s="6"/>
      <c r="B37" s="116" t="s">
        <v>29</v>
      </c>
      <c r="C37" s="117"/>
      <c r="D37" s="117"/>
      <c r="E37" s="118"/>
      <c r="F37" s="7"/>
      <c r="G37" s="37"/>
      <c r="H37" s="6"/>
      <c r="I37" s="6"/>
      <c r="J37" s="6"/>
      <c r="K37" s="26"/>
      <c r="L37" s="6"/>
      <c r="M37" s="6"/>
      <c r="N37" s="6"/>
      <c r="O37" s="26"/>
      <c r="P37" s="1"/>
    </row>
    <row r="38" spans="1:16 16384:16384" x14ac:dyDescent="0.6">
      <c r="A38" s="8"/>
      <c r="B38" s="47" t="s">
        <v>9</v>
      </c>
      <c r="C38" s="47" t="s">
        <v>5</v>
      </c>
      <c r="D38" s="47" t="s">
        <v>6</v>
      </c>
      <c r="E38" s="47" t="s">
        <v>7</v>
      </c>
      <c r="F38" s="8"/>
      <c r="G38" s="26"/>
      <c r="H38" s="8"/>
      <c r="I38" s="8"/>
      <c r="J38" s="8"/>
      <c r="K38" s="26"/>
      <c r="L38" s="9"/>
      <c r="M38" s="6"/>
      <c r="N38" s="6"/>
      <c r="O38" s="26"/>
      <c r="P38" s="1"/>
    </row>
    <row r="39" spans="1:16 16384:16384" x14ac:dyDescent="0.6">
      <c r="A39" s="10"/>
      <c r="B39" s="40" t="s">
        <v>0</v>
      </c>
      <c r="C39" s="41">
        <f>+B35</f>
        <v>937399.29000000015</v>
      </c>
      <c r="D39" s="41">
        <f>+C35</f>
        <v>150724.23999999996</v>
      </c>
      <c r="E39" s="43">
        <f>+D39/C39</f>
        <v>0.16078979534964224</v>
      </c>
      <c r="F39" s="10"/>
      <c r="G39" s="28"/>
      <c r="H39" s="10"/>
      <c r="I39" s="10"/>
      <c r="J39" s="10"/>
      <c r="K39" s="26"/>
      <c r="L39" s="6"/>
      <c r="M39" s="6"/>
      <c r="N39" s="6"/>
      <c r="O39" s="26"/>
      <c r="P39" s="1"/>
    </row>
    <row r="40" spans="1:16 16384:16384" x14ac:dyDescent="0.6">
      <c r="A40" s="2"/>
      <c r="B40" s="40" t="s">
        <v>1</v>
      </c>
      <c r="C40" s="42">
        <f>+F35</f>
        <v>362846</v>
      </c>
      <c r="D40" s="42">
        <f>+G35</f>
        <v>40171.39</v>
      </c>
      <c r="E40" s="43">
        <f t="shared" ref="E40:E41" si="8">+D40/C40</f>
        <v>0.11071195493404916</v>
      </c>
      <c r="F40" s="11"/>
      <c r="G40" s="29"/>
      <c r="H40" s="12"/>
      <c r="I40" s="11"/>
      <c r="J40" s="13"/>
      <c r="K40" s="26"/>
      <c r="L40" s="2"/>
      <c r="M40" s="3"/>
      <c r="N40" s="6"/>
      <c r="O40" s="26"/>
      <c r="P40" s="1"/>
    </row>
    <row r="41" spans="1:16 16384:16384" x14ac:dyDescent="0.6">
      <c r="A41" s="2"/>
      <c r="B41" s="40" t="s">
        <v>2</v>
      </c>
      <c r="C41" s="42">
        <f>+J35</f>
        <v>131041.05999999998</v>
      </c>
      <c r="D41" s="42">
        <f>+K35</f>
        <v>14726.07</v>
      </c>
      <c r="E41" s="43">
        <f t="shared" si="8"/>
        <v>0.11237752502917789</v>
      </c>
      <c r="F41" s="11"/>
      <c r="G41" s="29"/>
      <c r="H41" s="12"/>
      <c r="I41" s="11"/>
      <c r="J41" s="13"/>
      <c r="K41" s="26"/>
      <c r="L41" s="2"/>
      <c r="M41" s="3"/>
      <c r="N41" s="6"/>
      <c r="O41" s="26"/>
      <c r="P41" s="1"/>
    </row>
    <row r="42" spans="1:16 16384:16384" x14ac:dyDescent="0.6">
      <c r="A42" s="2"/>
      <c r="B42" s="40" t="s">
        <v>3</v>
      </c>
      <c r="C42" s="42">
        <f>+N35</f>
        <v>224164</v>
      </c>
      <c r="D42" s="42">
        <f>+O35</f>
        <v>25801.319999999996</v>
      </c>
      <c r="E42" s="43">
        <f>+D42/C42</f>
        <v>0.115100194500455</v>
      </c>
      <c r="F42" s="11"/>
      <c r="G42" s="29"/>
      <c r="H42" s="12"/>
      <c r="I42" s="11"/>
      <c r="J42" s="13"/>
      <c r="K42" s="26"/>
      <c r="L42" s="2"/>
      <c r="M42" s="3"/>
      <c r="N42" s="6"/>
      <c r="O42" s="26"/>
      <c r="P42" s="1"/>
    </row>
    <row r="43" spans="1:16 16384:16384" x14ac:dyDescent="0.6">
      <c r="A43" s="2"/>
      <c r="B43" s="44" t="s">
        <v>10</v>
      </c>
      <c r="C43" s="45">
        <f>SUM(C39:C42)</f>
        <v>1655450.35</v>
      </c>
      <c r="D43" s="45">
        <f>SUM(D39:D42)</f>
        <v>231423.01999999996</v>
      </c>
      <c r="E43" s="46">
        <f>+D43/C43</f>
        <v>0.13979460030317425</v>
      </c>
      <c r="F43" s="11"/>
      <c r="G43" s="29"/>
      <c r="H43" s="12"/>
      <c r="I43" s="11"/>
      <c r="J43" s="13"/>
      <c r="K43" s="26"/>
      <c r="L43" s="2"/>
      <c r="M43" s="3"/>
      <c r="N43" s="6"/>
      <c r="O43" s="26"/>
      <c r="P43" s="1"/>
    </row>
    <row r="44" spans="1:16 16384:16384" x14ac:dyDescent="0.6">
      <c r="A44" s="2"/>
      <c r="B44" s="6"/>
      <c r="C44" s="6"/>
      <c r="D44" s="34"/>
      <c r="E44" s="6"/>
      <c r="F44" s="6"/>
      <c r="G44" s="8"/>
      <c r="H44" s="29"/>
      <c r="I44" s="14"/>
      <c r="J44" s="10"/>
      <c r="K44" s="10"/>
      <c r="L44" s="26"/>
      <c r="M44" s="2"/>
      <c r="N44" s="3"/>
      <c r="O44" s="6"/>
      <c r="P44" s="26"/>
    </row>
    <row r="45" spans="1:16 16384:16384" x14ac:dyDescent="0.6">
      <c r="A45" s="2"/>
      <c r="B45" s="6"/>
      <c r="C45" s="6"/>
      <c r="D45" s="32"/>
      <c r="E45" s="6"/>
      <c r="F45" s="6"/>
      <c r="G45" s="6"/>
      <c r="H45" s="26"/>
      <c r="I45" s="6"/>
      <c r="J45" s="6"/>
      <c r="K45" s="6"/>
      <c r="L45" s="26"/>
      <c r="M45" s="2"/>
      <c r="N45" s="3"/>
      <c r="O45" s="6"/>
      <c r="P45" s="26"/>
    </row>
    <row r="46" spans="1:16 16384:16384" x14ac:dyDescent="0.6">
      <c r="A46" s="2"/>
      <c r="B46" s="6"/>
      <c r="C46" s="6"/>
      <c r="D46" s="32"/>
      <c r="E46" s="6"/>
      <c r="F46" s="6"/>
      <c r="G46" s="6"/>
      <c r="H46" s="26"/>
      <c r="I46" s="6"/>
      <c r="J46" s="6"/>
      <c r="K46" s="6"/>
      <c r="L46" s="26"/>
      <c r="M46" s="2"/>
      <c r="N46" s="3"/>
      <c r="O46" s="6"/>
      <c r="P46" s="26"/>
    </row>
    <row r="47" spans="1:16 16384:16384" x14ac:dyDescent="0.6">
      <c r="A47" s="2"/>
      <c r="B47" s="6"/>
      <c r="C47" s="6"/>
      <c r="D47" s="32"/>
      <c r="E47" s="6"/>
      <c r="F47" s="6"/>
      <c r="G47" s="6"/>
      <c r="H47" s="26"/>
      <c r="I47" s="6"/>
      <c r="J47" s="6"/>
      <c r="K47" s="6"/>
      <c r="L47" s="26"/>
      <c r="M47" s="2"/>
      <c r="N47" s="3"/>
      <c r="O47" s="6"/>
      <c r="P47" s="26"/>
    </row>
    <row r="48" spans="1:16 16384:16384" x14ac:dyDescent="0.6">
      <c r="A48" s="2"/>
      <c r="B48" s="6"/>
      <c r="C48" s="6"/>
      <c r="D48" s="32"/>
      <c r="E48" s="6"/>
      <c r="F48" s="6"/>
      <c r="G48" s="6"/>
      <c r="H48" s="26"/>
      <c r="I48" s="6"/>
      <c r="J48" s="6"/>
      <c r="K48" s="6"/>
      <c r="L48" s="26"/>
      <c r="M48" s="2"/>
      <c r="N48" s="3"/>
      <c r="O48" s="6"/>
      <c r="P48" s="26"/>
    </row>
    <row r="49" spans="1:16" x14ac:dyDescent="0.6">
      <c r="A49" s="2"/>
      <c r="B49" s="6"/>
      <c r="C49" s="6"/>
      <c r="D49" s="32"/>
      <c r="E49" s="6"/>
      <c r="F49" s="6"/>
      <c r="G49" s="6"/>
      <c r="H49" s="26"/>
      <c r="I49" s="6"/>
      <c r="J49" s="6"/>
      <c r="K49" s="6"/>
      <c r="L49" s="26"/>
      <c r="M49" s="2"/>
      <c r="N49" s="3"/>
      <c r="O49" s="6"/>
      <c r="P49" s="26"/>
    </row>
    <row r="50" spans="1:16" x14ac:dyDescent="0.6">
      <c r="A50" s="2"/>
      <c r="B50" s="6"/>
      <c r="C50" s="6"/>
      <c r="D50" s="32"/>
      <c r="E50" s="6"/>
      <c r="F50" s="6"/>
      <c r="G50" s="6"/>
      <c r="H50" s="26"/>
      <c r="I50" s="6"/>
      <c r="J50" s="6"/>
      <c r="K50" s="6"/>
      <c r="L50" s="26"/>
      <c r="M50" s="2"/>
      <c r="N50" s="3"/>
      <c r="O50" s="6"/>
      <c r="P50" s="26"/>
    </row>
    <row r="51" spans="1:16" x14ac:dyDescent="0.6">
      <c r="A51" s="2"/>
      <c r="B51" s="6"/>
      <c r="C51" s="6"/>
      <c r="D51" s="32"/>
      <c r="E51" s="6"/>
      <c r="F51" s="6"/>
      <c r="G51" s="6"/>
      <c r="H51" s="26"/>
      <c r="I51" s="6"/>
      <c r="J51" s="6"/>
      <c r="K51" s="6"/>
      <c r="L51" s="26"/>
      <c r="M51" s="2"/>
      <c r="N51" s="3"/>
      <c r="O51" s="6"/>
      <c r="P51" s="26"/>
    </row>
    <row r="52" spans="1:16" x14ac:dyDescent="0.6">
      <c r="A52" s="2"/>
      <c r="B52" s="6"/>
      <c r="C52" s="6"/>
      <c r="D52" s="32"/>
      <c r="E52" s="6"/>
      <c r="F52" s="6"/>
      <c r="G52" s="6"/>
      <c r="H52" s="26"/>
      <c r="I52" s="6"/>
      <c r="J52" s="6"/>
      <c r="K52" s="6"/>
      <c r="L52" s="26"/>
      <c r="M52" s="2"/>
      <c r="N52" s="3"/>
      <c r="O52" s="6"/>
      <c r="P52" s="26"/>
    </row>
    <row r="53" spans="1:16" x14ac:dyDescent="0.6">
      <c r="A53" s="2"/>
      <c r="B53" s="6"/>
      <c r="C53" s="6"/>
      <c r="D53" s="32"/>
      <c r="E53" s="6"/>
      <c r="F53" s="6"/>
      <c r="G53" s="6"/>
      <c r="H53" s="26"/>
      <c r="I53" s="6"/>
      <c r="J53" s="6"/>
      <c r="K53" s="6"/>
      <c r="L53" s="26"/>
      <c r="M53" s="2"/>
      <c r="N53" s="3"/>
      <c r="O53" s="6"/>
      <c r="P53" s="26"/>
    </row>
    <row r="54" spans="1:16" x14ac:dyDescent="0.6">
      <c r="A54" s="2"/>
      <c r="B54" s="6"/>
      <c r="C54" s="6"/>
      <c r="D54" s="32"/>
      <c r="E54" s="6"/>
      <c r="F54" s="6"/>
      <c r="G54" s="6"/>
      <c r="H54" s="26"/>
      <c r="I54" s="6"/>
      <c r="J54" s="6"/>
      <c r="K54" s="6"/>
      <c r="L54" s="26"/>
      <c r="M54" s="2"/>
      <c r="N54" s="3"/>
      <c r="O54" s="6"/>
      <c r="P54" s="26"/>
    </row>
    <row r="55" spans="1:16" x14ac:dyDescent="0.6">
      <c r="A55" s="2"/>
      <c r="B55" s="6"/>
      <c r="C55" s="6"/>
      <c r="D55" s="32"/>
      <c r="E55" s="6"/>
      <c r="F55" s="6"/>
      <c r="G55" s="6"/>
      <c r="H55" s="26"/>
      <c r="I55" s="6"/>
      <c r="J55" s="6"/>
      <c r="K55" s="6"/>
      <c r="L55" s="26"/>
      <c r="M55" s="2"/>
      <c r="N55" s="3"/>
      <c r="O55" s="6"/>
      <c r="P55" s="26"/>
    </row>
    <row r="56" spans="1:16" x14ac:dyDescent="0.6">
      <c r="A56" s="2"/>
      <c r="B56" s="6"/>
      <c r="C56" s="6"/>
      <c r="D56" s="32"/>
      <c r="E56" s="6"/>
      <c r="F56" s="6"/>
      <c r="G56" s="6"/>
      <c r="H56" s="26"/>
      <c r="I56" s="6"/>
      <c r="J56" s="6"/>
      <c r="K56" s="6"/>
      <c r="L56" s="26"/>
      <c r="M56" s="2"/>
      <c r="N56" s="3"/>
      <c r="O56" s="6"/>
      <c r="P56" s="26"/>
    </row>
    <row r="57" spans="1:16" x14ac:dyDescent="0.6">
      <c r="A57" s="2"/>
      <c r="B57" s="6"/>
      <c r="C57" s="6"/>
      <c r="D57" s="32"/>
      <c r="E57" s="6"/>
      <c r="F57" s="6"/>
      <c r="G57" s="6"/>
      <c r="H57" s="26"/>
      <c r="I57" s="6"/>
      <c r="J57" s="6"/>
      <c r="K57" s="6"/>
      <c r="L57" s="26"/>
      <c r="M57" s="2"/>
      <c r="N57" s="3"/>
      <c r="O57" s="6"/>
      <c r="P57" s="26"/>
    </row>
    <row r="58" spans="1:16" x14ac:dyDescent="0.6">
      <c r="A58" s="2"/>
      <c r="B58" s="6"/>
      <c r="C58" s="6"/>
      <c r="D58" s="32"/>
      <c r="E58" s="6"/>
      <c r="F58" s="6"/>
      <c r="G58" s="6"/>
      <c r="H58" s="26"/>
      <c r="I58" s="6"/>
      <c r="J58" s="6"/>
      <c r="K58" s="6"/>
      <c r="L58" s="26"/>
      <c r="M58" s="2"/>
      <c r="N58" s="3"/>
      <c r="O58" s="6"/>
      <c r="P58" s="26"/>
    </row>
    <row r="59" spans="1:16" x14ac:dyDescent="0.6">
      <c r="A59" s="2"/>
      <c r="B59" s="6"/>
      <c r="C59" s="6"/>
      <c r="D59" s="32"/>
      <c r="E59" s="6"/>
      <c r="F59" s="6"/>
      <c r="G59" s="6"/>
      <c r="H59" s="26"/>
      <c r="I59" s="6"/>
      <c r="J59" s="6"/>
      <c r="K59" s="6"/>
      <c r="L59" s="26"/>
      <c r="M59" s="2"/>
      <c r="N59" s="3"/>
      <c r="O59" s="6"/>
      <c r="P59" s="26"/>
    </row>
    <row r="60" spans="1:16" x14ac:dyDescent="0.6">
      <c r="A60" s="2"/>
      <c r="B60" s="6"/>
      <c r="C60" s="6"/>
      <c r="D60" s="32"/>
      <c r="E60" s="6"/>
      <c r="F60" s="6"/>
      <c r="G60" s="6"/>
      <c r="H60" s="26"/>
      <c r="I60" s="6"/>
      <c r="J60" s="6"/>
      <c r="K60" s="6"/>
      <c r="L60" s="26"/>
      <c r="M60" s="2"/>
      <c r="N60" s="3"/>
      <c r="O60" s="6"/>
      <c r="P60" s="26"/>
    </row>
    <row r="61" spans="1:16" x14ac:dyDescent="0.6">
      <c r="A61" s="2"/>
      <c r="B61" s="6"/>
      <c r="C61" s="6"/>
      <c r="D61" s="32"/>
      <c r="E61" s="6"/>
      <c r="F61" s="6"/>
      <c r="G61" s="6"/>
      <c r="H61" s="26"/>
      <c r="I61" s="6"/>
      <c r="J61" s="6"/>
      <c r="K61" s="6"/>
      <c r="L61" s="26"/>
      <c r="M61" s="2"/>
      <c r="N61" s="3"/>
      <c r="O61" s="6"/>
      <c r="P61" s="26"/>
    </row>
    <row r="62" spans="1:16" x14ac:dyDescent="0.6">
      <c r="A62" s="2"/>
      <c r="B62" s="6"/>
      <c r="C62" s="6"/>
      <c r="D62" s="32"/>
      <c r="E62" s="6"/>
      <c r="F62" s="6"/>
      <c r="G62" s="6"/>
      <c r="H62" s="26"/>
      <c r="I62" s="6"/>
      <c r="J62" s="6"/>
      <c r="K62" s="6"/>
      <c r="L62" s="26"/>
      <c r="M62" s="2"/>
      <c r="N62" s="3"/>
      <c r="O62" s="6"/>
      <c r="P62" s="26"/>
    </row>
    <row r="63" spans="1:16" x14ac:dyDescent="0.6">
      <c r="A63" s="2"/>
      <c r="B63" s="6"/>
      <c r="C63" s="6"/>
      <c r="D63" s="32"/>
      <c r="E63" s="6"/>
      <c r="F63" s="6"/>
      <c r="G63" s="6"/>
      <c r="H63" s="26"/>
      <c r="I63" s="6"/>
      <c r="J63" s="6"/>
      <c r="K63" s="6"/>
      <c r="L63" s="26"/>
      <c r="M63" s="2"/>
      <c r="N63" s="3"/>
      <c r="O63" s="6"/>
      <c r="P63" s="26"/>
    </row>
    <row r="64" spans="1:16" x14ac:dyDescent="0.6">
      <c r="A64" s="2"/>
      <c r="B64" s="6"/>
      <c r="C64" s="6"/>
      <c r="D64" s="32"/>
      <c r="E64" s="6"/>
      <c r="F64" s="6"/>
      <c r="G64" s="6"/>
      <c r="H64" s="26"/>
      <c r="I64" s="6"/>
      <c r="J64" s="6"/>
      <c r="K64" s="6"/>
      <c r="L64" s="26"/>
      <c r="M64" s="2"/>
      <c r="N64" s="3"/>
      <c r="O64" s="6"/>
      <c r="P64" s="26"/>
    </row>
    <row r="65" spans="1:16" x14ac:dyDescent="0.6">
      <c r="A65" s="2"/>
      <c r="B65" s="6"/>
      <c r="C65" s="6"/>
      <c r="D65" s="32"/>
      <c r="E65" s="6"/>
      <c r="F65" s="6"/>
      <c r="G65" s="6"/>
      <c r="H65" s="26"/>
      <c r="I65" s="6"/>
      <c r="J65" s="6"/>
      <c r="K65" s="6"/>
      <c r="L65" s="26"/>
      <c r="M65" s="2"/>
      <c r="N65" s="3"/>
      <c r="O65" s="6"/>
      <c r="P65" s="26"/>
    </row>
    <row r="66" spans="1:16" x14ac:dyDescent="0.6">
      <c r="A66" s="2"/>
      <c r="B66" s="6"/>
      <c r="C66" s="6"/>
      <c r="D66" s="32"/>
      <c r="E66" s="6"/>
      <c r="F66" s="6"/>
      <c r="G66" s="6"/>
      <c r="H66" s="26"/>
      <c r="I66" s="6"/>
      <c r="J66" s="6"/>
      <c r="K66" s="6"/>
      <c r="L66" s="26"/>
      <c r="M66" s="2"/>
      <c r="N66" s="3"/>
      <c r="O66" s="6"/>
      <c r="P66" s="26"/>
    </row>
    <row r="67" spans="1:16" x14ac:dyDescent="0.6">
      <c r="A67" s="2"/>
      <c r="B67" s="6"/>
      <c r="C67" s="6"/>
      <c r="D67" s="32"/>
      <c r="E67" s="6"/>
      <c r="F67" s="6"/>
      <c r="G67" s="6"/>
      <c r="H67" s="26"/>
      <c r="I67" s="6"/>
      <c r="J67" s="6"/>
      <c r="K67" s="6"/>
      <c r="L67" s="26"/>
      <c r="M67" s="2"/>
      <c r="N67" s="3"/>
      <c r="O67" s="6"/>
      <c r="P67" s="26"/>
    </row>
    <row r="68" spans="1:16" x14ac:dyDescent="0.6">
      <c r="A68" s="2"/>
      <c r="B68" s="6"/>
      <c r="C68" s="6"/>
      <c r="D68" s="32"/>
      <c r="E68" s="6"/>
      <c r="F68" s="6"/>
      <c r="G68" s="6"/>
      <c r="H68" s="26"/>
      <c r="I68" s="6"/>
      <c r="J68" s="6"/>
      <c r="K68" s="6"/>
      <c r="L68" s="26"/>
      <c r="M68" s="2"/>
      <c r="N68" s="4"/>
      <c r="O68" s="6"/>
      <c r="P68" s="26"/>
    </row>
    <row r="69" spans="1:16" x14ac:dyDescent="0.6">
      <c r="A69" s="2"/>
      <c r="B69" s="6"/>
      <c r="C69" s="6"/>
      <c r="D69" s="32"/>
      <c r="E69" s="6"/>
      <c r="F69" s="6"/>
      <c r="G69" s="6"/>
      <c r="H69" s="26"/>
      <c r="I69" s="6"/>
      <c r="J69" s="6"/>
      <c r="K69" s="6"/>
      <c r="L69" s="26"/>
      <c r="M69" s="2"/>
      <c r="N69" s="4"/>
      <c r="O69" s="6"/>
      <c r="P69" s="26"/>
    </row>
    <row r="70" spans="1:16" x14ac:dyDescent="0.6">
      <c r="A70" s="2"/>
      <c r="B70" s="6"/>
      <c r="C70" s="6"/>
      <c r="D70" s="33"/>
      <c r="E70" s="6"/>
      <c r="F70" s="6"/>
      <c r="G70" s="6"/>
      <c r="H70" s="26"/>
      <c r="I70" s="6"/>
      <c r="J70" s="6"/>
      <c r="K70" s="6"/>
      <c r="L70" s="26"/>
      <c r="M70" s="2"/>
      <c r="N70" s="4"/>
      <c r="O70" s="6"/>
      <c r="P70" s="26"/>
    </row>
  </sheetData>
  <mergeCells count="5">
    <mergeCell ref="A2:D2"/>
    <mergeCell ref="E2:H2"/>
    <mergeCell ref="I2:L2"/>
    <mergeCell ref="M2:P2"/>
    <mergeCell ref="B37:E3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F514-9D40-4BA3-87A8-B6EC08EF837A}">
  <sheetPr>
    <tabColor rgb="FF00B0F0"/>
  </sheetPr>
  <dimension ref="A1:XFD70"/>
  <sheetViews>
    <sheetView zoomScaleNormal="100" workbookViewId="0">
      <pane xSplit="4" ySplit="3" topLeftCell="E4" activePane="bottomRight" state="frozen"/>
      <selection activeCell="F33" sqref="F33"/>
      <selection pane="topRight" activeCell="F33" sqref="F33"/>
      <selection pane="bottomLeft" activeCell="F33" sqref="F33"/>
      <selection pane="bottomRight" activeCell="H36" sqref="H36"/>
    </sheetView>
  </sheetViews>
  <sheetFormatPr defaultRowHeight="23.4" x14ac:dyDescent="0.6"/>
  <cols>
    <col min="1" max="1" width="19" style="1" customWidth="1"/>
    <col min="2" max="2" width="11.69921875" style="1" bestFit="1" customWidth="1"/>
    <col min="3" max="3" width="12.59765625" style="1" bestFit="1" customWidth="1"/>
    <col min="4" max="4" width="12.59765625" style="35" customWidth="1"/>
    <col min="5" max="5" width="14.5" style="1" customWidth="1"/>
    <col min="6" max="6" width="11.59765625" style="1" customWidth="1"/>
    <col min="7" max="7" width="12.5" style="1" customWidth="1"/>
    <col min="8" max="8" width="10" style="38" customWidth="1"/>
    <col min="9" max="9" width="14.5" style="1" customWidth="1"/>
    <col min="10" max="10" width="16.3984375" style="1" customWidth="1"/>
    <col min="11" max="11" width="9.09765625" style="1" bestFit="1" customWidth="1"/>
    <col min="12" max="12" width="9.8984375" style="38" customWidth="1"/>
    <col min="13" max="13" width="12.3984375" style="1" customWidth="1"/>
    <col min="14" max="14" width="12.19921875" style="1" customWidth="1"/>
    <col min="15" max="15" width="11.8984375" style="1" customWidth="1"/>
    <col min="16" max="16" width="9.09765625" style="38" customWidth="1"/>
    <col min="17" max="16383" width="8.69921875" style="1"/>
    <col min="16384" max="16384" width="9" style="1" bestFit="1" customWidth="1"/>
  </cols>
  <sheetData>
    <row r="1" spans="1:16" ht="28.8" x14ac:dyDescent="0.75">
      <c r="A1" s="48" t="s">
        <v>30</v>
      </c>
    </row>
    <row r="2" spans="1:16" s="18" customFormat="1" x14ac:dyDescent="0.6">
      <c r="A2" s="111" t="s">
        <v>0</v>
      </c>
      <c r="B2" s="111"/>
      <c r="C2" s="111"/>
      <c r="D2" s="111"/>
      <c r="E2" s="112" t="s">
        <v>1</v>
      </c>
      <c r="F2" s="112"/>
      <c r="G2" s="112"/>
      <c r="H2" s="112"/>
      <c r="I2" s="113" t="s">
        <v>2</v>
      </c>
      <c r="J2" s="113"/>
      <c r="K2" s="113"/>
      <c r="L2" s="113"/>
      <c r="M2" s="114" t="s">
        <v>3</v>
      </c>
      <c r="N2" s="114"/>
      <c r="O2" s="114"/>
      <c r="P2" s="114"/>
    </row>
    <row r="3" spans="1:16" s="22" customFormat="1" ht="33.6" customHeight="1" x14ac:dyDescent="0.25">
      <c r="A3" s="23" t="s">
        <v>4</v>
      </c>
      <c r="B3" s="23" t="s">
        <v>5</v>
      </c>
      <c r="C3" s="23" t="s">
        <v>6</v>
      </c>
      <c r="D3" s="25" t="s">
        <v>7</v>
      </c>
      <c r="E3" s="19" t="s">
        <v>4</v>
      </c>
      <c r="F3" s="19" t="s">
        <v>5</v>
      </c>
      <c r="G3" s="19" t="s">
        <v>6</v>
      </c>
      <c r="H3" s="27" t="s">
        <v>7</v>
      </c>
      <c r="I3" s="20" t="s">
        <v>4</v>
      </c>
      <c r="J3" s="20" t="s">
        <v>5</v>
      </c>
      <c r="K3" s="20" t="s">
        <v>6</v>
      </c>
      <c r="L3" s="30" t="s">
        <v>7</v>
      </c>
      <c r="M3" s="21" t="s">
        <v>4</v>
      </c>
      <c r="N3" s="21" t="s">
        <v>5</v>
      </c>
      <c r="O3" s="21" t="s">
        <v>6</v>
      </c>
      <c r="P3" s="31" t="s">
        <v>7</v>
      </c>
    </row>
    <row r="4" spans="1:16" x14ac:dyDescent="0.6">
      <c r="A4" s="24">
        <v>45931</v>
      </c>
      <c r="B4" s="3">
        <v>33650.92</v>
      </c>
      <c r="C4" s="3">
        <v>4222.8100000000004</v>
      </c>
      <c r="D4" s="32">
        <f>+C4/B4</f>
        <v>0.12548869391980963</v>
      </c>
      <c r="E4" s="24">
        <v>45931</v>
      </c>
      <c r="F4" s="3">
        <v>3327</v>
      </c>
      <c r="G4" s="3">
        <v>1836.18</v>
      </c>
      <c r="H4" s="32">
        <f>+G4/F4</f>
        <v>0.55190261496844006</v>
      </c>
      <c r="I4" s="24">
        <v>45931</v>
      </c>
      <c r="J4" s="3">
        <v>6355.8</v>
      </c>
      <c r="K4" s="3">
        <v>499.57</v>
      </c>
      <c r="L4" s="32">
        <f>+K4/J4</f>
        <v>7.860064822681645E-2</v>
      </c>
      <c r="M4" s="24">
        <v>45931</v>
      </c>
      <c r="N4" s="3">
        <v>5815</v>
      </c>
      <c r="O4" s="4">
        <v>673.37</v>
      </c>
      <c r="P4" s="32">
        <f>+O4/N4</f>
        <v>0.115798796216681</v>
      </c>
    </row>
    <row r="5" spans="1:16" x14ac:dyDescent="0.6">
      <c r="A5" s="24">
        <v>45932</v>
      </c>
      <c r="B5" s="3">
        <v>38168.730000000003</v>
      </c>
      <c r="C5" s="3">
        <v>5378.34</v>
      </c>
      <c r="D5" s="32">
        <f t="shared" ref="D5:D34" si="0">+C5/B5</f>
        <v>0.14090958750788932</v>
      </c>
      <c r="E5" s="24">
        <v>45932</v>
      </c>
      <c r="F5" s="3">
        <v>37274</v>
      </c>
      <c r="G5" s="3">
        <v>1915.88</v>
      </c>
      <c r="H5" s="32">
        <f t="shared" ref="H5:H34" si="1">+G5/F5</f>
        <v>5.1399903417932075E-2</v>
      </c>
      <c r="I5" s="24">
        <v>45932</v>
      </c>
      <c r="J5" s="5">
        <v>6164.2</v>
      </c>
      <c r="K5" s="3">
        <v>497.69</v>
      </c>
      <c r="L5" s="32">
        <f t="shared" ref="L5:L34" si="2">+K5/J5</f>
        <v>8.0738781999286205E-2</v>
      </c>
      <c r="M5" s="24">
        <v>45932</v>
      </c>
      <c r="N5" s="3">
        <v>4268</v>
      </c>
      <c r="O5" s="4">
        <v>570.64</v>
      </c>
      <c r="P5" s="32">
        <f t="shared" ref="P5:P34" si="3">+O5/N5</f>
        <v>0.13370196813495783</v>
      </c>
    </row>
    <row r="6" spans="1:16" x14ac:dyDescent="0.6">
      <c r="A6" s="24">
        <v>45933</v>
      </c>
      <c r="B6" s="3">
        <v>38244.76</v>
      </c>
      <c r="C6" s="3">
        <v>5303.06</v>
      </c>
      <c r="D6" s="32">
        <f t="shared" si="0"/>
        <v>0.13866108716592809</v>
      </c>
      <c r="E6" s="24">
        <v>45933</v>
      </c>
      <c r="F6" s="3">
        <v>6915</v>
      </c>
      <c r="G6" s="3">
        <v>1832.33</v>
      </c>
      <c r="H6" s="32">
        <f t="shared" si="1"/>
        <v>0.26497903109182935</v>
      </c>
      <c r="I6" s="24">
        <v>45933</v>
      </c>
      <c r="J6" s="5">
        <v>8309.2000000000007</v>
      </c>
      <c r="K6" s="3">
        <v>490.33</v>
      </c>
      <c r="L6" s="32">
        <f t="shared" si="2"/>
        <v>5.9010494391758525E-2</v>
      </c>
      <c r="M6" s="24">
        <v>45933</v>
      </c>
      <c r="N6" s="3">
        <v>4076</v>
      </c>
      <c r="O6" s="4">
        <v>633.01</v>
      </c>
      <c r="P6" s="32">
        <f t="shared" si="3"/>
        <v>0.15530176643768401</v>
      </c>
    </row>
    <row r="7" spans="1:16" x14ac:dyDescent="0.6">
      <c r="A7" s="24">
        <v>45934</v>
      </c>
      <c r="B7" s="3">
        <v>47867.199999999997</v>
      </c>
      <c r="C7" s="3">
        <v>5947.59</v>
      </c>
      <c r="D7" s="32">
        <f t="shared" si="0"/>
        <v>0.12425188855834476</v>
      </c>
      <c r="E7" s="24">
        <v>45934</v>
      </c>
      <c r="F7" s="3">
        <v>7981</v>
      </c>
      <c r="G7" s="3">
        <v>1834.58</v>
      </c>
      <c r="H7" s="32">
        <f t="shared" si="1"/>
        <v>0.22986843753915548</v>
      </c>
      <c r="I7" s="24">
        <v>45934</v>
      </c>
      <c r="J7" s="5">
        <v>4390.8100000000004</v>
      </c>
      <c r="K7" s="3">
        <v>502.35</v>
      </c>
      <c r="L7" s="32">
        <f t="shared" si="2"/>
        <v>0.11440941420831235</v>
      </c>
      <c r="M7" s="24">
        <v>45934</v>
      </c>
      <c r="N7" s="3">
        <v>3790</v>
      </c>
      <c r="O7" s="4">
        <v>487</v>
      </c>
      <c r="P7" s="32">
        <f t="shared" si="3"/>
        <v>0.12849604221635885</v>
      </c>
    </row>
    <row r="8" spans="1:16" x14ac:dyDescent="0.6">
      <c r="A8" s="24">
        <v>45935</v>
      </c>
      <c r="B8" s="3">
        <v>47939.42</v>
      </c>
      <c r="C8" s="3">
        <v>7083.55</v>
      </c>
      <c r="D8" s="32">
        <f t="shared" si="0"/>
        <v>0.14776044432744495</v>
      </c>
      <c r="E8" s="24">
        <v>45935</v>
      </c>
      <c r="F8" s="3">
        <v>11457</v>
      </c>
      <c r="G8" s="3">
        <v>2676</v>
      </c>
      <c r="H8" s="32">
        <f t="shared" si="1"/>
        <v>0.23356899711966483</v>
      </c>
      <c r="I8" s="24">
        <v>45935</v>
      </c>
      <c r="J8" s="5">
        <v>2943.24</v>
      </c>
      <c r="K8" s="3">
        <v>477.53</v>
      </c>
      <c r="L8" s="32">
        <f t="shared" si="2"/>
        <v>0.16224636794824751</v>
      </c>
      <c r="M8" s="24">
        <v>45935</v>
      </c>
      <c r="N8" s="3">
        <v>7927</v>
      </c>
      <c r="O8" s="4">
        <v>592</v>
      </c>
      <c r="P8" s="32">
        <f t="shared" si="3"/>
        <v>7.4681468399142178E-2</v>
      </c>
    </row>
    <row r="9" spans="1:16" x14ac:dyDescent="0.6">
      <c r="A9" s="24">
        <v>45936</v>
      </c>
      <c r="B9" s="3">
        <v>30661.32</v>
      </c>
      <c r="C9" s="3">
        <v>5160.2700000000004</v>
      </c>
      <c r="D9" s="32">
        <f t="shared" si="0"/>
        <v>0.16829901648069948</v>
      </c>
      <c r="E9" s="24">
        <v>45936</v>
      </c>
      <c r="F9" s="3">
        <v>8527</v>
      </c>
      <c r="G9" s="3">
        <v>2385</v>
      </c>
      <c r="H9" s="32">
        <f t="shared" si="1"/>
        <v>0.27969977717837458</v>
      </c>
      <c r="I9" s="24">
        <v>45936</v>
      </c>
      <c r="J9" s="3">
        <v>4655.3</v>
      </c>
      <c r="K9" s="3">
        <v>499.1</v>
      </c>
      <c r="L9" s="32">
        <f t="shared" si="2"/>
        <v>0.10721113569479948</v>
      </c>
      <c r="M9" s="24">
        <v>45936</v>
      </c>
      <c r="N9" s="3">
        <v>16798</v>
      </c>
      <c r="O9" s="4">
        <v>985</v>
      </c>
      <c r="P9" s="32">
        <f t="shared" si="3"/>
        <v>5.8637933087272297E-2</v>
      </c>
    </row>
    <row r="10" spans="1:16" x14ac:dyDescent="0.6">
      <c r="A10" s="24">
        <v>45937</v>
      </c>
      <c r="B10" s="3">
        <v>33447.730000000003</v>
      </c>
      <c r="C10" s="3">
        <v>5439.21</v>
      </c>
      <c r="D10" s="32">
        <f t="shared" si="0"/>
        <v>0.16261821056316825</v>
      </c>
      <c r="E10" s="24">
        <v>45937</v>
      </c>
      <c r="F10" s="3">
        <v>4575</v>
      </c>
      <c r="G10" s="3">
        <v>2399.5100000000002</v>
      </c>
      <c r="H10" s="32">
        <f t="shared" si="1"/>
        <v>0.52448306010928969</v>
      </c>
      <c r="I10" s="24">
        <v>45937</v>
      </c>
      <c r="J10" s="3">
        <v>3632.45</v>
      </c>
      <c r="K10" s="4">
        <v>484.75</v>
      </c>
      <c r="L10" s="32">
        <f t="shared" si="2"/>
        <v>0.13344987542842984</v>
      </c>
      <c r="M10" s="24">
        <v>45937</v>
      </c>
      <c r="N10" s="3">
        <v>6197</v>
      </c>
      <c r="O10" s="4">
        <v>571.29</v>
      </c>
      <c r="P10" s="32">
        <f t="shared" si="3"/>
        <v>9.2188155559141519E-2</v>
      </c>
    </row>
    <row r="11" spans="1:16" x14ac:dyDescent="0.6">
      <c r="A11" s="24">
        <v>45938</v>
      </c>
      <c r="B11" s="3">
        <v>36702.620000000003</v>
      </c>
      <c r="C11" s="3">
        <v>5108.45</v>
      </c>
      <c r="D11" s="32">
        <f t="shared" si="0"/>
        <v>0.13918488652853664</v>
      </c>
      <c r="E11" s="24">
        <v>45938</v>
      </c>
      <c r="F11" s="3">
        <v>2970</v>
      </c>
      <c r="G11" s="4">
        <v>2451.98</v>
      </c>
      <c r="H11" s="32">
        <f t="shared" si="1"/>
        <v>0.82558249158249164</v>
      </c>
      <c r="I11" s="24">
        <v>45938</v>
      </c>
      <c r="J11" s="3">
        <v>5163.79</v>
      </c>
      <c r="K11" s="4">
        <v>492.43</v>
      </c>
      <c r="L11" s="32">
        <f t="shared" si="2"/>
        <v>9.536212742965923E-2</v>
      </c>
      <c r="M11" s="24">
        <v>45938</v>
      </c>
      <c r="N11" s="3">
        <v>13555</v>
      </c>
      <c r="O11" s="4">
        <v>779</v>
      </c>
      <c r="P11" s="32">
        <f t="shared" si="3"/>
        <v>5.7469568424935447E-2</v>
      </c>
    </row>
    <row r="12" spans="1:16" x14ac:dyDescent="0.6">
      <c r="A12" s="24">
        <v>45939</v>
      </c>
      <c r="B12" s="3">
        <v>29118.93</v>
      </c>
      <c r="C12" s="3">
        <v>3776.45</v>
      </c>
      <c r="D12" s="32">
        <f t="shared" si="0"/>
        <v>0.12969054838210056</v>
      </c>
      <c r="E12" s="24">
        <v>45939</v>
      </c>
      <c r="F12" s="3">
        <v>34144</v>
      </c>
      <c r="G12" s="4">
        <v>851.75</v>
      </c>
      <c r="H12" s="32">
        <f t="shared" si="1"/>
        <v>2.4945817713214621E-2</v>
      </c>
      <c r="I12" s="24">
        <v>45939</v>
      </c>
      <c r="J12" s="3">
        <v>4904.46</v>
      </c>
      <c r="K12" s="4">
        <v>429.78</v>
      </c>
      <c r="L12" s="32">
        <f t="shared" si="2"/>
        <v>8.7630442495198246E-2</v>
      </c>
      <c r="M12" s="24">
        <v>45939</v>
      </c>
      <c r="N12" s="3">
        <v>17269</v>
      </c>
      <c r="O12" s="4">
        <v>1115.3399999999999</v>
      </c>
      <c r="P12" s="32">
        <f t="shared" si="3"/>
        <v>6.4586252822977586E-2</v>
      </c>
    </row>
    <row r="13" spans="1:16" x14ac:dyDescent="0.6">
      <c r="A13" s="24">
        <v>45940</v>
      </c>
      <c r="B13" s="3">
        <v>25641.25</v>
      </c>
      <c r="C13" s="3">
        <v>4752.12</v>
      </c>
      <c r="D13" s="32">
        <f t="shared" si="0"/>
        <v>0.1853310583532394</v>
      </c>
      <c r="E13" s="24">
        <v>45940</v>
      </c>
      <c r="F13" s="3">
        <v>14051</v>
      </c>
      <c r="G13" s="4"/>
      <c r="H13" s="32">
        <f t="shared" si="1"/>
        <v>0</v>
      </c>
      <c r="I13" s="24">
        <v>45940</v>
      </c>
      <c r="J13" s="3">
        <v>7460.51</v>
      </c>
      <c r="K13" s="4">
        <v>485.98</v>
      </c>
      <c r="L13" s="32">
        <f t="shared" si="2"/>
        <v>6.5140318825388607E-2</v>
      </c>
      <c r="M13" s="24">
        <v>45940</v>
      </c>
      <c r="N13" s="3">
        <v>15640</v>
      </c>
      <c r="O13" s="103">
        <v>1487.75</v>
      </c>
      <c r="P13" s="32">
        <f t="shared" si="3"/>
        <v>9.5124680306905365E-2</v>
      </c>
    </row>
    <row r="14" spans="1:16" x14ac:dyDescent="0.6">
      <c r="A14" s="24">
        <v>45941</v>
      </c>
      <c r="B14" s="3">
        <v>33147.83</v>
      </c>
      <c r="C14" s="3">
        <v>3793.1</v>
      </c>
      <c r="D14" s="32">
        <f t="shared" si="0"/>
        <v>0.114429813354298</v>
      </c>
      <c r="E14" s="24">
        <v>45941</v>
      </c>
      <c r="F14" s="3">
        <v>14219</v>
      </c>
      <c r="G14" s="4"/>
      <c r="H14" s="32">
        <f t="shared" si="1"/>
        <v>0</v>
      </c>
      <c r="I14" s="24">
        <v>45941</v>
      </c>
      <c r="J14" s="3">
        <v>4482</v>
      </c>
      <c r="K14" s="4">
        <v>491.09</v>
      </c>
      <c r="L14" s="32">
        <f t="shared" si="2"/>
        <v>0.1095693886657742</v>
      </c>
      <c r="M14" s="24">
        <v>45941</v>
      </c>
      <c r="N14" s="3">
        <v>7591</v>
      </c>
      <c r="O14" s="103">
        <v>1969.99</v>
      </c>
      <c r="P14" s="32">
        <f t="shared" si="3"/>
        <v>0.2595165327361349</v>
      </c>
    </row>
    <row r="15" spans="1:16" x14ac:dyDescent="0.6">
      <c r="A15" s="24">
        <v>45942</v>
      </c>
      <c r="B15" s="3">
        <v>18645.5</v>
      </c>
      <c r="C15" s="3">
        <v>3270.1</v>
      </c>
      <c r="D15" s="32">
        <f t="shared" si="0"/>
        <v>0.17538280013944382</v>
      </c>
      <c r="E15" s="24">
        <v>45942</v>
      </c>
      <c r="F15" s="3">
        <v>11329</v>
      </c>
      <c r="G15" s="4"/>
      <c r="H15" s="32">
        <f t="shared" si="1"/>
        <v>0</v>
      </c>
      <c r="I15" s="24">
        <v>45942</v>
      </c>
      <c r="J15" s="3">
        <v>5650.69</v>
      </c>
      <c r="K15" s="4">
        <v>488.2</v>
      </c>
      <c r="L15" s="32">
        <f t="shared" si="2"/>
        <v>8.6396528565538019E-2</v>
      </c>
      <c r="M15" s="24">
        <v>45942</v>
      </c>
      <c r="N15" s="3">
        <v>9883</v>
      </c>
      <c r="O15" s="103">
        <v>1276.82</v>
      </c>
      <c r="P15" s="32">
        <f t="shared" si="3"/>
        <v>0.12919356470707274</v>
      </c>
    </row>
    <row r="16" spans="1:16" x14ac:dyDescent="0.6">
      <c r="A16" s="24">
        <v>45943</v>
      </c>
      <c r="B16" s="3">
        <v>37356.47</v>
      </c>
      <c r="C16" s="3">
        <v>4727.21</v>
      </c>
      <c r="D16" s="32">
        <f t="shared" si="0"/>
        <v>0.12654327349452452</v>
      </c>
      <c r="E16" s="24">
        <v>45943</v>
      </c>
      <c r="F16" s="3">
        <v>4108</v>
      </c>
      <c r="G16" s="4"/>
      <c r="H16" s="32">
        <f t="shared" si="1"/>
        <v>0</v>
      </c>
      <c r="I16" s="24">
        <v>45943</v>
      </c>
      <c r="J16" s="3">
        <v>3451.8</v>
      </c>
      <c r="K16" s="3">
        <v>514.78</v>
      </c>
      <c r="L16" s="32">
        <f t="shared" si="2"/>
        <v>0.14913378527145257</v>
      </c>
      <c r="M16" s="24">
        <v>45943</v>
      </c>
      <c r="N16" s="3">
        <v>15655</v>
      </c>
      <c r="O16" s="103">
        <v>1955.13</v>
      </c>
      <c r="P16" s="32">
        <f t="shared" si="3"/>
        <v>0.1248885340146918</v>
      </c>
    </row>
    <row r="17" spans="1:16" x14ac:dyDescent="0.6">
      <c r="A17" s="24">
        <v>45944</v>
      </c>
      <c r="B17" s="3">
        <v>36592.160000000003</v>
      </c>
      <c r="C17" s="3">
        <v>6259.71</v>
      </c>
      <c r="D17" s="32">
        <f t="shared" si="0"/>
        <v>0.17106697172290455</v>
      </c>
      <c r="E17" s="24">
        <v>45944</v>
      </c>
      <c r="F17" s="3">
        <v>5828</v>
      </c>
      <c r="G17" s="4"/>
      <c r="H17" s="32">
        <f t="shared" si="1"/>
        <v>0</v>
      </c>
      <c r="I17" s="24">
        <v>45944</v>
      </c>
      <c r="J17" s="3">
        <v>4225.95</v>
      </c>
      <c r="K17" s="3">
        <v>498.22</v>
      </c>
      <c r="L17" s="32">
        <f t="shared" si="2"/>
        <v>0.11789538446976421</v>
      </c>
      <c r="M17" s="24">
        <v>45944</v>
      </c>
      <c r="N17" s="3">
        <v>11210</v>
      </c>
      <c r="O17" s="103">
        <v>1247.45</v>
      </c>
      <c r="P17" s="32">
        <f t="shared" si="3"/>
        <v>0.11128010704727923</v>
      </c>
    </row>
    <row r="18" spans="1:16" x14ac:dyDescent="0.6">
      <c r="A18" s="24">
        <v>45945</v>
      </c>
      <c r="B18" s="3">
        <v>23719.15</v>
      </c>
      <c r="C18" s="3">
        <v>4684.8999999999996</v>
      </c>
      <c r="D18" s="32">
        <f t="shared" si="0"/>
        <v>0.19751550961986408</v>
      </c>
      <c r="E18" s="24">
        <v>45945</v>
      </c>
      <c r="F18" s="3">
        <v>4644</v>
      </c>
      <c r="G18" s="3"/>
      <c r="H18" s="32">
        <f t="shared" si="1"/>
        <v>0</v>
      </c>
      <c r="I18" s="24">
        <v>45945</v>
      </c>
      <c r="J18" s="3">
        <v>7256.26</v>
      </c>
      <c r="K18" s="3">
        <v>498.9</v>
      </c>
      <c r="L18" s="32">
        <f t="shared" si="2"/>
        <v>6.8754427211814351E-2</v>
      </c>
      <c r="M18" s="24">
        <v>45945</v>
      </c>
      <c r="N18" s="3">
        <v>18949</v>
      </c>
      <c r="O18" s="103">
        <v>3390.8</v>
      </c>
      <c r="P18" s="32">
        <f t="shared" si="3"/>
        <v>0.17894347986701145</v>
      </c>
    </row>
    <row r="19" spans="1:16" x14ac:dyDescent="0.6">
      <c r="A19" s="24">
        <v>45946</v>
      </c>
      <c r="B19" s="3">
        <v>16700.18</v>
      </c>
      <c r="C19" s="3">
        <v>2291.6999999999998</v>
      </c>
      <c r="D19" s="32">
        <f t="shared" si="0"/>
        <v>0.13722606582683539</v>
      </c>
      <c r="E19" s="24">
        <v>45946</v>
      </c>
      <c r="F19" s="3">
        <v>25279</v>
      </c>
      <c r="G19" s="3"/>
      <c r="H19" s="32">
        <f t="shared" si="1"/>
        <v>0</v>
      </c>
      <c r="I19" s="24">
        <v>45946</v>
      </c>
      <c r="J19" s="3">
        <v>3585.68</v>
      </c>
      <c r="K19" s="3">
        <v>498.07</v>
      </c>
      <c r="L19" s="32">
        <f t="shared" si="2"/>
        <v>0.1389053122420294</v>
      </c>
      <c r="M19" s="24">
        <v>45946</v>
      </c>
      <c r="N19" s="3">
        <v>9492</v>
      </c>
      <c r="O19" s="103">
        <v>611.88</v>
      </c>
      <c r="P19" s="32">
        <f t="shared" si="3"/>
        <v>6.4462705436156759E-2</v>
      </c>
    </row>
    <row r="20" spans="1:16" x14ac:dyDescent="0.6">
      <c r="A20" s="24">
        <v>45947</v>
      </c>
      <c r="B20" s="3">
        <v>21325.78</v>
      </c>
      <c r="C20" s="3">
        <v>2407.86</v>
      </c>
      <c r="D20" s="32">
        <f t="shared" si="0"/>
        <v>0.11290841413537982</v>
      </c>
      <c r="E20" s="24">
        <v>45947</v>
      </c>
      <c r="F20" s="3">
        <v>12191</v>
      </c>
      <c r="G20" s="3">
        <v>3690.43</v>
      </c>
      <c r="H20" s="32">
        <f t="shared" si="1"/>
        <v>0.30271757854154702</v>
      </c>
      <c r="I20" s="24">
        <v>45947</v>
      </c>
      <c r="J20" s="3">
        <v>4951.37</v>
      </c>
      <c r="K20" s="3">
        <v>498.03</v>
      </c>
      <c r="L20" s="32">
        <f t="shared" si="2"/>
        <v>0.10058428273386961</v>
      </c>
      <c r="M20" s="24">
        <v>45947</v>
      </c>
      <c r="N20" s="3">
        <v>8923</v>
      </c>
      <c r="O20" s="103">
        <v>1230.6500000000001</v>
      </c>
      <c r="P20" s="32">
        <f t="shared" si="3"/>
        <v>0.13791886136949458</v>
      </c>
    </row>
    <row r="21" spans="1:16" x14ac:dyDescent="0.6">
      <c r="A21" s="24">
        <v>45948</v>
      </c>
      <c r="B21" s="3">
        <v>12329.77</v>
      </c>
      <c r="C21" s="3">
        <v>1606.64</v>
      </c>
      <c r="D21" s="32">
        <f t="shared" si="0"/>
        <v>0.13030575590623344</v>
      </c>
      <c r="E21" s="24">
        <v>45948</v>
      </c>
      <c r="F21" s="3">
        <v>8322</v>
      </c>
      <c r="G21" s="4">
        <v>3685.08</v>
      </c>
      <c r="H21" s="32">
        <f t="shared" si="1"/>
        <v>0.44281182408074982</v>
      </c>
      <c r="I21" s="24">
        <v>45948</v>
      </c>
      <c r="J21" s="3">
        <v>4430.3</v>
      </c>
      <c r="K21" s="4">
        <v>495.13</v>
      </c>
      <c r="L21" s="32">
        <f t="shared" si="2"/>
        <v>0.11175992596438164</v>
      </c>
      <c r="M21" s="24">
        <v>45948</v>
      </c>
      <c r="N21" s="3">
        <v>15757</v>
      </c>
      <c r="O21" s="103">
        <v>1579.01</v>
      </c>
      <c r="P21" s="32">
        <f t="shared" si="3"/>
        <v>0.10021006536777305</v>
      </c>
    </row>
    <row r="22" spans="1:16" x14ac:dyDescent="0.6">
      <c r="A22" s="24">
        <v>45949</v>
      </c>
      <c r="B22" s="3">
        <v>22545.78</v>
      </c>
      <c r="C22" s="3">
        <v>3310</v>
      </c>
      <c r="D22" s="32">
        <f t="shared" si="0"/>
        <v>0.14681239682104591</v>
      </c>
      <c r="E22" s="24">
        <v>45949</v>
      </c>
      <c r="F22" s="3">
        <v>7559</v>
      </c>
      <c r="G22" s="4">
        <v>1488.08</v>
      </c>
      <c r="H22" s="32">
        <f t="shared" si="1"/>
        <v>0.19686201878555362</v>
      </c>
      <c r="I22" s="24">
        <v>45949</v>
      </c>
      <c r="J22" s="3">
        <v>5140.95</v>
      </c>
      <c r="K22" s="4">
        <v>493.79</v>
      </c>
      <c r="L22" s="32">
        <f t="shared" si="2"/>
        <v>9.6050340890302385E-2</v>
      </c>
      <c r="M22" s="24">
        <v>45949</v>
      </c>
      <c r="N22" s="3">
        <v>10185</v>
      </c>
      <c r="O22" s="103">
        <v>2234.4299999999998</v>
      </c>
      <c r="P22" s="32">
        <f t="shared" si="3"/>
        <v>0.2193843888070692</v>
      </c>
    </row>
    <row r="23" spans="1:16" x14ac:dyDescent="0.6">
      <c r="A23" s="24">
        <v>45950</v>
      </c>
      <c r="B23" s="3">
        <v>23376.54</v>
      </c>
      <c r="C23" s="3">
        <v>3340.91</v>
      </c>
      <c r="D23" s="32">
        <f t="shared" si="0"/>
        <v>0.14291721529362342</v>
      </c>
      <c r="E23" s="24">
        <v>45950</v>
      </c>
      <c r="F23" s="61">
        <v>2597</v>
      </c>
      <c r="G23" s="3">
        <v>1470.97</v>
      </c>
      <c r="H23" s="32">
        <f t="shared" si="1"/>
        <v>0.56641124374278018</v>
      </c>
      <c r="I23" s="24">
        <v>45950</v>
      </c>
      <c r="J23" s="3">
        <v>6281.2</v>
      </c>
      <c r="K23" s="4">
        <v>492.37</v>
      </c>
      <c r="L23" s="32">
        <f t="shared" si="2"/>
        <v>7.8387887664777431E-2</v>
      </c>
      <c r="M23" s="24">
        <v>45950</v>
      </c>
      <c r="N23" s="3">
        <v>7230</v>
      </c>
      <c r="O23" s="3">
        <v>2064.4899999999998</v>
      </c>
      <c r="P23" s="32">
        <f t="shared" si="3"/>
        <v>0.28554495159059473</v>
      </c>
    </row>
    <row r="24" spans="1:16" x14ac:dyDescent="0.6">
      <c r="A24" s="24">
        <v>45951</v>
      </c>
      <c r="B24" s="3">
        <v>24035</v>
      </c>
      <c r="C24" s="3">
        <v>3850.06</v>
      </c>
      <c r="D24" s="32">
        <f t="shared" si="0"/>
        <v>0.16018556272103182</v>
      </c>
      <c r="E24" s="24">
        <v>45951</v>
      </c>
      <c r="F24" s="3">
        <v>43073</v>
      </c>
      <c r="G24" s="6">
        <v>1161.71</v>
      </c>
      <c r="H24" s="32">
        <f t="shared" si="1"/>
        <v>2.6970724119518029E-2</v>
      </c>
      <c r="I24" s="24">
        <v>45951</v>
      </c>
      <c r="J24" s="3">
        <v>2038.7</v>
      </c>
      <c r="K24" s="4">
        <v>495.61</v>
      </c>
      <c r="L24" s="32">
        <f t="shared" si="2"/>
        <v>0.24310099573257468</v>
      </c>
      <c r="M24" s="24">
        <v>45951</v>
      </c>
      <c r="N24" s="3">
        <v>14049</v>
      </c>
      <c r="O24" s="3">
        <v>761.23</v>
      </c>
      <c r="P24" s="32">
        <f t="shared" si="3"/>
        <v>5.4183927681685527E-2</v>
      </c>
    </row>
    <row r="25" spans="1:16" x14ac:dyDescent="0.6">
      <c r="A25" s="24">
        <v>45952</v>
      </c>
      <c r="B25" s="3">
        <v>23775.06</v>
      </c>
      <c r="C25" s="3">
        <v>3311.09</v>
      </c>
      <c r="D25" s="32">
        <f t="shared" si="0"/>
        <v>0.13926736672799142</v>
      </c>
      <c r="E25" s="24">
        <v>45952</v>
      </c>
      <c r="F25" s="3">
        <v>1639</v>
      </c>
      <c r="G25" s="6">
        <v>1663.23</v>
      </c>
      <c r="H25" s="32">
        <f t="shared" si="1"/>
        <v>1.0147834045149482</v>
      </c>
      <c r="I25" s="24">
        <v>45952</v>
      </c>
      <c r="J25" s="3">
        <v>2809.35</v>
      </c>
      <c r="K25" s="6">
        <v>498.03</v>
      </c>
      <c r="L25" s="32">
        <f t="shared" si="2"/>
        <v>0.17727588232153343</v>
      </c>
      <c r="M25" s="24">
        <v>45952</v>
      </c>
      <c r="N25" s="3">
        <v>17897</v>
      </c>
      <c r="O25" s="3">
        <v>2060.13</v>
      </c>
      <c r="P25" s="32">
        <f t="shared" si="3"/>
        <v>0.11511035369056268</v>
      </c>
    </row>
    <row r="26" spans="1:16" x14ac:dyDescent="0.6">
      <c r="A26" s="24">
        <v>45953</v>
      </c>
      <c r="B26" s="3">
        <v>19525.580000000002</v>
      </c>
      <c r="C26" s="3">
        <v>3081.64</v>
      </c>
      <c r="D26" s="32">
        <f t="shared" si="0"/>
        <v>0.15782578545682124</v>
      </c>
      <c r="E26" s="24">
        <v>45953</v>
      </c>
      <c r="F26" s="3">
        <v>40046</v>
      </c>
      <c r="G26" s="6">
        <v>1845.81</v>
      </c>
      <c r="H26" s="32">
        <f t="shared" si="1"/>
        <v>4.6092243919492584E-2</v>
      </c>
      <c r="I26" s="24">
        <v>45953</v>
      </c>
      <c r="J26" s="3">
        <v>4013.75</v>
      </c>
      <c r="K26" s="6">
        <v>493.49</v>
      </c>
      <c r="L26" s="32">
        <f t="shared" si="2"/>
        <v>0.12294985985674245</v>
      </c>
      <c r="M26" s="24">
        <v>45953</v>
      </c>
      <c r="N26" s="3">
        <v>6207</v>
      </c>
      <c r="O26" s="3">
        <v>1259.82</v>
      </c>
      <c r="P26" s="32">
        <f t="shared" si="3"/>
        <v>0.20296761720637987</v>
      </c>
    </row>
    <row r="27" spans="1:16" x14ac:dyDescent="0.6">
      <c r="A27" s="24">
        <v>45954</v>
      </c>
      <c r="B27" s="3">
        <v>14223.6</v>
      </c>
      <c r="C27" s="3">
        <v>1972.66</v>
      </c>
      <c r="D27" s="32">
        <f t="shared" si="0"/>
        <v>0.13868922073174161</v>
      </c>
      <c r="E27" s="24">
        <v>45954</v>
      </c>
      <c r="F27" s="3">
        <v>8484</v>
      </c>
      <c r="G27" s="6">
        <v>1740.75</v>
      </c>
      <c r="H27" s="32">
        <f t="shared" si="1"/>
        <v>0.20518033946251768</v>
      </c>
      <c r="I27" s="24">
        <v>45954</v>
      </c>
      <c r="J27" s="3">
        <v>5083.7</v>
      </c>
      <c r="K27" s="6">
        <v>497.25</v>
      </c>
      <c r="L27" s="32">
        <f t="shared" si="2"/>
        <v>9.7812616794854146E-2</v>
      </c>
      <c r="M27" s="24">
        <v>45954</v>
      </c>
      <c r="N27" s="3">
        <v>7627</v>
      </c>
      <c r="O27" s="3">
        <v>1375.86</v>
      </c>
      <c r="P27" s="32">
        <f t="shared" si="3"/>
        <v>0.18039333945194702</v>
      </c>
    </row>
    <row r="28" spans="1:16" x14ac:dyDescent="0.6">
      <c r="A28" s="24">
        <v>45955</v>
      </c>
      <c r="B28" s="3">
        <v>14493.19</v>
      </c>
      <c r="C28" s="3">
        <v>1728.36</v>
      </c>
      <c r="D28" s="32">
        <f t="shared" si="0"/>
        <v>0.11925324928466403</v>
      </c>
      <c r="E28" s="24">
        <v>45955</v>
      </c>
      <c r="F28" s="3">
        <v>9026</v>
      </c>
      <c r="G28" s="6">
        <v>1204.77</v>
      </c>
      <c r="H28" s="32">
        <f t="shared" si="1"/>
        <v>0.13347773099933524</v>
      </c>
      <c r="I28" s="24">
        <v>45955</v>
      </c>
      <c r="J28" s="3">
        <v>6642.94</v>
      </c>
      <c r="K28" s="6">
        <v>498.24</v>
      </c>
      <c r="L28" s="32">
        <f t="shared" si="2"/>
        <v>7.5002935447256794E-2</v>
      </c>
      <c r="M28" s="24">
        <v>45955</v>
      </c>
      <c r="N28" s="3">
        <v>11918</v>
      </c>
      <c r="O28" s="3">
        <v>1442.72</v>
      </c>
      <c r="P28" s="32">
        <f t="shared" si="3"/>
        <v>0.12105386809867427</v>
      </c>
    </row>
    <row r="29" spans="1:16" x14ac:dyDescent="0.6">
      <c r="A29" s="24">
        <v>45956</v>
      </c>
      <c r="B29" s="3">
        <v>25195.119999999999</v>
      </c>
      <c r="C29" s="3">
        <v>3271.93</v>
      </c>
      <c r="D29" s="32">
        <f t="shared" si="0"/>
        <v>0.12986364026049488</v>
      </c>
      <c r="E29" s="24">
        <v>45956</v>
      </c>
      <c r="F29" s="61">
        <v>11575</v>
      </c>
      <c r="G29" s="6">
        <v>2137.66</v>
      </c>
      <c r="H29" s="32">
        <f t="shared" si="1"/>
        <v>0.18467904967602591</v>
      </c>
      <c r="I29" s="24">
        <v>45956</v>
      </c>
      <c r="J29" s="3">
        <v>4922.32</v>
      </c>
      <c r="K29" s="6">
        <v>482.21</v>
      </c>
      <c r="L29" s="32">
        <f t="shared" si="2"/>
        <v>9.7963968210112301E-2</v>
      </c>
      <c r="M29" s="24">
        <v>45956</v>
      </c>
      <c r="N29" s="3">
        <v>11746</v>
      </c>
      <c r="O29" s="3">
        <v>853.3</v>
      </c>
      <c r="P29" s="32">
        <f t="shared" si="3"/>
        <v>7.2646007151370678E-2</v>
      </c>
    </row>
    <row r="30" spans="1:16" x14ac:dyDescent="0.6">
      <c r="A30" s="24">
        <v>45957</v>
      </c>
      <c r="B30" s="3">
        <v>33305.160000000003</v>
      </c>
      <c r="C30" s="3">
        <v>6257.47</v>
      </c>
      <c r="D30" s="32">
        <f t="shared" si="0"/>
        <v>0.18788289862591862</v>
      </c>
      <c r="E30" s="24">
        <v>45957</v>
      </c>
      <c r="F30" s="6">
        <v>5782</v>
      </c>
      <c r="G30" s="6">
        <v>1917.37</v>
      </c>
      <c r="H30" s="32">
        <f t="shared" si="1"/>
        <v>0.33161016949152539</v>
      </c>
      <c r="I30" s="24">
        <v>45957</v>
      </c>
      <c r="J30" s="3">
        <v>2032.75</v>
      </c>
      <c r="K30" s="6">
        <v>475.97</v>
      </c>
      <c r="L30" s="32">
        <f t="shared" si="2"/>
        <v>0.23415078096175135</v>
      </c>
      <c r="M30" s="24">
        <v>45957</v>
      </c>
      <c r="N30" s="3">
        <v>16826</v>
      </c>
      <c r="O30" s="3">
        <v>1766.83</v>
      </c>
      <c r="P30" s="32">
        <f t="shared" si="3"/>
        <v>0.1050059431831689</v>
      </c>
    </row>
    <row r="31" spans="1:16" x14ac:dyDescent="0.6">
      <c r="A31" s="24">
        <v>45958</v>
      </c>
      <c r="B31" s="4">
        <v>41408.85</v>
      </c>
      <c r="C31" s="4">
        <v>7205.12</v>
      </c>
      <c r="D31" s="32">
        <f t="shared" si="0"/>
        <v>0.17399951942640282</v>
      </c>
      <c r="E31" s="24">
        <v>45958</v>
      </c>
      <c r="F31" s="3">
        <v>14434</v>
      </c>
      <c r="G31" s="6">
        <v>1899.86</v>
      </c>
      <c r="H31" s="32">
        <f t="shared" si="1"/>
        <v>0.13162394346681447</v>
      </c>
      <c r="I31" s="24">
        <v>45958</v>
      </c>
      <c r="J31" s="4">
        <v>2624.92</v>
      </c>
      <c r="K31" s="6">
        <v>502.16</v>
      </c>
      <c r="L31" s="32">
        <f t="shared" si="2"/>
        <v>0.19130487786294439</v>
      </c>
      <c r="M31" s="24">
        <v>45958</v>
      </c>
      <c r="N31" s="4">
        <v>20758</v>
      </c>
      <c r="O31" s="103">
        <v>2860.96</v>
      </c>
      <c r="P31" s="32">
        <f t="shared" si="3"/>
        <v>0.13782445322285383</v>
      </c>
    </row>
    <row r="32" spans="1:16" x14ac:dyDescent="0.6">
      <c r="A32" s="24">
        <v>45959</v>
      </c>
      <c r="B32" s="4">
        <v>37035.32</v>
      </c>
      <c r="C32" s="4">
        <v>6984.08</v>
      </c>
      <c r="D32" s="32">
        <f t="shared" si="0"/>
        <v>0.18857890251792073</v>
      </c>
      <c r="E32" s="24">
        <v>45959</v>
      </c>
      <c r="F32" s="4">
        <v>7600</v>
      </c>
      <c r="G32" s="6">
        <v>1875.64</v>
      </c>
      <c r="H32" s="32">
        <f t="shared" si="1"/>
        <v>0.24679473684210529</v>
      </c>
      <c r="I32" s="24">
        <v>45959</v>
      </c>
      <c r="J32" s="4">
        <v>4327.71</v>
      </c>
      <c r="K32" s="6">
        <v>500.58</v>
      </c>
      <c r="L32" s="32">
        <f t="shared" si="2"/>
        <v>0.11566856374387377</v>
      </c>
      <c r="M32" s="24">
        <v>45959</v>
      </c>
      <c r="N32" s="4">
        <v>10100</v>
      </c>
      <c r="O32" s="103">
        <v>883.36</v>
      </c>
      <c r="P32" s="32">
        <f t="shared" si="3"/>
        <v>8.7461386138613859E-2</v>
      </c>
    </row>
    <row r="33" spans="1:16 16384:16384" x14ac:dyDescent="0.6">
      <c r="A33" s="24">
        <v>45960</v>
      </c>
      <c r="B33" s="4">
        <v>30179.22</v>
      </c>
      <c r="C33" s="4">
        <v>5730.99</v>
      </c>
      <c r="D33" s="32">
        <f t="shared" si="0"/>
        <v>0.1898985460856841</v>
      </c>
      <c r="E33" s="24">
        <v>45960</v>
      </c>
      <c r="F33" s="4">
        <v>34148</v>
      </c>
      <c r="G33" s="6">
        <v>1435.63</v>
      </c>
      <c r="H33" s="32">
        <f t="shared" si="1"/>
        <v>4.2041407988754838E-2</v>
      </c>
      <c r="I33" s="24">
        <v>45960</v>
      </c>
      <c r="J33" s="4">
        <v>5167.8999999999996</v>
      </c>
      <c r="K33" s="6">
        <v>500.96</v>
      </c>
      <c r="L33" s="32">
        <f t="shared" si="2"/>
        <v>9.6936860233363648E-2</v>
      </c>
      <c r="M33" s="24">
        <v>45960</v>
      </c>
      <c r="N33" s="4">
        <v>10951</v>
      </c>
      <c r="O33" s="103">
        <v>2319.5300000000002</v>
      </c>
      <c r="P33" s="32">
        <f t="shared" si="3"/>
        <v>0.21180988037622137</v>
      </c>
    </row>
    <row r="34" spans="1:16 16384:16384" x14ac:dyDescent="0.6">
      <c r="A34" s="24">
        <v>45961</v>
      </c>
      <c r="B34" s="4">
        <v>39710.89</v>
      </c>
      <c r="C34" s="4">
        <v>6468.02</v>
      </c>
      <c r="D34" s="32">
        <f t="shared" si="0"/>
        <v>0.16287773958226573</v>
      </c>
      <c r="E34" s="24">
        <v>45961</v>
      </c>
      <c r="F34" s="61">
        <v>12049.45</v>
      </c>
      <c r="G34" s="6">
        <v>1409.9</v>
      </c>
      <c r="H34" s="32">
        <f t="shared" si="1"/>
        <v>0.11700949005971227</v>
      </c>
      <c r="I34" s="24">
        <v>45961</v>
      </c>
      <c r="J34" s="6">
        <v>6277.12</v>
      </c>
      <c r="K34" s="6">
        <v>499.18</v>
      </c>
      <c r="L34" s="32">
        <f t="shared" si="2"/>
        <v>7.9523730628058731E-2</v>
      </c>
      <c r="M34" s="24">
        <v>45961</v>
      </c>
      <c r="N34" s="4">
        <v>14955</v>
      </c>
      <c r="O34" s="103">
        <v>2383.14</v>
      </c>
      <c r="P34" s="32">
        <f t="shared" si="3"/>
        <v>0.15935406218655968</v>
      </c>
    </row>
    <row r="35" spans="1:16 16384:16384" s="17" customFormat="1" ht="27" thickBot="1" x14ac:dyDescent="0.75">
      <c r="A35" s="16" t="s">
        <v>11</v>
      </c>
      <c r="B35" s="39">
        <f>SUM(B4:B34)</f>
        <v>910069.03</v>
      </c>
      <c r="C35" s="39">
        <f t="shared" ref="C35" si="4">SUM(C4:C34)</f>
        <v>137725.39999999997</v>
      </c>
      <c r="D35" s="15" t="s">
        <v>12</v>
      </c>
      <c r="E35" s="16" t="s">
        <v>11</v>
      </c>
      <c r="F35" s="39">
        <f>SUM(F4:F34)</f>
        <v>415153.45</v>
      </c>
      <c r="G35" s="39">
        <f t="shared" ref="G35" si="5">SUM(G4:G34)</f>
        <v>46810.1</v>
      </c>
      <c r="H35" s="15" t="s">
        <v>12</v>
      </c>
      <c r="I35" s="16" t="s">
        <v>11</v>
      </c>
      <c r="J35" s="39">
        <f>SUM(J4:J34)</f>
        <v>149377.11999999997</v>
      </c>
      <c r="K35" s="39">
        <f t="shared" ref="K35" si="6">SUM(K4:K34)</f>
        <v>15271.769999999999</v>
      </c>
      <c r="L35" s="15" t="s">
        <v>12</v>
      </c>
      <c r="M35" s="16" t="s">
        <v>11</v>
      </c>
      <c r="N35" s="39">
        <f>SUM(N4:N34)</f>
        <v>353244</v>
      </c>
      <c r="O35" s="39">
        <f t="shared" ref="O35" si="7">SUM(O4:O34)</f>
        <v>43421.930000000008</v>
      </c>
      <c r="P35" s="15" t="s">
        <v>12</v>
      </c>
      <c r="XFD35" s="17">
        <f>SUM(A35:XFC35)</f>
        <v>2071072.7999999998</v>
      </c>
    </row>
    <row r="36" spans="1:16 16384:16384" ht="24" thickTop="1" x14ac:dyDescent="0.6">
      <c r="A36" s="6"/>
      <c r="B36" s="6"/>
      <c r="C36" s="6"/>
      <c r="D36" s="33"/>
      <c r="E36" s="6"/>
      <c r="F36" s="6"/>
      <c r="G36" s="6"/>
      <c r="H36" s="26"/>
      <c r="I36" s="6"/>
      <c r="J36" s="6"/>
      <c r="K36" s="6"/>
      <c r="L36" s="26"/>
      <c r="M36" s="6"/>
      <c r="N36" s="6"/>
      <c r="O36" s="6"/>
      <c r="P36" s="26"/>
    </row>
    <row r="37" spans="1:16 16384:16384" ht="23.4" customHeight="1" x14ac:dyDescent="0.6">
      <c r="A37" s="6"/>
      <c r="B37" s="116" t="s">
        <v>31</v>
      </c>
      <c r="C37" s="117"/>
      <c r="D37" s="117"/>
      <c r="E37" s="118"/>
      <c r="F37" s="7"/>
      <c r="G37" s="37"/>
      <c r="H37" s="6"/>
      <c r="I37" s="6"/>
      <c r="J37" s="6"/>
      <c r="K37" s="26"/>
      <c r="L37" s="6"/>
      <c r="M37" s="6"/>
      <c r="N37" s="6"/>
      <c r="O37" s="26"/>
      <c r="P37" s="1"/>
    </row>
    <row r="38" spans="1:16 16384:16384" x14ac:dyDescent="0.6">
      <c r="A38" s="8"/>
      <c r="B38" s="47" t="s">
        <v>9</v>
      </c>
      <c r="C38" s="47" t="s">
        <v>5</v>
      </c>
      <c r="D38" s="47" t="s">
        <v>6</v>
      </c>
      <c r="E38" s="47" t="s">
        <v>7</v>
      </c>
      <c r="F38" s="8"/>
      <c r="G38" s="26"/>
      <c r="H38" s="8"/>
      <c r="I38" s="8"/>
      <c r="J38" s="8"/>
      <c r="K38" s="26"/>
      <c r="L38" s="9"/>
      <c r="M38" s="6"/>
      <c r="N38" s="6"/>
      <c r="O38" s="26"/>
      <c r="P38" s="1"/>
    </row>
    <row r="39" spans="1:16 16384:16384" x14ac:dyDescent="0.6">
      <c r="A39" s="10"/>
      <c r="B39" s="40" t="s">
        <v>0</v>
      </c>
      <c r="C39" s="41">
        <f>+B35</f>
        <v>910069.03</v>
      </c>
      <c r="D39" s="41">
        <f>+C35</f>
        <v>137725.39999999997</v>
      </c>
      <c r="E39" s="43">
        <f>+D39/C39</f>
        <v>0.15133511355726495</v>
      </c>
      <c r="F39" s="10"/>
      <c r="G39" s="28"/>
      <c r="H39" s="10"/>
      <c r="I39" s="10"/>
      <c r="J39" s="10"/>
      <c r="K39" s="26"/>
      <c r="L39" s="6"/>
      <c r="M39" s="6"/>
      <c r="N39" s="6"/>
      <c r="O39" s="26"/>
      <c r="P39" s="1"/>
    </row>
    <row r="40" spans="1:16 16384:16384" x14ac:dyDescent="0.6">
      <c r="A40" s="2"/>
      <c r="B40" s="40" t="s">
        <v>1</v>
      </c>
      <c r="C40" s="42">
        <f>+F35</f>
        <v>415153.45</v>
      </c>
      <c r="D40" s="42">
        <f>+G35</f>
        <v>46810.1</v>
      </c>
      <c r="E40" s="43">
        <f t="shared" ref="E40:E41" si="8">+D40/C40</f>
        <v>0.11275372997622926</v>
      </c>
      <c r="F40" s="11"/>
      <c r="G40" s="29"/>
      <c r="H40" s="12"/>
      <c r="I40" s="11"/>
      <c r="J40" s="13"/>
      <c r="K40" s="26"/>
      <c r="L40" s="2"/>
      <c r="M40" s="3"/>
      <c r="N40" s="6"/>
      <c r="O40" s="26"/>
      <c r="P40" s="1"/>
    </row>
    <row r="41" spans="1:16 16384:16384" x14ac:dyDescent="0.6">
      <c r="A41" s="2"/>
      <c r="B41" s="40" t="s">
        <v>2</v>
      </c>
      <c r="C41" s="42">
        <f>+J35</f>
        <v>149377.11999999997</v>
      </c>
      <c r="D41" s="42">
        <f>+K35</f>
        <v>15271.769999999999</v>
      </c>
      <c r="E41" s="43">
        <f t="shared" si="8"/>
        <v>0.10223633980893461</v>
      </c>
      <c r="F41" s="11"/>
      <c r="G41" s="29"/>
      <c r="H41" s="12"/>
      <c r="I41" s="11"/>
      <c r="J41" s="13"/>
      <c r="K41" s="26"/>
      <c r="L41" s="2"/>
      <c r="M41" s="3"/>
      <c r="N41" s="6"/>
      <c r="O41" s="26"/>
      <c r="P41" s="1"/>
    </row>
    <row r="42" spans="1:16 16384:16384" x14ac:dyDescent="0.6">
      <c r="A42" s="2"/>
      <c r="B42" s="40" t="s">
        <v>3</v>
      </c>
      <c r="C42" s="42">
        <f>+N35</f>
        <v>353244</v>
      </c>
      <c r="D42" s="42">
        <f>+O35</f>
        <v>43421.930000000008</v>
      </c>
      <c r="E42" s="43">
        <f>+D42/C42</f>
        <v>0.12292333344656953</v>
      </c>
      <c r="F42" s="11"/>
      <c r="G42" s="29"/>
      <c r="H42" s="12"/>
      <c r="I42" s="11"/>
      <c r="J42" s="13"/>
      <c r="K42" s="26"/>
      <c r="L42" s="2"/>
      <c r="M42" s="3"/>
      <c r="N42" s="6"/>
      <c r="O42" s="26"/>
      <c r="P42" s="1"/>
    </row>
    <row r="43" spans="1:16 16384:16384" x14ac:dyDescent="0.6">
      <c r="A43" s="2"/>
      <c r="B43" s="44" t="s">
        <v>10</v>
      </c>
      <c r="C43" s="45">
        <f>SUM(C39:C42)</f>
        <v>1827843.5999999999</v>
      </c>
      <c r="D43" s="45">
        <f>SUM(D39:D42)</f>
        <v>243229.19999999995</v>
      </c>
      <c r="E43" s="46">
        <f>+D43/C43</f>
        <v>0.13306893434427319</v>
      </c>
      <c r="F43" s="11"/>
      <c r="G43" s="29"/>
      <c r="H43" s="12"/>
      <c r="I43" s="11"/>
      <c r="J43" s="13"/>
      <c r="K43" s="26"/>
      <c r="L43" s="2"/>
      <c r="M43" s="3"/>
      <c r="N43" s="6"/>
      <c r="O43" s="26"/>
      <c r="P43" s="1"/>
    </row>
    <row r="44" spans="1:16 16384:16384" x14ac:dyDescent="0.6">
      <c r="A44" s="2"/>
      <c r="B44" s="6"/>
      <c r="C44" s="6"/>
      <c r="D44" s="34"/>
      <c r="E44" s="6"/>
      <c r="F44" s="6"/>
      <c r="G44" s="8"/>
      <c r="H44" s="29"/>
      <c r="I44" s="14"/>
      <c r="J44" s="10"/>
      <c r="K44" s="10"/>
      <c r="L44" s="26"/>
      <c r="M44" s="2"/>
      <c r="N44" s="3"/>
      <c r="O44" s="6"/>
      <c r="P44" s="26"/>
    </row>
    <row r="45" spans="1:16 16384:16384" x14ac:dyDescent="0.6">
      <c r="A45" s="2"/>
      <c r="B45" s="6"/>
      <c r="C45" s="6"/>
      <c r="D45" s="32"/>
      <c r="E45" s="6"/>
      <c r="F45" s="6"/>
      <c r="G45" s="6"/>
      <c r="H45" s="26"/>
      <c r="I45" s="6"/>
      <c r="J45" s="6"/>
      <c r="K45" s="6"/>
      <c r="L45" s="26"/>
      <c r="M45" s="2"/>
      <c r="N45" s="3"/>
      <c r="O45" s="6"/>
      <c r="P45" s="26"/>
    </row>
    <row r="46" spans="1:16 16384:16384" x14ac:dyDescent="0.6">
      <c r="A46" s="2"/>
      <c r="B46" s="6"/>
      <c r="C46" s="6"/>
      <c r="D46" s="32"/>
      <c r="E46" s="6"/>
      <c r="F46" s="6"/>
      <c r="G46" s="6"/>
      <c r="H46" s="26"/>
      <c r="I46" s="6"/>
      <c r="J46" s="6"/>
      <c r="K46" s="6"/>
      <c r="L46" s="26"/>
      <c r="M46" s="2"/>
      <c r="N46" s="3"/>
      <c r="O46" s="6"/>
      <c r="P46" s="26"/>
    </row>
    <row r="47" spans="1:16 16384:16384" x14ac:dyDescent="0.6">
      <c r="A47" s="2"/>
      <c r="B47" s="6"/>
      <c r="C47" s="6"/>
      <c r="D47" s="32"/>
      <c r="E47" s="6"/>
      <c r="F47" s="6"/>
      <c r="G47" s="6"/>
      <c r="H47" s="26"/>
      <c r="I47" s="6"/>
      <c r="J47" s="6"/>
      <c r="K47" s="6"/>
      <c r="L47" s="26"/>
      <c r="M47" s="2"/>
      <c r="N47" s="3"/>
      <c r="O47" s="6"/>
      <c r="P47" s="26"/>
    </row>
    <row r="48" spans="1:16 16384:16384" x14ac:dyDescent="0.6">
      <c r="A48" s="2"/>
      <c r="B48" s="6"/>
      <c r="C48" s="6"/>
      <c r="D48" s="32"/>
      <c r="E48" s="6"/>
      <c r="F48" s="6"/>
      <c r="G48" s="6"/>
      <c r="H48" s="26"/>
      <c r="I48" s="6"/>
      <c r="J48" s="6"/>
      <c r="K48" s="6"/>
      <c r="L48" s="26"/>
      <c r="M48" s="2"/>
      <c r="N48" s="3"/>
      <c r="O48" s="6"/>
      <c r="P48" s="26"/>
    </row>
    <row r="49" spans="1:16" x14ac:dyDescent="0.6">
      <c r="A49" s="2"/>
      <c r="B49" s="6"/>
      <c r="C49" s="6"/>
      <c r="D49" s="32"/>
      <c r="E49" s="6"/>
      <c r="F49" s="6"/>
      <c r="G49" s="6"/>
      <c r="H49" s="26"/>
      <c r="I49" s="6"/>
      <c r="J49" s="6"/>
      <c r="K49" s="6"/>
      <c r="L49" s="26"/>
      <c r="M49" s="2"/>
      <c r="N49" s="3"/>
      <c r="O49" s="6"/>
      <c r="P49" s="26"/>
    </row>
    <row r="50" spans="1:16" x14ac:dyDescent="0.6">
      <c r="A50" s="2"/>
      <c r="B50" s="6"/>
      <c r="C50" s="6"/>
      <c r="D50" s="32"/>
      <c r="E50" s="6"/>
      <c r="F50" s="6"/>
      <c r="G50" s="6"/>
      <c r="H50" s="26"/>
      <c r="I50" s="6"/>
      <c r="J50" s="6"/>
      <c r="K50" s="6"/>
      <c r="L50" s="26"/>
      <c r="M50" s="2"/>
      <c r="N50" s="3"/>
      <c r="O50" s="6"/>
      <c r="P50" s="26"/>
    </row>
    <row r="51" spans="1:16" x14ac:dyDescent="0.6">
      <c r="A51" s="2"/>
      <c r="B51" s="6"/>
      <c r="C51" s="6"/>
      <c r="D51" s="32"/>
      <c r="E51" s="6"/>
      <c r="F51" s="6"/>
      <c r="G51" s="6"/>
      <c r="H51" s="26"/>
      <c r="I51" s="6"/>
      <c r="J51" s="6"/>
      <c r="K51" s="6"/>
      <c r="L51" s="26"/>
      <c r="M51" s="2"/>
      <c r="N51" s="3"/>
      <c r="O51" s="6"/>
      <c r="P51" s="26"/>
    </row>
    <row r="52" spans="1:16" x14ac:dyDescent="0.6">
      <c r="A52" s="2"/>
      <c r="B52" s="6"/>
      <c r="C52" s="6"/>
      <c r="D52" s="32"/>
      <c r="E52" s="6"/>
      <c r="F52" s="6"/>
      <c r="G52" s="6"/>
      <c r="H52" s="26"/>
      <c r="I52" s="6"/>
      <c r="J52" s="6"/>
      <c r="K52" s="6"/>
      <c r="L52" s="26"/>
      <c r="M52" s="2"/>
      <c r="N52" s="3"/>
      <c r="O52" s="6"/>
      <c r="P52" s="26"/>
    </row>
    <row r="53" spans="1:16" x14ac:dyDescent="0.6">
      <c r="A53" s="2"/>
      <c r="B53" s="6"/>
      <c r="C53" s="6"/>
      <c r="D53" s="32"/>
      <c r="E53" s="6"/>
      <c r="F53" s="6"/>
      <c r="G53" s="6"/>
      <c r="H53" s="26"/>
      <c r="I53" s="6"/>
      <c r="J53" s="6"/>
      <c r="K53" s="6"/>
      <c r="L53" s="26"/>
      <c r="M53" s="2"/>
      <c r="N53" s="3"/>
      <c r="O53" s="6"/>
      <c r="P53" s="26"/>
    </row>
    <row r="54" spans="1:16" x14ac:dyDescent="0.6">
      <c r="A54" s="2"/>
      <c r="B54" s="6"/>
      <c r="C54" s="6"/>
      <c r="D54" s="32"/>
      <c r="E54" s="6"/>
      <c r="F54" s="6"/>
      <c r="G54" s="6"/>
      <c r="H54" s="26"/>
      <c r="I54" s="6"/>
      <c r="J54" s="6"/>
      <c r="K54" s="6"/>
      <c r="L54" s="26"/>
      <c r="M54" s="2"/>
      <c r="N54" s="3"/>
      <c r="O54" s="6"/>
      <c r="P54" s="26"/>
    </row>
    <row r="55" spans="1:16" x14ac:dyDescent="0.6">
      <c r="A55" s="2"/>
      <c r="B55" s="6"/>
      <c r="C55" s="6"/>
      <c r="D55" s="32"/>
      <c r="E55" s="6"/>
      <c r="F55" s="6"/>
      <c r="G55" s="6"/>
      <c r="H55" s="26"/>
      <c r="I55" s="6"/>
      <c r="J55" s="6"/>
      <c r="K55" s="6"/>
      <c r="L55" s="26"/>
      <c r="M55" s="2"/>
      <c r="N55" s="3"/>
      <c r="O55" s="6"/>
      <c r="P55" s="26"/>
    </row>
    <row r="56" spans="1:16" x14ac:dyDescent="0.6">
      <c r="A56" s="2"/>
      <c r="B56" s="6"/>
      <c r="C56" s="6"/>
      <c r="D56" s="32"/>
      <c r="E56" s="6"/>
      <c r="F56" s="6"/>
      <c r="G56" s="6"/>
      <c r="H56" s="26"/>
      <c r="I56" s="6"/>
      <c r="J56" s="6"/>
      <c r="K56" s="6"/>
      <c r="L56" s="26"/>
      <c r="M56" s="2"/>
      <c r="N56" s="3"/>
      <c r="O56" s="6"/>
      <c r="P56" s="26"/>
    </row>
    <row r="57" spans="1:16" x14ac:dyDescent="0.6">
      <c r="A57" s="2"/>
      <c r="B57" s="6"/>
      <c r="C57" s="6"/>
      <c r="D57" s="32"/>
      <c r="E57" s="6"/>
      <c r="F57" s="6"/>
      <c r="G57" s="6"/>
      <c r="H57" s="26"/>
      <c r="I57" s="6"/>
      <c r="J57" s="6"/>
      <c r="K57" s="6"/>
      <c r="L57" s="26"/>
      <c r="M57" s="2"/>
      <c r="N57" s="3"/>
      <c r="O57" s="6"/>
      <c r="P57" s="26"/>
    </row>
    <row r="58" spans="1:16" x14ac:dyDescent="0.6">
      <c r="A58" s="2"/>
      <c r="B58" s="6"/>
      <c r="C58" s="6"/>
      <c r="D58" s="32"/>
      <c r="E58" s="6"/>
      <c r="F58" s="6"/>
      <c r="G58" s="6"/>
      <c r="H58" s="26"/>
      <c r="I58" s="6"/>
      <c r="J58" s="6"/>
      <c r="K58" s="6"/>
      <c r="L58" s="26"/>
      <c r="M58" s="2"/>
      <c r="N58" s="3"/>
      <c r="O58" s="6"/>
      <c r="P58" s="26"/>
    </row>
    <row r="59" spans="1:16" x14ac:dyDescent="0.6">
      <c r="A59" s="2"/>
      <c r="B59" s="6"/>
      <c r="C59" s="6"/>
      <c r="D59" s="32"/>
      <c r="E59" s="6"/>
      <c r="F59" s="6"/>
      <c r="G59" s="6"/>
      <c r="H59" s="26"/>
      <c r="I59" s="6"/>
      <c r="J59" s="6"/>
      <c r="K59" s="6"/>
      <c r="L59" s="26"/>
      <c r="M59" s="2"/>
      <c r="N59" s="3"/>
      <c r="O59" s="6"/>
      <c r="P59" s="26"/>
    </row>
    <row r="60" spans="1:16" x14ac:dyDescent="0.6">
      <c r="A60" s="2"/>
      <c r="B60" s="6"/>
      <c r="C60" s="6"/>
      <c r="D60" s="32"/>
      <c r="E60" s="6"/>
      <c r="F60" s="6"/>
      <c r="G60" s="6"/>
      <c r="H60" s="26"/>
      <c r="I60" s="6"/>
      <c r="J60" s="6"/>
      <c r="K60" s="6"/>
      <c r="L60" s="26"/>
      <c r="M60" s="2"/>
      <c r="N60" s="3"/>
      <c r="O60" s="6"/>
      <c r="P60" s="26"/>
    </row>
    <row r="61" spans="1:16" x14ac:dyDescent="0.6">
      <c r="A61" s="2"/>
      <c r="B61" s="6"/>
      <c r="C61" s="6"/>
      <c r="D61" s="32"/>
      <c r="E61" s="6"/>
      <c r="F61" s="6"/>
      <c r="G61" s="6"/>
      <c r="H61" s="26"/>
      <c r="I61" s="6"/>
      <c r="J61" s="6"/>
      <c r="K61" s="6"/>
      <c r="L61" s="26"/>
      <c r="M61" s="2"/>
      <c r="N61" s="3"/>
      <c r="O61" s="6"/>
      <c r="P61" s="26"/>
    </row>
    <row r="62" spans="1:16" x14ac:dyDescent="0.6">
      <c r="A62" s="2"/>
      <c r="B62" s="6"/>
      <c r="C62" s="6"/>
      <c r="D62" s="32"/>
      <c r="E62" s="6"/>
      <c r="F62" s="6"/>
      <c r="G62" s="6"/>
      <c r="H62" s="26"/>
      <c r="I62" s="6"/>
      <c r="J62" s="6"/>
      <c r="K62" s="6"/>
      <c r="L62" s="26"/>
      <c r="M62" s="2"/>
      <c r="N62" s="3"/>
      <c r="O62" s="6"/>
      <c r="P62" s="26"/>
    </row>
    <row r="63" spans="1:16" x14ac:dyDescent="0.6">
      <c r="A63" s="2"/>
      <c r="B63" s="6"/>
      <c r="C63" s="6"/>
      <c r="D63" s="32"/>
      <c r="E63" s="6"/>
      <c r="F63" s="6"/>
      <c r="G63" s="6"/>
      <c r="H63" s="26"/>
      <c r="I63" s="6"/>
      <c r="J63" s="6"/>
      <c r="K63" s="6"/>
      <c r="L63" s="26"/>
      <c r="M63" s="2"/>
      <c r="N63" s="3"/>
      <c r="O63" s="6"/>
      <c r="P63" s="26"/>
    </row>
    <row r="64" spans="1:16" x14ac:dyDescent="0.6">
      <c r="A64" s="2"/>
      <c r="B64" s="6"/>
      <c r="C64" s="6"/>
      <c r="D64" s="32"/>
      <c r="E64" s="6"/>
      <c r="F64" s="6"/>
      <c r="G64" s="6"/>
      <c r="H64" s="26"/>
      <c r="I64" s="6"/>
      <c r="J64" s="6"/>
      <c r="K64" s="6"/>
      <c r="L64" s="26"/>
      <c r="M64" s="2"/>
      <c r="N64" s="3"/>
      <c r="O64" s="6"/>
      <c r="P64" s="26"/>
    </row>
    <row r="65" spans="1:16" x14ac:dyDescent="0.6">
      <c r="A65" s="2"/>
      <c r="B65" s="6"/>
      <c r="C65" s="6"/>
      <c r="D65" s="32"/>
      <c r="E65" s="6"/>
      <c r="F65" s="6"/>
      <c r="G65" s="6"/>
      <c r="H65" s="26"/>
      <c r="I65" s="6"/>
      <c r="J65" s="6"/>
      <c r="K65" s="6"/>
      <c r="L65" s="26"/>
      <c r="M65" s="2"/>
      <c r="N65" s="3"/>
      <c r="O65" s="6"/>
      <c r="P65" s="26"/>
    </row>
    <row r="66" spans="1:16" x14ac:dyDescent="0.6">
      <c r="A66" s="2"/>
      <c r="B66" s="6"/>
      <c r="C66" s="6"/>
      <c r="D66" s="32"/>
      <c r="E66" s="6"/>
      <c r="F66" s="6"/>
      <c r="G66" s="6"/>
      <c r="H66" s="26"/>
      <c r="I66" s="6"/>
      <c r="J66" s="6"/>
      <c r="K66" s="6"/>
      <c r="L66" s="26"/>
      <c r="M66" s="2"/>
      <c r="N66" s="3"/>
      <c r="O66" s="6"/>
      <c r="P66" s="26"/>
    </row>
    <row r="67" spans="1:16" x14ac:dyDescent="0.6">
      <c r="A67" s="2"/>
      <c r="B67" s="6"/>
      <c r="C67" s="6"/>
      <c r="D67" s="32"/>
      <c r="E67" s="6"/>
      <c r="F67" s="6"/>
      <c r="G67" s="6"/>
      <c r="H67" s="26"/>
      <c r="I67" s="6"/>
      <c r="J67" s="6"/>
      <c r="K67" s="6"/>
      <c r="L67" s="26"/>
      <c r="M67" s="2"/>
      <c r="N67" s="3"/>
      <c r="O67" s="6"/>
      <c r="P67" s="26"/>
    </row>
    <row r="68" spans="1:16" x14ac:dyDescent="0.6">
      <c r="A68" s="2"/>
      <c r="B68" s="6"/>
      <c r="C68" s="6"/>
      <c r="D68" s="32"/>
      <c r="E68" s="6"/>
      <c r="F68" s="6"/>
      <c r="G68" s="6"/>
      <c r="H68" s="26"/>
      <c r="I68" s="6"/>
      <c r="J68" s="6"/>
      <c r="K68" s="6"/>
      <c r="L68" s="26"/>
      <c r="M68" s="2"/>
      <c r="N68" s="4"/>
      <c r="O68" s="6"/>
      <c r="P68" s="26"/>
    </row>
    <row r="69" spans="1:16" x14ac:dyDescent="0.6">
      <c r="A69" s="2"/>
      <c r="B69" s="6"/>
      <c r="C69" s="6"/>
      <c r="D69" s="32"/>
      <c r="E69" s="6"/>
      <c r="F69" s="6"/>
      <c r="G69" s="6"/>
      <c r="H69" s="26"/>
      <c r="I69" s="6"/>
      <c r="J69" s="6"/>
      <c r="K69" s="6"/>
      <c r="L69" s="26"/>
      <c r="M69" s="2"/>
      <c r="N69" s="4"/>
      <c r="O69" s="6"/>
      <c r="P69" s="26"/>
    </row>
    <row r="70" spans="1:16" x14ac:dyDescent="0.6">
      <c r="A70" s="2"/>
      <c r="B70" s="6"/>
      <c r="C70" s="6"/>
      <c r="D70" s="33"/>
      <c r="E70" s="6"/>
      <c r="F70" s="6"/>
      <c r="G70" s="6"/>
      <c r="H70" s="26"/>
      <c r="I70" s="6"/>
      <c r="J70" s="6"/>
      <c r="K70" s="6"/>
      <c r="L70" s="26"/>
      <c r="M70" s="2"/>
      <c r="N70" s="4"/>
      <c r="O70" s="6"/>
      <c r="P70" s="26"/>
    </row>
  </sheetData>
  <mergeCells count="5">
    <mergeCell ref="A2:D2"/>
    <mergeCell ref="E2:H2"/>
    <mergeCell ref="I2:L2"/>
    <mergeCell ref="M2:P2"/>
    <mergeCell ref="B37:E3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D51F3-89DE-44B3-836A-21B1892AA33C}">
  <sheetPr>
    <tabColor rgb="FF00B0F0"/>
  </sheetPr>
  <dimension ref="A1:XFD70"/>
  <sheetViews>
    <sheetView zoomScale="115" zoomScaleNormal="115" workbookViewId="0">
      <pane xSplit="4" ySplit="3" topLeftCell="E35" activePane="bottomRight" state="frozen"/>
      <selection activeCell="F33" sqref="F33"/>
      <selection pane="topRight" activeCell="F33" sqref="F33"/>
      <selection pane="bottomLeft" activeCell="F33" sqref="F33"/>
      <selection pane="bottomRight" sqref="A1:XFD1048576"/>
    </sheetView>
  </sheetViews>
  <sheetFormatPr defaultRowHeight="23.4" x14ac:dyDescent="0.6"/>
  <cols>
    <col min="1" max="1" width="9.09765625" style="1" bestFit="1" customWidth="1"/>
    <col min="2" max="2" width="11.69921875" style="1" bestFit="1" customWidth="1"/>
    <col min="3" max="3" width="12.59765625" style="1" bestFit="1" customWidth="1"/>
    <col min="4" max="4" width="10.8984375" style="35" bestFit="1" customWidth="1"/>
    <col min="5" max="5" width="9.3984375" style="1" bestFit="1" customWidth="1"/>
    <col min="6" max="6" width="10.19921875" style="1" bestFit="1" customWidth="1"/>
    <col min="7" max="7" width="9.09765625" style="1" bestFit="1" customWidth="1"/>
    <col min="8" max="8" width="8.3984375" style="38" customWidth="1"/>
    <col min="9" max="9" width="9.09765625" style="1" bestFit="1" customWidth="1"/>
    <col min="10" max="10" width="10.19921875" style="1" bestFit="1" customWidth="1"/>
    <col min="11" max="11" width="9.09765625" style="1" bestFit="1" customWidth="1"/>
    <col min="12" max="12" width="7.8984375" style="38" bestFit="1" customWidth="1"/>
    <col min="13" max="13" width="9.09765625" style="1" bestFit="1" customWidth="1"/>
    <col min="14" max="14" width="10.19921875" style="1" bestFit="1" customWidth="1"/>
    <col min="15" max="15" width="10.19921875" style="134" bestFit="1" customWidth="1"/>
    <col min="16" max="16" width="8.3984375" style="38" customWidth="1"/>
    <col min="17" max="16383" width="8.69921875" style="1"/>
    <col min="16384" max="16384" width="9" style="1" bestFit="1" customWidth="1"/>
  </cols>
  <sheetData>
    <row r="1" spans="1:16" ht="28.8" x14ac:dyDescent="0.75">
      <c r="A1" s="48" t="s">
        <v>32</v>
      </c>
    </row>
    <row r="2" spans="1:16" s="18" customFormat="1" x14ac:dyDescent="0.6">
      <c r="A2" s="111" t="s">
        <v>0</v>
      </c>
      <c r="B2" s="111"/>
      <c r="C2" s="111"/>
      <c r="D2" s="111"/>
      <c r="E2" s="112" t="s">
        <v>1</v>
      </c>
      <c r="F2" s="112"/>
      <c r="G2" s="112"/>
      <c r="H2" s="112"/>
      <c r="I2" s="113" t="s">
        <v>2</v>
      </c>
      <c r="J2" s="113"/>
      <c r="K2" s="113"/>
      <c r="L2" s="113"/>
      <c r="M2" s="114" t="s">
        <v>3</v>
      </c>
      <c r="N2" s="114"/>
      <c r="O2" s="114"/>
      <c r="P2" s="114"/>
    </row>
    <row r="3" spans="1:16" s="22" customFormat="1" x14ac:dyDescent="0.25">
      <c r="A3" s="23" t="s">
        <v>4</v>
      </c>
      <c r="B3" s="23" t="s">
        <v>5</v>
      </c>
      <c r="C3" s="23" t="s">
        <v>6</v>
      </c>
      <c r="D3" s="25" t="s">
        <v>7</v>
      </c>
      <c r="E3" s="19" t="s">
        <v>4</v>
      </c>
      <c r="F3" s="19" t="s">
        <v>5</v>
      </c>
      <c r="G3" s="19" t="s">
        <v>6</v>
      </c>
      <c r="H3" s="27" t="s">
        <v>7</v>
      </c>
      <c r="I3" s="20" t="s">
        <v>4</v>
      </c>
      <c r="J3" s="20" t="s">
        <v>5</v>
      </c>
      <c r="K3" s="20" t="s">
        <v>6</v>
      </c>
      <c r="L3" s="30" t="s">
        <v>7</v>
      </c>
      <c r="M3" s="21" t="s">
        <v>4</v>
      </c>
      <c r="N3" s="21" t="s">
        <v>5</v>
      </c>
      <c r="O3" s="135" t="s">
        <v>6</v>
      </c>
      <c r="P3" s="31" t="s">
        <v>7</v>
      </c>
    </row>
    <row r="4" spans="1:16" x14ac:dyDescent="0.6">
      <c r="A4" s="24">
        <v>45962</v>
      </c>
      <c r="B4" s="3">
        <v>30921.4</v>
      </c>
      <c r="C4" s="3">
        <v>4986.6000000000004</v>
      </c>
      <c r="D4" s="32">
        <f>+C4/B4</f>
        <v>0.16126695427762003</v>
      </c>
      <c r="E4" s="24">
        <v>45962</v>
      </c>
      <c r="F4" s="3">
        <v>13323</v>
      </c>
      <c r="G4" s="3">
        <v>1645.6</v>
      </c>
      <c r="H4" s="32">
        <f>+G4/F4</f>
        <v>0.12351572468663213</v>
      </c>
      <c r="I4" s="24">
        <v>45962</v>
      </c>
      <c r="J4" s="3">
        <v>4938.1000000000004</v>
      </c>
      <c r="K4" s="3">
        <v>501.52</v>
      </c>
      <c r="L4" s="32">
        <f>+K4/J4</f>
        <v>0.10156132925619164</v>
      </c>
      <c r="M4" s="24">
        <v>45962</v>
      </c>
      <c r="N4" s="3">
        <v>13025</v>
      </c>
      <c r="O4" s="103">
        <v>2781.24</v>
      </c>
      <c r="P4" s="32">
        <f>+O4/N4</f>
        <v>0.21353090211132436</v>
      </c>
    </row>
    <row r="5" spans="1:16" x14ac:dyDescent="0.6">
      <c r="A5" s="24">
        <v>45963</v>
      </c>
      <c r="B5" s="3">
        <v>41881.120000000003</v>
      </c>
      <c r="C5" s="3">
        <v>6723.5</v>
      </c>
      <c r="D5" s="32">
        <f t="shared" ref="D5:D34" si="0">+C5/B5</f>
        <v>0.1605377315601875</v>
      </c>
      <c r="E5" s="24">
        <v>45963</v>
      </c>
      <c r="F5" s="3">
        <v>10118</v>
      </c>
      <c r="G5" s="3">
        <v>2213.89</v>
      </c>
      <c r="H5" s="32">
        <f t="shared" ref="H5:H34" si="1">+G5/F5</f>
        <v>0.21880707649733147</v>
      </c>
      <c r="I5" s="24">
        <v>45963</v>
      </c>
      <c r="J5" s="5">
        <v>6569.4</v>
      </c>
      <c r="K5" s="3">
        <v>501.52</v>
      </c>
      <c r="L5" s="32">
        <f t="shared" ref="L5:L34" si="2">+K5/J5</f>
        <v>7.6341827259719303E-2</v>
      </c>
      <c r="M5" s="24">
        <v>45963</v>
      </c>
      <c r="N5" s="3">
        <v>9773</v>
      </c>
      <c r="O5" s="103">
        <v>1482.85</v>
      </c>
      <c r="P5" s="32">
        <f t="shared" ref="P5:P34" si="3">+O5/N5</f>
        <v>0.15172925406732835</v>
      </c>
    </row>
    <row r="6" spans="1:16" x14ac:dyDescent="0.6">
      <c r="A6" s="24">
        <v>45964</v>
      </c>
      <c r="B6" s="3">
        <v>32491.74</v>
      </c>
      <c r="C6" s="3">
        <v>3824.22</v>
      </c>
      <c r="D6" s="32">
        <f t="shared" si="0"/>
        <v>0.11769822114789788</v>
      </c>
      <c r="E6" s="24">
        <v>45964</v>
      </c>
      <c r="F6" s="3">
        <v>9095</v>
      </c>
      <c r="G6" s="3">
        <v>1009.39</v>
      </c>
      <c r="H6" s="32">
        <f t="shared" si="1"/>
        <v>0.11098295766904892</v>
      </c>
      <c r="I6" s="24">
        <v>45964</v>
      </c>
      <c r="J6" s="5">
        <v>3250.03</v>
      </c>
      <c r="K6" s="3">
        <v>499.82</v>
      </c>
      <c r="L6" s="32">
        <f t="shared" si="2"/>
        <v>0.15378934963677257</v>
      </c>
      <c r="M6" s="24">
        <v>45964</v>
      </c>
      <c r="N6" s="3">
        <v>9542</v>
      </c>
      <c r="O6" s="103">
        <v>2081.9</v>
      </c>
      <c r="P6" s="32">
        <f t="shared" si="3"/>
        <v>0.21818277090756655</v>
      </c>
    </row>
    <row r="7" spans="1:16" x14ac:dyDescent="0.6">
      <c r="A7" s="24">
        <v>45965</v>
      </c>
      <c r="B7" s="3">
        <v>30496.35</v>
      </c>
      <c r="C7" s="3">
        <v>3362.85</v>
      </c>
      <c r="D7" s="32">
        <f t="shared" si="0"/>
        <v>0.11027057336369762</v>
      </c>
      <c r="E7" s="24">
        <v>45965</v>
      </c>
      <c r="F7" s="3">
        <v>6167</v>
      </c>
      <c r="G7" s="3">
        <v>0</v>
      </c>
      <c r="H7" s="32">
        <f t="shared" si="1"/>
        <v>0</v>
      </c>
      <c r="I7" s="24">
        <v>45965</v>
      </c>
      <c r="J7" s="5">
        <v>2955.45</v>
      </c>
      <c r="K7" s="3">
        <v>592.33000000000004</v>
      </c>
      <c r="L7" s="32">
        <f t="shared" si="2"/>
        <v>0.20041956385660392</v>
      </c>
      <c r="M7" s="24">
        <v>45965</v>
      </c>
      <c r="N7" s="3">
        <v>7896</v>
      </c>
      <c r="O7" s="103">
        <v>1359.6</v>
      </c>
      <c r="P7" s="32">
        <f t="shared" si="3"/>
        <v>0.17218844984802431</v>
      </c>
    </row>
    <row r="8" spans="1:16" x14ac:dyDescent="0.6">
      <c r="A8" s="24">
        <v>45966</v>
      </c>
      <c r="B8" s="3">
        <v>40459.730000000003</v>
      </c>
      <c r="C8" s="3">
        <v>6020.32</v>
      </c>
      <c r="D8" s="32">
        <f t="shared" si="0"/>
        <v>0.14879782934784783</v>
      </c>
      <c r="E8" s="24">
        <v>45966</v>
      </c>
      <c r="F8" s="3">
        <v>4291</v>
      </c>
      <c r="G8" s="3">
        <v>0</v>
      </c>
      <c r="H8" s="32">
        <f t="shared" si="1"/>
        <v>0</v>
      </c>
      <c r="I8" s="24">
        <v>45966</v>
      </c>
      <c r="J8" s="5">
        <v>6468.15</v>
      </c>
      <c r="K8" s="3">
        <v>597.98</v>
      </c>
      <c r="L8" s="32">
        <f t="shared" si="2"/>
        <v>9.2449927722764627E-2</v>
      </c>
      <c r="M8" s="24">
        <v>45966</v>
      </c>
      <c r="N8" s="3">
        <v>8786</v>
      </c>
      <c r="O8" s="103">
        <v>982.32</v>
      </c>
      <c r="P8" s="32">
        <f t="shared" si="3"/>
        <v>0.11180514454814477</v>
      </c>
    </row>
    <row r="9" spans="1:16" x14ac:dyDescent="0.6">
      <c r="A9" s="24">
        <v>45967</v>
      </c>
      <c r="B9" s="3">
        <v>30317.51</v>
      </c>
      <c r="C9" s="3">
        <v>4165.8999999999996</v>
      </c>
      <c r="D9" s="32">
        <f t="shared" si="0"/>
        <v>0.13740904183753877</v>
      </c>
      <c r="E9" s="24">
        <v>45967</v>
      </c>
      <c r="F9" s="3">
        <v>43770</v>
      </c>
      <c r="G9" s="3">
        <v>0</v>
      </c>
      <c r="H9" s="32">
        <f t="shared" si="1"/>
        <v>0</v>
      </c>
      <c r="I9" s="24">
        <v>45967</v>
      </c>
      <c r="J9" s="3">
        <v>8035.35</v>
      </c>
      <c r="K9" s="3">
        <v>602.22</v>
      </c>
      <c r="L9" s="32">
        <f t="shared" si="2"/>
        <v>7.4946330900334146E-2</v>
      </c>
      <c r="M9" s="24">
        <v>45967</v>
      </c>
      <c r="N9" s="3">
        <v>5965</v>
      </c>
      <c r="O9" s="103">
        <v>929</v>
      </c>
      <c r="P9" s="32">
        <f t="shared" si="3"/>
        <v>0.15574182732606873</v>
      </c>
    </row>
    <row r="10" spans="1:16" x14ac:dyDescent="0.6">
      <c r="A10" s="24">
        <v>45968</v>
      </c>
      <c r="B10" s="3">
        <v>35370.11</v>
      </c>
      <c r="C10" s="3">
        <v>4920.08</v>
      </c>
      <c r="D10" s="32">
        <f t="shared" si="0"/>
        <v>0.13910276219101381</v>
      </c>
      <c r="E10" s="24">
        <v>45968</v>
      </c>
      <c r="F10" s="3">
        <v>10545</v>
      </c>
      <c r="G10" s="3">
        <v>0</v>
      </c>
      <c r="H10" s="32">
        <f t="shared" si="1"/>
        <v>0</v>
      </c>
      <c r="I10" s="24">
        <v>45968</v>
      </c>
      <c r="J10" s="3">
        <v>1478.5</v>
      </c>
      <c r="K10" s="4">
        <v>594</v>
      </c>
      <c r="L10" s="32">
        <f t="shared" si="2"/>
        <v>0.40175853905985798</v>
      </c>
      <c r="M10" s="24">
        <v>45968</v>
      </c>
      <c r="N10" s="3">
        <v>5849</v>
      </c>
      <c r="O10" s="103">
        <v>606</v>
      </c>
      <c r="P10" s="32">
        <f t="shared" si="3"/>
        <v>0.10360745426568645</v>
      </c>
    </row>
    <row r="11" spans="1:16" x14ac:dyDescent="0.6">
      <c r="A11" s="24">
        <v>45969</v>
      </c>
      <c r="B11" s="3">
        <v>35494.339999999997</v>
      </c>
      <c r="C11" s="3">
        <v>5361.97</v>
      </c>
      <c r="D11" s="32">
        <f t="shared" si="0"/>
        <v>0.15106549382239537</v>
      </c>
      <c r="E11" s="24">
        <v>45969</v>
      </c>
      <c r="F11" s="3">
        <v>9140</v>
      </c>
      <c r="G11" s="4">
        <v>0</v>
      </c>
      <c r="H11" s="32">
        <f t="shared" si="1"/>
        <v>0</v>
      </c>
      <c r="I11" s="24">
        <v>45969</v>
      </c>
      <c r="J11" s="3">
        <v>4580.55</v>
      </c>
      <c r="K11" s="4">
        <v>595.95000000000005</v>
      </c>
      <c r="L11" s="32">
        <f t="shared" si="2"/>
        <v>0.13010446343779677</v>
      </c>
      <c r="M11" s="24">
        <v>45969</v>
      </c>
      <c r="N11" s="3">
        <v>2895</v>
      </c>
      <c r="O11" s="103">
        <v>524.77</v>
      </c>
      <c r="P11" s="32">
        <f t="shared" si="3"/>
        <v>0.1812677029360967</v>
      </c>
    </row>
    <row r="12" spans="1:16" x14ac:dyDescent="0.6">
      <c r="A12" s="24">
        <v>45970</v>
      </c>
      <c r="B12" s="3">
        <v>52014.96</v>
      </c>
      <c r="C12" s="3">
        <v>8503.26</v>
      </c>
      <c r="D12" s="32">
        <f t="shared" si="0"/>
        <v>0.1634771996364123</v>
      </c>
      <c r="E12" s="24">
        <v>45970</v>
      </c>
      <c r="F12" s="3">
        <v>14443</v>
      </c>
      <c r="G12" s="4">
        <v>901.73</v>
      </c>
      <c r="H12" s="32">
        <f t="shared" si="1"/>
        <v>6.2433704908952434E-2</v>
      </c>
      <c r="I12" s="24">
        <v>45970</v>
      </c>
      <c r="J12" s="3">
        <v>2447.5</v>
      </c>
      <c r="K12" s="4">
        <v>600.04</v>
      </c>
      <c r="L12" s="32">
        <f t="shared" si="2"/>
        <v>0.24516445352400407</v>
      </c>
      <c r="M12" s="24">
        <v>45970</v>
      </c>
      <c r="N12" s="3">
        <v>6899</v>
      </c>
      <c r="O12" s="103">
        <v>529.5</v>
      </c>
      <c r="P12" s="32">
        <f t="shared" si="3"/>
        <v>7.6750253659950723E-2</v>
      </c>
    </row>
    <row r="13" spans="1:16" x14ac:dyDescent="0.6">
      <c r="A13" s="24">
        <v>45971</v>
      </c>
      <c r="B13" s="3">
        <v>40747.440000000002</v>
      </c>
      <c r="C13" s="3">
        <v>6376.28</v>
      </c>
      <c r="D13" s="32">
        <f t="shared" si="0"/>
        <v>0.15648295942027277</v>
      </c>
      <c r="E13" s="24">
        <v>45971</v>
      </c>
      <c r="F13" s="3">
        <v>14949</v>
      </c>
      <c r="G13" s="4">
        <v>951.63</v>
      </c>
      <c r="H13" s="32">
        <f t="shared" si="1"/>
        <v>6.3658438691551272E-2</v>
      </c>
      <c r="I13" s="24">
        <v>45971</v>
      </c>
      <c r="J13" s="3">
        <v>6354.01</v>
      </c>
      <c r="K13" s="4">
        <v>582.14</v>
      </c>
      <c r="L13" s="32">
        <f t="shared" si="2"/>
        <v>9.1617734312662388E-2</v>
      </c>
      <c r="M13" s="24">
        <v>45971</v>
      </c>
      <c r="N13" s="3">
        <v>2598</v>
      </c>
      <c r="O13" s="103">
        <v>779.18</v>
      </c>
      <c r="P13" s="32">
        <f t="shared" si="3"/>
        <v>0.29991531947652039</v>
      </c>
    </row>
    <row r="14" spans="1:16" x14ac:dyDescent="0.6">
      <c r="A14" s="24">
        <v>45972</v>
      </c>
      <c r="B14" s="3">
        <v>51479.47</v>
      </c>
      <c r="C14" s="3">
        <v>7499.75</v>
      </c>
      <c r="D14" s="32">
        <f t="shared" si="0"/>
        <v>0.14568428929046862</v>
      </c>
      <c r="E14" s="24">
        <v>45972</v>
      </c>
      <c r="F14" s="3">
        <v>16024</v>
      </c>
      <c r="G14" s="104">
        <v>892.76</v>
      </c>
      <c r="H14" s="32">
        <f t="shared" si="1"/>
        <v>5.5713929106340487E-2</v>
      </c>
      <c r="I14" s="24">
        <v>45972</v>
      </c>
      <c r="J14" s="105">
        <v>10011.790000000001</v>
      </c>
      <c r="K14" s="106">
        <v>595.48</v>
      </c>
      <c r="L14" s="32">
        <f t="shared" si="2"/>
        <v>5.9477875584685654E-2</v>
      </c>
      <c r="M14" s="24">
        <v>45972</v>
      </c>
      <c r="N14" s="105">
        <v>7247</v>
      </c>
      <c r="O14" s="136">
        <v>906.92</v>
      </c>
      <c r="P14" s="32">
        <f t="shared" si="3"/>
        <v>0.12514419759900647</v>
      </c>
    </row>
    <row r="15" spans="1:16" x14ac:dyDescent="0.6">
      <c r="A15" s="24">
        <v>45973</v>
      </c>
      <c r="B15" s="3">
        <v>31468.12</v>
      </c>
      <c r="C15" s="3">
        <v>4768.24</v>
      </c>
      <c r="D15" s="32">
        <f t="shared" si="0"/>
        <v>0.15152605239842737</v>
      </c>
      <c r="E15" s="24">
        <v>45973</v>
      </c>
      <c r="F15" s="3">
        <v>2161</v>
      </c>
      <c r="G15" s="104">
        <v>865.22</v>
      </c>
      <c r="H15" s="32">
        <f t="shared" si="1"/>
        <v>0.40037945395650165</v>
      </c>
      <c r="I15" s="24">
        <v>45973</v>
      </c>
      <c r="J15" s="105">
        <v>6641.73</v>
      </c>
      <c r="K15" s="106">
        <v>600.66</v>
      </c>
      <c r="L15" s="32">
        <f t="shared" si="2"/>
        <v>9.0437280648264839E-2</v>
      </c>
      <c r="M15" s="24">
        <v>45973</v>
      </c>
      <c r="N15" s="105">
        <v>5459</v>
      </c>
      <c r="O15" s="136">
        <v>2190.33</v>
      </c>
      <c r="P15" s="32">
        <f t="shared" si="3"/>
        <v>0.40123282652500458</v>
      </c>
    </row>
    <row r="16" spans="1:16" x14ac:dyDescent="0.6">
      <c r="A16" s="24">
        <v>45974</v>
      </c>
      <c r="B16" s="107">
        <v>26580.41</v>
      </c>
      <c r="C16" s="3">
        <v>3937.7</v>
      </c>
      <c r="D16" s="32">
        <f t="shared" si="0"/>
        <v>0.14814293684709903</v>
      </c>
      <c r="E16" s="24">
        <v>45974</v>
      </c>
      <c r="F16" s="3">
        <v>48373</v>
      </c>
      <c r="G16" s="4">
        <v>860.86</v>
      </c>
      <c r="H16" s="32">
        <f t="shared" si="1"/>
        <v>1.779629131953776E-2</v>
      </c>
      <c r="I16" s="24">
        <v>45974</v>
      </c>
      <c r="J16" s="3">
        <v>6455.93</v>
      </c>
      <c r="K16" s="3">
        <v>600.05999999999995</v>
      </c>
      <c r="L16" s="32">
        <f t="shared" si="2"/>
        <v>9.2947104445060574E-2</v>
      </c>
      <c r="M16" s="24">
        <v>45974</v>
      </c>
      <c r="N16" s="3">
        <v>6445</v>
      </c>
      <c r="O16" s="103">
        <v>2024.57</v>
      </c>
      <c r="P16" s="32">
        <f t="shared" si="3"/>
        <v>0.31413033359193171</v>
      </c>
    </row>
    <row r="17" spans="1:16" x14ac:dyDescent="0.6">
      <c r="A17" s="24">
        <v>45975</v>
      </c>
      <c r="B17" s="3">
        <v>23940.69</v>
      </c>
      <c r="C17" s="3">
        <v>3630.64</v>
      </c>
      <c r="D17" s="32">
        <f t="shared" si="0"/>
        <v>0.15165143527609271</v>
      </c>
      <c r="E17" s="24">
        <v>45975</v>
      </c>
      <c r="F17" s="3">
        <v>4202</v>
      </c>
      <c r="G17" s="4">
        <v>857.99</v>
      </c>
      <c r="H17" s="32">
        <f t="shared" si="1"/>
        <v>0.20418610185625893</v>
      </c>
      <c r="I17" s="24">
        <v>45975</v>
      </c>
      <c r="J17" s="3">
        <v>2870.95</v>
      </c>
      <c r="K17" s="3">
        <v>599.91999999999996</v>
      </c>
      <c r="L17" s="32">
        <f t="shared" si="2"/>
        <v>0.20896219021578222</v>
      </c>
      <c r="M17" s="24">
        <v>45975</v>
      </c>
      <c r="N17" s="3">
        <v>7197</v>
      </c>
      <c r="O17" s="103">
        <v>1587.18</v>
      </c>
      <c r="P17" s="32">
        <f t="shared" si="3"/>
        <v>0.22053355564818675</v>
      </c>
    </row>
    <row r="18" spans="1:16" x14ac:dyDescent="0.6">
      <c r="A18" s="24">
        <v>45976</v>
      </c>
      <c r="B18" s="3">
        <v>32570.67</v>
      </c>
      <c r="C18" s="3">
        <v>5468.53</v>
      </c>
      <c r="D18" s="32">
        <f t="shared" si="0"/>
        <v>0.167897375153781</v>
      </c>
      <c r="E18" s="24">
        <v>45976</v>
      </c>
      <c r="F18" s="3">
        <v>9616</v>
      </c>
      <c r="G18" s="3">
        <v>661.62</v>
      </c>
      <c r="H18" s="32">
        <f t="shared" si="1"/>
        <v>6.8804076539101491E-2</v>
      </c>
      <c r="I18" s="24">
        <v>45976</v>
      </c>
      <c r="J18" s="3">
        <v>3516.05</v>
      </c>
      <c r="K18" s="3">
        <v>599.66</v>
      </c>
      <c r="L18" s="32">
        <f t="shared" si="2"/>
        <v>0.17054933803557967</v>
      </c>
      <c r="M18" s="24">
        <v>45976</v>
      </c>
      <c r="N18" s="3">
        <v>4572</v>
      </c>
      <c r="O18" s="103">
        <v>1293.8399999999999</v>
      </c>
      <c r="P18" s="32">
        <f t="shared" si="3"/>
        <v>0.28299212598425194</v>
      </c>
    </row>
    <row r="19" spans="1:16" x14ac:dyDescent="0.6">
      <c r="A19" s="24">
        <v>45977</v>
      </c>
      <c r="B19" s="3">
        <v>36951.54</v>
      </c>
      <c r="C19" s="3">
        <v>5935.44</v>
      </c>
      <c r="D19" s="32">
        <f t="shared" si="0"/>
        <v>0.16062767614015544</v>
      </c>
      <c r="E19" s="24">
        <v>45977</v>
      </c>
      <c r="F19" s="3">
        <v>8499</v>
      </c>
      <c r="G19" s="3">
        <v>988</v>
      </c>
      <c r="H19" s="32">
        <f t="shared" si="1"/>
        <v>0.11624897046711377</v>
      </c>
      <c r="I19" s="24">
        <v>45977</v>
      </c>
      <c r="J19" s="3">
        <v>3220.12</v>
      </c>
      <c r="K19" s="3">
        <v>588.01</v>
      </c>
      <c r="L19" s="32">
        <f t="shared" si="2"/>
        <v>0.18260499608710234</v>
      </c>
      <c r="M19" s="24">
        <v>45977</v>
      </c>
      <c r="N19" s="3">
        <v>5752</v>
      </c>
      <c r="O19" s="103">
        <v>1109.96</v>
      </c>
      <c r="P19" s="32">
        <f t="shared" si="3"/>
        <v>0.19296940194714882</v>
      </c>
    </row>
    <row r="20" spans="1:16" x14ac:dyDescent="0.6">
      <c r="A20" s="24">
        <v>45978</v>
      </c>
      <c r="B20" s="3">
        <v>29147.040000000001</v>
      </c>
      <c r="C20" s="3">
        <v>5350.47</v>
      </c>
      <c r="D20" s="32">
        <f t="shared" si="0"/>
        <v>0.18356821138613047</v>
      </c>
      <c r="E20" s="24">
        <v>45978</v>
      </c>
      <c r="F20" s="3">
        <v>1888</v>
      </c>
      <c r="G20" s="3">
        <v>1018.88</v>
      </c>
      <c r="H20" s="32">
        <f t="shared" si="1"/>
        <v>0.53966101694915258</v>
      </c>
      <c r="I20" s="24">
        <v>45978</v>
      </c>
      <c r="J20" s="3">
        <v>2769.75</v>
      </c>
      <c r="K20" s="3">
        <v>401.09</v>
      </c>
      <c r="L20" s="32">
        <f t="shared" si="2"/>
        <v>0.1448109035111472</v>
      </c>
      <c r="M20" s="24">
        <v>45978</v>
      </c>
      <c r="N20" s="3">
        <v>7705</v>
      </c>
      <c r="O20" s="103">
        <v>1189.58</v>
      </c>
      <c r="P20" s="32">
        <f t="shared" si="3"/>
        <v>0.15439065541855937</v>
      </c>
    </row>
    <row r="21" spans="1:16" x14ac:dyDescent="0.6">
      <c r="A21" s="24">
        <v>45979</v>
      </c>
      <c r="B21" s="3">
        <v>36807.5</v>
      </c>
      <c r="C21" s="3">
        <v>5533.79</v>
      </c>
      <c r="D21" s="32">
        <f t="shared" si="0"/>
        <v>0.15034408748217076</v>
      </c>
      <c r="E21" s="24">
        <v>45979</v>
      </c>
      <c r="F21" s="3">
        <v>5425</v>
      </c>
      <c r="G21" s="4">
        <v>926.37</v>
      </c>
      <c r="H21" s="32">
        <f t="shared" si="1"/>
        <v>0.17075944700460829</v>
      </c>
      <c r="I21" s="24">
        <v>45979</v>
      </c>
      <c r="J21" s="3">
        <v>3306.4</v>
      </c>
      <c r="K21" s="4">
        <v>501.14</v>
      </c>
      <c r="L21" s="32">
        <f t="shared" si="2"/>
        <v>0.15156665860150012</v>
      </c>
      <c r="M21" s="24">
        <v>45979</v>
      </c>
      <c r="N21" s="3">
        <v>5651</v>
      </c>
      <c r="O21" s="103">
        <v>763.5</v>
      </c>
      <c r="P21" s="32">
        <f t="shared" si="3"/>
        <v>0.13510883029552292</v>
      </c>
    </row>
    <row r="22" spans="1:16" x14ac:dyDescent="0.6">
      <c r="A22" s="24">
        <v>45980</v>
      </c>
      <c r="B22" s="3">
        <v>23617.58</v>
      </c>
      <c r="C22" s="3">
        <v>3366.71</v>
      </c>
      <c r="D22" s="32">
        <f t="shared" si="0"/>
        <v>0.14255101496427661</v>
      </c>
      <c r="E22" s="24">
        <v>45980</v>
      </c>
      <c r="F22" s="3">
        <v>7819</v>
      </c>
      <c r="G22" s="4">
        <v>1164.5</v>
      </c>
      <c r="H22" s="32">
        <f t="shared" si="1"/>
        <v>0.14893208850236603</v>
      </c>
      <c r="I22" s="24">
        <v>45980</v>
      </c>
      <c r="J22" s="3">
        <v>5420.85</v>
      </c>
      <c r="K22" s="4">
        <v>500.69</v>
      </c>
      <c r="L22" s="32">
        <f t="shared" si="2"/>
        <v>9.2363743693332223E-2</v>
      </c>
      <c r="M22" s="24">
        <v>45980</v>
      </c>
      <c r="N22" s="3">
        <v>7782</v>
      </c>
      <c r="O22" s="103">
        <v>577.64</v>
      </c>
      <c r="P22" s="32">
        <f t="shared" si="3"/>
        <v>7.4227704960164481E-2</v>
      </c>
    </row>
    <row r="23" spans="1:16" x14ac:dyDescent="0.6">
      <c r="A23" s="24">
        <v>45981</v>
      </c>
      <c r="B23" s="3">
        <v>26413.23</v>
      </c>
      <c r="C23" s="3">
        <v>3543.07</v>
      </c>
      <c r="D23" s="32">
        <f t="shared" si="0"/>
        <v>0.1341399745506324</v>
      </c>
      <c r="E23" s="24">
        <v>45981</v>
      </c>
      <c r="F23" s="6">
        <v>44882</v>
      </c>
      <c r="G23" s="3">
        <v>1037.3800000000001</v>
      </c>
      <c r="H23" s="32">
        <f t="shared" si="1"/>
        <v>2.3113497615970771E-2</v>
      </c>
      <c r="I23" s="24">
        <v>45981</v>
      </c>
      <c r="J23" s="3">
        <v>4530.8</v>
      </c>
      <c r="K23" s="4">
        <v>501.51</v>
      </c>
      <c r="L23" s="32">
        <f t="shared" si="2"/>
        <v>0.11068906153438686</v>
      </c>
      <c r="M23" s="24">
        <v>45981</v>
      </c>
      <c r="N23" s="3">
        <v>2012</v>
      </c>
      <c r="O23" s="103">
        <v>425.42</v>
      </c>
      <c r="P23" s="32">
        <f t="shared" si="3"/>
        <v>0.211441351888668</v>
      </c>
    </row>
    <row r="24" spans="1:16" x14ac:dyDescent="0.6">
      <c r="A24" s="24">
        <v>45982</v>
      </c>
      <c r="B24" s="3">
        <v>41856.449999999997</v>
      </c>
      <c r="C24" s="3">
        <v>6003.24</v>
      </c>
      <c r="D24" s="32">
        <f t="shared" si="0"/>
        <v>0.14342449013234521</v>
      </c>
      <c r="E24" s="24">
        <v>45982</v>
      </c>
      <c r="F24" s="3">
        <v>6519</v>
      </c>
      <c r="G24" s="6">
        <v>1147.5</v>
      </c>
      <c r="H24" s="32">
        <f t="shared" si="1"/>
        <v>0.17602393005062125</v>
      </c>
      <c r="I24" s="24">
        <v>45982</v>
      </c>
      <c r="J24" s="3">
        <v>2281.9499999999998</v>
      </c>
      <c r="K24" s="4">
        <v>501.4</v>
      </c>
      <c r="L24" s="32">
        <f t="shared" si="2"/>
        <v>0.21972435855299197</v>
      </c>
      <c r="M24" s="24">
        <v>45982</v>
      </c>
      <c r="N24" s="3">
        <v>4615</v>
      </c>
      <c r="O24" s="103">
        <v>669.98</v>
      </c>
      <c r="P24" s="32">
        <f t="shared" si="3"/>
        <v>0.14517443120260021</v>
      </c>
    </row>
    <row r="25" spans="1:16" x14ac:dyDescent="0.6">
      <c r="A25" s="24">
        <v>45983</v>
      </c>
      <c r="B25" s="3">
        <v>24291.46</v>
      </c>
      <c r="C25" s="3">
        <v>2508.0700000000002</v>
      </c>
      <c r="D25" s="32">
        <f t="shared" si="0"/>
        <v>0.10324904307933735</v>
      </c>
      <c r="E25" s="24">
        <v>45983</v>
      </c>
      <c r="F25" s="3">
        <v>7868</v>
      </c>
      <c r="G25" s="6">
        <v>1065.82</v>
      </c>
      <c r="H25" s="32">
        <f t="shared" si="1"/>
        <v>0.13546263345195728</v>
      </c>
      <c r="I25" s="24">
        <v>45983</v>
      </c>
      <c r="J25" s="3">
        <v>3366.95</v>
      </c>
      <c r="K25" s="6">
        <v>499.97</v>
      </c>
      <c r="L25" s="32">
        <f t="shared" si="2"/>
        <v>0.14849344362108141</v>
      </c>
      <c r="M25" s="24">
        <v>45983</v>
      </c>
      <c r="N25" s="3">
        <v>6008</v>
      </c>
      <c r="O25" s="103">
        <v>580.6</v>
      </c>
      <c r="P25" s="32">
        <f t="shared" si="3"/>
        <v>9.6637816245006655E-2</v>
      </c>
    </row>
    <row r="26" spans="1:16" x14ac:dyDescent="0.6">
      <c r="A26" s="24">
        <v>45984</v>
      </c>
      <c r="B26" s="3">
        <v>33439.730000000003</v>
      </c>
      <c r="C26" s="3">
        <v>3944.74</v>
      </c>
      <c r="D26" s="32">
        <f t="shared" si="0"/>
        <v>0.11796566539263324</v>
      </c>
      <c r="E26" s="24">
        <v>45984</v>
      </c>
      <c r="F26" s="3">
        <v>8215</v>
      </c>
      <c r="G26" s="6">
        <v>1333.06</v>
      </c>
      <c r="H26" s="32">
        <f t="shared" si="1"/>
        <v>0.16227145465611686</v>
      </c>
      <c r="I26" s="24">
        <v>45984</v>
      </c>
      <c r="J26" s="3">
        <v>3547.95</v>
      </c>
      <c r="K26" s="6">
        <v>403.01</v>
      </c>
      <c r="L26" s="32">
        <f t="shared" si="2"/>
        <v>0.11358953762031596</v>
      </c>
      <c r="M26" s="24">
        <v>45984</v>
      </c>
      <c r="N26" s="3">
        <v>6022</v>
      </c>
      <c r="O26" s="103">
        <v>536</v>
      </c>
      <c r="P26" s="32">
        <f t="shared" si="3"/>
        <v>8.9006974427100635E-2</v>
      </c>
    </row>
    <row r="27" spans="1:16" x14ac:dyDescent="0.6">
      <c r="A27" s="24">
        <v>45985</v>
      </c>
      <c r="B27" s="3">
        <v>37655.97</v>
      </c>
      <c r="C27" s="3">
        <v>4275.34</v>
      </c>
      <c r="D27" s="32">
        <f t="shared" si="0"/>
        <v>0.1135368442241695</v>
      </c>
      <c r="E27" s="24">
        <v>45985</v>
      </c>
      <c r="F27" s="103">
        <v>4209</v>
      </c>
      <c r="G27" s="6">
        <v>1390.18</v>
      </c>
      <c r="H27" s="32">
        <f t="shared" si="1"/>
        <v>0.3302874792112141</v>
      </c>
      <c r="I27" s="24">
        <v>45985</v>
      </c>
      <c r="J27" s="3">
        <v>4474.29</v>
      </c>
      <c r="K27" s="6">
        <v>400.57</v>
      </c>
      <c r="L27" s="32">
        <f t="shared" si="2"/>
        <v>8.9527053454291072E-2</v>
      </c>
      <c r="M27" s="24">
        <v>45985</v>
      </c>
      <c r="N27" s="3">
        <v>3645</v>
      </c>
      <c r="O27" s="103">
        <v>577</v>
      </c>
      <c r="P27" s="32">
        <f t="shared" si="3"/>
        <v>0.15829903978052126</v>
      </c>
    </row>
    <row r="28" spans="1:16" x14ac:dyDescent="0.6">
      <c r="A28" s="24">
        <v>45986</v>
      </c>
      <c r="B28" s="3">
        <v>24816.29</v>
      </c>
      <c r="C28" s="4">
        <v>3127.46</v>
      </c>
      <c r="D28" s="32">
        <f t="shared" si="0"/>
        <v>0.12602447827616456</v>
      </c>
      <c r="E28" s="24">
        <v>45986</v>
      </c>
      <c r="F28" s="103">
        <v>8608</v>
      </c>
      <c r="G28" s="6">
        <v>1308</v>
      </c>
      <c r="H28" s="32">
        <f t="shared" si="1"/>
        <v>0.15195167286245354</v>
      </c>
      <c r="I28" s="24">
        <v>45986</v>
      </c>
      <c r="J28" s="3">
        <v>5365.38</v>
      </c>
      <c r="K28" s="6">
        <v>396.76</v>
      </c>
      <c r="L28" s="32">
        <f t="shared" si="2"/>
        <v>7.394816396974678E-2</v>
      </c>
      <c r="M28" s="24">
        <v>45986</v>
      </c>
      <c r="N28" s="3">
        <v>5092</v>
      </c>
      <c r="O28" s="103">
        <v>683.23</v>
      </c>
      <c r="P28" s="32">
        <f t="shared" si="3"/>
        <v>0.13417714061272584</v>
      </c>
    </row>
    <row r="29" spans="1:16" x14ac:dyDescent="0.6">
      <c r="A29" s="24">
        <v>45987</v>
      </c>
      <c r="B29" s="3">
        <v>39114.03</v>
      </c>
      <c r="C29" s="4">
        <v>4478.5</v>
      </c>
      <c r="D29" s="32">
        <f t="shared" si="0"/>
        <v>0.11449855716733869</v>
      </c>
      <c r="E29" s="24">
        <v>45987</v>
      </c>
      <c r="F29" s="133">
        <v>4428</v>
      </c>
      <c r="G29" s="6">
        <v>1089.3599999999999</v>
      </c>
      <c r="H29" s="32">
        <f t="shared" si="1"/>
        <v>0.24601626016260161</v>
      </c>
      <c r="I29" s="24">
        <v>45987</v>
      </c>
      <c r="J29" s="4">
        <v>2300.2600000000002</v>
      </c>
      <c r="K29" s="6">
        <v>400.21</v>
      </c>
      <c r="L29" s="32">
        <f t="shared" si="2"/>
        <v>0.17398467999269646</v>
      </c>
      <c r="M29" s="24">
        <v>45987</v>
      </c>
      <c r="N29" s="3">
        <v>5137</v>
      </c>
      <c r="O29" s="103">
        <v>0</v>
      </c>
      <c r="P29" s="32">
        <f t="shared" si="3"/>
        <v>0</v>
      </c>
    </row>
    <row r="30" spans="1:16" x14ac:dyDescent="0.6">
      <c r="A30" s="24">
        <v>45988</v>
      </c>
      <c r="B30" s="3">
        <v>38112.980000000003</v>
      </c>
      <c r="C30" s="4">
        <v>4575.95</v>
      </c>
      <c r="D30" s="32">
        <f t="shared" si="0"/>
        <v>0.1200627712658522</v>
      </c>
      <c r="E30" s="24">
        <v>45988</v>
      </c>
      <c r="F30" s="133">
        <v>0</v>
      </c>
      <c r="G30" s="6">
        <v>1104.69</v>
      </c>
      <c r="H30" s="32" t="e">
        <f t="shared" si="1"/>
        <v>#DIV/0!</v>
      </c>
      <c r="I30" s="24">
        <v>45988</v>
      </c>
      <c r="J30" s="4">
        <v>6266.61</v>
      </c>
      <c r="K30" s="6">
        <v>400.21</v>
      </c>
      <c r="L30" s="32">
        <f t="shared" si="2"/>
        <v>6.386387536483043E-2</v>
      </c>
      <c r="M30" s="24">
        <v>45988</v>
      </c>
      <c r="N30" s="3">
        <v>4561</v>
      </c>
      <c r="O30" s="103">
        <v>0</v>
      </c>
      <c r="P30" s="32">
        <f t="shared" si="3"/>
        <v>0</v>
      </c>
    </row>
    <row r="31" spans="1:16" x14ac:dyDescent="0.6">
      <c r="A31" s="24">
        <v>45989</v>
      </c>
      <c r="B31" s="4">
        <v>48531.5</v>
      </c>
      <c r="C31" s="4">
        <v>4921.1000000000004</v>
      </c>
      <c r="D31" s="32">
        <f t="shared" si="0"/>
        <v>0.10140012157052637</v>
      </c>
      <c r="E31" s="24">
        <v>45989</v>
      </c>
      <c r="F31" s="103">
        <v>0</v>
      </c>
      <c r="G31" s="6">
        <v>1027</v>
      </c>
      <c r="H31" s="32" t="e">
        <f t="shared" si="1"/>
        <v>#DIV/0!</v>
      </c>
      <c r="I31" s="24">
        <v>45989</v>
      </c>
      <c r="J31" s="4">
        <v>3413.48</v>
      </c>
      <c r="K31" s="6">
        <v>400.45</v>
      </c>
      <c r="L31" s="32">
        <f t="shared" si="2"/>
        <v>0.1173142950888829</v>
      </c>
      <c r="M31" s="24">
        <v>45989</v>
      </c>
      <c r="N31" s="4">
        <v>2531</v>
      </c>
      <c r="O31" s="103">
        <v>0</v>
      </c>
      <c r="P31" s="32">
        <f t="shared" si="3"/>
        <v>0</v>
      </c>
    </row>
    <row r="32" spans="1:16" x14ac:dyDescent="0.6">
      <c r="A32" s="24">
        <v>45990</v>
      </c>
      <c r="B32" s="4">
        <v>39376.25</v>
      </c>
      <c r="C32" s="4">
        <v>4716.6400000000003</v>
      </c>
      <c r="D32" s="32">
        <f t="shared" si="0"/>
        <v>0.11978387987682931</v>
      </c>
      <c r="E32" s="24">
        <v>45990</v>
      </c>
      <c r="F32" s="103">
        <v>0</v>
      </c>
      <c r="G32" s="6">
        <v>1121.53</v>
      </c>
      <c r="H32" s="32" t="e">
        <f t="shared" si="1"/>
        <v>#DIV/0!</v>
      </c>
      <c r="I32" s="24">
        <v>45990</v>
      </c>
      <c r="J32" s="4">
        <v>5883.96</v>
      </c>
      <c r="K32" s="6">
        <v>400.32</v>
      </c>
      <c r="L32" s="32">
        <f t="shared" si="2"/>
        <v>6.8035812615993313E-2</v>
      </c>
      <c r="M32" s="24">
        <v>45990</v>
      </c>
      <c r="N32" s="4">
        <v>3071</v>
      </c>
      <c r="O32" s="103">
        <v>0</v>
      </c>
      <c r="P32" s="32">
        <f t="shared" si="3"/>
        <v>0</v>
      </c>
    </row>
    <row r="33" spans="1:16 16384:16384" x14ac:dyDescent="0.6">
      <c r="A33" s="24">
        <v>45991</v>
      </c>
      <c r="B33" s="105">
        <v>46814.98</v>
      </c>
      <c r="C33" s="105">
        <v>5084.7299999999996</v>
      </c>
      <c r="D33" s="32">
        <f t="shared" si="0"/>
        <v>0.10861331138024623</v>
      </c>
      <c r="E33" s="24">
        <v>45991</v>
      </c>
      <c r="F33" s="103">
        <v>0</v>
      </c>
      <c r="G33" s="108">
        <v>1391.81</v>
      </c>
      <c r="H33" s="32" t="e">
        <f t="shared" si="1"/>
        <v>#DIV/0!</v>
      </c>
      <c r="I33" s="24">
        <v>45991</v>
      </c>
      <c r="J33" s="105">
        <v>4502.83</v>
      </c>
      <c r="K33" s="106">
        <v>400.17</v>
      </c>
      <c r="L33" s="32">
        <f t="shared" si="2"/>
        <v>8.8870776822576034E-2</v>
      </c>
      <c r="M33" s="24">
        <v>45991</v>
      </c>
      <c r="N33" s="105">
        <v>8030</v>
      </c>
      <c r="O33" s="103">
        <v>0</v>
      </c>
      <c r="P33" s="32">
        <f t="shared" si="3"/>
        <v>0</v>
      </c>
    </row>
    <row r="34" spans="1:16 16384:16384" hidden="1" x14ac:dyDescent="0.6">
      <c r="A34" s="24">
        <v>45992</v>
      </c>
      <c r="B34" s="4"/>
      <c r="C34" s="4"/>
      <c r="D34" s="32" t="e">
        <f t="shared" si="0"/>
        <v>#DIV/0!</v>
      </c>
      <c r="E34" s="24">
        <v>45992</v>
      </c>
      <c r="F34" s="133"/>
      <c r="G34" s="6"/>
      <c r="H34" s="32" t="e">
        <f t="shared" si="1"/>
        <v>#DIV/0!</v>
      </c>
      <c r="I34" s="24">
        <v>45992</v>
      </c>
      <c r="J34" s="6"/>
      <c r="K34" s="6"/>
      <c r="L34" s="32" t="e">
        <f t="shared" si="2"/>
        <v>#DIV/0!</v>
      </c>
      <c r="M34" s="24">
        <v>45992</v>
      </c>
      <c r="N34" s="4"/>
      <c r="O34" s="103"/>
      <c r="P34" s="32" t="e">
        <f t="shared" si="3"/>
        <v>#DIV/0!</v>
      </c>
    </row>
    <row r="35" spans="1:16 16384:16384" s="17" customFormat="1" ht="27" thickBot="1" x14ac:dyDescent="0.75">
      <c r="A35" s="16" t="s">
        <v>11</v>
      </c>
      <c r="B35" s="39">
        <f>SUM(B4:B34)</f>
        <v>1063180.5900000001</v>
      </c>
      <c r="C35" s="39">
        <f t="shared" ref="C35" si="4">SUM(C4:C34)</f>
        <v>146915.09000000005</v>
      </c>
      <c r="D35" s="15" t="s">
        <v>12</v>
      </c>
      <c r="E35" s="16" t="s">
        <v>11</v>
      </c>
      <c r="F35" s="39">
        <f>SUM(F4:F34)</f>
        <v>324577</v>
      </c>
      <c r="G35" s="39">
        <f t="shared" ref="G35" si="5">SUM(G4:G34)</f>
        <v>27974.770000000004</v>
      </c>
      <c r="H35" s="15" t="s">
        <v>12</v>
      </c>
      <c r="I35" s="16" t="s">
        <v>11</v>
      </c>
      <c r="J35" s="39">
        <f>SUM(J4:J34)</f>
        <v>137225.06999999995</v>
      </c>
      <c r="K35" s="39">
        <f t="shared" ref="K35" si="6">SUM(K4:K34)</f>
        <v>15358.809999999998</v>
      </c>
      <c r="L35" s="15" t="s">
        <v>12</v>
      </c>
      <c r="M35" s="16" t="s">
        <v>11</v>
      </c>
      <c r="N35" s="39">
        <f>SUM(N4:N34)</f>
        <v>181762</v>
      </c>
      <c r="O35" s="137">
        <f>SUM(O4:O34)</f>
        <v>27172.109999999993</v>
      </c>
      <c r="P35" s="15" t="s">
        <v>12</v>
      </c>
      <c r="XFD35" s="17">
        <f>SUM(A35:XFC35)</f>
        <v>1924165.4400000002</v>
      </c>
    </row>
    <row r="36" spans="1:16 16384:16384" ht="24" thickTop="1" x14ac:dyDescent="0.6">
      <c r="A36" s="6"/>
      <c r="B36" s="6"/>
      <c r="C36" s="6"/>
      <c r="D36" s="33"/>
      <c r="E36" s="6"/>
      <c r="F36" s="6"/>
      <c r="G36" s="6"/>
      <c r="H36" s="26"/>
      <c r="I36" s="6"/>
      <c r="J36" s="6"/>
      <c r="K36" s="6"/>
      <c r="L36" s="26"/>
      <c r="M36" s="6"/>
      <c r="N36" s="6"/>
      <c r="O36" s="133"/>
      <c r="P36" s="26"/>
    </row>
    <row r="37" spans="1:16 16384:16384" ht="23.4" customHeight="1" x14ac:dyDescent="0.6">
      <c r="A37" s="6"/>
      <c r="B37" s="116" t="s">
        <v>33</v>
      </c>
      <c r="C37" s="117"/>
      <c r="D37" s="117"/>
      <c r="E37" s="118"/>
      <c r="F37" s="7"/>
      <c r="G37" s="37"/>
      <c r="H37" s="6"/>
      <c r="I37" s="6"/>
      <c r="J37" s="6"/>
      <c r="K37" s="26"/>
      <c r="L37" s="6"/>
      <c r="M37" s="6"/>
      <c r="N37" s="6"/>
      <c r="O37" s="138"/>
      <c r="P37" s="1"/>
    </row>
    <row r="38" spans="1:16 16384:16384" x14ac:dyDescent="0.6">
      <c r="A38" s="8"/>
      <c r="B38" s="47" t="s">
        <v>9</v>
      </c>
      <c r="C38" s="47" t="s">
        <v>5</v>
      </c>
      <c r="D38" s="47" t="s">
        <v>6</v>
      </c>
      <c r="E38" s="47" t="s">
        <v>7</v>
      </c>
      <c r="F38" s="8"/>
      <c r="G38" s="26"/>
      <c r="H38" s="8"/>
      <c r="I38" s="8"/>
      <c r="J38" s="8"/>
      <c r="K38" s="26"/>
      <c r="L38" s="9"/>
      <c r="M38" s="6"/>
      <c r="N38" s="6"/>
      <c r="O38" s="138"/>
      <c r="P38" s="1"/>
    </row>
    <row r="39" spans="1:16 16384:16384" x14ac:dyDescent="0.6">
      <c r="A39" s="10"/>
      <c r="B39" s="40" t="s">
        <v>0</v>
      </c>
      <c r="C39" s="41">
        <f>+B35</f>
        <v>1063180.5900000001</v>
      </c>
      <c r="D39" s="41">
        <f>+C35</f>
        <v>146915.09000000005</v>
      </c>
      <c r="E39" s="43">
        <f>+D39/C39</f>
        <v>0.13818451106222701</v>
      </c>
      <c r="F39" s="10"/>
      <c r="G39" s="28"/>
      <c r="H39" s="10"/>
      <c r="I39" s="10"/>
      <c r="J39" s="10"/>
      <c r="K39" s="26"/>
      <c r="L39" s="6"/>
      <c r="M39" s="6"/>
      <c r="N39" s="6"/>
      <c r="O39" s="138"/>
      <c r="P39" s="1"/>
    </row>
    <row r="40" spans="1:16 16384:16384" x14ac:dyDescent="0.6">
      <c r="A40" s="2"/>
      <c r="B40" s="40" t="s">
        <v>1</v>
      </c>
      <c r="C40" s="42">
        <f>+F35</f>
        <v>324577</v>
      </c>
      <c r="D40" s="42">
        <f>+G35</f>
        <v>27974.770000000004</v>
      </c>
      <c r="E40" s="43">
        <f t="shared" ref="E40:E41" si="7">+D40/C40</f>
        <v>8.6188392892903698E-2</v>
      </c>
      <c r="F40" s="11"/>
      <c r="G40" s="29"/>
      <c r="H40" s="12"/>
      <c r="I40" s="11"/>
      <c r="J40" s="13"/>
      <c r="K40" s="26"/>
      <c r="L40" s="2"/>
      <c r="M40" s="3"/>
      <c r="N40" s="6"/>
      <c r="O40" s="138"/>
      <c r="P40" s="1"/>
    </row>
    <row r="41" spans="1:16 16384:16384" x14ac:dyDescent="0.6">
      <c r="A41" s="2"/>
      <c r="B41" s="40" t="s">
        <v>2</v>
      </c>
      <c r="C41" s="42">
        <f>+J35</f>
        <v>137225.06999999995</v>
      </c>
      <c r="D41" s="42">
        <f>+K35</f>
        <v>15358.809999999998</v>
      </c>
      <c r="E41" s="43">
        <f t="shared" si="7"/>
        <v>0.1119242278397089</v>
      </c>
      <c r="F41" s="11"/>
      <c r="G41" s="29"/>
      <c r="H41" s="12"/>
      <c r="I41" s="11"/>
      <c r="J41" s="13"/>
      <c r="K41" s="26"/>
      <c r="L41" s="2"/>
      <c r="M41" s="3"/>
      <c r="N41" s="6"/>
      <c r="O41" s="138"/>
      <c r="P41" s="1"/>
    </row>
    <row r="42" spans="1:16 16384:16384" x14ac:dyDescent="0.6">
      <c r="A42" s="2"/>
      <c r="B42" s="40" t="s">
        <v>3</v>
      </c>
      <c r="C42" s="42">
        <f>+N35</f>
        <v>181762</v>
      </c>
      <c r="D42" s="42">
        <f>+O35</f>
        <v>27172.109999999993</v>
      </c>
      <c r="E42" s="43">
        <f>+D42/C42</f>
        <v>0.14949279827466683</v>
      </c>
      <c r="F42" s="11"/>
      <c r="G42" s="29"/>
      <c r="H42" s="12"/>
      <c r="I42" s="11"/>
      <c r="J42" s="13"/>
      <c r="K42" s="26"/>
      <c r="L42" s="2"/>
      <c r="M42" s="3"/>
      <c r="N42" s="6"/>
      <c r="O42" s="138"/>
      <c r="P42" s="1"/>
    </row>
    <row r="43" spans="1:16 16384:16384" x14ac:dyDescent="0.6">
      <c r="A43" s="2"/>
      <c r="B43" s="44" t="s">
        <v>10</v>
      </c>
      <c r="C43" s="45">
        <f>SUM(C39:C42)</f>
        <v>1706744.6600000001</v>
      </c>
      <c r="D43" s="45">
        <f>SUM(D39:D42)</f>
        <v>217420.78000000003</v>
      </c>
      <c r="E43" s="46">
        <f>+D43/C43</f>
        <v>0.12738916669585479</v>
      </c>
      <c r="F43" s="11"/>
      <c r="G43" s="29"/>
      <c r="H43" s="12"/>
      <c r="I43" s="11"/>
      <c r="J43" s="13"/>
      <c r="K43" s="26"/>
      <c r="L43" s="2"/>
      <c r="M43" s="3"/>
      <c r="N43" s="6"/>
      <c r="O43" s="138"/>
      <c r="P43" s="1"/>
    </row>
    <row r="44" spans="1:16 16384:16384" x14ac:dyDescent="0.6">
      <c r="A44" s="2"/>
      <c r="B44" s="6"/>
      <c r="C44" s="6"/>
      <c r="D44" s="34"/>
      <c r="E44" s="6"/>
      <c r="F44" s="6"/>
      <c r="G44" s="8"/>
      <c r="H44" s="29"/>
      <c r="I44" s="14"/>
      <c r="J44" s="10"/>
      <c r="K44" s="10"/>
      <c r="L44" s="26"/>
      <c r="M44" s="2"/>
      <c r="N44" s="3"/>
      <c r="O44" s="133"/>
      <c r="P44" s="26"/>
    </row>
    <row r="45" spans="1:16 16384:16384" x14ac:dyDescent="0.6">
      <c r="A45" s="2"/>
      <c r="B45" s="6"/>
      <c r="C45" s="6"/>
      <c r="D45" s="32"/>
      <c r="E45" s="6"/>
      <c r="F45" s="6"/>
      <c r="G45" s="6"/>
      <c r="H45" s="26"/>
      <c r="I45" s="6"/>
      <c r="J45" s="6"/>
      <c r="K45" s="6"/>
      <c r="L45" s="26"/>
      <c r="M45" s="2"/>
      <c r="N45" s="3"/>
      <c r="O45" s="133"/>
      <c r="P45" s="26"/>
    </row>
    <row r="46" spans="1:16 16384:16384" x14ac:dyDescent="0.6">
      <c r="A46" s="2"/>
      <c r="B46" s="6"/>
      <c r="C46" s="6"/>
      <c r="D46" s="32"/>
      <c r="E46" s="6"/>
      <c r="F46" s="6"/>
      <c r="G46" s="6"/>
      <c r="H46" s="26"/>
      <c r="I46" s="6"/>
      <c r="J46" s="6"/>
      <c r="K46" s="6"/>
      <c r="L46" s="26"/>
      <c r="M46" s="2"/>
      <c r="N46" s="3"/>
      <c r="O46" s="133"/>
      <c r="P46" s="26"/>
    </row>
    <row r="47" spans="1:16 16384:16384" x14ac:dyDescent="0.6">
      <c r="A47" s="2"/>
      <c r="B47" s="6"/>
      <c r="C47" s="6"/>
      <c r="D47" s="32"/>
      <c r="E47" s="6"/>
      <c r="F47" s="6"/>
      <c r="G47" s="6"/>
      <c r="H47" s="26"/>
      <c r="I47" s="6"/>
      <c r="J47" s="6"/>
      <c r="K47" s="6"/>
      <c r="L47" s="26"/>
      <c r="M47" s="2"/>
      <c r="N47" s="3"/>
      <c r="O47" s="133"/>
      <c r="P47" s="26"/>
    </row>
    <row r="48" spans="1:16 16384:16384" x14ac:dyDescent="0.6">
      <c r="A48" s="2"/>
      <c r="B48" s="6"/>
      <c r="C48" s="6"/>
      <c r="D48" s="32"/>
      <c r="E48" s="6"/>
      <c r="F48" s="6"/>
      <c r="G48" s="6"/>
      <c r="H48" s="26"/>
      <c r="I48" s="6"/>
      <c r="J48" s="6"/>
      <c r="K48" s="6"/>
      <c r="L48" s="26"/>
      <c r="M48" s="2"/>
      <c r="N48" s="3"/>
      <c r="O48" s="133"/>
      <c r="P48" s="26"/>
    </row>
    <row r="49" spans="1:16" x14ac:dyDescent="0.6">
      <c r="A49" s="2"/>
      <c r="B49" s="6"/>
      <c r="C49" s="6"/>
      <c r="D49" s="32"/>
      <c r="E49" s="6"/>
      <c r="F49" s="6"/>
      <c r="G49" s="6"/>
      <c r="H49" s="26"/>
      <c r="I49" s="6"/>
      <c r="J49" s="6"/>
      <c r="K49" s="6"/>
      <c r="L49" s="26"/>
      <c r="M49" s="2"/>
      <c r="N49" s="3"/>
      <c r="O49" s="133"/>
      <c r="P49" s="26"/>
    </row>
    <row r="50" spans="1:16" x14ac:dyDescent="0.6">
      <c r="A50" s="2"/>
      <c r="B50" s="6"/>
      <c r="C50" s="6"/>
      <c r="D50" s="32"/>
      <c r="E50" s="6"/>
      <c r="F50" s="6"/>
      <c r="G50" s="6"/>
      <c r="H50" s="26"/>
      <c r="I50" s="6"/>
      <c r="J50" s="6"/>
      <c r="K50" s="6"/>
      <c r="L50" s="26"/>
      <c r="M50" s="2"/>
      <c r="N50" s="3"/>
      <c r="O50" s="133"/>
      <c r="P50" s="26"/>
    </row>
    <row r="51" spans="1:16" x14ac:dyDescent="0.6">
      <c r="A51" s="2"/>
      <c r="B51" s="6"/>
      <c r="C51" s="6"/>
      <c r="D51" s="32"/>
      <c r="E51" s="6"/>
      <c r="F51" s="6"/>
      <c r="G51" s="6"/>
      <c r="H51" s="26"/>
      <c r="I51" s="6"/>
      <c r="J51" s="6"/>
      <c r="K51" s="6"/>
      <c r="L51" s="26"/>
      <c r="M51" s="2"/>
      <c r="N51" s="3"/>
      <c r="O51" s="133"/>
      <c r="P51" s="26"/>
    </row>
    <row r="52" spans="1:16" x14ac:dyDescent="0.6">
      <c r="A52" s="2"/>
      <c r="B52" s="6"/>
      <c r="C52" s="6"/>
      <c r="D52" s="32"/>
      <c r="E52" s="6"/>
      <c r="F52" s="6"/>
      <c r="G52" s="6"/>
      <c r="H52" s="26"/>
      <c r="I52" s="6"/>
      <c r="J52" s="6"/>
      <c r="K52" s="6"/>
      <c r="L52" s="26"/>
      <c r="M52" s="2"/>
      <c r="N52" s="3"/>
      <c r="O52" s="133"/>
      <c r="P52" s="26"/>
    </row>
    <row r="53" spans="1:16" x14ac:dyDescent="0.6">
      <c r="A53" s="2"/>
      <c r="B53" s="6"/>
      <c r="C53" s="6"/>
      <c r="D53" s="32"/>
      <c r="E53" s="6"/>
      <c r="F53" s="6"/>
      <c r="G53" s="6"/>
      <c r="H53" s="26"/>
      <c r="I53" s="6"/>
      <c r="J53" s="6"/>
      <c r="K53" s="6"/>
      <c r="L53" s="26"/>
      <c r="M53" s="2"/>
      <c r="N53" s="3"/>
      <c r="O53" s="133"/>
      <c r="P53" s="26"/>
    </row>
    <row r="54" spans="1:16" x14ac:dyDescent="0.6">
      <c r="A54" s="2"/>
      <c r="B54" s="6"/>
      <c r="C54" s="6"/>
      <c r="D54" s="32"/>
      <c r="E54" s="6"/>
      <c r="F54" s="6"/>
      <c r="G54" s="6"/>
      <c r="H54" s="26"/>
      <c r="I54" s="6"/>
      <c r="J54" s="6"/>
      <c r="K54" s="6"/>
      <c r="L54" s="26"/>
      <c r="M54" s="2"/>
      <c r="N54" s="3"/>
      <c r="O54" s="133"/>
      <c r="P54" s="26"/>
    </row>
    <row r="55" spans="1:16" x14ac:dyDescent="0.6">
      <c r="A55" s="2"/>
      <c r="B55" s="6"/>
      <c r="C55" s="6"/>
      <c r="D55" s="32"/>
      <c r="E55" s="6"/>
      <c r="F55" s="6"/>
      <c r="G55" s="6"/>
      <c r="H55" s="26"/>
      <c r="I55" s="6"/>
      <c r="J55" s="6"/>
      <c r="K55" s="6"/>
      <c r="L55" s="26"/>
      <c r="M55" s="2"/>
      <c r="N55" s="3"/>
      <c r="O55" s="133"/>
      <c r="P55" s="26"/>
    </row>
    <row r="56" spans="1:16" x14ac:dyDescent="0.6">
      <c r="A56" s="2"/>
      <c r="B56" s="6"/>
      <c r="C56" s="6"/>
      <c r="D56" s="32"/>
      <c r="E56" s="6"/>
      <c r="F56" s="6"/>
      <c r="G56" s="6"/>
      <c r="H56" s="26"/>
      <c r="I56" s="6"/>
      <c r="J56" s="6"/>
      <c r="K56" s="6"/>
      <c r="L56" s="26"/>
      <c r="M56" s="2"/>
      <c r="N56" s="3"/>
      <c r="O56" s="133"/>
      <c r="P56" s="26"/>
    </row>
    <row r="57" spans="1:16" x14ac:dyDescent="0.6">
      <c r="A57" s="2"/>
      <c r="B57" s="6"/>
      <c r="C57" s="6"/>
      <c r="D57" s="32"/>
      <c r="E57" s="6"/>
      <c r="F57" s="6"/>
      <c r="G57" s="6"/>
      <c r="H57" s="26"/>
      <c r="I57" s="6"/>
      <c r="J57" s="6"/>
      <c r="K57" s="6"/>
      <c r="L57" s="26"/>
      <c r="M57" s="2"/>
      <c r="N57" s="3"/>
      <c r="O57" s="133"/>
      <c r="P57" s="26"/>
    </row>
    <row r="58" spans="1:16" x14ac:dyDescent="0.6">
      <c r="A58" s="2"/>
      <c r="B58" s="6"/>
      <c r="C58" s="6"/>
      <c r="D58" s="32"/>
      <c r="E58" s="6"/>
      <c r="F58" s="6"/>
      <c r="G58" s="6"/>
      <c r="H58" s="26"/>
      <c r="I58" s="6"/>
      <c r="J58" s="6"/>
      <c r="K58" s="6"/>
      <c r="L58" s="26"/>
      <c r="M58" s="2"/>
      <c r="N58" s="3"/>
      <c r="O58" s="133"/>
      <c r="P58" s="26"/>
    </row>
    <row r="59" spans="1:16" x14ac:dyDescent="0.6">
      <c r="A59" s="2"/>
      <c r="B59" s="6"/>
      <c r="C59" s="6"/>
      <c r="D59" s="32"/>
      <c r="E59" s="6"/>
      <c r="F59" s="6"/>
      <c r="G59" s="6"/>
      <c r="H59" s="26"/>
      <c r="I59" s="6"/>
      <c r="J59" s="6"/>
      <c r="K59" s="6"/>
      <c r="L59" s="26"/>
      <c r="M59" s="2"/>
      <c r="N59" s="3"/>
      <c r="O59" s="133"/>
      <c r="P59" s="26"/>
    </row>
    <row r="60" spans="1:16" x14ac:dyDescent="0.6">
      <c r="A60" s="2"/>
      <c r="B60" s="6"/>
      <c r="C60" s="6"/>
      <c r="D60" s="32"/>
      <c r="E60" s="6"/>
      <c r="F60" s="6"/>
      <c r="G60" s="6"/>
      <c r="H60" s="26"/>
      <c r="I60" s="6"/>
      <c r="J60" s="6"/>
      <c r="K60" s="6"/>
      <c r="L60" s="26"/>
      <c r="M60" s="2"/>
      <c r="N60" s="3"/>
      <c r="O60" s="133"/>
      <c r="P60" s="26"/>
    </row>
    <row r="61" spans="1:16" x14ac:dyDescent="0.6">
      <c r="A61" s="2"/>
      <c r="B61" s="6"/>
      <c r="C61" s="6"/>
      <c r="D61" s="32"/>
      <c r="E61" s="6"/>
      <c r="F61" s="6"/>
      <c r="G61" s="6"/>
      <c r="H61" s="26"/>
      <c r="I61" s="6"/>
      <c r="J61" s="6"/>
      <c r="K61" s="6"/>
      <c r="L61" s="26"/>
      <c r="M61" s="2"/>
      <c r="N61" s="3"/>
      <c r="O61" s="133"/>
      <c r="P61" s="26"/>
    </row>
    <row r="62" spans="1:16" x14ac:dyDescent="0.6">
      <c r="A62" s="2"/>
      <c r="B62" s="6"/>
      <c r="C62" s="6"/>
      <c r="D62" s="32"/>
      <c r="E62" s="6"/>
      <c r="F62" s="6"/>
      <c r="G62" s="6"/>
      <c r="H62" s="26"/>
      <c r="I62" s="6"/>
      <c r="J62" s="6"/>
      <c r="K62" s="6"/>
      <c r="L62" s="26"/>
      <c r="M62" s="2"/>
      <c r="N62" s="3"/>
      <c r="O62" s="133"/>
      <c r="P62" s="26"/>
    </row>
    <row r="63" spans="1:16" x14ac:dyDescent="0.6">
      <c r="A63" s="2"/>
      <c r="B63" s="6"/>
      <c r="C63" s="6"/>
      <c r="D63" s="32"/>
      <c r="E63" s="6"/>
      <c r="F63" s="6"/>
      <c r="G63" s="6"/>
      <c r="H63" s="26"/>
      <c r="I63" s="6"/>
      <c r="J63" s="6"/>
      <c r="K63" s="6"/>
      <c r="L63" s="26"/>
      <c r="M63" s="2"/>
      <c r="N63" s="3"/>
      <c r="O63" s="133"/>
      <c r="P63" s="26"/>
    </row>
    <row r="64" spans="1:16" x14ac:dyDescent="0.6">
      <c r="A64" s="2"/>
      <c r="B64" s="6"/>
      <c r="C64" s="6"/>
      <c r="D64" s="32"/>
      <c r="E64" s="6"/>
      <c r="F64" s="6"/>
      <c r="G64" s="6"/>
      <c r="H64" s="26"/>
      <c r="I64" s="6"/>
      <c r="J64" s="6"/>
      <c r="K64" s="6"/>
      <c r="L64" s="26"/>
      <c r="M64" s="2"/>
      <c r="N64" s="3"/>
      <c r="O64" s="133"/>
      <c r="P64" s="26"/>
    </row>
    <row r="65" spans="1:16" x14ac:dyDescent="0.6">
      <c r="A65" s="2"/>
      <c r="B65" s="6"/>
      <c r="C65" s="6"/>
      <c r="D65" s="32"/>
      <c r="E65" s="6"/>
      <c r="F65" s="6"/>
      <c r="G65" s="6"/>
      <c r="H65" s="26"/>
      <c r="I65" s="6"/>
      <c r="J65" s="6"/>
      <c r="K65" s="6"/>
      <c r="L65" s="26"/>
      <c r="M65" s="2"/>
      <c r="N65" s="3"/>
      <c r="O65" s="133"/>
      <c r="P65" s="26"/>
    </row>
    <row r="66" spans="1:16" x14ac:dyDescent="0.6">
      <c r="A66" s="2"/>
      <c r="B66" s="6"/>
      <c r="C66" s="6"/>
      <c r="D66" s="32"/>
      <c r="E66" s="6"/>
      <c r="F66" s="6"/>
      <c r="G66" s="6"/>
      <c r="H66" s="26"/>
      <c r="I66" s="6"/>
      <c r="J66" s="6"/>
      <c r="K66" s="6"/>
      <c r="L66" s="26"/>
      <c r="M66" s="2"/>
      <c r="N66" s="3"/>
      <c r="O66" s="133"/>
      <c r="P66" s="26"/>
    </row>
    <row r="67" spans="1:16" x14ac:dyDescent="0.6">
      <c r="A67" s="2"/>
      <c r="B67" s="6"/>
      <c r="C67" s="6"/>
      <c r="D67" s="32"/>
      <c r="E67" s="6"/>
      <c r="F67" s="6"/>
      <c r="G67" s="6"/>
      <c r="H67" s="26"/>
      <c r="I67" s="6"/>
      <c r="J67" s="6"/>
      <c r="K67" s="6"/>
      <c r="L67" s="26"/>
      <c r="M67" s="2"/>
      <c r="N67" s="3"/>
      <c r="O67" s="133"/>
      <c r="P67" s="26"/>
    </row>
    <row r="68" spans="1:16" x14ac:dyDescent="0.6">
      <c r="A68" s="2"/>
      <c r="B68" s="6"/>
      <c r="C68" s="6"/>
      <c r="D68" s="32"/>
      <c r="E68" s="6"/>
      <c r="F68" s="6"/>
      <c r="G68" s="6"/>
      <c r="H68" s="26"/>
      <c r="I68" s="6"/>
      <c r="J68" s="6"/>
      <c r="K68" s="6"/>
      <c r="L68" s="26"/>
      <c r="M68" s="2"/>
      <c r="N68" s="4"/>
      <c r="O68" s="133"/>
      <c r="P68" s="26"/>
    </row>
    <row r="69" spans="1:16" x14ac:dyDescent="0.6">
      <c r="A69" s="2"/>
      <c r="B69" s="6"/>
      <c r="C69" s="6"/>
      <c r="D69" s="32"/>
      <c r="E69" s="6"/>
      <c r="F69" s="6"/>
      <c r="G69" s="6"/>
      <c r="H69" s="26"/>
      <c r="I69" s="6"/>
      <c r="J69" s="6"/>
      <c r="K69" s="6"/>
      <c r="L69" s="26"/>
      <c r="M69" s="2"/>
      <c r="N69" s="4"/>
      <c r="O69" s="133"/>
      <c r="P69" s="26"/>
    </row>
    <row r="70" spans="1:16" x14ac:dyDescent="0.6">
      <c r="A70" s="2"/>
      <c r="B70" s="6"/>
      <c r="C70" s="6"/>
      <c r="D70" s="33"/>
      <c r="E70" s="6"/>
      <c r="F70" s="6"/>
      <c r="G70" s="6"/>
      <c r="H70" s="26"/>
      <c r="I70" s="6"/>
      <c r="J70" s="6"/>
      <c r="K70" s="6"/>
      <c r="L70" s="26"/>
      <c r="M70" s="2"/>
      <c r="N70" s="4"/>
      <c r="O70" s="133"/>
      <c r="P70" s="26"/>
    </row>
  </sheetData>
  <mergeCells count="5">
    <mergeCell ref="A2:D2"/>
    <mergeCell ref="E2:H2"/>
    <mergeCell ref="I2:L2"/>
    <mergeCell ref="M2:P2"/>
    <mergeCell ref="B37:E37"/>
  </mergeCells>
  <pageMargins left="0.7" right="0.7" top="0.75" bottom="0.75" header="0.3" footer="0.3"/>
  <pageSetup paperSize="9" orientation="portrait" horizontalDpi="203" verticalDpi="20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3DF83-6FE1-4D75-BA94-61236E5DBA6B}">
  <sheetPr>
    <tabColor rgb="FF00B0F0"/>
  </sheetPr>
  <dimension ref="A1:XFD70"/>
  <sheetViews>
    <sheetView zoomScale="115" zoomScaleNormal="115" workbookViewId="0">
      <pane xSplit="4" ySplit="3" topLeftCell="E34" activePane="bottomRight" state="frozen"/>
      <selection activeCell="F33" sqref="F33"/>
      <selection pane="topRight" activeCell="F33" sqref="F33"/>
      <selection pane="bottomLeft" activeCell="F33" sqref="F33"/>
      <selection pane="bottomRight"/>
    </sheetView>
  </sheetViews>
  <sheetFormatPr defaultRowHeight="23.4" x14ac:dyDescent="0.6"/>
  <cols>
    <col min="1" max="1" width="9.09765625" style="1" bestFit="1" customWidth="1"/>
    <col min="2" max="2" width="11.69921875" style="1" bestFit="1" customWidth="1"/>
    <col min="3" max="3" width="12.59765625" style="1" bestFit="1" customWidth="1"/>
    <col min="4" max="4" width="10.8984375" style="35" bestFit="1" customWidth="1"/>
    <col min="5" max="5" width="9.3984375" style="1" bestFit="1" customWidth="1"/>
    <col min="6" max="6" width="10.19921875" style="1" bestFit="1" customWidth="1"/>
    <col min="7" max="7" width="9.09765625" style="1" bestFit="1" customWidth="1"/>
    <col min="8" max="8" width="8.3984375" style="38" customWidth="1"/>
    <col min="9" max="9" width="9.09765625" style="1" bestFit="1" customWidth="1"/>
    <col min="10" max="10" width="10.19921875" style="1" bestFit="1" customWidth="1"/>
    <col min="11" max="11" width="9.09765625" style="1" bestFit="1" customWidth="1"/>
    <col min="12" max="12" width="7.8984375" style="38" bestFit="1" customWidth="1"/>
    <col min="13" max="13" width="9.09765625" style="1" bestFit="1" customWidth="1"/>
    <col min="14" max="14" width="11.19921875" style="134" bestFit="1" customWidth="1"/>
    <col min="15" max="15" width="10.19921875" style="134" bestFit="1" customWidth="1"/>
    <col min="16" max="16" width="8.3984375" style="38" customWidth="1"/>
    <col min="17" max="16383" width="8.796875" style="1"/>
    <col min="16384" max="16384" width="9" style="1" bestFit="1" customWidth="1"/>
  </cols>
  <sheetData>
    <row r="1" spans="1:16" ht="28.8" x14ac:dyDescent="0.75">
      <c r="A1" s="48" t="s">
        <v>34</v>
      </c>
    </row>
    <row r="2" spans="1:16" s="18" customFormat="1" x14ac:dyDescent="0.6">
      <c r="A2" s="111" t="s">
        <v>0</v>
      </c>
      <c r="B2" s="111"/>
      <c r="C2" s="111"/>
      <c r="D2" s="111"/>
      <c r="E2" s="112" t="s">
        <v>1</v>
      </c>
      <c r="F2" s="112"/>
      <c r="G2" s="112"/>
      <c r="H2" s="112"/>
      <c r="I2" s="113" t="s">
        <v>2</v>
      </c>
      <c r="J2" s="113"/>
      <c r="K2" s="113"/>
      <c r="L2" s="113"/>
      <c r="M2" s="114" t="s">
        <v>3</v>
      </c>
      <c r="N2" s="114"/>
      <c r="O2" s="114"/>
      <c r="P2" s="114"/>
    </row>
    <row r="3" spans="1:16" s="22" customFormat="1" x14ac:dyDescent="0.25">
      <c r="A3" s="23" t="s">
        <v>4</v>
      </c>
      <c r="B3" s="23" t="s">
        <v>5</v>
      </c>
      <c r="C3" s="23" t="s">
        <v>6</v>
      </c>
      <c r="D3" s="25" t="s">
        <v>7</v>
      </c>
      <c r="E3" s="19" t="s">
        <v>4</v>
      </c>
      <c r="F3" s="19" t="s">
        <v>5</v>
      </c>
      <c r="G3" s="19" t="s">
        <v>6</v>
      </c>
      <c r="H3" s="27" t="s">
        <v>7</v>
      </c>
      <c r="I3" s="20" t="s">
        <v>4</v>
      </c>
      <c r="J3" s="20" t="s">
        <v>5</v>
      </c>
      <c r="K3" s="20" t="s">
        <v>6</v>
      </c>
      <c r="L3" s="30" t="s">
        <v>7</v>
      </c>
      <c r="M3" s="21" t="s">
        <v>4</v>
      </c>
      <c r="N3" s="135" t="s">
        <v>5</v>
      </c>
      <c r="O3" s="135" t="s">
        <v>6</v>
      </c>
      <c r="P3" s="31" t="s">
        <v>7</v>
      </c>
    </row>
    <row r="4" spans="1:16" x14ac:dyDescent="0.6">
      <c r="A4" s="24">
        <v>45992</v>
      </c>
      <c r="B4" s="3">
        <v>45313.5</v>
      </c>
      <c r="C4" s="3">
        <v>5841.84</v>
      </c>
      <c r="D4" s="32">
        <f>+C4/B4</f>
        <v>0.12892052037472276</v>
      </c>
      <c r="E4" s="24">
        <v>45992</v>
      </c>
      <c r="F4" s="3">
        <v>3024</v>
      </c>
      <c r="G4" s="3">
        <v>816.22</v>
      </c>
      <c r="H4" s="32">
        <f>+G4/F4</f>
        <v>0.26991402116402119</v>
      </c>
      <c r="I4" s="24">
        <v>45992</v>
      </c>
      <c r="J4" s="3">
        <v>5968.92</v>
      </c>
      <c r="K4" s="3">
        <v>486.1</v>
      </c>
      <c r="L4" s="32">
        <f>+K4/J4</f>
        <v>8.1438518190895509E-2</v>
      </c>
      <c r="M4" s="24">
        <v>45992</v>
      </c>
      <c r="N4" s="103">
        <v>9989</v>
      </c>
      <c r="O4" s="103">
        <v>426.08</v>
      </c>
      <c r="P4" s="32">
        <f>+O4/N4</f>
        <v>4.2654920412453695E-2</v>
      </c>
    </row>
    <row r="5" spans="1:16" x14ac:dyDescent="0.6">
      <c r="A5" s="24">
        <v>45993</v>
      </c>
      <c r="B5" s="3">
        <v>52221.1</v>
      </c>
      <c r="C5" s="3">
        <v>5734.79</v>
      </c>
      <c r="D5" s="32">
        <f t="shared" ref="D5:D34" si="0">+C5/B5</f>
        <v>0.10981748756728603</v>
      </c>
      <c r="E5" s="24">
        <v>45993</v>
      </c>
      <c r="F5" s="3">
        <v>11963</v>
      </c>
      <c r="G5" s="3">
        <v>694.37</v>
      </c>
      <c r="H5" s="32">
        <f t="shared" ref="H5:H34" si="1">+G5/F5</f>
        <v>5.8043132993396307E-2</v>
      </c>
      <c r="I5" s="24">
        <v>45993</v>
      </c>
      <c r="J5" s="3">
        <v>3643.05</v>
      </c>
      <c r="K5" s="3">
        <v>461.55</v>
      </c>
      <c r="L5" s="32">
        <f t="shared" ref="L5:L34" si="2">+K5/J5</f>
        <v>0.12669329270803309</v>
      </c>
      <c r="M5" s="24">
        <v>45993</v>
      </c>
      <c r="N5" s="103">
        <v>8108</v>
      </c>
      <c r="O5" s="103">
        <v>1015.67</v>
      </c>
      <c r="P5" s="32">
        <f t="shared" ref="P5:P34" si="3">+O5/N5</f>
        <v>0.12526763690182535</v>
      </c>
    </row>
    <row r="6" spans="1:16" x14ac:dyDescent="0.6">
      <c r="A6" s="24">
        <v>45994</v>
      </c>
      <c r="B6" s="3">
        <v>37958.67</v>
      </c>
      <c r="C6" s="3">
        <v>3327.97</v>
      </c>
      <c r="D6" s="32">
        <f t="shared" si="0"/>
        <v>8.7673514377611228E-2</v>
      </c>
      <c r="E6" s="24">
        <v>45994</v>
      </c>
      <c r="F6" s="3">
        <v>6012</v>
      </c>
      <c r="G6" s="3">
        <v>505.63</v>
      </c>
      <c r="H6" s="32">
        <f t="shared" si="1"/>
        <v>8.4103459747172316E-2</v>
      </c>
      <c r="I6" s="24">
        <v>45994</v>
      </c>
      <c r="J6" s="3">
        <v>3575.5</v>
      </c>
      <c r="K6" s="3">
        <v>458.61</v>
      </c>
      <c r="L6" s="32">
        <f t="shared" si="2"/>
        <v>0.12826457838064606</v>
      </c>
      <c r="M6" s="24">
        <v>45994</v>
      </c>
      <c r="N6" s="103">
        <v>13088</v>
      </c>
      <c r="O6" s="103">
        <v>1701.56</v>
      </c>
      <c r="P6" s="32">
        <f t="shared" si="3"/>
        <v>0.13000916870415646</v>
      </c>
    </row>
    <row r="7" spans="1:16" x14ac:dyDescent="0.6">
      <c r="A7" s="24">
        <v>45995</v>
      </c>
      <c r="B7" s="3">
        <v>53017.52</v>
      </c>
      <c r="C7" s="3">
        <v>6422.11</v>
      </c>
      <c r="D7" s="32">
        <f t="shared" si="0"/>
        <v>0.12113184471850061</v>
      </c>
      <c r="E7" s="24">
        <v>45995</v>
      </c>
      <c r="F7" s="3">
        <v>38847</v>
      </c>
      <c r="G7" s="3">
        <v>538.78</v>
      </c>
      <c r="H7" s="32">
        <f t="shared" si="1"/>
        <v>1.3869282055242361E-2</v>
      </c>
      <c r="I7" s="24">
        <v>45995</v>
      </c>
      <c r="J7" s="3">
        <v>2879.74</v>
      </c>
      <c r="K7" s="3">
        <v>707.77</v>
      </c>
      <c r="L7" s="32">
        <f t="shared" si="2"/>
        <v>0.24577566030266623</v>
      </c>
      <c r="M7" s="24">
        <v>45995</v>
      </c>
      <c r="N7" s="103">
        <v>10829</v>
      </c>
      <c r="O7" s="103">
        <v>2042.95</v>
      </c>
      <c r="P7" s="32">
        <f t="shared" si="3"/>
        <v>0.18865546218487395</v>
      </c>
    </row>
    <row r="8" spans="1:16" x14ac:dyDescent="0.6">
      <c r="A8" s="24">
        <v>45996</v>
      </c>
      <c r="B8" s="3">
        <v>54268.87</v>
      </c>
      <c r="C8" s="3">
        <v>5089.82</v>
      </c>
      <c r="D8" s="32">
        <f t="shared" si="0"/>
        <v>9.3788943827280716E-2</v>
      </c>
      <c r="E8" s="24">
        <v>45996</v>
      </c>
      <c r="F8" s="3">
        <v>20043</v>
      </c>
      <c r="G8" s="3">
        <v>513.12</v>
      </c>
      <c r="H8" s="32">
        <f t="shared" si="1"/>
        <v>2.560095794042808E-2</v>
      </c>
      <c r="I8" s="24">
        <v>45996</v>
      </c>
      <c r="J8" s="3">
        <v>8330.15</v>
      </c>
      <c r="K8" s="3">
        <v>753.97</v>
      </c>
      <c r="L8" s="32">
        <f t="shared" si="2"/>
        <v>9.0510975192523546E-2</v>
      </c>
      <c r="M8" s="24">
        <v>45996</v>
      </c>
      <c r="N8" s="103">
        <v>7864</v>
      </c>
      <c r="O8" s="103">
        <v>1314.49</v>
      </c>
      <c r="P8" s="32">
        <f t="shared" si="3"/>
        <v>0.16715284842319431</v>
      </c>
    </row>
    <row r="9" spans="1:16" x14ac:dyDescent="0.6">
      <c r="A9" s="24">
        <v>45997</v>
      </c>
      <c r="B9" s="3">
        <v>47658.25</v>
      </c>
      <c r="C9" s="3">
        <v>5790.94</v>
      </c>
      <c r="D9" s="32">
        <f t="shared" si="0"/>
        <v>0.12150970713360225</v>
      </c>
      <c r="E9" s="24">
        <v>45997</v>
      </c>
      <c r="F9" s="3">
        <v>6420</v>
      </c>
      <c r="G9" s="3">
        <v>567.80999999999995</v>
      </c>
      <c r="H9" s="32">
        <f t="shared" si="1"/>
        <v>8.8443925233644846E-2</v>
      </c>
      <c r="I9" s="24">
        <v>45997</v>
      </c>
      <c r="J9" s="3">
        <v>2786.7</v>
      </c>
      <c r="K9" s="3">
        <v>784.33</v>
      </c>
      <c r="L9" s="32">
        <f t="shared" si="2"/>
        <v>0.28145476728747265</v>
      </c>
      <c r="M9" s="24">
        <v>45997</v>
      </c>
      <c r="N9" s="103">
        <v>14219</v>
      </c>
      <c r="O9" s="103">
        <v>1670.31</v>
      </c>
      <c r="P9" s="32">
        <f t="shared" si="3"/>
        <v>0.11747028623672551</v>
      </c>
    </row>
    <row r="10" spans="1:16" x14ac:dyDescent="0.6">
      <c r="A10" s="24">
        <v>45998</v>
      </c>
      <c r="B10" s="3">
        <v>103767.57</v>
      </c>
      <c r="C10" s="3">
        <v>11475.39</v>
      </c>
      <c r="D10" s="32">
        <f t="shared" si="0"/>
        <v>0.11058744075822531</v>
      </c>
      <c r="E10" s="24">
        <v>45998</v>
      </c>
      <c r="F10" s="3">
        <v>5989</v>
      </c>
      <c r="G10" s="3">
        <v>686.5</v>
      </c>
      <c r="H10" s="32">
        <f t="shared" si="1"/>
        <v>0.11462681582901987</v>
      </c>
      <c r="I10" s="24">
        <v>45998</v>
      </c>
      <c r="J10" s="3">
        <v>4373.1499999999996</v>
      </c>
      <c r="K10" s="3">
        <v>720.28</v>
      </c>
      <c r="L10" s="32">
        <f t="shared" si="2"/>
        <v>0.16470507528897935</v>
      </c>
      <c r="M10" s="24">
        <v>45998</v>
      </c>
      <c r="N10" s="103">
        <v>5951</v>
      </c>
      <c r="O10" s="103">
        <v>1719.06</v>
      </c>
      <c r="P10" s="32">
        <f t="shared" si="3"/>
        <v>0.28886909763065033</v>
      </c>
    </row>
    <row r="11" spans="1:16" x14ac:dyDescent="0.6">
      <c r="A11" s="24">
        <v>45999</v>
      </c>
      <c r="B11" s="3">
        <v>136630.74</v>
      </c>
      <c r="C11" s="3">
        <v>16661.95</v>
      </c>
      <c r="D11" s="32">
        <f t="shared" si="0"/>
        <v>0.12194876497045981</v>
      </c>
      <c r="E11" s="24">
        <v>45999</v>
      </c>
      <c r="F11" s="3">
        <v>26088</v>
      </c>
      <c r="G11" s="3">
        <v>685.93</v>
      </c>
      <c r="H11" s="32">
        <f t="shared" si="1"/>
        <v>2.6292931616068688E-2</v>
      </c>
      <c r="I11" s="24">
        <v>45999</v>
      </c>
      <c r="J11" s="3">
        <v>4598.55</v>
      </c>
      <c r="K11" s="3">
        <v>557.12</v>
      </c>
      <c r="L11" s="32">
        <f t="shared" si="2"/>
        <v>0.12115123245370824</v>
      </c>
      <c r="M11" s="24">
        <v>45999</v>
      </c>
      <c r="N11" s="103">
        <v>7004</v>
      </c>
      <c r="O11" s="103">
        <v>1991.02</v>
      </c>
      <c r="P11" s="32">
        <f t="shared" si="3"/>
        <v>0.28426898914905768</v>
      </c>
    </row>
    <row r="12" spans="1:16" x14ac:dyDescent="0.6">
      <c r="A12" s="24">
        <v>46000</v>
      </c>
      <c r="B12" s="3">
        <v>126374.05</v>
      </c>
      <c r="C12" s="3">
        <v>17185.060000000001</v>
      </c>
      <c r="D12" s="32">
        <f t="shared" si="0"/>
        <v>0.1359856711089025</v>
      </c>
      <c r="E12" s="24">
        <v>46000</v>
      </c>
      <c r="F12" s="3">
        <v>27479</v>
      </c>
      <c r="G12" s="3">
        <v>387.25</v>
      </c>
      <c r="H12" s="32">
        <f t="shared" si="1"/>
        <v>1.40925797882019E-2</v>
      </c>
      <c r="I12" s="24">
        <v>46000</v>
      </c>
      <c r="J12" s="3">
        <v>5159.8500000000004</v>
      </c>
      <c r="K12" s="3">
        <v>836.47</v>
      </c>
      <c r="L12" s="32">
        <f t="shared" si="2"/>
        <v>0.1621113016851265</v>
      </c>
      <c r="M12" s="24">
        <v>46000</v>
      </c>
      <c r="N12" s="103">
        <v>8554</v>
      </c>
      <c r="O12" s="103">
        <v>1845.35</v>
      </c>
      <c r="P12" s="32">
        <f t="shared" si="3"/>
        <v>0.21572948328267477</v>
      </c>
    </row>
    <row r="13" spans="1:16" x14ac:dyDescent="0.6">
      <c r="A13" s="24">
        <v>46001</v>
      </c>
      <c r="B13" s="3">
        <v>79072.23</v>
      </c>
      <c r="C13" s="3">
        <v>9091.4699999999993</v>
      </c>
      <c r="D13" s="32">
        <f t="shared" si="0"/>
        <v>0.11497677503214467</v>
      </c>
      <c r="E13" s="24">
        <v>46001</v>
      </c>
      <c r="F13" s="3">
        <v>51470</v>
      </c>
      <c r="G13" s="3">
        <v>664.9</v>
      </c>
      <c r="H13" s="32">
        <f t="shared" si="1"/>
        <v>1.2918204779483194E-2</v>
      </c>
      <c r="I13" s="24">
        <v>46001</v>
      </c>
      <c r="J13" s="3">
        <v>5357.15</v>
      </c>
      <c r="K13" s="3">
        <v>819.94</v>
      </c>
      <c r="L13" s="32">
        <f t="shared" si="2"/>
        <v>0.15305526259298324</v>
      </c>
      <c r="M13" s="24">
        <v>46001</v>
      </c>
      <c r="N13" s="103">
        <v>11125</v>
      </c>
      <c r="O13" s="103">
        <v>2118.59</v>
      </c>
      <c r="P13" s="32">
        <f t="shared" si="3"/>
        <v>0.1904350561797753</v>
      </c>
    </row>
    <row r="14" spans="1:16" x14ac:dyDescent="0.6">
      <c r="A14" s="24">
        <v>46002</v>
      </c>
      <c r="B14" s="3">
        <v>108894.25</v>
      </c>
      <c r="C14" s="3">
        <v>13066.4</v>
      </c>
      <c r="D14" s="32">
        <f t="shared" si="0"/>
        <v>0.11999164326858397</v>
      </c>
      <c r="E14" s="24">
        <v>46002</v>
      </c>
      <c r="F14" s="3">
        <v>54424</v>
      </c>
      <c r="G14" s="3">
        <v>370.45</v>
      </c>
      <c r="H14" s="32">
        <f t="shared" si="1"/>
        <v>6.8067396736733793E-3</v>
      </c>
      <c r="I14" s="24">
        <v>46002</v>
      </c>
      <c r="J14" s="3">
        <v>5593.24</v>
      </c>
      <c r="K14" s="3">
        <v>759.98</v>
      </c>
      <c r="L14" s="32">
        <f t="shared" si="2"/>
        <v>0.13587473450093329</v>
      </c>
      <c r="M14" s="24">
        <v>46002</v>
      </c>
      <c r="N14" s="103">
        <v>7664</v>
      </c>
      <c r="O14" s="103">
        <v>1608.73</v>
      </c>
      <c r="P14" s="32">
        <f t="shared" si="3"/>
        <v>0.20990735908141964</v>
      </c>
    </row>
    <row r="15" spans="1:16" x14ac:dyDescent="0.6">
      <c r="A15" s="24">
        <v>46003</v>
      </c>
      <c r="B15" s="3">
        <v>138578.54999999999</v>
      </c>
      <c r="C15" s="3">
        <v>15288.52</v>
      </c>
      <c r="D15" s="32">
        <f t="shared" si="0"/>
        <v>0.11032385603688306</v>
      </c>
      <c r="E15" s="24">
        <v>46003</v>
      </c>
      <c r="F15" s="3">
        <v>55304</v>
      </c>
      <c r="G15" s="3">
        <v>280.63</v>
      </c>
      <c r="H15" s="32">
        <f t="shared" si="1"/>
        <v>5.0743165051352519E-3</v>
      </c>
      <c r="I15" s="24">
        <v>46003</v>
      </c>
      <c r="J15" s="3">
        <v>15486.2</v>
      </c>
      <c r="K15" s="3">
        <v>722.38</v>
      </c>
      <c r="L15" s="32">
        <f t="shared" si="2"/>
        <v>4.6646691893427697E-2</v>
      </c>
      <c r="M15" s="24">
        <v>46003</v>
      </c>
      <c r="N15" s="103">
        <v>30275</v>
      </c>
      <c r="O15" s="103">
        <v>3197.04</v>
      </c>
      <c r="P15" s="32">
        <f t="shared" si="3"/>
        <v>0.1056</v>
      </c>
    </row>
    <row r="16" spans="1:16" x14ac:dyDescent="0.6">
      <c r="A16" s="24">
        <v>46004</v>
      </c>
      <c r="B16" s="3">
        <v>137902.53</v>
      </c>
      <c r="C16" s="3">
        <v>16653.16</v>
      </c>
      <c r="D16" s="32">
        <f t="shared" si="0"/>
        <v>0.12076036603534394</v>
      </c>
      <c r="E16" s="24">
        <v>46004</v>
      </c>
      <c r="F16" s="3">
        <v>12553</v>
      </c>
      <c r="G16" s="3">
        <v>232.15</v>
      </c>
      <c r="H16" s="32">
        <f t="shared" si="1"/>
        <v>1.8493587190313073E-2</v>
      </c>
      <c r="I16" s="24">
        <v>46004</v>
      </c>
      <c r="J16" s="3">
        <v>10737.59</v>
      </c>
      <c r="K16" s="3">
        <v>732.5</v>
      </c>
      <c r="L16" s="32">
        <f t="shared" si="2"/>
        <v>6.8218287343808054E-2</v>
      </c>
      <c r="M16" s="24">
        <v>46004</v>
      </c>
      <c r="N16" s="103">
        <v>15174</v>
      </c>
      <c r="O16" s="103">
        <v>1803.3</v>
      </c>
      <c r="P16" s="32">
        <f t="shared" si="3"/>
        <v>0.11884143930407275</v>
      </c>
    </row>
    <row r="17" spans="1:16" x14ac:dyDescent="0.6">
      <c r="A17" s="24">
        <v>46005</v>
      </c>
      <c r="B17" s="3">
        <v>117461.94</v>
      </c>
      <c r="C17" s="3">
        <v>14470</v>
      </c>
      <c r="D17" s="32">
        <f t="shared" si="0"/>
        <v>0.12318883886985009</v>
      </c>
      <c r="E17" s="24">
        <v>46005</v>
      </c>
      <c r="F17" s="3">
        <v>9789</v>
      </c>
      <c r="G17" s="3">
        <v>355.46</v>
      </c>
      <c r="H17" s="32">
        <f t="shared" si="1"/>
        <v>3.6312187148840533E-2</v>
      </c>
      <c r="I17" s="24">
        <v>46005</v>
      </c>
      <c r="J17" s="3">
        <v>11899.14</v>
      </c>
      <c r="K17" s="3">
        <v>641.99</v>
      </c>
      <c r="L17" s="32">
        <f t="shared" si="2"/>
        <v>5.3952638594049661E-2</v>
      </c>
      <c r="M17" s="24">
        <v>46005</v>
      </c>
      <c r="N17" s="103">
        <v>15636</v>
      </c>
      <c r="O17" s="103">
        <v>1803.3</v>
      </c>
      <c r="P17" s="32">
        <f t="shared" si="3"/>
        <v>0.11533000767459708</v>
      </c>
    </row>
    <row r="18" spans="1:16" x14ac:dyDescent="0.6">
      <c r="A18" s="24">
        <v>46006</v>
      </c>
      <c r="B18" s="3">
        <v>167394.67000000001</v>
      </c>
      <c r="C18" s="3">
        <v>16294.37</v>
      </c>
      <c r="D18" s="32">
        <f t="shared" si="0"/>
        <v>9.734103242355327E-2</v>
      </c>
      <c r="E18" s="24">
        <v>46006</v>
      </c>
      <c r="F18" s="3">
        <v>2994</v>
      </c>
      <c r="G18" s="3">
        <v>299.07</v>
      </c>
      <c r="H18" s="32">
        <f t="shared" si="1"/>
        <v>9.9889779559118236E-2</v>
      </c>
      <c r="I18" s="24">
        <v>46006</v>
      </c>
      <c r="J18" s="3">
        <v>7528.9</v>
      </c>
      <c r="K18" s="3">
        <v>568.08000000000004</v>
      </c>
      <c r="L18" s="32">
        <f t="shared" si="2"/>
        <v>7.5453253463321338E-2</v>
      </c>
      <c r="M18" s="24">
        <v>46006</v>
      </c>
      <c r="N18" s="103">
        <v>17813</v>
      </c>
      <c r="O18" s="103">
        <v>1988.58</v>
      </c>
      <c r="P18" s="32">
        <f t="shared" si="3"/>
        <v>0.1116364452927637</v>
      </c>
    </row>
    <row r="19" spans="1:16" x14ac:dyDescent="0.6">
      <c r="A19" s="24">
        <v>46007</v>
      </c>
      <c r="B19" s="3">
        <v>141714.29</v>
      </c>
      <c r="C19" s="3">
        <v>14522.39</v>
      </c>
      <c r="D19" s="32">
        <f t="shared" si="0"/>
        <v>0.10247653923962077</v>
      </c>
      <c r="E19" s="24">
        <v>46007</v>
      </c>
      <c r="F19" s="3">
        <v>29420</v>
      </c>
      <c r="G19" s="3">
        <v>331.95</v>
      </c>
      <c r="H19" s="32">
        <f t="shared" si="1"/>
        <v>1.1283140720598233E-2</v>
      </c>
      <c r="I19" s="24">
        <v>46007</v>
      </c>
      <c r="J19" s="3">
        <v>10898.91</v>
      </c>
      <c r="K19" s="3">
        <v>611.11</v>
      </c>
      <c r="L19" s="32">
        <f t="shared" si="2"/>
        <v>5.6070744689147814E-2</v>
      </c>
      <c r="M19" s="24">
        <v>46007</v>
      </c>
      <c r="N19" s="103">
        <v>20687</v>
      </c>
      <c r="O19" s="103">
        <v>2250.09</v>
      </c>
      <c r="P19" s="32">
        <f t="shared" si="3"/>
        <v>0.10876830859960362</v>
      </c>
    </row>
    <row r="20" spans="1:16" x14ac:dyDescent="0.6">
      <c r="A20" s="24">
        <v>46008</v>
      </c>
      <c r="B20" s="3">
        <v>160069.59</v>
      </c>
      <c r="C20" s="3">
        <v>16689.68</v>
      </c>
      <c r="D20" s="32">
        <f t="shared" si="0"/>
        <v>0.10426515117581048</v>
      </c>
      <c r="E20" s="24">
        <v>46008</v>
      </c>
      <c r="F20" s="3">
        <v>1200</v>
      </c>
      <c r="G20" s="3">
        <v>254.43</v>
      </c>
      <c r="H20" s="32">
        <f t="shared" si="1"/>
        <v>0.21202500000000002</v>
      </c>
      <c r="I20" s="24">
        <v>46008</v>
      </c>
      <c r="J20" s="3">
        <v>6598.01</v>
      </c>
      <c r="K20" s="3">
        <v>578.30999999999995</v>
      </c>
      <c r="L20" s="32">
        <f t="shared" si="2"/>
        <v>8.7649154820923267E-2</v>
      </c>
      <c r="M20" s="24">
        <v>46008</v>
      </c>
      <c r="N20" s="103">
        <v>24949</v>
      </c>
      <c r="O20" s="103">
        <v>2907.01</v>
      </c>
      <c r="P20" s="32">
        <f t="shared" si="3"/>
        <v>0.11651809691771214</v>
      </c>
    </row>
    <row r="21" spans="1:16" x14ac:dyDescent="0.6">
      <c r="A21" s="24">
        <v>46009</v>
      </c>
      <c r="B21" s="3">
        <v>216832.87</v>
      </c>
      <c r="C21" s="3">
        <v>22413.61</v>
      </c>
      <c r="D21" s="32">
        <f t="shared" si="0"/>
        <v>0.10336813786581343</v>
      </c>
      <c r="E21" s="24">
        <v>46009</v>
      </c>
      <c r="F21" s="3">
        <v>72143</v>
      </c>
      <c r="G21" s="3">
        <v>269.75</v>
      </c>
      <c r="H21" s="32">
        <f t="shared" si="1"/>
        <v>3.7391015067296898E-3</v>
      </c>
      <c r="I21" s="24">
        <v>46009</v>
      </c>
      <c r="J21" s="3">
        <v>7048.4</v>
      </c>
      <c r="K21" s="3">
        <v>662.24</v>
      </c>
      <c r="L21" s="32">
        <f t="shared" si="2"/>
        <v>9.3956075137619888E-2</v>
      </c>
      <c r="M21" s="24">
        <v>46009</v>
      </c>
      <c r="N21" s="103">
        <v>17615</v>
      </c>
      <c r="O21" s="103">
        <v>1915.44</v>
      </c>
      <c r="P21" s="32">
        <f t="shared" si="3"/>
        <v>0.10873914277604314</v>
      </c>
    </row>
    <row r="22" spans="1:16" x14ac:dyDescent="0.6">
      <c r="A22" s="24">
        <v>46010</v>
      </c>
      <c r="B22" s="3">
        <v>166122.17000000001</v>
      </c>
      <c r="C22" s="3">
        <v>16510.189999999999</v>
      </c>
      <c r="D22" s="32">
        <f t="shared" si="0"/>
        <v>9.9385831523871843E-2</v>
      </c>
      <c r="E22" s="24">
        <v>46010</v>
      </c>
      <c r="F22" s="3">
        <v>42880</v>
      </c>
      <c r="G22" s="3">
        <v>370.61</v>
      </c>
      <c r="H22" s="32">
        <f t="shared" si="1"/>
        <v>8.6429570895522386E-3</v>
      </c>
      <c r="I22" s="24">
        <v>46010</v>
      </c>
      <c r="J22" s="3">
        <v>11644.7</v>
      </c>
      <c r="K22" s="3">
        <v>661.84</v>
      </c>
      <c r="L22" s="32">
        <f t="shared" si="2"/>
        <v>5.683615722174036E-2</v>
      </c>
      <c r="M22" s="24">
        <v>46010</v>
      </c>
      <c r="N22" s="103">
        <v>34486</v>
      </c>
      <c r="O22" s="103">
        <v>2883.68</v>
      </c>
      <c r="P22" s="32">
        <f t="shared" si="3"/>
        <v>8.3618859827176234E-2</v>
      </c>
    </row>
    <row r="23" spans="1:16" x14ac:dyDescent="0.6">
      <c r="A23" s="24">
        <v>46011</v>
      </c>
      <c r="B23" s="3">
        <v>208162.15</v>
      </c>
      <c r="C23" s="3">
        <v>22984.39</v>
      </c>
      <c r="D23" s="32">
        <f t="shared" si="0"/>
        <v>0.11041579845327308</v>
      </c>
      <c r="E23" s="24">
        <v>46011</v>
      </c>
      <c r="F23" s="3">
        <v>31161</v>
      </c>
      <c r="G23" s="3">
        <v>209.22</v>
      </c>
      <c r="H23" s="32">
        <f t="shared" si="1"/>
        <v>6.7141619331857125E-3</v>
      </c>
      <c r="I23" s="24">
        <v>46011</v>
      </c>
      <c r="J23" s="3">
        <v>6286.1</v>
      </c>
      <c r="K23" s="3">
        <v>659.38</v>
      </c>
      <c r="L23" s="32">
        <f t="shared" si="2"/>
        <v>0.10489492690221282</v>
      </c>
      <c r="M23" s="24">
        <v>46011</v>
      </c>
      <c r="N23" s="103">
        <v>34175</v>
      </c>
      <c r="O23" s="103">
        <v>3296.28</v>
      </c>
      <c r="P23" s="32">
        <f t="shared" si="3"/>
        <v>9.6452962692026342E-2</v>
      </c>
    </row>
    <row r="24" spans="1:16" x14ac:dyDescent="0.6">
      <c r="A24" s="24">
        <v>46012</v>
      </c>
      <c r="B24" s="3">
        <v>432706.05</v>
      </c>
      <c r="C24" s="3">
        <v>28121.94</v>
      </c>
      <c r="D24" s="32">
        <f t="shared" si="0"/>
        <v>6.4990863890162842E-2</v>
      </c>
      <c r="E24" s="24">
        <v>46012</v>
      </c>
      <c r="F24" s="3">
        <v>3775</v>
      </c>
      <c r="G24" s="3">
        <v>360.42</v>
      </c>
      <c r="H24" s="32">
        <f t="shared" si="1"/>
        <v>9.5475496688741723E-2</v>
      </c>
      <c r="I24" s="24">
        <v>46012</v>
      </c>
      <c r="J24" s="3">
        <v>9511.7999999999993</v>
      </c>
      <c r="K24" s="3">
        <v>604.82000000000005</v>
      </c>
      <c r="L24" s="32">
        <f t="shared" si="2"/>
        <v>6.3586282301982808E-2</v>
      </c>
      <c r="M24" s="24">
        <v>46012</v>
      </c>
      <c r="N24" s="103">
        <v>35797</v>
      </c>
      <c r="O24" s="103">
        <v>1527.91</v>
      </c>
      <c r="P24" s="32">
        <f t="shared" si="3"/>
        <v>4.2682627035785126E-2</v>
      </c>
    </row>
    <row r="25" spans="1:16" x14ac:dyDescent="0.6">
      <c r="A25" s="24">
        <v>46013</v>
      </c>
      <c r="B25" s="3">
        <v>376506.25</v>
      </c>
      <c r="C25" s="3">
        <v>26782.61</v>
      </c>
      <c r="D25" s="32">
        <f t="shared" si="0"/>
        <v>7.1134569479258308E-2</v>
      </c>
      <c r="E25" s="24">
        <v>46013</v>
      </c>
      <c r="F25" s="3">
        <v>3607</v>
      </c>
      <c r="G25" s="3">
        <v>308.22000000000003</v>
      </c>
      <c r="H25" s="32">
        <f t="shared" si="1"/>
        <v>8.5450512891599675E-2</v>
      </c>
      <c r="I25" s="24">
        <v>46013</v>
      </c>
      <c r="J25" s="3">
        <v>11877.7</v>
      </c>
      <c r="K25" s="3">
        <v>595.21</v>
      </c>
      <c r="L25" s="32">
        <f t="shared" si="2"/>
        <v>5.0111553583606257E-2</v>
      </c>
      <c r="M25" s="24">
        <v>46013</v>
      </c>
      <c r="N25" s="103">
        <v>49471</v>
      </c>
      <c r="O25" s="103">
        <v>0</v>
      </c>
      <c r="P25" s="32">
        <f t="shared" si="3"/>
        <v>0</v>
      </c>
    </row>
    <row r="26" spans="1:16" x14ac:dyDescent="0.6">
      <c r="A26" s="24">
        <v>46014</v>
      </c>
      <c r="B26" s="3">
        <v>299385.77</v>
      </c>
      <c r="C26" s="3">
        <v>24090.799999999999</v>
      </c>
      <c r="D26" s="32">
        <f t="shared" si="0"/>
        <v>8.0467418341225769E-2</v>
      </c>
      <c r="E26" s="24">
        <v>46014</v>
      </c>
      <c r="F26" s="3">
        <v>23904</v>
      </c>
      <c r="G26" s="3">
        <v>283.39999999999998</v>
      </c>
      <c r="H26" s="32">
        <f t="shared" si="1"/>
        <v>1.1855756358768406E-2</v>
      </c>
      <c r="I26" s="24">
        <v>46014</v>
      </c>
      <c r="J26" s="3">
        <v>12285.5</v>
      </c>
      <c r="K26" s="3">
        <v>603.37</v>
      </c>
      <c r="L26" s="32">
        <f t="shared" si="2"/>
        <v>4.9112368238980915E-2</v>
      </c>
      <c r="M26" s="24">
        <v>46014</v>
      </c>
      <c r="N26" s="103">
        <v>46812</v>
      </c>
      <c r="O26" s="103">
        <v>0</v>
      </c>
      <c r="P26" s="32">
        <f t="shared" si="3"/>
        <v>0</v>
      </c>
    </row>
    <row r="27" spans="1:16" x14ac:dyDescent="0.6">
      <c r="A27" s="24">
        <v>46015</v>
      </c>
      <c r="B27" s="3">
        <v>330589.51</v>
      </c>
      <c r="C27" s="3">
        <v>21657.3</v>
      </c>
      <c r="D27" s="32">
        <f t="shared" si="0"/>
        <v>6.5511153091336746E-2</v>
      </c>
      <c r="E27" s="24">
        <v>46015</v>
      </c>
      <c r="F27" s="3">
        <v>66315</v>
      </c>
      <c r="G27" s="3">
        <v>273.63</v>
      </c>
      <c r="H27" s="32">
        <f t="shared" si="1"/>
        <v>4.1262157882831938E-3</v>
      </c>
      <c r="I27" s="24">
        <v>46015</v>
      </c>
      <c r="J27" s="3">
        <v>10255.700000000001</v>
      </c>
      <c r="K27" s="3">
        <v>638.17999999999995</v>
      </c>
      <c r="L27" s="32">
        <f t="shared" si="2"/>
        <v>6.2226859210000283E-2</v>
      </c>
      <c r="M27" s="24">
        <v>46015</v>
      </c>
      <c r="N27" s="103">
        <v>41030</v>
      </c>
      <c r="O27" s="103">
        <v>0</v>
      </c>
      <c r="P27" s="32">
        <f t="shared" si="3"/>
        <v>0</v>
      </c>
    </row>
    <row r="28" spans="1:16" x14ac:dyDescent="0.6">
      <c r="A28" s="24">
        <v>46016</v>
      </c>
      <c r="B28" s="3">
        <v>298956.31</v>
      </c>
      <c r="C28" s="3">
        <v>7095.93</v>
      </c>
      <c r="D28" s="32">
        <f t="shared" si="0"/>
        <v>2.373567562430778E-2</v>
      </c>
      <c r="E28" s="24">
        <v>46016</v>
      </c>
      <c r="F28" s="3">
        <v>58140</v>
      </c>
      <c r="G28" s="3">
        <v>293.97000000000003</v>
      </c>
      <c r="H28" s="32">
        <f t="shared" si="1"/>
        <v>5.0562435500515999E-3</v>
      </c>
      <c r="I28" s="24">
        <v>46016</v>
      </c>
      <c r="J28" s="3">
        <v>25718.46</v>
      </c>
      <c r="K28" s="3">
        <v>588.96</v>
      </c>
      <c r="L28" s="32">
        <f t="shared" si="2"/>
        <v>2.2900282520804126E-2</v>
      </c>
      <c r="M28" s="24">
        <v>46016</v>
      </c>
      <c r="N28" s="103">
        <v>71517</v>
      </c>
      <c r="O28" s="103">
        <v>0</v>
      </c>
      <c r="P28" s="32">
        <f t="shared" si="3"/>
        <v>0</v>
      </c>
    </row>
    <row r="29" spans="1:16" x14ac:dyDescent="0.6">
      <c r="A29" s="24">
        <v>46017</v>
      </c>
      <c r="B29" s="3">
        <v>358884.37</v>
      </c>
      <c r="C29" s="3">
        <v>25249.59</v>
      </c>
      <c r="D29" s="32">
        <f t="shared" si="0"/>
        <v>7.0355780609782481E-2</v>
      </c>
      <c r="E29" s="24">
        <v>46017</v>
      </c>
      <c r="F29" s="3">
        <v>31963</v>
      </c>
      <c r="G29" s="3">
        <v>291.64</v>
      </c>
      <c r="H29" s="32">
        <f t="shared" si="1"/>
        <v>9.1242999718424422E-3</v>
      </c>
      <c r="I29" s="24">
        <v>46017</v>
      </c>
      <c r="J29" s="3">
        <v>10802.37</v>
      </c>
      <c r="K29" s="3">
        <v>656.21</v>
      </c>
      <c r="L29" s="32">
        <f t="shared" si="2"/>
        <v>6.0746854625420163E-2</v>
      </c>
      <c r="M29" s="24">
        <v>46017</v>
      </c>
      <c r="N29" s="103">
        <v>44425</v>
      </c>
      <c r="O29" s="103">
        <v>0</v>
      </c>
      <c r="P29" s="32">
        <f t="shared" si="3"/>
        <v>0</v>
      </c>
    </row>
    <row r="30" spans="1:16" x14ac:dyDescent="0.6">
      <c r="A30" s="24">
        <v>46018</v>
      </c>
      <c r="B30" s="3">
        <v>331785.13</v>
      </c>
      <c r="C30" s="3">
        <v>20296.830000000002</v>
      </c>
      <c r="D30" s="32">
        <f t="shared" si="0"/>
        <v>6.1174622262305731E-2</v>
      </c>
      <c r="E30" s="24">
        <v>46018</v>
      </c>
      <c r="F30" s="3">
        <v>44770</v>
      </c>
      <c r="G30" s="3">
        <v>276.51</v>
      </c>
      <c r="H30" s="32">
        <f t="shared" si="1"/>
        <v>6.1762340853249945E-3</v>
      </c>
      <c r="I30" s="24">
        <v>46018</v>
      </c>
      <c r="J30" s="3">
        <v>13941.49</v>
      </c>
      <c r="K30" s="3">
        <v>612.91999999999996</v>
      </c>
      <c r="L30" s="32">
        <f t="shared" si="2"/>
        <v>4.3963737018066218E-2</v>
      </c>
      <c r="M30" s="24">
        <v>46018</v>
      </c>
      <c r="N30" s="103">
        <v>33714</v>
      </c>
      <c r="O30" s="103">
        <v>0</v>
      </c>
      <c r="P30" s="32">
        <f t="shared" si="3"/>
        <v>0</v>
      </c>
    </row>
    <row r="31" spans="1:16" x14ac:dyDescent="0.6">
      <c r="A31" s="24">
        <v>46019</v>
      </c>
      <c r="B31" s="3">
        <v>186552.71</v>
      </c>
      <c r="C31" s="3">
        <v>827.93</v>
      </c>
      <c r="D31" s="32">
        <f t="shared" si="0"/>
        <v>4.4380486351551793E-3</v>
      </c>
      <c r="E31" s="24">
        <v>46019</v>
      </c>
      <c r="F31" s="3">
        <v>42603</v>
      </c>
      <c r="G31" s="3">
        <v>313.22000000000003</v>
      </c>
      <c r="H31" s="32">
        <f t="shared" si="1"/>
        <v>7.3520644086097226E-3</v>
      </c>
      <c r="I31" s="24">
        <v>46019</v>
      </c>
      <c r="J31" s="3">
        <v>16730.16</v>
      </c>
      <c r="K31" s="3">
        <v>607.99</v>
      </c>
      <c r="L31" s="32">
        <f t="shared" si="2"/>
        <v>3.6340955495942656E-2</v>
      </c>
      <c r="M31" s="24">
        <v>46019</v>
      </c>
      <c r="N31" s="103">
        <v>22859</v>
      </c>
      <c r="O31" s="103">
        <v>0</v>
      </c>
      <c r="P31" s="32">
        <f t="shared" si="3"/>
        <v>0</v>
      </c>
    </row>
    <row r="32" spans="1:16" x14ac:dyDescent="0.6">
      <c r="A32" s="24">
        <v>46020</v>
      </c>
      <c r="B32" s="3">
        <v>294796.78000000003</v>
      </c>
      <c r="C32" s="3">
        <v>806.76</v>
      </c>
      <c r="D32" s="32">
        <f t="shared" si="0"/>
        <v>2.7366648984429201E-3</v>
      </c>
      <c r="E32" s="24">
        <v>46020</v>
      </c>
      <c r="F32" s="3">
        <v>52769</v>
      </c>
      <c r="G32" s="3">
        <v>310.26</v>
      </c>
      <c r="H32" s="32">
        <f t="shared" si="1"/>
        <v>5.8795883947014346E-3</v>
      </c>
      <c r="I32" s="24">
        <v>46020</v>
      </c>
      <c r="J32" s="3">
        <v>8125.28</v>
      </c>
      <c r="K32" s="3">
        <v>623.02</v>
      </c>
      <c r="L32" s="32">
        <f t="shared" si="2"/>
        <v>7.66767422168836E-2</v>
      </c>
      <c r="M32" s="24">
        <v>46020</v>
      </c>
      <c r="N32" s="103">
        <v>35758</v>
      </c>
      <c r="O32" s="103">
        <v>0</v>
      </c>
      <c r="P32" s="32">
        <f t="shared" si="3"/>
        <v>0</v>
      </c>
    </row>
    <row r="33" spans="1:16 16384:16384" x14ac:dyDescent="0.6">
      <c r="A33" s="24">
        <v>46021</v>
      </c>
      <c r="B33" s="3">
        <v>93950.78</v>
      </c>
      <c r="C33" s="3">
        <v>803.83</v>
      </c>
      <c r="D33" s="32">
        <f t="shared" si="0"/>
        <v>8.555862974208411E-3</v>
      </c>
      <c r="E33" s="24">
        <v>46021</v>
      </c>
      <c r="F33" s="3">
        <v>43546</v>
      </c>
      <c r="G33" s="3">
        <v>290.88</v>
      </c>
      <c r="H33" s="32">
        <f t="shared" si="1"/>
        <v>6.6798328204657146E-3</v>
      </c>
      <c r="I33" s="24">
        <v>46021</v>
      </c>
      <c r="J33" s="3">
        <v>11012.55</v>
      </c>
      <c r="K33" s="3">
        <v>643.62</v>
      </c>
      <c r="L33" s="32">
        <f t="shared" si="2"/>
        <v>5.8444229538117877E-2</v>
      </c>
      <c r="M33" s="24">
        <v>46021</v>
      </c>
      <c r="N33" s="103">
        <v>36801</v>
      </c>
      <c r="O33" s="103">
        <v>0</v>
      </c>
      <c r="P33" s="32">
        <f t="shared" si="3"/>
        <v>0</v>
      </c>
    </row>
    <row r="34" spans="1:16 16384:16384" x14ac:dyDescent="0.6">
      <c r="A34" s="24">
        <v>46022</v>
      </c>
      <c r="B34" s="3">
        <v>125021.48</v>
      </c>
      <c r="C34" s="3">
        <v>7845.11</v>
      </c>
      <c r="D34" s="32">
        <f t="shared" si="0"/>
        <v>6.2750097023327511E-2</v>
      </c>
      <c r="E34" s="24">
        <v>46022</v>
      </c>
      <c r="F34" s="3">
        <v>0</v>
      </c>
      <c r="G34" s="3">
        <v>262.60000000000002</v>
      </c>
      <c r="H34" s="32">
        <v>0</v>
      </c>
      <c r="I34" s="24">
        <v>46022</v>
      </c>
      <c r="J34" s="3">
        <v>17937.240000000002</v>
      </c>
      <c r="K34" s="3">
        <v>640.32000000000005</v>
      </c>
      <c r="L34" s="32">
        <f t="shared" si="2"/>
        <v>3.5697799661486382E-2</v>
      </c>
      <c r="M34" s="24">
        <v>46022</v>
      </c>
      <c r="N34" s="103">
        <v>11593</v>
      </c>
      <c r="O34" s="103">
        <v>0</v>
      </c>
      <c r="P34" s="32">
        <f t="shared" si="3"/>
        <v>0</v>
      </c>
    </row>
    <row r="35" spans="1:16 16384:16384" s="17" customFormat="1" ht="27" thickBot="1" x14ac:dyDescent="0.75">
      <c r="A35" s="16" t="s">
        <v>11</v>
      </c>
      <c r="B35" s="39">
        <f>SUM(B4:B34)</f>
        <v>5428550.6500000004</v>
      </c>
      <c r="C35" s="39">
        <f t="shared" ref="C35" si="4">SUM(C4:C34)</f>
        <v>419092.68</v>
      </c>
      <c r="D35" s="15" t="s">
        <v>12</v>
      </c>
      <c r="E35" s="16" t="s">
        <v>11</v>
      </c>
      <c r="F35" s="39">
        <f>SUM(F4:F34)</f>
        <v>880595</v>
      </c>
      <c r="G35" s="39">
        <f t="shared" ref="G35" si="5">SUM(G4:G34)</f>
        <v>12298.979999999996</v>
      </c>
      <c r="H35" s="15" t="s">
        <v>12</v>
      </c>
      <c r="I35" s="16" t="s">
        <v>11</v>
      </c>
      <c r="J35" s="39">
        <f>SUM(J4:J34)</f>
        <v>288592.19999999995</v>
      </c>
      <c r="K35" s="39">
        <f t="shared" ref="K35" si="6">SUM(K4:K34)</f>
        <v>19998.57</v>
      </c>
      <c r="L35" s="15" t="s">
        <v>12</v>
      </c>
      <c r="M35" s="16" t="s">
        <v>11</v>
      </c>
      <c r="N35" s="137">
        <f>SUM(N4:N34)</f>
        <v>744982</v>
      </c>
      <c r="O35" s="137">
        <f t="shared" ref="O35" si="7">SUM(O4:O34)</f>
        <v>41026.44</v>
      </c>
      <c r="P35" s="15" t="s">
        <v>12</v>
      </c>
      <c r="XFD35" s="17">
        <f>SUM(A35:XFC35)</f>
        <v>7835136.5200000014</v>
      </c>
    </row>
    <row r="36" spans="1:16 16384:16384" ht="24" thickTop="1" x14ac:dyDescent="0.6">
      <c r="A36" s="6"/>
      <c r="B36" s="6"/>
      <c r="C36" s="6"/>
      <c r="D36" s="33"/>
      <c r="E36" s="6"/>
      <c r="F36" s="6"/>
      <c r="G36" s="6"/>
      <c r="H36" s="26"/>
      <c r="I36" s="6"/>
      <c r="J36" s="6"/>
      <c r="K36" s="6"/>
      <c r="L36" s="26"/>
      <c r="M36" s="6"/>
      <c r="N36" s="133"/>
      <c r="O36" s="133"/>
      <c r="P36" s="26"/>
    </row>
    <row r="37" spans="1:16 16384:16384" ht="23.4" customHeight="1" x14ac:dyDescent="0.6">
      <c r="A37" s="6"/>
      <c r="B37" s="116" t="s">
        <v>35</v>
      </c>
      <c r="C37" s="117"/>
      <c r="D37" s="117"/>
      <c r="E37" s="118"/>
      <c r="F37" s="7"/>
      <c r="G37" s="37"/>
      <c r="H37" s="6"/>
      <c r="I37" s="6"/>
      <c r="J37" s="6"/>
      <c r="K37" s="26"/>
      <c r="L37" s="6"/>
      <c r="M37" s="6"/>
      <c r="N37" s="133"/>
      <c r="O37" s="138"/>
      <c r="P37" s="1"/>
    </row>
    <row r="38" spans="1:16 16384:16384" x14ac:dyDescent="0.6">
      <c r="A38" s="8"/>
      <c r="B38" s="47" t="s">
        <v>9</v>
      </c>
      <c r="C38" s="47" t="s">
        <v>5</v>
      </c>
      <c r="D38" s="47" t="s">
        <v>6</v>
      </c>
      <c r="E38" s="47" t="s">
        <v>7</v>
      </c>
      <c r="F38" s="8"/>
      <c r="G38" s="26"/>
      <c r="H38" s="8"/>
      <c r="I38" s="8"/>
      <c r="J38" s="8"/>
      <c r="K38" s="26"/>
      <c r="L38" s="9"/>
      <c r="M38" s="6"/>
      <c r="N38" s="133"/>
      <c r="O38" s="138"/>
      <c r="P38" s="1"/>
    </row>
    <row r="39" spans="1:16 16384:16384" x14ac:dyDescent="0.6">
      <c r="A39" s="10"/>
      <c r="B39" s="40" t="s">
        <v>0</v>
      </c>
      <c r="C39" s="41">
        <f>+B35</f>
        <v>5428550.6500000004</v>
      </c>
      <c r="D39" s="41">
        <f>+C35</f>
        <v>419092.68</v>
      </c>
      <c r="E39" s="43">
        <f>+D39/C39</f>
        <v>7.7201578657095149E-2</v>
      </c>
      <c r="F39" s="10"/>
      <c r="G39" s="28"/>
      <c r="H39" s="10"/>
      <c r="I39" s="10"/>
      <c r="J39" s="10"/>
      <c r="K39" s="26"/>
      <c r="L39" s="6"/>
      <c r="M39" s="6"/>
      <c r="N39" s="133"/>
      <c r="O39" s="138"/>
      <c r="P39" s="1"/>
    </row>
    <row r="40" spans="1:16 16384:16384" x14ac:dyDescent="0.6">
      <c r="A40" s="2"/>
      <c r="B40" s="40" t="s">
        <v>1</v>
      </c>
      <c r="C40" s="42">
        <f>+F35</f>
        <v>880595</v>
      </c>
      <c r="D40" s="42">
        <f>+G35</f>
        <v>12298.979999999996</v>
      </c>
      <c r="E40" s="43">
        <f t="shared" ref="E40:E41" si="8">+D40/C40</f>
        <v>1.3966670262720087E-2</v>
      </c>
      <c r="F40" s="11"/>
      <c r="G40" s="29"/>
      <c r="H40" s="12"/>
      <c r="I40" s="11"/>
      <c r="J40" s="13"/>
      <c r="K40" s="26"/>
      <c r="L40" s="2"/>
      <c r="M40" s="3"/>
      <c r="N40" s="133"/>
      <c r="O40" s="138"/>
      <c r="P40" s="1"/>
    </row>
    <row r="41" spans="1:16 16384:16384" x14ac:dyDescent="0.6">
      <c r="A41" s="2"/>
      <c r="B41" s="40" t="s">
        <v>2</v>
      </c>
      <c r="C41" s="42">
        <f>+J35</f>
        <v>288592.19999999995</v>
      </c>
      <c r="D41" s="42">
        <f>+K35</f>
        <v>19998.57</v>
      </c>
      <c r="E41" s="43">
        <f t="shared" si="8"/>
        <v>6.9296987236661292E-2</v>
      </c>
      <c r="F41" s="11"/>
      <c r="G41" s="29"/>
      <c r="H41" s="12"/>
      <c r="I41" s="11"/>
      <c r="J41" s="13"/>
      <c r="K41" s="26"/>
      <c r="L41" s="2"/>
      <c r="M41" s="3"/>
      <c r="N41" s="133"/>
      <c r="O41" s="138"/>
      <c r="P41" s="1"/>
    </row>
    <row r="42" spans="1:16 16384:16384" x14ac:dyDescent="0.6">
      <c r="A42" s="2"/>
      <c r="B42" s="40" t="s">
        <v>3</v>
      </c>
      <c r="C42" s="42">
        <f>+N35</f>
        <v>744982</v>
      </c>
      <c r="D42" s="42">
        <f>+O35</f>
        <v>41026.44</v>
      </c>
      <c r="E42" s="43">
        <f>+D42/C42</f>
        <v>5.5070377539323104E-2</v>
      </c>
      <c r="F42" s="11"/>
      <c r="G42" s="29"/>
      <c r="H42" s="12"/>
      <c r="I42" s="11"/>
      <c r="J42" s="13"/>
      <c r="K42" s="26"/>
      <c r="L42" s="2"/>
      <c r="M42" s="3"/>
      <c r="N42" s="133"/>
      <c r="O42" s="138"/>
      <c r="P42" s="1"/>
    </row>
    <row r="43" spans="1:16 16384:16384" x14ac:dyDescent="0.6">
      <c r="A43" s="2"/>
      <c r="B43" s="44" t="s">
        <v>10</v>
      </c>
      <c r="C43" s="45">
        <f>SUM(C39:C42)</f>
        <v>7342719.8500000006</v>
      </c>
      <c r="D43" s="45">
        <f>SUM(D39:D42)</f>
        <v>492416.67</v>
      </c>
      <c r="E43" s="46">
        <f>+D43/C43</f>
        <v>6.7061889879946865E-2</v>
      </c>
      <c r="F43" s="11"/>
      <c r="G43" s="29"/>
      <c r="H43" s="12"/>
      <c r="I43" s="11"/>
      <c r="J43" s="13"/>
      <c r="K43" s="26"/>
      <c r="L43" s="2"/>
      <c r="M43" s="3"/>
      <c r="N43" s="133"/>
      <c r="O43" s="138"/>
      <c r="P43" s="1"/>
    </row>
    <row r="44" spans="1:16 16384:16384" x14ac:dyDescent="0.6">
      <c r="A44" s="2"/>
      <c r="B44" s="6"/>
      <c r="C44" s="6"/>
      <c r="D44" s="34"/>
      <c r="E44" s="6"/>
      <c r="F44" s="6"/>
      <c r="G44" s="8"/>
      <c r="H44" s="29"/>
      <c r="I44" s="14"/>
      <c r="J44" s="10"/>
      <c r="K44" s="10"/>
      <c r="L44" s="26"/>
      <c r="M44" s="2"/>
      <c r="N44" s="103"/>
      <c r="O44" s="133"/>
      <c r="P44" s="26"/>
    </row>
    <row r="45" spans="1:16 16384:16384" x14ac:dyDescent="0.6">
      <c r="A45" s="2"/>
      <c r="B45" s="6"/>
      <c r="C45" s="6"/>
      <c r="D45" s="32"/>
      <c r="E45" s="6"/>
      <c r="F45" s="6"/>
      <c r="G45" s="6"/>
      <c r="H45" s="26"/>
      <c r="I45" s="6"/>
      <c r="J45" s="6"/>
      <c r="K45" s="6"/>
      <c r="L45" s="26"/>
      <c r="M45" s="2"/>
      <c r="N45" s="103"/>
      <c r="O45" s="133"/>
      <c r="P45" s="26"/>
    </row>
    <row r="46" spans="1:16 16384:16384" x14ac:dyDescent="0.6">
      <c r="A46" s="2"/>
      <c r="B46" s="6"/>
      <c r="C46" s="6"/>
      <c r="D46" s="32"/>
      <c r="E46" s="6"/>
      <c r="F46" s="6"/>
      <c r="G46" s="6"/>
      <c r="H46" s="26"/>
      <c r="I46" s="6"/>
      <c r="J46" s="6"/>
      <c r="K46" s="6"/>
      <c r="L46" s="26"/>
      <c r="M46" s="2"/>
      <c r="N46" s="103"/>
      <c r="O46" s="133"/>
      <c r="P46" s="26"/>
    </row>
    <row r="47" spans="1:16 16384:16384" x14ac:dyDescent="0.6">
      <c r="A47" s="2"/>
      <c r="B47" s="6"/>
      <c r="C47" s="6"/>
      <c r="D47" s="32"/>
      <c r="E47" s="6"/>
      <c r="F47" s="6"/>
      <c r="G47" s="6"/>
      <c r="H47" s="26"/>
      <c r="I47" s="6"/>
      <c r="J47" s="6"/>
      <c r="K47" s="6"/>
      <c r="L47" s="26"/>
      <c r="M47" s="2"/>
      <c r="N47" s="103"/>
      <c r="O47" s="133"/>
      <c r="P47" s="26"/>
    </row>
    <row r="48" spans="1:16 16384:16384" x14ac:dyDescent="0.6">
      <c r="A48" s="2"/>
      <c r="B48" s="6"/>
      <c r="C48" s="6"/>
      <c r="D48" s="32"/>
      <c r="E48" s="6"/>
      <c r="F48" s="6"/>
      <c r="G48" s="6"/>
      <c r="H48" s="26"/>
      <c r="I48" s="6"/>
      <c r="J48" s="6"/>
      <c r="K48" s="6"/>
      <c r="L48" s="26"/>
      <c r="M48" s="2"/>
      <c r="N48" s="103"/>
      <c r="O48" s="133"/>
      <c r="P48" s="26"/>
    </row>
    <row r="49" spans="1:16" x14ac:dyDescent="0.6">
      <c r="A49" s="2"/>
      <c r="B49" s="6"/>
      <c r="C49" s="6"/>
      <c r="D49" s="32"/>
      <c r="E49" s="6"/>
      <c r="F49" s="6"/>
      <c r="G49" s="6"/>
      <c r="H49" s="26"/>
      <c r="I49" s="6"/>
      <c r="J49" s="6"/>
      <c r="K49" s="6"/>
      <c r="L49" s="26"/>
      <c r="M49" s="2"/>
      <c r="N49" s="103"/>
      <c r="O49" s="133"/>
      <c r="P49" s="26"/>
    </row>
    <row r="50" spans="1:16" x14ac:dyDescent="0.6">
      <c r="A50" s="2"/>
      <c r="B50" s="6"/>
      <c r="C50" s="6"/>
      <c r="D50" s="32"/>
      <c r="E50" s="6"/>
      <c r="F50" s="6"/>
      <c r="G50" s="6"/>
      <c r="H50" s="26"/>
      <c r="I50" s="6"/>
      <c r="J50" s="6"/>
      <c r="K50" s="6"/>
      <c r="L50" s="26"/>
      <c r="M50" s="2"/>
      <c r="N50" s="103"/>
      <c r="O50" s="133"/>
      <c r="P50" s="26"/>
    </row>
    <row r="51" spans="1:16" x14ac:dyDescent="0.6">
      <c r="A51" s="2"/>
      <c r="B51" s="6"/>
      <c r="C51" s="6"/>
      <c r="D51" s="32"/>
      <c r="E51" s="6"/>
      <c r="F51" s="6"/>
      <c r="G51" s="6"/>
      <c r="H51" s="26"/>
      <c r="I51" s="6"/>
      <c r="J51" s="6"/>
      <c r="K51" s="6"/>
      <c r="L51" s="26"/>
      <c r="M51" s="2"/>
      <c r="N51" s="103"/>
      <c r="O51" s="133"/>
      <c r="P51" s="26"/>
    </row>
    <row r="52" spans="1:16" x14ac:dyDescent="0.6">
      <c r="A52" s="2"/>
      <c r="B52" s="6"/>
      <c r="C52" s="6"/>
      <c r="D52" s="32"/>
      <c r="E52" s="6"/>
      <c r="F52" s="6"/>
      <c r="G52" s="6"/>
      <c r="H52" s="26"/>
      <c r="I52" s="6"/>
      <c r="J52" s="6"/>
      <c r="K52" s="6"/>
      <c r="L52" s="26"/>
      <c r="M52" s="2"/>
      <c r="N52" s="103"/>
      <c r="O52" s="133"/>
      <c r="P52" s="26"/>
    </row>
    <row r="53" spans="1:16" x14ac:dyDescent="0.6">
      <c r="A53" s="2"/>
      <c r="B53" s="6"/>
      <c r="C53" s="6"/>
      <c r="D53" s="32"/>
      <c r="E53" s="6"/>
      <c r="F53" s="6"/>
      <c r="G53" s="6"/>
      <c r="H53" s="26"/>
      <c r="I53" s="6"/>
      <c r="J53" s="6"/>
      <c r="K53" s="6"/>
      <c r="L53" s="26"/>
      <c r="M53" s="2"/>
      <c r="N53" s="103"/>
      <c r="O53" s="133"/>
      <c r="P53" s="26"/>
    </row>
    <row r="54" spans="1:16" x14ac:dyDescent="0.6">
      <c r="A54" s="2"/>
      <c r="B54" s="6"/>
      <c r="C54" s="6"/>
      <c r="D54" s="32"/>
      <c r="E54" s="6"/>
      <c r="F54" s="6"/>
      <c r="G54" s="6"/>
      <c r="H54" s="26"/>
      <c r="I54" s="6"/>
      <c r="J54" s="6"/>
      <c r="K54" s="6"/>
      <c r="L54" s="26"/>
      <c r="M54" s="2"/>
      <c r="N54" s="103"/>
      <c r="O54" s="133"/>
      <c r="P54" s="26"/>
    </row>
    <row r="55" spans="1:16" x14ac:dyDescent="0.6">
      <c r="A55" s="2"/>
      <c r="B55" s="6"/>
      <c r="C55" s="6"/>
      <c r="D55" s="32"/>
      <c r="E55" s="6"/>
      <c r="F55" s="6"/>
      <c r="G55" s="6"/>
      <c r="H55" s="26"/>
      <c r="I55" s="6"/>
      <c r="J55" s="6"/>
      <c r="K55" s="6"/>
      <c r="L55" s="26"/>
      <c r="M55" s="2"/>
      <c r="N55" s="103"/>
      <c r="O55" s="133"/>
      <c r="P55" s="26"/>
    </row>
    <row r="56" spans="1:16" x14ac:dyDescent="0.6">
      <c r="A56" s="2"/>
      <c r="B56" s="6"/>
      <c r="C56" s="6"/>
      <c r="D56" s="32"/>
      <c r="E56" s="6"/>
      <c r="F56" s="6"/>
      <c r="G56" s="6"/>
      <c r="H56" s="26"/>
      <c r="I56" s="6"/>
      <c r="J56" s="6"/>
      <c r="K56" s="6"/>
      <c r="L56" s="26"/>
      <c r="M56" s="2"/>
      <c r="N56" s="103"/>
      <c r="O56" s="133"/>
      <c r="P56" s="26"/>
    </row>
    <row r="57" spans="1:16" x14ac:dyDescent="0.6">
      <c r="A57" s="2"/>
      <c r="B57" s="6"/>
      <c r="C57" s="6"/>
      <c r="D57" s="32"/>
      <c r="E57" s="6"/>
      <c r="F57" s="6"/>
      <c r="G57" s="6"/>
      <c r="H57" s="26"/>
      <c r="I57" s="6"/>
      <c r="J57" s="6"/>
      <c r="K57" s="6"/>
      <c r="L57" s="26"/>
      <c r="M57" s="2"/>
      <c r="N57" s="103"/>
      <c r="O57" s="133"/>
      <c r="P57" s="26"/>
    </row>
    <row r="58" spans="1:16" x14ac:dyDescent="0.6">
      <c r="A58" s="2"/>
      <c r="B58" s="6"/>
      <c r="C58" s="6"/>
      <c r="D58" s="32"/>
      <c r="E58" s="6"/>
      <c r="F58" s="6"/>
      <c r="G58" s="6"/>
      <c r="H58" s="26"/>
      <c r="I58" s="6"/>
      <c r="J58" s="6"/>
      <c r="K58" s="6"/>
      <c r="L58" s="26"/>
      <c r="M58" s="2"/>
      <c r="N58" s="103"/>
      <c r="O58" s="133"/>
      <c r="P58" s="26"/>
    </row>
    <row r="59" spans="1:16" x14ac:dyDescent="0.6">
      <c r="A59" s="2"/>
      <c r="B59" s="6"/>
      <c r="C59" s="6"/>
      <c r="D59" s="32"/>
      <c r="E59" s="6"/>
      <c r="F59" s="6"/>
      <c r="G59" s="6"/>
      <c r="H59" s="26"/>
      <c r="I59" s="6"/>
      <c r="J59" s="6"/>
      <c r="K59" s="6"/>
      <c r="L59" s="26"/>
      <c r="M59" s="2"/>
      <c r="N59" s="103"/>
      <c r="O59" s="133"/>
      <c r="P59" s="26"/>
    </row>
    <row r="60" spans="1:16" x14ac:dyDescent="0.6">
      <c r="A60" s="2"/>
      <c r="B60" s="6"/>
      <c r="C60" s="6"/>
      <c r="D60" s="32"/>
      <c r="E60" s="6"/>
      <c r="F60" s="6"/>
      <c r="G60" s="6"/>
      <c r="H60" s="26"/>
      <c r="I60" s="6"/>
      <c r="J60" s="6"/>
      <c r="K60" s="6"/>
      <c r="L60" s="26"/>
      <c r="M60" s="2"/>
      <c r="N60" s="103"/>
      <c r="O60" s="133"/>
      <c r="P60" s="26"/>
    </row>
    <row r="61" spans="1:16" x14ac:dyDescent="0.6">
      <c r="A61" s="2"/>
      <c r="B61" s="6"/>
      <c r="C61" s="6"/>
      <c r="D61" s="32"/>
      <c r="E61" s="6"/>
      <c r="F61" s="6"/>
      <c r="G61" s="6"/>
      <c r="H61" s="26"/>
      <c r="I61" s="6"/>
      <c r="J61" s="6"/>
      <c r="K61" s="6"/>
      <c r="L61" s="26"/>
      <c r="M61" s="2"/>
      <c r="N61" s="103"/>
      <c r="O61" s="133"/>
      <c r="P61" s="26"/>
    </row>
    <row r="62" spans="1:16" x14ac:dyDescent="0.6">
      <c r="A62" s="2"/>
      <c r="B62" s="6"/>
      <c r="C62" s="6"/>
      <c r="D62" s="32"/>
      <c r="E62" s="6"/>
      <c r="F62" s="6"/>
      <c r="G62" s="6"/>
      <c r="H62" s="26"/>
      <c r="I62" s="6"/>
      <c r="J62" s="6"/>
      <c r="K62" s="6"/>
      <c r="L62" s="26"/>
      <c r="M62" s="2"/>
      <c r="N62" s="103"/>
      <c r="O62" s="133"/>
      <c r="P62" s="26"/>
    </row>
    <row r="63" spans="1:16" x14ac:dyDescent="0.6">
      <c r="A63" s="2"/>
      <c r="B63" s="6"/>
      <c r="C63" s="6"/>
      <c r="D63" s="32"/>
      <c r="E63" s="6"/>
      <c r="F63" s="6"/>
      <c r="G63" s="6"/>
      <c r="H63" s="26"/>
      <c r="I63" s="6"/>
      <c r="J63" s="6"/>
      <c r="K63" s="6"/>
      <c r="L63" s="26"/>
      <c r="M63" s="2"/>
      <c r="N63" s="103"/>
      <c r="O63" s="133"/>
      <c r="P63" s="26"/>
    </row>
    <row r="64" spans="1:16" x14ac:dyDescent="0.6">
      <c r="A64" s="2"/>
      <c r="B64" s="6"/>
      <c r="C64" s="6"/>
      <c r="D64" s="32"/>
      <c r="E64" s="6"/>
      <c r="F64" s="6"/>
      <c r="G64" s="6"/>
      <c r="H64" s="26"/>
      <c r="I64" s="6"/>
      <c r="J64" s="6"/>
      <c r="K64" s="6"/>
      <c r="L64" s="26"/>
      <c r="M64" s="2"/>
      <c r="N64" s="103"/>
      <c r="O64" s="133"/>
      <c r="P64" s="26"/>
    </row>
    <row r="65" spans="1:16" x14ac:dyDescent="0.6">
      <c r="A65" s="2"/>
      <c r="B65" s="6"/>
      <c r="C65" s="6"/>
      <c r="D65" s="32"/>
      <c r="E65" s="6"/>
      <c r="F65" s="6"/>
      <c r="G65" s="6"/>
      <c r="H65" s="26"/>
      <c r="I65" s="6"/>
      <c r="J65" s="6"/>
      <c r="K65" s="6"/>
      <c r="L65" s="26"/>
      <c r="M65" s="2"/>
      <c r="N65" s="103"/>
      <c r="O65" s="133"/>
      <c r="P65" s="26"/>
    </row>
    <row r="66" spans="1:16" x14ac:dyDescent="0.6">
      <c r="A66" s="2"/>
      <c r="B66" s="6"/>
      <c r="C66" s="6"/>
      <c r="D66" s="32"/>
      <c r="E66" s="6"/>
      <c r="F66" s="6"/>
      <c r="G66" s="6"/>
      <c r="H66" s="26"/>
      <c r="I66" s="6"/>
      <c r="J66" s="6"/>
      <c r="K66" s="6"/>
      <c r="L66" s="26"/>
      <c r="M66" s="2"/>
      <c r="N66" s="103"/>
      <c r="O66" s="133"/>
      <c r="P66" s="26"/>
    </row>
    <row r="67" spans="1:16" x14ac:dyDescent="0.6">
      <c r="A67" s="2"/>
      <c r="B67" s="6"/>
      <c r="C67" s="6"/>
      <c r="D67" s="32"/>
      <c r="E67" s="6"/>
      <c r="F67" s="6"/>
      <c r="G67" s="6"/>
      <c r="H67" s="26"/>
      <c r="I67" s="6"/>
      <c r="J67" s="6"/>
      <c r="K67" s="6"/>
      <c r="L67" s="26"/>
      <c r="M67" s="2"/>
      <c r="N67" s="103"/>
      <c r="O67" s="133"/>
      <c r="P67" s="26"/>
    </row>
    <row r="68" spans="1:16" x14ac:dyDescent="0.6">
      <c r="A68" s="2"/>
      <c r="B68" s="6"/>
      <c r="C68" s="6"/>
      <c r="D68" s="32"/>
      <c r="E68" s="6"/>
      <c r="F68" s="6"/>
      <c r="G68" s="6"/>
      <c r="H68" s="26"/>
      <c r="I68" s="6"/>
      <c r="J68" s="6"/>
      <c r="K68" s="6"/>
      <c r="L68" s="26"/>
      <c r="M68" s="2"/>
      <c r="N68" s="103"/>
      <c r="O68" s="133"/>
      <c r="P68" s="26"/>
    </row>
    <row r="69" spans="1:16" x14ac:dyDescent="0.6">
      <c r="A69" s="2"/>
      <c r="B69" s="6"/>
      <c r="C69" s="6"/>
      <c r="D69" s="32"/>
      <c r="E69" s="6"/>
      <c r="F69" s="6"/>
      <c r="G69" s="6"/>
      <c r="H69" s="26"/>
      <c r="I69" s="6"/>
      <c r="J69" s="6"/>
      <c r="K69" s="6"/>
      <c r="L69" s="26"/>
      <c r="M69" s="2"/>
      <c r="N69" s="103"/>
      <c r="O69" s="133"/>
      <c r="P69" s="26"/>
    </row>
    <row r="70" spans="1:16" x14ac:dyDescent="0.6">
      <c r="A70" s="2"/>
      <c r="B70" s="6"/>
      <c r="C70" s="6"/>
      <c r="D70" s="33"/>
      <c r="E70" s="6"/>
      <c r="F70" s="6"/>
      <c r="G70" s="6"/>
      <c r="H70" s="26"/>
      <c r="I70" s="6"/>
      <c r="J70" s="6"/>
      <c r="K70" s="6"/>
      <c r="L70" s="26"/>
      <c r="M70" s="2"/>
      <c r="N70" s="103"/>
      <c r="O70" s="133"/>
      <c r="P70" s="26"/>
    </row>
  </sheetData>
  <mergeCells count="5">
    <mergeCell ref="A2:D2"/>
    <mergeCell ref="E2:H2"/>
    <mergeCell ref="I2:L2"/>
    <mergeCell ref="M2:P2"/>
    <mergeCell ref="B37:E37"/>
  </mergeCells>
  <pageMargins left="0.7" right="0.7" top="0.75" bottom="0.75" header="0.3" footer="0.3"/>
  <pageSetup paperSize="9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13</vt:i4>
      </vt:variant>
    </vt:vector>
  </HeadingPairs>
  <TitlesOfParts>
    <vt:vector size="13" baseType="lpstr">
      <vt:lpstr>ALL</vt:lpstr>
      <vt:lpstr>ก.พ.</vt:lpstr>
      <vt:lpstr>ม.ค.</vt:lpstr>
      <vt:lpstr>มี.ค.</vt:lpstr>
      <vt:lpstr>เม.ย.</vt:lpstr>
      <vt:lpstr>พ.ค.</vt:lpstr>
      <vt:lpstr>มิ.ย.</vt:lpstr>
      <vt:lpstr>ก.ค.</vt:lpstr>
      <vt:lpstr>ส.ค.</vt:lpstr>
      <vt:lpstr>ก.ย.</vt:lpstr>
      <vt:lpstr>ต.ค.</vt:lpstr>
      <vt:lpstr>พ.ย.</vt:lpstr>
      <vt:lpstr>ธ.ค.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Wanwanach SupTelesale</cp:lastModifiedBy>
  <dcterms:created xsi:type="dcterms:W3CDTF">2025-04-01T08:38:33Z</dcterms:created>
  <dcterms:modified xsi:type="dcterms:W3CDTF">2026-01-02T08:06:25Z</dcterms:modified>
</cp:coreProperties>
</file>