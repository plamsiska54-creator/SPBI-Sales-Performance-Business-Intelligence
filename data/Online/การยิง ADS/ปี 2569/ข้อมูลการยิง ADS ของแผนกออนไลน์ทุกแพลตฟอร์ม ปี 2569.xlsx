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การยิง ADS\ปี 2569\"/>
    </mc:Choice>
  </mc:AlternateContent>
  <xr:revisionPtr revIDLastSave="0" documentId="13_ncr:1_{CDADF168-E33F-4DBA-AB4F-06214C2185B7}" xr6:coauthVersionLast="47" xr6:coauthVersionMax="47" xr10:uidLastSave="{00000000-0000-0000-0000-000000000000}"/>
  <bookViews>
    <workbookView xWindow="28680" yWindow="-120" windowWidth="29040" windowHeight="15720" tabRatio="1000" xr2:uid="{ED406515-E595-494B-897C-2891E2E7B63C}"/>
  </bookViews>
  <sheets>
    <sheet name="ALL" sheetId="13" r:id="rId1"/>
    <sheet name="ม.ค." sheetId="1" r:id="rId2"/>
    <sheet name="ก.พ." sheetId="2" r:id="rId3"/>
    <sheet name="มี.ค." sheetId="3" r:id="rId4"/>
    <sheet name="เม.ย." sheetId="4" r:id="rId5"/>
    <sheet name="พ.ค." sheetId="5" r:id="rId6"/>
    <sheet name="มิ.ย." sheetId="6" r:id="rId7"/>
    <sheet name="ก.ค." sheetId="7" r:id="rId8"/>
    <sheet name="ส.ค." sheetId="8" r:id="rId9"/>
    <sheet name="ก.ย." sheetId="9" r:id="rId10"/>
    <sheet name="ต.ค." sheetId="10" r:id="rId11"/>
    <sheet name="พ.ย." sheetId="11" r:id="rId12"/>
    <sheet name="ธ.ค.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6" l="1"/>
  <c r="D43" i="6"/>
  <c r="C43" i="6"/>
  <c r="D42" i="6"/>
  <c r="E42" i="6" s="1"/>
  <c r="C42" i="6"/>
  <c r="D41" i="6"/>
  <c r="E41" i="6" s="1"/>
  <c r="C41" i="6"/>
  <c r="D40" i="6"/>
  <c r="D44" i="6" s="1"/>
  <c r="C40" i="6"/>
  <c r="C44" i="6" s="1"/>
  <c r="O35" i="6"/>
  <c r="N35" i="6"/>
  <c r="K35" i="6"/>
  <c r="L9" i="13" s="1"/>
  <c r="J35" i="6"/>
  <c r="G35" i="6"/>
  <c r="F35" i="6"/>
  <c r="C35" i="6"/>
  <c r="F9" i="13" s="1"/>
  <c r="B35" i="6"/>
  <c r="R34" i="6"/>
  <c r="Q34" i="6"/>
  <c r="P34" i="6"/>
  <c r="R33" i="6"/>
  <c r="S33" i="6" s="1"/>
  <c r="Q33" i="6"/>
  <c r="S32" i="6"/>
  <c r="R32" i="6"/>
  <c r="Q32" i="6"/>
  <c r="P32" i="6"/>
  <c r="L32" i="6"/>
  <c r="D32" i="6"/>
  <c r="R31" i="6"/>
  <c r="S31" i="6" s="1"/>
  <c r="Q31" i="6"/>
  <c r="P31" i="6"/>
  <c r="H31" i="6"/>
  <c r="D31" i="6"/>
  <c r="R30" i="6"/>
  <c r="S30" i="6" s="1"/>
  <c r="Q30" i="6"/>
  <c r="P30" i="6"/>
  <c r="L30" i="6"/>
  <c r="D30" i="6"/>
  <c r="R29" i="6"/>
  <c r="S29" i="6" s="1"/>
  <c r="Q29" i="6"/>
  <c r="P29" i="6"/>
  <c r="D29" i="6"/>
  <c r="R28" i="6"/>
  <c r="S28" i="6" s="1"/>
  <c r="Q28" i="6"/>
  <c r="P28" i="6"/>
  <c r="L28" i="6"/>
  <c r="H28" i="6"/>
  <c r="D28" i="6"/>
  <c r="R27" i="6"/>
  <c r="S27" i="6" s="1"/>
  <c r="Q27" i="6"/>
  <c r="P27" i="6"/>
  <c r="L27" i="6"/>
  <c r="H27" i="6"/>
  <c r="D27" i="6"/>
  <c r="R26" i="6"/>
  <c r="S26" i="6" s="1"/>
  <c r="Q26" i="6"/>
  <c r="P26" i="6"/>
  <c r="L26" i="6"/>
  <c r="H26" i="6"/>
  <c r="D26" i="6"/>
  <c r="R25" i="6"/>
  <c r="S25" i="6" s="1"/>
  <c r="Q25" i="6"/>
  <c r="P25" i="6"/>
  <c r="L25" i="6"/>
  <c r="H25" i="6"/>
  <c r="D25" i="6"/>
  <c r="R24" i="6"/>
  <c r="S24" i="6" s="1"/>
  <c r="Q24" i="6"/>
  <c r="P24" i="6"/>
  <c r="L24" i="6"/>
  <c r="H24" i="6"/>
  <c r="D24" i="6"/>
  <c r="R23" i="6"/>
  <c r="S23" i="6" s="1"/>
  <c r="Q23" i="6"/>
  <c r="P23" i="6"/>
  <c r="L23" i="6"/>
  <c r="D23" i="6"/>
  <c r="S22" i="6"/>
  <c r="R22" i="6"/>
  <c r="Q22" i="6"/>
  <c r="P22" i="6"/>
  <c r="L22" i="6"/>
  <c r="H22" i="6"/>
  <c r="D22" i="6"/>
  <c r="R21" i="6"/>
  <c r="S21" i="6" s="1"/>
  <c r="Q21" i="6"/>
  <c r="P21" i="6"/>
  <c r="L21" i="6"/>
  <c r="H21" i="6"/>
  <c r="D21" i="6"/>
  <c r="R20" i="6"/>
  <c r="S20" i="6" s="1"/>
  <c r="Q20" i="6"/>
  <c r="P20" i="6"/>
  <c r="L20" i="6"/>
  <c r="H20" i="6"/>
  <c r="D20" i="6"/>
  <c r="R19" i="6"/>
  <c r="S19" i="6" s="1"/>
  <c r="Q19" i="6"/>
  <c r="P19" i="6"/>
  <c r="L19" i="6"/>
  <c r="H19" i="6"/>
  <c r="D19" i="6"/>
  <c r="R18" i="6"/>
  <c r="S18" i="6" s="1"/>
  <c r="Q18" i="6"/>
  <c r="P18" i="6"/>
  <c r="L18" i="6"/>
  <c r="H18" i="6"/>
  <c r="D18" i="6"/>
  <c r="R17" i="6"/>
  <c r="S17" i="6" s="1"/>
  <c r="Q17" i="6"/>
  <c r="P17" i="6"/>
  <c r="L17" i="6"/>
  <c r="H17" i="6"/>
  <c r="D17" i="6"/>
  <c r="R16" i="6"/>
  <c r="S16" i="6" s="1"/>
  <c r="Q16" i="6"/>
  <c r="P16" i="6"/>
  <c r="L16" i="6"/>
  <c r="H16" i="6"/>
  <c r="D16" i="6"/>
  <c r="S15" i="6"/>
  <c r="R15" i="6"/>
  <c r="Q15" i="6"/>
  <c r="P15" i="6"/>
  <c r="L15" i="6"/>
  <c r="H15" i="6"/>
  <c r="D15" i="6"/>
  <c r="S14" i="6"/>
  <c r="R14" i="6"/>
  <c r="Q14" i="6"/>
  <c r="P14" i="6"/>
  <c r="L14" i="6"/>
  <c r="H14" i="6"/>
  <c r="D14" i="6"/>
  <c r="R13" i="6"/>
  <c r="S13" i="6" s="1"/>
  <c r="Q13" i="6"/>
  <c r="P13" i="6"/>
  <c r="L13" i="6"/>
  <c r="H13" i="6"/>
  <c r="D13" i="6"/>
  <c r="R12" i="6"/>
  <c r="S12" i="6" s="1"/>
  <c r="Q12" i="6"/>
  <c r="P12" i="6"/>
  <c r="L12" i="6"/>
  <c r="H12" i="6"/>
  <c r="D12" i="6"/>
  <c r="R11" i="6"/>
  <c r="S11" i="6" s="1"/>
  <c r="Q11" i="6"/>
  <c r="P11" i="6"/>
  <c r="L11" i="6"/>
  <c r="H11" i="6"/>
  <c r="D11" i="6"/>
  <c r="S10" i="6"/>
  <c r="R10" i="6"/>
  <c r="Q10" i="6"/>
  <c r="P10" i="6"/>
  <c r="L10" i="6"/>
  <c r="H10" i="6"/>
  <c r="D10" i="6"/>
  <c r="R9" i="6"/>
  <c r="S9" i="6" s="1"/>
  <c r="Q9" i="6"/>
  <c r="P9" i="6"/>
  <c r="L9" i="6"/>
  <c r="H9" i="6"/>
  <c r="D9" i="6"/>
  <c r="R8" i="6"/>
  <c r="S8" i="6" s="1"/>
  <c r="Q8" i="6"/>
  <c r="P8" i="6"/>
  <c r="L8" i="6"/>
  <c r="H8" i="6"/>
  <c r="D8" i="6"/>
  <c r="R7" i="6"/>
  <c r="S7" i="6" s="1"/>
  <c r="Q7" i="6"/>
  <c r="P7" i="6"/>
  <c r="L7" i="6"/>
  <c r="H7" i="6"/>
  <c r="D7" i="6"/>
  <c r="S6" i="6"/>
  <c r="R6" i="6"/>
  <c r="Q6" i="6"/>
  <c r="P6" i="6"/>
  <c r="L6" i="6"/>
  <c r="H6" i="6"/>
  <c r="D6" i="6"/>
  <c r="R5" i="6"/>
  <c r="S5" i="6" s="1"/>
  <c r="Q5" i="6"/>
  <c r="P5" i="6"/>
  <c r="L5" i="6"/>
  <c r="H5" i="6"/>
  <c r="D5" i="6"/>
  <c r="R4" i="6"/>
  <c r="S4" i="6" s="1"/>
  <c r="Q4" i="6"/>
  <c r="Q35" i="6" s="1"/>
  <c r="P4" i="6"/>
  <c r="L4" i="6"/>
  <c r="H4" i="6"/>
  <c r="D4" i="6"/>
  <c r="O9" i="13"/>
  <c r="N9" i="13"/>
  <c r="K9" i="13"/>
  <c r="I9" i="13"/>
  <c r="H9" i="13"/>
  <c r="E44" i="6" l="1"/>
  <c r="E40" i="6"/>
  <c r="R35" i="6"/>
  <c r="XFD35" i="6"/>
  <c r="E9" i="13" l="1"/>
  <c r="M38" i="13" l="1"/>
  <c r="D43" i="5" l="1"/>
  <c r="E43" i="5" s="1"/>
  <c r="C43" i="5"/>
  <c r="D42" i="5"/>
  <c r="E42" i="5" s="1"/>
  <c r="C42" i="5"/>
  <c r="D41" i="5"/>
  <c r="E41" i="5" s="1"/>
  <c r="C41" i="5"/>
  <c r="D40" i="5"/>
  <c r="D44" i="5" s="1"/>
  <c r="C40" i="5"/>
  <c r="C44" i="5" s="1"/>
  <c r="D43" i="4"/>
  <c r="E43" i="4" s="1"/>
  <c r="C43" i="4"/>
  <c r="D42" i="4"/>
  <c r="E42" i="4" s="1"/>
  <c r="C42" i="4"/>
  <c r="D41" i="4"/>
  <c r="E41" i="4" s="1"/>
  <c r="C41" i="4"/>
  <c r="D40" i="4"/>
  <c r="D44" i="4" s="1"/>
  <c r="C40" i="4"/>
  <c r="C44" i="4" s="1"/>
  <c r="D43" i="3"/>
  <c r="E43" i="3" s="1"/>
  <c r="C43" i="3"/>
  <c r="D42" i="3"/>
  <c r="E42" i="3" s="1"/>
  <c r="C42" i="3"/>
  <c r="D41" i="3"/>
  <c r="E41" i="3" s="1"/>
  <c r="C41" i="3"/>
  <c r="D40" i="3"/>
  <c r="D44" i="3" s="1"/>
  <c r="C40" i="3"/>
  <c r="C44" i="3" s="1"/>
  <c r="C40" i="2"/>
  <c r="C44" i="2"/>
  <c r="D43" i="2"/>
  <c r="E43" i="2" s="1"/>
  <c r="C43" i="2"/>
  <c r="D42" i="2"/>
  <c r="E42" i="2" s="1"/>
  <c r="C42" i="2"/>
  <c r="D41" i="2"/>
  <c r="E41" i="2" s="1"/>
  <c r="C41" i="2"/>
  <c r="D40" i="2"/>
  <c r="D44" i="2" s="1"/>
  <c r="XFD35" i="5"/>
  <c r="O35" i="5"/>
  <c r="N35" i="5"/>
  <c r="K35" i="5"/>
  <c r="J35" i="5"/>
  <c r="G35" i="5"/>
  <c r="F35" i="5"/>
  <c r="C35" i="5"/>
  <c r="B35" i="5"/>
  <c r="O35" i="4"/>
  <c r="N35" i="4"/>
  <c r="XFD35" i="4" s="1"/>
  <c r="K35" i="4"/>
  <c r="J35" i="4"/>
  <c r="G35" i="4"/>
  <c r="F35" i="4"/>
  <c r="C35" i="4"/>
  <c r="B35" i="4"/>
  <c r="O35" i="3"/>
  <c r="N35" i="3"/>
  <c r="K35" i="3"/>
  <c r="J35" i="3"/>
  <c r="G35" i="3"/>
  <c r="F35" i="3"/>
  <c r="C35" i="3"/>
  <c r="B35" i="3"/>
  <c r="XFD35" i="3" s="1"/>
  <c r="O35" i="2"/>
  <c r="N35" i="2"/>
  <c r="K35" i="2"/>
  <c r="J35" i="2"/>
  <c r="G35" i="2"/>
  <c r="F35" i="2"/>
  <c r="C35" i="2"/>
  <c r="B35" i="2"/>
  <c r="XFD35" i="2" s="1"/>
  <c r="B35" i="1"/>
  <c r="XFD35" i="1"/>
  <c r="C35" i="1"/>
  <c r="F35" i="1"/>
  <c r="G35" i="1"/>
  <c r="J35" i="1"/>
  <c r="K35" i="1"/>
  <c r="N35" i="1"/>
  <c r="O35" i="1"/>
  <c r="E44" i="5" l="1"/>
  <c r="E40" i="5"/>
  <c r="E44" i="4"/>
  <c r="E40" i="4"/>
  <c r="E44" i="3"/>
  <c r="E40" i="3"/>
  <c r="E44" i="2"/>
  <c r="E40" i="2"/>
  <c r="H5" i="5" l="1"/>
  <c r="N8" i="13"/>
  <c r="L8" i="13"/>
  <c r="F8" i="13"/>
  <c r="E8" i="13"/>
  <c r="P34" i="5"/>
  <c r="P32" i="5"/>
  <c r="L32" i="5"/>
  <c r="D32" i="5"/>
  <c r="P31" i="5"/>
  <c r="H31" i="5"/>
  <c r="D31" i="5"/>
  <c r="P30" i="5"/>
  <c r="L30" i="5"/>
  <c r="D30" i="5"/>
  <c r="P29" i="5"/>
  <c r="D29" i="5"/>
  <c r="P28" i="5"/>
  <c r="L28" i="5"/>
  <c r="H28" i="5"/>
  <c r="D28" i="5"/>
  <c r="P27" i="5"/>
  <c r="L27" i="5"/>
  <c r="H27" i="5"/>
  <c r="D27" i="5"/>
  <c r="P26" i="5"/>
  <c r="L26" i="5"/>
  <c r="H26" i="5"/>
  <c r="D26" i="5"/>
  <c r="P25" i="5"/>
  <c r="L25" i="5"/>
  <c r="H25" i="5"/>
  <c r="D25" i="5"/>
  <c r="P24" i="5"/>
  <c r="L24" i="5"/>
  <c r="H24" i="5"/>
  <c r="D24" i="5"/>
  <c r="P23" i="5"/>
  <c r="L23" i="5"/>
  <c r="D23" i="5"/>
  <c r="P22" i="5"/>
  <c r="L22" i="5"/>
  <c r="H22" i="5"/>
  <c r="D22" i="5"/>
  <c r="P21" i="5"/>
  <c r="L21" i="5"/>
  <c r="H21" i="5"/>
  <c r="D21" i="5"/>
  <c r="P20" i="5"/>
  <c r="L20" i="5"/>
  <c r="H20" i="5"/>
  <c r="D20" i="5"/>
  <c r="P19" i="5"/>
  <c r="L19" i="5"/>
  <c r="H19" i="5"/>
  <c r="D19" i="5"/>
  <c r="P18" i="5"/>
  <c r="L18" i="5"/>
  <c r="H18" i="5"/>
  <c r="D18" i="5"/>
  <c r="P17" i="5"/>
  <c r="L17" i="5"/>
  <c r="H17" i="5"/>
  <c r="D17" i="5"/>
  <c r="P16" i="5"/>
  <c r="L16" i="5"/>
  <c r="H16" i="5"/>
  <c r="D16" i="5"/>
  <c r="P15" i="5"/>
  <c r="L15" i="5"/>
  <c r="H15" i="5"/>
  <c r="D15" i="5"/>
  <c r="P14" i="5"/>
  <c r="L14" i="5"/>
  <c r="H14" i="5"/>
  <c r="D14" i="5"/>
  <c r="P13" i="5"/>
  <c r="L13" i="5"/>
  <c r="H13" i="5"/>
  <c r="D13" i="5"/>
  <c r="P12" i="5"/>
  <c r="L12" i="5"/>
  <c r="H12" i="5"/>
  <c r="D12" i="5"/>
  <c r="P11" i="5"/>
  <c r="L11" i="5"/>
  <c r="H11" i="5"/>
  <c r="D11" i="5"/>
  <c r="P10" i="5"/>
  <c r="L10" i="5"/>
  <c r="H10" i="5"/>
  <c r="D10" i="5"/>
  <c r="P9" i="5"/>
  <c r="L9" i="5"/>
  <c r="H9" i="5"/>
  <c r="D9" i="5"/>
  <c r="P8" i="5"/>
  <c r="L8" i="5"/>
  <c r="H8" i="5"/>
  <c r="D8" i="5"/>
  <c r="P7" i="5"/>
  <c r="L7" i="5"/>
  <c r="H7" i="5"/>
  <c r="D7" i="5"/>
  <c r="P6" i="5"/>
  <c r="L6" i="5"/>
  <c r="H6" i="5"/>
  <c r="D6" i="5"/>
  <c r="P5" i="5"/>
  <c r="L5" i="5"/>
  <c r="D5" i="5"/>
  <c r="P4" i="5"/>
  <c r="L4" i="5"/>
  <c r="H4" i="5"/>
  <c r="D4" i="5"/>
  <c r="P9" i="13"/>
  <c r="P10" i="13"/>
  <c r="P11" i="13"/>
  <c r="P12" i="13"/>
  <c r="P13" i="13"/>
  <c r="P14" i="13"/>
  <c r="P15" i="13"/>
  <c r="M9" i="13"/>
  <c r="M10" i="13"/>
  <c r="M11" i="13"/>
  <c r="M12" i="13"/>
  <c r="M13" i="13"/>
  <c r="M14" i="13"/>
  <c r="M15" i="13"/>
  <c r="J9" i="13"/>
  <c r="J10" i="13"/>
  <c r="J11" i="13"/>
  <c r="J12" i="13"/>
  <c r="J13" i="13"/>
  <c r="J14" i="13"/>
  <c r="J15" i="13"/>
  <c r="G9" i="13"/>
  <c r="G10" i="13"/>
  <c r="G11" i="13"/>
  <c r="G12" i="13"/>
  <c r="G13" i="13"/>
  <c r="G14" i="13"/>
  <c r="G15" i="13"/>
  <c r="G4" i="13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P4" i="4"/>
  <c r="L4" i="4"/>
  <c r="H4" i="4"/>
  <c r="D4" i="4"/>
  <c r="G8" i="13" l="1"/>
  <c r="H8" i="13"/>
  <c r="I8" i="13"/>
  <c r="K8" i="13"/>
  <c r="M8" i="13"/>
  <c r="O8" i="13"/>
  <c r="P8" i="13" s="1"/>
  <c r="B8" i="13"/>
  <c r="B5" i="13"/>
  <c r="B6" i="13"/>
  <c r="B9" i="13"/>
  <c r="B10" i="13"/>
  <c r="B11" i="13"/>
  <c r="B12" i="13"/>
  <c r="B13" i="13"/>
  <c r="B14" i="13"/>
  <c r="B15" i="13"/>
  <c r="B4" i="13"/>
  <c r="C15" i="13"/>
  <c r="C14" i="13"/>
  <c r="C13" i="13"/>
  <c r="C12" i="13"/>
  <c r="C11" i="13"/>
  <c r="C10" i="13"/>
  <c r="C9" i="13"/>
  <c r="C8" i="13"/>
  <c r="D8" i="13" s="1"/>
  <c r="P6" i="13"/>
  <c r="M6" i="13"/>
  <c r="J6" i="13"/>
  <c r="G6" i="13"/>
  <c r="C6" i="13"/>
  <c r="D6" i="13" s="1"/>
  <c r="P5" i="13"/>
  <c r="M5" i="13"/>
  <c r="J5" i="13"/>
  <c r="G5" i="13"/>
  <c r="C5" i="13"/>
  <c r="P4" i="13"/>
  <c r="C4" i="13"/>
  <c r="D4" i="13" l="1"/>
  <c r="D5" i="13"/>
  <c r="J8" i="13"/>
  <c r="D13" i="13"/>
  <c r="D14" i="13"/>
  <c r="D15" i="13"/>
  <c r="D9" i="13"/>
  <c r="D10" i="13"/>
  <c r="D11" i="13"/>
  <c r="D12" i="13"/>
  <c r="J4" i="13"/>
  <c r="M4" i="13"/>
  <c r="P33" i="1" l="1"/>
  <c r="P34" i="1"/>
  <c r="P30" i="12"/>
  <c r="P31" i="12"/>
  <c r="P32" i="12"/>
  <c r="P33" i="12"/>
  <c r="P34" i="12"/>
  <c r="L29" i="12"/>
  <c r="L30" i="12"/>
  <c r="L31" i="12"/>
  <c r="L32" i="12"/>
  <c r="L33" i="12"/>
  <c r="L34" i="12"/>
  <c r="D29" i="12"/>
  <c r="D30" i="12"/>
  <c r="D31" i="12"/>
  <c r="D32" i="12"/>
  <c r="D33" i="12"/>
  <c r="D34" i="12"/>
  <c r="H29" i="12"/>
  <c r="H30" i="12"/>
  <c r="H31" i="12"/>
  <c r="H32" i="12"/>
  <c r="H33" i="12"/>
  <c r="H34" i="12"/>
  <c r="P34" i="3"/>
  <c r="P32" i="3"/>
  <c r="L32" i="3"/>
  <c r="D32" i="3"/>
  <c r="P31" i="3"/>
  <c r="H31" i="3"/>
  <c r="D31" i="3"/>
  <c r="P30" i="3"/>
  <c r="L30" i="3"/>
  <c r="D30" i="3"/>
  <c r="P29" i="3"/>
  <c r="D29" i="3"/>
  <c r="P28" i="3"/>
  <c r="L28" i="3"/>
  <c r="H28" i="3"/>
  <c r="D28" i="3"/>
  <c r="P27" i="3"/>
  <c r="L27" i="3"/>
  <c r="H27" i="3"/>
  <c r="D27" i="3"/>
  <c r="P26" i="3"/>
  <c r="L26" i="3"/>
  <c r="H26" i="3"/>
  <c r="D26" i="3"/>
  <c r="P25" i="3"/>
  <c r="L25" i="3"/>
  <c r="H25" i="3"/>
  <c r="D25" i="3"/>
  <c r="P24" i="3"/>
  <c r="L24" i="3"/>
  <c r="H24" i="3"/>
  <c r="D24" i="3"/>
  <c r="P23" i="3"/>
  <c r="L23" i="3"/>
  <c r="D23" i="3"/>
  <c r="P22" i="3"/>
  <c r="L22" i="3"/>
  <c r="H22" i="3"/>
  <c r="D22" i="3"/>
  <c r="P21" i="3"/>
  <c r="L21" i="3"/>
  <c r="H21" i="3"/>
  <c r="D21" i="3"/>
  <c r="P20" i="3"/>
  <c r="L20" i="3"/>
  <c r="H20" i="3"/>
  <c r="D20" i="3"/>
  <c r="P19" i="3"/>
  <c r="L19" i="3"/>
  <c r="H19" i="3"/>
  <c r="D19" i="3"/>
  <c r="P18" i="3"/>
  <c r="L18" i="3"/>
  <c r="H18" i="3"/>
  <c r="D18" i="3"/>
  <c r="P17" i="3"/>
  <c r="L17" i="3"/>
  <c r="H17" i="3"/>
  <c r="D17" i="3"/>
  <c r="P16" i="3"/>
  <c r="L16" i="3"/>
  <c r="H16" i="3"/>
  <c r="D16" i="3"/>
  <c r="P15" i="3"/>
  <c r="L15" i="3"/>
  <c r="H15" i="3"/>
  <c r="D15" i="3"/>
  <c r="P14" i="3"/>
  <c r="L14" i="3"/>
  <c r="H14" i="3"/>
  <c r="D14" i="3"/>
  <c r="P13" i="3"/>
  <c r="L13" i="3"/>
  <c r="H13" i="3"/>
  <c r="D13" i="3"/>
  <c r="P12" i="3"/>
  <c r="L12" i="3"/>
  <c r="H12" i="3"/>
  <c r="D12" i="3"/>
  <c r="P11" i="3"/>
  <c r="L11" i="3"/>
  <c r="H11" i="3"/>
  <c r="D11" i="3"/>
  <c r="P10" i="3"/>
  <c r="L10" i="3"/>
  <c r="H10" i="3"/>
  <c r="D10" i="3"/>
  <c r="P9" i="3"/>
  <c r="L9" i="3"/>
  <c r="H9" i="3"/>
  <c r="D9" i="3"/>
  <c r="P8" i="3"/>
  <c r="L8" i="3"/>
  <c r="H8" i="3"/>
  <c r="D8" i="3"/>
  <c r="P7" i="3"/>
  <c r="L7" i="3"/>
  <c r="H7" i="3"/>
  <c r="D7" i="3"/>
  <c r="P6" i="3"/>
  <c r="L6" i="3"/>
  <c r="H6" i="3"/>
  <c r="D6" i="3"/>
  <c r="P5" i="3"/>
  <c r="L5" i="3"/>
  <c r="H5" i="3"/>
  <c r="D5" i="3"/>
  <c r="P4" i="3"/>
  <c r="L4" i="3"/>
  <c r="H4" i="3"/>
  <c r="D4" i="3"/>
  <c r="D43" i="7"/>
  <c r="E43" i="7" s="1"/>
  <c r="C43" i="7"/>
  <c r="D42" i="7"/>
  <c r="E42" i="7" s="1"/>
  <c r="C42" i="7"/>
  <c r="D41" i="7"/>
  <c r="E41" i="7" s="1"/>
  <c r="C41" i="7"/>
  <c r="O35" i="7"/>
  <c r="N35" i="7"/>
  <c r="K35" i="7"/>
  <c r="J35" i="7"/>
  <c r="G35" i="7"/>
  <c r="F35" i="7"/>
  <c r="C35" i="7"/>
  <c r="D40" i="7" s="1"/>
  <c r="D44" i="7" s="1"/>
  <c r="B35" i="7"/>
  <c r="P34" i="7"/>
  <c r="P32" i="7"/>
  <c r="L32" i="7"/>
  <c r="D32" i="7"/>
  <c r="P31" i="7"/>
  <c r="H31" i="7"/>
  <c r="D31" i="7"/>
  <c r="P30" i="7"/>
  <c r="L30" i="7"/>
  <c r="D30" i="7"/>
  <c r="P29" i="7"/>
  <c r="D29" i="7"/>
  <c r="P28" i="7"/>
  <c r="L28" i="7"/>
  <c r="H28" i="7"/>
  <c r="D28" i="7"/>
  <c r="P27" i="7"/>
  <c r="L27" i="7"/>
  <c r="H27" i="7"/>
  <c r="D27" i="7"/>
  <c r="P26" i="7"/>
  <c r="L26" i="7"/>
  <c r="H26" i="7"/>
  <c r="D26" i="7"/>
  <c r="P25" i="7"/>
  <c r="L25" i="7"/>
  <c r="H25" i="7"/>
  <c r="D25" i="7"/>
  <c r="P24" i="7"/>
  <c r="L24" i="7"/>
  <c r="H24" i="7"/>
  <c r="D24" i="7"/>
  <c r="P23" i="7"/>
  <c r="L23" i="7"/>
  <c r="D23" i="7"/>
  <c r="P22" i="7"/>
  <c r="L22" i="7"/>
  <c r="H22" i="7"/>
  <c r="D22" i="7"/>
  <c r="P21" i="7"/>
  <c r="L21" i="7"/>
  <c r="H21" i="7"/>
  <c r="D21" i="7"/>
  <c r="P20" i="7"/>
  <c r="L20" i="7"/>
  <c r="H20" i="7"/>
  <c r="D20" i="7"/>
  <c r="P19" i="7"/>
  <c r="L19" i="7"/>
  <c r="H19" i="7"/>
  <c r="D19" i="7"/>
  <c r="P18" i="7"/>
  <c r="L18" i="7"/>
  <c r="H18" i="7"/>
  <c r="D18" i="7"/>
  <c r="P17" i="7"/>
  <c r="L17" i="7"/>
  <c r="H17" i="7"/>
  <c r="D17" i="7"/>
  <c r="P16" i="7"/>
  <c r="L16" i="7"/>
  <c r="H16" i="7"/>
  <c r="D16" i="7"/>
  <c r="P15" i="7"/>
  <c r="L15" i="7"/>
  <c r="H15" i="7"/>
  <c r="D15" i="7"/>
  <c r="P14" i="7"/>
  <c r="L14" i="7"/>
  <c r="H14" i="7"/>
  <c r="D14" i="7"/>
  <c r="P13" i="7"/>
  <c r="L13" i="7"/>
  <c r="H13" i="7"/>
  <c r="D13" i="7"/>
  <c r="P12" i="7"/>
  <c r="L12" i="7"/>
  <c r="H12" i="7"/>
  <c r="D12" i="7"/>
  <c r="P11" i="7"/>
  <c r="L11" i="7"/>
  <c r="H11" i="7"/>
  <c r="D11" i="7"/>
  <c r="P10" i="7"/>
  <c r="L10" i="7"/>
  <c r="H10" i="7"/>
  <c r="D10" i="7"/>
  <c r="P9" i="7"/>
  <c r="L9" i="7"/>
  <c r="H9" i="7"/>
  <c r="D9" i="7"/>
  <c r="P8" i="7"/>
  <c r="L8" i="7"/>
  <c r="H8" i="7"/>
  <c r="D8" i="7"/>
  <c r="P7" i="7"/>
  <c r="L7" i="7"/>
  <c r="H7" i="7"/>
  <c r="D7" i="7"/>
  <c r="P6" i="7"/>
  <c r="L6" i="7"/>
  <c r="H6" i="7"/>
  <c r="D6" i="7"/>
  <c r="P5" i="7"/>
  <c r="L5" i="7"/>
  <c r="H5" i="7"/>
  <c r="D5" i="7"/>
  <c r="P4" i="7"/>
  <c r="L4" i="7"/>
  <c r="H4" i="7"/>
  <c r="D4" i="7"/>
  <c r="D40" i="8"/>
  <c r="E40" i="8" s="1"/>
  <c r="C40" i="8"/>
  <c r="O35" i="8"/>
  <c r="D43" i="8" s="1"/>
  <c r="N35" i="8"/>
  <c r="C43" i="8" s="1"/>
  <c r="K35" i="8"/>
  <c r="D42" i="8" s="1"/>
  <c r="J35" i="8"/>
  <c r="C42" i="8" s="1"/>
  <c r="G35" i="8"/>
  <c r="D41" i="8" s="1"/>
  <c r="F35" i="8"/>
  <c r="C41" i="8" s="1"/>
  <c r="C35" i="8"/>
  <c r="B35" i="8"/>
  <c r="P34" i="8"/>
  <c r="P32" i="8"/>
  <c r="L32" i="8"/>
  <c r="D32" i="8"/>
  <c r="P31" i="8"/>
  <c r="H31" i="8"/>
  <c r="D31" i="8"/>
  <c r="P30" i="8"/>
  <c r="L30" i="8"/>
  <c r="D30" i="8"/>
  <c r="P29" i="8"/>
  <c r="D29" i="8"/>
  <c r="P28" i="8"/>
  <c r="L28" i="8"/>
  <c r="H28" i="8"/>
  <c r="D28" i="8"/>
  <c r="P27" i="8"/>
  <c r="L27" i="8"/>
  <c r="H27" i="8"/>
  <c r="D27" i="8"/>
  <c r="P26" i="8"/>
  <c r="L26" i="8"/>
  <c r="H26" i="8"/>
  <c r="D26" i="8"/>
  <c r="P25" i="8"/>
  <c r="L25" i="8"/>
  <c r="H25" i="8"/>
  <c r="D25" i="8"/>
  <c r="P24" i="8"/>
  <c r="L24" i="8"/>
  <c r="H24" i="8"/>
  <c r="D24" i="8"/>
  <c r="P23" i="8"/>
  <c r="L23" i="8"/>
  <c r="D23" i="8"/>
  <c r="P22" i="8"/>
  <c r="L22" i="8"/>
  <c r="H22" i="8"/>
  <c r="D22" i="8"/>
  <c r="P21" i="8"/>
  <c r="L21" i="8"/>
  <c r="H21" i="8"/>
  <c r="D21" i="8"/>
  <c r="P20" i="8"/>
  <c r="L20" i="8"/>
  <c r="H20" i="8"/>
  <c r="D20" i="8"/>
  <c r="P19" i="8"/>
  <c r="L19" i="8"/>
  <c r="H19" i="8"/>
  <c r="D19" i="8"/>
  <c r="P18" i="8"/>
  <c r="L18" i="8"/>
  <c r="H18" i="8"/>
  <c r="D18" i="8"/>
  <c r="P17" i="8"/>
  <c r="L17" i="8"/>
  <c r="H17" i="8"/>
  <c r="D17" i="8"/>
  <c r="P16" i="8"/>
  <c r="L16" i="8"/>
  <c r="H16" i="8"/>
  <c r="D16" i="8"/>
  <c r="P15" i="8"/>
  <c r="L15" i="8"/>
  <c r="H15" i="8"/>
  <c r="D15" i="8"/>
  <c r="P14" i="8"/>
  <c r="L14" i="8"/>
  <c r="H14" i="8"/>
  <c r="D14" i="8"/>
  <c r="P13" i="8"/>
  <c r="L13" i="8"/>
  <c r="H13" i="8"/>
  <c r="D13" i="8"/>
  <c r="P12" i="8"/>
  <c r="L12" i="8"/>
  <c r="H12" i="8"/>
  <c r="D12" i="8"/>
  <c r="P11" i="8"/>
  <c r="L11" i="8"/>
  <c r="H11" i="8"/>
  <c r="D11" i="8"/>
  <c r="P10" i="8"/>
  <c r="L10" i="8"/>
  <c r="H10" i="8"/>
  <c r="D10" i="8"/>
  <c r="P9" i="8"/>
  <c r="L9" i="8"/>
  <c r="H9" i="8"/>
  <c r="D9" i="8"/>
  <c r="P8" i="8"/>
  <c r="L8" i="8"/>
  <c r="H8" i="8"/>
  <c r="D8" i="8"/>
  <c r="P7" i="8"/>
  <c r="L7" i="8"/>
  <c r="H7" i="8"/>
  <c r="D7" i="8"/>
  <c r="P6" i="8"/>
  <c r="L6" i="8"/>
  <c r="H6" i="8"/>
  <c r="D6" i="8"/>
  <c r="P5" i="8"/>
  <c r="L5" i="8"/>
  <c r="H5" i="8"/>
  <c r="D5" i="8"/>
  <c r="P4" i="8"/>
  <c r="L4" i="8"/>
  <c r="H4" i="8"/>
  <c r="D4" i="8"/>
  <c r="D43" i="9"/>
  <c r="E43" i="9" s="1"/>
  <c r="C43" i="9"/>
  <c r="D42" i="9"/>
  <c r="C42" i="9"/>
  <c r="D41" i="9"/>
  <c r="E41" i="9" s="1"/>
  <c r="C41" i="9"/>
  <c r="D40" i="9"/>
  <c r="D44" i="9" s="1"/>
  <c r="C40" i="9"/>
  <c r="C44" i="9" s="1"/>
  <c r="O35" i="9"/>
  <c r="N35" i="9"/>
  <c r="K35" i="9"/>
  <c r="J35" i="9"/>
  <c r="G35" i="9"/>
  <c r="F35" i="9"/>
  <c r="C35" i="9"/>
  <c r="B35" i="9"/>
  <c r="XFD35" i="9" s="1"/>
  <c r="P34" i="9"/>
  <c r="P32" i="9"/>
  <c r="L32" i="9"/>
  <c r="D32" i="9"/>
  <c r="P31" i="9"/>
  <c r="H31" i="9"/>
  <c r="D31" i="9"/>
  <c r="P30" i="9"/>
  <c r="L30" i="9"/>
  <c r="D30" i="9"/>
  <c r="P29" i="9"/>
  <c r="D29" i="9"/>
  <c r="P28" i="9"/>
  <c r="L28" i="9"/>
  <c r="H28" i="9"/>
  <c r="D28" i="9"/>
  <c r="P27" i="9"/>
  <c r="L27" i="9"/>
  <c r="H27" i="9"/>
  <c r="D27" i="9"/>
  <c r="P26" i="9"/>
  <c r="L26" i="9"/>
  <c r="H26" i="9"/>
  <c r="D26" i="9"/>
  <c r="P25" i="9"/>
  <c r="L25" i="9"/>
  <c r="H25" i="9"/>
  <c r="D25" i="9"/>
  <c r="P24" i="9"/>
  <c r="L24" i="9"/>
  <c r="H24" i="9"/>
  <c r="D24" i="9"/>
  <c r="P23" i="9"/>
  <c r="L23" i="9"/>
  <c r="D23" i="9"/>
  <c r="P22" i="9"/>
  <c r="L22" i="9"/>
  <c r="H22" i="9"/>
  <c r="D22" i="9"/>
  <c r="P21" i="9"/>
  <c r="L21" i="9"/>
  <c r="H21" i="9"/>
  <c r="D21" i="9"/>
  <c r="P20" i="9"/>
  <c r="L20" i="9"/>
  <c r="H20" i="9"/>
  <c r="D20" i="9"/>
  <c r="P19" i="9"/>
  <c r="L19" i="9"/>
  <c r="H19" i="9"/>
  <c r="D19" i="9"/>
  <c r="P18" i="9"/>
  <c r="L18" i="9"/>
  <c r="H18" i="9"/>
  <c r="D18" i="9"/>
  <c r="P17" i="9"/>
  <c r="L17" i="9"/>
  <c r="H17" i="9"/>
  <c r="D17" i="9"/>
  <c r="P16" i="9"/>
  <c r="L16" i="9"/>
  <c r="H16" i="9"/>
  <c r="D16" i="9"/>
  <c r="P15" i="9"/>
  <c r="L15" i="9"/>
  <c r="H15" i="9"/>
  <c r="D15" i="9"/>
  <c r="P14" i="9"/>
  <c r="L14" i="9"/>
  <c r="H14" i="9"/>
  <c r="D14" i="9"/>
  <c r="P13" i="9"/>
  <c r="L13" i="9"/>
  <c r="H13" i="9"/>
  <c r="D13" i="9"/>
  <c r="P12" i="9"/>
  <c r="L12" i="9"/>
  <c r="H12" i="9"/>
  <c r="D12" i="9"/>
  <c r="P11" i="9"/>
  <c r="L11" i="9"/>
  <c r="H11" i="9"/>
  <c r="D11" i="9"/>
  <c r="P10" i="9"/>
  <c r="L10" i="9"/>
  <c r="H10" i="9"/>
  <c r="D10" i="9"/>
  <c r="P9" i="9"/>
  <c r="L9" i="9"/>
  <c r="H9" i="9"/>
  <c r="D9" i="9"/>
  <c r="P8" i="9"/>
  <c r="L8" i="9"/>
  <c r="H8" i="9"/>
  <c r="D8" i="9"/>
  <c r="P7" i="9"/>
  <c r="L7" i="9"/>
  <c r="H7" i="9"/>
  <c r="D7" i="9"/>
  <c r="P6" i="9"/>
  <c r="L6" i="9"/>
  <c r="H6" i="9"/>
  <c r="D6" i="9"/>
  <c r="P5" i="9"/>
  <c r="L5" i="9"/>
  <c r="H5" i="9"/>
  <c r="D5" i="9"/>
  <c r="P4" i="9"/>
  <c r="L4" i="9"/>
  <c r="H4" i="9"/>
  <c r="D4" i="9"/>
  <c r="D43" i="10"/>
  <c r="O35" i="10"/>
  <c r="N35" i="10"/>
  <c r="C43" i="10" s="1"/>
  <c r="K35" i="10"/>
  <c r="D42" i="10" s="1"/>
  <c r="E42" i="10" s="1"/>
  <c r="J35" i="10"/>
  <c r="C42" i="10" s="1"/>
  <c r="G35" i="10"/>
  <c r="D41" i="10" s="1"/>
  <c r="F35" i="10"/>
  <c r="C41" i="10" s="1"/>
  <c r="C35" i="10"/>
  <c r="D40" i="10" s="1"/>
  <c r="B35" i="10"/>
  <c r="P34" i="10"/>
  <c r="P32" i="10"/>
  <c r="L32" i="10"/>
  <c r="D32" i="10"/>
  <c r="P31" i="10"/>
  <c r="H31" i="10"/>
  <c r="D31" i="10"/>
  <c r="P30" i="10"/>
  <c r="L30" i="10"/>
  <c r="D30" i="10"/>
  <c r="P29" i="10"/>
  <c r="D29" i="10"/>
  <c r="P28" i="10"/>
  <c r="L28" i="10"/>
  <c r="H28" i="10"/>
  <c r="D28" i="10"/>
  <c r="P27" i="10"/>
  <c r="L27" i="10"/>
  <c r="H27" i="10"/>
  <c r="D27" i="10"/>
  <c r="P26" i="10"/>
  <c r="L26" i="10"/>
  <c r="H26" i="10"/>
  <c r="D26" i="10"/>
  <c r="P25" i="10"/>
  <c r="L25" i="10"/>
  <c r="H25" i="10"/>
  <c r="D25" i="10"/>
  <c r="P24" i="10"/>
  <c r="L24" i="10"/>
  <c r="H24" i="10"/>
  <c r="D24" i="10"/>
  <c r="P23" i="10"/>
  <c r="L23" i="10"/>
  <c r="D23" i="10"/>
  <c r="P22" i="10"/>
  <c r="L22" i="10"/>
  <c r="H22" i="10"/>
  <c r="D22" i="10"/>
  <c r="P21" i="10"/>
  <c r="L21" i="10"/>
  <c r="H21" i="10"/>
  <c r="D21" i="10"/>
  <c r="P20" i="10"/>
  <c r="L20" i="10"/>
  <c r="H20" i="10"/>
  <c r="D20" i="10"/>
  <c r="P19" i="10"/>
  <c r="L19" i="10"/>
  <c r="H19" i="10"/>
  <c r="D19" i="10"/>
  <c r="P18" i="10"/>
  <c r="L18" i="10"/>
  <c r="H18" i="10"/>
  <c r="D18" i="10"/>
  <c r="P17" i="10"/>
  <c r="L17" i="10"/>
  <c r="H17" i="10"/>
  <c r="D17" i="10"/>
  <c r="P16" i="10"/>
  <c r="L16" i="10"/>
  <c r="H16" i="10"/>
  <c r="D16" i="10"/>
  <c r="P15" i="10"/>
  <c r="L15" i="10"/>
  <c r="H15" i="10"/>
  <c r="D15" i="10"/>
  <c r="P14" i="10"/>
  <c r="L14" i="10"/>
  <c r="H14" i="10"/>
  <c r="D14" i="10"/>
  <c r="P13" i="10"/>
  <c r="L13" i="10"/>
  <c r="H13" i="10"/>
  <c r="D13" i="10"/>
  <c r="P12" i="10"/>
  <c r="L12" i="10"/>
  <c r="H12" i="10"/>
  <c r="D12" i="10"/>
  <c r="P11" i="10"/>
  <c r="L11" i="10"/>
  <c r="H11" i="10"/>
  <c r="D11" i="10"/>
  <c r="P10" i="10"/>
  <c r="L10" i="10"/>
  <c r="H10" i="10"/>
  <c r="D10" i="10"/>
  <c r="P9" i="10"/>
  <c r="L9" i="10"/>
  <c r="H9" i="10"/>
  <c r="D9" i="10"/>
  <c r="P8" i="10"/>
  <c r="L8" i="10"/>
  <c r="H8" i="10"/>
  <c r="D8" i="10"/>
  <c r="P7" i="10"/>
  <c r="L7" i="10"/>
  <c r="H7" i="10"/>
  <c r="D7" i="10"/>
  <c r="P6" i="10"/>
  <c r="L6" i="10"/>
  <c r="H6" i="10"/>
  <c r="D6" i="10"/>
  <c r="P5" i="10"/>
  <c r="L5" i="10"/>
  <c r="H5" i="10"/>
  <c r="D5" i="10"/>
  <c r="P4" i="10"/>
  <c r="L4" i="10"/>
  <c r="H4" i="10"/>
  <c r="D4" i="10"/>
  <c r="C43" i="11"/>
  <c r="D42" i="11"/>
  <c r="E42" i="11" s="1"/>
  <c r="C42" i="11"/>
  <c r="D41" i="11"/>
  <c r="C41" i="11"/>
  <c r="D40" i="11"/>
  <c r="C40" i="11"/>
  <c r="C44" i="11" s="1"/>
  <c r="O35" i="11"/>
  <c r="D43" i="11" s="1"/>
  <c r="E43" i="11" s="1"/>
  <c r="N35" i="11"/>
  <c r="K35" i="11"/>
  <c r="J35" i="11"/>
  <c r="G35" i="11"/>
  <c r="F35" i="11"/>
  <c r="C35" i="11"/>
  <c r="B35" i="11"/>
  <c r="P34" i="11"/>
  <c r="P32" i="11"/>
  <c r="L32" i="11"/>
  <c r="D32" i="11"/>
  <c r="P31" i="11"/>
  <c r="H31" i="11"/>
  <c r="D31" i="11"/>
  <c r="P30" i="11"/>
  <c r="L30" i="11"/>
  <c r="D30" i="11"/>
  <c r="P29" i="11"/>
  <c r="D29" i="11"/>
  <c r="P28" i="11"/>
  <c r="L28" i="11"/>
  <c r="H28" i="11"/>
  <c r="D28" i="11"/>
  <c r="P27" i="11"/>
  <c r="L27" i="11"/>
  <c r="H27" i="11"/>
  <c r="D27" i="11"/>
  <c r="P26" i="11"/>
  <c r="L26" i="11"/>
  <c r="H26" i="11"/>
  <c r="D26" i="11"/>
  <c r="P25" i="11"/>
  <c r="L25" i="11"/>
  <c r="H25" i="11"/>
  <c r="D25" i="11"/>
  <c r="P24" i="11"/>
  <c r="L24" i="11"/>
  <c r="H24" i="11"/>
  <c r="D24" i="11"/>
  <c r="P23" i="11"/>
  <c r="L23" i="11"/>
  <c r="D23" i="11"/>
  <c r="P22" i="11"/>
  <c r="L22" i="11"/>
  <c r="H22" i="11"/>
  <c r="D22" i="11"/>
  <c r="P21" i="11"/>
  <c r="L21" i="11"/>
  <c r="H21" i="11"/>
  <c r="D21" i="11"/>
  <c r="P20" i="11"/>
  <c r="L20" i="11"/>
  <c r="H20" i="11"/>
  <c r="D20" i="11"/>
  <c r="P19" i="11"/>
  <c r="L19" i="11"/>
  <c r="H19" i="11"/>
  <c r="D19" i="11"/>
  <c r="P18" i="11"/>
  <c r="L18" i="11"/>
  <c r="H18" i="11"/>
  <c r="D18" i="11"/>
  <c r="P17" i="11"/>
  <c r="L17" i="11"/>
  <c r="H17" i="11"/>
  <c r="D17" i="11"/>
  <c r="P16" i="11"/>
  <c r="L16" i="11"/>
  <c r="H16" i="11"/>
  <c r="D16" i="11"/>
  <c r="P15" i="11"/>
  <c r="L15" i="11"/>
  <c r="H15" i="11"/>
  <c r="D15" i="11"/>
  <c r="P14" i="11"/>
  <c r="L14" i="11"/>
  <c r="H14" i="11"/>
  <c r="D14" i="11"/>
  <c r="P13" i="11"/>
  <c r="L13" i="11"/>
  <c r="H13" i="11"/>
  <c r="D13" i="11"/>
  <c r="P12" i="11"/>
  <c r="L12" i="11"/>
  <c r="H12" i="11"/>
  <c r="D12" i="11"/>
  <c r="P11" i="11"/>
  <c r="L11" i="11"/>
  <c r="H11" i="11"/>
  <c r="D11" i="11"/>
  <c r="P10" i="11"/>
  <c r="L10" i="11"/>
  <c r="H10" i="11"/>
  <c r="D10" i="11"/>
  <c r="P9" i="11"/>
  <c r="L9" i="11"/>
  <c r="H9" i="11"/>
  <c r="D9" i="11"/>
  <c r="P8" i="11"/>
  <c r="L8" i="11"/>
  <c r="H8" i="11"/>
  <c r="D8" i="11"/>
  <c r="P7" i="11"/>
  <c r="L7" i="11"/>
  <c r="H7" i="11"/>
  <c r="D7" i="11"/>
  <c r="P6" i="11"/>
  <c r="L6" i="11"/>
  <c r="H6" i="11"/>
  <c r="D6" i="11"/>
  <c r="P5" i="11"/>
  <c r="L5" i="11"/>
  <c r="H5" i="11"/>
  <c r="D5" i="11"/>
  <c r="P4" i="11"/>
  <c r="L4" i="11"/>
  <c r="H4" i="11"/>
  <c r="D4" i="11"/>
  <c r="D43" i="12"/>
  <c r="E43" i="12" s="1"/>
  <c r="C43" i="12"/>
  <c r="O35" i="12"/>
  <c r="N35" i="12"/>
  <c r="K35" i="12"/>
  <c r="D42" i="12" s="1"/>
  <c r="J35" i="12"/>
  <c r="C42" i="12" s="1"/>
  <c r="G35" i="12"/>
  <c r="D41" i="12" s="1"/>
  <c r="E41" i="12" s="1"/>
  <c r="F35" i="12"/>
  <c r="C41" i="12" s="1"/>
  <c r="C35" i="12"/>
  <c r="D40" i="12" s="1"/>
  <c r="B35" i="12"/>
  <c r="P29" i="12"/>
  <c r="P28" i="12"/>
  <c r="L28" i="12"/>
  <c r="H28" i="12"/>
  <c r="D28" i="12"/>
  <c r="P27" i="12"/>
  <c r="L27" i="12"/>
  <c r="H27" i="12"/>
  <c r="D27" i="12"/>
  <c r="P26" i="12"/>
  <c r="L26" i="12"/>
  <c r="H26" i="12"/>
  <c r="D26" i="12"/>
  <c r="P25" i="12"/>
  <c r="L25" i="12"/>
  <c r="H25" i="12"/>
  <c r="D25" i="12"/>
  <c r="P24" i="12"/>
  <c r="L24" i="12"/>
  <c r="H24" i="12"/>
  <c r="D24" i="12"/>
  <c r="P23" i="12"/>
  <c r="L23" i="12"/>
  <c r="D23" i="12"/>
  <c r="P22" i="12"/>
  <c r="L22" i="12"/>
  <c r="H22" i="12"/>
  <c r="D22" i="12"/>
  <c r="P21" i="12"/>
  <c r="L21" i="12"/>
  <c r="H21" i="12"/>
  <c r="D21" i="12"/>
  <c r="P20" i="12"/>
  <c r="L20" i="12"/>
  <c r="H20" i="12"/>
  <c r="D20" i="12"/>
  <c r="P19" i="12"/>
  <c r="L19" i="12"/>
  <c r="H19" i="12"/>
  <c r="D19" i="12"/>
  <c r="P18" i="12"/>
  <c r="L18" i="12"/>
  <c r="H18" i="12"/>
  <c r="D18" i="12"/>
  <c r="P17" i="12"/>
  <c r="L17" i="12"/>
  <c r="H17" i="12"/>
  <c r="D17" i="12"/>
  <c r="P16" i="12"/>
  <c r="L16" i="12"/>
  <c r="H16" i="12"/>
  <c r="D16" i="12"/>
  <c r="P15" i="12"/>
  <c r="L15" i="12"/>
  <c r="H15" i="12"/>
  <c r="D15" i="12"/>
  <c r="P14" i="12"/>
  <c r="L14" i="12"/>
  <c r="H14" i="12"/>
  <c r="D14" i="12"/>
  <c r="P13" i="12"/>
  <c r="L13" i="12"/>
  <c r="H13" i="12"/>
  <c r="D13" i="12"/>
  <c r="P12" i="12"/>
  <c r="L12" i="12"/>
  <c r="H12" i="12"/>
  <c r="D12" i="12"/>
  <c r="P11" i="12"/>
  <c r="L11" i="12"/>
  <c r="H11" i="12"/>
  <c r="D11" i="12"/>
  <c r="P10" i="12"/>
  <c r="L10" i="12"/>
  <c r="H10" i="12"/>
  <c r="D10" i="12"/>
  <c r="P9" i="12"/>
  <c r="L9" i="12"/>
  <c r="H9" i="12"/>
  <c r="D9" i="12"/>
  <c r="P8" i="12"/>
  <c r="L8" i="12"/>
  <c r="H8" i="12"/>
  <c r="D8" i="12"/>
  <c r="P7" i="12"/>
  <c r="L7" i="12"/>
  <c r="H7" i="12"/>
  <c r="D7" i="12"/>
  <c r="P6" i="12"/>
  <c r="L6" i="12"/>
  <c r="H6" i="12"/>
  <c r="D6" i="12"/>
  <c r="P5" i="12"/>
  <c r="L5" i="12"/>
  <c r="H5" i="12"/>
  <c r="D5" i="12"/>
  <c r="P4" i="12"/>
  <c r="L4" i="12"/>
  <c r="H4" i="12"/>
  <c r="D4" i="12"/>
  <c r="P34" i="2"/>
  <c r="P32" i="2"/>
  <c r="L32" i="2"/>
  <c r="D32" i="2"/>
  <c r="P31" i="2"/>
  <c r="H31" i="2"/>
  <c r="D31" i="2"/>
  <c r="P30" i="2"/>
  <c r="L30" i="2"/>
  <c r="D30" i="2"/>
  <c r="P29" i="2"/>
  <c r="D29" i="2"/>
  <c r="P28" i="2"/>
  <c r="L28" i="2"/>
  <c r="H28" i="2"/>
  <c r="D28" i="2"/>
  <c r="P27" i="2"/>
  <c r="L27" i="2"/>
  <c r="H27" i="2"/>
  <c r="D27" i="2"/>
  <c r="P26" i="2"/>
  <c r="L26" i="2"/>
  <c r="H26" i="2"/>
  <c r="D26" i="2"/>
  <c r="P25" i="2"/>
  <c r="L25" i="2"/>
  <c r="H25" i="2"/>
  <c r="D25" i="2"/>
  <c r="P24" i="2"/>
  <c r="L24" i="2"/>
  <c r="H24" i="2"/>
  <c r="D24" i="2"/>
  <c r="P23" i="2"/>
  <c r="L23" i="2"/>
  <c r="D23" i="2"/>
  <c r="P22" i="2"/>
  <c r="L22" i="2"/>
  <c r="H22" i="2"/>
  <c r="D22" i="2"/>
  <c r="P21" i="2"/>
  <c r="L21" i="2"/>
  <c r="H21" i="2"/>
  <c r="D21" i="2"/>
  <c r="P20" i="2"/>
  <c r="L20" i="2"/>
  <c r="H20" i="2"/>
  <c r="D20" i="2"/>
  <c r="P19" i="2"/>
  <c r="L19" i="2"/>
  <c r="H19" i="2"/>
  <c r="D19" i="2"/>
  <c r="P18" i="2"/>
  <c r="L18" i="2"/>
  <c r="H18" i="2"/>
  <c r="D18" i="2"/>
  <c r="P17" i="2"/>
  <c r="L17" i="2"/>
  <c r="H17" i="2"/>
  <c r="D17" i="2"/>
  <c r="P16" i="2"/>
  <c r="L16" i="2"/>
  <c r="H16" i="2"/>
  <c r="D16" i="2"/>
  <c r="P15" i="2"/>
  <c r="L15" i="2"/>
  <c r="H15" i="2"/>
  <c r="D15" i="2"/>
  <c r="P14" i="2"/>
  <c r="L14" i="2"/>
  <c r="H14" i="2"/>
  <c r="D14" i="2"/>
  <c r="P13" i="2"/>
  <c r="L13" i="2"/>
  <c r="H13" i="2"/>
  <c r="D13" i="2"/>
  <c r="P12" i="2"/>
  <c r="L12" i="2"/>
  <c r="H12" i="2"/>
  <c r="D12" i="2"/>
  <c r="P11" i="2"/>
  <c r="L11" i="2"/>
  <c r="H11" i="2"/>
  <c r="D11" i="2"/>
  <c r="P10" i="2"/>
  <c r="L10" i="2"/>
  <c r="H10" i="2"/>
  <c r="D10" i="2"/>
  <c r="P9" i="2"/>
  <c r="L9" i="2"/>
  <c r="H9" i="2"/>
  <c r="D9" i="2"/>
  <c r="P8" i="2"/>
  <c r="L8" i="2"/>
  <c r="H8" i="2"/>
  <c r="D8" i="2"/>
  <c r="P7" i="2"/>
  <c r="L7" i="2"/>
  <c r="H7" i="2"/>
  <c r="D7" i="2"/>
  <c r="P6" i="2"/>
  <c r="L6" i="2"/>
  <c r="H6" i="2"/>
  <c r="D6" i="2"/>
  <c r="P5" i="2"/>
  <c r="L5" i="2"/>
  <c r="H5" i="2"/>
  <c r="D5" i="2"/>
  <c r="P4" i="2"/>
  <c r="L4" i="2"/>
  <c r="H4" i="2"/>
  <c r="D4" i="2"/>
  <c r="I7" i="13" l="1"/>
  <c r="K7" i="13"/>
  <c r="K16" i="13" s="1"/>
  <c r="J33" i="13" s="1"/>
  <c r="L7" i="13"/>
  <c r="N7" i="13"/>
  <c r="N16" i="13" s="1"/>
  <c r="J34" i="13" s="1"/>
  <c r="E7" i="13"/>
  <c r="F7" i="13"/>
  <c r="H7" i="13"/>
  <c r="H16" i="13" s="1"/>
  <c r="J32" i="13" s="1"/>
  <c r="O7" i="13"/>
  <c r="E42" i="12"/>
  <c r="E43" i="8"/>
  <c r="E43" i="10"/>
  <c r="C44" i="8"/>
  <c r="C40" i="7"/>
  <c r="C44" i="7" s="1"/>
  <c r="E44" i="7" s="1"/>
  <c r="XFD35" i="7"/>
  <c r="C40" i="12"/>
  <c r="C44" i="12" s="1"/>
  <c r="XFD35" i="12"/>
  <c r="C40" i="10"/>
  <c r="C44" i="10" s="1"/>
  <c r="XFD35" i="10"/>
  <c r="D44" i="12"/>
  <c r="E41" i="8"/>
  <c r="E41" i="10"/>
  <c r="E42" i="8"/>
  <c r="XFD35" i="11"/>
  <c r="E44" i="9"/>
  <c r="XFD35" i="8"/>
  <c r="E40" i="9"/>
  <c r="D44" i="11"/>
  <c r="E44" i="11" s="1"/>
  <c r="E40" i="11"/>
  <c r="E41" i="11"/>
  <c r="E42" i="9"/>
  <c r="D44" i="10"/>
  <c r="D44" i="8"/>
  <c r="H25" i="1"/>
  <c r="D11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0" i="1"/>
  <c r="L32" i="1"/>
  <c r="L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H26" i="1"/>
  <c r="H27" i="1"/>
  <c r="H28" i="1"/>
  <c r="H31" i="1"/>
  <c r="H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4" i="1"/>
  <c r="G7" i="13" l="1"/>
  <c r="C7" i="13"/>
  <c r="F16" i="13"/>
  <c r="L31" i="13" s="1"/>
  <c r="O16" i="13"/>
  <c r="L34" i="13" s="1"/>
  <c r="N34" i="13" s="1"/>
  <c r="P7" i="13"/>
  <c r="M7" i="13"/>
  <c r="L16" i="13"/>
  <c r="L33" i="13" s="1"/>
  <c r="N33" i="13" s="1"/>
  <c r="B7" i="13"/>
  <c r="B16" i="13" s="1"/>
  <c r="E16" i="13"/>
  <c r="J31" i="13" s="1"/>
  <c r="J35" i="13" s="1"/>
  <c r="J7" i="13"/>
  <c r="I16" i="13"/>
  <c r="L32" i="13" s="1"/>
  <c r="N32" i="13" s="1"/>
  <c r="E40" i="10"/>
  <c r="E40" i="7"/>
  <c r="E44" i="12"/>
  <c r="E40" i="12"/>
  <c r="E44" i="8"/>
  <c r="E44" i="10"/>
  <c r="C40" i="1"/>
  <c r="C41" i="1"/>
  <c r="D41" i="1"/>
  <c r="C42" i="1"/>
  <c r="D42" i="1"/>
  <c r="C43" i="1"/>
  <c r="D43" i="1"/>
  <c r="D40" i="1"/>
  <c r="L35" i="13" l="1"/>
  <c r="N35" i="13" s="1"/>
  <c r="N31" i="13"/>
  <c r="D7" i="13"/>
  <c r="C16" i="13"/>
  <c r="E43" i="1"/>
  <c r="D44" i="1"/>
  <c r="C44" i="1"/>
  <c r="E40" i="1"/>
  <c r="E42" i="1"/>
  <c r="E41" i="1"/>
  <c r="E44" i="1" l="1"/>
</calcChain>
</file>

<file path=xl/sharedStrings.xml><?xml version="1.0" encoding="utf-8"?>
<sst xmlns="http://schemas.openxmlformats.org/spreadsheetml/2006/main" count="525" uniqueCount="54">
  <si>
    <t>Tiktok</t>
  </si>
  <si>
    <t>Facebook</t>
  </si>
  <si>
    <t>Lazada</t>
  </si>
  <si>
    <t>Shopee</t>
  </si>
  <si>
    <t>ว/ด/ป</t>
  </si>
  <si>
    <t>ยอดขาย</t>
  </si>
  <si>
    <t>ค่าแอด</t>
  </si>
  <si>
    <t>คิดเป็น%</t>
  </si>
  <si>
    <t>แพลตฟอร์ม</t>
  </si>
  <si>
    <t>รวม</t>
  </si>
  <si>
    <t>Total</t>
  </si>
  <si>
    <t>บาท</t>
  </si>
  <si>
    <t>ข้อมูลการยิง ADS ของแผนกออนไลน์ทุกแพลตฟอร์ม เดือนมิถุนายน 2569</t>
  </si>
  <si>
    <t>ตารางสรุป 1- 30 มิถุนายน 2569</t>
  </si>
  <si>
    <t>ตารางสรุป 1- 31 กรกฏาคม 2569</t>
  </si>
  <si>
    <t>ข้อมูลการยิง ADS ของแผนกออนไลน์ทุกแพลตฟอร์ม เดือนกรกฏาคม 2569</t>
  </si>
  <si>
    <t>ข้อมูลการยิง ADS ของแผนกออนไลน์ทุกแพลตฟอร์ม เดือนสิงหาคม 2569</t>
  </si>
  <si>
    <t>ตารางสรุป 1- 31 สิงหาคม 2569</t>
  </si>
  <si>
    <t>ข้อมูลการยิง ADS ของแผนกออนไลน์ทุกแพลตฟอร์ม เดือนกันยายน 2569</t>
  </si>
  <si>
    <t>ตารางสรุป 1- 30 กันยายน 2569</t>
  </si>
  <si>
    <t>ข้อมูลการยิง ADS ของแผนกออนไลน์ทุกแพลตฟอร์ม เดือนตุลาคม 2569</t>
  </si>
  <si>
    <t>ตารางสรุป 1- 31 ตุลาคม 2569</t>
  </si>
  <si>
    <t>ข้อมูลการยิง ADS ของแผนกออนไลน์ทุกแพลตฟอร์ม เดือนพฤศจิกายน 2569</t>
  </si>
  <si>
    <t>ตารางสรุป 1- 30 พฤศจิกายน 2569</t>
  </si>
  <si>
    <t>ข้อมูลการยิง ADS ของแผนกออนไลน์ทุกแพลตฟอร์ม เดือนธันวาคม 2569</t>
  </si>
  <si>
    <t>ตารางสรุป 1- 31 ธันวาคม 2569</t>
  </si>
  <si>
    <t>-</t>
  </si>
  <si>
    <t>Total 2569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</si>
  <si>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</si>
  <si>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</si>
  <si>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</si>
  <si>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</si>
  <si>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</si>
  <si>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</si>
  <si>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</si>
  <si>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</si>
  <si>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</si>
  <si>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</si>
  <si>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</si>
  <si>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</si>
  <si>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MB</t>
  </si>
  <si>
    <t>ตารางสรุป 1- 31 January 2026</t>
  </si>
  <si>
    <t>ตารางสรุป 1- 31 March 2026</t>
  </si>
  <si>
    <t>ตารางสรุป 1- 31 May 2569</t>
  </si>
  <si>
    <t>ข้อมูลการยิง ADS ของแผนกออนไลน์ทุกแพลตฟอร์ม May 2026</t>
  </si>
  <si>
    <t>ตารางสรุป 1- 30 April 2026</t>
  </si>
  <si>
    <r>
      <t xml:space="preserve">ข้อมูลการยิง ADS ของแผนกออนไลน์ทุกแพลตฟอร์ม </t>
    </r>
    <r>
      <rPr>
        <sz val="20"/>
        <color theme="1"/>
        <rFont val="Angsana New"/>
        <family val="1"/>
      </rPr>
      <t>April 2026</t>
    </r>
  </si>
  <si>
    <t>ข้อมูลการยิง ADS ของแผนกออนไลน์ทุกแพลตฟอร์ม March 2026</t>
  </si>
  <si>
    <t>ตารางสรุป 1- 28 February 2026</t>
  </si>
  <si>
    <t>ข้อมูลการยิง ADS ของแผนกออนไลน์ทุกแพลตฟอร์ม February 2026</t>
  </si>
  <si>
    <r>
      <t xml:space="preserve">ข้อมูลการยิง ADS ของแผนกออนไลน์ทุกแพลตฟอร์ม </t>
    </r>
    <r>
      <rPr>
        <sz val="20"/>
        <color theme="1"/>
        <rFont val="Angsana New"/>
        <family val="1"/>
      </rPr>
      <t>January 2026</t>
    </r>
  </si>
  <si>
    <t>ข้อมูลการยิง ADS ของแผนกออนไลน์ทุกแพลตฟอร์ม Y2026</t>
  </si>
  <si>
    <t>รวมค่าแอดรายวัน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</si>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</sst>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$-1070000]d/mm/yyyy;@"/>
    <numFmt numFmtId="188" formatCode="#,##0.00,,"/>
  </numFmts>
  <fonts count="2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rgb="FFFFFFFF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sz val="16"/>
      <color theme="1" tint="4.9989318521683403E-2"/>
      <name val="Angsana New"/>
      <family val="1"/>
    </font>
    <font>
      <b/>
      <sz val="16"/>
      <color rgb="FFFF0000"/>
      <name val="Angsana New"/>
      <family val="1"/>
    </font>
    <font>
      <b/>
      <sz val="18"/>
      <color rgb="FFFF0000"/>
      <name val="Angsana New"/>
      <family val="1"/>
    </font>
    <font>
      <sz val="16"/>
      <color theme="1"/>
      <name val="AngsanaUPC"/>
      <family val="1"/>
    </font>
    <font>
      <b/>
      <sz val="20"/>
      <color theme="1"/>
      <name val="Angsana New"/>
      <family val="1"/>
    </font>
    <font>
      <b/>
      <sz val="18"/>
      <color theme="1" tint="4.9989318521683403E-2"/>
      <name val="Angsana New"/>
      <family val="1"/>
    </font>
    <font>
      <b/>
      <sz val="18"/>
      <color theme="1" tint="4.9989318521683403E-2"/>
      <name val="AngsanaUPC"/>
      <family val="1"/>
    </font>
    <font>
      <sz val="8"/>
      <name val="Tahoma"/>
      <family val="2"/>
      <charset val="222"/>
      <scheme val="minor"/>
    </font>
    <font>
      <sz val="12"/>
      <name val="Verdana"/>
      <family val="2"/>
    </font>
    <font>
      <b/>
      <sz val="16"/>
      <color theme="1" tint="4.9989318521683403E-2"/>
      <name val="Angsana New"/>
      <family val="1"/>
    </font>
    <font>
      <b/>
      <sz val="16"/>
      <color rgb="FF0000FF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6"/>
      <color theme="1" tint="4.9989318521683403E-2"/>
      <name val="AngsanaUPC"/>
      <family val="1"/>
    </font>
    <font>
      <sz val="20"/>
      <color theme="1"/>
      <name val="Angsana New"/>
      <family val="1"/>
    </font>
    <font>
      <b/>
      <sz val="28"/>
      <color theme="1"/>
      <name val="Angsana New"/>
      <family val="1"/>
    </font>
    <font>
      <b/>
      <sz val="10"/>
      <color rgb="FF1E1E1E"/>
      <name val="Segoe UI"/>
      <family val="2"/>
    </font>
    <font>
      <b/>
      <sz val="16"/>
      <color theme="9" tint="-0.499984740745262"/>
      <name val="Angsana New"/>
      <family val="1"/>
    </font>
    <font>
      <b/>
      <sz val="16"/>
      <color rgb="FF00B050"/>
      <name val="Angsana New"/>
      <family val="1"/>
    </font>
    <font>
      <b/>
      <sz val="18"/>
      <color theme="9" tint="-0.499984740745262"/>
      <name val="Angsana New"/>
      <family val="1"/>
    </font>
  </fonts>
  <fills count="15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1EB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BFF"/>
        <bgColor indexed="64"/>
      </patternFill>
    </fill>
    <fill>
      <patternFill patternType="solid">
        <fgColor rgb="FF9898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4" fillId="0" borderId="0"/>
    <xf numFmtId="43" fontId="1" fillId="0" borderId="0" applyFont="0" applyFill="0" applyBorder="0" applyAlignment="0" applyProtection="0"/>
  </cellStyleXfs>
  <cellXfs count="137">
    <xf numFmtId="0" fontId="0" fillId="0" borderId="0" xfId="0"/>
    <xf numFmtId="0" fontId="4" fillId="0" borderId="0" xfId="0" applyFont="1"/>
    <xf numFmtId="15" fontId="4" fillId="0" borderId="0" xfId="0" applyNumberFormat="1" applyFont="1" applyAlignment="1">
      <alignment horizontal="right" wrapText="1"/>
    </xf>
    <xf numFmtId="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4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9" fontId="5" fillId="0" borderId="0" xfId="1" applyFont="1" applyBorder="1" applyAlignment="1">
      <alignment horizontal="left" wrapText="1"/>
    </xf>
    <xf numFmtId="0" fontId="5" fillId="0" borderId="0" xfId="0" applyFont="1" applyAlignment="1">
      <alignment horizontal="right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187" fontId="4" fillId="0" borderId="0" xfId="0" applyNumberFormat="1" applyFont="1" applyAlignment="1">
      <alignment horizontal="righ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4" fontId="7" fillId="0" borderId="0" xfId="0" applyNumberFormat="1" applyFont="1" applyAlignment="1">
      <alignment horizontal="center" wrapText="1"/>
    </xf>
    <xf numFmtId="9" fontId="7" fillId="0" borderId="0" xfId="1" applyFont="1" applyBorder="1" applyAlignment="1">
      <alignment horizontal="right" wrapText="1"/>
    </xf>
    <xf numFmtId="9" fontId="7" fillId="0" borderId="0" xfId="1" applyFont="1" applyBorder="1" applyAlignment="1">
      <alignment wrapText="1"/>
    </xf>
    <xf numFmtId="9" fontId="7" fillId="0" borderId="0" xfId="1" applyFont="1" applyBorder="1"/>
    <xf numFmtId="0" fontId="7" fillId="0" borderId="0" xfId="0" applyFont="1" applyAlignment="1">
      <alignment horizontal="right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4" fontId="5" fillId="0" borderId="1" xfId="0" applyNumberFormat="1" applyFont="1" applyBorder="1" applyAlignment="1">
      <alignment horizontal="right" wrapText="1"/>
    </xf>
    <xf numFmtId="0" fontId="9" fillId="0" borderId="2" xfId="0" applyFont="1" applyBorder="1" applyAlignment="1">
      <alignment horizontal="center" wrapText="1"/>
    </xf>
    <xf numFmtId="4" fontId="9" fillId="3" borderId="2" xfId="0" applyNumberFormat="1" applyFont="1" applyFill="1" applyBorder="1" applyAlignment="1">
      <alignment horizontal="center" wrapText="1"/>
    </xf>
    <xf numFmtId="4" fontId="9" fillId="0" borderId="2" xfId="0" applyNumberFormat="1" applyFont="1" applyBorder="1" applyAlignment="1">
      <alignment horizontal="center" wrapText="1"/>
    </xf>
    <xf numFmtId="9" fontId="9" fillId="0" borderId="2" xfId="1" applyFont="1" applyBorder="1" applyAlignment="1">
      <alignment horizontal="center" wrapText="1"/>
    </xf>
    <xf numFmtId="0" fontId="10" fillId="0" borderId="0" xfId="0" applyFont="1"/>
    <xf numFmtId="0" fontId="11" fillId="6" borderId="0" xfId="0" applyFont="1" applyFill="1" applyAlignment="1">
      <alignment horizontal="center" vertical="center" wrapText="1"/>
    </xf>
    <xf numFmtId="9" fontId="8" fillId="6" borderId="0" xfId="1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2" fillId="7" borderId="2" xfId="0" applyFont="1" applyFill="1" applyBorder="1" applyAlignment="1">
      <alignment horizontal="center" wrapText="1"/>
    </xf>
    <xf numFmtId="4" fontId="12" fillId="7" borderId="2" xfId="0" applyNumberFormat="1" applyFont="1" applyFill="1" applyBorder="1" applyAlignment="1">
      <alignment horizontal="center" wrapText="1"/>
    </xf>
    <xf numFmtId="9" fontId="12" fillId="7" borderId="2" xfId="1" applyFont="1" applyFill="1" applyBorder="1" applyAlignment="1">
      <alignment horizontal="center" wrapText="1"/>
    </xf>
    <xf numFmtId="0" fontId="12" fillId="7" borderId="2" xfId="0" applyFont="1" applyFill="1" applyBorder="1" applyAlignment="1">
      <alignment horizontal="left" wrapText="1"/>
    </xf>
    <xf numFmtId="4" fontId="4" fillId="0" borderId="0" xfId="0" applyNumberFormat="1" applyFont="1" applyAlignment="1">
      <alignment wrapText="1"/>
    </xf>
    <xf numFmtId="0" fontId="10" fillId="0" borderId="0" xfId="0" applyFont="1" applyAlignment="1">
      <alignment horizontal="left"/>
    </xf>
    <xf numFmtId="0" fontId="15" fillId="8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9" fontId="7" fillId="8" borderId="0" xfId="1" applyFont="1" applyFill="1" applyBorder="1" applyAlignment="1">
      <alignment horizontal="center" vertical="center" wrapText="1"/>
    </xf>
    <xf numFmtId="187" fontId="4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188" fontId="9" fillId="3" borderId="2" xfId="0" applyNumberFormat="1" applyFont="1" applyFill="1" applyBorder="1" applyAlignment="1">
      <alignment horizontal="center" wrapText="1"/>
    </xf>
    <xf numFmtId="188" fontId="9" fillId="0" borderId="2" xfId="0" applyNumberFormat="1" applyFont="1" applyBorder="1" applyAlignment="1">
      <alignment horizontal="center" wrapText="1"/>
    </xf>
    <xf numFmtId="188" fontId="4" fillId="0" borderId="0" xfId="0" applyNumberFormat="1" applyFont="1" applyAlignment="1">
      <alignment horizontal="right" wrapText="1"/>
    </xf>
    <xf numFmtId="188" fontId="17" fillId="0" borderId="0" xfId="0" applyNumberFormat="1" applyFont="1" applyAlignment="1">
      <alignment horizontal="right" wrapText="1"/>
    </xf>
    <xf numFmtId="188" fontId="5" fillId="0" borderId="1" xfId="0" applyNumberFormat="1" applyFont="1" applyBorder="1" applyAlignment="1">
      <alignment horizontal="right" wrapText="1"/>
    </xf>
    <xf numFmtId="188" fontId="18" fillId="0" borderId="1" xfId="0" applyNumberFormat="1" applyFont="1" applyBorder="1" applyAlignment="1">
      <alignment horizontal="right" wrapText="1"/>
    </xf>
    <xf numFmtId="0" fontId="19" fillId="7" borderId="2" xfId="0" applyFont="1" applyFill="1" applyBorder="1" applyAlignment="1">
      <alignment horizontal="right" wrapText="1"/>
    </xf>
    <xf numFmtId="188" fontId="4" fillId="0" borderId="0" xfId="3" applyNumberFormat="1" applyFont="1" applyAlignment="1">
      <alignment horizontal="right"/>
    </xf>
    <xf numFmtId="188" fontId="4" fillId="0" borderId="0" xfId="3" applyNumberFormat="1" applyFont="1" applyAlignment="1">
      <alignment horizontal="right" wrapText="1"/>
    </xf>
    <xf numFmtId="188" fontId="4" fillId="0" borderId="0" xfId="0" applyNumberFormat="1" applyFont="1" applyAlignment="1">
      <alignment wrapText="1"/>
    </xf>
    <xf numFmtId="188" fontId="19" fillId="7" borderId="2" xfId="0" applyNumberFormat="1" applyFont="1" applyFill="1" applyBorder="1" applyAlignment="1">
      <alignment horizontal="center" wrapText="1"/>
    </xf>
    <xf numFmtId="0" fontId="4" fillId="9" borderId="9" xfId="0" applyFont="1" applyFill="1" applyBorder="1"/>
    <xf numFmtId="0" fontId="4" fillId="9" borderId="0" xfId="0" applyFont="1" applyFill="1"/>
    <xf numFmtId="9" fontId="7" fillId="9" borderId="0" xfId="1" applyFont="1" applyFill="1" applyBorder="1"/>
    <xf numFmtId="0" fontId="0" fillId="9" borderId="0" xfId="0" applyFill="1"/>
    <xf numFmtId="0" fontId="4" fillId="9" borderId="0" xfId="0" applyFont="1" applyFill="1" applyAlignment="1">
      <alignment vertical="center" wrapText="1"/>
    </xf>
    <xf numFmtId="0" fontId="7" fillId="9" borderId="0" xfId="0" applyFont="1" applyFill="1" applyAlignment="1">
      <alignment vertical="center" wrapText="1"/>
    </xf>
    <xf numFmtId="0" fontId="4" fillId="9" borderId="0" xfId="0" applyFont="1" applyFill="1" applyAlignment="1">
      <alignment wrapText="1"/>
    </xf>
    <xf numFmtId="0" fontId="7" fillId="9" borderId="0" xfId="0" applyFont="1" applyFill="1" applyAlignment="1">
      <alignment wrapText="1"/>
    </xf>
    <xf numFmtId="0" fontId="7" fillId="9" borderId="10" xfId="0" applyFont="1" applyFill="1" applyBorder="1" applyAlignment="1">
      <alignment wrapText="1"/>
    </xf>
    <xf numFmtId="0" fontId="2" fillId="9" borderId="0" xfId="0" applyFont="1" applyFill="1" applyAlignment="1">
      <alignment wrapText="1"/>
    </xf>
    <xf numFmtId="0" fontId="4" fillId="9" borderId="0" xfId="0" applyFont="1" applyFill="1" applyAlignment="1">
      <alignment vertical="center"/>
    </xf>
    <xf numFmtId="0" fontId="2" fillId="9" borderId="0" xfId="0" applyFont="1" applyFill="1" applyAlignment="1">
      <alignment horizontal="center" wrapText="1"/>
    </xf>
    <xf numFmtId="0" fontId="7" fillId="9" borderId="0" xfId="0" applyFont="1" applyFill="1" applyAlignment="1">
      <alignment horizontal="center" wrapText="1"/>
    </xf>
    <xf numFmtId="0" fontId="4" fillId="9" borderId="0" xfId="0" applyFont="1" applyFill="1" applyAlignment="1">
      <alignment horizontal="center" wrapText="1"/>
    </xf>
    <xf numFmtId="4" fontId="7" fillId="9" borderId="0" xfId="0" applyNumberFormat="1" applyFont="1" applyFill="1" applyAlignment="1">
      <alignment horizontal="center" wrapText="1"/>
    </xf>
    <xf numFmtId="4" fontId="4" fillId="9" borderId="0" xfId="0" applyNumberFormat="1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15" fontId="4" fillId="9" borderId="0" xfId="0" applyNumberFormat="1" applyFont="1" applyFill="1" applyAlignment="1">
      <alignment horizontal="right" wrapText="1"/>
    </xf>
    <xf numFmtId="0" fontId="4" fillId="9" borderId="9" xfId="0" applyFont="1" applyFill="1" applyBorder="1" applyAlignment="1">
      <alignment wrapText="1"/>
    </xf>
    <xf numFmtId="9" fontId="7" fillId="9" borderId="0" xfId="1" applyFont="1" applyFill="1" applyBorder="1" applyAlignment="1">
      <alignment horizontal="right" wrapText="1"/>
    </xf>
    <xf numFmtId="4" fontId="4" fillId="9" borderId="0" xfId="0" applyNumberFormat="1" applyFont="1" applyFill="1" applyAlignment="1">
      <alignment horizontal="right" wrapText="1"/>
    </xf>
    <xf numFmtId="0" fontId="4" fillId="9" borderId="10" xfId="0" applyFont="1" applyFill="1" applyBorder="1" applyAlignment="1">
      <alignment wrapText="1"/>
    </xf>
    <xf numFmtId="0" fontId="9" fillId="9" borderId="2" xfId="0" applyFont="1" applyFill="1" applyBorder="1" applyAlignment="1">
      <alignment horizontal="center" wrapText="1"/>
    </xf>
    <xf numFmtId="9" fontId="9" fillId="9" borderId="2" xfId="1" applyFont="1" applyFill="1" applyBorder="1" applyAlignment="1">
      <alignment horizontal="center" wrapText="1"/>
    </xf>
    <xf numFmtId="0" fontId="7" fillId="9" borderId="0" xfId="0" applyFont="1" applyFill="1"/>
    <xf numFmtId="0" fontId="4" fillId="9" borderId="0" xfId="0" applyFont="1" applyFill="1" applyAlignment="1">
      <alignment horizontal="right" wrapText="1"/>
    </xf>
    <xf numFmtId="0" fontId="4" fillId="9" borderId="10" xfId="0" applyFont="1" applyFill="1" applyBorder="1"/>
    <xf numFmtId="0" fontId="4" fillId="9" borderId="11" xfId="0" applyFont="1" applyFill="1" applyBorder="1"/>
    <xf numFmtId="0" fontId="4" fillId="9" borderId="12" xfId="0" applyFont="1" applyFill="1" applyBorder="1"/>
    <xf numFmtId="9" fontId="7" fillId="9" borderId="12" xfId="1" applyFont="1" applyFill="1" applyBorder="1"/>
    <xf numFmtId="0" fontId="7" fillId="9" borderId="12" xfId="0" applyFont="1" applyFill="1" applyBorder="1"/>
    <xf numFmtId="0" fontId="4" fillId="9" borderId="13" xfId="0" applyFont="1" applyFill="1" applyBorder="1"/>
    <xf numFmtId="0" fontId="12" fillId="10" borderId="2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right" wrapText="1"/>
    </xf>
    <xf numFmtId="9" fontId="12" fillId="11" borderId="2" xfId="1" applyFont="1" applyFill="1" applyBorder="1" applyAlignment="1">
      <alignment horizontal="center" wrapText="1"/>
    </xf>
    <xf numFmtId="188" fontId="9" fillId="9" borderId="3" xfId="0" applyNumberFormat="1" applyFont="1" applyFill="1" applyBorder="1" applyAlignment="1">
      <alignment horizontal="center" wrapText="1"/>
    </xf>
    <xf numFmtId="188" fontId="9" fillId="9" borderId="5" xfId="0" applyNumberFormat="1" applyFont="1" applyFill="1" applyBorder="1" applyAlignment="1">
      <alignment horizontal="center" wrapText="1"/>
    </xf>
    <xf numFmtId="22" fontId="22" fillId="9" borderId="0" xfId="0" applyNumberFormat="1" applyFont="1" applyFill="1" applyAlignment="1">
      <alignment horizontal="center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188" fontId="19" fillId="11" borderId="2" xfId="0" applyNumberFormat="1" applyFont="1" applyFill="1" applyBorder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15" fillId="8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wrapText="1"/>
    </xf>
    <xf numFmtId="0" fontId="15" fillId="4" borderId="0" xfId="0" applyFont="1" applyFill="1" applyAlignment="1">
      <alignment horizontal="center" wrapText="1"/>
    </xf>
    <xf numFmtId="0" fontId="15" fillId="5" borderId="0" xfId="0" applyFont="1" applyFill="1" applyAlignment="1">
      <alignment horizontal="center" wrapText="1"/>
    </xf>
    <xf numFmtId="0" fontId="21" fillId="9" borderId="6" xfId="0" applyFont="1" applyFill="1" applyBorder="1" applyAlignment="1">
      <alignment horizontal="center"/>
    </xf>
    <xf numFmtId="0" fontId="21" fillId="9" borderId="7" xfId="0" applyFont="1" applyFill="1" applyBorder="1" applyAlignment="1">
      <alignment horizontal="center"/>
    </xf>
    <xf numFmtId="0" fontId="21" fillId="9" borderId="8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horizontal="center" wrapText="1"/>
    </xf>
    <xf numFmtId="0" fontId="12" fillId="7" borderId="5" xfId="0" applyFont="1" applyFill="1" applyBorder="1" applyAlignment="1">
      <alignment horizontal="center" wrapText="1"/>
    </xf>
    <xf numFmtId="0" fontId="11" fillId="6" borderId="0" xfId="0" applyFont="1" applyFill="1" applyAlignment="1">
      <alignment horizontal="center" wrapText="1"/>
    </xf>
    <xf numFmtId="0" fontId="11" fillId="4" borderId="0" xfId="0" applyFont="1" applyFill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23" fillId="12" borderId="0" xfId="0" applyFont="1" applyFill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/>
    </xf>
    <xf numFmtId="4" fontId="23" fillId="12" borderId="0" xfId="0" applyNumberFormat="1" applyFont="1" applyFill="1"/>
    <xf numFmtId="4" fontId="16" fillId="13" borderId="0" xfId="0" applyNumberFormat="1" applyFont="1" applyFill="1"/>
    <xf numFmtId="9" fontId="7" fillId="14" borderId="0" xfId="1" applyFont="1" applyFill="1" applyBorder="1" applyAlignment="1">
      <alignment horizontal="right" wrapText="1"/>
    </xf>
    <xf numFmtId="4" fontId="24" fillId="12" borderId="0" xfId="0" applyNumberFormat="1" applyFont="1" applyFill="1"/>
    <xf numFmtId="0" fontId="4" fillId="14" borderId="0" xfId="0" applyFont="1" applyFill="1"/>
    <xf numFmtId="4" fontId="25" fillId="12" borderId="1" xfId="0" applyNumberFormat="1" applyFont="1" applyFill="1" applyBorder="1" applyAlignment="1">
      <alignment horizontal="right" wrapText="1"/>
    </xf>
    <xf numFmtId="4" fontId="18" fillId="13" borderId="1" xfId="0" applyNumberFormat="1" applyFont="1" applyFill="1" applyBorder="1" applyAlignment="1">
      <alignment horizontal="right" wrapText="1"/>
    </xf>
    <xf numFmtId="9" fontId="5" fillId="14" borderId="0" xfId="1" applyFont="1" applyFill="1" applyBorder="1" applyAlignment="1">
      <alignment horizontal="left" wrapText="1"/>
    </xf>
    <xf numFmtId="43" fontId="4" fillId="0" borderId="0" xfId="3" applyFont="1"/>
    <xf numFmtId="9" fontId="4" fillId="0" borderId="0" xfId="1" applyFont="1"/>
    <xf numFmtId="0" fontId="15" fillId="8" borderId="0" xfId="0" applyFont="1" applyFill="1" applyAlignment="1">
      <alignment wrapText="1"/>
    </xf>
    <xf numFmtId="0" fontId="16" fillId="8" borderId="0" xfId="0" applyFont="1" applyFill="1" applyAlignment="1">
      <alignment horizontal="center" vertical="center" wrapText="1"/>
    </xf>
  </cellXfs>
  <cellStyles count="4">
    <cellStyle name="จุลภาค" xfId="3" builtinId="3"/>
    <cellStyle name="ปกติ" xfId="0" builtinId="0"/>
    <cellStyle name="ปกติ 2" xfId="2" xr:uid="{63D568A9-05C6-426D-8495-1D6A0E3D6995}"/>
    <cellStyle name="เปอร์เซ็นต์" xfId="1" builtinId="5"/>
  </cellStyles>
  <dxfs count="0"/>
  <tableStyles count="0" defaultTableStyle="TableStyleMedium2" defaultPivotStyle="PivotStyleLight16"/>
  <colors>
    <mruColors>
      <color rgb="FFFF0066"/>
      <color rgb="FF0000FF"/>
      <color rgb="FFFF0000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/>
              <a:t>ข้อมูลการยิง </a:t>
            </a:r>
            <a:r>
              <a:rPr lang="en-US"/>
              <a:t>ADS </a:t>
            </a:r>
            <a:r>
              <a:rPr lang="th-TH"/>
              <a:t>ของแผนกออนไลน์ทุกแพลตฟอร์ม </a:t>
            </a:r>
            <a:r>
              <a:rPr lang="en-US"/>
              <a:t>Y2026</a:t>
            </a:r>
            <a:endParaRPr lang="th-TH"/>
          </a:p>
        </c:rich>
      </c:tx>
      <c:layout>
        <c:manualLayout>
          <c:xMode val="edge"/>
          <c:yMode val="edge"/>
          <c:x val="0.15831342721075795"/>
          <c:y val="2.4109018323170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ALL!$J$30</c:f>
              <c:strCache>
                <c:ptCount val="1"/>
                <c:pt idx="0">
                  <c:v>ยอดขาย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ALL!$I$31:$I$34</c:f>
              <c:strCache>
                <c:ptCount val="4"/>
                <c:pt idx="0">
                  <c:v>Tiktok</c:v>
                </c:pt>
                <c:pt idx="1">
                  <c:v>Facebook</c:v>
                </c:pt>
                <c:pt idx="2">
                  <c:v>Lazada</c:v>
                </c:pt>
                <c:pt idx="3">
                  <c:v>Shopee</c:v>
                </c:pt>
              </c:strCache>
            </c:strRef>
          </c:cat>
          <c:val>
            <c:numRef>
              <c:f>ALL!$J$31:$J$34</c:f>
              <c:numCache>
                <c:formatCode>#,##0.00,,</c:formatCode>
                <c:ptCount val="4"/>
                <c:pt idx="0">
                  <c:v>5144597.2500000009</c:v>
                </c:pt>
                <c:pt idx="1">
                  <c:v>2556363.5000000005</c:v>
                </c:pt>
                <c:pt idx="2">
                  <c:v>844799.32</c:v>
                </c:pt>
                <c:pt idx="3">
                  <c:v>2119815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9-4245-8FBD-F2F171FA7F23}"/>
            </c:ext>
          </c:extLst>
        </c:ser>
        <c:ser>
          <c:idx val="1"/>
          <c:order val="1"/>
          <c:tx>
            <c:strRef>
              <c:f>ALL!$L$30</c:f>
              <c:strCache>
                <c:ptCount val="1"/>
                <c:pt idx="0">
                  <c:v>ค่าแอด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ALL!$I$31:$I$34</c:f>
              <c:strCache>
                <c:ptCount val="4"/>
                <c:pt idx="0">
                  <c:v>Tiktok</c:v>
                </c:pt>
                <c:pt idx="1">
                  <c:v>Facebook</c:v>
                </c:pt>
                <c:pt idx="2">
                  <c:v>Lazada</c:v>
                </c:pt>
                <c:pt idx="3">
                  <c:v>Shopee</c:v>
                </c:pt>
              </c:strCache>
            </c:strRef>
          </c:cat>
          <c:val>
            <c:numRef>
              <c:f>ALL!$L$31:$L$34</c:f>
              <c:numCache>
                <c:formatCode>#,##0.00,,</c:formatCode>
                <c:ptCount val="4"/>
                <c:pt idx="0">
                  <c:v>874442.44999999984</c:v>
                </c:pt>
                <c:pt idx="1">
                  <c:v>283938</c:v>
                </c:pt>
                <c:pt idx="2">
                  <c:v>66685.61</c:v>
                </c:pt>
                <c:pt idx="3">
                  <c:v>289287.84999999998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9-4245-8FBD-F2F171FA7F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65894863"/>
        <c:axId val="1465881423"/>
      </c:barChart>
      <c:catAx>
        <c:axId val="146589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465881423"/>
        <c:crosses val="autoZero"/>
        <c:auto val="1"/>
        <c:lblAlgn val="ctr"/>
        <c:lblOffset val="100"/>
        <c:noMultiLvlLbl val="0"/>
      </c:catAx>
      <c:valAx>
        <c:axId val="146588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465894863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Summary</a:t>
            </a:r>
            <a:r>
              <a:rPr lang="th-TH"/>
              <a:t> </a:t>
            </a:r>
            <a:r>
              <a:rPr lang="en-US"/>
              <a:t>Ads &amp; Campaign</a:t>
            </a:r>
            <a:r>
              <a:rPr lang="th-TH"/>
              <a:t> </a:t>
            </a:r>
            <a:r>
              <a:rPr lang="en-US"/>
              <a:t>Y</a:t>
            </a:r>
            <a:r>
              <a:rPr lang="th-TH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7F4-43A1-BD13-B05435DEE3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F4-43A1-BD13-B05435DEE3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7F4-43A1-BD13-B05435DEE3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F4-43A1-BD13-B05435DEE334}"/>
              </c:ext>
            </c:extLst>
          </c:dPt>
          <c:dLbls>
            <c:dLbl>
              <c:idx val="0"/>
              <c:layout>
                <c:manualLayout>
                  <c:x val="1.6491843762210929E-2"/>
                  <c:y val="9.9833369938462403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F4-43A1-BD13-B05435DEE334}"/>
                </c:ext>
              </c:extLst>
            </c:dLbl>
            <c:dLbl>
              <c:idx val="1"/>
              <c:layout>
                <c:manualLayout>
                  <c:x val="-1.902952755905515E-2"/>
                  <c:y val="3.019678510335462E-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F4-43A1-BD13-B05435DEE334}"/>
                </c:ext>
              </c:extLst>
            </c:dLbl>
            <c:dLbl>
              <c:idx val="2"/>
              <c:layout>
                <c:manualLayout>
                  <c:x val="-3.597244094488191E-2"/>
                  <c:y val="-1.612018646922942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F4-43A1-BD13-B05435DEE334}"/>
                </c:ext>
              </c:extLst>
            </c:dLbl>
            <c:dLbl>
              <c:idx val="3"/>
              <c:layout>
                <c:manualLayout>
                  <c:x val="-6.8675634295713051E-2"/>
                  <c:y val="3.213949935362557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F4-43A1-BD13-B05435DEE33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ALL!$I$31:$I$34</c:f>
              <c:strCache>
                <c:ptCount val="4"/>
                <c:pt idx="0">
                  <c:v>Tiktok</c:v>
                </c:pt>
                <c:pt idx="1">
                  <c:v>Facebook</c:v>
                </c:pt>
                <c:pt idx="2">
                  <c:v>Lazada</c:v>
                </c:pt>
                <c:pt idx="3">
                  <c:v>Shopee</c:v>
                </c:pt>
              </c:strCache>
            </c:strRef>
          </c:cat>
          <c:val>
            <c:numRef>
              <c:f>ALL!$L$31:$L$34</c:f>
              <c:numCache>
                <c:formatCode>#,##0.00,,</c:formatCode>
                <c:ptCount val="4"/>
                <c:pt idx="0">
                  <c:v>874442.44999999984</c:v>
                </c:pt>
                <c:pt idx="1">
                  <c:v>283938</c:v>
                </c:pt>
                <c:pt idx="2">
                  <c:v>66685.61</c:v>
                </c:pt>
                <c:pt idx="3">
                  <c:v>289287.84999999998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4-43A1-BD13-B05435DEE3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Summary</a:t>
            </a:r>
            <a:r>
              <a:rPr lang="th-TH"/>
              <a:t> </a:t>
            </a:r>
            <a:r>
              <a:rPr lang="en-US"/>
              <a:t>Sales Y</a:t>
            </a:r>
            <a:r>
              <a:rPr lang="th-TH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8B-4BAB-9885-4773D3D82A7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8B-4BAB-9885-4773D3D82A7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8B-4BAB-9885-4773D3D82A7B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8B-4BAB-9885-4773D3D82A7B}"/>
              </c:ext>
            </c:extLst>
          </c:dPt>
          <c:dLbls>
            <c:dLbl>
              <c:idx val="0"/>
              <c:layout>
                <c:manualLayout>
                  <c:x val="3.1173226077588118E-2"/>
                  <c:y val="0.1445282343920763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8B-4BAB-9885-4773D3D82A7B}"/>
                </c:ext>
              </c:extLst>
            </c:dLbl>
            <c:dLbl>
              <c:idx val="1"/>
              <c:layout>
                <c:manualLayout>
                  <c:x val="-0.10136462543101403"/>
                  <c:y val="-0.1346948249989807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8B-4BAB-9885-4773D3D82A7B}"/>
                </c:ext>
              </c:extLst>
            </c:dLbl>
            <c:dLbl>
              <c:idx val="2"/>
              <c:layout>
                <c:manualLayout>
                  <c:x val="-4.2036766234652932E-2"/>
                  <c:y val="-1.353819931690888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8B-4BAB-9885-4773D3D82A7B}"/>
                </c:ext>
              </c:extLst>
            </c:dLbl>
            <c:dLbl>
              <c:idx val="3"/>
              <c:layout>
                <c:manualLayout>
                  <c:x val="-5.0667461801327168E-2"/>
                  <c:y val="4.2482445976745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8B-4BAB-9885-4773D3D82A7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ALL!$I$31:$I$34</c:f>
              <c:strCache>
                <c:ptCount val="4"/>
                <c:pt idx="0">
                  <c:v>Tiktok</c:v>
                </c:pt>
                <c:pt idx="1">
                  <c:v>Facebook</c:v>
                </c:pt>
                <c:pt idx="2">
                  <c:v>Lazada</c:v>
                </c:pt>
                <c:pt idx="3">
                  <c:v>Shopee</c:v>
                </c:pt>
              </c:strCache>
            </c:strRef>
          </c:cat>
          <c:val>
            <c:numRef>
              <c:f>ALL!$J$31:$J$34</c:f>
              <c:numCache>
                <c:formatCode>#,##0.00,,</c:formatCode>
                <c:ptCount val="4"/>
                <c:pt idx="0">
                  <c:v>5144597.2500000009</c:v>
                </c:pt>
                <c:pt idx="1">
                  <c:v>2556363.5000000005</c:v>
                </c:pt>
                <c:pt idx="2">
                  <c:v>844799.32</c:v>
                </c:pt>
                <c:pt idx="3">
                  <c:v>2119815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8B-4BAB-9885-4773D3D82A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800" b="1"/>
              <a:t>เปรียบเทียบการยิง</a:t>
            </a:r>
            <a:r>
              <a:rPr lang="th-TH" sz="2800" b="1" baseline="0"/>
              <a:t> </a:t>
            </a:r>
            <a:r>
              <a:rPr lang="en-US" sz="2800" b="1" baseline="0"/>
              <a:t>ADS </a:t>
            </a:r>
            <a:r>
              <a:rPr lang="th-TH" sz="2800" b="1" baseline="0"/>
              <a:t>รายเดือน ปี 2569</a:t>
            </a:r>
            <a:endParaRPr lang="th-TH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ALL!$C$2</c:f>
              <c:strCache>
                <c:ptCount val="1"/>
                <c:pt idx="0">
                  <c:v>ค่าแอด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41275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ALL!$A$4:$A$9</c:f>
              <c:strCache>
                <c:ptCount val="6"/>
                <c:pt idx="0">
                  <c:v>มกราคม</c:v>
                </c:pt>
                <c:pt idx="1">
                  <c:v>กุมภาพันธ์</c:v>
                </c:pt>
                <c:pt idx="2">
                  <c:v>มีนาคม</c:v>
                </c:pt>
                <c:pt idx="3">
                  <c:v>เมษายน</c:v>
                </c:pt>
                <c:pt idx="4">
                  <c:v>พฤษภาคม</c:v>
                </c:pt>
                <c:pt idx="5">
                  <c:v>มิถุนายน</c:v>
                </c:pt>
              </c:strCache>
            </c:strRef>
          </c:cat>
          <c:val>
            <c:numRef>
              <c:f>ALL!$C$4:$C$9</c:f>
              <c:numCache>
                <c:formatCode>#,##0.00,,</c:formatCode>
                <c:ptCount val="6"/>
                <c:pt idx="0">
                  <c:v>265582.81999999995</c:v>
                </c:pt>
                <c:pt idx="1">
                  <c:v>230962.49</c:v>
                </c:pt>
                <c:pt idx="2">
                  <c:v>252228.19999999998</c:v>
                </c:pt>
                <c:pt idx="3">
                  <c:v>297186.89999999997</c:v>
                </c:pt>
                <c:pt idx="4">
                  <c:v>271674.80000000005</c:v>
                </c:pt>
                <c:pt idx="5">
                  <c:v>196718.7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3-4DB8-A251-AEBE1C910C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75359311"/>
        <c:axId val="13309199"/>
      </c:lineChart>
      <c:catAx>
        <c:axId val="275359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 b="1"/>
                  <a:t>เดือน</a:t>
                </a:r>
              </a:p>
            </c:rich>
          </c:tx>
          <c:layout>
            <c:manualLayout>
              <c:xMode val="edge"/>
              <c:yMode val="edge"/>
              <c:x val="0.53416509226017106"/>
              <c:y val="0.90365666068961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3309199"/>
        <c:crosses val="autoZero"/>
        <c:auto val="1"/>
        <c:lblAlgn val="ctr"/>
        <c:lblOffset val="100"/>
        <c:noMultiLvlLbl val="0"/>
      </c:catAx>
      <c:valAx>
        <c:axId val="1330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ค่า</a:t>
                </a:r>
                <a:r>
                  <a:rPr lang="th-TH" baseline="0"/>
                  <a:t> </a:t>
                </a:r>
                <a:r>
                  <a:rPr lang="en-US" baseline="0"/>
                  <a:t>ADS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th-TH"/>
            </a:p>
          </c:txPr>
        </c:title>
        <c:numFmt formatCode="#,##0.00,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275359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accent5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800" b="1" i="0" u="none" strike="noStrike" kern="1200" baseline="0">
                <a:solidFill>
                  <a:srgbClr val="0000FF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</c:dTable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475706</xdr:colOff>
      <xdr:row>29</xdr:row>
      <xdr:rowOff>15240</xdr:rowOff>
    </xdr:from>
    <xdr:to>
      <xdr:col>7</xdr:col>
      <xdr:colOff>713583</xdr:colOff>
      <xdr:row>38</xdr:row>
      <xdr:rowOff>193197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5005943E-227E-4091-A790-832453FA9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35380</xdr:colOff>
      <xdr:row>18</xdr:row>
      <xdr:rowOff>72935</xdr:rowOff>
    </xdr:from>
    <xdr:to>
      <xdr:col>14</xdr:col>
      <xdr:colOff>256360</xdr:colOff>
      <xdr:row>28</xdr:row>
      <xdr:rowOff>106680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80395887-94B8-2119-1859-9680584A4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500744</xdr:colOff>
      <xdr:row>18</xdr:row>
      <xdr:rowOff>72934</xdr:rowOff>
    </xdr:from>
    <xdr:to>
      <xdr:col>7</xdr:col>
      <xdr:colOff>721724</xdr:colOff>
      <xdr:row>28</xdr:row>
      <xdr:rowOff>91440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1F2CE425-628C-48C1-B1A9-A80AAB595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4899</xdr:colOff>
      <xdr:row>16</xdr:row>
      <xdr:rowOff>280042</xdr:rowOff>
    </xdr:from>
    <xdr:to>
      <xdr:col>25</xdr:col>
      <xdr:colOff>287654</xdr:colOff>
      <xdr:row>29</xdr:row>
      <xdr:rowOff>384809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A105F35A-4CA7-3395-5D12-FC87BC45B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68B1-7ED2-41CC-AA9F-9B02A6B8E628}">
  <sheetPr>
    <tabColor rgb="FFFFFF00"/>
  </sheetPr>
  <dimension ref="A1:X39"/>
  <sheetViews>
    <sheetView tabSelected="1" zoomScale="70" zoomScaleNormal="70" workbookViewId="0">
      <pane xSplit="7" ySplit="3" topLeftCell="H4" activePane="bottomRight" state="frozen"/>
      <selection activeCell="C7" sqref="C7"/>
      <selection pane="topRight" activeCell="C7" sqref="C7"/>
      <selection pane="bottomLeft" activeCell="C7" sqref="C7"/>
      <selection pane="bottomRight" activeCell="AA8" sqref="AA8"/>
    </sheetView>
  </sheetViews>
  <sheetFormatPr defaultRowHeight="23.4" x14ac:dyDescent="0.6"/>
  <cols>
    <col min="1" max="3" width="10.796875" style="1" customWidth="1"/>
    <col min="4" max="4" width="10.796875" style="26" customWidth="1"/>
    <col min="5" max="7" width="10.796875" style="1" customWidth="1"/>
    <col min="8" max="8" width="10.796875" style="29" customWidth="1"/>
    <col min="9" max="9" width="11.69921875" style="1" bestFit="1" customWidth="1"/>
    <col min="10" max="11" width="10.796875" style="1" customWidth="1"/>
    <col min="12" max="12" width="10.796875" style="29" customWidth="1"/>
    <col min="13" max="15" width="10.796875" style="1" customWidth="1"/>
    <col min="16" max="16" width="10.796875" style="29" customWidth="1"/>
    <col min="17" max="18" width="7.796875" style="1" customWidth="1"/>
    <col min="19" max="19" width="10.09765625" style="1" bestFit="1" customWidth="1"/>
    <col min="20" max="21" width="8.796875" style="1"/>
    <col min="22" max="22" width="12.5" style="1" bestFit="1" customWidth="1"/>
    <col min="23" max="23" width="11.3984375" style="1" bestFit="1" customWidth="1"/>
    <col min="24" max="16383" width="8.796875" style="1"/>
    <col min="16384" max="16384" width="9" style="1" bestFit="1" customWidth="1"/>
  </cols>
  <sheetData>
    <row r="1" spans="1:16" ht="28.8" x14ac:dyDescent="0.75">
      <c r="A1" s="49" t="s">
        <v>51</v>
      </c>
      <c r="B1"/>
      <c r="C1"/>
      <c r="D1"/>
      <c r="G1" s="26"/>
      <c r="H1" s="1"/>
      <c r="J1" s="29"/>
      <c r="L1" s="1"/>
      <c r="M1" s="29"/>
    </row>
    <row r="2" spans="1:16" s="18" customFormat="1" x14ac:dyDescent="0.6">
      <c r="A2" s="108" t="s">
        <v>53</v>
      </c>
      <c r="B2" s="135" t="s">
        <v>27</v>
      </c>
      <c r="C2" s="136" t="s">
        <v>6</v>
      </c>
      <c r="D2" s="135"/>
      <c r="E2" s="109" t="s">
        <v>0</v>
      </c>
      <c r="F2" s="109"/>
      <c r="G2" s="109"/>
      <c r="H2" s="110" t="s">
        <v>1</v>
      </c>
      <c r="I2" s="110"/>
      <c r="J2" s="110"/>
      <c r="K2" s="111" t="s">
        <v>2</v>
      </c>
      <c r="L2" s="111"/>
      <c r="M2" s="111"/>
      <c r="N2" s="107" t="s">
        <v>3</v>
      </c>
      <c r="O2" s="107"/>
      <c r="P2" s="107"/>
    </row>
    <row r="3" spans="1:16" s="19" customFormat="1" x14ac:dyDescent="0.25">
      <c r="A3" s="108"/>
      <c r="B3" s="50" t="s">
        <v>5</v>
      </c>
      <c r="C3" s="136"/>
      <c r="D3" s="52" t="s">
        <v>7</v>
      </c>
      <c r="E3" s="50" t="s">
        <v>5</v>
      </c>
      <c r="F3" s="51" t="s">
        <v>6</v>
      </c>
      <c r="G3" s="52" t="s">
        <v>7</v>
      </c>
      <c r="H3" s="50" t="s">
        <v>5</v>
      </c>
      <c r="I3" s="51" t="s">
        <v>6</v>
      </c>
      <c r="J3" s="52" t="s">
        <v>7</v>
      </c>
      <c r="K3" s="50" t="s">
        <v>5</v>
      </c>
      <c r="L3" s="51" t="s">
        <v>6</v>
      </c>
      <c r="M3" s="52" t="s">
        <v>7</v>
      </c>
      <c r="N3" s="50" t="s">
        <v>5</v>
      </c>
      <c r="O3" s="51" t="s">
        <v>6</v>
      </c>
      <c r="P3" s="52" t="s">
        <v>7</v>
      </c>
    </row>
    <row r="4" spans="1:16" x14ac:dyDescent="0.6">
      <c r="A4" s="53" t="s">
        <v>28</v>
      </c>
      <c r="B4" s="57">
        <f>+E4+H4+K4+N4</f>
        <v>2060741.9700000004</v>
      </c>
      <c r="C4" s="58">
        <f>+F4+I4+L4+O4</f>
        <v>265582.81999999995</v>
      </c>
      <c r="D4" s="24">
        <f>+C4/B4</f>
        <v>0.12887728006044341</v>
      </c>
      <c r="E4" s="57">
        <v>1592536.8500000003</v>
      </c>
      <c r="F4" s="58">
        <v>219910.04999999996</v>
      </c>
      <c r="G4" s="24">
        <f>+F4/E4</f>
        <v>0.13808788788780613</v>
      </c>
      <c r="H4" s="57">
        <v>74677</v>
      </c>
      <c r="I4" s="58">
        <v>23083.879999999997</v>
      </c>
      <c r="J4" s="24">
        <f>+I4/H4</f>
        <v>0.30911632765108399</v>
      </c>
      <c r="K4" s="57">
        <v>135333.12000000002</v>
      </c>
      <c r="L4" s="58">
        <v>12874.91</v>
      </c>
      <c r="M4" s="24">
        <f>+L4/K4</f>
        <v>9.5134952922093258E-2</v>
      </c>
      <c r="N4" s="57">
        <v>258195</v>
      </c>
      <c r="O4" s="58">
        <v>9713.98</v>
      </c>
      <c r="P4" s="24">
        <f>+O4/N4</f>
        <v>3.7622649547822379E-2</v>
      </c>
    </row>
    <row r="5" spans="1:16" x14ac:dyDescent="0.6">
      <c r="A5" s="53" t="s">
        <v>29</v>
      </c>
      <c r="B5" s="57">
        <f t="shared" ref="B5:B15" si="0">+E5+H5+K5+N5</f>
        <v>2166787.4000000004</v>
      </c>
      <c r="C5" s="58">
        <f t="shared" ref="C5:C15" si="1">+F5+I5+L5+O5</f>
        <v>230962.49</v>
      </c>
      <c r="D5" s="24">
        <f t="shared" ref="D5:D15" si="2">+C5/B5</f>
        <v>0.10659213266608433</v>
      </c>
      <c r="E5" s="57">
        <v>674363.20000000007</v>
      </c>
      <c r="F5" s="58">
        <v>121862.19999999998</v>
      </c>
      <c r="G5" s="24">
        <f t="shared" ref="G5:G15" si="3">+F5/E5</f>
        <v>0.18070707298381639</v>
      </c>
      <c r="H5" s="57">
        <v>1122704.1000000001</v>
      </c>
      <c r="I5" s="58">
        <v>60539.42</v>
      </c>
      <c r="J5" s="24">
        <f t="shared" ref="J5:J15" si="4">+I5/H5</f>
        <v>5.392286355772638E-2</v>
      </c>
      <c r="K5" s="57">
        <v>139746.1</v>
      </c>
      <c r="L5" s="58">
        <v>7122.3000000000011</v>
      </c>
      <c r="M5" s="24">
        <f t="shared" ref="M5:M15" si="5">+L5/K5</f>
        <v>5.096600191347022E-2</v>
      </c>
      <c r="N5" s="57">
        <v>229974</v>
      </c>
      <c r="O5" s="58">
        <v>41438.57</v>
      </c>
      <c r="P5" s="24">
        <f t="shared" ref="P5:P15" si="6">+O5/N5</f>
        <v>0.18018806473775295</v>
      </c>
    </row>
    <row r="6" spans="1:16" x14ac:dyDescent="0.6">
      <c r="A6" s="53" t="s">
        <v>30</v>
      </c>
      <c r="B6" s="57">
        <f t="shared" si="0"/>
        <v>1456036.2</v>
      </c>
      <c r="C6" s="58">
        <f t="shared" si="1"/>
        <v>252228.19999999998</v>
      </c>
      <c r="D6" s="24">
        <f t="shared" si="2"/>
        <v>0.1732293469077211</v>
      </c>
      <c r="E6" s="57">
        <v>575377.1</v>
      </c>
      <c r="F6" s="58">
        <v>143713.29999999999</v>
      </c>
      <c r="G6" s="24">
        <f t="shared" si="3"/>
        <v>0.24977236667917441</v>
      </c>
      <c r="H6" s="57">
        <v>417617.6</v>
      </c>
      <c r="I6" s="58">
        <v>53391.9</v>
      </c>
      <c r="J6" s="24">
        <f t="shared" si="4"/>
        <v>0.12784877840397532</v>
      </c>
      <c r="K6" s="57">
        <v>169465.49999999997</v>
      </c>
      <c r="L6" s="58">
        <v>14270.400000000001</v>
      </c>
      <c r="M6" s="24">
        <f t="shared" si="5"/>
        <v>8.4208290182957612E-2</v>
      </c>
      <c r="N6" s="57">
        <v>293576</v>
      </c>
      <c r="O6" s="58">
        <v>40852.6</v>
      </c>
      <c r="P6" s="24">
        <f t="shared" si="6"/>
        <v>0.13915510804697931</v>
      </c>
    </row>
    <row r="7" spans="1:16" x14ac:dyDescent="0.6">
      <c r="A7" s="53" t="s">
        <v>31</v>
      </c>
      <c r="B7" s="57">
        <f t="shared" si="0"/>
        <v>1717225.4</v>
      </c>
      <c r="C7" s="58">
        <f t="shared" si="1"/>
        <v>297186.89999999997</v>
      </c>
      <c r="D7" s="24">
        <f t="shared" si="2"/>
        <v>0.17306225496082225</v>
      </c>
      <c r="E7" s="57">
        <f>+'เม.ย.'!B35</f>
        <v>716790.89999999979</v>
      </c>
      <c r="F7" s="58">
        <f>+'เม.ย.'!C35</f>
        <v>138044.69999999998</v>
      </c>
      <c r="G7" s="24">
        <f t="shared" si="3"/>
        <v>0.19258712687340201</v>
      </c>
      <c r="H7" s="57">
        <f>+'เม.ย.'!F35</f>
        <v>355371</v>
      </c>
      <c r="I7" s="58">
        <f>+'เม.ย.'!G35</f>
        <v>59360.099999999991</v>
      </c>
      <c r="J7" s="24">
        <f t="shared" si="4"/>
        <v>0.16703698388444749</v>
      </c>
      <c r="K7" s="57">
        <f>+'เม.ย.'!J35</f>
        <v>169730.49999999997</v>
      </c>
      <c r="L7" s="58">
        <f>+'เม.ย.'!K35</f>
        <v>15728.4</v>
      </c>
      <c r="M7" s="24">
        <f t="shared" si="5"/>
        <v>9.2666904298284641E-2</v>
      </c>
      <c r="N7" s="57">
        <f>+'เม.ย.'!N35</f>
        <v>475333</v>
      </c>
      <c r="O7" s="58">
        <f>+'เม.ย.'!O35</f>
        <v>84053.699999999983</v>
      </c>
      <c r="P7" s="24">
        <f t="shared" si="6"/>
        <v>0.17683118992369556</v>
      </c>
    </row>
    <row r="8" spans="1:16" x14ac:dyDescent="0.6">
      <c r="A8" s="53" t="s">
        <v>32</v>
      </c>
      <c r="B8" s="57">
        <f t="shared" si="0"/>
        <v>1781163</v>
      </c>
      <c r="C8" s="58">
        <f t="shared" si="1"/>
        <v>271674.80000000005</v>
      </c>
      <c r="D8" s="24">
        <f t="shared" si="2"/>
        <v>0.15252663568690797</v>
      </c>
      <c r="E8" s="57">
        <f>+'พ.ค.'!B35</f>
        <v>862076.8</v>
      </c>
      <c r="F8" s="58">
        <f>+'พ.ค.'!C35</f>
        <v>137768.50000000003</v>
      </c>
      <c r="G8" s="24">
        <f t="shared" si="3"/>
        <v>0.15981000764665054</v>
      </c>
      <c r="H8" s="57">
        <f>+'พ.ค.'!F35</f>
        <v>319999.59999999998</v>
      </c>
      <c r="I8" s="58">
        <f>+'พ.ค.'!G35</f>
        <v>54928.499999999993</v>
      </c>
      <c r="J8" s="24">
        <f t="shared" si="4"/>
        <v>0.17165177706472132</v>
      </c>
      <c r="K8" s="57">
        <f>+'พ.ค.'!J35</f>
        <v>147721.60000000001</v>
      </c>
      <c r="L8" s="58">
        <f>+'พ.ค.'!K35</f>
        <v>12886.9</v>
      </c>
      <c r="M8" s="24">
        <f t="shared" si="5"/>
        <v>8.7237749929597291E-2</v>
      </c>
      <c r="N8" s="57">
        <f>+'พ.ค.'!N35</f>
        <v>451365</v>
      </c>
      <c r="O8" s="58">
        <f>+'พ.ค.'!O35</f>
        <v>66090.900000000009</v>
      </c>
      <c r="P8" s="24">
        <f t="shared" si="6"/>
        <v>0.14642451231265163</v>
      </c>
    </row>
    <row r="9" spans="1:16" x14ac:dyDescent="0.6">
      <c r="A9" s="53" t="s">
        <v>33</v>
      </c>
      <c r="B9" s="57">
        <f t="shared" si="0"/>
        <v>1483621.1</v>
      </c>
      <c r="C9" s="58">
        <f t="shared" si="1"/>
        <v>196718.7</v>
      </c>
      <c r="D9" s="24">
        <f t="shared" si="2"/>
        <v>0.13259362515132739</v>
      </c>
      <c r="E9" s="57">
        <f>+'มิ.ย.'!B35</f>
        <v>723452.4</v>
      </c>
      <c r="F9" s="58">
        <f>+'มิ.ย.'!C35</f>
        <v>113143.7</v>
      </c>
      <c r="G9" s="24">
        <f t="shared" si="3"/>
        <v>0.15639411798205383</v>
      </c>
      <c r="H9" s="57">
        <f>+'มิ.ย.'!F35</f>
        <v>265994.2</v>
      </c>
      <c r="I9" s="58">
        <f>+'มิ.ย.'!G35</f>
        <v>32634.199999999997</v>
      </c>
      <c r="J9" s="24">
        <f t="shared" si="4"/>
        <v>0.12268763754999168</v>
      </c>
      <c r="K9" s="57">
        <f>+'มิ.ย.'!J35</f>
        <v>82802.5</v>
      </c>
      <c r="L9" s="58">
        <f>+'มิ.ย.'!K35</f>
        <v>3802.7</v>
      </c>
      <c r="M9" s="24">
        <f t="shared" si="5"/>
        <v>4.592494187977416E-2</v>
      </c>
      <c r="N9" s="57">
        <f>+'มิ.ย.'!N35</f>
        <v>411372</v>
      </c>
      <c r="O9" s="58">
        <f>+'มิ.ย.'!O35</f>
        <v>47138.100000000006</v>
      </c>
      <c r="P9" s="24">
        <f t="shared" si="6"/>
        <v>0.11458752661824335</v>
      </c>
    </row>
    <row r="10" spans="1:16" hidden="1" x14ac:dyDescent="0.6">
      <c r="A10" s="53" t="s">
        <v>34</v>
      </c>
      <c r="B10" s="57">
        <f t="shared" si="0"/>
        <v>0</v>
      </c>
      <c r="C10" s="58">
        <f t="shared" si="1"/>
        <v>0</v>
      </c>
      <c r="D10" s="24" t="e">
        <f t="shared" si="2"/>
        <v>#DIV/0!</v>
      </c>
      <c r="E10" s="57"/>
      <c r="F10" s="58"/>
      <c r="G10" s="24" t="e">
        <f t="shared" si="3"/>
        <v>#DIV/0!</v>
      </c>
      <c r="H10" s="57"/>
      <c r="I10" s="58"/>
      <c r="J10" s="24" t="e">
        <f t="shared" si="4"/>
        <v>#DIV/0!</v>
      </c>
      <c r="K10" s="57"/>
      <c r="L10" s="58"/>
      <c r="M10" s="24" t="e">
        <f t="shared" si="5"/>
        <v>#DIV/0!</v>
      </c>
      <c r="N10" s="57"/>
      <c r="O10" s="58"/>
      <c r="P10" s="24" t="e">
        <f t="shared" si="6"/>
        <v>#DIV/0!</v>
      </c>
    </row>
    <row r="11" spans="1:16" hidden="1" x14ac:dyDescent="0.6">
      <c r="A11" s="53" t="s">
        <v>35</v>
      </c>
      <c r="B11" s="57">
        <f t="shared" si="0"/>
        <v>0</v>
      </c>
      <c r="C11" s="58">
        <f t="shared" si="1"/>
        <v>0</v>
      </c>
      <c r="D11" s="24" t="e">
        <f t="shared" si="2"/>
        <v>#DIV/0!</v>
      </c>
      <c r="E11" s="57"/>
      <c r="F11" s="58"/>
      <c r="G11" s="24" t="e">
        <f t="shared" si="3"/>
        <v>#DIV/0!</v>
      </c>
      <c r="H11" s="57"/>
      <c r="I11" s="58"/>
      <c r="J11" s="24" t="e">
        <f t="shared" si="4"/>
        <v>#DIV/0!</v>
      </c>
      <c r="K11" s="57"/>
      <c r="L11" s="58"/>
      <c r="M11" s="24" t="e">
        <f t="shared" si="5"/>
        <v>#DIV/0!</v>
      </c>
      <c r="N11" s="57"/>
      <c r="O11" s="58"/>
      <c r="P11" s="24" t="e">
        <f t="shared" si="6"/>
        <v>#DIV/0!</v>
      </c>
    </row>
    <row r="12" spans="1:16" hidden="1" x14ac:dyDescent="0.6">
      <c r="A12" s="53" t="s">
        <v>36</v>
      </c>
      <c r="B12" s="57">
        <f t="shared" si="0"/>
        <v>0</v>
      </c>
      <c r="C12" s="58">
        <f t="shared" si="1"/>
        <v>0</v>
      </c>
      <c r="D12" s="24" t="e">
        <f t="shared" si="2"/>
        <v>#DIV/0!</v>
      </c>
      <c r="E12" s="57"/>
      <c r="F12" s="58"/>
      <c r="G12" s="24" t="e">
        <f t="shared" si="3"/>
        <v>#DIV/0!</v>
      </c>
      <c r="H12" s="57"/>
      <c r="I12" s="58"/>
      <c r="J12" s="24" t="e">
        <f t="shared" si="4"/>
        <v>#DIV/0!</v>
      </c>
      <c r="K12" s="57"/>
      <c r="L12" s="58"/>
      <c r="M12" s="24" t="e">
        <f t="shared" si="5"/>
        <v>#DIV/0!</v>
      </c>
      <c r="N12" s="57"/>
      <c r="O12" s="58"/>
      <c r="P12" s="24" t="e">
        <f t="shared" si="6"/>
        <v>#DIV/0!</v>
      </c>
    </row>
    <row r="13" spans="1:16" hidden="1" x14ac:dyDescent="0.6">
      <c r="A13" s="53" t="s">
        <v>37</v>
      </c>
      <c r="B13" s="57">
        <f t="shared" si="0"/>
        <v>0</v>
      </c>
      <c r="C13" s="58">
        <f t="shared" si="1"/>
        <v>0</v>
      </c>
      <c r="D13" s="24" t="e">
        <f t="shared" si="2"/>
        <v>#DIV/0!</v>
      </c>
      <c r="E13" s="57"/>
      <c r="F13" s="58"/>
      <c r="G13" s="24" t="e">
        <f t="shared" si="3"/>
        <v>#DIV/0!</v>
      </c>
      <c r="H13" s="57"/>
      <c r="I13" s="58"/>
      <c r="J13" s="24" t="e">
        <f t="shared" si="4"/>
        <v>#DIV/0!</v>
      </c>
      <c r="K13" s="57"/>
      <c r="L13" s="58"/>
      <c r="M13" s="24" t="e">
        <f t="shared" si="5"/>
        <v>#DIV/0!</v>
      </c>
      <c r="N13" s="57"/>
      <c r="O13" s="58"/>
      <c r="P13" s="24" t="e">
        <f t="shared" si="6"/>
        <v>#DIV/0!</v>
      </c>
    </row>
    <row r="14" spans="1:16" hidden="1" x14ac:dyDescent="0.6">
      <c r="A14" s="53" t="s">
        <v>38</v>
      </c>
      <c r="B14" s="57">
        <f t="shared" si="0"/>
        <v>0</v>
      </c>
      <c r="C14" s="58">
        <f t="shared" si="1"/>
        <v>0</v>
      </c>
      <c r="D14" s="24" t="e">
        <f t="shared" si="2"/>
        <v>#DIV/0!</v>
      </c>
      <c r="E14" s="57"/>
      <c r="F14" s="58"/>
      <c r="G14" s="24" t="e">
        <f t="shared" si="3"/>
        <v>#DIV/0!</v>
      </c>
      <c r="H14" s="57"/>
      <c r="I14" s="58"/>
      <c r="J14" s="24" t="e">
        <f t="shared" si="4"/>
        <v>#DIV/0!</v>
      </c>
      <c r="K14" s="57"/>
      <c r="L14" s="58"/>
      <c r="M14" s="24" t="e">
        <f t="shared" si="5"/>
        <v>#DIV/0!</v>
      </c>
      <c r="N14" s="57"/>
      <c r="O14" s="58"/>
      <c r="P14" s="24" t="e">
        <f t="shared" si="6"/>
        <v>#DIV/0!</v>
      </c>
    </row>
    <row r="15" spans="1:16" hidden="1" x14ac:dyDescent="0.6">
      <c r="A15" s="53" t="s">
        <v>39</v>
      </c>
      <c r="B15" s="57">
        <f t="shared" si="0"/>
        <v>0</v>
      </c>
      <c r="C15" s="58">
        <f t="shared" si="1"/>
        <v>0</v>
      </c>
      <c r="D15" s="24" t="e">
        <f t="shared" si="2"/>
        <v>#DIV/0!</v>
      </c>
      <c r="E15" s="57"/>
      <c r="F15" s="58"/>
      <c r="G15" s="24" t="e">
        <f t="shared" si="3"/>
        <v>#DIV/0!</v>
      </c>
      <c r="H15" s="57"/>
      <c r="I15" s="58"/>
      <c r="J15" s="24" t="e">
        <f t="shared" si="4"/>
        <v>#DIV/0!</v>
      </c>
      <c r="K15" s="57"/>
      <c r="L15" s="58"/>
      <c r="M15" s="24" t="e">
        <f t="shared" si="5"/>
        <v>#DIV/0!</v>
      </c>
      <c r="N15" s="57"/>
      <c r="O15" s="58"/>
      <c r="P15" s="24" t="e">
        <f t="shared" si="6"/>
        <v>#DIV/0!</v>
      </c>
    </row>
    <row r="16" spans="1:16" ht="25.8" customHeight="1" thickBot="1" x14ac:dyDescent="0.75">
      <c r="A16" s="54" t="s">
        <v>10</v>
      </c>
      <c r="B16" s="59">
        <f>SUM(B4:B15)</f>
        <v>10665575.07</v>
      </c>
      <c r="C16" s="60">
        <f>SUM(C4:C15)</f>
        <v>1514353.91</v>
      </c>
      <c r="D16" s="15" t="s">
        <v>40</v>
      </c>
      <c r="E16" s="59">
        <f>SUM(E4:E15)</f>
        <v>5144597.2500000009</v>
      </c>
      <c r="F16" s="60">
        <f>SUM(F4:F15)</f>
        <v>874442.44999999984</v>
      </c>
      <c r="G16" s="15" t="s">
        <v>40</v>
      </c>
      <c r="H16" s="59">
        <f>SUM(H4:H15)</f>
        <v>2556363.5000000005</v>
      </c>
      <c r="I16" s="60">
        <f>SUM(I4:I15)</f>
        <v>283938</v>
      </c>
      <c r="J16" s="15" t="s">
        <v>40</v>
      </c>
      <c r="K16" s="59">
        <f>SUM(K4:K15)</f>
        <v>844799.32</v>
      </c>
      <c r="L16" s="60">
        <f>SUM(L4:L15)</f>
        <v>66685.61</v>
      </c>
      <c r="M16" s="15" t="s">
        <v>40</v>
      </c>
      <c r="N16" s="59">
        <f>SUM(N4:N15)</f>
        <v>2119815</v>
      </c>
      <c r="O16" s="60">
        <f>SUM(O4:O15)</f>
        <v>289287.84999999998</v>
      </c>
      <c r="P16" s="15" t="s">
        <v>40</v>
      </c>
    </row>
    <row r="17" spans="1:24" ht="24" customHeight="1" thickTop="1" thickBot="1" x14ac:dyDescent="0.65">
      <c r="A17" s="20"/>
      <c r="B17"/>
      <c r="C17"/>
      <c r="D17"/>
      <c r="E17" s="6"/>
      <c r="F17" s="6"/>
      <c r="G17" s="25"/>
      <c r="H17" s="6"/>
      <c r="I17" s="6"/>
      <c r="J17" s="21"/>
      <c r="K17" s="6"/>
      <c r="L17" s="6"/>
      <c r="M17" s="21"/>
      <c r="N17" s="6"/>
      <c r="O17" s="6"/>
      <c r="P17" s="21"/>
    </row>
    <row r="18" spans="1:24" ht="46.8" customHeight="1" x14ac:dyDescent="1.05">
      <c r="A18" s="20"/>
      <c r="B18" s="112" t="s">
        <v>51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4"/>
      <c r="V18" s="133"/>
      <c r="W18" s="133"/>
      <c r="X18" s="134"/>
    </row>
    <row r="19" spans="1:24" ht="16.8" customHeight="1" x14ac:dyDescent="0.6">
      <c r="A19" s="20"/>
      <c r="B19" s="66"/>
      <c r="C19" s="67"/>
      <c r="D19" s="68"/>
      <c r="E19" s="67"/>
      <c r="F19" s="69"/>
      <c r="G19" s="69"/>
      <c r="H19" s="70"/>
      <c r="I19" s="71"/>
      <c r="J19" s="72"/>
      <c r="K19" s="72"/>
      <c r="L19" s="73"/>
      <c r="M19" s="72"/>
      <c r="N19" s="72"/>
      <c r="O19" s="74"/>
    </row>
    <row r="20" spans="1:24" ht="46.8" customHeight="1" x14ac:dyDescent="0.6">
      <c r="A20" s="20"/>
      <c r="B20" s="66"/>
      <c r="C20" s="67"/>
      <c r="D20" s="68"/>
      <c r="E20" s="67"/>
      <c r="F20" s="69"/>
      <c r="G20" s="69"/>
      <c r="H20" s="70"/>
      <c r="I20" s="71"/>
      <c r="J20" s="72"/>
      <c r="K20" s="72"/>
      <c r="L20" s="73"/>
      <c r="M20" s="72"/>
      <c r="N20" s="72"/>
      <c r="O20" s="74"/>
    </row>
    <row r="21" spans="1:24" x14ac:dyDescent="0.6">
      <c r="A21" s="20"/>
      <c r="B21" s="66"/>
      <c r="C21" s="67"/>
      <c r="D21" s="68"/>
      <c r="E21" s="67"/>
      <c r="F21" s="69"/>
      <c r="G21" s="69"/>
      <c r="H21" s="75"/>
      <c r="I21" s="73"/>
      <c r="J21" s="75"/>
      <c r="K21" s="75"/>
      <c r="L21" s="73"/>
      <c r="M21" s="76"/>
      <c r="N21" s="72"/>
      <c r="O21" s="74"/>
    </row>
    <row r="22" spans="1:24" x14ac:dyDescent="0.6">
      <c r="A22" s="20"/>
      <c r="B22" s="66"/>
      <c r="C22" s="67"/>
      <c r="D22" s="68"/>
      <c r="E22" s="67"/>
      <c r="F22" s="69"/>
      <c r="G22" s="69"/>
      <c r="H22" s="77"/>
      <c r="I22" s="78"/>
      <c r="J22" s="77"/>
      <c r="K22" s="77"/>
      <c r="L22" s="73"/>
      <c r="M22" s="72"/>
      <c r="N22" s="72"/>
      <c r="O22" s="74"/>
    </row>
    <row r="23" spans="1:24" x14ac:dyDescent="0.6">
      <c r="A23" s="20"/>
      <c r="B23" s="66"/>
      <c r="C23" s="67"/>
      <c r="D23" s="68"/>
      <c r="E23" s="67"/>
      <c r="F23" s="69"/>
      <c r="G23" s="69"/>
      <c r="H23" s="79"/>
      <c r="I23" s="80"/>
      <c r="J23" s="81"/>
      <c r="K23" s="82"/>
      <c r="L23" s="73"/>
      <c r="M23" s="83"/>
      <c r="N23" s="72"/>
      <c r="O23" s="74"/>
    </row>
    <row r="24" spans="1:24" x14ac:dyDescent="0.6">
      <c r="A24" s="20"/>
      <c r="B24" s="66"/>
      <c r="C24" s="67"/>
      <c r="D24" s="68"/>
      <c r="E24" s="67"/>
      <c r="F24" s="69"/>
      <c r="G24" s="69"/>
      <c r="H24" s="79"/>
      <c r="I24" s="80"/>
      <c r="J24" s="81"/>
      <c r="K24" s="82"/>
      <c r="L24" s="73"/>
      <c r="M24" s="83"/>
      <c r="N24" s="72"/>
      <c r="O24" s="74"/>
    </row>
    <row r="25" spans="1:24" x14ac:dyDescent="0.6">
      <c r="A25" s="20"/>
      <c r="B25" s="66"/>
      <c r="C25" s="67"/>
      <c r="D25" s="68"/>
      <c r="E25" s="67"/>
      <c r="F25" s="69"/>
      <c r="G25" s="69"/>
      <c r="H25" s="79"/>
      <c r="I25" s="80"/>
      <c r="J25" s="81"/>
      <c r="K25" s="82"/>
      <c r="L25" s="73"/>
      <c r="M25" s="83"/>
      <c r="N25" s="72"/>
      <c r="O25" s="74"/>
    </row>
    <row r="26" spans="1:24" x14ac:dyDescent="0.6">
      <c r="A26" s="20"/>
      <c r="B26" s="66"/>
      <c r="C26" s="67"/>
      <c r="D26" s="68"/>
      <c r="E26" s="67"/>
      <c r="F26" s="69"/>
      <c r="G26" s="69"/>
      <c r="H26" s="79"/>
      <c r="I26" s="80"/>
      <c r="J26" s="81"/>
      <c r="K26" s="82"/>
      <c r="L26" s="73"/>
      <c r="M26" s="83"/>
      <c r="N26" s="72"/>
      <c r="O26" s="74"/>
    </row>
    <row r="27" spans="1:24" x14ac:dyDescent="0.6">
      <c r="A27" s="2"/>
      <c r="B27" s="84"/>
      <c r="C27" s="72"/>
      <c r="D27" s="85"/>
      <c r="E27" s="72"/>
      <c r="F27" s="72"/>
      <c r="G27" s="72"/>
      <c r="H27" s="73"/>
      <c r="I27" s="72"/>
      <c r="J27" s="72"/>
      <c r="K27" s="72"/>
      <c r="L27" s="73"/>
      <c r="M27" s="83"/>
      <c r="N27" s="86"/>
      <c r="O27" s="87"/>
      <c r="P27" s="21"/>
    </row>
    <row r="28" spans="1:24" x14ac:dyDescent="0.6">
      <c r="A28" s="2"/>
      <c r="B28" s="84"/>
      <c r="C28" s="72"/>
      <c r="D28" s="85"/>
      <c r="E28" s="72"/>
      <c r="F28" s="72"/>
      <c r="G28" s="72"/>
      <c r="H28" s="73"/>
      <c r="I28" s="72"/>
      <c r="J28" s="72"/>
      <c r="K28" s="72"/>
      <c r="L28" s="73"/>
      <c r="M28" s="83"/>
      <c r="N28" s="86"/>
      <c r="O28" s="87"/>
      <c r="P28" s="21"/>
    </row>
    <row r="29" spans="1:24" x14ac:dyDescent="0.6">
      <c r="A29" s="2"/>
      <c r="B29" s="84"/>
      <c r="C29" s="72"/>
      <c r="D29" s="85"/>
      <c r="E29" s="72"/>
      <c r="F29" s="72"/>
      <c r="G29" s="72"/>
      <c r="H29" s="73"/>
      <c r="I29" s="72"/>
      <c r="J29" s="72"/>
      <c r="K29" s="72"/>
      <c r="L29" s="73"/>
      <c r="M29" s="83"/>
      <c r="N29" s="86"/>
      <c r="O29" s="87"/>
      <c r="P29" s="21"/>
    </row>
    <row r="30" spans="1:24" ht="34.799999999999997" customHeight="1" x14ac:dyDescent="0.6">
      <c r="A30" s="2"/>
      <c r="B30" s="84"/>
      <c r="C30" s="72"/>
      <c r="D30" s="85"/>
      <c r="E30" s="72"/>
      <c r="F30" s="72"/>
      <c r="G30" s="72"/>
      <c r="H30" s="73"/>
      <c r="I30" s="98" t="s">
        <v>8</v>
      </c>
      <c r="J30" s="104" t="s">
        <v>5</v>
      </c>
      <c r="K30" s="105"/>
      <c r="L30" s="104" t="s">
        <v>6</v>
      </c>
      <c r="M30" s="105"/>
      <c r="N30" s="98" t="s">
        <v>7</v>
      </c>
      <c r="O30" s="87"/>
      <c r="P30" s="21"/>
    </row>
    <row r="31" spans="1:24" x14ac:dyDescent="0.6">
      <c r="A31" s="2"/>
      <c r="B31" s="66"/>
      <c r="C31" s="67"/>
      <c r="D31" s="68"/>
      <c r="E31" s="67"/>
      <c r="F31" s="72"/>
      <c r="G31" s="72"/>
      <c r="H31" s="73"/>
      <c r="I31" s="88" t="s">
        <v>0</v>
      </c>
      <c r="J31" s="101">
        <f>+E16</f>
        <v>5144597.2500000009</v>
      </c>
      <c r="K31" s="102"/>
      <c r="L31" s="101">
        <f>+F16</f>
        <v>874442.44999999984</v>
      </c>
      <c r="M31" s="102"/>
      <c r="N31" s="89">
        <f>+L31/J31</f>
        <v>0.16997296532784947</v>
      </c>
      <c r="O31" s="87"/>
      <c r="P31" s="21"/>
    </row>
    <row r="32" spans="1:24" x14ac:dyDescent="0.6">
      <c r="A32" s="2"/>
      <c r="B32" s="66"/>
      <c r="C32" s="67"/>
      <c r="D32" s="68"/>
      <c r="E32" s="67"/>
      <c r="F32" s="72"/>
      <c r="G32" s="72"/>
      <c r="H32" s="73"/>
      <c r="I32" s="88" t="s">
        <v>1</v>
      </c>
      <c r="J32" s="101">
        <f>+H16</f>
        <v>2556363.5000000005</v>
      </c>
      <c r="K32" s="102"/>
      <c r="L32" s="101">
        <f>+I16</f>
        <v>283938</v>
      </c>
      <c r="M32" s="102"/>
      <c r="N32" s="89">
        <f>+L32/J32</f>
        <v>0.11107105855642202</v>
      </c>
      <c r="O32" s="87"/>
      <c r="P32" s="21"/>
    </row>
    <row r="33" spans="1:16" x14ac:dyDescent="0.6">
      <c r="A33" s="2"/>
      <c r="B33" s="66"/>
      <c r="C33" s="67"/>
      <c r="D33" s="68"/>
      <c r="E33" s="67"/>
      <c r="F33" s="72"/>
      <c r="G33" s="72"/>
      <c r="H33" s="73"/>
      <c r="I33" s="88" t="s">
        <v>2</v>
      </c>
      <c r="J33" s="101">
        <f>+K16</f>
        <v>844799.32</v>
      </c>
      <c r="K33" s="102"/>
      <c r="L33" s="101">
        <f>+L16</f>
        <v>66685.61</v>
      </c>
      <c r="M33" s="102"/>
      <c r="N33" s="89">
        <f>+L33/J33</f>
        <v>7.8936628405430073E-2</v>
      </c>
      <c r="O33" s="87"/>
      <c r="P33" s="21"/>
    </row>
    <row r="34" spans="1:16" x14ac:dyDescent="0.6">
      <c r="A34" s="2"/>
      <c r="B34" s="66"/>
      <c r="C34" s="67"/>
      <c r="D34" s="68"/>
      <c r="E34" s="67"/>
      <c r="F34" s="72"/>
      <c r="G34" s="72"/>
      <c r="H34" s="73"/>
      <c r="I34" s="88" t="s">
        <v>3</v>
      </c>
      <c r="J34" s="101">
        <f>+N16</f>
        <v>2119815</v>
      </c>
      <c r="K34" s="102"/>
      <c r="L34" s="101">
        <f>+O16</f>
        <v>289287.84999999998</v>
      </c>
      <c r="M34" s="102"/>
      <c r="N34" s="89">
        <f>+L34/J34</f>
        <v>0.13646844182157405</v>
      </c>
      <c r="O34" s="87"/>
      <c r="P34" s="21"/>
    </row>
    <row r="35" spans="1:16" ht="26.4" x14ac:dyDescent="0.7">
      <c r="A35" s="2"/>
      <c r="B35" s="66"/>
      <c r="C35" s="67"/>
      <c r="D35" s="68"/>
      <c r="E35" s="67"/>
      <c r="F35" s="72"/>
      <c r="G35" s="72"/>
      <c r="H35" s="73"/>
      <c r="I35" s="99" t="s">
        <v>10</v>
      </c>
      <c r="J35" s="106">
        <f>SUM(J31:J34)</f>
        <v>10665575.070000002</v>
      </c>
      <c r="K35" s="106"/>
      <c r="L35" s="106">
        <f>SUM(L31:L34)</f>
        <v>1514353.9099999997</v>
      </c>
      <c r="M35" s="106"/>
      <c r="N35" s="100">
        <f>+L35/J35</f>
        <v>0.14198520942949955</v>
      </c>
      <c r="O35" s="87"/>
      <c r="P35" s="21"/>
    </row>
    <row r="36" spans="1:16" x14ac:dyDescent="0.6">
      <c r="A36" s="2"/>
      <c r="B36" s="66"/>
      <c r="C36" s="67"/>
      <c r="D36" s="68"/>
      <c r="E36" s="67"/>
      <c r="F36" s="72"/>
      <c r="G36" s="72"/>
      <c r="H36" s="73"/>
      <c r="I36" s="67"/>
      <c r="J36" s="67"/>
      <c r="K36" s="67"/>
      <c r="L36" s="90"/>
      <c r="M36" s="67"/>
      <c r="N36" s="67"/>
      <c r="O36" s="87"/>
      <c r="P36" s="21"/>
    </row>
    <row r="37" spans="1:16" x14ac:dyDescent="0.6">
      <c r="A37" s="2"/>
      <c r="B37" s="66"/>
      <c r="C37" s="67"/>
      <c r="D37" s="68"/>
      <c r="E37" s="67"/>
      <c r="F37" s="72"/>
      <c r="G37" s="72"/>
      <c r="H37" s="73"/>
      <c r="I37" s="72"/>
      <c r="J37" s="72"/>
      <c r="K37" s="72"/>
      <c r="L37" s="73"/>
      <c r="M37" s="83"/>
      <c r="N37" s="91"/>
      <c r="O37" s="87"/>
      <c r="P37" s="21"/>
    </row>
    <row r="38" spans="1:16" x14ac:dyDescent="0.6">
      <c r="B38" s="66"/>
      <c r="C38" s="67"/>
      <c r="D38" s="68"/>
      <c r="E38" s="67"/>
      <c r="F38" s="67"/>
      <c r="G38" s="67"/>
      <c r="H38" s="90"/>
      <c r="I38" s="67"/>
      <c r="J38" s="67"/>
      <c r="K38" s="67"/>
      <c r="L38" s="90"/>
      <c r="M38" s="103">
        <f ca="1">NOW()</f>
        <v>46207.719558912038</v>
      </c>
      <c r="N38" s="103"/>
      <c r="O38" s="92"/>
    </row>
    <row r="39" spans="1:16" ht="24" thickBot="1" x14ac:dyDescent="0.65">
      <c r="B39" s="93"/>
      <c r="C39" s="94"/>
      <c r="D39" s="95"/>
      <c r="E39" s="94"/>
      <c r="F39" s="94"/>
      <c r="G39" s="94"/>
      <c r="H39" s="96"/>
      <c r="I39" s="94"/>
      <c r="J39" s="94"/>
      <c r="K39" s="94"/>
      <c r="L39" s="96"/>
      <c r="M39" s="94"/>
      <c r="N39" s="94"/>
      <c r="O39" s="97"/>
    </row>
  </sheetData>
  <mergeCells count="20">
    <mergeCell ref="B18:O18"/>
    <mergeCell ref="C2:C3"/>
    <mergeCell ref="N2:P2"/>
    <mergeCell ref="A2:A3"/>
    <mergeCell ref="E2:G2"/>
    <mergeCell ref="H2:J2"/>
    <mergeCell ref="K2:M2"/>
    <mergeCell ref="L33:M33"/>
    <mergeCell ref="L34:M34"/>
    <mergeCell ref="M38:N38"/>
    <mergeCell ref="J30:K30"/>
    <mergeCell ref="L30:M30"/>
    <mergeCell ref="L31:M31"/>
    <mergeCell ref="L32:M32"/>
    <mergeCell ref="J35:K35"/>
    <mergeCell ref="L35:M35"/>
    <mergeCell ref="J31:K31"/>
    <mergeCell ref="J32:K32"/>
    <mergeCell ref="J33:K33"/>
    <mergeCell ref="J34:K34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EC37-4D73-46BF-956F-64357BB9216B}">
  <sheetPr>
    <tabColor rgb="FF00B0F0"/>
  </sheetPr>
  <dimension ref="A1:XFD70"/>
  <sheetViews>
    <sheetView zoomScale="130" zoomScaleNormal="130" workbookViewId="0">
      <pane xSplit="4" ySplit="3" topLeftCell="E36" activePane="bottomRight" state="frozen"/>
      <selection activeCell="G9" sqref="G9"/>
      <selection pane="topRight" activeCell="G9" sqref="G9"/>
      <selection pane="bottomLeft" activeCell="G9" sqref="G9"/>
      <selection pane="bottomRight" activeCell="H40" sqref="H40"/>
    </sheetView>
  </sheetViews>
  <sheetFormatPr defaultRowHeight="23.4" x14ac:dyDescent="0.6"/>
  <cols>
    <col min="1" max="1" width="9.09765625" style="1" bestFit="1" customWidth="1"/>
    <col min="2" max="2" width="11.3984375" style="1" customWidth="1"/>
    <col min="3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69921875" style="1"/>
    <col min="16384" max="16384" width="9" style="1" bestFit="1" customWidth="1"/>
  </cols>
  <sheetData>
    <row r="1" spans="1:16" ht="28.8" x14ac:dyDescent="0.75">
      <c r="A1" s="35" t="s">
        <v>50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46023</v>
      </c>
      <c r="B4" s="62">
        <v>218211.13</v>
      </c>
      <c r="C4" s="57">
        <v>24106.91</v>
      </c>
      <c r="D4" s="24">
        <f>+C4/B4</f>
        <v>0.11047516228892633</v>
      </c>
      <c r="E4" s="20">
        <v>46023</v>
      </c>
      <c r="F4" s="57">
        <v>1426</v>
      </c>
      <c r="G4" s="57">
        <v>300</v>
      </c>
      <c r="H4" s="24">
        <f>+G4/F4</f>
        <v>0.21037868162692847</v>
      </c>
      <c r="I4" s="20">
        <v>46023</v>
      </c>
      <c r="J4" s="57">
        <v>7475.35</v>
      </c>
      <c r="K4" s="57">
        <v>637</v>
      </c>
      <c r="L4" s="24">
        <f>+K4/J4</f>
        <v>8.5213401379199638E-2</v>
      </c>
      <c r="M4" s="20">
        <v>46023</v>
      </c>
      <c r="N4" s="57">
        <v>21588</v>
      </c>
      <c r="O4" s="57">
        <v>0</v>
      </c>
      <c r="P4" s="24">
        <f>+O4/N4</f>
        <v>0</v>
      </c>
    </row>
    <row r="5" spans="1:16" x14ac:dyDescent="0.6">
      <c r="A5" s="20">
        <v>46024</v>
      </c>
      <c r="B5" s="62">
        <v>126979.91</v>
      </c>
      <c r="C5" s="57">
        <v>13804.19</v>
      </c>
      <c r="D5" s="24">
        <f t="shared" ref="D5:D32" si="0">+C5/B5</f>
        <v>0.10871160642655991</v>
      </c>
      <c r="E5" s="20">
        <v>46024</v>
      </c>
      <c r="F5" s="57">
        <v>4100</v>
      </c>
      <c r="G5" s="57">
        <v>344</v>
      </c>
      <c r="H5" s="24">
        <f t="shared" ref="H5:H31" si="1">+G5/F5</f>
        <v>8.3902439024390249E-2</v>
      </c>
      <c r="I5" s="20">
        <v>46024</v>
      </c>
      <c r="J5" s="57">
        <v>12322.2</v>
      </c>
      <c r="K5" s="57">
        <v>571.95000000000005</v>
      </c>
      <c r="L5" s="24">
        <f t="shared" ref="L5:L32" si="2">+K5/J5</f>
        <v>4.6416224375517359E-2</v>
      </c>
      <c r="M5" s="20">
        <v>46024</v>
      </c>
      <c r="N5" s="57">
        <v>14959</v>
      </c>
      <c r="O5" s="57">
        <v>0</v>
      </c>
      <c r="P5" s="24">
        <f t="shared" ref="P5:P34" si="3">+O5/N5</f>
        <v>0</v>
      </c>
    </row>
    <row r="6" spans="1:16" x14ac:dyDescent="0.6">
      <c r="A6" s="20">
        <v>46025</v>
      </c>
      <c r="B6" s="62">
        <v>152360.04999999999</v>
      </c>
      <c r="C6" s="57">
        <v>16364.55</v>
      </c>
      <c r="D6" s="24">
        <f t="shared" si="0"/>
        <v>0.10740709260728125</v>
      </c>
      <c r="E6" s="20">
        <v>46025</v>
      </c>
      <c r="F6" s="57">
        <v>2687</v>
      </c>
      <c r="G6" s="57">
        <v>271</v>
      </c>
      <c r="H6" s="24">
        <f t="shared" si="1"/>
        <v>0.10085597320431708</v>
      </c>
      <c r="I6" s="20">
        <v>46025</v>
      </c>
      <c r="J6" s="57">
        <v>8064.45</v>
      </c>
      <c r="K6" s="57">
        <v>531.55999999999995</v>
      </c>
      <c r="L6" s="24">
        <f t="shared" si="2"/>
        <v>6.5913980494640048E-2</v>
      </c>
      <c r="M6" s="20">
        <v>46025</v>
      </c>
      <c r="N6" s="57">
        <v>15279</v>
      </c>
      <c r="O6" s="57">
        <v>0</v>
      </c>
      <c r="P6" s="24">
        <f t="shared" si="3"/>
        <v>0</v>
      </c>
    </row>
    <row r="7" spans="1:16" x14ac:dyDescent="0.6">
      <c r="A7" s="20">
        <v>46026</v>
      </c>
      <c r="B7" s="62">
        <v>111733.03</v>
      </c>
      <c r="C7" s="57">
        <v>11994.86</v>
      </c>
      <c r="D7" s="24">
        <f t="shared" si="0"/>
        <v>0.10735285707368716</v>
      </c>
      <c r="E7" s="20">
        <v>46026</v>
      </c>
      <c r="F7" s="57">
        <v>2619</v>
      </c>
      <c r="G7" s="57">
        <v>337</v>
      </c>
      <c r="H7" s="24">
        <f t="shared" si="1"/>
        <v>0.12867506681939672</v>
      </c>
      <c r="I7" s="20">
        <v>46026</v>
      </c>
      <c r="J7" s="57">
        <v>5531.85</v>
      </c>
      <c r="K7" s="57">
        <v>600.29</v>
      </c>
      <c r="L7" s="24">
        <f t="shared" si="2"/>
        <v>0.10851523450563554</v>
      </c>
      <c r="M7" s="20">
        <v>46026</v>
      </c>
      <c r="N7" s="57">
        <v>14348</v>
      </c>
      <c r="O7" s="57">
        <v>0</v>
      </c>
      <c r="P7" s="24">
        <f t="shared" si="3"/>
        <v>0</v>
      </c>
    </row>
    <row r="8" spans="1:16" x14ac:dyDescent="0.6">
      <c r="A8" s="20">
        <v>46027</v>
      </c>
      <c r="B8" s="62">
        <v>116531.41</v>
      </c>
      <c r="C8" s="57">
        <v>13451.56</v>
      </c>
      <c r="D8" s="24">
        <f t="shared" si="0"/>
        <v>0.11543291203633423</v>
      </c>
      <c r="E8" s="20">
        <v>46027</v>
      </c>
      <c r="F8" s="57" t="s">
        <v>26</v>
      </c>
      <c r="G8" s="57">
        <v>330</v>
      </c>
      <c r="H8" s="24" t="e">
        <f t="shared" si="1"/>
        <v>#VALUE!</v>
      </c>
      <c r="I8" s="20">
        <v>46027</v>
      </c>
      <c r="J8" s="57">
        <v>7116.3</v>
      </c>
      <c r="K8" s="57">
        <v>598.42999999999995</v>
      </c>
      <c r="L8" s="24">
        <f t="shared" si="2"/>
        <v>8.4092857243230318E-2</v>
      </c>
      <c r="M8" s="20">
        <v>46027</v>
      </c>
      <c r="N8" s="57">
        <v>12891</v>
      </c>
      <c r="O8" s="57">
        <v>0</v>
      </c>
      <c r="P8" s="24">
        <f t="shared" si="3"/>
        <v>0</v>
      </c>
    </row>
    <row r="9" spans="1:16" x14ac:dyDescent="0.6">
      <c r="A9" s="20">
        <v>46028</v>
      </c>
      <c r="B9" s="62">
        <v>87620.22</v>
      </c>
      <c r="C9" s="57">
        <v>10396.11</v>
      </c>
      <c r="D9" s="24">
        <f t="shared" si="0"/>
        <v>0.11864966785063996</v>
      </c>
      <c r="E9" s="20">
        <v>46028</v>
      </c>
      <c r="F9" s="57">
        <v>2621</v>
      </c>
      <c r="G9" s="57">
        <v>312</v>
      </c>
      <c r="H9" s="24">
        <f t="shared" si="1"/>
        <v>0.11903853491033957</v>
      </c>
      <c r="I9" s="20">
        <v>46028</v>
      </c>
      <c r="J9" s="57">
        <v>4142.84</v>
      </c>
      <c r="K9" s="57">
        <v>519.55999999999995</v>
      </c>
      <c r="L9" s="24">
        <f t="shared" si="2"/>
        <v>0.1254115534271176</v>
      </c>
      <c r="M9" s="20">
        <v>46028</v>
      </c>
      <c r="N9" s="57">
        <v>14449</v>
      </c>
      <c r="O9" s="57">
        <v>0</v>
      </c>
      <c r="P9" s="24">
        <f t="shared" si="3"/>
        <v>0</v>
      </c>
    </row>
    <row r="10" spans="1:16" x14ac:dyDescent="0.6">
      <c r="A10" s="20">
        <v>46029</v>
      </c>
      <c r="B10" s="62">
        <v>89970.48</v>
      </c>
      <c r="C10" s="57">
        <v>10888.29</v>
      </c>
      <c r="D10" s="24">
        <f t="shared" si="0"/>
        <v>0.12102069478789045</v>
      </c>
      <c r="E10" s="20">
        <v>46029</v>
      </c>
      <c r="F10" s="57">
        <v>3466</v>
      </c>
      <c r="G10" s="57">
        <v>267</v>
      </c>
      <c r="H10" s="24">
        <f t="shared" si="1"/>
        <v>7.7034045008655516E-2</v>
      </c>
      <c r="I10" s="20">
        <v>46029</v>
      </c>
      <c r="J10" s="57">
        <v>10280.81</v>
      </c>
      <c r="K10" s="57">
        <v>473.24</v>
      </c>
      <c r="L10" s="24">
        <f t="shared" si="2"/>
        <v>4.6031392468103199E-2</v>
      </c>
      <c r="M10" s="20">
        <v>46029</v>
      </c>
      <c r="N10" s="57">
        <v>8502</v>
      </c>
      <c r="O10" s="57">
        <v>0</v>
      </c>
      <c r="P10" s="24">
        <f t="shared" si="3"/>
        <v>0</v>
      </c>
    </row>
    <row r="11" spans="1:16" x14ac:dyDescent="0.6">
      <c r="A11" s="20">
        <v>46030</v>
      </c>
      <c r="B11" s="62">
        <v>62988.06</v>
      </c>
      <c r="C11" s="57">
        <v>6933.14</v>
      </c>
      <c r="D11" s="24">
        <f>+C11/B11</f>
        <v>0.11007070228865598</v>
      </c>
      <c r="E11" s="20">
        <v>46030</v>
      </c>
      <c r="F11" s="57">
        <v>2135</v>
      </c>
      <c r="G11" s="57">
        <v>263</v>
      </c>
      <c r="H11" s="24">
        <f t="shared" si="1"/>
        <v>0.12318501170960187</v>
      </c>
      <c r="I11" s="20">
        <v>46030</v>
      </c>
      <c r="J11" s="57">
        <v>5112.8</v>
      </c>
      <c r="K11" s="57">
        <v>411.17</v>
      </c>
      <c r="L11" s="24">
        <f t="shared" si="2"/>
        <v>8.04197308715381E-2</v>
      </c>
      <c r="M11" s="20">
        <v>46030</v>
      </c>
      <c r="N11" s="57">
        <v>3744</v>
      </c>
      <c r="O11" s="57">
        <v>0</v>
      </c>
      <c r="P11" s="24">
        <f t="shared" si="3"/>
        <v>0</v>
      </c>
    </row>
    <row r="12" spans="1:16" x14ac:dyDescent="0.6">
      <c r="A12" s="20">
        <v>46031</v>
      </c>
      <c r="B12" s="62">
        <v>30292.560000000001</v>
      </c>
      <c r="C12" s="57">
        <v>4226.5600000000004</v>
      </c>
      <c r="D12" s="24">
        <f t="shared" si="0"/>
        <v>0.13952468857039485</v>
      </c>
      <c r="E12" s="20">
        <v>46031</v>
      </c>
      <c r="F12" s="57" t="s">
        <v>26</v>
      </c>
      <c r="G12" s="57">
        <v>293</v>
      </c>
      <c r="H12" s="24" t="e">
        <f t="shared" si="1"/>
        <v>#VALUE!</v>
      </c>
      <c r="I12" s="20">
        <v>46031</v>
      </c>
      <c r="J12" s="57">
        <v>5880.5</v>
      </c>
      <c r="K12" s="57">
        <v>276.19</v>
      </c>
      <c r="L12" s="24">
        <f t="shared" si="2"/>
        <v>4.6967094634809962E-2</v>
      </c>
      <c r="M12" s="20">
        <v>46031</v>
      </c>
      <c r="N12" s="57">
        <v>7634</v>
      </c>
      <c r="O12" s="57">
        <v>0</v>
      </c>
      <c r="P12" s="24">
        <f t="shared" si="3"/>
        <v>0</v>
      </c>
    </row>
    <row r="13" spans="1:16" x14ac:dyDescent="0.6">
      <c r="A13" s="20">
        <v>46032</v>
      </c>
      <c r="B13" s="62">
        <v>38206.019999999997</v>
      </c>
      <c r="C13" s="57">
        <v>7204.6</v>
      </c>
      <c r="D13" s="24">
        <f t="shared" si="0"/>
        <v>0.18857237681391573</v>
      </c>
      <c r="E13" s="20">
        <v>46032</v>
      </c>
      <c r="F13" s="57" t="s">
        <v>26</v>
      </c>
      <c r="G13" s="57">
        <v>295</v>
      </c>
      <c r="H13" s="24" t="e">
        <f t="shared" si="1"/>
        <v>#VALUE!</v>
      </c>
      <c r="I13" s="20">
        <v>46032</v>
      </c>
      <c r="J13" s="57">
        <v>2633.3</v>
      </c>
      <c r="K13" s="57">
        <v>289.8</v>
      </c>
      <c r="L13" s="24">
        <f t="shared" si="2"/>
        <v>0.11005202597501233</v>
      </c>
      <c r="M13" s="20">
        <v>46032</v>
      </c>
      <c r="N13" s="57">
        <v>7171</v>
      </c>
      <c r="O13" s="57">
        <v>197</v>
      </c>
      <c r="P13" s="24">
        <f t="shared" si="3"/>
        <v>2.7471761260633106E-2</v>
      </c>
    </row>
    <row r="14" spans="1:16" x14ac:dyDescent="0.6">
      <c r="A14" s="20">
        <v>46033</v>
      </c>
      <c r="B14" s="62">
        <v>44813.98</v>
      </c>
      <c r="C14" s="57">
        <v>5202.3500000000004</v>
      </c>
      <c r="D14" s="24">
        <f t="shared" si="0"/>
        <v>0.11608765836018135</v>
      </c>
      <c r="E14" s="20">
        <v>46033</v>
      </c>
      <c r="F14" s="57">
        <v>9285</v>
      </c>
      <c r="G14" s="57">
        <v>330</v>
      </c>
      <c r="H14" s="24">
        <f t="shared" si="1"/>
        <v>3.5541195476575124E-2</v>
      </c>
      <c r="I14" s="20">
        <v>46033</v>
      </c>
      <c r="J14" s="57">
        <v>6244.25</v>
      </c>
      <c r="K14" s="57">
        <v>384.96</v>
      </c>
      <c r="L14" s="24">
        <f t="shared" si="2"/>
        <v>6.1650318292829402E-2</v>
      </c>
      <c r="M14" s="20">
        <v>46033</v>
      </c>
      <c r="N14" s="57">
        <v>6862</v>
      </c>
      <c r="O14" s="57">
        <v>1486.03</v>
      </c>
      <c r="P14" s="24">
        <f t="shared" si="3"/>
        <v>0.21655931215389099</v>
      </c>
    </row>
    <row r="15" spans="1:16" x14ac:dyDescent="0.6">
      <c r="A15" s="20">
        <v>46034</v>
      </c>
      <c r="B15" s="62">
        <v>47256.12</v>
      </c>
      <c r="C15" s="57">
        <v>7401.14</v>
      </c>
      <c r="D15" s="24">
        <f t="shared" si="0"/>
        <v>0.15661759788996643</v>
      </c>
      <c r="E15" s="20">
        <v>46034</v>
      </c>
      <c r="F15" s="57">
        <v>2575</v>
      </c>
      <c r="G15" s="57">
        <v>361</v>
      </c>
      <c r="H15" s="24">
        <f t="shared" si="1"/>
        <v>0.14019417475728155</v>
      </c>
      <c r="I15" s="20">
        <v>46034</v>
      </c>
      <c r="J15" s="57">
        <v>3325.1</v>
      </c>
      <c r="K15" s="57">
        <v>344.6</v>
      </c>
      <c r="L15" s="24">
        <f t="shared" si="2"/>
        <v>0.10363598087275572</v>
      </c>
      <c r="M15" s="20">
        <v>46034</v>
      </c>
      <c r="N15" s="57">
        <v>4775</v>
      </c>
      <c r="O15" s="57">
        <v>355.33</v>
      </c>
      <c r="P15" s="24">
        <f t="shared" si="3"/>
        <v>7.4414659685863874E-2</v>
      </c>
    </row>
    <row r="16" spans="1:16" x14ac:dyDescent="0.6">
      <c r="A16" s="20">
        <v>46035</v>
      </c>
      <c r="B16" s="62">
        <v>32075.69</v>
      </c>
      <c r="C16" s="57">
        <v>5342.58</v>
      </c>
      <c r="D16" s="24">
        <f t="shared" si="0"/>
        <v>0.16656165463626815</v>
      </c>
      <c r="E16" s="20">
        <v>46035</v>
      </c>
      <c r="F16" s="57">
        <v>1115</v>
      </c>
      <c r="G16" s="57">
        <v>262</v>
      </c>
      <c r="H16" s="24">
        <f t="shared" si="1"/>
        <v>0.23497757847533632</v>
      </c>
      <c r="I16" s="20">
        <v>46035</v>
      </c>
      <c r="J16" s="57">
        <v>3772.5</v>
      </c>
      <c r="K16" s="57">
        <v>154.46</v>
      </c>
      <c r="L16" s="24">
        <f t="shared" si="2"/>
        <v>4.0943671305500334E-2</v>
      </c>
      <c r="M16" s="20">
        <v>46035</v>
      </c>
      <c r="N16" s="57">
        <v>7754</v>
      </c>
      <c r="O16" s="57">
        <v>0</v>
      </c>
      <c r="P16" s="24">
        <f t="shared" si="3"/>
        <v>0</v>
      </c>
    </row>
    <row r="17" spans="1:16" x14ac:dyDescent="0.6">
      <c r="A17" s="20">
        <v>46036</v>
      </c>
      <c r="B17" s="62">
        <v>23965.8</v>
      </c>
      <c r="C17" s="57">
        <v>3949.59</v>
      </c>
      <c r="D17" s="24">
        <f t="shared" si="0"/>
        <v>0.16480109155546654</v>
      </c>
      <c r="E17" s="20">
        <v>46036</v>
      </c>
      <c r="F17" s="57">
        <v>1474</v>
      </c>
      <c r="G17" s="57">
        <v>835</v>
      </c>
      <c r="H17" s="24">
        <f t="shared" si="1"/>
        <v>0.56648575305291726</v>
      </c>
      <c r="I17" s="20">
        <v>46036</v>
      </c>
      <c r="J17" s="57">
        <v>2222.85</v>
      </c>
      <c r="K17" s="57">
        <v>238</v>
      </c>
      <c r="L17" s="24">
        <f t="shared" si="2"/>
        <v>0.10706975279483547</v>
      </c>
      <c r="M17" s="20">
        <v>46036</v>
      </c>
      <c r="N17" s="57">
        <v>3432</v>
      </c>
      <c r="O17" s="57">
        <v>0</v>
      </c>
      <c r="P17" s="24">
        <f t="shared" si="3"/>
        <v>0</v>
      </c>
    </row>
    <row r="18" spans="1:16" x14ac:dyDescent="0.6">
      <c r="A18" s="20">
        <v>46037</v>
      </c>
      <c r="B18" s="62">
        <v>26965.38</v>
      </c>
      <c r="C18" s="57">
        <v>3319.29</v>
      </c>
      <c r="D18" s="24">
        <f t="shared" si="0"/>
        <v>0.12309450117150211</v>
      </c>
      <c r="E18" s="20">
        <v>46037</v>
      </c>
      <c r="F18" s="57">
        <v>4598</v>
      </c>
      <c r="G18" s="57">
        <v>1831</v>
      </c>
      <c r="H18" s="24">
        <f t="shared" si="1"/>
        <v>0.39821661591996521</v>
      </c>
      <c r="I18" s="20">
        <v>46037</v>
      </c>
      <c r="J18" s="57">
        <v>1975.46</v>
      </c>
      <c r="K18" s="57">
        <v>238.52</v>
      </c>
      <c r="L18" s="24">
        <f t="shared" si="2"/>
        <v>0.12074149818270176</v>
      </c>
      <c r="M18" s="20">
        <v>46037</v>
      </c>
      <c r="N18" s="57">
        <v>5101</v>
      </c>
      <c r="O18" s="57">
        <v>0</v>
      </c>
      <c r="P18" s="24">
        <f t="shared" si="3"/>
        <v>0</v>
      </c>
    </row>
    <row r="19" spans="1:16" x14ac:dyDescent="0.6">
      <c r="A19" s="20">
        <v>46038</v>
      </c>
      <c r="B19" s="62">
        <v>22176.19</v>
      </c>
      <c r="C19" s="57">
        <v>3924.97</v>
      </c>
      <c r="D19" s="24">
        <f t="shared" si="0"/>
        <v>0.17699027650827306</v>
      </c>
      <c r="E19" s="20">
        <v>46038</v>
      </c>
      <c r="F19" s="57">
        <v>3438</v>
      </c>
      <c r="G19" s="57">
        <v>1311</v>
      </c>
      <c r="H19" s="24">
        <f t="shared" si="1"/>
        <v>0.38132635253054104</v>
      </c>
      <c r="I19" s="20">
        <v>46038</v>
      </c>
      <c r="J19" s="57">
        <v>336.1</v>
      </c>
      <c r="K19" s="57">
        <v>279.64</v>
      </c>
      <c r="L19" s="24">
        <f t="shared" si="2"/>
        <v>0.83201428146384993</v>
      </c>
      <c r="M19" s="20">
        <v>46038</v>
      </c>
      <c r="N19" s="57">
        <v>4243</v>
      </c>
      <c r="O19" s="57">
        <v>0</v>
      </c>
      <c r="P19" s="24">
        <f t="shared" si="3"/>
        <v>0</v>
      </c>
    </row>
    <row r="20" spans="1:16" x14ac:dyDescent="0.6">
      <c r="A20" s="20">
        <v>46039</v>
      </c>
      <c r="B20" s="62">
        <v>23257.32</v>
      </c>
      <c r="C20" s="57">
        <v>3330.13</v>
      </c>
      <c r="D20" s="24">
        <f t="shared" si="0"/>
        <v>0.14318631725409464</v>
      </c>
      <c r="E20" s="20">
        <v>46039</v>
      </c>
      <c r="F20" s="57">
        <v>2652</v>
      </c>
      <c r="G20" s="57">
        <v>1331</v>
      </c>
      <c r="H20" s="24">
        <f t="shared" si="1"/>
        <v>0.50188536953242835</v>
      </c>
      <c r="I20" s="20">
        <v>46039</v>
      </c>
      <c r="J20" s="57">
        <v>3599.85</v>
      </c>
      <c r="K20" s="57">
        <v>223.71</v>
      </c>
      <c r="L20" s="24">
        <f t="shared" si="2"/>
        <v>6.2144256010667115E-2</v>
      </c>
      <c r="M20" s="20">
        <v>46039</v>
      </c>
      <c r="N20" s="57">
        <v>3728</v>
      </c>
      <c r="O20" s="57">
        <v>0</v>
      </c>
      <c r="P20" s="24">
        <f t="shared" si="3"/>
        <v>0</v>
      </c>
    </row>
    <row r="21" spans="1:16" x14ac:dyDescent="0.6">
      <c r="A21" s="20">
        <v>46040</v>
      </c>
      <c r="B21" s="62">
        <v>37366.699999999997</v>
      </c>
      <c r="C21" s="57">
        <v>3759.12</v>
      </c>
      <c r="D21" s="24">
        <f t="shared" si="0"/>
        <v>0.100600802318642</v>
      </c>
      <c r="E21" s="20">
        <v>46040</v>
      </c>
      <c r="F21" s="57">
        <v>1028</v>
      </c>
      <c r="G21" s="57">
        <v>1561</v>
      </c>
      <c r="H21" s="24">
        <f t="shared" si="1"/>
        <v>1.5184824902723735</v>
      </c>
      <c r="I21" s="20">
        <v>46040</v>
      </c>
      <c r="J21" s="57">
        <v>2014.53</v>
      </c>
      <c r="K21" s="57">
        <v>135.19999999999999</v>
      </c>
      <c r="L21" s="24">
        <f t="shared" si="2"/>
        <v>6.7112428209061159E-2</v>
      </c>
      <c r="M21" s="20">
        <v>46040</v>
      </c>
      <c r="N21" s="57">
        <v>2754</v>
      </c>
      <c r="O21" s="57">
        <v>0</v>
      </c>
      <c r="P21" s="24">
        <f t="shared" si="3"/>
        <v>0</v>
      </c>
    </row>
    <row r="22" spans="1:16" x14ac:dyDescent="0.6">
      <c r="A22" s="20">
        <v>46041</v>
      </c>
      <c r="B22" s="62">
        <v>28086.01</v>
      </c>
      <c r="C22" s="57">
        <v>2914.5</v>
      </c>
      <c r="D22" s="24">
        <f t="shared" si="0"/>
        <v>0.10377052489833907</v>
      </c>
      <c r="E22" s="20">
        <v>46041</v>
      </c>
      <c r="F22" s="57">
        <v>2557</v>
      </c>
      <c r="G22" s="57">
        <v>1274</v>
      </c>
      <c r="H22" s="24">
        <f t="shared" si="1"/>
        <v>0.49824012514665622</v>
      </c>
      <c r="I22" s="20">
        <v>46041</v>
      </c>
      <c r="J22" s="57">
        <v>3941.8</v>
      </c>
      <c r="K22" s="57">
        <v>299.93</v>
      </c>
      <c r="L22" s="24">
        <f t="shared" si="2"/>
        <v>7.6089603734334571E-2</v>
      </c>
      <c r="M22" s="20">
        <v>46041</v>
      </c>
      <c r="N22" s="57">
        <v>7729</v>
      </c>
      <c r="O22" s="57">
        <v>0</v>
      </c>
      <c r="P22" s="24">
        <f t="shared" si="3"/>
        <v>0</v>
      </c>
    </row>
    <row r="23" spans="1:16" x14ac:dyDescent="0.6">
      <c r="A23" s="20">
        <v>46042</v>
      </c>
      <c r="B23" s="62">
        <v>28288.04</v>
      </c>
      <c r="C23" s="57">
        <v>3639.83</v>
      </c>
      <c r="D23" s="24">
        <f t="shared" si="0"/>
        <v>0.12867027902958281</v>
      </c>
      <c r="E23" s="20">
        <v>46042</v>
      </c>
      <c r="F23" s="64">
        <v>1595</v>
      </c>
      <c r="G23" s="57">
        <v>1380</v>
      </c>
      <c r="H23" s="27">
        <v>0</v>
      </c>
      <c r="I23" s="20">
        <v>46042</v>
      </c>
      <c r="J23" s="57">
        <v>3122.45</v>
      </c>
      <c r="K23" s="57">
        <v>344.41</v>
      </c>
      <c r="L23" s="24">
        <f t="shared" si="2"/>
        <v>0.11030120578391969</v>
      </c>
      <c r="M23" s="20">
        <v>46042</v>
      </c>
      <c r="N23" s="57">
        <v>5219</v>
      </c>
      <c r="O23" s="57">
        <v>0</v>
      </c>
      <c r="P23" s="24">
        <f t="shared" si="3"/>
        <v>0</v>
      </c>
    </row>
    <row r="24" spans="1:16" x14ac:dyDescent="0.6">
      <c r="A24" s="20">
        <v>46043</v>
      </c>
      <c r="B24" s="62">
        <v>25263.27</v>
      </c>
      <c r="C24" s="57">
        <v>3033.58</v>
      </c>
      <c r="D24" s="24">
        <f t="shared" si="0"/>
        <v>0.12007867548421086</v>
      </c>
      <c r="E24" s="20">
        <v>46043</v>
      </c>
      <c r="F24" s="57">
        <v>3231</v>
      </c>
      <c r="G24" s="64">
        <v>1261</v>
      </c>
      <c r="H24" s="24">
        <f t="shared" si="1"/>
        <v>0.390281646549056</v>
      </c>
      <c r="I24" s="20">
        <v>46043</v>
      </c>
      <c r="J24" s="57">
        <v>4248.8999999999996</v>
      </c>
      <c r="K24" s="57">
        <v>107.04</v>
      </c>
      <c r="L24" s="24">
        <f t="shared" si="2"/>
        <v>2.5192402739532587E-2</v>
      </c>
      <c r="M24" s="20">
        <v>46043</v>
      </c>
      <c r="N24" s="57">
        <v>5108</v>
      </c>
      <c r="O24" s="57">
        <v>0</v>
      </c>
      <c r="P24" s="24">
        <f t="shared" si="3"/>
        <v>0</v>
      </c>
    </row>
    <row r="25" spans="1:16" x14ac:dyDescent="0.6">
      <c r="A25" s="20">
        <v>46044</v>
      </c>
      <c r="B25" s="62">
        <v>22664.48</v>
      </c>
      <c r="C25" s="57">
        <v>3468.36</v>
      </c>
      <c r="D25" s="24">
        <f t="shared" si="0"/>
        <v>0.15303064530931221</v>
      </c>
      <c r="E25" s="20">
        <v>46044</v>
      </c>
      <c r="F25" s="57">
        <v>2057</v>
      </c>
      <c r="G25" s="64">
        <v>1165</v>
      </c>
      <c r="H25" s="24">
        <f>+G25/F25</f>
        <v>0.5663587749149247</v>
      </c>
      <c r="I25" s="20">
        <v>46044</v>
      </c>
      <c r="J25" s="57">
        <v>1659.25</v>
      </c>
      <c r="K25" s="64">
        <v>281.44</v>
      </c>
      <c r="L25" s="24">
        <f t="shared" si="2"/>
        <v>0.16961880367635979</v>
      </c>
      <c r="M25" s="20">
        <v>46044</v>
      </c>
      <c r="N25" s="57">
        <v>4838</v>
      </c>
      <c r="O25" s="57">
        <v>0</v>
      </c>
      <c r="P25" s="24">
        <f t="shared" si="3"/>
        <v>0</v>
      </c>
    </row>
    <row r="26" spans="1:16" x14ac:dyDescent="0.6">
      <c r="A26" s="20">
        <v>46045</v>
      </c>
      <c r="B26" s="62">
        <v>20289.75</v>
      </c>
      <c r="C26" s="57">
        <v>3187.12</v>
      </c>
      <c r="D26" s="24">
        <f t="shared" si="0"/>
        <v>0.15708029916583496</v>
      </c>
      <c r="E26" s="20">
        <v>46045</v>
      </c>
      <c r="F26" s="57">
        <v>2356</v>
      </c>
      <c r="G26" s="64">
        <v>976</v>
      </c>
      <c r="H26" s="24">
        <f t="shared" si="1"/>
        <v>0.4142614601018676</v>
      </c>
      <c r="I26" s="20">
        <v>46045</v>
      </c>
      <c r="J26" s="57">
        <v>3233.35</v>
      </c>
      <c r="K26" s="64">
        <v>175.75</v>
      </c>
      <c r="L26" s="24">
        <f t="shared" si="2"/>
        <v>5.4355389920670516E-2</v>
      </c>
      <c r="M26" s="20">
        <v>46045</v>
      </c>
      <c r="N26" s="57">
        <v>10472</v>
      </c>
      <c r="O26" s="57">
        <v>0</v>
      </c>
      <c r="P26" s="24">
        <f t="shared" si="3"/>
        <v>0</v>
      </c>
    </row>
    <row r="27" spans="1:16" x14ac:dyDescent="0.6">
      <c r="A27" s="20">
        <v>46046</v>
      </c>
      <c r="B27" s="62">
        <v>25197.1</v>
      </c>
      <c r="C27" s="57">
        <v>3880.02</v>
      </c>
      <c r="D27" s="24">
        <f t="shared" si="0"/>
        <v>0.15398676831857636</v>
      </c>
      <c r="E27" s="20">
        <v>46046</v>
      </c>
      <c r="F27" s="57">
        <v>3483</v>
      </c>
      <c r="G27" s="64">
        <v>905</v>
      </c>
      <c r="H27" s="24">
        <f t="shared" si="1"/>
        <v>0.25983347688774044</v>
      </c>
      <c r="I27" s="20">
        <v>46046</v>
      </c>
      <c r="J27" s="57">
        <v>3334.43</v>
      </c>
      <c r="K27" s="64">
        <v>281.17</v>
      </c>
      <c r="L27" s="24">
        <f t="shared" si="2"/>
        <v>8.4323257648233743E-2</v>
      </c>
      <c r="M27" s="20">
        <v>46046</v>
      </c>
      <c r="N27" s="57">
        <v>2531</v>
      </c>
      <c r="O27" s="57">
        <v>0</v>
      </c>
      <c r="P27" s="24">
        <f t="shared" si="3"/>
        <v>0</v>
      </c>
    </row>
    <row r="28" spans="1:16" x14ac:dyDescent="0.6">
      <c r="A28" s="20">
        <v>46047</v>
      </c>
      <c r="B28" s="57">
        <v>18795.25</v>
      </c>
      <c r="C28" s="57">
        <v>3758.36</v>
      </c>
      <c r="D28" s="24">
        <f t="shared" si="0"/>
        <v>0.19996328859685294</v>
      </c>
      <c r="E28" s="20">
        <v>46047</v>
      </c>
      <c r="F28" s="57">
        <v>1402</v>
      </c>
      <c r="G28" s="64">
        <v>1133</v>
      </c>
      <c r="H28" s="24">
        <f t="shared" si="1"/>
        <v>0.80813124108416545</v>
      </c>
      <c r="I28" s="20">
        <v>46047</v>
      </c>
      <c r="J28" s="57">
        <v>3447.25</v>
      </c>
      <c r="K28" s="64">
        <v>403.32</v>
      </c>
      <c r="L28" s="24">
        <f t="shared" si="2"/>
        <v>0.11699760678801943</v>
      </c>
      <c r="M28" s="20">
        <v>46047</v>
      </c>
      <c r="N28" s="57">
        <v>4826</v>
      </c>
      <c r="O28" s="57">
        <v>309.74</v>
      </c>
      <c r="P28" s="24">
        <f t="shared" si="3"/>
        <v>6.4181516784086207E-2</v>
      </c>
    </row>
    <row r="29" spans="1:16" x14ac:dyDescent="0.6">
      <c r="A29" s="20">
        <v>46048</v>
      </c>
      <c r="B29" s="57">
        <v>25600.31</v>
      </c>
      <c r="C29" s="57">
        <v>3331.16</v>
      </c>
      <c r="D29" s="24">
        <f t="shared" si="0"/>
        <v>0.13012186180557969</v>
      </c>
      <c r="E29" s="20">
        <v>46048</v>
      </c>
      <c r="F29" s="64">
        <v>2699</v>
      </c>
      <c r="G29" s="64">
        <v>1141</v>
      </c>
      <c r="H29" s="24">
        <v>0</v>
      </c>
      <c r="I29" s="20">
        <v>46048</v>
      </c>
      <c r="J29" s="57">
        <v>5775.6</v>
      </c>
      <c r="K29" s="64">
        <v>406.98</v>
      </c>
      <c r="L29" s="24">
        <v>0</v>
      </c>
      <c r="M29" s="20">
        <v>46048</v>
      </c>
      <c r="N29" s="57">
        <v>12451</v>
      </c>
      <c r="O29" s="57">
        <v>976</v>
      </c>
      <c r="P29" s="24">
        <f t="shared" si="3"/>
        <v>7.838727813027066E-2</v>
      </c>
    </row>
    <row r="30" spans="1:16" x14ac:dyDescent="0.6">
      <c r="A30" s="20">
        <v>46049</v>
      </c>
      <c r="B30" s="57">
        <v>20512.12</v>
      </c>
      <c r="C30" s="57">
        <v>3725.45</v>
      </c>
      <c r="D30" s="24">
        <f t="shared" si="0"/>
        <v>0.18162188988753966</v>
      </c>
      <c r="E30" s="20">
        <v>46049</v>
      </c>
      <c r="F30" s="64">
        <v>3551</v>
      </c>
      <c r="G30" s="64">
        <v>929</v>
      </c>
      <c r="H30" s="24">
        <v>0</v>
      </c>
      <c r="I30" s="20">
        <v>46049</v>
      </c>
      <c r="J30" s="57">
        <v>2934.7</v>
      </c>
      <c r="K30" s="64">
        <v>309.83999999999997</v>
      </c>
      <c r="L30" s="24">
        <f t="shared" si="2"/>
        <v>0.10557808293863086</v>
      </c>
      <c r="M30" s="20">
        <v>46049</v>
      </c>
      <c r="N30" s="57">
        <v>14132</v>
      </c>
      <c r="O30" s="57">
        <v>628.19000000000005</v>
      </c>
      <c r="P30" s="24">
        <f t="shared" si="3"/>
        <v>4.4451599207472409E-2</v>
      </c>
    </row>
    <row r="31" spans="1:16" x14ac:dyDescent="0.6">
      <c r="A31" s="20">
        <v>46050</v>
      </c>
      <c r="B31" s="63">
        <v>3518.19</v>
      </c>
      <c r="C31" s="63">
        <v>21698.23</v>
      </c>
      <c r="D31" s="24">
        <f t="shared" si="0"/>
        <v>6.1674412126690141</v>
      </c>
      <c r="E31" s="20">
        <v>46050</v>
      </c>
      <c r="F31" s="57">
        <v>2586</v>
      </c>
      <c r="G31" s="64">
        <v>440.28</v>
      </c>
      <c r="H31" s="24">
        <f t="shared" si="1"/>
        <v>0.17025522041763341</v>
      </c>
      <c r="I31" s="20">
        <v>46050</v>
      </c>
      <c r="J31" s="57">
        <v>2872.95</v>
      </c>
      <c r="K31" s="64">
        <v>2872</v>
      </c>
      <c r="L31" s="24">
        <v>0</v>
      </c>
      <c r="M31" s="20">
        <v>46050</v>
      </c>
      <c r="N31" s="63">
        <v>6980</v>
      </c>
      <c r="O31" s="63">
        <v>1207.97</v>
      </c>
      <c r="P31" s="24">
        <f t="shared" si="3"/>
        <v>0.17306160458452721</v>
      </c>
    </row>
    <row r="32" spans="1:16" x14ac:dyDescent="0.6">
      <c r="A32" s="20">
        <v>46051</v>
      </c>
      <c r="B32" s="63">
        <v>26107.98</v>
      </c>
      <c r="C32" s="63">
        <v>3240.2</v>
      </c>
      <c r="D32" s="24">
        <f t="shared" si="0"/>
        <v>0.1241076483128913</v>
      </c>
      <c r="E32" s="20">
        <v>46051</v>
      </c>
      <c r="F32" s="57">
        <v>1212</v>
      </c>
      <c r="G32" s="64">
        <v>219</v>
      </c>
      <c r="H32" s="24">
        <v>0</v>
      </c>
      <c r="I32" s="20">
        <v>46051</v>
      </c>
      <c r="J32" s="57">
        <v>1323</v>
      </c>
      <c r="K32" s="64">
        <v>384.59</v>
      </c>
      <c r="L32" s="24">
        <f t="shared" si="2"/>
        <v>0.29069538926681782</v>
      </c>
      <c r="M32" s="20">
        <v>46051</v>
      </c>
      <c r="N32" s="63">
        <v>6023</v>
      </c>
      <c r="O32" s="63">
        <v>1137.5999999999999</v>
      </c>
      <c r="P32" s="24">
        <f t="shared" si="3"/>
        <v>0.18887597542752779</v>
      </c>
    </row>
    <row r="33" spans="1:16 16384:16384" x14ac:dyDescent="0.6">
      <c r="A33" s="20">
        <v>46052</v>
      </c>
      <c r="B33" s="63">
        <v>31309.96</v>
      </c>
      <c r="C33" s="63">
        <v>5000</v>
      </c>
      <c r="D33" s="24">
        <v>0</v>
      </c>
      <c r="E33" s="20">
        <v>46052</v>
      </c>
      <c r="F33" s="57">
        <v>1144</v>
      </c>
      <c r="G33" s="64">
        <v>371</v>
      </c>
      <c r="H33" s="24">
        <v>0</v>
      </c>
      <c r="I33" s="20">
        <v>46052</v>
      </c>
      <c r="J33" s="57">
        <v>4245</v>
      </c>
      <c r="K33" s="64">
        <v>100.16</v>
      </c>
      <c r="L33" s="24">
        <v>0</v>
      </c>
      <c r="M33" s="20">
        <v>46052</v>
      </c>
      <c r="N33" s="63">
        <v>6832</v>
      </c>
      <c r="O33" s="63">
        <v>1434.86</v>
      </c>
      <c r="P33" s="24">
        <f t="shared" si="3"/>
        <v>0.21002049180327867</v>
      </c>
    </row>
    <row r="34" spans="1:16 16384:16384" x14ac:dyDescent="0.6">
      <c r="A34" s="20">
        <v>46053</v>
      </c>
      <c r="B34" s="63">
        <v>24134.34</v>
      </c>
      <c r="C34" s="63">
        <v>3433.3</v>
      </c>
      <c r="D34" s="24">
        <v>0</v>
      </c>
      <c r="E34" s="20">
        <v>46053</v>
      </c>
      <c r="F34" s="64">
        <v>1585</v>
      </c>
      <c r="G34" s="64">
        <v>1055.5999999999999</v>
      </c>
      <c r="H34" s="24">
        <v>0</v>
      </c>
      <c r="I34" s="20">
        <v>46053</v>
      </c>
      <c r="J34" s="64">
        <v>3143.4</v>
      </c>
      <c r="K34" s="64">
        <v>0</v>
      </c>
      <c r="L34" s="24">
        <v>0</v>
      </c>
      <c r="M34" s="20">
        <v>46053</v>
      </c>
      <c r="N34" s="63">
        <v>11840</v>
      </c>
      <c r="O34" s="63">
        <v>1981.26</v>
      </c>
      <c r="P34" s="24">
        <f t="shared" si="3"/>
        <v>0.16733614864864865</v>
      </c>
    </row>
    <row r="35" spans="1:16 16384:16384" s="17" customFormat="1" ht="27" thickBot="1" x14ac:dyDescent="0.75">
      <c r="A35" s="16" t="s">
        <v>10</v>
      </c>
      <c r="B35" s="59">
        <f>SUM(B4:B34)</f>
        <v>1592536.8500000003</v>
      </c>
      <c r="C35" s="59">
        <f t="shared" ref="C35" si="4">SUM(C4:C34)</f>
        <v>219910.04999999996</v>
      </c>
      <c r="D35" s="15" t="s">
        <v>40</v>
      </c>
      <c r="E35" s="16" t="s">
        <v>10</v>
      </c>
      <c r="F35" s="59">
        <f>SUM(F4:F34)</f>
        <v>74677</v>
      </c>
      <c r="G35" s="59">
        <f t="shared" ref="G35" si="5">SUM(G4:G34)</f>
        <v>23083.879999999997</v>
      </c>
      <c r="H35" s="15" t="s">
        <v>40</v>
      </c>
      <c r="I35" s="16" t="s">
        <v>10</v>
      </c>
      <c r="J35" s="59">
        <f>SUM(J4:J34)</f>
        <v>135333.12000000002</v>
      </c>
      <c r="K35" s="59">
        <f t="shared" ref="K35" si="6">SUM(K4:K34)</f>
        <v>12874.91</v>
      </c>
      <c r="L35" s="15" t="s">
        <v>40</v>
      </c>
      <c r="M35" s="16" t="s">
        <v>10</v>
      </c>
      <c r="N35" s="59">
        <f>SUM(N4:N34)</f>
        <v>258195</v>
      </c>
      <c r="O35" s="59">
        <f t="shared" ref="O35" si="7">SUM(O4:O34)</f>
        <v>9713.98</v>
      </c>
      <c r="P35" s="15" t="s">
        <v>40</v>
      </c>
      <c r="XFD35" s="17">
        <f>SUM(A35:XFC35)</f>
        <v>2326324.7900000005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x14ac:dyDescent="0.7">
      <c r="A38" s="8"/>
      <c r="B38" s="115" t="s">
        <v>41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55">
        <f>+B35</f>
        <v>1592536.8500000003</v>
      </c>
      <c r="D40" s="55">
        <f>+C35</f>
        <v>219910.04999999996</v>
      </c>
      <c r="E40" s="34">
        <f>+D40/C40</f>
        <v>0.13808788788780613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56">
        <f>+F35</f>
        <v>74677</v>
      </c>
      <c r="D41" s="56">
        <f>+G35</f>
        <v>23083.879999999997</v>
      </c>
      <c r="E41" s="34">
        <f t="shared" ref="E41:E42" si="8">+D41/C41</f>
        <v>0.30911632765108399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56">
        <f>+J35</f>
        <v>135333.12000000002</v>
      </c>
      <c r="D42" s="56">
        <f>+K35</f>
        <v>12874.91</v>
      </c>
      <c r="E42" s="34">
        <f t="shared" si="8"/>
        <v>9.5134952922093258E-2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56">
        <f>+N35</f>
        <v>258195</v>
      </c>
      <c r="D43" s="56">
        <f>+O35</f>
        <v>9713.98</v>
      </c>
      <c r="E43" s="34">
        <f>+D43/C43</f>
        <v>3.7622649547822379E-2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61" t="s">
        <v>10</v>
      </c>
      <c r="C44" s="65">
        <f>SUM(C40:C43)</f>
        <v>2060741.9700000004</v>
      </c>
      <c r="D44" s="65">
        <f>SUM(D40:D43)</f>
        <v>265582.81999999995</v>
      </c>
      <c r="E44" s="46">
        <f>+D44/C44</f>
        <v>0.12887728006044341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7C84-F202-4585-BA82-B352D6CD1E6E}">
  <sheetPr>
    <tabColor rgb="FF00B0F0"/>
  </sheetPr>
  <dimension ref="A1:XFD70"/>
  <sheetViews>
    <sheetView zoomScale="85" zoomScaleNormal="85" workbookViewId="0">
      <pane xSplit="4" ySplit="3" topLeftCell="E31" activePane="bottomRight" state="frozen"/>
      <selection activeCell="F33" sqref="F33"/>
      <selection pane="topRight" activeCell="F33" sqref="F33"/>
      <selection pane="bottomLeft" activeCell="F33" sqref="F33"/>
      <selection pane="bottomRight" activeCell="K39" sqref="K38:K39"/>
    </sheetView>
  </sheetViews>
  <sheetFormatPr defaultRowHeight="23.4" x14ac:dyDescent="0.6"/>
  <cols>
    <col min="1" max="1" width="9.09765625" style="1" bestFit="1" customWidth="1"/>
    <col min="2" max="2" width="11.3984375" style="1" customWidth="1"/>
    <col min="3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796875" style="1"/>
    <col min="16384" max="16384" width="9" style="1" bestFit="1" customWidth="1"/>
  </cols>
  <sheetData>
    <row r="1" spans="1:16" ht="28.8" x14ac:dyDescent="0.75">
      <c r="A1" s="35" t="s">
        <v>49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46054</v>
      </c>
      <c r="B4" s="62">
        <v>20565.400000000001</v>
      </c>
      <c r="C4" s="57">
        <v>3347.4</v>
      </c>
      <c r="D4" s="24">
        <f>+C4/B4</f>
        <v>0.16276853355636164</v>
      </c>
      <c r="E4" s="20">
        <v>46054</v>
      </c>
      <c r="F4" s="57">
        <v>21098</v>
      </c>
      <c r="G4" s="57">
        <v>1733.63</v>
      </c>
      <c r="H4" s="24">
        <f>+G4/F4</f>
        <v>8.2170347900274915E-2</v>
      </c>
      <c r="I4" s="20">
        <v>46054</v>
      </c>
      <c r="J4" s="57">
        <v>6421.3</v>
      </c>
      <c r="K4" s="57"/>
      <c r="L4" s="24">
        <f>+K4/J4</f>
        <v>0</v>
      </c>
      <c r="M4" s="20">
        <v>46054</v>
      </c>
      <c r="N4" s="57">
        <v>2514</v>
      </c>
      <c r="O4" s="57">
        <v>1553.48</v>
      </c>
      <c r="P4" s="24">
        <f>+O4/N4</f>
        <v>0.61793158313444707</v>
      </c>
    </row>
    <row r="5" spans="1:16" x14ac:dyDescent="0.6">
      <c r="A5" s="20">
        <v>46055</v>
      </c>
      <c r="B5" s="62">
        <v>26418.400000000001</v>
      </c>
      <c r="C5" s="57">
        <v>4827.8999999999996</v>
      </c>
      <c r="D5" s="24">
        <f t="shared" ref="D5:D32" si="0">+C5/B5</f>
        <v>0.18274763043939071</v>
      </c>
      <c r="E5" s="20">
        <v>46055</v>
      </c>
      <c r="F5" s="57">
        <v>42958.8</v>
      </c>
      <c r="G5" s="57">
        <v>1362.5</v>
      </c>
      <c r="H5" s="24">
        <f t="shared" ref="H5:H31" si="1">+G5/F5</f>
        <v>3.1716435282177338E-2</v>
      </c>
      <c r="I5" s="20">
        <v>46055</v>
      </c>
      <c r="J5" s="57">
        <v>3540.1</v>
      </c>
      <c r="K5" s="57"/>
      <c r="L5" s="24">
        <f t="shared" ref="L5:L32" si="2">+K5/J5</f>
        <v>0</v>
      </c>
      <c r="M5" s="20">
        <v>46055</v>
      </c>
      <c r="N5" s="57">
        <v>9021</v>
      </c>
      <c r="O5" s="57">
        <v>2382.5100000000002</v>
      </c>
      <c r="P5" s="24">
        <f t="shared" ref="P5:P34" si="3">+O5/N5</f>
        <v>0.26410708347189893</v>
      </c>
    </row>
    <row r="6" spans="1:16" x14ac:dyDescent="0.6">
      <c r="A6" s="20">
        <v>46056</v>
      </c>
      <c r="B6" s="62">
        <v>25808.9</v>
      </c>
      <c r="C6" s="57">
        <v>4379</v>
      </c>
      <c r="D6" s="24">
        <f t="shared" si="0"/>
        <v>0.16967015254427736</v>
      </c>
      <c r="E6" s="20">
        <v>46056</v>
      </c>
      <c r="F6" s="57">
        <v>14753</v>
      </c>
      <c r="G6" s="57">
        <v>1381.57</v>
      </c>
      <c r="H6" s="24">
        <f t="shared" si="1"/>
        <v>9.364671592218532E-2</v>
      </c>
      <c r="I6" s="20">
        <v>46056</v>
      </c>
      <c r="J6" s="57">
        <v>11429</v>
      </c>
      <c r="K6" s="57"/>
      <c r="L6" s="24">
        <f t="shared" si="2"/>
        <v>0</v>
      </c>
      <c r="M6" s="20">
        <v>46056</v>
      </c>
      <c r="N6" s="57">
        <v>5608</v>
      </c>
      <c r="O6" s="57">
        <v>1813.97</v>
      </c>
      <c r="P6" s="24">
        <f t="shared" si="3"/>
        <v>0.3234611269614836</v>
      </c>
    </row>
    <row r="7" spans="1:16" x14ac:dyDescent="0.6">
      <c r="A7" s="20">
        <v>46057</v>
      </c>
      <c r="B7" s="62">
        <v>14678.9</v>
      </c>
      <c r="C7" s="57">
        <v>3977.4</v>
      </c>
      <c r="D7" s="24">
        <f t="shared" si="0"/>
        <v>0.27096035806497765</v>
      </c>
      <c r="E7" s="20">
        <v>46057</v>
      </c>
      <c r="F7" s="57">
        <v>18347.599999999999</v>
      </c>
      <c r="G7" s="57">
        <v>1256.0999999999999</v>
      </c>
      <c r="H7" s="24">
        <f t="shared" si="1"/>
        <v>6.846127013887375E-2</v>
      </c>
      <c r="I7" s="20">
        <v>46057</v>
      </c>
      <c r="J7" s="57">
        <v>4952.5</v>
      </c>
      <c r="K7" s="57"/>
      <c r="L7" s="24">
        <f t="shared" si="2"/>
        <v>0</v>
      </c>
      <c r="M7" s="20">
        <v>46057</v>
      </c>
      <c r="N7" s="57">
        <v>8337</v>
      </c>
      <c r="O7" s="57">
        <v>1443.39</v>
      </c>
      <c r="P7" s="24">
        <f t="shared" si="3"/>
        <v>0.17313062252608855</v>
      </c>
    </row>
    <row r="8" spans="1:16" x14ac:dyDescent="0.6">
      <c r="A8" s="20">
        <v>46058</v>
      </c>
      <c r="B8" s="62">
        <v>17390.2</v>
      </c>
      <c r="C8" s="57">
        <v>3550</v>
      </c>
      <c r="D8" s="24">
        <f t="shared" si="0"/>
        <v>0.20413796276063528</v>
      </c>
      <c r="E8" s="20">
        <v>46058</v>
      </c>
      <c r="F8" s="57">
        <v>14497.3</v>
      </c>
      <c r="G8" s="57">
        <v>1136.31</v>
      </c>
      <c r="H8" s="24">
        <f t="shared" si="1"/>
        <v>7.8380801942430661E-2</v>
      </c>
      <c r="I8" s="20">
        <v>46058</v>
      </c>
      <c r="J8" s="57">
        <v>2320.1999999999998</v>
      </c>
      <c r="K8" s="57"/>
      <c r="L8" s="24">
        <f t="shared" si="2"/>
        <v>0</v>
      </c>
      <c r="M8" s="20">
        <v>46058</v>
      </c>
      <c r="N8" s="57">
        <v>6590</v>
      </c>
      <c r="O8" s="57">
        <v>2117.4699999999998</v>
      </c>
      <c r="P8" s="24">
        <f t="shared" si="3"/>
        <v>0.32131562974203337</v>
      </c>
    </row>
    <row r="9" spans="1:16" x14ac:dyDescent="0.6">
      <c r="A9" s="20">
        <v>46059</v>
      </c>
      <c r="B9" s="62">
        <v>15811.3</v>
      </c>
      <c r="C9" s="57">
        <v>3228.5</v>
      </c>
      <c r="D9" s="24">
        <f t="shared" si="0"/>
        <v>0.20418940884051281</v>
      </c>
      <c r="E9" s="20">
        <v>46059</v>
      </c>
      <c r="F9" s="57">
        <v>6032</v>
      </c>
      <c r="G9" s="57">
        <v>1193.98</v>
      </c>
      <c r="H9" s="24">
        <f t="shared" si="1"/>
        <v>0.19794098143236075</v>
      </c>
      <c r="I9" s="20">
        <v>46059</v>
      </c>
      <c r="J9" s="57">
        <v>5370.8</v>
      </c>
      <c r="K9" s="57"/>
      <c r="L9" s="24">
        <f t="shared" si="2"/>
        <v>0</v>
      </c>
      <c r="M9" s="20">
        <v>46059</v>
      </c>
      <c r="N9" s="57">
        <v>9808</v>
      </c>
      <c r="O9" s="57">
        <v>1848.67</v>
      </c>
      <c r="P9" s="24">
        <f t="shared" si="3"/>
        <v>0.18848592985318108</v>
      </c>
    </row>
    <row r="10" spans="1:16" x14ac:dyDescent="0.6">
      <c r="A10" s="20">
        <v>46060</v>
      </c>
      <c r="B10" s="62">
        <v>25740</v>
      </c>
      <c r="C10" s="57">
        <v>3746.3</v>
      </c>
      <c r="D10" s="24">
        <f t="shared" si="0"/>
        <v>0.14554390054390054</v>
      </c>
      <c r="E10" s="20">
        <v>46060</v>
      </c>
      <c r="F10" s="57"/>
      <c r="G10" s="57">
        <v>1151.1099999999999</v>
      </c>
      <c r="H10" s="24" t="e">
        <f t="shared" si="1"/>
        <v>#DIV/0!</v>
      </c>
      <c r="I10" s="20">
        <v>46060</v>
      </c>
      <c r="J10" s="57">
        <v>7464.6</v>
      </c>
      <c r="K10" s="57"/>
      <c r="L10" s="24">
        <f t="shared" si="2"/>
        <v>0</v>
      </c>
      <c r="M10" s="20">
        <v>46060</v>
      </c>
      <c r="N10" s="57">
        <v>10471</v>
      </c>
      <c r="O10" s="57">
        <v>1865.07</v>
      </c>
      <c r="P10" s="24">
        <f t="shared" si="3"/>
        <v>0.17811765829433673</v>
      </c>
    </row>
    <row r="11" spans="1:16" x14ac:dyDescent="0.6">
      <c r="A11" s="20">
        <v>46061</v>
      </c>
      <c r="B11" s="62">
        <v>34808.6</v>
      </c>
      <c r="C11" s="57">
        <v>4227.3</v>
      </c>
      <c r="D11" s="24">
        <f>+C11/B11</f>
        <v>0.12144412587693847</v>
      </c>
      <c r="E11" s="20">
        <v>46061</v>
      </c>
      <c r="F11" s="57">
        <v>12302.3</v>
      </c>
      <c r="G11" s="57">
        <v>1193.1400000000001</v>
      </c>
      <c r="H11" s="24">
        <f t="shared" si="1"/>
        <v>9.6985116604212232E-2</v>
      </c>
      <c r="I11" s="20">
        <v>46061</v>
      </c>
      <c r="J11" s="57">
        <v>8364.2999999999993</v>
      </c>
      <c r="K11" s="57"/>
      <c r="L11" s="24">
        <f t="shared" si="2"/>
        <v>0</v>
      </c>
      <c r="M11" s="20">
        <v>46061</v>
      </c>
      <c r="N11" s="57">
        <v>9091</v>
      </c>
      <c r="O11" s="57">
        <v>1539.92</v>
      </c>
      <c r="P11" s="24">
        <f t="shared" si="3"/>
        <v>0.16938950610493897</v>
      </c>
    </row>
    <row r="12" spans="1:16" x14ac:dyDescent="0.6">
      <c r="A12" s="20">
        <v>46062</v>
      </c>
      <c r="B12" s="62">
        <v>34800.9</v>
      </c>
      <c r="C12" s="57">
        <v>4648.7</v>
      </c>
      <c r="D12" s="24">
        <f t="shared" si="0"/>
        <v>0.13357987868129848</v>
      </c>
      <c r="E12" s="20">
        <v>46062</v>
      </c>
      <c r="F12" s="57">
        <v>52642.2</v>
      </c>
      <c r="G12" s="57">
        <v>4168.25</v>
      </c>
      <c r="H12" s="24">
        <f t="shared" si="1"/>
        <v>7.9180771320347565E-2</v>
      </c>
      <c r="I12" s="20">
        <v>46062</v>
      </c>
      <c r="J12" s="57">
        <v>5057.5</v>
      </c>
      <c r="K12" s="57"/>
      <c r="L12" s="24">
        <f t="shared" si="2"/>
        <v>0</v>
      </c>
      <c r="M12" s="20">
        <v>46062</v>
      </c>
      <c r="N12" s="57">
        <v>14717</v>
      </c>
      <c r="O12" s="57">
        <v>2037.18</v>
      </c>
      <c r="P12" s="24">
        <f t="shared" si="3"/>
        <v>0.13842359176462596</v>
      </c>
    </row>
    <row r="13" spans="1:16" x14ac:dyDescent="0.6">
      <c r="A13" s="20">
        <v>46063</v>
      </c>
      <c r="B13" s="62">
        <v>19158.3</v>
      </c>
      <c r="C13" s="57">
        <v>2286.1</v>
      </c>
      <c r="D13" s="24">
        <f t="shared" si="0"/>
        <v>0.11932687138211637</v>
      </c>
      <c r="E13" s="20">
        <v>46063</v>
      </c>
      <c r="F13" s="57">
        <v>20967</v>
      </c>
      <c r="G13" s="57">
        <v>1223.31</v>
      </c>
      <c r="H13" s="24">
        <f t="shared" si="1"/>
        <v>5.8344541422234941E-2</v>
      </c>
      <c r="I13" s="20">
        <v>46063</v>
      </c>
      <c r="J13" s="57">
        <v>7216.6</v>
      </c>
      <c r="K13" s="57"/>
      <c r="L13" s="24">
        <f t="shared" si="2"/>
        <v>0</v>
      </c>
      <c r="M13" s="20">
        <v>46063</v>
      </c>
      <c r="N13" s="57">
        <v>3945</v>
      </c>
      <c r="O13" s="57">
        <v>1074.8800000000001</v>
      </c>
      <c r="P13" s="24">
        <f t="shared" si="3"/>
        <v>0.2724664131812421</v>
      </c>
    </row>
    <row r="14" spans="1:16" x14ac:dyDescent="0.6">
      <c r="A14" s="20">
        <v>46064</v>
      </c>
      <c r="B14" s="62">
        <v>34064.300000000003</v>
      </c>
      <c r="C14" s="57">
        <v>4985.6000000000004</v>
      </c>
      <c r="D14" s="24">
        <f t="shared" si="0"/>
        <v>0.14635850435793485</v>
      </c>
      <c r="E14" s="20">
        <v>46064</v>
      </c>
      <c r="F14" s="57">
        <v>215614</v>
      </c>
      <c r="G14" s="57">
        <v>2004.06</v>
      </c>
      <c r="H14" s="24">
        <f t="shared" si="1"/>
        <v>9.2946654669919387E-3</v>
      </c>
      <c r="I14" s="20">
        <v>46064</v>
      </c>
      <c r="J14" s="57">
        <v>5998.6</v>
      </c>
      <c r="K14" s="57">
        <v>188</v>
      </c>
      <c r="L14" s="24">
        <f t="shared" si="2"/>
        <v>3.1340646150768509E-2</v>
      </c>
      <c r="M14" s="20">
        <v>46064</v>
      </c>
      <c r="N14" s="57">
        <v>11734</v>
      </c>
      <c r="O14" s="57">
        <v>1243.8499999999999</v>
      </c>
      <c r="P14" s="24">
        <f t="shared" si="3"/>
        <v>0.10600392023180501</v>
      </c>
    </row>
    <row r="15" spans="1:16" x14ac:dyDescent="0.6">
      <c r="A15" s="20">
        <v>46065</v>
      </c>
      <c r="B15" s="62">
        <v>27438.6</v>
      </c>
      <c r="C15" s="57">
        <v>5120.7</v>
      </c>
      <c r="D15" s="24">
        <f t="shared" si="0"/>
        <v>0.18662395311714156</v>
      </c>
      <c r="E15" s="20">
        <v>46065</v>
      </c>
      <c r="F15" s="57">
        <v>13862</v>
      </c>
      <c r="G15" s="57">
        <v>2332.3000000000002</v>
      </c>
      <c r="H15" s="24">
        <f t="shared" si="1"/>
        <v>0.16825133458375416</v>
      </c>
      <c r="I15" s="20">
        <v>46065</v>
      </c>
      <c r="J15" s="57">
        <v>10156.700000000001</v>
      </c>
      <c r="K15" s="57">
        <v>1214.4000000000001</v>
      </c>
      <c r="L15" s="24">
        <f t="shared" si="2"/>
        <v>0.11956639459667018</v>
      </c>
      <c r="M15" s="20">
        <v>46065</v>
      </c>
      <c r="N15" s="57">
        <v>12039</v>
      </c>
      <c r="O15" s="57">
        <v>1312.79</v>
      </c>
      <c r="P15" s="24">
        <f t="shared" si="3"/>
        <v>0.10904477116039538</v>
      </c>
    </row>
    <row r="16" spans="1:16" x14ac:dyDescent="0.6">
      <c r="A16" s="20">
        <v>46066</v>
      </c>
      <c r="B16" s="62">
        <v>24839.9</v>
      </c>
      <c r="C16" s="57">
        <v>5694.4</v>
      </c>
      <c r="D16" s="24">
        <f t="shared" si="0"/>
        <v>0.22924407908244393</v>
      </c>
      <c r="E16" s="20">
        <v>46066</v>
      </c>
      <c r="F16" s="57">
        <v>6352.6</v>
      </c>
      <c r="G16" s="57">
        <v>3095.97</v>
      </c>
      <c r="H16" s="24">
        <f t="shared" si="1"/>
        <v>0.4873547838680225</v>
      </c>
      <c r="I16" s="20">
        <v>46066</v>
      </c>
      <c r="J16" s="57">
        <v>9889.2999999999993</v>
      </c>
      <c r="K16" s="57">
        <v>1186</v>
      </c>
      <c r="L16" s="24">
        <f t="shared" si="2"/>
        <v>0.11992759851556734</v>
      </c>
      <c r="M16" s="20">
        <v>46066</v>
      </c>
      <c r="N16" s="57">
        <v>7567</v>
      </c>
      <c r="O16" s="57">
        <v>1358.78</v>
      </c>
      <c r="P16" s="24">
        <f t="shared" si="3"/>
        <v>0.17956653891899035</v>
      </c>
    </row>
    <row r="17" spans="1:16" x14ac:dyDescent="0.6">
      <c r="A17" s="20">
        <v>46067</v>
      </c>
      <c r="B17" s="62">
        <v>19343.3</v>
      </c>
      <c r="C17" s="57">
        <v>4460.6000000000004</v>
      </c>
      <c r="D17" s="24">
        <f t="shared" si="0"/>
        <v>0.23060181044599426</v>
      </c>
      <c r="E17" s="20">
        <v>46067</v>
      </c>
      <c r="F17" s="57">
        <v>8511</v>
      </c>
      <c r="G17" s="57">
        <v>4481.8900000000003</v>
      </c>
      <c r="H17" s="24">
        <f t="shared" si="1"/>
        <v>0.52659969451298327</v>
      </c>
      <c r="I17" s="20">
        <v>46067</v>
      </c>
      <c r="J17" s="57">
        <v>5230.5</v>
      </c>
      <c r="K17" s="57">
        <v>585.79999999999995</v>
      </c>
      <c r="L17" s="24">
        <f t="shared" si="2"/>
        <v>0.11199694101902304</v>
      </c>
      <c r="M17" s="20">
        <v>46067</v>
      </c>
      <c r="N17" s="57">
        <v>5210</v>
      </c>
      <c r="O17" s="57">
        <v>1358.78</v>
      </c>
      <c r="P17" s="24">
        <f t="shared" si="3"/>
        <v>0.26080230326295584</v>
      </c>
    </row>
    <row r="18" spans="1:16" x14ac:dyDescent="0.6">
      <c r="A18" s="20">
        <v>46068</v>
      </c>
      <c r="B18" s="62">
        <v>27896.5</v>
      </c>
      <c r="C18" s="57">
        <v>7215.8</v>
      </c>
      <c r="D18" s="24">
        <f t="shared" si="0"/>
        <v>0.25866327317046944</v>
      </c>
      <c r="E18" s="20">
        <v>46068</v>
      </c>
      <c r="F18" s="57">
        <v>33066</v>
      </c>
      <c r="G18" s="57">
        <v>1387.96</v>
      </c>
      <c r="H18" s="24">
        <f t="shared" si="1"/>
        <v>4.1975443053287369E-2</v>
      </c>
      <c r="I18" s="20">
        <v>46068</v>
      </c>
      <c r="J18" s="57">
        <v>4716.6000000000004</v>
      </c>
      <c r="K18" s="57">
        <v>532.70000000000005</v>
      </c>
      <c r="L18" s="24">
        <f t="shared" si="2"/>
        <v>0.11294152567527456</v>
      </c>
      <c r="M18" s="20">
        <v>46068</v>
      </c>
      <c r="N18" s="57">
        <v>11412</v>
      </c>
      <c r="O18" s="57">
        <v>1507.89</v>
      </c>
      <c r="P18" s="24">
        <f t="shared" si="3"/>
        <v>0.13213196635120927</v>
      </c>
    </row>
    <row r="19" spans="1:16" x14ac:dyDescent="0.6">
      <c r="A19" s="20">
        <v>46069</v>
      </c>
      <c r="B19" s="62">
        <v>24880.2</v>
      </c>
      <c r="C19" s="57">
        <v>7374.3</v>
      </c>
      <c r="D19" s="24">
        <f t="shared" si="0"/>
        <v>0.29639231195890708</v>
      </c>
      <c r="E19" s="20">
        <v>46069</v>
      </c>
      <c r="F19" s="57">
        <v>32295.5</v>
      </c>
      <c r="G19" s="57">
        <v>3654.44</v>
      </c>
      <c r="H19" s="24">
        <f t="shared" si="1"/>
        <v>0.11315632208821663</v>
      </c>
      <c r="I19" s="20">
        <v>46069</v>
      </c>
      <c r="J19" s="57">
        <v>2983.3</v>
      </c>
      <c r="K19" s="57">
        <v>362.1</v>
      </c>
      <c r="L19" s="24">
        <f t="shared" si="2"/>
        <v>0.12137565782857909</v>
      </c>
      <c r="M19" s="20">
        <v>46069</v>
      </c>
      <c r="N19" s="57">
        <v>8042</v>
      </c>
      <c r="O19" s="57">
        <v>1649.65</v>
      </c>
      <c r="P19" s="24">
        <f t="shared" si="3"/>
        <v>0.20512932106441184</v>
      </c>
    </row>
    <row r="20" spans="1:16" x14ac:dyDescent="0.6">
      <c r="A20" s="20">
        <v>46070</v>
      </c>
      <c r="B20" s="62">
        <v>36192.5</v>
      </c>
      <c r="C20" s="57">
        <v>7418.3</v>
      </c>
      <c r="D20" s="24">
        <f t="shared" si="0"/>
        <v>0.20496788008565311</v>
      </c>
      <c r="E20" s="20">
        <v>46070</v>
      </c>
      <c r="F20" s="57">
        <v>9478.6</v>
      </c>
      <c r="G20" s="57">
        <v>3879.74</v>
      </c>
      <c r="H20" s="24">
        <f t="shared" si="1"/>
        <v>0.40931572173105729</v>
      </c>
      <c r="I20" s="20">
        <v>46070</v>
      </c>
      <c r="J20" s="57">
        <v>3173.1</v>
      </c>
      <c r="K20" s="57">
        <v>268.89999999999998</v>
      </c>
      <c r="L20" s="24">
        <f t="shared" si="2"/>
        <v>8.4743626106961636E-2</v>
      </c>
      <c r="M20" s="20">
        <v>46070</v>
      </c>
      <c r="N20" s="57">
        <v>8602</v>
      </c>
      <c r="O20" s="57">
        <v>1356.02</v>
      </c>
      <c r="P20" s="24">
        <f t="shared" si="3"/>
        <v>0.15764008370146476</v>
      </c>
    </row>
    <row r="21" spans="1:16" x14ac:dyDescent="0.6">
      <c r="A21" s="20">
        <v>46071</v>
      </c>
      <c r="B21" s="62">
        <v>23749.3</v>
      </c>
      <c r="C21" s="57">
        <v>4128.8999999999996</v>
      </c>
      <c r="D21" s="24">
        <f t="shared" si="0"/>
        <v>0.1738535451571204</v>
      </c>
      <c r="E21" s="20">
        <v>46071</v>
      </c>
      <c r="F21" s="57">
        <v>6397</v>
      </c>
      <c r="G21" s="57">
        <v>2470.23</v>
      </c>
      <c r="H21" s="24">
        <f t="shared" si="1"/>
        <v>0.38615444739721744</v>
      </c>
      <c r="I21" s="20">
        <v>46071</v>
      </c>
      <c r="J21" s="57">
        <v>2953.9</v>
      </c>
      <c r="K21" s="57">
        <v>379.6</v>
      </c>
      <c r="L21" s="24">
        <f t="shared" si="2"/>
        <v>0.12850807407156642</v>
      </c>
      <c r="M21" s="20">
        <v>46071</v>
      </c>
      <c r="N21" s="57">
        <v>9702</v>
      </c>
      <c r="O21" s="57">
        <v>1128.5</v>
      </c>
      <c r="P21" s="24">
        <f t="shared" si="3"/>
        <v>0.1163162234590806</v>
      </c>
    </row>
    <row r="22" spans="1:16" x14ac:dyDescent="0.6">
      <c r="A22" s="20">
        <v>46072</v>
      </c>
      <c r="B22" s="62">
        <v>28160</v>
      </c>
      <c r="C22" s="57">
        <v>5926.4</v>
      </c>
      <c r="D22" s="24">
        <f t="shared" si="0"/>
        <v>0.21045454545454545</v>
      </c>
      <c r="E22" s="20">
        <v>46072</v>
      </c>
      <c r="F22" s="57">
        <v>476003</v>
      </c>
      <c r="G22" s="57">
        <v>2044.75</v>
      </c>
      <c r="H22" s="24">
        <f t="shared" si="1"/>
        <v>4.2956662037844295E-3</v>
      </c>
      <c r="I22" s="20">
        <v>46072</v>
      </c>
      <c r="J22" s="57">
        <v>2896.4</v>
      </c>
      <c r="K22" s="57">
        <v>184</v>
      </c>
      <c r="L22" s="24">
        <f t="shared" si="2"/>
        <v>6.3527137135754724E-2</v>
      </c>
      <c r="M22" s="20">
        <v>46072</v>
      </c>
      <c r="N22" s="57">
        <v>8544</v>
      </c>
      <c r="O22" s="57">
        <v>1725.6</v>
      </c>
      <c r="P22" s="24">
        <f t="shared" si="3"/>
        <v>0.20196629213483144</v>
      </c>
    </row>
    <row r="23" spans="1:16" x14ac:dyDescent="0.6">
      <c r="A23" s="20">
        <v>46073</v>
      </c>
      <c r="B23" s="62">
        <v>22002.400000000001</v>
      </c>
      <c r="C23" s="57">
        <v>3955.5</v>
      </c>
      <c r="D23" s="24">
        <f t="shared" si="0"/>
        <v>0.17977584263534885</v>
      </c>
      <c r="E23" s="20">
        <v>46073</v>
      </c>
      <c r="F23" s="64">
        <v>11903.8</v>
      </c>
      <c r="G23" s="57">
        <v>1912.69</v>
      </c>
      <c r="H23" s="27">
        <v>0</v>
      </c>
      <c r="I23" s="20">
        <v>46073</v>
      </c>
      <c r="J23" s="57">
        <v>2560.1</v>
      </c>
      <c r="K23" s="57">
        <v>124.9</v>
      </c>
      <c r="L23" s="24">
        <f t="shared" si="2"/>
        <v>4.8787156751689389E-2</v>
      </c>
      <c r="M23" s="20">
        <v>46073</v>
      </c>
      <c r="N23" s="57">
        <v>10735</v>
      </c>
      <c r="O23" s="57">
        <v>1180.0999999999999</v>
      </c>
      <c r="P23" s="24">
        <f t="shared" si="3"/>
        <v>0.10993013507219375</v>
      </c>
    </row>
    <row r="24" spans="1:16" x14ac:dyDescent="0.6">
      <c r="A24" s="20">
        <v>46074</v>
      </c>
      <c r="B24" s="62">
        <v>17924.599999999999</v>
      </c>
      <c r="C24" s="57">
        <v>3196.9</v>
      </c>
      <c r="D24" s="24">
        <f t="shared" si="0"/>
        <v>0.1783526550104326</v>
      </c>
      <c r="E24" s="20">
        <v>46074</v>
      </c>
      <c r="F24" s="57">
        <v>3911</v>
      </c>
      <c r="G24" s="64">
        <v>2207.02</v>
      </c>
      <c r="H24" s="24">
        <f t="shared" si="1"/>
        <v>0.56431091792380461</v>
      </c>
      <c r="I24" s="20">
        <v>46074</v>
      </c>
      <c r="J24" s="57">
        <v>2017.6</v>
      </c>
      <c r="K24" s="57">
        <v>248.6</v>
      </c>
      <c r="L24" s="24">
        <f t="shared" si="2"/>
        <v>0.12321570182394925</v>
      </c>
      <c r="M24" s="20">
        <v>46074</v>
      </c>
      <c r="N24" s="57">
        <v>7022</v>
      </c>
      <c r="O24" s="57">
        <v>1468.4</v>
      </c>
      <c r="P24" s="24">
        <f t="shared" si="3"/>
        <v>0.20911421247507833</v>
      </c>
    </row>
    <row r="25" spans="1:16" x14ac:dyDescent="0.6">
      <c r="A25" s="20">
        <v>46075</v>
      </c>
      <c r="B25" s="62">
        <v>13083.6</v>
      </c>
      <c r="C25" s="57">
        <v>2680.2</v>
      </c>
      <c r="D25" s="24">
        <f t="shared" si="0"/>
        <v>0.20485187563056037</v>
      </c>
      <c r="E25" s="20">
        <v>46075</v>
      </c>
      <c r="F25" s="57">
        <v>42070.5</v>
      </c>
      <c r="G25" s="64">
        <v>2426.5100000000002</v>
      </c>
      <c r="H25" s="24">
        <f>+G25/F25</f>
        <v>5.7677232264888703E-2</v>
      </c>
      <c r="I25" s="20">
        <v>46075</v>
      </c>
      <c r="J25" s="57">
        <v>2699.3</v>
      </c>
      <c r="K25" s="64">
        <v>295.7</v>
      </c>
      <c r="L25" s="24">
        <f t="shared" si="2"/>
        <v>0.10954691957174081</v>
      </c>
      <c r="M25" s="20">
        <v>46075</v>
      </c>
      <c r="N25" s="57">
        <v>6044</v>
      </c>
      <c r="O25" s="57">
        <v>1435.9</v>
      </c>
      <c r="P25" s="24">
        <f t="shared" si="3"/>
        <v>0.2375744540039709</v>
      </c>
    </row>
    <row r="26" spans="1:16" x14ac:dyDescent="0.6">
      <c r="A26" s="20">
        <v>46076</v>
      </c>
      <c r="B26" s="62">
        <v>17887.3</v>
      </c>
      <c r="C26" s="57">
        <v>2833.2</v>
      </c>
      <c r="D26" s="24">
        <f t="shared" si="0"/>
        <v>0.15839170808338876</v>
      </c>
      <c r="E26" s="20">
        <v>46076</v>
      </c>
      <c r="F26" s="57">
        <v>29780</v>
      </c>
      <c r="G26" s="64">
        <v>96.21</v>
      </c>
      <c r="H26" s="24">
        <f t="shared" si="1"/>
        <v>3.2306917394224308E-3</v>
      </c>
      <c r="I26" s="20">
        <v>46076</v>
      </c>
      <c r="J26" s="57">
        <v>3315.2</v>
      </c>
      <c r="K26" s="64">
        <v>179.6</v>
      </c>
      <c r="L26" s="24">
        <f t="shared" si="2"/>
        <v>5.4174710424710427E-2</v>
      </c>
      <c r="M26" s="20">
        <v>46076</v>
      </c>
      <c r="N26" s="57">
        <v>8399</v>
      </c>
      <c r="O26" s="57">
        <v>1258.4000000000001</v>
      </c>
      <c r="P26" s="24">
        <f t="shared" si="3"/>
        <v>0.14982736040004763</v>
      </c>
    </row>
    <row r="27" spans="1:16" x14ac:dyDescent="0.6">
      <c r="A27" s="20">
        <v>46077</v>
      </c>
      <c r="B27" s="62">
        <v>26765.9</v>
      </c>
      <c r="C27" s="57">
        <v>3740.9</v>
      </c>
      <c r="D27" s="24">
        <f t="shared" si="0"/>
        <v>0.13976365450068931</v>
      </c>
      <c r="E27" s="20">
        <v>46077</v>
      </c>
      <c r="F27" s="57">
        <v>8548</v>
      </c>
      <c r="G27" s="64"/>
      <c r="H27" s="24">
        <f t="shared" si="1"/>
        <v>0</v>
      </c>
      <c r="I27" s="20">
        <v>46077</v>
      </c>
      <c r="J27" s="57">
        <v>3765</v>
      </c>
      <c r="K27" s="64">
        <v>215.5</v>
      </c>
      <c r="L27" s="24">
        <f t="shared" si="2"/>
        <v>5.7237715803452854E-2</v>
      </c>
      <c r="M27" s="20">
        <v>46077</v>
      </c>
      <c r="N27" s="57">
        <v>5599</v>
      </c>
      <c r="O27" s="57">
        <v>1111</v>
      </c>
      <c r="P27" s="24">
        <f t="shared" si="3"/>
        <v>0.19842829076620824</v>
      </c>
    </row>
    <row r="28" spans="1:16" x14ac:dyDescent="0.6">
      <c r="A28" s="20">
        <v>46078</v>
      </c>
      <c r="B28" s="57">
        <v>25231.8</v>
      </c>
      <c r="C28" s="57">
        <v>3322.6</v>
      </c>
      <c r="D28" s="24">
        <f t="shared" si="0"/>
        <v>0.13168303490040345</v>
      </c>
      <c r="E28" s="20">
        <v>46078</v>
      </c>
      <c r="F28" s="57">
        <v>2528</v>
      </c>
      <c r="G28" s="64"/>
      <c r="H28" s="24">
        <f t="shared" si="1"/>
        <v>0</v>
      </c>
      <c r="I28" s="20">
        <v>46078</v>
      </c>
      <c r="J28" s="57">
        <v>2944.2</v>
      </c>
      <c r="K28" s="64">
        <v>321.8</v>
      </c>
      <c r="L28" s="24">
        <f t="shared" si="2"/>
        <v>0.10929963997011073</v>
      </c>
      <c r="M28" s="20">
        <v>46078</v>
      </c>
      <c r="N28" s="57">
        <v>7991</v>
      </c>
      <c r="O28" s="57">
        <v>966.37</v>
      </c>
      <c r="P28" s="24">
        <f t="shared" si="3"/>
        <v>0.12093229883619072</v>
      </c>
    </row>
    <row r="29" spans="1:16" x14ac:dyDescent="0.6">
      <c r="A29" s="20">
        <v>46079</v>
      </c>
      <c r="B29" s="57">
        <v>20800.599999999999</v>
      </c>
      <c r="C29" s="57">
        <v>3502.6</v>
      </c>
      <c r="D29" s="24">
        <f t="shared" si="0"/>
        <v>0.16838937338346011</v>
      </c>
      <c r="E29" s="20">
        <v>46079</v>
      </c>
      <c r="F29" s="64">
        <v>6155</v>
      </c>
      <c r="G29" s="64">
        <v>3787.65</v>
      </c>
      <c r="H29" s="24">
        <v>0</v>
      </c>
      <c r="I29" s="20">
        <v>46079</v>
      </c>
      <c r="J29" s="57">
        <v>5993</v>
      </c>
      <c r="K29" s="64">
        <v>395.1</v>
      </c>
      <c r="L29" s="24">
        <v>0</v>
      </c>
      <c r="M29" s="20">
        <v>46079</v>
      </c>
      <c r="N29" s="57">
        <v>4946</v>
      </c>
      <c r="O29" s="57">
        <v>1100</v>
      </c>
      <c r="P29" s="24">
        <f t="shared" si="3"/>
        <v>0.22240194096239385</v>
      </c>
    </row>
    <row r="30" spans="1:16" x14ac:dyDescent="0.6">
      <c r="A30" s="20">
        <v>46080</v>
      </c>
      <c r="B30" s="57">
        <v>25382.2</v>
      </c>
      <c r="C30" s="57">
        <v>4176.5</v>
      </c>
      <c r="D30" s="24">
        <f t="shared" si="0"/>
        <v>0.16454444453199485</v>
      </c>
      <c r="E30" s="20">
        <v>46080</v>
      </c>
      <c r="F30" s="64">
        <v>4814.3</v>
      </c>
      <c r="G30" s="64">
        <v>4466.49</v>
      </c>
      <c r="H30" s="24">
        <v>0</v>
      </c>
      <c r="I30" s="20">
        <v>46080</v>
      </c>
      <c r="J30" s="57">
        <v>1084.3</v>
      </c>
      <c r="K30" s="64">
        <v>148.80000000000001</v>
      </c>
      <c r="L30" s="24">
        <f t="shared" si="2"/>
        <v>0.13723139352577701</v>
      </c>
      <c r="M30" s="20">
        <v>46080</v>
      </c>
      <c r="N30" s="57">
        <v>8906</v>
      </c>
      <c r="O30" s="57">
        <v>1300</v>
      </c>
      <c r="P30" s="24">
        <f t="shared" si="3"/>
        <v>0.14596900965641141</v>
      </c>
    </row>
    <row r="31" spans="1:16" x14ac:dyDescent="0.6">
      <c r="A31" s="20">
        <v>46081</v>
      </c>
      <c r="B31" s="63">
        <v>23539.3</v>
      </c>
      <c r="C31" s="63">
        <v>3910.2</v>
      </c>
      <c r="D31" s="24">
        <f t="shared" si="0"/>
        <v>0.16611369072147431</v>
      </c>
      <c r="E31" s="20">
        <v>46081</v>
      </c>
      <c r="F31" s="57">
        <v>7815.6</v>
      </c>
      <c r="G31" s="64">
        <v>4491.6099999999997</v>
      </c>
      <c r="H31" s="24">
        <f t="shared" si="1"/>
        <v>0.57469803981780021</v>
      </c>
      <c r="I31" s="20">
        <v>46081</v>
      </c>
      <c r="J31" s="57">
        <v>5232.1000000000004</v>
      </c>
      <c r="K31" s="64">
        <v>290.8</v>
      </c>
      <c r="L31" s="24">
        <v>0</v>
      </c>
      <c r="M31" s="20">
        <v>46081</v>
      </c>
      <c r="N31" s="63">
        <v>7378</v>
      </c>
      <c r="O31" s="63">
        <v>1300</v>
      </c>
      <c r="P31" s="24">
        <f t="shared" si="3"/>
        <v>0.17619951206288967</v>
      </c>
    </row>
    <row r="32" spans="1:16" x14ac:dyDescent="0.6">
      <c r="A32" s="20">
        <v>46082</v>
      </c>
      <c r="B32" s="63"/>
      <c r="C32" s="63"/>
      <c r="D32" s="24" t="e">
        <f t="shared" si="0"/>
        <v>#DIV/0!</v>
      </c>
      <c r="E32" s="20">
        <v>46082</v>
      </c>
      <c r="F32" s="57"/>
      <c r="G32" s="64"/>
      <c r="H32" s="24">
        <v>0</v>
      </c>
      <c r="I32" s="20">
        <v>46082</v>
      </c>
      <c r="J32" s="57"/>
      <c r="K32" s="64"/>
      <c r="L32" s="24" t="e">
        <f t="shared" si="2"/>
        <v>#DIV/0!</v>
      </c>
      <c r="M32" s="20">
        <v>46082</v>
      </c>
      <c r="N32" s="63"/>
      <c r="O32" s="63"/>
      <c r="P32" s="24" t="e">
        <f t="shared" si="3"/>
        <v>#DIV/0!</v>
      </c>
    </row>
    <row r="33" spans="1:16 16384:16384" x14ac:dyDescent="0.6">
      <c r="A33" s="20">
        <v>46083</v>
      </c>
      <c r="B33" s="63"/>
      <c r="C33" s="63"/>
      <c r="D33" s="24">
        <v>0</v>
      </c>
      <c r="E33" s="20">
        <v>46083</v>
      </c>
      <c r="F33" s="57"/>
      <c r="G33" s="64"/>
      <c r="H33" s="24">
        <v>0</v>
      </c>
      <c r="I33" s="20">
        <v>46083</v>
      </c>
      <c r="J33" s="57"/>
      <c r="K33" s="64"/>
      <c r="L33" s="24">
        <v>0</v>
      </c>
      <c r="M33" s="20">
        <v>46083</v>
      </c>
      <c r="N33" s="63"/>
      <c r="O33" s="63"/>
      <c r="P33" s="24">
        <v>0</v>
      </c>
    </row>
    <row r="34" spans="1:16 16384:16384" x14ac:dyDescent="0.6">
      <c r="A34" s="20">
        <v>46084</v>
      </c>
      <c r="B34" s="63"/>
      <c r="C34" s="63"/>
      <c r="D34" s="24">
        <v>0</v>
      </c>
      <c r="E34" s="20">
        <v>46084</v>
      </c>
      <c r="F34" s="64"/>
      <c r="G34" s="64"/>
      <c r="H34" s="24">
        <v>0</v>
      </c>
      <c r="I34" s="20">
        <v>46084</v>
      </c>
      <c r="J34" s="64"/>
      <c r="K34" s="64"/>
      <c r="L34" s="24">
        <v>0</v>
      </c>
      <c r="M34" s="20">
        <v>46084</v>
      </c>
      <c r="N34" s="63"/>
      <c r="O34" s="63"/>
      <c r="P34" s="24" t="e">
        <f t="shared" si="3"/>
        <v>#DIV/0!</v>
      </c>
    </row>
    <row r="35" spans="1:16 16384:16384" s="17" customFormat="1" ht="27" thickBot="1" x14ac:dyDescent="0.75">
      <c r="A35" s="16" t="s">
        <v>10</v>
      </c>
      <c r="B35" s="59">
        <f>SUM(B4:B34)</f>
        <v>674363.20000000007</v>
      </c>
      <c r="C35" s="59">
        <f t="shared" ref="C35" si="4">SUM(C4:C34)</f>
        <v>121862.19999999998</v>
      </c>
      <c r="D35" s="15" t="s">
        <v>40</v>
      </c>
      <c r="E35" s="16" t="s">
        <v>10</v>
      </c>
      <c r="F35" s="59">
        <f>SUM(F4:F34)</f>
        <v>1122704.1000000001</v>
      </c>
      <c r="G35" s="59">
        <f t="shared" ref="G35" si="5">SUM(G4:G34)</f>
        <v>60539.42</v>
      </c>
      <c r="H35" s="15" t="s">
        <v>40</v>
      </c>
      <c r="I35" s="16" t="s">
        <v>10</v>
      </c>
      <c r="J35" s="59">
        <f>SUM(J4:J34)</f>
        <v>139746.1</v>
      </c>
      <c r="K35" s="59">
        <f t="shared" ref="K35" si="6">SUM(K4:K34)</f>
        <v>7122.3000000000011</v>
      </c>
      <c r="L35" s="15" t="s">
        <v>40</v>
      </c>
      <c r="M35" s="16" t="s">
        <v>10</v>
      </c>
      <c r="N35" s="59">
        <f>SUM(N4:N34)</f>
        <v>229974</v>
      </c>
      <c r="O35" s="59">
        <f t="shared" ref="O35" si="7">SUM(O4:O34)</f>
        <v>41438.57</v>
      </c>
      <c r="P35" s="15" t="s">
        <v>40</v>
      </c>
      <c r="XFD35" s="17">
        <f>SUM(A35:XFC35)</f>
        <v>2397749.8899999997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customHeight="1" x14ac:dyDescent="0.7">
      <c r="A38" s="8"/>
      <c r="B38" s="115" t="s">
        <v>48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55">
        <f>+B35</f>
        <v>674363.20000000007</v>
      </c>
      <c r="D40" s="55">
        <f>+C35</f>
        <v>121862.19999999998</v>
      </c>
      <c r="E40" s="34">
        <f>+D40/C40</f>
        <v>0.18070707298381639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56">
        <f>+F35</f>
        <v>1122704.1000000001</v>
      </c>
      <c r="D41" s="56">
        <f>+G35</f>
        <v>60539.42</v>
      </c>
      <c r="E41" s="34">
        <f t="shared" ref="E41:E42" si="8">+D41/C41</f>
        <v>5.392286355772638E-2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56">
        <f>+J35</f>
        <v>139746.1</v>
      </c>
      <c r="D42" s="56">
        <f>+K35</f>
        <v>7122.3000000000011</v>
      </c>
      <c r="E42" s="34">
        <f t="shared" si="8"/>
        <v>5.096600191347022E-2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56">
        <f>+N35</f>
        <v>229974</v>
      </c>
      <c r="D43" s="56">
        <f>+O35</f>
        <v>41438.57</v>
      </c>
      <c r="E43" s="34">
        <f>+D43/C43</f>
        <v>0.18018806473775295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61" t="s">
        <v>10</v>
      </c>
      <c r="C44" s="65">
        <f>SUM(C40:C43)</f>
        <v>2166787.4000000004</v>
      </c>
      <c r="D44" s="65">
        <f>SUM(D40:D43)</f>
        <v>230962.49</v>
      </c>
      <c r="E44" s="46">
        <f>+D44/C44</f>
        <v>0.10659213266608433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43E0-70AA-4DD8-A6A7-C9625DE21C12}">
  <sheetPr>
    <tabColor rgb="FF00B0F0"/>
  </sheetPr>
  <dimension ref="A1:XFD70"/>
  <sheetViews>
    <sheetView zoomScale="85" zoomScaleNormal="85" workbookViewId="0">
      <pane xSplit="4" ySplit="3" topLeftCell="E28" activePane="bottomRight" state="frozen"/>
      <selection activeCell="C7" sqref="C7"/>
      <selection pane="topRight" activeCell="C7" sqref="C7"/>
      <selection pane="bottomLeft" activeCell="C7" sqref="C7"/>
      <selection pane="bottomRight" activeCell="K39" sqref="K39"/>
    </sheetView>
  </sheetViews>
  <sheetFormatPr defaultRowHeight="23.4" x14ac:dyDescent="0.6"/>
  <cols>
    <col min="1" max="1" width="9.09765625" style="1" bestFit="1" customWidth="1"/>
    <col min="2" max="2" width="11.3984375" style="1" customWidth="1"/>
    <col min="3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796875" style="1"/>
    <col min="16384" max="16384" width="9" style="1" bestFit="1" customWidth="1"/>
  </cols>
  <sheetData>
    <row r="1" spans="1:16" ht="28.8" x14ac:dyDescent="0.75">
      <c r="A1" s="35" t="s">
        <v>47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46082</v>
      </c>
      <c r="B4" s="62">
        <v>16584.099999999999</v>
      </c>
      <c r="C4" s="57">
        <v>4361.8</v>
      </c>
      <c r="D4" s="24">
        <f>+C4/B4</f>
        <v>0.26301095627739829</v>
      </c>
      <c r="E4" s="20">
        <v>46082</v>
      </c>
      <c r="F4" s="57">
        <v>22585.5</v>
      </c>
      <c r="G4" s="57">
        <v>3062.9</v>
      </c>
      <c r="H4" s="24">
        <f>+G4/F4</f>
        <v>0.13561355737087954</v>
      </c>
      <c r="I4" s="20">
        <v>46082</v>
      </c>
      <c r="J4" s="57">
        <v>4426.2</v>
      </c>
      <c r="K4" s="57">
        <v>443.5</v>
      </c>
      <c r="L4" s="24">
        <f>+K4/J4</f>
        <v>0.10019881614025575</v>
      </c>
      <c r="M4" s="20">
        <v>46082</v>
      </c>
      <c r="N4" s="57">
        <v>11054</v>
      </c>
      <c r="O4" s="57">
        <v>1262</v>
      </c>
      <c r="P4" s="24">
        <f>+O4/N4</f>
        <v>0.11416681744165008</v>
      </c>
    </row>
    <row r="5" spans="1:16" x14ac:dyDescent="0.6">
      <c r="A5" s="20">
        <v>46083</v>
      </c>
      <c r="B5" s="62">
        <v>16849.099999999999</v>
      </c>
      <c r="C5" s="57">
        <v>4990.2</v>
      </c>
      <c r="D5" s="24">
        <f t="shared" ref="D5:D32" si="0">+C5/B5</f>
        <v>0.29617012184627073</v>
      </c>
      <c r="E5" s="20">
        <v>46083</v>
      </c>
      <c r="F5" s="57">
        <v>31645.1</v>
      </c>
      <c r="G5" s="57">
        <v>2677.7</v>
      </c>
      <c r="H5" s="24">
        <f t="shared" ref="H5:H31" si="1">+G5/F5</f>
        <v>8.461657570998353E-2</v>
      </c>
      <c r="I5" s="20">
        <v>46083</v>
      </c>
      <c r="J5" s="57">
        <v>6507.2</v>
      </c>
      <c r="K5" s="57">
        <v>587.70000000000005</v>
      </c>
      <c r="L5" s="24">
        <f t="shared" ref="L5:L32" si="2">+K5/J5</f>
        <v>9.0315343004671755E-2</v>
      </c>
      <c r="M5" s="20">
        <v>46083</v>
      </c>
      <c r="N5" s="57">
        <v>10289</v>
      </c>
      <c r="O5" s="57">
        <v>1620.2</v>
      </c>
      <c r="P5" s="24">
        <f t="shared" ref="P5:P34" si="3">+O5/N5</f>
        <v>0.15746914180192439</v>
      </c>
    </row>
    <row r="6" spans="1:16" x14ac:dyDescent="0.6">
      <c r="A6" s="20">
        <v>46084</v>
      </c>
      <c r="B6" s="62">
        <v>19446.2</v>
      </c>
      <c r="C6" s="57">
        <v>7970</v>
      </c>
      <c r="D6" s="24">
        <f t="shared" si="0"/>
        <v>0.40984871080211044</v>
      </c>
      <c r="E6" s="20">
        <v>46084</v>
      </c>
      <c r="F6" s="57">
        <v>1472</v>
      </c>
      <c r="G6" s="57">
        <v>199.7</v>
      </c>
      <c r="H6" s="24">
        <f t="shared" si="1"/>
        <v>0.13566576086956522</v>
      </c>
      <c r="I6" s="20">
        <v>46084</v>
      </c>
      <c r="J6" s="57">
        <v>8373.2000000000007</v>
      </c>
      <c r="K6" s="57">
        <v>584.29999999999995</v>
      </c>
      <c r="L6" s="24">
        <f t="shared" si="2"/>
        <v>6.978216213633974E-2</v>
      </c>
      <c r="M6" s="20">
        <v>46084</v>
      </c>
      <c r="N6" s="57">
        <v>12690</v>
      </c>
      <c r="O6" s="57">
        <v>1649.8</v>
      </c>
      <c r="P6" s="24">
        <f t="shared" si="3"/>
        <v>0.13000788022064619</v>
      </c>
    </row>
    <row r="7" spans="1:16" x14ac:dyDescent="0.6">
      <c r="A7" s="20">
        <v>46085</v>
      </c>
      <c r="B7" s="62">
        <v>9178.2000000000007</v>
      </c>
      <c r="C7" s="57">
        <v>2755</v>
      </c>
      <c r="D7" s="24">
        <f t="shared" si="0"/>
        <v>0.30016778889106793</v>
      </c>
      <c r="E7" s="20">
        <v>46085</v>
      </c>
      <c r="F7" s="57">
        <v>637.70000000000005</v>
      </c>
      <c r="G7" s="57"/>
      <c r="H7" s="24">
        <f t="shared" si="1"/>
        <v>0</v>
      </c>
      <c r="I7" s="20">
        <v>46085</v>
      </c>
      <c r="J7" s="57">
        <v>4277.5</v>
      </c>
      <c r="K7" s="57">
        <v>676.1</v>
      </c>
      <c r="L7" s="24">
        <f t="shared" si="2"/>
        <v>0.15805961426066628</v>
      </c>
      <c r="M7" s="20">
        <v>46085</v>
      </c>
      <c r="N7" s="57">
        <v>7022</v>
      </c>
      <c r="O7" s="57">
        <v>1125.0999999999999</v>
      </c>
      <c r="P7" s="24">
        <f t="shared" si="3"/>
        <v>0.16022500712047849</v>
      </c>
    </row>
    <row r="8" spans="1:16" x14ac:dyDescent="0.6">
      <c r="A8" s="20">
        <v>46086</v>
      </c>
      <c r="B8" s="62">
        <v>23507.3</v>
      </c>
      <c r="C8" s="57">
        <v>7998.1</v>
      </c>
      <c r="D8" s="24">
        <f t="shared" si="0"/>
        <v>0.34023898959046767</v>
      </c>
      <c r="E8" s="20">
        <v>46086</v>
      </c>
      <c r="F8" s="57">
        <v>3680</v>
      </c>
      <c r="G8" s="57">
        <v>3506.4</v>
      </c>
      <c r="H8" s="24">
        <f t="shared" si="1"/>
        <v>0.95282608695652171</v>
      </c>
      <c r="I8" s="20">
        <v>46086</v>
      </c>
      <c r="J8" s="57">
        <v>7475.3</v>
      </c>
      <c r="K8" s="57">
        <v>871.4</v>
      </c>
      <c r="L8" s="24">
        <f t="shared" si="2"/>
        <v>0.11657057241849825</v>
      </c>
      <c r="M8" s="20">
        <v>46086</v>
      </c>
      <c r="N8" s="57">
        <v>11249</v>
      </c>
      <c r="O8" s="57">
        <v>1658.4</v>
      </c>
      <c r="P8" s="24">
        <f t="shared" si="3"/>
        <v>0.14742643790559162</v>
      </c>
    </row>
    <row r="9" spans="1:16" x14ac:dyDescent="0.6">
      <c r="A9" s="20">
        <v>46087</v>
      </c>
      <c r="B9" s="62">
        <v>11812.1</v>
      </c>
      <c r="C9" s="57">
        <v>7527.4</v>
      </c>
      <c r="D9" s="24">
        <f t="shared" si="0"/>
        <v>0.6372617908754582</v>
      </c>
      <c r="E9" s="20">
        <v>46087</v>
      </c>
      <c r="F9" s="57">
        <v>12727</v>
      </c>
      <c r="G9" s="57">
        <v>4332.7</v>
      </c>
      <c r="H9" s="24">
        <f t="shared" si="1"/>
        <v>0.34043372357979096</v>
      </c>
      <c r="I9" s="20">
        <v>46087</v>
      </c>
      <c r="J9" s="57">
        <v>2347</v>
      </c>
      <c r="K9" s="57">
        <v>560</v>
      </c>
      <c r="L9" s="24">
        <f t="shared" si="2"/>
        <v>0.23860247123988071</v>
      </c>
      <c r="M9" s="20">
        <v>46087</v>
      </c>
      <c r="N9" s="57">
        <v>7723</v>
      </c>
      <c r="O9" s="57">
        <v>1143</v>
      </c>
      <c r="P9" s="24">
        <f t="shared" si="3"/>
        <v>0.14799948206655444</v>
      </c>
    </row>
    <row r="10" spans="1:16" x14ac:dyDescent="0.6">
      <c r="A10" s="20">
        <v>46088</v>
      </c>
      <c r="B10" s="62">
        <v>11463.7</v>
      </c>
      <c r="C10" s="57">
        <v>4854.5</v>
      </c>
      <c r="D10" s="24">
        <f t="shared" si="0"/>
        <v>0.42346711794621278</v>
      </c>
      <c r="E10" s="20">
        <v>46088</v>
      </c>
      <c r="F10" s="57">
        <v>12727</v>
      </c>
      <c r="G10" s="57">
        <v>4256</v>
      </c>
      <c r="H10" s="24">
        <f t="shared" si="1"/>
        <v>0.33440716586784003</v>
      </c>
      <c r="I10" s="20">
        <v>46088</v>
      </c>
      <c r="J10" s="57">
        <v>3190.3</v>
      </c>
      <c r="K10" s="57">
        <v>573.9</v>
      </c>
      <c r="L10" s="24">
        <f t="shared" si="2"/>
        <v>0.17988903864840294</v>
      </c>
      <c r="M10" s="20">
        <v>46088</v>
      </c>
      <c r="N10" s="57">
        <v>5907</v>
      </c>
      <c r="O10" s="57">
        <v>1148</v>
      </c>
      <c r="P10" s="24">
        <f t="shared" si="3"/>
        <v>0.19434569155239545</v>
      </c>
    </row>
    <row r="11" spans="1:16" x14ac:dyDescent="0.6">
      <c r="A11" s="20">
        <v>46089</v>
      </c>
      <c r="B11" s="62">
        <v>14620.2</v>
      </c>
      <c r="C11" s="57">
        <v>5591.5</v>
      </c>
      <c r="D11" s="24">
        <f>+C11/B11</f>
        <v>0.38245030847731221</v>
      </c>
      <c r="E11" s="20">
        <v>46089</v>
      </c>
      <c r="F11" s="57">
        <v>34005</v>
      </c>
      <c r="G11" s="57">
        <v>3058.6</v>
      </c>
      <c r="H11" s="24">
        <f t="shared" si="1"/>
        <v>8.9945596235847664E-2</v>
      </c>
      <c r="I11" s="20">
        <v>46089</v>
      </c>
      <c r="J11" s="57">
        <v>3473.2</v>
      </c>
      <c r="K11" s="57">
        <v>508.6</v>
      </c>
      <c r="L11" s="24">
        <f t="shared" si="2"/>
        <v>0.14643556374524935</v>
      </c>
      <c r="M11" s="20">
        <v>46089</v>
      </c>
      <c r="N11" s="57">
        <v>7173</v>
      </c>
      <c r="O11" s="57">
        <v>1022.1</v>
      </c>
      <c r="P11" s="24">
        <f t="shared" si="3"/>
        <v>0.14249268088665831</v>
      </c>
    </row>
    <row r="12" spans="1:16" x14ac:dyDescent="0.6">
      <c r="A12" s="20">
        <v>46090</v>
      </c>
      <c r="B12" s="62">
        <v>7201.9</v>
      </c>
      <c r="C12" s="57">
        <v>4697.7</v>
      </c>
      <c r="D12" s="24">
        <f t="shared" si="0"/>
        <v>0.65228620225218348</v>
      </c>
      <c r="E12" s="20">
        <v>46090</v>
      </c>
      <c r="F12" s="57">
        <v>19495.900000000001</v>
      </c>
      <c r="G12" s="57">
        <v>134.4</v>
      </c>
      <c r="H12" s="24">
        <f t="shared" si="1"/>
        <v>6.8937571489390073E-3</v>
      </c>
      <c r="I12" s="20">
        <v>46090</v>
      </c>
      <c r="J12" s="57">
        <v>8169.9</v>
      </c>
      <c r="K12" s="57">
        <v>347.9</v>
      </c>
      <c r="L12" s="24">
        <f t="shared" si="2"/>
        <v>4.2583140552515941E-2</v>
      </c>
      <c r="M12" s="20">
        <v>46090</v>
      </c>
      <c r="N12" s="57">
        <v>16335</v>
      </c>
      <c r="O12" s="57">
        <v>1628.8</v>
      </c>
      <c r="P12" s="24">
        <f t="shared" si="3"/>
        <v>9.97122742577288E-2</v>
      </c>
    </row>
    <row r="13" spans="1:16" x14ac:dyDescent="0.6">
      <c r="A13" s="20">
        <v>46091</v>
      </c>
      <c r="B13" s="62">
        <v>15679.8</v>
      </c>
      <c r="C13" s="57">
        <v>5916.7</v>
      </c>
      <c r="D13" s="24">
        <f t="shared" si="0"/>
        <v>0.37734537430324366</v>
      </c>
      <c r="E13" s="20">
        <v>46091</v>
      </c>
      <c r="F13" s="57">
        <v>5003</v>
      </c>
      <c r="G13" s="57">
        <v>819.6</v>
      </c>
      <c r="H13" s="24">
        <f t="shared" si="1"/>
        <v>0.16382170697581452</v>
      </c>
      <c r="I13" s="20">
        <v>46091</v>
      </c>
      <c r="J13" s="57">
        <v>4094</v>
      </c>
      <c r="K13" s="57">
        <v>571.70000000000005</v>
      </c>
      <c r="L13" s="24">
        <f t="shared" si="2"/>
        <v>0.13964338055691256</v>
      </c>
      <c r="M13" s="20">
        <v>46091</v>
      </c>
      <c r="N13" s="57">
        <v>8857</v>
      </c>
      <c r="O13" s="57">
        <v>1657.3</v>
      </c>
      <c r="P13" s="24">
        <f t="shared" si="3"/>
        <v>0.18711753415377666</v>
      </c>
    </row>
    <row r="14" spans="1:16" x14ac:dyDescent="0.6">
      <c r="A14" s="20">
        <v>46092</v>
      </c>
      <c r="B14" s="62">
        <v>14750.8</v>
      </c>
      <c r="C14" s="57">
        <v>4945.8999999999996</v>
      </c>
      <c r="D14" s="24">
        <f t="shared" si="0"/>
        <v>0.33529706863356562</v>
      </c>
      <c r="E14" s="20">
        <v>46092</v>
      </c>
      <c r="F14" s="57">
        <v>215</v>
      </c>
      <c r="G14" s="57">
        <v>1341.4</v>
      </c>
      <c r="H14" s="24">
        <f t="shared" si="1"/>
        <v>6.2390697674418609</v>
      </c>
      <c r="I14" s="20">
        <v>46092</v>
      </c>
      <c r="J14" s="57">
        <v>6045.2</v>
      </c>
      <c r="K14" s="57">
        <v>618.70000000000005</v>
      </c>
      <c r="L14" s="24">
        <f t="shared" si="2"/>
        <v>0.10234566267451864</v>
      </c>
      <c r="M14" s="20">
        <v>46092</v>
      </c>
      <c r="N14" s="57">
        <v>7306</v>
      </c>
      <c r="O14" s="57">
        <v>1203.8</v>
      </c>
      <c r="P14" s="24">
        <f t="shared" si="3"/>
        <v>0.16476868327402133</v>
      </c>
    </row>
    <row r="15" spans="1:16" x14ac:dyDescent="0.6">
      <c r="A15" s="20">
        <v>46093</v>
      </c>
      <c r="B15" s="62">
        <v>13347</v>
      </c>
      <c r="C15" s="57">
        <v>5552.2</v>
      </c>
      <c r="D15" s="24">
        <f t="shared" si="0"/>
        <v>0.41598861167303514</v>
      </c>
      <c r="E15" s="20">
        <v>46093</v>
      </c>
      <c r="F15" s="57">
        <v>3173</v>
      </c>
      <c r="G15" s="57">
        <v>1117.9000000000001</v>
      </c>
      <c r="H15" s="24">
        <f t="shared" si="1"/>
        <v>0.35231641979199496</v>
      </c>
      <c r="I15" s="20">
        <v>46093</v>
      </c>
      <c r="J15" s="57">
        <v>5642</v>
      </c>
      <c r="K15" s="57">
        <v>500.8</v>
      </c>
      <c r="L15" s="24">
        <f t="shared" si="2"/>
        <v>8.8762850053172637E-2</v>
      </c>
      <c r="M15" s="20">
        <v>46093</v>
      </c>
      <c r="N15" s="57">
        <v>10039</v>
      </c>
      <c r="O15" s="57">
        <v>1143</v>
      </c>
      <c r="P15" s="24">
        <f t="shared" si="3"/>
        <v>0.11385596174917821</v>
      </c>
    </row>
    <row r="16" spans="1:16" x14ac:dyDescent="0.6">
      <c r="A16" s="20">
        <v>46094</v>
      </c>
      <c r="B16" s="62">
        <v>18101.599999999999</v>
      </c>
      <c r="C16" s="57">
        <v>7612.4</v>
      </c>
      <c r="D16" s="24">
        <f t="shared" si="0"/>
        <v>0.42053741105758607</v>
      </c>
      <c r="E16" s="20">
        <v>46094</v>
      </c>
      <c r="F16" s="57">
        <v>1653</v>
      </c>
      <c r="G16" s="57">
        <v>1144.0999999999999</v>
      </c>
      <c r="H16" s="24">
        <f t="shared" si="1"/>
        <v>0.69213551119177252</v>
      </c>
      <c r="I16" s="20">
        <v>46094</v>
      </c>
      <c r="J16" s="57">
        <v>3617</v>
      </c>
      <c r="K16" s="57">
        <v>414.1</v>
      </c>
      <c r="L16" s="24">
        <f t="shared" si="2"/>
        <v>0.11448714404202379</v>
      </c>
      <c r="M16" s="20">
        <v>46094</v>
      </c>
      <c r="N16" s="57">
        <v>10952</v>
      </c>
      <c r="O16" s="57">
        <v>1379.5</v>
      </c>
      <c r="P16" s="24">
        <f t="shared" si="3"/>
        <v>0.12595872899926955</v>
      </c>
    </row>
    <row r="17" spans="1:16" x14ac:dyDescent="0.6">
      <c r="A17" s="20">
        <v>46095</v>
      </c>
      <c r="B17" s="62">
        <v>6024.3</v>
      </c>
      <c r="C17" s="57">
        <v>91.8</v>
      </c>
      <c r="D17" s="24">
        <f t="shared" si="0"/>
        <v>1.5238284945968825E-2</v>
      </c>
      <c r="E17" s="20">
        <v>46095</v>
      </c>
      <c r="F17" s="57">
        <v>14354</v>
      </c>
      <c r="G17" s="57">
        <v>843</v>
      </c>
      <c r="H17" s="24">
        <f t="shared" si="1"/>
        <v>5.8729274069945658E-2</v>
      </c>
      <c r="I17" s="20">
        <v>46095</v>
      </c>
      <c r="J17" s="57">
        <v>7940.6</v>
      </c>
      <c r="K17" s="57">
        <v>669.9</v>
      </c>
      <c r="L17" s="24">
        <f t="shared" si="2"/>
        <v>8.4363901972143163E-2</v>
      </c>
      <c r="M17" s="20">
        <v>46095</v>
      </c>
      <c r="N17" s="57">
        <v>18523</v>
      </c>
      <c r="O17" s="57">
        <v>1532.1</v>
      </c>
      <c r="P17" s="24">
        <f t="shared" si="3"/>
        <v>8.2713383361226578E-2</v>
      </c>
    </row>
    <row r="18" spans="1:16" x14ac:dyDescent="0.6">
      <c r="A18" s="20">
        <v>46096</v>
      </c>
      <c r="B18" s="62">
        <v>27046.1</v>
      </c>
      <c r="C18" s="57">
        <v>4968.8999999999996</v>
      </c>
      <c r="D18" s="24">
        <f t="shared" si="0"/>
        <v>0.18371964904366989</v>
      </c>
      <c r="E18" s="20">
        <v>46096</v>
      </c>
      <c r="F18" s="57">
        <v>30120.7</v>
      </c>
      <c r="G18" s="57">
        <v>1357.9</v>
      </c>
      <c r="H18" s="24">
        <f t="shared" si="1"/>
        <v>4.5081953606655893E-2</v>
      </c>
      <c r="I18" s="20">
        <v>46096</v>
      </c>
      <c r="J18" s="57">
        <v>4586.3999999999996</v>
      </c>
      <c r="K18" s="57">
        <v>641.29999999999995</v>
      </c>
      <c r="L18" s="24">
        <f t="shared" si="2"/>
        <v>0.13982644339787198</v>
      </c>
      <c r="M18" s="20">
        <v>46096</v>
      </c>
      <c r="N18" s="57">
        <v>9122</v>
      </c>
      <c r="O18" s="57">
        <v>1809.2</v>
      </c>
      <c r="P18" s="24">
        <f t="shared" si="3"/>
        <v>0.19833369875027407</v>
      </c>
    </row>
    <row r="19" spans="1:16" x14ac:dyDescent="0.6">
      <c r="A19" s="20">
        <v>46097</v>
      </c>
      <c r="B19" s="62">
        <v>22520.400000000001</v>
      </c>
      <c r="C19" s="57">
        <v>3188.5</v>
      </c>
      <c r="D19" s="24">
        <f t="shared" si="0"/>
        <v>0.14158274275767749</v>
      </c>
      <c r="E19" s="20">
        <v>46097</v>
      </c>
      <c r="F19" s="57">
        <v>23577.9</v>
      </c>
      <c r="G19" s="57">
        <v>1262.4000000000001</v>
      </c>
      <c r="H19" s="24">
        <f t="shared" si="1"/>
        <v>5.354166401587928E-2</v>
      </c>
      <c r="I19" s="20">
        <v>46097</v>
      </c>
      <c r="J19" s="57">
        <v>8847.2000000000007</v>
      </c>
      <c r="K19" s="57">
        <v>737.1</v>
      </c>
      <c r="L19" s="24">
        <f t="shared" si="2"/>
        <v>8.3314494981463053E-2</v>
      </c>
      <c r="M19" s="20">
        <v>46097</v>
      </c>
      <c r="N19" s="57">
        <v>6287</v>
      </c>
      <c r="O19" s="57">
        <v>1057.2</v>
      </c>
      <c r="P19" s="24">
        <f t="shared" si="3"/>
        <v>0.16815651344043264</v>
      </c>
    </row>
    <row r="20" spans="1:16" x14ac:dyDescent="0.6">
      <c r="A20" s="20">
        <v>46098</v>
      </c>
      <c r="B20" s="62">
        <v>21196.2</v>
      </c>
      <c r="C20" s="57">
        <v>3666.5</v>
      </c>
      <c r="D20" s="24">
        <f t="shared" si="0"/>
        <v>0.17297911889867051</v>
      </c>
      <c r="E20" s="20">
        <v>46098</v>
      </c>
      <c r="F20" s="57">
        <v>4925</v>
      </c>
      <c r="G20" s="57">
        <v>1064.7</v>
      </c>
      <c r="H20" s="24">
        <f t="shared" si="1"/>
        <v>0.21618274111675129</v>
      </c>
      <c r="I20" s="20">
        <v>46098</v>
      </c>
      <c r="J20" s="57">
        <v>5999.3</v>
      </c>
      <c r="K20" s="57">
        <v>718.7</v>
      </c>
      <c r="L20" s="24">
        <f t="shared" si="2"/>
        <v>0.11979730968613005</v>
      </c>
      <c r="M20" s="20">
        <v>46098</v>
      </c>
      <c r="N20" s="57">
        <v>11784</v>
      </c>
      <c r="O20" s="57">
        <v>1004.9</v>
      </c>
      <c r="P20" s="24">
        <f t="shared" si="3"/>
        <v>8.5276646300067885E-2</v>
      </c>
    </row>
    <row r="21" spans="1:16" x14ac:dyDescent="0.6">
      <c r="A21" s="20">
        <v>46099</v>
      </c>
      <c r="B21" s="62">
        <v>16504.900000000001</v>
      </c>
      <c r="C21" s="57">
        <v>3496.3</v>
      </c>
      <c r="D21" s="24">
        <f t="shared" si="0"/>
        <v>0.2118340613999479</v>
      </c>
      <c r="E21" s="20">
        <v>46099</v>
      </c>
      <c r="F21" s="57">
        <v>6828.5</v>
      </c>
      <c r="G21" s="57">
        <v>1056.0999999999999</v>
      </c>
      <c r="H21" s="24">
        <f t="shared" si="1"/>
        <v>0.15466061360474481</v>
      </c>
      <c r="I21" s="20">
        <v>46099</v>
      </c>
      <c r="J21" s="57">
        <v>6879.1</v>
      </c>
      <c r="K21" s="57">
        <v>726.5</v>
      </c>
      <c r="L21" s="24">
        <f t="shared" si="2"/>
        <v>0.10560974546088878</v>
      </c>
      <c r="M21" s="20">
        <v>46099</v>
      </c>
      <c r="N21" s="57">
        <v>12283</v>
      </c>
      <c r="O21" s="57">
        <v>586.79999999999995</v>
      </c>
      <c r="P21" s="24">
        <f t="shared" si="3"/>
        <v>4.7773345273955874E-2</v>
      </c>
    </row>
    <row r="22" spans="1:16" x14ac:dyDescent="0.6">
      <c r="A22" s="20">
        <v>46100</v>
      </c>
      <c r="B22" s="62">
        <v>12195.1</v>
      </c>
      <c r="C22" s="57">
        <v>3264.4</v>
      </c>
      <c r="D22" s="24">
        <f t="shared" si="0"/>
        <v>0.26768128182630729</v>
      </c>
      <c r="E22" s="20">
        <v>46100</v>
      </c>
      <c r="F22" s="57">
        <v>3899.5</v>
      </c>
      <c r="G22" s="57">
        <v>1017.5</v>
      </c>
      <c r="H22" s="24">
        <f t="shared" si="1"/>
        <v>0.26093088857545838</v>
      </c>
      <c r="I22" s="20">
        <v>46100</v>
      </c>
      <c r="J22" s="57">
        <v>5064</v>
      </c>
      <c r="K22" s="57">
        <v>567.1</v>
      </c>
      <c r="L22" s="24">
        <f t="shared" si="2"/>
        <v>0.11198657187993681</v>
      </c>
      <c r="M22" s="20">
        <v>46100</v>
      </c>
      <c r="N22" s="57">
        <v>8460</v>
      </c>
      <c r="O22" s="57"/>
      <c r="P22" s="24">
        <f t="shared" si="3"/>
        <v>0</v>
      </c>
    </row>
    <row r="23" spans="1:16" x14ac:dyDescent="0.6">
      <c r="A23" s="20">
        <v>46101</v>
      </c>
      <c r="B23" s="62">
        <v>18230.2</v>
      </c>
      <c r="C23" s="57">
        <v>1264.9000000000001</v>
      </c>
      <c r="D23" s="24">
        <f t="shared" si="0"/>
        <v>6.9384866869260903E-2</v>
      </c>
      <c r="E23" s="20">
        <v>46101</v>
      </c>
      <c r="F23" s="64">
        <v>6536</v>
      </c>
      <c r="G23" s="57">
        <v>939.9</v>
      </c>
      <c r="H23" s="27">
        <v>0</v>
      </c>
      <c r="I23" s="20">
        <v>46101</v>
      </c>
      <c r="J23" s="57">
        <v>4935.8999999999996</v>
      </c>
      <c r="K23" s="57">
        <v>326.5</v>
      </c>
      <c r="L23" s="24">
        <f t="shared" si="2"/>
        <v>6.6148017585445418E-2</v>
      </c>
      <c r="M23" s="20">
        <v>46101</v>
      </c>
      <c r="N23" s="57">
        <v>8610</v>
      </c>
      <c r="O23" s="57">
        <v>1322.7</v>
      </c>
      <c r="P23" s="24">
        <f t="shared" si="3"/>
        <v>0.15362369337979095</v>
      </c>
    </row>
    <row r="24" spans="1:16" x14ac:dyDescent="0.6">
      <c r="A24" s="20">
        <v>46102</v>
      </c>
      <c r="B24" s="62">
        <v>33582.800000000003</v>
      </c>
      <c r="C24" s="57">
        <v>4962.1000000000004</v>
      </c>
      <c r="D24" s="24">
        <f t="shared" si="0"/>
        <v>0.14775718522577033</v>
      </c>
      <c r="E24" s="20">
        <v>46102</v>
      </c>
      <c r="F24" s="57">
        <v>1108</v>
      </c>
      <c r="G24" s="64">
        <v>1379</v>
      </c>
      <c r="H24" s="24">
        <f t="shared" si="1"/>
        <v>1.2445848375451263</v>
      </c>
      <c r="I24" s="20">
        <v>46102</v>
      </c>
      <c r="J24" s="57">
        <v>3191</v>
      </c>
      <c r="K24" s="57">
        <v>231</v>
      </c>
      <c r="L24" s="24">
        <f t="shared" si="2"/>
        <v>7.2391099968661859E-2</v>
      </c>
      <c r="M24" s="20">
        <v>46102</v>
      </c>
      <c r="N24" s="57">
        <v>8597</v>
      </c>
      <c r="O24" s="57">
        <v>1353.7</v>
      </c>
      <c r="P24" s="24">
        <f t="shared" si="3"/>
        <v>0.15746190531580784</v>
      </c>
    </row>
    <row r="25" spans="1:16" x14ac:dyDescent="0.6">
      <c r="A25" s="20">
        <v>46103</v>
      </c>
      <c r="B25" s="62">
        <v>27001.200000000001</v>
      </c>
      <c r="C25" s="57">
        <v>4408.8</v>
      </c>
      <c r="D25" s="24">
        <f t="shared" si="0"/>
        <v>0.16328163192746989</v>
      </c>
      <c r="E25" s="20">
        <v>46103</v>
      </c>
      <c r="F25" s="57">
        <v>18344</v>
      </c>
      <c r="G25" s="64">
        <v>3058.3</v>
      </c>
      <c r="H25" s="24">
        <f>+G25/F25</f>
        <v>0.16671936327954645</v>
      </c>
      <c r="I25" s="20">
        <v>46103</v>
      </c>
      <c r="J25" s="57">
        <v>5854.5</v>
      </c>
      <c r="K25" s="64">
        <v>236.8</v>
      </c>
      <c r="L25" s="24">
        <f t="shared" si="2"/>
        <v>4.0447519002476728E-2</v>
      </c>
      <c r="M25" s="20">
        <v>46103</v>
      </c>
      <c r="N25" s="57">
        <v>5023</v>
      </c>
      <c r="O25" s="57">
        <v>1054.4000000000001</v>
      </c>
      <c r="P25" s="24">
        <f t="shared" si="3"/>
        <v>0.20991439378857257</v>
      </c>
    </row>
    <row r="26" spans="1:16" x14ac:dyDescent="0.6">
      <c r="A26" s="20">
        <v>46104</v>
      </c>
      <c r="B26" s="62">
        <v>23048.3</v>
      </c>
      <c r="C26" s="57">
        <v>3084.5</v>
      </c>
      <c r="D26" s="24">
        <f t="shared" si="0"/>
        <v>0.13382765757127424</v>
      </c>
      <c r="E26" s="20">
        <v>46104</v>
      </c>
      <c r="F26" s="57">
        <v>32129.5</v>
      </c>
      <c r="G26" s="64">
        <v>2715.1</v>
      </c>
      <c r="H26" s="24">
        <f t="shared" si="1"/>
        <v>8.4504894256057519E-2</v>
      </c>
      <c r="I26" s="20">
        <v>46104</v>
      </c>
      <c r="J26" s="57">
        <v>4930</v>
      </c>
      <c r="K26" s="64">
        <v>237.3</v>
      </c>
      <c r="L26" s="24">
        <f t="shared" si="2"/>
        <v>4.8133874239350914E-2</v>
      </c>
      <c r="M26" s="20">
        <v>46104</v>
      </c>
      <c r="N26" s="57">
        <v>7883</v>
      </c>
      <c r="O26" s="57">
        <v>1147</v>
      </c>
      <c r="P26" s="24">
        <f t="shared" si="3"/>
        <v>0.14550298109856655</v>
      </c>
    </row>
    <row r="27" spans="1:16" x14ac:dyDescent="0.6">
      <c r="A27" s="20">
        <v>46105</v>
      </c>
      <c r="B27" s="62">
        <v>22288.2</v>
      </c>
      <c r="C27" s="57">
        <v>3503.9</v>
      </c>
      <c r="D27" s="24">
        <f t="shared" si="0"/>
        <v>0.1572087472294757</v>
      </c>
      <c r="E27" s="20">
        <v>46105</v>
      </c>
      <c r="F27" s="57">
        <v>9159</v>
      </c>
      <c r="G27" s="64">
        <v>401.9</v>
      </c>
      <c r="H27" s="24">
        <f t="shared" si="1"/>
        <v>4.3880336281253408E-2</v>
      </c>
      <c r="I27" s="20">
        <v>46105</v>
      </c>
      <c r="J27" s="57">
        <v>7195.2</v>
      </c>
      <c r="K27" s="64">
        <v>244.8</v>
      </c>
      <c r="L27" s="24">
        <f t="shared" si="2"/>
        <v>3.4022681787858576E-2</v>
      </c>
      <c r="M27" s="20">
        <v>46105</v>
      </c>
      <c r="N27" s="57">
        <v>9822</v>
      </c>
      <c r="O27" s="57">
        <v>1588</v>
      </c>
      <c r="P27" s="24">
        <f t="shared" si="3"/>
        <v>0.16167786601506823</v>
      </c>
    </row>
    <row r="28" spans="1:16" x14ac:dyDescent="0.6">
      <c r="A28" s="20">
        <v>46106</v>
      </c>
      <c r="B28" s="57">
        <v>27320.6</v>
      </c>
      <c r="C28" s="57">
        <v>4811</v>
      </c>
      <c r="D28" s="24">
        <f t="shared" si="0"/>
        <v>0.17609422926290053</v>
      </c>
      <c r="E28" s="20">
        <v>46106</v>
      </c>
      <c r="F28" s="57">
        <v>11926.1</v>
      </c>
      <c r="G28" s="64"/>
      <c r="H28" s="24">
        <f t="shared" si="1"/>
        <v>0</v>
      </c>
      <c r="I28" s="20">
        <v>46106</v>
      </c>
      <c r="J28" s="57">
        <v>6633.8</v>
      </c>
      <c r="K28" s="64">
        <v>240.1</v>
      </c>
      <c r="L28" s="24">
        <f t="shared" si="2"/>
        <v>3.6193433627784981E-2</v>
      </c>
      <c r="M28" s="20">
        <v>46106</v>
      </c>
      <c r="N28" s="57">
        <v>11274</v>
      </c>
      <c r="O28" s="57">
        <v>2202.9</v>
      </c>
      <c r="P28" s="24">
        <f t="shared" si="3"/>
        <v>0.19539648749334754</v>
      </c>
    </row>
    <row r="29" spans="1:16" x14ac:dyDescent="0.6">
      <c r="A29" s="20">
        <v>46107</v>
      </c>
      <c r="B29" s="57">
        <v>14289.1</v>
      </c>
      <c r="C29" s="57">
        <v>3667</v>
      </c>
      <c r="D29" s="24">
        <f t="shared" si="0"/>
        <v>0.25662917888460435</v>
      </c>
      <c r="E29" s="20">
        <v>46107</v>
      </c>
      <c r="F29" s="64">
        <v>2283.5</v>
      </c>
      <c r="G29" s="64">
        <v>2606.6999999999998</v>
      </c>
      <c r="H29" s="24">
        <v>0</v>
      </c>
      <c r="I29" s="20">
        <v>46107</v>
      </c>
      <c r="J29" s="57">
        <v>7076.8</v>
      </c>
      <c r="K29" s="64">
        <v>271.5</v>
      </c>
      <c r="L29" s="24">
        <v>0</v>
      </c>
      <c r="M29" s="20">
        <v>46107</v>
      </c>
      <c r="N29" s="57">
        <v>5329</v>
      </c>
      <c r="O29" s="57">
        <v>1271.0999999999999</v>
      </c>
      <c r="P29" s="24">
        <f t="shared" si="3"/>
        <v>0.23852505160442858</v>
      </c>
    </row>
    <row r="30" spans="1:16" x14ac:dyDescent="0.6">
      <c r="A30" s="20">
        <v>46108</v>
      </c>
      <c r="B30" s="57">
        <v>13272.6</v>
      </c>
      <c r="C30" s="57">
        <v>0</v>
      </c>
      <c r="D30" s="24">
        <f t="shared" si="0"/>
        <v>0</v>
      </c>
      <c r="E30" s="20">
        <v>46108</v>
      </c>
      <c r="F30" s="64">
        <v>1349.2</v>
      </c>
      <c r="G30" s="64">
        <v>2996.7</v>
      </c>
      <c r="H30" s="24">
        <v>0</v>
      </c>
      <c r="I30" s="20">
        <v>46108</v>
      </c>
      <c r="J30" s="57">
        <v>6576.4</v>
      </c>
      <c r="K30" s="64">
        <v>223.6</v>
      </c>
      <c r="L30" s="24">
        <f t="shared" si="2"/>
        <v>3.4000364941305275E-2</v>
      </c>
      <c r="M30" s="20">
        <v>46108</v>
      </c>
      <c r="N30" s="57">
        <v>8903</v>
      </c>
      <c r="O30" s="57">
        <v>1479.7</v>
      </c>
      <c r="P30" s="24">
        <f t="shared" si="3"/>
        <v>0.16620240368415143</v>
      </c>
    </row>
    <row r="31" spans="1:16" x14ac:dyDescent="0.6">
      <c r="A31" s="20">
        <v>46109</v>
      </c>
      <c r="B31" s="63">
        <v>25658.9</v>
      </c>
      <c r="C31" s="63">
        <v>6665.7</v>
      </c>
      <c r="D31" s="24">
        <f t="shared" si="0"/>
        <v>0.25978120652093423</v>
      </c>
      <c r="E31" s="20">
        <v>46109</v>
      </c>
      <c r="F31" s="57">
        <v>6765.5</v>
      </c>
      <c r="G31" s="64">
        <v>2017</v>
      </c>
      <c r="H31" s="24">
        <f t="shared" si="1"/>
        <v>0.29813021949597224</v>
      </c>
      <c r="I31" s="20">
        <v>46109</v>
      </c>
      <c r="J31" s="57">
        <v>3051.9</v>
      </c>
      <c r="K31" s="64">
        <v>231.7</v>
      </c>
      <c r="L31" s="24">
        <v>0</v>
      </c>
      <c r="M31" s="20">
        <v>46109</v>
      </c>
      <c r="N31" s="63">
        <v>6447</v>
      </c>
      <c r="O31" s="63">
        <v>1231.0999999999999</v>
      </c>
      <c r="P31" s="24">
        <f t="shared" si="3"/>
        <v>0.19095703427950983</v>
      </c>
    </row>
    <row r="32" spans="1:16" x14ac:dyDescent="0.6">
      <c r="A32" s="20">
        <v>46110</v>
      </c>
      <c r="B32" s="63">
        <v>24731.8</v>
      </c>
      <c r="C32" s="63">
        <v>7425.3</v>
      </c>
      <c r="D32" s="24">
        <f t="shared" si="0"/>
        <v>0.30023289853548873</v>
      </c>
      <c r="E32" s="20">
        <v>46110</v>
      </c>
      <c r="F32" s="57">
        <v>15655</v>
      </c>
      <c r="G32" s="64">
        <v>1678.5</v>
      </c>
      <c r="H32" s="24">
        <v>0</v>
      </c>
      <c r="I32" s="20">
        <v>46110</v>
      </c>
      <c r="J32" s="57">
        <v>3910.1</v>
      </c>
      <c r="K32" s="64">
        <v>221.5</v>
      </c>
      <c r="L32" s="24">
        <f t="shared" si="2"/>
        <v>5.6648167566046903E-2</v>
      </c>
      <c r="M32" s="20">
        <v>46110</v>
      </c>
      <c r="N32" s="63">
        <v>8978</v>
      </c>
      <c r="O32" s="63">
        <v>1618.1</v>
      </c>
      <c r="P32" s="24">
        <f t="shared" si="3"/>
        <v>0.1802294497660949</v>
      </c>
    </row>
    <row r="33" spans="1:16 16384:16384" x14ac:dyDescent="0.6">
      <c r="A33" s="20">
        <v>46111</v>
      </c>
      <c r="B33" s="63">
        <v>22532.799999999999</v>
      </c>
      <c r="C33" s="63">
        <v>4696.7</v>
      </c>
      <c r="D33" s="24">
        <v>0</v>
      </c>
      <c r="E33" s="20">
        <v>46111</v>
      </c>
      <c r="F33" s="57">
        <v>73083</v>
      </c>
      <c r="G33" s="64">
        <v>1385.8</v>
      </c>
      <c r="H33" s="24">
        <v>0</v>
      </c>
      <c r="I33" s="20">
        <v>46111</v>
      </c>
      <c r="J33" s="57">
        <v>5103.3</v>
      </c>
      <c r="K33" s="64">
        <v>224.7</v>
      </c>
      <c r="L33" s="24">
        <v>0</v>
      </c>
      <c r="M33" s="20">
        <v>46111</v>
      </c>
      <c r="N33" s="63">
        <v>9920</v>
      </c>
      <c r="O33" s="63">
        <v>1385.6</v>
      </c>
      <c r="P33" s="24">
        <v>0</v>
      </c>
    </row>
    <row r="34" spans="1:16 16384:16384" x14ac:dyDescent="0.6">
      <c r="A34" s="20">
        <v>46112</v>
      </c>
      <c r="B34" s="63">
        <v>25391.599999999999</v>
      </c>
      <c r="C34" s="63">
        <v>5773.6</v>
      </c>
      <c r="D34" s="24">
        <v>0</v>
      </c>
      <c r="E34" s="20">
        <v>46112</v>
      </c>
      <c r="F34" s="64">
        <v>6554</v>
      </c>
      <c r="G34" s="64">
        <v>1960</v>
      </c>
      <c r="H34" s="24">
        <v>0</v>
      </c>
      <c r="I34" s="20">
        <v>46112</v>
      </c>
      <c r="J34" s="64">
        <v>4052</v>
      </c>
      <c r="K34" s="64">
        <v>261.60000000000002</v>
      </c>
      <c r="L34" s="24">
        <v>0</v>
      </c>
      <c r="M34" s="20">
        <v>46112</v>
      </c>
      <c r="N34" s="63">
        <v>9735</v>
      </c>
      <c r="O34" s="63">
        <v>1567.1</v>
      </c>
      <c r="P34" s="24">
        <f t="shared" si="3"/>
        <v>0.16097586029789418</v>
      </c>
    </row>
    <row r="35" spans="1:16 16384:16384" s="17" customFormat="1" ht="27" thickBot="1" x14ac:dyDescent="0.75">
      <c r="A35" s="16" t="s">
        <v>10</v>
      </c>
      <c r="B35" s="59">
        <f>SUM(B4:B34)</f>
        <v>575377.1</v>
      </c>
      <c r="C35" s="59">
        <f t="shared" ref="C35" si="4">SUM(C4:C34)</f>
        <v>143713.29999999999</v>
      </c>
      <c r="D35" s="15" t="s">
        <v>40</v>
      </c>
      <c r="E35" s="16" t="s">
        <v>10</v>
      </c>
      <c r="F35" s="59">
        <f>SUM(F4:F34)</f>
        <v>417617.6</v>
      </c>
      <c r="G35" s="59">
        <f t="shared" ref="G35" si="5">SUM(G4:G34)</f>
        <v>53391.9</v>
      </c>
      <c r="H35" s="15" t="s">
        <v>40</v>
      </c>
      <c r="I35" s="16" t="s">
        <v>10</v>
      </c>
      <c r="J35" s="59">
        <f>SUM(J4:J34)</f>
        <v>169465.49999999997</v>
      </c>
      <c r="K35" s="59">
        <f t="shared" ref="K35" si="6">SUM(K4:K34)</f>
        <v>14270.400000000001</v>
      </c>
      <c r="L35" s="15" t="s">
        <v>40</v>
      </c>
      <c r="M35" s="16" t="s">
        <v>10</v>
      </c>
      <c r="N35" s="59">
        <f>SUM(N4:N34)</f>
        <v>293576</v>
      </c>
      <c r="O35" s="59">
        <f t="shared" ref="O35" si="7">SUM(O4:O34)</f>
        <v>40852.6</v>
      </c>
      <c r="P35" s="15" t="s">
        <v>40</v>
      </c>
      <c r="XFD35" s="17">
        <f>SUM(A35:XFC35)</f>
        <v>1708264.4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x14ac:dyDescent="0.7">
      <c r="A38" s="8"/>
      <c r="B38" s="115" t="s">
        <v>42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55">
        <f>+B35</f>
        <v>575377.1</v>
      </c>
      <c r="D40" s="55">
        <f>+C35</f>
        <v>143713.29999999999</v>
      </c>
      <c r="E40" s="34">
        <f>+D40/C40</f>
        <v>0.24977236667917441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56">
        <f>+F35</f>
        <v>417617.6</v>
      </c>
      <c r="D41" s="56">
        <f>+G35</f>
        <v>53391.9</v>
      </c>
      <c r="E41" s="34">
        <f t="shared" ref="E41:E42" si="8">+D41/C41</f>
        <v>0.12784877840397532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56">
        <f>+J35</f>
        <v>169465.49999999997</v>
      </c>
      <c r="D42" s="56">
        <f>+K35</f>
        <v>14270.400000000001</v>
      </c>
      <c r="E42" s="34">
        <f t="shared" si="8"/>
        <v>8.4208290182957612E-2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56">
        <f>+N35</f>
        <v>293576</v>
      </c>
      <c r="D43" s="56">
        <f>+O35</f>
        <v>40852.6</v>
      </c>
      <c r="E43" s="34">
        <f>+D43/C43</f>
        <v>0.13915510804697931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61" t="s">
        <v>10</v>
      </c>
      <c r="C44" s="65">
        <f>SUM(C40:C43)</f>
        <v>1456036.2</v>
      </c>
      <c r="D44" s="65">
        <f>SUM(D40:D43)</f>
        <v>252228.19999999998</v>
      </c>
      <c r="E44" s="46">
        <f>+D44/C44</f>
        <v>0.1732293469077211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F96B-84D5-4265-8AC3-C2823AE5FFE4}">
  <sheetPr>
    <tabColor rgb="FF00B0F0"/>
  </sheetPr>
  <dimension ref="A1:XFD70"/>
  <sheetViews>
    <sheetView zoomScale="115" zoomScaleNormal="115" workbookViewId="0">
      <pane xSplit="4" ySplit="3" topLeftCell="E35" activePane="bottomRight" state="frozen"/>
      <selection activeCell="C7" sqref="C7"/>
      <selection pane="topRight" activeCell="C7" sqref="C7"/>
      <selection pane="bottomLeft" activeCell="C7" sqref="C7"/>
      <selection pane="bottomRight" activeCell="H39" sqref="H39"/>
    </sheetView>
  </sheetViews>
  <sheetFormatPr defaultRowHeight="23.4" x14ac:dyDescent="0.6"/>
  <cols>
    <col min="1" max="1" width="9.09765625" style="1" bestFit="1" customWidth="1"/>
    <col min="2" max="2" width="11.3984375" style="1" customWidth="1"/>
    <col min="3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796875" style="1"/>
    <col min="16384" max="16384" width="9" style="1" bestFit="1" customWidth="1"/>
  </cols>
  <sheetData>
    <row r="1" spans="1:16" ht="28.8" x14ac:dyDescent="0.75">
      <c r="A1" s="35" t="s">
        <v>46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46113</v>
      </c>
      <c r="B4" s="62">
        <v>31252.9</v>
      </c>
      <c r="C4" s="57">
        <v>5911.6</v>
      </c>
      <c r="D4" s="24">
        <f>+C4/B4</f>
        <v>0.18915364654160094</v>
      </c>
      <c r="E4" s="20">
        <v>46113</v>
      </c>
      <c r="F4" s="57">
        <v>8016</v>
      </c>
      <c r="G4" s="57">
        <v>1691.8</v>
      </c>
      <c r="H4" s="24">
        <f>+G4/F4</f>
        <v>0.21105289421157683</v>
      </c>
      <c r="I4" s="20">
        <v>46113</v>
      </c>
      <c r="J4" s="57">
        <v>3341.1</v>
      </c>
      <c r="K4" s="57">
        <v>242.1</v>
      </c>
      <c r="L4" s="24">
        <f>+K4/J4</f>
        <v>7.2461165484421303E-2</v>
      </c>
      <c r="M4" s="20">
        <v>46113</v>
      </c>
      <c r="N4" s="57">
        <v>14413</v>
      </c>
      <c r="O4" s="57">
        <v>2263.9</v>
      </c>
      <c r="P4" s="24">
        <f>+O4/N4</f>
        <v>0.15707347533476723</v>
      </c>
    </row>
    <row r="5" spans="1:16" x14ac:dyDescent="0.6">
      <c r="A5" s="20">
        <v>46114</v>
      </c>
      <c r="B5" s="62">
        <v>41355.599999999999</v>
      </c>
      <c r="C5" s="57">
        <v>6477.5</v>
      </c>
      <c r="D5" s="24">
        <f t="shared" ref="D5:D34" si="0">+C5/B5</f>
        <v>0.15662933194053527</v>
      </c>
      <c r="E5" s="20">
        <v>46114</v>
      </c>
      <c r="F5" s="57">
        <v>8849</v>
      </c>
      <c r="G5" s="57">
        <v>1438.3</v>
      </c>
      <c r="H5" s="24">
        <f t="shared" ref="H5:H34" si="1">+G5/F5</f>
        <v>0.16253813990281388</v>
      </c>
      <c r="I5" s="20">
        <v>46114</v>
      </c>
      <c r="J5" s="57">
        <v>4282.1000000000004</v>
      </c>
      <c r="K5" s="57">
        <v>204.6</v>
      </c>
      <c r="L5" s="24">
        <f t="shared" ref="L5:L34" si="2">+K5/J5</f>
        <v>4.7780294715209823E-2</v>
      </c>
      <c r="M5" s="20">
        <v>46114</v>
      </c>
      <c r="N5" s="57">
        <v>10975</v>
      </c>
      <c r="O5" s="57">
        <v>1514.8</v>
      </c>
      <c r="P5" s="24">
        <f t="shared" ref="P5:P34" si="3">+O5/N5</f>
        <v>0.13802277904328017</v>
      </c>
    </row>
    <row r="6" spans="1:16" x14ac:dyDescent="0.6">
      <c r="A6" s="20">
        <v>46115</v>
      </c>
      <c r="B6" s="62">
        <v>49064.4</v>
      </c>
      <c r="C6" s="57">
        <v>7068</v>
      </c>
      <c r="D6" s="24">
        <f t="shared" si="0"/>
        <v>0.14405556778438133</v>
      </c>
      <c r="E6" s="20">
        <v>46115</v>
      </c>
      <c r="F6" s="57">
        <v>7426</v>
      </c>
      <c r="G6" s="57">
        <v>2180.3000000000002</v>
      </c>
      <c r="H6" s="24">
        <f t="shared" si="1"/>
        <v>0.29360355507675734</v>
      </c>
      <c r="I6" s="20">
        <v>46115</v>
      </c>
      <c r="J6" s="57">
        <v>5973.9</v>
      </c>
      <c r="K6" s="57">
        <v>279.5</v>
      </c>
      <c r="L6" s="24">
        <f t="shared" si="2"/>
        <v>4.6786856157618982E-2</v>
      </c>
      <c r="M6" s="20">
        <v>46115</v>
      </c>
      <c r="N6" s="57">
        <v>14008</v>
      </c>
      <c r="O6" s="57">
        <v>2241.5</v>
      </c>
      <c r="P6" s="24">
        <f t="shared" si="3"/>
        <v>0.16001570531125073</v>
      </c>
    </row>
    <row r="7" spans="1:16" x14ac:dyDescent="0.6">
      <c r="A7" s="20">
        <v>46116</v>
      </c>
      <c r="B7" s="62">
        <v>42096</v>
      </c>
      <c r="C7" s="57">
        <v>7440.7</v>
      </c>
      <c r="D7" s="24">
        <f t="shared" si="0"/>
        <v>0.17675551121246674</v>
      </c>
      <c r="E7" s="20">
        <v>46116</v>
      </c>
      <c r="F7" s="57">
        <v>3065</v>
      </c>
      <c r="G7" s="57">
        <v>1466.6</v>
      </c>
      <c r="H7" s="24">
        <f t="shared" si="1"/>
        <v>0.47849918433931482</v>
      </c>
      <c r="I7" s="20">
        <v>46116</v>
      </c>
      <c r="J7" s="57">
        <v>8549.1</v>
      </c>
      <c r="K7" s="57">
        <v>332.4</v>
      </c>
      <c r="L7" s="24">
        <f t="shared" si="2"/>
        <v>3.8881285749377124E-2</v>
      </c>
      <c r="M7" s="20">
        <v>46116</v>
      </c>
      <c r="N7" s="57">
        <v>17796</v>
      </c>
      <c r="O7" s="57">
        <v>2886.8</v>
      </c>
      <c r="P7" s="24">
        <f t="shared" si="3"/>
        <v>0.16221622836592495</v>
      </c>
    </row>
    <row r="8" spans="1:16" x14ac:dyDescent="0.6">
      <c r="A8" s="20">
        <v>46117</v>
      </c>
      <c r="B8" s="62">
        <v>30392.5</v>
      </c>
      <c r="C8" s="57">
        <v>4683</v>
      </c>
      <c r="D8" s="24">
        <f t="shared" si="0"/>
        <v>0.15408406679279427</v>
      </c>
      <c r="E8" s="20">
        <v>46117</v>
      </c>
      <c r="F8" s="57">
        <v>2620</v>
      </c>
      <c r="G8" s="57">
        <v>1839.9</v>
      </c>
      <c r="H8" s="24">
        <f t="shared" si="1"/>
        <v>0.70225190839694662</v>
      </c>
      <c r="I8" s="20">
        <v>46117</v>
      </c>
      <c r="J8" s="57">
        <v>7342.5</v>
      </c>
      <c r="K8" s="57">
        <v>781.8</v>
      </c>
      <c r="L8" s="24">
        <f t="shared" si="2"/>
        <v>0.10647599591419815</v>
      </c>
      <c r="M8" s="20">
        <v>46117</v>
      </c>
      <c r="N8" s="57">
        <v>17687</v>
      </c>
      <c r="O8" s="57">
        <v>3335.8</v>
      </c>
      <c r="P8" s="24">
        <f t="shared" si="3"/>
        <v>0.18860179793068357</v>
      </c>
    </row>
    <row r="9" spans="1:16" x14ac:dyDescent="0.6">
      <c r="A9" s="20">
        <v>46118</v>
      </c>
      <c r="B9" s="62">
        <v>30892.400000000001</v>
      </c>
      <c r="C9" s="57">
        <v>8347.5</v>
      </c>
      <c r="D9" s="24">
        <f t="shared" si="0"/>
        <v>0.27021209099972809</v>
      </c>
      <c r="E9" s="20">
        <v>46118</v>
      </c>
      <c r="F9" s="57">
        <v>60640</v>
      </c>
      <c r="G9" s="57">
        <v>3378.2</v>
      </c>
      <c r="H9" s="24">
        <f t="shared" si="1"/>
        <v>5.5709102902374665E-2</v>
      </c>
      <c r="I9" s="20">
        <v>46118</v>
      </c>
      <c r="J9" s="57">
        <v>10014.200000000001</v>
      </c>
      <c r="K9" s="57">
        <v>772.5</v>
      </c>
      <c r="L9" s="24">
        <f t="shared" si="2"/>
        <v>7.7140460546024636E-2</v>
      </c>
      <c r="M9" s="20">
        <v>46118</v>
      </c>
      <c r="N9" s="57">
        <v>21857</v>
      </c>
      <c r="O9" s="57">
        <v>3297.9</v>
      </c>
      <c r="P9" s="24">
        <f t="shared" si="3"/>
        <v>0.15088529990392094</v>
      </c>
    </row>
    <row r="10" spans="1:16" x14ac:dyDescent="0.6">
      <c r="A10" s="20">
        <v>46119</v>
      </c>
      <c r="B10" s="62">
        <v>39961</v>
      </c>
      <c r="C10" s="57">
        <v>5442.6</v>
      </c>
      <c r="D10" s="24">
        <f t="shared" si="0"/>
        <v>0.13619779284802683</v>
      </c>
      <c r="E10" s="20">
        <v>46119</v>
      </c>
      <c r="F10" s="57">
        <v>23642</v>
      </c>
      <c r="G10" s="57">
        <v>3334.3</v>
      </c>
      <c r="H10" s="24">
        <f t="shared" si="1"/>
        <v>0.14103290753743339</v>
      </c>
      <c r="I10" s="20">
        <v>46119</v>
      </c>
      <c r="J10" s="57">
        <v>7281</v>
      </c>
      <c r="K10" s="57">
        <v>711.3</v>
      </c>
      <c r="L10" s="24">
        <f t="shared" si="2"/>
        <v>9.7692624639472592E-2</v>
      </c>
      <c r="M10" s="20">
        <v>46119</v>
      </c>
      <c r="N10" s="57">
        <v>28960</v>
      </c>
      <c r="O10" s="57">
        <v>3970.8</v>
      </c>
      <c r="P10" s="24">
        <f t="shared" si="3"/>
        <v>0.13711325966850829</v>
      </c>
    </row>
    <row r="11" spans="1:16" x14ac:dyDescent="0.6">
      <c r="A11" s="20">
        <v>46120</v>
      </c>
      <c r="B11" s="62">
        <v>29413.599999999999</v>
      </c>
      <c r="C11" s="57">
        <v>5721.1</v>
      </c>
      <c r="D11" s="24">
        <f t="shared" si="0"/>
        <v>0.19450526287159683</v>
      </c>
      <c r="E11" s="20">
        <v>46120</v>
      </c>
      <c r="F11" s="57">
        <v>3434</v>
      </c>
      <c r="G11" s="57">
        <v>2331.1</v>
      </c>
      <c r="H11" s="24">
        <f t="shared" si="1"/>
        <v>0.67882935352358764</v>
      </c>
      <c r="I11" s="20">
        <v>46120</v>
      </c>
      <c r="J11" s="57">
        <v>3936</v>
      </c>
      <c r="K11" s="57">
        <v>482.3</v>
      </c>
      <c r="L11" s="24">
        <f t="shared" si="2"/>
        <v>0.12253556910569106</v>
      </c>
      <c r="M11" s="20">
        <v>46120</v>
      </c>
      <c r="N11" s="57">
        <v>26738</v>
      </c>
      <c r="O11" s="57">
        <v>4484.3</v>
      </c>
      <c r="P11" s="24">
        <f t="shared" si="3"/>
        <v>0.16771261874485752</v>
      </c>
    </row>
    <row r="12" spans="1:16" x14ac:dyDescent="0.6">
      <c r="A12" s="20">
        <v>46121</v>
      </c>
      <c r="B12" s="62">
        <v>27043.200000000001</v>
      </c>
      <c r="C12" s="57">
        <v>4956.8</v>
      </c>
      <c r="D12" s="24">
        <f t="shared" si="0"/>
        <v>0.18329191811619927</v>
      </c>
      <c r="E12" s="20">
        <v>46121</v>
      </c>
      <c r="F12" s="57">
        <v>9580</v>
      </c>
      <c r="G12" s="57">
        <v>2350.1</v>
      </c>
      <c r="H12" s="24">
        <f t="shared" si="1"/>
        <v>0.24531315240083507</v>
      </c>
      <c r="I12" s="20">
        <v>46121</v>
      </c>
      <c r="J12" s="57">
        <v>4089.2</v>
      </c>
      <c r="K12" s="57">
        <v>606.1</v>
      </c>
      <c r="L12" s="24">
        <f t="shared" si="2"/>
        <v>0.14821970067494866</v>
      </c>
      <c r="M12" s="20">
        <v>46121</v>
      </c>
      <c r="N12" s="57">
        <v>25597</v>
      </c>
      <c r="O12" s="57">
        <v>4623.3999999999996</v>
      </c>
      <c r="P12" s="24">
        <f t="shared" si="3"/>
        <v>0.18062272922608116</v>
      </c>
    </row>
    <row r="13" spans="1:16" x14ac:dyDescent="0.6">
      <c r="A13" s="20">
        <v>46122</v>
      </c>
      <c r="B13" s="62">
        <v>28426.799999999999</v>
      </c>
      <c r="C13" s="57">
        <v>4122.8</v>
      </c>
      <c r="D13" s="24">
        <f t="shared" si="0"/>
        <v>0.14503215275725725</v>
      </c>
      <c r="E13" s="20">
        <v>46122</v>
      </c>
      <c r="F13" s="57">
        <v>9620</v>
      </c>
      <c r="G13" s="57">
        <v>2588.8000000000002</v>
      </c>
      <c r="H13" s="24">
        <f t="shared" si="1"/>
        <v>0.2691060291060291</v>
      </c>
      <c r="I13" s="20">
        <v>46122</v>
      </c>
      <c r="J13" s="57">
        <v>4955.1000000000004</v>
      </c>
      <c r="K13" s="57">
        <v>551.9</v>
      </c>
      <c r="L13" s="24">
        <f t="shared" si="2"/>
        <v>0.11138019414340779</v>
      </c>
      <c r="M13" s="20">
        <v>46122</v>
      </c>
      <c r="N13" s="57">
        <v>19767</v>
      </c>
      <c r="O13" s="57">
        <v>2796.3</v>
      </c>
      <c r="P13" s="24">
        <f t="shared" si="3"/>
        <v>0.14146304446805283</v>
      </c>
    </row>
    <row r="14" spans="1:16" x14ac:dyDescent="0.6">
      <c r="A14" s="20">
        <v>46123</v>
      </c>
      <c r="B14" s="62">
        <v>13906.6</v>
      </c>
      <c r="C14" s="57">
        <v>3847.6</v>
      </c>
      <c r="D14" s="24">
        <f t="shared" si="0"/>
        <v>0.27667438482447182</v>
      </c>
      <c r="E14" s="20">
        <v>46123</v>
      </c>
      <c r="F14" s="57">
        <v>5540</v>
      </c>
      <c r="G14" s="57">
        <v>2544.5</v>
      </c>
      <c r="H14" s="24">
        <f t="shared" si="1"/>
        <v>0.4592960288808664</v>
      </c>
      <c r="I14" s="20">
        <v>46123</v>
      </c>
      <c r="J14" s="57">
        <v>8114.4</v>
      </c>
      <c r="K14" s="57">
        <v>708.5</v>
      </c>
      <c r="L14" s="24">
        <f t="shared" si="2"/>
        <v>8.7313911071675049E-2</v>
      </c>
      <c r="M14" s="20">
        <v>46123</v>
      </c>
      <c r="N14" s="57">
        <v>17091</v>
      </c>
      <c r="O14" s="57">
        <v>2808</v>
      </c>
      <c r="P14" s="24">
        <f t="shared" si="3"/>
        <v>0.16429699842022116</v>
      </c>
    </row>
    <row r="15" spans="1:16" x14ac:dyDescent="0.6">
      <c r="A15" s="20">
        <v>46124</v>
      </c>
      <c r="B15" s="62">
        <v>24056.799999999999</v>
      </c>
      <c r="C15" s="57">
        <v>6663.4</v>
      </c>
      <c r="D15" s="24">
        <f t="shared" si="0"/>
        <v>0.27698613281899503</v>
      </c>
      <c r="E15" s="20">
        <v>46124</v>
      </c>
      <c r="F15" s="57">
        <v>26089</v>
      </c>
      <c r="G15" s="57">
        <v>1387.3</v>
      </c>
      <c r="H15" s="24">
        <f t="shared" si="1"/>
        <v>5.3175667906014031E-2</v>
      </c>
      <c r="I15" s="20">
        <v>46124</v>
      </c>
      <c r="J15" s="57">
        <v>6144.7</v>
      </c>
      <c r="K15" s="57">
        <v>671.2</v>
      </c>
      <c r="L15" s="24">
        <f t="shared" si="2"/>
        <v>0.10923234657509726</v>
      </c>
      <c r="M15" s="20">
        <v>46124</v>
      </c>
      <c r="N15" s="57">
        <v>11633</v>
      </c>
      <c r="O15" s="57">
        <v>1806.2</v>
      </c>
      <c r="P15" s="24">
        <f t="shared" si="3"/>
        <v>0.15526519384509585</v>
      </c>
    </row>
    <row r="16" spans="1:16" x14ac:dyDescent="0.6">
      <c r="A16" s="20">
        <v>46125</v>
      </c>
      <c r="B16" s="62">
        <v>12459.3</v>
      </c>
      <c r="C16" s="57">
        <v>1907.5</v>
      </c>
      <c r="D16" s="24">
        <f t="shared" si="0"/>
        <v>0.15309848867913928</v>
      </c>
      <c r="E16" s="20">
        <v>46125</v>
      </c>
      <c r="F16" s="57">
        <v>15488</v>
      </c>
      <c r="G16" s="57">
        <v>1160.7</v>
      </c>
      <c r="H16" s="24">
        <f t="shared" si="1"/>
        <v>7.4941890495867775E-2</v>
      </c>
      <c r="I16" s="20">
        <v>46125</v>
      </c>
      <c r="J16" s="57">
        <v>5160.3</v>
      </c>
      <c r="K16" s="57">
        <v>561</v>
      </c>
      <c r="L16" s="24">
        <f t="shared" si="2"/>
        <v>0.10871460961572001</v>
      </c>
      <c r="M16" s="20">
        <v>46125</v>
      </c>
      <c r="N16" s="57">
        <v>7488</v>
      </c>
      <c r="O16" s="57">
        <v>1284.4000000000001</v>
      </c>
      <c r="P16" s="24">
        <f t="shared" si="3"/>
        <v>0.17152777777777778</v>
      </c>
    </row>
    <row r="17" spans="1:16" x14ac:dyDescent="0.6">
      <c r="A17" s="20">
        <v>46126</v>
      </c>
      <c r="B17" s="62">
        <v>8881.1</v>
      </c>
      <c r="C17" s="57">
        <v>1660.2</v>
      </c>
      <c r="D17" s="24">
        <f t="shared" si="0"/>
        <v>0.18693630293544719</v>
      </c>
      <c r="E17" s="20">
        <v>46126</v>
      </c>
      <c r="F17" s="57">
        <v>4265</v>
      </c>
      <c r="G17" s="57">
        <v>1041.8</v>
      </c>
      <c r="H17" s="24">
        <f t="shared" si="1"/>
        <v>0.24426729191090268</v>
      </c>
      <c r="I17" s="20">
        <v>46126</v>
      </c>
      <c r="J17" s="57">
        <v>6337.5</v>
      </c>
      <c r="K17" s="57">
        <v>742.1</v>
      </c>
      <c r="L17" s="24">
        <f t="shared" si="2"/>
        <v>0.11709664694280079</v>
      </c>
      <c r="M17" s="20">
        <v>46126</v>
      </c>
      <c r="N17" s="57">
        <v>10788</v>
      </c>
      <c r="O17" s="57">
        <v>2046.2</v>
      </c>
      <c r="P17" s="24">
        <f t="shared" si="3"/>
        <v>0.18967371153133111</v>
      </c>
    </row>
    <row r="18" spans="1:16" x14ac:dyDescent="0.6">
      <c r="A18" s="20">
        <v>46127</v>
      </c>
      <c r="B18" s="62">
        <v>16986.400000000001</v>
      </c>
      <c r="C18" s="57">
        <v>1943.3</v>
      </c>
      <c r="D18" s="24">
        <f t="shared" si="0"/>
        <v>0.11440328733575095</v>
      </c>
      <c r="E18" s="20">
        <v>46127</v>
      </c>
      <c r="F18" s="57">
        <v>6245</v>
      </c>
      <c r="G18" s="57">
        <v>1370.7</v>
      </c>
      <c r="H18" s="24">
        <f t="shared" si="1"/>
        <v>0.21948759007205765</v>
      </c>
      <c r="I18" s="20">
        <v>46127</v>
      </c>
      <c r="J18" s="57">
        <v>7653.2</v>
      </c>
      <c r="K18" s="57">
        <v>691.8</v>
      </c>
      <c r="L18" s="24">
        <f t="shared" si="2"/>
        <v>9.0393560863429673E-2</v>
      </c>
      <c r="M18" s="20">
        <v>46127</v>
      </c>
      <c r="N18" s="57">
        <v>19740</v>
      </c>
      <c r="O18" s="57">
        <v>4062.6</v>
      </c>
      <c r="P18" s="24">
        <f t="shared" si="3"/>
        <v>0.20580547112462005</v>
      </c>
    </row>
    <row r="19" spans="1:16" x14ac:dyDescent="0.6">
      <c r="A19" s="20">
        <v>46128</v>
      </c>
      <c r="B19" s="62">
        <v>15560.7</v>
      </c>
      <c r="C19" s="57">
        <v>2686.8</v>
      </c>
      <c r="D19" s="24">
        <f t="shared" si="0"/>
        <v>0.1726657541113189</v>
      </c>
      <c r="E19" s="20">
        <v>46128</v>
      </c>
      <c r="F19" s="57">
        <v>8931</v>
      </c>
      <c r="G19" s="57">
        <v>1192.7</v>
      </c>
      <c r="H19" s="24">
        <f t="shared" si="1"/>
        <v>0.13354607546747285</v>
      </c>
      <c r="I19" s="20">
        <v>46128</v>
      </c>
      <c r="J19" s="57">
        <v>4086.2</v>
      </c>
      <c r="K19" s="57">
        <v>491.4</v>
      </c>
      <c r="L19" s="24">
        <f t="shared" si="2"/>
        <v>0.12025843081591699</v>
      </c>
      <c r="M19" s="20">
        <v>46128</v>
      </c>
      <c r="N19" s="57">
        <v>12206</v>
      </c>
      <c r="O19" s="57">
        <v>2765.7</v>
      </c>
      <c r="P19" s="24">
        <f t="shared" si="3"/>
        <v>0.22658528592495492</v>
      </c>
    </row>
    <row r="20" spans="1:16" x14ac:dyDescent="0.6">
      <c r="A20" s="20">
        <v>46129</v>
      </c>
      <c r="B20" s="62">
        <v>12807.3</v>
      </c>
      <c r="C20" s="57">
        <v>2034.6</v>
      </c>
      <c r="D20" s="24">
        <f t="shared" si="0"/>
        <v>0.15886252371694268</v>
      </c>
      <c r="E20" s="20">
        <v>46129</v>
      </c>
      <c r="F20" s="57">
        <v>6386</v>
      </c>
      <c r="G20" s="57">
        <v>1147.0999999999999</v>
      </c>
      <c r="H20" s="24">
        <f t="shared" si="1"/>
        <v>0.17962730974005636</v>
      </c>
      <c r="I20" s="20">
        <v>46129</v>
      </c>
      <c r="J20" s="57">
        <v>2001.1</v>
      </c>
      <c r="K20" s="57">
        <v>372.8</v>
      </c>
      <c r="L20" s="24">
        <f t="shared" si="2"/>
        <v>0.18629753635500476</v>
      </c>
      <c r="M20" s="20">
        <v>46129</v>
      </c>
      <c r="N20" s="57">
        <v>10851</v>
      </c>
      <c r="O20" s="57">
        <v>2190.6999999999998</v>
      </c>
      <c r="P20" s="24">
        <f t="shared" si="3"/>
        <v>0.20188922679937332</v>
      </c>
    </row>
    <row r="21" spans="1:16" x14ac:dyDescent="0.6">
      <c r="A21" s="20">
        <v>46130</v>
      </c>
      <c r="B21" s="62">
        <v>23501</v>
      </c>
      <c r="C21" s="57">
        <v>3346.7</v>
      </c>
      <c r="D21" s="24">
        <f t="shared" si="0"/>
        <v>0.14240670609761286</v>
      </c>
      <c r="E21" s="20">
        <v>46130</v>
      </c>
      <c r="F21" s="57">
        <v>2555</v>
      </c>
      <c r="G21" s="57">
        <v>933.1</v>
      </c>
      <c r="H21" s="24">
        <f t="shared" si="1"/>
        <v>0.36520547945205478</v>
      </c>
      <c r="I21" s="20">
        <v>46130</v>
      </c>
      <c r="J21" s="57">
        <v>2365.6999999999998</v>
      </c>
      <c r="K21" s="57">
        <v>348.9</v>
      </c>
      <c r="L21" s="24">
        <f t="shared" si="2"/>
        <v>0.14748277465443632</v>
      </c>
      <c r="M21" s="20">
        <v>46130</v>
      </c>
      <c r="N21" s="57">
        <v>14476</v>
      </c>
      <c r="O21" s="57">
        <v>2671.8</v>
      </c>
      <c r="P21" s="24">
        <f t="shared" si="3"/>
        <v>0.184567560099475</v>
      </c>
    </row>
    <row r="22" spans="1:16" x14ac:dyDescent="0.6">
      <c r="A22" s="20">
        <v>46131</v>
      </c>
      <c r="B22" s="62">
        <v>19548.8</v>
      </c>
      <c r="C22" s="57">
        <v>3009.9</v>
      </c>
      <c r="D22" s="24">
        <f t="shared" si="0"/>
        <v>0.15396853003764938</v>
      </c>
      <c r="E22" s="20">
        <v>46131</v>
      </c>
      <c r="F22" s="57">
        <v>8035</v>
      </c>
      <c r="G22" s="57">
        <v>1313.9</v>
      </c>
      <c r="H22" s="24">
        <f t="shared" si="1"/>
        <v>0.16352209085252023</v>
      </c>
      <c r="I22" s="20">
        <v>46131</v>
      </c>
      <c r="J22" s="57">
        <v>4041.9</v>
      </c>
      <c r="K22" s="57">
        <v>488.5</v>
      </c>
      <c r="L22" s="24">
        <f t="shared" si="2"/>
        <v>0.12085900195452634</v>
      </c>
      <c r="M22" s="20">
        <v>46131</v>
      </c>
      <c r="N22" s="57">
        <v>12246</v>
      </c>
      <c r="O22" s="57">
        <v>2231.1999999999998</v>
      </c>
      <c r="P22" s="24">
        <f t="shared" si="3"/>
        <v>0.18219826882247264</v>
      </c>
    </row>
    <row r="23" spans="1:16" ht="46.8" x14ac:dyDescent="0.6">
      <c r="A23" s="20">
        <v>46132</v>
      </c>
      <c r="B23" s="62">
        <v>22408.799999999999</v>
      </c>
      <c r="C23" s="57">
        <v>4173.7</v>
      </c>
      <c r="D23" s="24">
        <f t="shared" si="0"/>
        <v>0.18625272214487165</v>
      </c>
      <c r="E23" s="20">
        <v>46132</v>
      </c>
      <c r="F23" s="64">
        <v>36807</v>
      </c>
      <c r="G23" s="57">
        <v>1342.2</v>
      </c>
      <c r="H23" s="27">
        <f t="shared" si="1"/>
        <v>3.6465889640557504E-2</v>
      </c>
      <c r="I23" s="20">
        <v>46132</v>
      </c>
      <c r="J23" s="57">
        <v>6076.2</v>
      </c>
      <c r="K23" s="57">
        <v>558</v>
      </c>
      <c r="L23" s="24">
        <f t="shared" si="2"/>
        <v>9.1833711859385797E-2</v>
      </c>
      <c r="M23" s="20">
        <v>46132</v>
      </c>
      <c r="N23" s="57">
        <v>12085</v>
      </c>
      <c r="O23" s="57">
        <v>2759</v>
      </c>
      <c r="P23" s="24">
        <f t="shared" si="3"/>
        <v>0.22829954489035995</v>
      </c>
    </row>
    <row r="24" spans="1:16" x14ac:dyDescent="0.6">
      <c r="A24" s="20">
        <v>46133</v>
      </c>
      <c r="B24" s="62">
        <v>14214.3</v>
      </c>
      <c r="C24" s="57">
        <v>2145.9</v>
      </c>
      <c r="D24" s="24">
        <f t="shared" si="0"/>
        <v>0.15096768746966086</v>
      </c>
      <c r="E24" s="20">
        <v>46133</v>
      </c>
      <c r="F24" s="57">
        <v>7960</v>
      </c>
      <c r="G24" s="64">
        <v>1431.6</v>
      </c>
      <c r="H24" s="24">
        <f t="shared" si="1"/>
        <v>0.17984924623115578</v>
      </c>
      <c r="I24" s="20">
        <v>46133</v>
      </c>
      <c r="J24" s="57">
        <v>7194.6</v>
      </c>
      <c r="K24" s="57">
        <v>608.1</v>
      </c>
      <c r="L24" s="24">
        <f t="shared" si="2"/>
        <v>8.4521724626803435E-2</v>
      </c>
      <c r="M24" s="20">
        <v>46133</v>
      </c>
      <c r="N24" s="57">
        <v>15022</v>
      </c>
      <c r="O24" s="57">
        <v>2497.9</v>
      </c>
      <c r="P24" s="24">
        <f t="shared" si="3"/>
        <v>0.16628278524830251</v>
      </c>
    </row>
    <row r="25" spans="1:16" x14ac:dyDescent="0.6">
      <c r="A25" s="20">
        <v>46134</v>
      </c>
      <c r="B25" s="62">
        <v>17279.400000000001</v>
      </c>
      <c r="C25" s="57">
        <v>3665.4</v>
      </c>
      <c r="D25" s="24">
        <f t="shared" si="0"/>
        <v>0.21212542102156323</v>
      </c>
      <c r="E25" s="20">
        <v>46134</v>
      </c>
      <c r="F25" s="57">
        <v>2485</v>
      </c>
      <c r="G25" s="64">
        <v>2196.1999999999998</v>
      </c>
      <c r="H25" s="24">
        <f t="shared" si="1"/>
        <v>0.88378269617706229</v>
      </c>
      <c r="I25" s="20">
        <v>46134</v>
      </c>
      <c r="J25" s="57">
        <v>4979.3</v>
      </c>
      <c r="K25" s="64">
        <v>600.70000000000005</v>
      </c>
      <c r="L25" s="24">
        <f t="shared" si="2"/>
        <v>0.12063944731187115</v>
      </c>
      <c r="M25" s="20">
        <v>46134</v>
      </c>
      <c r="N25" s="57">
        <v>11336</v>
      </c>
      <c r="O25" s="57">
        <v>2593.8000000000002</v>
      </c>
      <c r="P25" s="24">
        <f t="shared" si="3"/>
        <v>0.22881086803105152</v>
      </c>
    </row>
    <row r="26" spans="1:16" x14ac:dyDescent="0.6">
      <c r="A26" s="20">
        <v>46135</v>
      </c>
      <c r="B26" s="62">
        <v>27288.1</v>
      </c>
      <c r="C26" s="57">
        <v>4561.8</v>
      </c>
      <c r="D26" s="24">
        <f t="shared" si="0"/>
        <v>0.16717177084516696</v>
      </c>
      <c r="E26" s="20">
        <v>46135</v>
      </c>
      <c r="F26" s="57">
        <v>6270</v>
      </c>
      <c r="G26" s="64">
        <v>2302.6</v>
      </c>
      <c r="H26" s="24">
        <f t="shared" si="1"/>
        <v>0.36724082934609248</v>
      </c>
      <c r="I26" s="20">
        <v>46135</v>
      </c>
      <c r="J26" s="57">
        <v>5188.8999999999996</v>
      </c>
      <c r="K26" s="64">
        <v>472.3</v>
      </c>
      <c r="L26" s="24">
        <f t="shared" si="2"/>
        <v>9.1021218369982088E-2</v>
      </c>
      <c r="M26" s="20">
        <v>46135</v>
      </c>
      <c r="N26" s="57">
        <v>15397</v>
      </c>
      <c r="O26" s="57">
        <v>3152.4</v>
      </c>
      <c r="P26" s="24">
        <f t="shared" si="3"/>
        <v>0.20474118334740535</v>
      </c>
    </row>
    <row r="27" spans="1:16" x14ac:dyDescent="0.6">
      <c r="A27" s="20">
        <v>46136</v>
      </c>
      <c r="B27" s="62">
        <v>12360.7</v>
      </c>
      <c r="C27" s="57">
        <v>5106</v>
      </c>
      <c r="D27" s="24">
        <f t="shared" si="0"/>
        <v>0.41308340142548561</v>
      </c>
      <c r="E27" s="20">
        <v>46136</v>
      </c>
      <c r="F27" s="57">
        <v>8526</v>
      </c>
      <c r="G27" s="64">
        <v>2896.3</v>
      </c>
      <c r="H27" s="24">
        <f t="shared" si="1"/>
        <v>0.3397020877316444</v>
      </c>
      <c r="I27" s="20">
        <v>46136</v>
      </c>
      <c r="J27" s="57">
        <v>7871.3</v>
      </c>
      <c r="K27" s="64">
        <v>552.6</v>
      </c>
      <c r="L27" s="24">
        <f t="shared" si="2"/>
        <v>7.0204413502216914E-2</v>
      </c>
      <c r="M27" s="20">
        <v>46136</v>
      </c>
      <c r="N27" s="57">
        <v>14006</v>
      </c>
      <c r="O27" s="57">
        <v>2759.8</v>
      </c>
      <c r="P27" s="24">
        <f t="shared" si="3"/>
        <v>0.19704412394687992</v>
      </c>
    </row>
    <row r="28" spans="1:16" x14ac:dyDescent="0.6">
      <c r="A28" s="20">
        <v>46137</v>
      </c>
      <c r="B28" s="57">
        <v>30187.7</v>
      </c>
      <c r="C28" s="57">
        <v>5687.1</v>
      </c>
      <c r="D28" s="24">
        <f t="shared" si="0"/>
        <v>0.18839129844274324</v>
      </c>
      <c r="E28" s="20">
        <v>46137</v>
      </c>
      <c r="F28" s="57">
        <v>4990</v>
      </c>
      <c r="G28" s="64">
        <v>2571.6999999999998</v>
      </c>
      <c r="H28" s="24">
        <f t="shared" si="1"/>
        <v>0.51537074148296591</v>
      </c>
      <c r="I28" s="20">
        <v>46137</v>
      </c>
      <c r="J28" s="57">
        <v>7390.4</v>
      </c>
      <c r="K28" s="64">
        <v>770.3</v>
      </c>
      <c r="L28" s="24">
        <f t="shared" si="2"/>
        <v>0.10422981164754276</v>
      </c>
      <c r="M28" s="20">
        <v>46137</v>
      </c>
      <c r="N28" s="57">
        <v>12805</v>
      </c>
      <c r="O28" s="57">
        <v>2581.4</v>
      </c>
      <c r="P28" s="24">
        <f t="shared" si="3"/>
        <v>0.20159312768449825</v>
      </c>
    </row>
    <row r="29" spans="1:16" x14ac:dyDescent="0.6">
      <c r="A29" s="20">
        <v>46138</v>
      </c>
      <c r="B29" s="57">
        <v>27688.6</v>
      </c>
      <c r="C29" s="57">
        <v>5086.8999999999996</v>
      </c>
      <c r="D29" s="24">
        <f t="shared" si="0"/>
        <v>0.18371820893797447</v>
      </c>
      <c r="E29" s="20">
        <v>46138</v>
      </c>
      <c r="F29" s="64">
        <v>14385</v>
      </c>
      <c r="G29" s="64">
        <v>3138.2</v>
      </c>
      <c r="H29" s="24">
        <f t="shared" si="1"/>
        <v>0.21815780326729231</v>
      </c>
      <c r="I29" s="20">
        <v>46138</v>
      </c>
      <c r="J29" s="57">
        <v>2675.5</v>
      </c>
      <c r="K29" s="64">
        <v>379.1</v>
      </c>
      <c r="L29" s="24">
        <f t="shared" si="2"/>
        <v>0.14169314146888434</v>
      </c>
      <c r="M29" s="20">
        <v>46138</v>
      </c>
      <c r="N29" s="57">
        <v>13932</v>
      </c>
      <c r="O29" s="57">
        <v>2242.1999999999998</v>
      </c>
      <c r="P29" s="24">
        <f t="shared" si="3"/>
        <v>0.16093884582256673</v>
      </c>
    </row>
    <row r="30" spans="1:16" x14ac:dyDescent="0.6">
      <c r="A30" s="20">
        <v>46139</v>
      </c>
      <c r="B30" s="57">
        <v>14316.3</v>
      </c>
      <c r="C30" s="57">
        <v>3759.7</v>
      </c>
      <c r="D30" s="24">
        <f t="shared" si="0"/>
        <v>0.26261673756487358</v>
      </c>
      <c r="E30" s="20">
        <v>46139</v>
      </c>
      <c r="F30" s="64">
        <v>40779</v>
      </c>
      <c r="G30" s="64">
        <v>2330.5</v>
      </c>
      <c r="H30" s="24">
        <f t="shared" si="1"/>
        <v>5.7149513229848695E-2</v>
      </c>
      <c r="I30" s="20">
        <v>46139</v>
      </c>
      <c r="J30" s="57">
        <v>6312.9</v>
      </c>
      <c r="K30" s="64">
        <v>516.6</v>
      </c>
      <c r="L30" s="24">
        <f t="shared" si="2"/>
        <v>8.1832438340540811E-2</v>
      </c>
      <c r="M30" s="20">
        <v>46139</v>
      </c>
      <c r="N30" s="57">
        <v>14265</v>
      </c>
      <c r="O30" s="57">
        <v>2208.1999999999998</v>
      </c>
      <c r="P30" s="24">
        <f t="shared" si="3"/>
        <v>0.15479845776375745</v>
      </c>
    </row>
    <row r="31" spans="1:16" x14ac:dyDescent="0.6">
      <c r="A31" s="20">
        <v>46140</v>
      </c>
      <c r="B31" s="63">
        <v>27711.200000000001</v>
      </c>
      <c r="C31" s="63">
        <v>6298.5</v>
      </c>
      <c r="D31" s="24">
        <f t="shared" si="0"/>
        <v>0.22729077051877941</v>
      </c>
      <c r="E31" s="20">
        <v>46140</v>
      </c>
      <c r="F31" s="57">
        <v>4250</v>
      </c>
      <c r="G31" s="64">
        <v>2443.3000000000002</v>
      </c>
      <c r="H31" s="24">
        <f t="shared" si="1"/>
        <v>0.57489411764705889</v>
      </c>
      <c r="I31" s="20">
        <v>46140</v>
      </c>
      <c r="J31" s="57">
        <v>6199</v>
      </c>
      <c r="K31" s="64">
        <v>603.29999999999995</v>
      </c>
      <c r="L31" s="24">
        <f t="shared" si="2"/>
        <v>9.7322148733666708E-2</v>
      </c>
      <c r="M31" s="20">
        <v>46140</v>
      </c>
      <c r="N31" s="63">
        <v>20281</v>
      </c>
      <c r="O31" s="63">
        <v>3616.5</v>
      </c>
      <c r="P31" s="24">
        <f t="shared" si="3"/>
        <v>0.17831960948671169</v>
      </c>
    </row>
    <row r="32" spans="1:16" x14ac:dyDescent="0.6">
      <c r="A32" s="20">
        <v>46141</v>
      </c>
      <c r="B32" s="63">
        <v>19237.400000000001</v>
      </c>
      <c r="C32" s="63">
        <v>4894.5</v>
      </c>
      <c r="D32" s="24">
        <f t="shared" si="0"/>
        <v>0.25442627382078659</v>
      </c>
      <c r="E32" s="20">
        <v>46141</v>
      </c>
      <c r="F32" s="57">
        <v>5263</v>
      </c>
      <c r="G32" s="64">
        <v>2071.9</v>
      </c>
      <c r="H32" s="24">
        <f t="shared" si="1"/>
        <v>0.39367281018430555</v>
      </c>
      <c r="I32" s="20">
        <v>46141</v>
      </c>
      <c r="J32" s="57">
        <v>4744.6000000000004</v>
      </c>
      <c r="K32" s="64">
        <v>425.6</v>
      </c>
      <c r="L32" s="24">
        <f t="shared" si="2"/>
        <v>8.9701976984361165E-2</v>
      </c>
      <c r="M32" s="20">
        <v>46141</v>
      </c>
      <c r="N32" s="63">
        <v>17156</v>
      </c>
      <c r="O32" s="63">
        <v>3349.4</v>
      </c>
      <c r="P32" s="24">
        <f t="shared" si="3"/>
        <v>0.19523198880858009</v>
      </c>
    </row>
    <row r="33" spans="1:16 16384:16384" x14ac:dyDescent="0.6">
      <c r="A33" s="20">
        <v>46142</v>
      </c>
      <c r="B33" s="63">
        <v>6492</v>
      </c>
      <c r="C33" s="63">
        <v>5393.6</v>
      </c>
      <c r="D33" s="24">
        <f t="shared" si="0"/>
        <v>0.83080714725816396</v>
      </c>
      <c r="E33" s="20">
        <v>46142</v>
      </c>
      <c r="F33" s="57">
        <v>3230</v>
      </c>
      <c r="G33" s="64">
        <v>1944.4</v>
      </c>
      <c r="H33" s="24">
        <f t="shared" si="1"/>
        <v>0.60198142414860689</v>
      </c>
      <c r="I33" s="20">
        <v>46142</v>
      </c>
      <c r="J33" s="57">
        <v>5428.6</v>
      </c>
      <c r="K33" s="64">
        <v>201.1</v>
      </c>
      <c r="L33" s="24">
        <f t="shared" si="2"/>
        <v>3.7044541870832254E-2</v>
      </c>
      <c r="M33" s="20">
        <v>46142</v>
      </c>
      <c r="N33" s="63">
        <v>14731</v>
      </c>
      <c r="O33" s="63">
        <v>3010.8</v>
      </c>
      <c r="P33" s="24">
        <f t="shared" si="3"/>
        <v>0.20438530989070669</v>
      </c>
    </row>
    <row r="34" spans="1:16 16384:16384" x14ac:dyDescent="0.6">
      <c r="A34" s="20">
        <v>46143</v>
      </c>
      <c r="B34" s="63"/>
      <c r="C34" s="63"/>
      <c r="D34" s="24" t="e">
        <f t="shared" si="0"/>
        <v>#DIV/0!</v>
      </c>
      <c r="E34" s="20">
        <v>46143</v>
      </c>
      <c r="F34" s="64"/>
      <c r="G34" s="64"/>
      <c r="H34" s="24" t="e">
        <f t="shared" si="1"/>
        <v>#DIV/0!</v>
      </c>
      <c r="I34" s="20">
        <v>46143</v>
      </c>
      <c r="J34" s="64"/>
      <c r="K34" s="64"/>
      <c r="L34" s="24" t="e">
        <f t="shared" si="2"/>
        <v>#DIV/0!</v>
      </c>
      <c r="M34" s="20">
        <v>46143</v>
      </c>
      <c r="N34" s="63"/>
      <c r="O34" s="63"/>
      <c r="P34" s="24" t="e">
        <f t="shared" si="3"/>
        <v>#DIV/0!</v>
      </c>
    </row>
    <row r="35" spans="1:16 16384:16384" s="17" customFormat="1" ht="27" thickBot="1" x14ac:dyDescent="0.75">
      <c r="A35" s="16" t="s">
        <v>10</v>
      </c>
      <c r="B35" s="59">
        <f>SUM(B4:B34)</f>
        <v>716790.89999999979</v>
      </c>
      <c r="C35" s="59">
        <f t="shared" ref="C35" si="4">SUM(C4:C34)</f>
        <v>138044.69999999998</v>
      </c>
      <c r="D35" s="15" t="s">
        <v>40</v>
      </c>
      <c r="E35" s="16" t="s">
        <v>10</v>
      </c>
      <c r="F35" s="59">
        <f>SUM(F4:F34)</f>
        <v>355371</v>
      </c>
      <c r="G35" s="59">
        <f t="shared" ref="G35" si="5">SUM(G4:G34)</f>
        <v>59360.099999999991</v>
      </c>
      <c r="H35" s="15" t="s">
        <v>40</v>
      </c>
      <c r="I35" s="16" t="s">
        <v>10</v>
      </c>
      <c r="J35" s="59">
        <f>SUM(J4:J34)</f>
        <v>169730.49999999997</v>
      </c>
      <c r="K35" s="59">
        <f t="shared" ref="K35" si="6">SUM(K4:K34)</f>
        <v>15728.4</v>
      </c>
      <c r="L35" s="15" t="s">
        <v>40</v>
      </c>
      <c r="M35" s="16" t="s">
        <v>10</v>
      </c>
      <c r="N35" s="59">
        <f>SUM(N4:N34)</f>
        <v>475333</v>
      </c>
      <c r="O35" s="59">
        <f t="shared" ref="O35" si="7">SUM(O4:O34)</f>
        <v>84053.699999999983</v>
      </c>
      <c r="P35" s="15" t="s">
        <v>40</v>
      </c>
      <c r="XFD35" s="17">
        <f>SUM(A35:XFC35)</f>
        <v>2014412.2999999996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x14ac:dyDescent="0.7">
      <c r="A38" s="8"/>
      <c r="B38" s="115" t="s">
        <v>45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55">
        <f>+B35</f>
        <v>716790.89999999979</v>
      </c>
      <c r="D40" s="55">
        <f>+C35</f>
        <v>138044.69999999998</v>
      </c>
      <c r="E40" s="34">
        <f>+D40/C40</f>
        <v>0.19258712687340201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56">
        <f>+F35</f>
        <v>355371</v>
      </c>
      <c r="D41" s="56">
        <f>+G35</f>
        <v>59360.099999999991</v>
      </c>
      <c r="E41" s="34">
        <f t="shared" ref="E41:E42" si="8">+D41/C41</f>
        <v>0.16703698388444749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56">
        <f>+J35</f>
        <v>169730.49999999997</v>
      </c>
      <c r="D42" s="56">
        <f>+K35</f>
        <v>15728.4</v>
      </c>
      <c r="E42" s="34">
        <f t="shared" si="8"/>
        <v>9.2666904298284641E-2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56">
        <f>+N35</f>
        <v>475333</v>
      </c>
      <c r="D43" s="56">
        <f>+O35</f>
        <v>84053.699999999983</v>
      </c>
      <c r="E43" s="34">
        <f>+D43/C43</f>
        <v>0.17683118992369556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61" t="s">
        <v>10</v>
      </c>
      <c r="C44" s="65">
        <f>SUM(C40:C43)</f>
        <v>1717225.4</v>
      </c>
      <c r="D44" s="65">
        <f>SUM(D40:D43)</f>
        <v>297186.89999999997</v>
      </c>
      <c r="E44" s="46">
        <f>+D44/C44</f>
        <v>0.17306225496082225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7CE3-9292-4F04-94EE-9521717EB19D}">
  <sheetPr>
    <tabColor rgb="FF00B0F0"/>
  </sheetPr>
  <dimension ref="A1:XFD70"/>
  <sheetViews>
    <sheetView zoomScale="115" zoomScaleNormal="115" workbookViewId="0">
      <pane xSplit="4" ySplit="3" topLeftCell="E34" activePane="bottomRight" state="frozen"/>
      <selection activeCell="C7" sqref="C7"/>
      <selection pane="topRight" activeCell="C7" sqref="C7"/>
      <selection pane="bottomLeft" activeCell="C7" sqref="C7"/>
      <selection pane="bottomRight" activeCell="H39" sqref="H39"/>
    </sheetView>
  </sheetViews>
  <sheetFormatPr defaultRowHeight="23.4" x14ac:dyDescent="0.6"/>
  <cols>
    <col min="1" max="1" width="9.09765625" style="1" bestFit="1" customWidth="1"/>
    <col min="2" max="2" width="11.3984375" style="1" customWidth="1"/>
    <col min="3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796875" style="1"/>
    <col min="16384" max="16384" width="9" style="1" bestFit="1" customWidth="1"/>
  </cols>
  <sheetData>
    <row r="1" spans="1:16" ht="28.8" x14ac:dyDescent="0.75">
      <c r="A1" s="35" t="s">
        <v>44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38838</v>
      </c>
      <c r="B4" s="62">
        <v>20824.2</v>
      </c>
      <c r="C4" s="57">
        <v>4956.3999999999996</v>
      </c>
      <c r="D4" s="24">
        <f>+C4/B4</f>
        <v>0.23801154426100399</v>
      </c>
      <c r="E4" s="20">
        <v>38838</v>
      </c>
      <c r="F4" s="57">
        <v>4030</v>
      </c>
      <c r="G4" s="57">
        <v>2463.6</v>
      </c>
      <c r="H4" s="24">
        <f>+G4/F4</f>
        <v>0.61131513647642677</v>
      </c>
      <c r="I4" s="20">
        <v>38838</v>
      </c>
      <c r="J4" s="57">
        <v>3853.5</v>
      </c>
      <c r="K4" s="57">
        <v>160</v>
      </c>
      <c r="L4" s="24">
        <f>+K4/J4</f>
        <v>4.1520695471649154E-2</v>
      </c>
      <c r="M4" s="20">
        <v>38838</v>
      </c>
      <c r="N4" s="57">
        <v>19424</v>
      </c>
      <c r="O4" s="57">
        <v>2712.5</v>
      </c>
      <c r="P4" s="24">
        <f>+O4/N4</f>
        <v>0.13964682866556838</v>
      </c>
    </row>
    <row r="5" spans="1:16" x14ac:dyDescent="0.6">
      <c r="A5" s="20">
        <v>38839</v>
      </c>
      <c r="B5" s="62">
        <v>24667.8</v>
      </c>
      <c r="C5" s="57">
        <v>5744.9</v>
      </c>
      <c r="D5" s="24">
        <f t="shared" ref="D5:D32" si="0">+C5/B5</f>
        <v>0.23289065097009057</v>
      </c>
      <c r="E5" s="20">
        <v>38839</v>
      </c>
      <c r="F5" s="57">
        <v>1</v>
      </c>
      <c r="G5" s="57">
        <v>2932.1</v>
      </c>
      <c r="H5" s="24">
        <f>+G5/F5</f>
        <v>2932.1</v>
      </c>
      <c r="I5" s="20">
        <v>38839</v>
      </c>
      <c r="J5" s="57">
        <v>4130.5</v>
      </c>
      <c r="K5" s="57">
        <v>211.5</v>
      </c>
      <c r="L5" s="24">
        <f t="shared" ref="L5:L32" si="1">+K5/J5</f>
        <v>5.1204454666505264E-2</v>
      </c>
      <c r="M5" s="20">
        <v>38839</v>
      </c>
      <c r="N5" s="57">
        <v>21981</v>
      </c>
      <c r="O5" s="57">
        <v>2852.8</v>
      </c>
      <c r="P5" s="24">
        <f t="shared" ref="P5:P34" si="2">+O5/N5</f>
        <v>0.12978481415768164</v>
      </c>
    </row>
    <row r="6" spans="1:16" x14ac:dyDescent="0.6">
      <c r="A6" s="20">
        <v>38840</v>
      </c>
      <c r="B6" s="62">
        <v>21834.6</v>
      </c>
      <c r="C6" s="57">
        <v>5050.8</v>
      </c>
      <c r="D6" s="24">
        <f t="shared" si="0"/>
        <v>0.23132093099942297</v>
      </c>
      <c r="E6" s="20">
        <v>38840</v>
      </c>
      <c r="F6" s="57">
        <v>12955</v>
      </c>
      <c r="G6" s="57">
        <v>3136.3</v>
      </c>
      <c r="H6" s="24">
        <f t="shared" ref="H6:H31" si="3">+G6/F6</f>
        <v>0.24209185642609032</v>
      </c>
      <c r="I6" s="20">
        <v>38840</v>
      </c>
      <c r="J6" s="57">
        <v>2851</v>
      </c>
      <c r="K6" s="57">
        <v>101.2</v>
      </c>
      <c r="L6" s="24">
        <f t="shared" si="1"/>
        <v>3.5496317081725709E-2</v>
      </c>
      <c r="M6" s="20">
        <v>38840</v>
      </c>
      <c r="N6" s="57">
        <v>10624</v>
      </c>
      <c r="O6" s="57">
        <v>1668.2</v>
      </c>
      <c r="P6" s="24">
        <f t="shared" si="2"/>
        <v>0.15702183734939759</v>
      </c>
    </row>
    <row r="7" spans="1:16" x14ac:dyDescent="0.6">
      <c r="A7" s="20">
        <v>38841</v>
      </c>
      <c r="B7" s="62">
        <v>30402.799999999999</v>
      </c>
      <c r="C7" s="57">
        <v>6867.8</v>
      </c>
      <c r="D7" s="24">
        <f t="shared" si="0"/>
        <v>0.22589366768850239</v>
      </c>
      <c r="E7" s="20">
        <v>38841</v>
      </c>
      <c r="F7" s="57">
        <v>42783</v>
      </c>
      <c r="G7" s="57">
        <v>2250.4</v>
      </c>
      <c r="H7" s="24">
        <f t="shared" si="3"/>
        <v>5.2600331907533368E-2</v>
      </c>
      <c r="I7" s="20">
        <v>38841</v>
      </c>
      <c r="J7" s="57">
        <v>6066.5</v>
      </c>
      <c r="K7" s="57">
        <v>217.4</v>
      </c>
      <c r="L7" s="24">
        <f t="shared" si="1"/>
        <v>3.5836149344762216E-2</v>
      </c>
      <c r="M7" s="20">
        <v>38841</v>
      </c>
      <c r="N7" s="57">
        <v>21937</v>
      </c>
      <c r="O7" s="57">
        <v>3661.5</v>
      </c>
      <c r="P7" s="24">
        <f t="shared" si="2"/>
        <v>0.16690978711765511</v>
      </c>
    </row>
    <row r="8" spans="1:16" x14ac:dyDescent="0.6">
      <c r="A8" s="20">
        <v>38842</v>
      </c>
      <c r="B8" s="62">
        <v>33558</v>
      </c>
      <c r="C8" s="57">
        <v>7253.6</v>
      </c>
      <c r="D8" s="24">
        <f t="shared" si="0"/>
        <v>0.21615114130758686</v>
      </c>
      <c r="E8" s="20">
        <v>38842</v>
      </c>
      <c r="F8" s="57">
        <v>5098</v>
      </c>
      <c r="G8" s="57">
        <v>3089.1</v>
      </c>
      <c r="H8" s="24">
        <f t="shared" si="3"/>
        <v>0.60594350725774815</v>
      </c>
      <c r="I8" s="20">
        <v>38842</v>
      </c>
      <c r="J8" s="57">
        <v>4067.3</v>
      </c>
      <c r="K8" s="57">
        <v>280.3</v>
      </c>
      <c r="L8" s="24">
        <f t="shared" si="1"/>
        <v>6.8915496766896955E-2</v>
      </c>
      <c r="M8" s="20">
        <v>38842</v>
      </c>
      <c r="N8" s="57">
        <v>12078</v>
      </c>
      <c r="O8" s="57">
        <v>1965.1</v>
      </c>
      <c r="P8" s="24">
        <f t="shared" si="2"/>
        <v>0.16270077827454876</v>
      </c>
    </row>
    <row r="9" spans="1:16" x14ac:dyDescent="0.6">
      <c r="A9" s="20">
        <v>38843</v>
      </c>
      <c r="B9" s="62">
        <v>35225.800000000003</v>
      </c>
      <c r="C9" s="57">
        <v>6138.9</v>
      </c>
      <c r="D9" s="24">
        <f t="shared" si="0"/>
        <v>0.17427283411590366</v>
      </c>
      <c r="E9" s="20">
        <v>38843</v>
      </c>
      <c r="F9" s="57">
        <v>8643.6</v>
      </c>
      <c r="G9" s="57">
        <v>2639.5</v>
      </c>
      <c r="H9" s="24">
        <f t="shared" si="3"/>
        <v>0.30537044749872738</v>
      </c>
      <c r="I9" s="20">
        <v>38843</v>
      </c>
      <c r="J9" s="57">
        <v>4405.1000000000004</v>
      </c>
      <c r="K9" s="57">
        <v>185.6</v>
      </c>
      <c r="L9" s="24">
        <f t="shared" si="1"/>
        <v>4.2132982225148122E-2</v>
      </c>
      <c r="M9" s="20">
        <v>38843</v>
      </c>
      <c r="N9" s="57">
        <v>8892</v>
      </c>
      <c r="O9" s="57">
        <v>1991.4</v>
      </c>
      <c r="P9" s="24">
        <f t="shared" si="2"/>
        <v>0.22395411605937923</v>
      </c>
    </row>
    <row r="10" spans="1:16" x14ac:dyDescent="0.6">
      <c r="A10" s="20">
        <v>38844</v>
      </c>
      <c r="B10" s="62">
        <v>18761.3</v>
      </c>
      <c r="C10" s="57">
        <v>2698</v>
      </c>
      <c r="D10" s="24">
        <f t="shared" si="0"/>
        <v>0.14380666584938145</v>
      </c>
      <c r="E10" s="20">
        <v>38844</v>
      </c>
      <c r="F10" s="57">
        <v>15753</v>
      </c>
      <c r="G10" s="57">
        <v>2572</v>
      </c>
      <c r="H10" s="24">
        <f t="shared" si="3"/>
        <v>0.16327048816098522</v>
      </c>
      <c r="I10" s="20">
        <v>38844</v>
      </c>
      <c r="J10" s="57">
        <v>2560.1</v>
      </c>
      <c r="K10" s="57">
        <v>228.8</v>
      </c>
      <c r="L10" s="24">
        <f t="shared" si="1"/>
        <v>8.9371508925432608E-2</v>
      </c>
      <c r="M10" s="20">
        <v>38844</v>
      </c>
      <c r="N10" s="57">
        <v>8992</v>
      </c>
      <c r="O10" s="57">
        <v>1853.6</v>
      </c>
      <c r="P10" s="24">
        <f t="shared" si="2"/>
        <v>0.20613879003558719</v>
      </c>
    </row>
    <row r="11" spans="1:16" x14ac:dyDescent="0.6">
      <c r="A11" s="20">
        <v>38845</v>
      </c>
      <c r="B11" s="62">
        <v>35459.699999999997</v>
      </c>
      <c r="C11" s="57">
        <v>6285.5</v>
      </c>
      <c r="D11" s="24">
        <f>+C11/B11</f>
        <v>0.17725756281074009</v>
      </c>
      <c r="E11" s="20">
        <v>38845</v>
      </c>
      <c r="F11" s="57">
        <v>5026</v>
      </c>
      <c r="G11" s="57">
        <v>2590.8000000000002</v>
      </c>
      <c r="H11" s="24">
        <f t="shared" si="3"/>
        <v>0.51547950656585761</v>
      </c>
      <c r="I11" s="20">
        <v>38845</v>
      </c>
      <c r="J11" s="57">
        <v>5721.7</v>
      </c>
      <c r="K11" s="57">
        <v>245.9</v>
      </c>
      <c r="L11" s="24">
        <f t="shared" si="1"/>
        <v>4.2976737682856495E-2</v>
      </c>
      <c r="M11" s="20">
        <v>38845</v>
      </c>
      <c r="N11" s="57">
        <v>14186</v>
      </c>
      <c r="O11" s="57">
        <v>2068.9</v>
      </c>
      <c r="P11" s="24">
        <f t="shared" si="2"/>
        <v>0.14584096997039336</v>
      </c>
    </row>
    <row r="12" spans="1:16" x14ac:dyDescent="0.6">
      <c r="A12" s="20">
        <v>38846</v>
      </c>
      <c r="B12" s="62">
        <v>28890.5</v>
      </c>
      <c r="C12" s="57">
        <v>5524.9</v>
      </c>
      <c r="D12" s="24">
        <f t="shared" si="0"/>
        <v>0.19123587338398434</v>
      </c>
      <c r="E12" s="20">
        <v>38846</v>
      </c>
      <c r="F12" s="57">
        <v>199</v>
      </c>
      <c r="G12" s="57">
        <v>2238.8000000000002</v>
      </c>
      <c r="H12" s="24">
        <f t="shared" si="3"/>
        <v>11.250251256281407</v>
      </c>
      <c r="I12" s="20">
        <v>38846</v>
      </c>
      <c r="J12" s="57">
        <v>3714.2</v>
      </c>
      <c r="K12" s="57">
        <v>326.7</v>
      </c>
      <c r="L12" s="24">
        <f t="shared" si="1"/>
        <v>8.7959722147434166E-2</v>
      </c>
      <c r="M12" s="20">
        <v>38846</v>
      </c>
      <c r="N12" s="57">
        <v>14053</v>
      </c>
      <c r="O12" s="57">
        <v>2076.6999999999998</v>
      </c>
      <c r="P12" s="24">
        <f t="shared" si="2"/>
        <v>0.14777627552835693</v>
      </c>
    </row>
    <row r="13" spans="1:16" x14ac:dyDescent="0.6">
      <c r="A13" s="20">
        <v>38847</v>
      </c>
      <c r="B13" s="62">
        <v>22764</v>
      </c>
      <c r="C13" s="57">
        <v>3987.2</v>
      </c>
      <c r="D13" s="24">
        <f t="shared" si="0"/>
        <v>0.17515375153751536</v>
      </c>
      <c r="E13" s="20">
        <v>38847</v>
      </c>
      <c r="F13" s="57">
        <v>23988</v>
      </c>
      <c r="G13" s="57">
        <v>2516.6</v>
      </c>
      <c r="H13" s="24">
        <f t="shared" si="3"/>
        <v>0.10491078872769717</v>
      </c>
      <c r="I13" s="20">
        <v>38847</v>
      </c>
      <c r="J13" s="57">
        <v>2601.1</v>
      </c>
      <c r="K13" s="57">
        <v>226.6</v>
      </c>
      <c r="L13" s="24">
        <f t="shared" si="1"/>
        <v>8.7116988966206607E-2</v>
      </c>
      <c r="M13" s="20">
        <v>38847</v>
      </c>
      <c r="N13" s="57">
        <v>10632</v>
      </c>
      <c r="O13" s="57">
        <v>1807.2</v>
      </c>
      <c r="P13" s="24">
        <f t="shared" si="2"/>
        <v>0.16997742663656884</v>
      </c>
    </row>
    <row r="14" spans="1:16" x14ac:dyDescent="0.6">
      <c r="A14" s="20">
        <v>38848</v>
      </c>
      <c r="B14" s="62">
        <v>20760.3</v>
      </c>
      <c r="C14" s="57">
        <v>3751.9</v>
      </c>
      <c r="D14" s="24">
        <f t="shared" si="0"/>
        <v>0.18072474867896901</v>
      </c>
      <c r="E14" s="20">
        <v>38848</v>
      </c>
      <c r="F14" s="57">
        <v>42558</v>
      </c>
      <c r="G14" s="57">
        <v>2549.6999999999998</v>
      </c>
      <c r="H14" s="24">
        <f t="shared" si="3"/>
        <v>5.9911180036655853E-2</v>
      </c>
      <c r="I14" s="20">
        <v>38848</v>
      </c>
      <c r="J14" s="57">
        <v>6545.9</v>
      </c>
      <c r="K14" s="57">
        <v>258.39999999999998</v>
      </c>
      <c r="L14" s="24">
        <f t="shared" si="1"/>
        <v>3.9475091278510212E-2</v>
      </c>
      <c r="M14" s="20">
        <v>38848</v>
      </c>
      <c r="N14" s="57">
        <v>13760</v>
      </c>
      <c r="O14" s="57">
        <v>2243.1999999999998</v>
      </c>
      <c r="P14" s="24">
        <f t="shared" si="2"/>
        <v>0.16302325581395347</v>
      </c>
    </row>
    <row r="15" spans="1:16" x14ac:dyDescent="0.6">
      <c r="A15" s="20">
        <v>38849</v>
      </c>
      <c r="B15" s="62">
        <v>17775.3</v>
      </c>
      <c r="C15" s="57">
        <v>3240</v>
      </c>
      <c r="D15" s="24">
        <f t="shared" si="0"/>
        <v>0.18227540463452094</v>
      </c>
      <c r="E15" s="20">
        <v>38849</v>
      </c>
      <c r="F15" s="57">
        <v>8755</v>
      </c>
      <c r="G15" s="57">
        <v>1792.6</v>
      </c>
      <c r="H15" s="24">
        <f t="shared" si="3"/>
        <v>0.20475157053112505</v>
      </c>
      <c r="I15" s="20">
        <v>38849</v>
      </c>
      <c r="J15" s="57">
        <v>3993.2</v>
      </c>
      <c r="K15" s="57">
        <v>445.8</v>
      </c>
      <c r="L15" s="24">
        <f t="shared" si="1"/>
        <v>0.11163978763898628</v>
      </c>
      <c r="M15" s="20">
        <v>38849</v>
      </c>
      <c r="N15" s="57">
        <v>50797</v>
      </c>
      <c r="O15" s="57">
        <v>3951.5</v>
      </c>
      <c r="P15" s="24">
        <f t="shared" si="2"/>
        <v>7.7790026970096654E-2</v>
      </c>
    </row>
    <row r="16" spans="1:16" x14ac:dyDescent="0.6">
      <c r="A16" s="20">
        <v>38850</v>
      </c>
      <c r="B16" s="62">
        <v>15167.1</v>
      </c>
      <c r="C16" s="57">
        <v>2590.6999999999998</v>
      </c>
      <c r="D16" s="24">
        <f t="shared" si="0"/>
        <v>0.17081050431526132</v>
      </c>
      <c r="E16" s="20">
        <v>38850</v>
      </c>
      <c r="F16" s="57">
        <v>11375</v>
      </c>
      <c r="G16" s="57">
        <v>1947.3</v>
      </c>
      <c r="H16" s="24">
        <f t="shared" si="3"/>
        <v>0.17119120879120878</v>
      </c>
      <c r="I16" s="20">
        <v>38850</v>
      </c>
      <c r="J16" s="57">
        <v>4925.5</v>
      </c>
      <c r="K16" s="57">
        <v>525.29999999999995</v>
      </c>
      <c r="L16" s="24">
        <f t="shared" si="1"/>
        <v>0.10664907116028828</v>
      </c>
      <c r="M16" s="20">
        <v>38850</v>
      </c>
      <c r="N16" s="57">
        <v>11631</v>
      </c>
      <c r="O16" s="57">
        <v>2165.1999999999998</v>
      </c>
      <c r="P16" s="24">
        <f t="shared" si="2"/>
        <v>0.18615768205657293</v>
      </c>
    </row>
    <row r="17" spans="1:16" x14ac:dyDescent="0.6">
      <c r="A17" s="20">
        <v>38851</v>
      </c>
      <c r="B17" s="62">
        <v>21343.8</v>
      </c>
      <c r="C17" s="57">
        <v>3988.6</v>
      </c>
      <c r="D17" s="24">
        <f t="shared" si="0"/>
        <v>0.18687393997320065</v>
      </c>
      <c r="E17" s="20">
        <v>38851</v>
      </c>
      <c r="F17" s="57">
        <v>10960</v>
      </c>
      <c r="G17" s="57">
        <v>1696.7</v>
      </c>
      <c r="H17" s="24">
        <f t="shared" si="3"/>
        <v>0.15480839416058395</v>
      </c>
      <c r="I17" s="20">
        <v>38851</v>
      </c>
      <c r="J17" s="57">
        <v>3120</v>
      </c>
      <c r="K17" s="57">
        <v>440.2</v>
      </c>
      <c r="L17" s="24">
        <f t="shared" si="1"/>
        <v>0.14108974358974358</v>
      </c>
      <c r="M17" s="20">
        <v>38851</v>
      </c>
      <c r="N17" s="57">
        <v>15636</v>
      </c>
      <c r="O17" s="57">
        <v>1856.9</v>
      </c>
      <c r="P17" s="24">
        <f t="shared" si="2"/>
        <v>0.11875799437196215</v>
      </c>
    </row>
    <row r="18" spans="1:16" x14ac:dyDescent="0.6">
      <c r="A18" s="20">
        <v>38852</v>
      </c>
      <c r="B18" s="62">
        <v>22870.2</v>
      </c>
      <c r="C18" s="57">
        <v>5052.6000000000004</v>
      </c>
      <c r="D18" s="24">
        <f t="shared" si="0"/>
        <v>0.22092504656714854</v>
      </c>
      <c r="E18" s="20">
        <v>38852</v>
      </c>
      <c r="F18" s="57">
        <v>2847</v>
      </c>
      <c r="G18" s="57">
        <v>1624.1</v>
      </c>
      <c r="H18" s="24">
        <f t="shared" si="3"/>
        <v>0.57046013347383207</v>
      </c>
      <c r="I18" s="20">
        <v>38852</v>
      </c>
      <c r="J18" s="57">
        <v>5891.3</v>
      </c>
      <c r="K18" s="57">
        <v>715</v>
      </c>
      <c r="L18" s="24">
        <f t="shared" si="1"/>
        <v>0.12136540322169979</v>
      </c>
      <c r="M18" s="20">
        <v>38852</v>
      </c>
      <c r="N18" s="57">
        <v>25425</v>
      </c>
      <c r="O18" s="57">
        <v>4676.3</v>
      </c>
      <c r="P18" s="24">
        <f t="shared" si="2"/>
        <v>0.18392527040314652</v>
      </c>
    </row>
    <row r="19" spans="1:16" x14ac:dyDescent="0.6">
      <c r="A19" s="20">
        <v>38853</v>
      </c>
      <c r="B19" s="62">
        <v>12177.1</v>
      </c>
      <c r="C19" s="57">
        <v>3523.1</v>
      </c>
      <c r="D19" s="24">
        <f t="shared" si="0"/>
        <v>0.28932175969647944</v>
      </c>
      <c r="E19" s="20">
        <v>38853</v>
      </c>
      <c r="F19" s="57">
        <v>1895</v>
      </c>
      <c r="G19" s="57">
        <v>1447.3</v>
      </c>
      <c r="H19" s="24">
        <f t="shared" si="3"/>
        <v>0.76374670184696569</v>
      </c>
      <c r="I19" s="20">
        <v>38853</v>
      </c>
      <c r="J19" s="57">
        <v>3466.5</v>
      </c>
      <c r="K19" s="57">
        <v>461.2</v>
      </c>
      <c r="L19" s="24">
        <f t="shared" si="1"/>
        <v>0.13304485792586182</v>
      </c>
      <c r="M19" s="20">
        <v>38853</v>
      </c>
      <c r="N19" s="57">
        <v>9202</v>
      </c>
      <c r="O19" s="57">
        <v>1430.7</v>
      </c>
      <c r="P19" s="24">
        <f t="shared" si="2"/>
        <v>0.15547707020212997</v>
      </c>
    </row>
    <row r="20" spans="1:16" x14ac:dyDescent="0.6">
      <c r="A20" s="20">
        <v>38854</v>
      </c>
      <c r="B20" s="62">
        <v>80821.2</v>
      </c>
      <c r="C20" s="57">
        <v>4628.5</v>
      </c>
      <c r="D20" s="24">
        <f t="shared" si="0"/>
        <v>5.7268389976887255E-2</v>
      </c>
      <c r="E20" s="20">
        <v>38854</v>
      </c>
      <c r="F20" s="57">
        <v>5644</v>
      </c>
      <c r="G20" s="57">
        <v>1881.2</v>
      </c>
      <c r="H20" s="24">
        <f t="shared" si="3"/>
        <v>0.33330970942593907</v>
      </c>
      <c r="I20" s="20">
        <v>38854</v>
      </c>
      <c r="J20" s="57">
        <v>3590.1</v>
      </c>
      <c r="K20" s="57">
        <v>341</v>
      </c>
      <c r="L20" s="24">
        <f t="shared" si="1"/>
        <v>9.4983426645497346E-2</v>
      </c>
      <c r="M20" s="20">
        <v>38854</v>
      </c>
      <c r="N20" s="57">
        <v>12487</v>
      </c>
      <c r="O20" s="57">
        <v>1739.9</v>
      </c>
      <c r="P20" s="24">
        <f t="shared" si="2"/>
        <v>0.13933691038680229</v>
      </c>
    </row>
    <row r="21" spans="1:16" x14ac:dyDescent="0.6">
      <c r="A21" s="20">
        <v>38855</v>
      </c>
      <c r="B21" s="62">
        <v>49745.7</v>
      </c>
      <c r="C21" s="57">
        <v>6619.1</v>
      </c>
      <c r="D21" s="24">
        <f t="shared" si="0"/>
        <v>0.13305873673503441</v>
      </c>
      <c r="E21" s="20">
        <v>38855</v>
      </c>
      <c r="F21" s="57">
        <v>35680</v>
      </c>
      <c r="G21" s="57">
        <v>1844.4</v>
      </c>
      <c r="H21" s="24">
        <f t="shared" si="3"/>
        <v>5.1692825112107627E-2</v>
      </c>
      <c r="I21" s="20">
        <v>38855</v>
      </c>
      <c r="J21" s="57">
        <v>3803.4</v>
      </c>
      <c r="K21" s="57">
        <v>482.7</v>
      </c>
      <c r="L21" s="24">
        <f t="shared" si="1"/>
        <v>0.12691276226534154</v>
      </c>
      <c r="M21" s="20">
        <v>38855</v>
      </c>
      <c r="N21" s="57">
        <v>15570</v>
      </c>
      <c r="O21" s="57">
        <v>2351.1999999999998</v>
      </c>
      <c r="P21" s="24">
        <f t="shared" si="2"/>
        <v>0.15100834938985228</v>
      </c>
    </row>
    <row r="22" spans="1:16" x14ac:dyDescent="0.6">
      <c r="A22" s="20">
        <v>38856</v>
      </c>
      <c r="B22" s="62">
        <v>35521.300000000003</v>
      </c>
      <c r="C22" s="57">
        <v>5592.6</v>
      </c>
      <c r="D22" s="24">
        <f t="shared" si="0"/>
        <v>0.15744356203179499</v>
      </c>
      <c r="E22" s="20">
        <v>38856</v>
      </c>
      <c r="F22" s="57">
        <v>13696</v>
      </c>
      <c r="G22" s="57">
        <v>2146</v>
      </c>
      <c r="H22" s="24">
        <f t="shared" si="3"/>
        <v>0.15668808411214954</v>
      </c>
      <c r="I22" s="20">
        <v>38856</v>
      </c>
      <c r="J22" s="57">
        <v>5490.5</v>
      </c>
      <c r="K22" s="57">
        <v>560.5</v>
      </c>
      <c r="L22" s="24">
        <f t="shared" si="1"/>
        <v>0.10208542027137783</v>
      </c>
      <c r="M22" s="20">
        <v>38856</v>
      </c>
      <c r="N22" s="57">
        <v>9356</v>
      </c>
      <c r="O22" s="57">
        <v>1533.6</v>
      </c>
      <c r="P22" s="24">
        <f t="shared" si="2"/>
        <v>0.16391620350577168</v>
      </c>
    </row>
    <row r="23" spans="1:16" x14ac:dyDescent="0.6">
      <c r="A23" s="20">
        <v>38857</v>
      </c>
      <c r="B23" s="62">
        <v>22322.3</v>
      </c>
      <c r="C23" s="57">
        <v>3094.1</v>
      </c>
      <c r="D23" s="24">
        <f t="shared" si="0"/>
        <v>0.1386102686551117</v>
      </c>
      <c r="E23" s="20">
        <v>38857</v>
      </c>
      <c r="F23" s="64">
        <v>3525</v>
      </c>
      <c r="G23" s="57">
        <v>1700.9</v>
      </c>
      <c r="H23" s="27">
        <v>0</v>
      </c>
      <c r="I23" s="20">
        <v>38857</v>
      </c>
      <c r="J23" s="57">
        <v>11524.7</v>
      </c>
      <c r="K23" s="57">
        <v>686.8</v>
      </c>
      <c r="L23" s="24">
        <f t="shared" si="1"/>
        <v>5.9593742136454735E-2</v>
      </c>
      <c r="M23" s="20">
        <v>38857</v>
      </c>
      <c r="N23" s="57">
        <v>14931</v>
      </c>
      <c r="O23" s="57">
        <v>2098.8000000000002</v>
      </c>
      <c r="P23" s="24">
        <f t="shared" si="2"/>
        <v>0.14056660638939122</v>
      </c>
    </row>
    <row r="24" spans="1:16" x14ac:dyDescent="0.6">
      <c r="A24" s="20">
        <v>38858</v>
      </c>
      <c r="B24" s="62">
        <v>18281.099999999999</v>
      </c>
      <c r="C24" s="57">
        <v>2931</v>
      </c>
      <c r="D24" s="24">
        <f t="shared" si="0"/>
        <v>0.16032952065247716</v>
      </c>
      <c r="E24" s="20">
        <v>38858</v>
      </c>
      <c r="F24" s="57">
        <v>2962</v>
      </c>
      <c r="G24" s="64">
        <v>1464.3</v>
      </c>
      <c r="H24" s="24">
        <f t="shared" si="3"/>
        <v>0.49436191762322751</v>
      </c>
      <c r="I24" s="20">
        <v>38858</v>
      </c>
      <c r="J24" s="57">
        <v>6459.8</v>
      </c>
      <c r="K24" s="57">
        <v>674.8</v>
      </c>
      <c r="L24" s="24">
        <f t="shared" si="1"/>
        <v>0.10446143843462645</v>
      </c>
      <c r="M24" s="20">
        <v>38858</v>
      </c>
      <c r="N24" s="57">
        <v>7827</v>
      </c>
      <c r="O24" s="57">
        <v>1409.3</v>
      </c>
      <c r="P24" s="24">
        <f t="shared" si="2"/>
        <v>0.18005621566372812</v>
      </c>
    </row>
    <row r="25" spans="1:16" x14ac:dyDescent="0.6">
      <c r="A25" s="20">
        <v>38859</v>
      </c>
      <c r="B25" s="62">
        <v>24249.5</v>
      </c>
      <c r="C25" s="57">
        <v>3802.6</v>
      </c>
      <c r="D25" s="24">
        <f t="shared" si="0"/>
        <v>0.15681148064908554</v>
      </c>
      <c r="E25" s="20">
        <v>38859</v>
      </c>
      <c r="F25" s="57">
        <v>8803</v>
      </c>
      <c r="G25" s="64">
        <v>1592.6</v>
      </c>
      <c r="H25" s="24">
        <f>+G25/F25</f>
        <v>0.18091559695558332</v>
      </c>
      <c r="I25" s="20">
        <v>38859</v>
      </c>
      <c r="J25" s="57">
        <v>4463.8999999999996</v>
      </c>
      <c r="K25" s="64">
        <v>651.1</v>
      </c>
      <c r="L25" s="24">
        <f t="shared" si="1"/>
        <v>0.14585900221779163</v>
      </c>
      <c r="M25" s="20">
        <v>38859</v>
      </c>
      <c r="N25" s="57">
        <v>17587</v>
      </c>
      <c r="O25" s="57">
        <v>2697.3</v>
      </c>
      <c r="P25" s="24">
        <f t="shared" si="2"/>
        <v>0.15336896571331099</v>
      </c>
    </row>
    <row r="26" spans="1:16" x14ac:dyDescent="0.6">
      <c r="A26" s="20">
        <v>38860</v>
      </c>
      <c r="B26" s="62">
        <v>20837.5</v>
      </c>
      <c r="C26" s="57">
        <v>3252</v>
      </c>
      <c r="D26" s="24">
        <f t="shared" si="0"/>
        <v>0.15606478704259147</v>
      </c>
      <c r="E26" s="20">
        <v>38860</v>
      </c>
      <c r="F26" s="57">
        <v>1</v>
      </c>
      <c r="G26" s="64">
        <v>1575.7</v>
      </c>
      <c r="H26" s="24">
        <f t="shared" si="3"/>
        <v>1575.7</v>
      </c>
      <c r="I26" s="20">
        <v>38860</v>
      </c>
      <c r="J26" s="57">
        <v>5167</v>
      </c>
      <c r="K26" s="64">
        <v>602</v>
      </c>
      <c r="L26" s="24">
        <f t="shared" si="1"/>
        <v>0.11650861234759048</v>
      </c>
      <c r="M26" s="20">
        <v>38860</v>
      </c>
      <c r="N26" s="57">
        <v>7734</v>
      </c>
      <c r="O26" s="57">
        <v>1587.2</v>
      </c>
      <c r="P26" s="24">
        <f t="shared" si="2"/>
        <v>0.20522368761313681</v>
      </c>
    </row>
    <row r="27" spans="1:16" x14ac:dyDescent="0.6">
      <c r="A27" s="20">
        <v>38861</v>
      </c>
      <c r="B27" s="62">
        <v>31886.7</v>
      </c>
      <c r="C27" s="57">
        <v>4968.1000000000004</v>
      </c>
      <c r="D27" s="24">
        <f t="shared" si="0"/>
        <v>0.15580477126827172</v>
      </c>
      <c r="E27" s="20">
        <v>38861</v>
      </c>
      <c r="F27" s="57">
        <v>2324</v>
      </c>
      <c r="G27" s="64">
        <v>1946.2</v>
      </c>
      <c r="H27" s="24">
        <f t="shared" si="3"/>
        <v>0.83743545611015491</v>
      </c>
      <c r="I27" s="20">
        <v>38861</v>
      </c>
      <c r="J27" s="57">
        <v>5463.3</v>
      </c>
      <c r="K27" s="64">
        <v>680.4</v>
      </c>
      <c r="L27" s="24">
        <f t="shared" si="1"/>
        <v>0.12454011311844489</v>
      </c>
      <c r="M27" s="20">
        <v>38861</v>
      </c>
      <c r="N27" s="57">
        <v>11227</v>
      </c>
      <c r="O27" s="57">
        <v>1516.9</v>
      </c>
      <c r="P27" s="24">
        <f t="shared" si="2"/>
        <v>0.13511178409192126</v>
      </c>
    </row>
    <row r="28" spans="1:16" x14ac:dyDescent="0.6">
      <c r="A28" s="20">
        <v>38862</v>
      </c>
      <c r="B28" s="57">
        <v>27811.8</v>
      </c>
      <c r="C28" s="57">
        <v>2979.1</v>
      </c>
      <c r="D28" s="24">
        <f t="shared" si="0"/>
        <v>0.10711640382859074</v>
      </c>
      <c r="E28" s="20">
        <v>38862</v>
      </c>
      <c r="F28" s="57">
        <v>20347</v>
      </c>
      <c r="G28" s="64">
        <v>0</v>
      </c>
      <c r="H28" s="24">
        <f t="shared" si="3"/>
        <v>0</v>
      </c>
      <c r="I28" s="20">
        <v>38862</v>
      </c>
      <c r="J28" s="57">
        <v>5354.4</v>
      </c>
      <c r="K28" s="64">
        <v>564.6</v>
      </c>
      <c r="L28" s="24">
        <f t="shared" si="1"/>
        <v>0.10544598834603318</v>
      </c>
      <c r="M28" s="20">
        <v>38862</v>
      </c>
      <c r="N28" s="57">
        <v>22343</v>
      </c>
      <c r="O28" s="57">
        <v>4349.5</v>
      </c>
      <c r="P28" s="24">
        <f t="shared" si="2"/>
        <v>0.19466947142281699</v>
      </c>
    </row>
    <row r="29" spans="1:16" x14ac:dyDescent="0.6">
      <c r="A29" s="20">
        <v>38863</v>
      </c>
      <c r="B29" s="57">
        <v>34695.599999999999</v>
      </c>
      <c r="C29" s="57">
        <v>4202.6000000000004</v>
      </c>
      <c r="D29" s="24">
        <f t="shared" si="0"/>
        <v>0.12112775106929986</v>
      </c>
      <c r="E29" s="20">
        <v>38863</v>
      </c>
      <c r="F29" s="64">
        <v>6547</v>
      </c>
      <c r="G29" s="64">
        <v>0</v>
      </c>
      <c r="H29" s="24">
        <v>0</v>
      </c>
      <c r="I29" s="20">
        <v>38863</v>
      </c>
      <c r="J29" s="57">
        <v>4652.2</v>
      </c>
      <c r="K29" s="64">
        <v>443</v>
      </c>
      <c r="L29" s="24">
        <v>0</v>
      </c>
      <c r="M29" s="20">
        <v>38863</v>
      </c>
      <c r="N29" s="57">
        <v>18508</v>
      </c>
      <c r="O29" s="57">
        <v>3267.4</v>
      </c>
      <c r="P29" s="24">
        <f t="shared" si="2"/>
        <v>0.17653987464880053</v>
      </c>
    </row>
    <row r="30" spans="1:16" x14ac:dyDescent="0.6">
      <c r="A30" s="20">
        <v>38864</v>
      </c>
      <c r="B30" s="57">
        <v>25360</v>
      </c>
      <c r="C30" s="57">
        <v>4474.2</v>
      </c>
      <c r="D30" s="24">
        <f t="shared" si="0"/>
        <v>0.17642744479495268</v>
      </c>
      <c r="E30" s="20">
        <v>38864</v>
      </c>
      <c r="F30" s="64">
        <v>1808</v>
      </c>
      <c r="G30" s="64">
        <v>0</v>
      </c>
      <c r="H30" s="24">
        <v>0</v>
      </c>
      <c r="I30" s="20">
        <v>38864</v>
      </c>
      <c r="J30" s="57">
        <v>5598</v>
      </c>
      <c r="K30" s="64">
        <v>631</v>
      </c>
      <c r="L30" s="24">
        <f t="shared" si="1"/>
        <v>0.11271882815291176</v>
      </c>
      <c r="M30" s="20">
        <v>38864</v>
      </c>
      <c r="N30" s="57">
        <v>11014</v>
      </c>
      <c r="O30" s="57">
        <v>1604.9</v>
      </c>
      <c r="P30" s="24">
        <f t="shared" si="2"/>
        <v>0.14571454512438714</v>
      </c>
    </row>
    <row r="31" spans="1:16" x14ac:dyDescent="0.6">
      <c r="A31" s="20">
        <v>38865</v>
      </c>
      <c r="B31" s="63">
        <v>27154</v>
      </c>
      <c r="C31" s="63">
        <v>3684.8</v>
      </c>
      <c r="D31" s="24">
        <f t="shared" si="0"/>
        <v>0.135700081019371</v>
      </c>
      <c r="E31" s="20">
        <v>38865</v>
      </c>
      <c r="F31" s="57">
        <v>9916</v>
      </c>
      <c r="G31" s="64">
        <v>0</v>
      </c>
      <c r="H31" s="24">
        <f t="shared" si="3"/>
        <v>0</v>
      </c>
      <c r="I31" s="20">
        <v>38865</v>
      </c>
      <c r="J31" s="57">
        <v>5366.6</v>
      </c>
      <c r="K31" s="64">
        <v>606.6</v>
      </c>
      <c r="L31" s="24">
        <v>0</v>
      </c>
      <c r="M31" s="20">
        <v>38865</v>
      </c>
      <c r="N31" s="63">
        <v>5830</v>
      </c>
      <c r="O31" s="63">
        <v>235.9</v>
      </c>
      <c r="P31" s="24">
        <f t="shared" si="2"/>
        <v>4.0463121783876503E-2</v>
      </c>
    </row>
    <row r="32" spans="1:16" x14ac:dyDescent="0.6">
      <c r="A32" s="20">
        <v>38866</v>
      </c>
      <c r="B32" s="63">
        <v>27772.9</v>
      </c>
      <c r="C32" s="63">
        <v>3996.3</v>
      </c>
      <c r="D32" s="24">
        <f t="shared" si="0"/>
        <v>0.14389206744704369</v>
      </c>
      <c r="E32" s="20">
        <v>38866</v>
      </c>
      <c r="F32" s="57">
        <v>4704</v>
      </c>
      <c r="G32" s="64">
        <v>3290.3</v>
      </c>
      <c r="H32" s="24">
        <v>0</v>
      </c>
      <c r="I32" s="20">
        <v>38866</v>
      </c>
      <c r="J32" s="57">
        <v>2675.5</v>
      </c>
      <c r="K32" s="64">
        <v>352.1</v>
      </c>
      <c r="L32" s="24">
        <f t="shared" si="1"/>
        <v>0.13160156980003737</v>
      </c>
      <c r="M32" s="20">
        <v>38866</v>
      </c>
      <c r="N32" s="63">
        <v>7973</v>
      </c>
      <c r="O32" s="63">
        <v>0</v>
      </c>
      <c r="P32" s="24">
        <f t="shared" si="2"/>
        <v>0</v>
      </c>
    </row>
    <row r="33" spans="1:16 16384:16384" x14ac:dyDescent="0.6">
      <c r="A33" s="20">
        <v>38867</v>
      </c>
      <c r="B33" s="63">
        <v>25046.3</v>
      </c>
      <c r="C33" s="63">
        <v>3325.3</v>
      </c>
      <c r="D33" s="24">
        <v>0</v>
      </c>
      <c r="E33" s="20">
        <v>38867</v>
      </c>
      <c r="F33" s="57">
        <v>3620</v>
      </c>
      <c r="G33" s="64">
        <v>0</v>
      </c>
      <c r="H33" s="24">
        <v>0</v>
      </c>
      <c r="I33" s="20">
        <v>38867</v>
      </c>
      <c r="J33" s="57">
        <v>5465.6</v>
      </c>
      <c r="K33" s="64">
        <v>343.5</v>
      </c>
      <c r="L33" s="24">
        <v>0</v>
      </c>
      <c r="M33" s="20">
        <v>38867</v>
      </c>
      <c r="N33" s="63">
        <v>10742</v>
      </c>
      <c r="O33" s="63">
        <v>1387.5</v>
      </c>
      <c r="P33" s="24">
        <v>0</v>
      </c>
    </row>
    <row r="34" spans="1:16 16384:16384" x14ac:dyDescent="0.6">
      <c r="A34" s="20">
        <v>38868</v>
      </c>
      <c r="B34" s="63">
        <v>28088.400000000001</v>
      </c>
      <c r="C34" s="63">
        <v>3563.3</v>
      </c>
      <c r="D34" s="24">
        <v>0</v>
      </c>
      <c r="E34" s="20">
        <v>38868</v>
      </c>
      <c r="F34" s="64">
        <v>3556</v>
      </c>
      <c r="G34" s="64">
        <v>0</v>
      </c>
      <c r="H34" s="24">
        <v>0</v>
      </c>
      <c r="I34" s="20">
        <v>38868</v>
      </c>
      <c r="J34" s="64">
        <v>4733.2</v>
      </c>
      <c r="K34" s="64">
        <v>236.9</v>
      </c>
      <c r="L34" s="24">
        <v>0</v>
      </c>
      <c r="M34" s="20">
        <v>38868</v>
      </c>
      <c r="N34" s="63">
        <v>8986</v>
      </c>
      <c r="O34" s="63">
        <v>1329.8</v>
      </c>
      <c r="P34" s="24">
        <f t="shared" si="2"/>
        <v>0.14798575561985311</v>
      </c>
    </row>
    <row r="35" spans="1:16 16384:16384" s="17" customFormat="1" ht="27" thickBot="1" x14ac:dyDescent="0.75">
      <c r="A35" s="16" t="s">
        <v>10</v>
      </c>
      <c r="B35" s="59">
        <f>SUM(B4:B34)</f>
        <v>862076.8</v>
      </c>
      <c r="C35" s="59">
        <f t="shared" ref="C35" si="4">SUM(C4:C34)</f>
        <v>137768.50000000003</v>
      </c>
      <c r="D35" s="15" t="s">
        <v>40</v>
      </c>
      <c r="E35" s="16" t="s">
        <v>10</v>
      </c>
      <c r="F35" s="59">
        <f>SUM(F4:F34)</f>
        <v>319999.59999999998</v>
      </c>
      <c r="G35" s="59">
        <f t="shared" ref="G35" si="5">SUM(G4:G34)</f>
        <v>54928.499999999993</v>
      </c>
      <c r="H35" s="15" t="s">
        <v>40</v>
      </c>
      <c r="I35" s="16" t="s">
        <v>10</v>
      </c>
      <c r="J35" s="59">
        <f>SUM(J4:J34)</f>
        <v>147721.60000000001</v>
      </c>
      <c r="K35" s="59">
        <f t="shared" ref="K35" si="6">SUM(K4:K34)</f>
        <v>12886.9</v>
      </c>
      <c r="L35" s="15" t="s">
        <v>40</v>
      </c>
      <c r="M35" s="16" t="s">
        <v>10</v>
      </c>
      <c r="N35" s="59">
        <f>SUM(N4:N34)</f>
        <v>451365</v>
      </c>
      <c r="O35" s="59">
        <f t="shared" ref="O35" si="7">SUM(O4:O34)</f>
        <v>66090.900000000009</v>
      </c>
      <c r="P35" s="15" t="s">
        <v>40</v>
      </c>
      <c r="XFD35" s="17">
        <f>SUM(A35:XFC35)</f>
        <v>2052837.7999999998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x14ac:dyDescent="0.7">
      <c r="A38" s="8"/>
      <c r="B38" s="115" t="s">
        <v>43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55">
        <f>+B35</f>
        <v>862076.8</v>
      </c>
      <c r="D40" s="55">
        <f>+C35</f>
        <v>137768.50000000003</v>
      </c>
      <c r="E40" s="34">
        <f>+D40/C40</f>
        <v>0.15981000764665054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56">
        <f>+F35</f>
        <v>319999.59999999998</v>
      </c>
      <c r="D41" s="56">
        <f>+G35</f>
        <v>54928.499999999993</v>
      </c>
      <c r="E41" s="34">
        <f t="shared" ref="E41:E42" si="8">+D41/C41</f>
        <v>0.17165177706472132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56">
        <f>+J35</f>
        <v>147721.60000000001</v>
      </c>
      <c r="D42" s="56">
        <f>+K35</f>
        <v>12886.9</v>
      </c>
      <c r="E42" s="34">
        <f t="shared" si="8"/>
        <v>8.7237749929597291E-2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56">
        <f>+N35</f>
        <v>451365</v>
      </c>
      <c r="D43" s="56">
        <f>+O35</f>
        <v>66090.900000000009</v>
      </c>
      <c r="E43" s="34">
        <f>+D43/C43</f>
        <v>0.14642451231265163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61" t="s">
        <v>10</v>
      </c>
      <c r="C44" s="65">
        <f>SUM(C40:C43)</f>
        <v>1781163</v>
      </c>
      <c r="D44" s="65">
        <f>SUM(D40:D43)</f>
        <v>271674.80000000005</v>
      </c>
      <c r="E44" s="46">
        <f>+D44/C44</f>
        <v>0.15252663568690797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9F8D-2745-498A-AF1E-D0B6E18299C6}">
  <sheetPr>
    <tabColor rgb="FF00B0F0"/>
  </sheetPr>
  <dimension ref="A1:XFD70"/>
  <sheetViews>
    <sheetView zoomScale="115" zoomScaleNormal="115" workbookViewId="0">
      <pane xSplit="4" ySplit="3" topLeftCell="E31" activePane="bottomRight" state="frozen"/>
      <selection activeCell="C7" sqref="C7"/>
      <selection pane="topRight" activeCell="C7" sqref="C7"/>
      <selection pane="bottomLeft" activeCell="C7" sqref="C7"/>
      <selection pane="bottomRight" activeCell="E43" sqref="E43"/>
    </sheetView>
  </sheetViews>
  <sheetFormatPr defaultRowHeight="23.4" x14ac:dyDescent="0.6"/>
  <cols>
    <col min="1" max="1" width="9.09765625" style="1" bestFit="1" customWidth="1"/>
    <col min="2" max="2" width="11.3984375" style="1" bestFit="1" customWidth="1"/>
    <col min="3" max="3" width="11.796875" style="1" bestFit="1" customWidth="1"/>
    <col min="4" max="4" width="10.19921875" style="26" bestFit="1" customWidth="1"/>
    <col min="5" max="5" width="9.09765625" style="1" bestFit="1" customWidth="1"/>
    <col min="6" max="6" width="10.19921875" style="1" bestFit="1" customWidth="1"/>
    <col min="7" max="7" width="9.0976562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10.19921875" style="1" bestFit="1" customWidth="1"/>
    <col min="15" max="15" width="9.09765625" style="1" bestFit="1" customWidth="1"/>
    <col min="16" max="16" width="8.3984375" style="29" customWidth="1"/>
    <col min="17" max="18" width="14.09765625" style="1" bestFit="1" customWidth="1"/>
    <col min="19" max="16383" width="8.796875" style="1"/>
    <col min="16384" max="16384" width="9" style="1" bestFit="1" customWidth="1"/>
  </cols>
  <sheetData>
    <row r="1" spans="1:19" ht="28.8" x14ac:dyDescent="0.75">
      <c r="A1" s="35" t="s">
        <v>12</v>
      </c>
    </row>
    <row r="2" spans="1:19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  <c r="Q2" s="122" t="s">
        <v>52</v>
      </c>
      <c r="R2" s="123" t="s">
        <v>52</v>
      </c>
      <c r="S2" s="124" t="s">
        <v>7</v>
      </c>
    </row>
    <row r="3" spans="1:19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  <c r="Q3" s="122"/>
      <c r="R3" s="123"/>
      <c r="S3" s="124"/>
    </row>
    <row r="4" spans="1:19" x14ac:dyDescent="0.6">
      <c r="A4" s="20">
        <v>46174</v>
      </c>
      <c r="B4" s="3">
        <v>27936.6</v>
      </c>
      <c r="C4" s="3">
        <v>3053.8</v>
      </c>
      <c r="D4" s="24">
        <f>+C4/B4</f>
        <v>0.10931179885884468</v>
      </c>
      <c r="E4" s="20">
        <v>46174</v>
      </c>
      <c r="F4" s="3">
        <v>24609</v>
      </c>
      <c r="G4" s="3"/>
      <c r="H4" s="24">
        <f>+G4/F4</f>
        <v>0</v>
      </c>
      <c r="I4" s="20">
        <v>46174</v>
      </c>
      <c r="J4" s="3">
        <v>4259.3</v>
      </c>
      <c r="K4" s="3">
        <v>98.9</v>
      </c>
      <c r="L4" s="24">
        <f>+K4/J4</f>
        <v>2.3219777897776631E-2</v>
      </c>
      <c r="M4" s="20">
        <v>46174</v>
      </c>
      <c r="N4" s="3">
        <v>15790</v>
      </c>
      <c r="O4" s="3">
        <v>2000</v>
      </c>
      <c r="P4" s="24">
        <f>+O4/N4</f>
        <v>0.1266624445851805</v>
      </c>
      <c r="Q4" s="125">
        <f>+B4+F4+J4+N4</f>
        <v>72594.899999999994</v>
      </c>
      <c r="R4" s="126">
        <f>+C4+G4+K4+O4</f>
        <v>5152.7000000000007</v>
      </c>
      <c r="S4" s="127">
        <f t="shared" ref="S4:S33" si="0">+R4/Q4</f>
        <v>7.0978815316227462E-2</v>
      </c>
    </row>
    <row r="5" spans="1:19" x14ac:dyDescent="0.6">
      <c r="A5" s="20">
        <v>46175</v>
      </c>
      <c r="B5" s="3">
        <v>36011.1</v>
      </c>
      <c r="C5" s="3">
        <v>4915.3</v>
      </c>
      <c r="D5" s="24">
        <f t="shared" ref="D5:D32" si="1">+C5/B5</f>
        <v>0.13649402545326303</v>
      </c>
      <c r="E5" s="20">
        <v>46175</v>
      </c>
      <c r="F5" s="3">
        <v>3218</v>
      </c>
      <c r="G5" s="3">
        <v>2452.1</v>
      </c>
      <c r="H5" s="24">
        <f t="shared" ref="H5:H31" si="2">+G5/F5</f>
        <v>0.76199502796768182</v>
      </c>
      <c r="I5" s="20">
        <v>46175</v>
      </c>
      <c r="J5" s="5">
        <v>1403.1</v>
      </c>
      <c r="K5" s="3">
        <v>94.9</v>
      </c>
      <c r="L5" s="24">
        <f t="shared" ref="L5:L32" si="3">+K5/J5</f>
        <v>6.7635948970137555E-2</v>
      </c>
      <c r="M5" s="20">
        <v>46175</v>
      </c>
      <c r="N5" s="3">
        <v>15118</v>
      </c>
      <c r="O5" s="3">
        <v>2000</v>
      </c>
      <c r="P5" s="24">
        <f t="shared" ref="P5:P34" si="4">+O5/N5</f>
        <v>0.13229263130043656</v>
      </c>
      <c r="Q5" s="125">
        <f t="shared" ref="Q5:Q34" si="5">+B5+F5+J5+N5</f>
        <v>55750.2</v>
      </c>
      <c r="R5" s="126">
        <f>+C5+G5+K5+O5</f>
        <v>9462.2999999999993</v>
      </c>
      <c r="S5" s="127">
        <f t="shared" si="0"/>
        <v>0.16972674537490448</v>
      </c>
    </row>
    <row r="6" spans="1:19" x14ac:dyDescent="0.6">
      <c r="A6" s="20">
        <v>46176</v>
      </c>
      <c r="B6" s="3">
        <v>32496.7</v>
      </c>
      <c r="C6" s="3">
        <v>3273.2</v>
      </c>
      <c r="D6" s="24">
        <f t="shared" si="1"/>
        <v>0.10072407352131138</v>
      </c>
      <c r="E6" s="20">
        <v>46176</v>
      </c>
      <c r="F6" s="3">
        <v>4126</v>
      </c>
      <c r="G6" s="3">
        <v>4296.7</v>
      </c>
      <c r="H6" s="24">
        <f t="shared" si="2"/>
        <v>1.0413717886572951</v>
      </c>
      <c r="I6" s="20">
        <v>46176</v>
      </c>
      <c r="J6" s="5">
        <v>1863.4</v>
      </c>
      <c r="K6" s="3">
        <v>120.4</v>
      </c>
      <c r="L6" s="24">
        <f t="shared" si="3"/>
        <v>6.4613072877535691E-2</v>
      </c>
      <c r="M6" s="20">
        <v>46176</v>
      </c>
      <c r="N6" s="3">
        <v>13614</v>
      </c>
      <c r="O6" s="3">
        <v>2000</v>
      </c>
      <c r="P6" s="24">
        <f t="shared" si="4"/>
        <v>0.14690759512266785</v>
      </c>
      <c r="Q6" s="125">
        <f t="shared" si="5"/>
        <v>52100.1</v>
      </c>
      <c r="R6" s="126">
        <f>+C6+G6+K6+O6</f>
        <v>9690.2999999999993</v>
      </c>
      <c r="S6" s="127">
        <f t="shared" si="0"/>
        <v>0.18599388484858953</v>
      </c>
    </row>
    <row r="7" spans="1:19" x14ac:dyDescent="0.6">
      <c r="A7" s="20">
        <v>46177</v>
      </c>
      <c r="B7" s="3">
        <v>37279.800000000003</v>
      </c>
      <c r="C7" s="3">
        <v>5385.7</v>
      </c>
      <c r="D7" s="24">
        <f t="shared" si="1"/>
        <v>0.14446697675416711</v>
      </c>
      <c r="E7" s="20">
        <v>46177</v>
      </c>
      <c r="F7" s="3">
        <v>11786</v>
      </c>
      <c r="G7" s="3">
        <v>2574.8000000000002</v>
      </c>
      <c r="H7" s="24">
        <f t="shared" si="2"/>
        <v>0.21846258272526728</v>
      </c>
      <c r="I7" s="20">
        <v>46177</v>
      </c>
      <c r="J7" s="5">
        <v>5855.8</v>
      </c>
      <c r="K7" s="3">
        <v>48.8</v>
      </c>
      <c r="L7" s="24">
        <f t="shared" si="3"/>
        <v>8.3336179514327674E-3</v>
      </c>
      <c r="M7" s="20">
        <v>46177</v>
      </c>
      <c r="N7" s="3">
        <v>6408</v>
      </c>
      <c r="O7" s="3">
        <v>1033.5999999999999</v>
      </c>
      <c r="P7" s="24">
        <f t="shared" si="4"/>
        <v>0.16129837702871408</v>
      </c>
      <c r="Q7" s="125">
        <f t="shared" si="5"/>
        <v>61329.600000000006</v>
      </c>
      <c r="R7" s="126">
        <f>+C7+G7+K7+O7</f>
        <v>9042.9</v>
      </c>
      <c r="S7" s="127">
        <f t="shared" si="0"/>
        <v>0.14744756202551457</v>
      </c>
    </row>
    <row r="8" spans="1:19" x14ac:dyDescent="0.6">
      <c r="A8" s="20">
        <v>46178</v>
      </c>
      <c r="B8" s="3">
        <v>28299.599999999999</v>
      </c>
      <c r="C8" s="3">
        <v>5228.3</v>
      </c>
      <c r="D8" s="24">
        <f t="shared" si="1"/>
        <v>0.18474819432076781</v>
      </c>
      <c r="E8" s="20">
        <v>46178</v>
      </c>
      <c r="F8" s="3">
        <v>1467</v>
      </c>
      <c r="G8" s="3"/>
      <c r="H8" s="24">
        <f t="shared" si="2"/>
        <v>0</v>
      </c>
      <c r="I8" s="20">
        <v>46178</v>
      </c>
      <c r="J8" s="5">
        <v>1944.4</v>
      </c>
      <c r="K8" s="3">
        <v>93.7</v>
      </c>
      <c r="L8" s="24">
        <f t="shared" si="3"/>
        <v>4.8189672906809297E-2</v>
      </c>
      <c r="M8" s="20">
        <v>46178</v>
      </c>
      <c r="N8" s="3">
        <v>11020</v>
      </c>
      <c r="O8" s="3">
        <v>1669.9</v>
      </c>
      <c r="P8" s="24">
        <f t="shared" si="4"/>
        <v>0.15153357531760436</v>
      </c>
      <c r="Q8" s="125">
        <f t="shared" si="5"/>
        <v>42731</v>
      </c>
      <c r="R8" s="126">
        <f>+C8+G8+K8+O8</f>
        <v>6991.9</v>
      </c>
      <c r="S8" s="127">
        <f t="shared" si="0"/>
        <v>0.16362593901383071</v>
      </c>
    </row>
    <row r="9" spans="1:19" x14ac:dyDescent="0.6">
      <c r="A9" s="20">
        <v>46179</v>
      </c>
      <c r="B9" s="3">
        <v>35082.800000000003</v>
      </c>
      <c r="C9" s="3">
        <v>5837.3</v>
      </c>
      <c r="D9" s="24">
        <f t="shared" si="1"/>
        <v>0.16638637737010728</v>
      </c>
      <c r="E9" s="20">
        <v>46179</v>
      </c>
      <c r="F9" s="3">
        <v>199</v>
      </c>
      <c r="G9" s="3"/>
      <c r="H9" s="24">
        <f t="shared" si="2"/>
        <v>0</v>
      </c>
      <c r="I9" s="20">
        <v>46179</v>
      </c>
      <c r="J9" s="3">
        <v>8112.7</v>
      </c>
      <c r="K9" s="3">
        <v>227.8</v>
      </c>
      <c r="L9" s="24">
        <f t="shared" si="3"/>
        <v>2.8079431015568184E-2</v>
      </c>
      <c r="M9" s="20">
        <v>46179</v>
      </c>
      <c r="N9" s="3">
        <v>20932</v>
      </c>
      <c r="O9" s="3">
        <v>2000</v>
      </c>
      <c r="P9" s="24">
        <f t="shared" si="4"/>
        <v>9.5547487101089235E-2</v>
      </c>
      <c r="Q9" s="125">
        <f t="shared" si="5"/>
        <v>64326.5</v>
      </c>
      <c r="R9" s="126">
        <f>+C9+G9+K9+O9</f>
        <v>8065.1</v>
      </c>
      <c r="S9" s="127">
        <f t="shared" si="0"/>
        <v>0.12537756601089753</v>
      </c>
    </row>
    <row r="10" spans="1:19" x14ac:dyDescent="0.6">
      <c r="A10" s="20">
        <v>46180</v>
      </c>
      <c r="B10" s="3">
        <v>43368.2</v>
      </c>
      <c r="C10" s="3">
        <v>6184.8</v>
      </c>
      <c r="D10" s="24">
        <f t="shared" si="1"/>
        <v>0.1426114065144507</v>
      </c>
      <c r="E10" s="20">
        <v>46180</v>
      </c>
      <c r="F10" s="3">
        <v>13524</v>
      </c>
      <c r="G10" s="3">
        <v>1890.3</v>
      </c>
      <c r="H10" s="24">
        <f t="shared" si="2"/>
        <v>0.139773735581189</v>
      </c>
      <c r="I10" s="20">
        <v>46180</v>
      </c>
      <c r="J10" s="3">
        <v>6087.8</v>
      </c>
      <c r="K10" s="4">
        <v>189.9</v>
      </c>
      <c r="L10" s="24">
        <f t="shared" si="3"/>
        <v>3.1193534610204014E-2</v>
      </c>
      <c r="M10" s="20">
        <v>46180</v>
      </c>
      <c r="N10" s="3">
        <v>14432</v>
      </c>
      <c r="O10" s="3">
        <v>2000</v>
      </c>
      <c r="P10" s="24">
        <f t="shared" si="4"/>
        <v>0.13858093126385809</v>
      </c>
      <c r="Q10" s="125">
        <f t="shared" si="5"/>
        <v>77412</v>
      </c>
      <c r="R10" s="126">
        <f>+C10+G10+K10+O10</f>
        <v>10265</v>
      </c>
      <c r="S10" s="127">
        <f t="shared" si="0"/>
        <v>0.13260218054048467</v>
      </c>
    </row>
    <row r="11" spans="1:19" x14ac:dyDescent="0.6">
      <c r="A11" s="20">
        <v>46181</v>
      </c>
      <c r="B11" s="3">
        <v>23839.1</v>
      </c>
      <c r="C11" s="3">
        <v>4637.3999999999996</v>
      </c>
      <c r="D11" s="24">
        <f>+C11/B11</f>
        <v>0.19452915588256267</v>
      </c>
      <c r="E11" s="20">
        <v>46181</v>
      </c>
      <c r="F11" s="3">
        <v>31585</v>
      </c>
      <c r="G11" s="3">
        <v>2616</v>
      </c>
      <c r="H11" s="24">
        <f t="shared" si="2"/>
        <v>8.2824125375969601E-2</v>
      </c>
      <c r="I11" s="20">
        <v>46181</v>
      </c>
      <c r="J11" s="3">
        <v>3516.6</v>
      </c>
      <c r="K11" s="4">
        <v>104.1</v>
      </c>
      <c r="L11" s="24">
        <f t="shared" si="3"/>
        <v>2.9602456918614569E-2</v>
      </c>
      <c r="M11" s="20">
        <v>46181</v>
      </c>
      <c r="N11" s="3">
        <v>16028</v>
      </c>
      <c r="O11" s="3">
        <v>2000</v>
      </c>
      <c r="P11" s="24">
        <f t="shared" si="4"/>
        <v>0.12478163214374845</v>
      </c>
      <c r="Q11" s="125">
        <f t="shared" si="5"/>
        <v>74968.7</v>
      </c>
      <c r="R11" s="126">
        <f>+C11+G11+K11+O11</f>
        <v>9357.5</v>
      </c>
      <c r="S11" s="127">
        <f t="shared" si="0"/>
        <v>0.124818757694878</v>
      </c>
    </row>
    <row r="12" spans="1:19" x14ac:dyDescent="0.6">
      <c r="A12" s="20">
        <v>46182</v>
      </c>
      <c r="B12" s="3">
        <v>30567.8</v>
      </c>
      <c r="C12" s="3">
        <v>5634.7</v>
      </c>
      <c r="D12" s="24">
        <f t="shared" si="1"/>
        <v>0.18433449577660152</v>
      </c>
      <c r="E12" s="20">
        <v>46182</v>
      </c>
      <c r="F12" s="3">
        <v>9680</v>
      </c>
      <c r="G12" s="3">
        <v>2517.6999999999998</v>
      </c>
      <c r="H12" s="24">
        <f t="shared" si="2"/>
        <v>0.26009297520661157</v>
      </c>
      <c r="I12" s="20">
        <v>46182</v>
      </c>
      <c r="J12" s="3">
        <v>1620.2</v>
      </c>
      <c r="K12" s="4">
        <v>204.9</v>
      </c>
      <c r="L12" s="24">
        <f t="shared" si="3"/>
        <v>0.12646586841130725</v>
      </c>
      <c r="M12" s="20">
        <v>46182</v>
      </c>
      <c r="N12" s="3">
        <v>15498</v>
      </c>
      <c r="O12" s="3">
        <v>2000</v>
      </c>
      <c r="P12" s="24">
        <f t="shared" si="4"/>
        <v>0.12904890953671441</v>
      </c>
      <c r="Q12" s="125">
        <f t="shared" si="5"/>
        <v>57366</v>
      </c>
      <c r="R12" s="126">
        <f>+C12+G12+K12+O12</f>
        <v>10357.299999999999</v>
      </c>
      <c r="S12" s="127">
        <f t="shared" si="0"/>
        <v>0.18054771118781157</v>
      </c>
    </row>
    <row r="13" spans="1:19" x14ac:dyDescent="0.6">
      <c r="A13" s="20">
        <v>46183</v>
      </c>
      <c r="B13" s="3">
        <v>23903.8</v>
      </c>
      <c r="C13" s="3">
        <v>4741.6000000000004</v>
      </c>
      <c r="D13" s="24">
        <f t="shared" si="1"/>
        <v>0.19836176674838313</v>
      </c>
      <c r="E13" s="20">
        <v>46183</v>
      </c>
      <c r="F13" s="3">
        <v>8833</v>
      </c>
      <c r="G13" s="3">
        <v>2248.3000000000002</v>
      </c>
      <c r="H13" s="24">
        <f t="shared" si="2"/>
        <v>0.25453413336352315</v>
      </c>
      <c r="I13" s="20">
        <v>46183</v>
      </c>
      <c r="J13" s="3">
        <v>1627.7</v>
      </c>
      <c r="K13" s="4">
        <v>167.8</v>
      </c>
      <c r="L13" s="24">
        <f t="shared" si="3"/>
        <v>0.10309025004607729</v>
      </c>
      <c r="M13" s="20">
        <v>46183</v>
      </c>
      <c r="N13" s="3">
        <v>23321</v>
      </c>
      <c r="O13" s="3">
        <v>2000</v>
      </c>
      <c r="P13" s="24">
        <f t="shared" si="4"/>
        <v>8.5759615796921235E-2</v>
      </c>
      <c r="Q13" s="125">
        <f t="shared" si="5"/>
        <v>57685.5</v>
      </c>
      <c r="R13" s="126">
        <f>+C13+G13+K13+O13</f>
        <v>9157.7000000000007</v>
      </c>
      <c r="S13" s="127">
        <f t="shared" si="0"/>
        <v>0.15875219942619898</v>
      </c>
    </row>
    <row r="14" spans="1:19" x14ac:dyDescent="0.6">
      <c r="A14" s="20">
        <v>46184</v>
      </c>
      <c r="B14" s="3">
        <v>24537.5</v>
      </c>
      <c r="C14" s="3">
        <v>4919.2</v>
      </c>
      <c r="D14" s="24">
        <f t="shared" si="1"/>
        <v>0.20047682119205298</v>
      </c>
      <c r="E14" s="20">
        <v>46184</v>
      </c>
      <c r="F14" s="3">
        <v>7897</v>
      </c>
      <c r="G14" s="4">
        <v>42.2</v>
      </c>
      <c r="H14" s="24">
        <f t="shared" si="2"/>
        <v>5.3438014435861726E-3</v>
      </c>
      <c r="I14" s="20">
        <v>46184</v>
      </c>
      <c r="J14" s="3">
        <v>2624.9</v>
      </c>
      <c r="K14" s="4">
        <v>89.8</v>
      </c>
      <c r="L14" s="24">
        <f t="shared" si="3"/>
        <v>3.4210827079126822E-2</v>
      </c>
      <c r="M14" s="20">
        <v>46184</v>
      </c>
      <c r="N14" s="3">
        <v>18776</v>
      </c>
      <c r="O14" s="3">
        <v>2000</v>
      </c>
      <c r="P14" s="24">
        <f t="shared" si="4"/>
        <v>0.10651896037494674</v>
      </c>
      <c r="Q14" s="125">
        <f t="shared" si="5"/>
        <v>53835.4</v>
      </c>
      <c r="R14" s="126">
        <f>+C14+G14+K14+O14</f>
        <v>7051.2</v>
      </c>
      <c r="S14" s="127">
        <f t="shared" si="0"/>
        <v>0.13097701512387758</v>
      </c>
    </row>
    <row r="15" spans="1:19" x14ac:dyDescent="0.6">
      <c r="A15" s="20">
        <v>46185</v>
      </c>
      <c r="B15" s="3">
        <v>21059</v>
      </c>
      <c r="C15" s="3">
        <v>4900.2</v>
      </c>
      <c r="D15" s="24">
        <f t="shared" si="1"/>
        <v>0.23268911154375801</v>
      </c>
      <c r="E15" s="20">
        <v>46185</v>
      </c>
      <c r="F15" s="3">
        <v>7065</v>
      </c>
      <c r="G15" s="4">
        <v>7.5</v>
      </c>
      <c r="H15" s="24">
        <f t="shared" si="2"/>
        <v>1.0615711252653928E-3</v>
      </c>
      <c r="I15" s="20">
        <v>46185</v>
      </c>
      <c r="J15" s="3">
        <v>2235.1</v>
      </c>
      <c r="K15" s="4">
        <v>152.5</v>
      </c>
      <c r="L15" s="24">
        <f t="shared" si="3"/>
        <v>6.8229609413449063E-2</v>
      </c>
      <c r="M15" s="20">
        <v>46185</v>
      </c>
      <c r="N15" s="3">
        <v>14485</v>
      </c>
      <c r="O15" s="3">
        <v>2000</v>
      </c>
      <c r="P15" s="24">
        <f t="shared" si="4"/>
        <v>0.13807386952019329</v>
      </c>
      <c r="Q15" s="125">
        <f t="shared" si="5"/>
        <v>44844.1</v>
      </c>
      <c r="R15" s="126">
        <f>+C15+G15+K15+O15</f>
        <v>7060.2</v>
      </c>
      <c r="S15" s="127">
        <f t="shared" si="0"/>
        <v>0.15743877120959057</v>
      </c>
    </row>
    <row r="16" spans="1:19" x14ac:dyDescent="0.6">
      <c r="A16" s="20">
        <v>46186</v>
      </c>
      <c r="B16" s="3">
        <v>38200.1</v>
      </c>
      <c r="C16" s="3">
        <v>7065.2</v>
      </c>
      <c r="D16" s="24">
        <f t="shared" si="1"/>
        <v>0.18495239541257746</v>
      </c>
      <c r="E16" s="20">
        <v>46186</v>
      </c>
      <c r="F16" s="3">
        <v>215</v>
      </c>
      <c r="G16" s="3">
        <v>3834</v>
      </c>
      <c r="H16" s="24">
        <f t="shared" si="2"/>
        <v>17.832558139534882</v>
      </c>
      <c r="I16" s="20">
        <v>46186</v>
      </c>
      <c r="J16" s="3">
        <v>3232.9</v>
      </c>
      <c r="K16" s="3">
        <v>257.10000000000002</v>
      </c>
      <c r="L16" s="24">
        <f t="shared" si="3"/>
        <v>7.952612205759535E-2</v>
      </c>
      <c r="M16" s="20">
        <v>46186</v>
      </c>
      <c r="N16" s="3">
        <v>14850</v>
      </c>
      <c r="O16" s="3">
        <v>2000</v>
      </c>
      <c r="P16" s="24">
        <f t="shared" si="4"/>
        <v>0.13468013468013468</v>
      </c>
      <c r="Q16" s="125">
        <f t="shared" si="5"/>
        <v>56498</v>
      </c>
      <c r="R16" s="126">
        <f>+C16+G16+K16+O16</f>
        <v>13156.300000000001</v>
      </c>
      <c r="S16" s="127">
        <f t="shared" si="0"/>
        <v>0.23286311019859113</v>
      </c>
    </row>
    <row r="17" spans="1:19" x14ac:dyDescent="0.6">
      <c r="A17" s="20">
        <v>46187</v>
      </c>
      <c r="B17" s="3">
        <v>16732.900000000001</v>
      </c>
      <c r="C17" s="3">
        <v>1659.3</v>
      </c>
      <c r="D17" s="24">
        <f t="shared" si="1"/>
        <v>9.916392257170005E-2</v>
      </c>
      <c r="E17" s="20">
        <v>46187</v>
      </c>
      <c r="F17" s="3">
        <v>16284</v>
      </c>
      <c r="G17" s="3">
        <v>2933.2</v>
      </c>
      <c r="H17" s="24">
        <f t="shared" si="2"/>
        <v>0.18012773274379759</v>
      </c>
      <c r="I17" s="20">
        <v>46187</v>
      </c>
      <c r="J17" s="3">
        <v>1592.6</v>
      </c>
      <c r="K17" s="3">
        <v>133.19999999999999</v>
      </c>
      <c r="L17" s="24">
        <f t="shared" si="3"/>
        <v>8.363682029385909E-2</v>
      </c>
      <c r="M17" s="20">
        <v>46187</v>
      </c>
      <c r="N17" s="3">
        <v>9376</v>
      </c>
      <c r="O17" s="3">
        <v>1204.9000000000001</v>
      </c>
      <c r="P17" s="24">
        <f t="shared" si="4"/>
        <v>0.1285089590443686</v>
      </c>
      <c r="Q17" s="125">
        <f t="shared" si="5"/>
        <v>43985.5</v>
      </c>
      <c r="R17" s="126">
        <f>+C17+G17+K17+O17</f>
        <v>5930.6</v>
      </c>
      <c r="S17" s="127">
        <f t="shared" si="0"/>
        <v>0.13483079651248708</v>
      </c>
    </row>
    <row r="18" spans="1:19" x14ac:dyDescent="0.6">
      <c r="A18" s="20">
        <v>46188</v>
      </c>
      <c r="B18" s="3">
        <v>23632.7</v>
      </c>
      <c r="C18" s="3">
        <v>2039.2</v>
      </c>
      <c r="D18" s="24">
        <f t="shared" si="1"/>
        <v>8.6287220673050474E-2</v>
      </c>
      <c r="E18" s="20">
        <v>46188</v>
      </c>
      <c r="F18" s="3">
        <v>26146</v>
      </c>
      <c r="G18" s="3">
        <v>1923.6</v>
      </c>
      <c r="H18" s="24">
        <f t="shared" si="2"/>
        <v>7.3571483209668775E-2</v>
      </c>
      <c r="I18" s="20">
        <v>46188</v>
      </c>
      <c r="J18" s="3">
        <v>1481.6</v>
      </c>
      <c r="K18" s="3">
        <v>120.6</v>
      </c>
      <c r="L18" s="24">
        <f t="shared" si="3"/>
        <v>8.1398488120950324E-2</v>
      </c>
      <c r="M18" s="20">
        <v>46188</v>
      </c>
      <c r="N18" s="3">
        <v>19441</v>
      </c>
      <c r="O18" s="3">
        <v>2000</v>
      </c>
      <c r="P18" s="24">
        <f t="shared" si="4"/>
        <v>0.10287536649349313</v>
      </c>
      <c r="Q18" s="125">
        <f t="shared" si="5"/>
        <v>70701.299999999988</v>
      </c>
      <c r="R18" s="126">
        <f>+C18+G18+K18+O18</f>
        <v>6083.4</v>
      </c>
      <c r="S18" s="127">
        <f t="shared" si="0"/>
        <v>8.6043679536302736E-2</v>
      </c>
    </row>
    <row r="19" spans="1:19" x14ac:dyDescent="0.6">
      <c r="A19" s="20">
        <v>46189</v>
      </c>
      <c r="B19" s="3">
        <v>16194.4</v>
      </c>
      <c r="C19" s="3">
        <v>1378</v>
      </c>
      <c r="D19" s="24">
        <f t="shared" si="1"/>
        <v>8.5091142617201007E-2</v>
      </c>
      <c r="E19" s="20">
        <v>46189</v>
      </c>
      <c r="F19" s="3">
        <v>5050</v>
      </c>
      <c r="G19" s="3">
        <v>632.4</v>
      </c>
      <c r="H19" s="24">
        <f t="shared" si="2"/>
        <v>0.12522772277227723</v>
      </c>
      <c r="I19" s="20">
        <v>46189</v>
      </c>
      <c r="J19" s="3">
        <v>4115.8</v>
      </c>
      <c r="K19" s="3">
        <v>524.29999999999995</v>
      </c>
      <c r="L19" s="24">
        <f t="shared" si="3"/>
        <v>0.1273871422323728</v>
      </c>
      <c r="M19" s="20">
        <v>46189</v>
      </c>
      <c r="N19" s="3">
        <v>11459</v>
      </c>
      <c r="O19" s="3">
        <v>1792.4</v>
      </c>
      <c r="P19" s="24">
        <f t="shared" si="4"/>
        <v>0.15641853564883498</v>
      </c>
      <c r="Q19" s="125">
        <f t="shared" si="5"/>
        <v>36819.199999999997</v>
      </c>
      <c r="R19" s="126">
        <f>+C19+G19+K19+O19</f>
        <v>4327.1000000000004</v>
      </c>
      <c r="S19" s="127">
        <f t="shared" si="0"/>
        <v>0.11752292282287505</v>
      </c>
    </row>
    <row r="20" spans="1:19" x14ac:dyDescent="0.6">
      <c r="A20" s="20">
        <v>46190</v>
      </c>
      <c r="B20" s="3">
        <v>20850.099999999999</v>
      </c>
      <c r="C20" s="3">
        <v>2531.3000000000002</v>
      </c>
      <c r="D20" s="24">
        <f t="shared" si="1"/>
        <v>0.12140469350266907</v>
      </c>
      <c r="E20" s="20">
        <v>46190</v>
      </c>
      <c r="F20" s="3">
        <v>839</v>
      </c>
      <c r="G20" s="3">
        <v>0.1</v>
      </c>
      <c r="H20" s="24">
        <f t="shared" si="2"/>
        <v>1.1918951132300358E-4</v>
      </c>
      <c r="I20" s="20">
        <v>46190</v>
      </c>
      <c r="J20" s="3">
        <v>2941.4</v>
      </c>
      <c r="K20" s="3">
        <v>201.2</v>
      </c>
      <c r="L20" s="24">
        <f t="shared" si="3"/>
        <v>6.8402801387094578E-2</v>
      </c>
      <c r="M20" s="20">
        <v>46190</v>
      </c>
      <c r="N20" s="3">
        <v>14800</v>
      </c>
      <c r="O20" s="3">
        <v>2000</v>
      </c>
      <c r="P20" s="24">
        <f t="shared" si="4"/>
        <v>0.13513513513513514</v>
      </c>
      <c r="Q20" s="125">
        <f t="shared" si="5"/>
        <v>39430.5</v>
      </c>
      <c r="R20" s="126">
        <f>+C20+G20+K20+O20</f>
        <v>4732.6000000000004</v>
      </c>
      <c r="S20" s="127">
        <f t="shared" si="0"/>
        <v>0.12002383941365188</v>
      </c>
    </row>
    <row r="21" spans="1:19" x14ac:dyDescent="0.6">
      <c r="A21" s="20">
        <v>46191</v>
      </c>
      <c r="B21" s="3">
        <v>19644</v>
      </c>
      <c r="C21" s="3">
        <v>5379.2</v>
      </c>
      <c r="D21" s="24">
        <f t="shared" si="1"/>
        <v>0.2738342496436571</v>
      </c>
      <c r="E21" s="20">
        <v>46191</v>
      </c>
      <c r="F21" s="3">
        <v>2078</v>
      </c>
      <c r="G21" s="4"/>
      <c r="H21" s="24">
        <f t="shared" si="2"/>
        <v>0</v>
      </c>
      <c r="I21" s="20">
        <v>46191</v>
      </c>
      <c r="J21" s="3">
        <v>5277.8</v>
      </c>
      <c r="K21" s="4">
        <v>160.19999999999999</v>
      </c>
      <c r="L21" s="24">
        <f t="shared" si="3"/>
        <v>3.0353556406078286E-2</v>
      </c>
      <c r="M21" s="20">
        <v>46191</v>
      </c>
      <c r="N21" s="3">
        <v>11725</v>
      </c>
      <c r="O21" s="3">
        <v>1699.3</v>
      </c>
      <c r="P21" s="24">
        <f t="shared" si="4"/>
        <v>0.14492963752665244</v>
      </c>
      <c r="Q21" s="125">
        <f t="shared" si="5"/>
        <v>38724.800000000003</v>
      </c>
      <c r="R21" s="126">
        <f>+C21+G21+K21+O21</f>
        <v>7238.7</v>
      </c>
      <c r="S21" s="127">
        <f t="shared" si="0"/>
        <v>0.18692672395983967</v>
      </c>
    </row>
    <row r="22" spans="1:19" x14ac:dyDescent="0.6">
      <c r="A22" s="20">
        <v>46192</v>
      </c>
      <c r="B22" s="3">
        <v>20887.7</v>
      </c>
      <c r="C22" s="3">
        <v>3681.1</v>
      </c>
      <c r="D22" s="24">
        <f t="shared" si="1"/>
        <v>0.1762329026173298</v>
      </c>
      <c r="E22" s="20">
        <v>46192</v>
      </c>
      <c r="F22" s="3">
        <v>3588</v>
      </c>
      <c r="G22" s="4"/>
      <c r="H22" s="24">
        <f t="shared" si="2"/>
        <v>0</v>
      </c>
      <c r="I22" s="20">
        <v>46192</v>
      </c>
      <c r="J22" s="3">
        <v>3972</v>
      </c>
      <c r="K22" s="4">
        <v>457</v>
      </c>
      <c r="L22" s="24">
        <f t="shared" si="3"/>
        <v>0.11505538771399798</v>
      </c>
      <c r="M22" s="20">
        <v>46192</v>
      </c>
      <c r="N22" s="3">
        <v>18739</v>
      </c>
      <c r="O22" s="3">
        <v>2000</v>
      </c>
      <c r="P22" s="24">
        <f t="shared" si="4"/>
        <v>0.10672928117829127</v>
      </c>
      <c r="Q22" s="125">
        <f t="shared" si="5"/>
        <v>47186.7</v>
      </c>
      <c r="R22" s="126">
        <f>+C22+G22+K22+O22</f>
        <v>6138.1</v>
      </c>
      <c r="S22" s="127">
        <f t="shared" si="0"/>
        <v>0.13008114574657692</v>
      </c>
    </row>
    <row r="23" spans="1:19" x14ac:dyDescent="0.6">
      <c r="A23" s="20">
        <v>46193</v>
      </c>
      <c r="B23" s="3">
        <v>17212.099999999999</v>
      </c>
      <c r="C23" s="3">
        <v>3928.5</v>
      </c>
      <c r="D23" s="24">
        <f t="shared" si="1"/>
        <v>0.2282405981838358</v>
      </c>
      <c r="E23" s="20">
        <v>46193</v>
      </c>
      <c r="F23" s="48"/>
      <c r="G23" s="3"/>
      <c r="H23" s="27">
        <v>0</v>
      </c>
      <c r="I23" s="20">
        <v>46193</v>
      </c>
      <c r="J23" s="3">
        <v>2426.4</v>
      </c>
      <c r="K23" s="4">
        <v>43.1</v>
      </c>
      <c r="L23" s="24">
        <f t="shared" si="3"/>
        <v>1.7762940982525552E-2</v>
      </c>
      <c r="M23" s="20">
        <v>46193</v>
      </c>
      <c r="N23" s="3">
        <v>5565</v>
      </c>
      <c r="O23" s="4">
        <v>800</v>
      </c>
      <c r="P23" s="24">
        <f t="shared" si="4"/>
        <v>0.14375561545372867</v>
      </c>
      <c r="Q23" s="125">
        <f t="shared" si="5"/>
        <v>25203.5</v>
      </c>
      <c r="R23" s="126">
        <f>+C23+G23+K23+O23</f>
        <v>4771.6000000000004</v>
      </c>
      <c r="S23" s="127">
        <f t="shared" si="0"/>
        <v>0.18932291150038685</v>
      </c>
    </row>
    <row r="24" spans="1:19" x14ac:dyDescent="0.6">
      <c r="A24" s="20">
        <v>46194</v>
      </c>
      <c r="B24" s="3">
        <v>22521.5</v>
      </c>
      <c r="C24" s="3">
        <v>4171.2</v>
      </c>
      <c r="D24" s="24">
        <f t="shared" si="1"/>
        <v>0.18520968851985881</v>
      </c>
      <c r="E24" s="20">
        <v>46194</v>
      </c>
      <c r="F24" s="3">
        <v>13723</v>
      </c>
      <c r="G24" s="48"/>
      <c r="H24" s="24">
        <f t="shared" si="2"/>
        <v>0</v>
      </c>
      <c r="I24" s="20">
        <v>46194</v>
      </c>
      <c r="J24" s="3">
        <v>2228</v>
      </c>
      <c r="K24" s="4">
        <v>137</v>
      </c>
      <c r="L24" s="24">
        <f t="shared" si="3"/>
        <v>6.1490125673249553E-2</v>
      </c>
      <c r="M24" s="20">
        <v>46194</v>
      </c>
      <c r="N24" s="3">
        <v>17052</v>
      </c>
      <c r="O24" s="3">
        <v>2000</v>
      </c>
      <c r="P24" s="24">
        <f t="shared" si="4"/>
        <v>0.11728829462819611</v>
      </c>
      <c r="Q24" s="125">
        <f t="shared" si="5"/>
        <v>55524.5</v>
      </c>
      <c r="R24" s="126">
        <f>+C24+G24+K24+O24</f>
        <v>6308.2</v>
      </c>
      <c r="S24" s="127">
        <f t="shared" si="0"/>
        <v>0.11361110860971282</v>
      </c>
    </row>
    <row r="25" spans="1:19" x14ac:dyDescent="0.6">
      <c r="A25" s="20">
        <v>46195</v>
      </c>
      <c r="B25" s="3">
        <v>21882.799999999999</v>
      </c>
      <c r="C25" s="3">
        <v>3555.2</v>
      </c>
      <c r="D25" s="24">
        <f t="shared" si="1"/>
        <v>0.16246549801670718</v>
      </c>
      <c r="E25" s="20">
        <v>46195</v>
      </c>
      <c r="F25" s="3"/>
      <c r="G25" s="48">
        <v>1849.8</v>
      </c>
      <c r="H25" s="24" t="e">
        <f>+G25/F25</f>
        <v>#DIV/0!</v>
      </c>
      <c r="I25" s="20">
        <v>46195</v>
      </c>
      <c r="J25" s="3">
        <v>1220.5999999999999</v>
      </c>
      <c r="K25" s="6">
        <v>17.3</v>
      </c>
      <c r="L25" s="24">
        <f t="shared" si="3"/>
        <v>1.4173357365230217E-2</v>
      </c>
      <c r="M25" s="20">
        <v>46195</v>
      </c>
      <c r="N25" s="3">
        <v>12362</v>
      </c>
      <c r="O25" s="3">
        <v>2000</v>
      </c>
      <c r="P25" s="24">
        <f t="shared" si="4"/>
        <v>0.16178611875101118</v>
      </c>
      <c r="Q25" s="125">
        <f t="shared" si="5"/>
        <v>35465.399999999994</v>
      </c>
      <c r="R25" s="126">
        <f>+C25+G25+K25+O25</f>
        <v>7422.3</v>
      </c>
      <c r="S25" s="127">
        <f t="shared" si="0"/>
        <v>0.20928285032736135</v>
      </c>
    </row>
    <row r="26" spans="1:19" x14ac:dyDescent="0.6">
      <c r="A26" s="20">
        <v>46196</v>
      </c>
      <c r="B26" s="3">
        <v>25264.400000000001</v>
      </c>
      <c r="C26" s="3">
        <v>4462.8</v>
      </c>
      <c r="D26" s="24">
        <f t="shared" si="1"/>
        <v>0.17664381501242854</v>
      </c>
      <c r="E26" s="20">
        <v>46196</v>
      </c>
      <c r="F26" s="3">
        <v>3162</v>
      </c>
      <c r="G26" s="48">
        <v>2348.9</v>
      </c>
      <c r="H26" s="24">
        <f t="shared" si="2"/>
        <v>0.74285262492093618</v>
      </c>
      <c r="I26" s="20">
        <v>46196</v>
      </c>
      <c r="J26" s="3">
        <v>1688.4</v>
      </c>
      <c r="K26" s="6">
        <v>29.8</v>
      </c>
      <c r="L26" s="24">
        <f t="shared" si="3"/>
        <v>1.7649846008054963E-2</v>
      </c>
      <c r="M26" s="20">
        <v>46196</v>
      </c>
      <c r="N26" s="3">
        <v>29600</v>
      </c>
      <c r="O26" s="3">
        <v>2000</v>
      </c>
      <c r="P26" s="24">
        <f t="shared" si="4"/>
        <v>6.7567567567567571E-2</v>
      </c>
      <c r="Q26" s="125">
        <f t="shared" si="5"/>
        <v>59714.8</v>
      </c>
      <c r="R26" s="126">
        <f>+C26+G26+K26+O26</f>
        <v>8841.5</v>
      </c>
      <c r="S26" s="127">
        <f t="shared" si="0"/>
        <v>0.14806212195301666</v>
      </c>
    </row>
    <row r="27" spans="1:19" x14ac:dyDescent="0.6">
      <c r="A27" s="20">
        <v>46197</v>
      </c>
      <c r="B27" s="3">
        <v>18583.5</v>
      </c>
      <c r="C27" s="3">
        <v>3942.7</v>
      </c>
      <c r="D27" s="24">
        <f t="shared" si="1"/>
        <v>0.21216132590739095</v>
      </c>
      <c r="E27" s="20">
        <v>46197</v>
      </c>
      <c r="F27" s="3">
        <v>1446</v>
      </c>
      <c r="G27" s="6">
        <v>466.6</v>
      </c>
      <c r="H27" s="24">
        <f t="shared" si="2"/>
        <v>0.32268326417704013</v>
      </c>
      <c r="I27" s="20">
        <v>46197</v>
      </c>
      <c r="J27" s="3">
        <v>1597.3</v>
      </c>
      <c r="K27" s="6">
        <v>14.5</v>
      </c>
      <c r="L27" s="24">
        <f t="shared" si="3"/>
        <v>9.0778188192574966E-3</v>
      </c>
      <c r="M27" s="20">
        <v>46197</v>
      </c>
      <c r="N27" s="3">
        <v>13615</v>
      </c>
      <c r="O27" s="3">
        <v>2000</v>
      </c>
      <c r="P27" s="24">
        <f t="shared" si="4"/>
        <v>0.14689680499449137</v>
      </c>
      <c r="Q27" s="125">
        <f t="shared" si="5"/>
        <v>35241.800000000003</v>
      </c>
      <c r="R27" s="126">
        <f>+C27+G27+K27+O27</f>
        <v>6423.8</v>
      </c>
      <c r="S27" s="127">
        <f t="shared" si="0"/>
        <v>0.18227786321924533</v>
      </c>
    </row>
    <row r="28" spans="1:19" x14ac:dyDescent="0.6">
      <c r="A28" s="20">
        <v>46198</v>
      </c>
      <c r="B28" s="3">
        <v>26610.9</v>
      </c>
      <c r="C28" s="3">
        <v>4555.2</v>
      </c>
      <c r="D28" s="24">
        <f t="shared" si="1"/>
        <v>0.17117797594218909</v>
      </c>
      <c r="E28" s="20">
        <v>46198</v>
      </c>
      <c r="F28" s="3">
        <v>17511</v>
      </c>
      <c r="G28" s="6"/>
      <c r="H28" s="24">
        <f t="shared" si="2"/>
        <v>0</v>
      </c>
      <c r="I28" s="20">
        <v>46198</v>
      </c>
      <c r="J28" s="3">
        <v>2286.9</v>
      </c>
      <c r="K28" s="6">
        <v>24</v>
      </c>
      <c r="L28" s="24">
        <f t="shared" si="3"/>
        <v>1.0494555949101403E-2</v>
      </c>
      <c r="M28" s="20">
        <v>46198</v>
      </c>
      <c r="N28" s="3">
        <v>18476</v>
      </c>
      <c r="O28" s="3">
        <v>2000</v>
      </c>
      <c r="P28" s="24">
        <f t="shared" si="4"/>
        <v>0.10824853864472829</v>
      </c>
      <c r="Q28" s="125">
        <f t="shared" si="5"/>
        <v>64884.800000000003</v>
      </c>
      <c r="R28" s="126">
        <f>+C28+G28+K28+O28</f>
        <v>6579.2</v>
      </c>
      <c r="S28" s="127">
        <f t="shared" si="0"/>
        <v>0.10139817029566246</v>
      </c>
    </row>
    <row r="29" spans="1:19" x14ac:dyDescent="0.6">
      <c r="A29" s="20">
        <v>46199</v>
      </c>
      <c r="B29" s="3">
        <v>11340.6</v>
      </c>
      <c r="C29" s="4">
        <v>653.70000000000005</v>
      </c>
      <c r="D29" s="24">
        <f t="shared" si="1"/>
        <v>5.7642452780276181E-2</v>
      </c>
      <c r="E29" s="20">
        <v>46199</v>
      </c>
      <c r="F29" s="48">
        <v>3243</v>
      </c>
      <c r="G29" s="6"/>
      <c r="H29" s="24">
        <v>0</v>
      </c>
      <c r="I29" s="20">
        <v>46199</v>
      </c>
      <c r="J29" s="3">
        <v>1379.1</v>
      </c>
      <c r="K29" s="6">
        <v>16.3</v>
      </c>
      <c r="L29" s="24">
        <v>0</v>
      </c>
      <c r="M29" s="20">
        <v>46199</v>
      </c>
      <c r="N29" s="3">
        <v>10998</v>
      </c>
      <c r="O29" s="4">
        <v>938</v>
      </c>
      <c r="P29" s="24">
        <f t="shared" si="4"/>
        <v>8.5288234224404444E-2</v>
      </c>
      <c r="Q29" s="125">
        <f t="shared" si="5"/>
        <v>26960.7</v>
      </c>
      <c r="R29" s="126">
        <f>+C29+G29+K29+O29</f>
        <v>1608</v>
      </c>
      <c r="S29" s="127">
        <f t="shared" si="0"/>
        <v>5.9642368336133705E-2</v>
      </c>
    </row>
    <row r="30" spans="1:19" x14ac:dyDescent="0.6">
      <c r="A30" s="20">
        <v>46200</v>
      </c>
      <c r="B30" s="3">
        <v>12611.7</v>
      </c>
      <c r="C30" s="4">
        <v>4.8</v>
      </c>
      <c r="D30" s="24">
        <f t="shared" si="1"/>
        <v>3.8059896762530026E-4</v>
      </c>
      <c r="E30" s="20">
        <v>46200</v>
      </c>
      <c r="F30" s="48">
        <v>8945.2000000000007</v>
      </c>
      <c r="G30" s="6"/>
      <c r="H30" s="24">
        <v>0</v>
      </c>
      <c r="I30" s="20">
        <v>46200</v>
      </c>
      <c r="J30" s="3">
        <v>556.1</v>
      </c>
      <c r="K30" s="6">
        <v>28.9</v>
      </c>
      <c r="L30" s="24">
        <f t="shared" si="3"/>
        <v>5.1969070311095121E-2</v>
      </c>
      <c r="M30" s="20">
        <v>46200</v>
      </c>
      <c r="N30" s="3">
        <v>4434</v>
      </c>
      <c r="O30" s="4"/>
      <c r="P30" s="24">
        <f t="shared" si="4"/>
        <v>0</v>
      </c>
      <c r="Q30" s="125">
        <f t="shared" si="5"/>
        <v>26547</v>
      </c>
      <c r="R30" s="126">
        <f>+C30+G30+K30+O30</f>
        <v>33.699999999999996</v>
      </c>
      <c r="S30" s="127">
        <f t="shared" si="0"/>
        <v>1.2694466418051002E-3</v>
      </c>
    </row>
    <row r="31" spans="1:19" x14ac:dyDescent="0.6">
      <c r="A31" s="20">
        <v>46201</v>
      </c>
      <c r="B31" s="3">
        <v>8368.2000000000007</v>
      </c>
      <c r="C31" s="4">
        <v>1.5</v>
      </c>
      <c r="D31" s="24">
        <f t="shared" si="1"/>
        <v>1.7925001792500178E-4</v>
      </c>
      <c r="E31" s="20">
        <v>46201</v>
      </c>
      <c r="F31" s="3">
        <v>7385</v>
      </c>
      <c r="G31" s="6"/>
      <c r="H31" s="24">
        <f t="shared" si="2"/>
        <v>0</v>
      </c>
      <c r="I31" s="20">
        <v>46201</v>
      </c>
      <c r="J31" s="3">
        <v>1139.9000000000001</v>
      </c>
      <c r="K31" s="6">
        <v>17.5</v>
      </c>
      <c r="L31" s="24">
        <v>0</v>
      </c>
      <c r="M31" s="20">
        <v>46201</v>
      </c>
      <c r="N31" s="3">
        <v>6326</v>
      </c>
      <c r="O31" s="4"/>
      <c r="P31" s="24">
        <f t="shared" si="4"/>
        <v>0</v>
      </c>
      <c r="Q31" s="125">
        <f t="shared" si="5"/>
        <v>23219.100000000002</v>
      </c>
      <c r="R31" s="126">
        <f>+C31+G31+K31+O31</f>
        <v>19</v>
      </c>
      <c r="S31" s="127">
        <f t="shared" si="0"/>
        <v>8.1829183732358261E-4</v>
      </c>
    </row>
    <row r="32" spans="1:19" x14ac:dyDescent="0.6">
      <c r="A32" s="20">
        <v>46202</v>
      </c>
      <c r="B32" s="3">
        <v>10750.4</v>
      </c>
      <c r="C32" s="4">
        <v>0.7</v>
      </c>
      <c r="D32" s="24">
        <f t="shared" si="1"/>
        <v>6.5113856228605444E-5</v>
      </c>
      <c r="E32" s="20">
        <v>46202</v>
      </c>
      <c r="F32" s="3">
        <v>27540</v>
      </c>
      <c r="G32" s="6"/>
      <c r="H32" s="24">
        <v>0</v>
      </c>
      <c r="I32" s="20">
        <v>46202</v>
      </c>
      <c r="J32" s="3">
        <v>2291.3000000000002</v>
      </c>
      <c r="K32" s="6">
        <v>7</v>
      </c>
      <c r="L32" s="24">
        <f t="shared" si="3"/>
        <v>3.0550342600270588E-3</v>
      </c>
      <c r="M32" s="20">
        <v>46202</v>
      </c>
      <c r="N32" s="3">
        <v>2870</v>
      </c>
      <c r="O32" s="4"/>
      <c r="P32" s="24">
        <f t="shared" si="4"/>
        <v>0</v>
      </c>
      <c r="Q32" s="125">
        <f t="shared" si="5"/>
        <v>43451.700000000004</v>
      </c>
      <c r="R32" s="126">
        <f>+C32+G32+K32+O32</f>
        <v>7.7</v>
      </c>
      <c r="S32" s="127">
        <f t="shared" si="0"/>
        <v>1.7720825652391045E-4</v>
      </c>
    </row>
    <row r="33" spans="1:19 16384:16384" x14ac:dyDescent="0.6">
      <c r="A33" s="20">
        <v>46203</v>
      </c>
      <c r="B33" s="3">
        <v>27782.400000000001</v>
      </c>
      <c r="C33" s="3">
        <v>5422.6</v>
      </c>
      <c r="D33" s="24">
        <v>0</v>
      </c>
      <c r="E33" s="20">
        <v>46203</v>
      </c>
      <c r="F33" s="3">
        <v>4850</v>
      </c>
      <c r="G33" s="6"/>
      <c r="H33" s="24">
        <v>0</v>
      </c>
      <c r="I33" s="20">
        <v>46203</v>
      </c>
      <c r="J33" s="3">
        <v>2223.4</v>
      </c>
      <c r="K33" s="6">
        <v>20.2</v>
      </c>
      <c r="L33" s="24">
        <v>0</v>
      </c>
      <c r="M33" s="20">
        <v>46203</v>
      </c>
      <c r="N33" s="3">
        <v>4262</v>
      </c>
      <c r="O33" s="4"/>
      <c r="P33" s="24">
        <v>0</v>
      </c>
      <c r="Q33" s="125">
        <f t="shared" si="5"/>
        <v>39117.800000000003</v>
      </c>
      <c r="R33" s="126">
        <f>+C33+G33+K33+O33</f>
        <v>5442.8</v>
      </c>
      <c r="S33" s="127">
        <f t="shared" si="0"/>
        <v>0.13913870411935231</v>
      </c>
    </row>
    <row r="34" spans="1:19 16384:16384" ht="23.4" hidden="1" customHeight="1" x14ac:dyDescent="0.6">
      <c r="A34" s="20">
        <v>46204</v>
      </c>
      <c r="B34" s="4"/>
      <c r="C34" s="4"/>
      <c r="D34" s="24">
        <v>0</v>
      </c>
      <c r="E34" s="20">
        <v>46204</v>
      </c>
      <c r="F34" s="6"/>
      <c r="G34" s="6"/>
      <c r="H34" s="24">
        <v>0</v>
      </c>
      <c r="I34" s="20">
        <v>46204</v>
      </c>
      <c r="J34" s="48"/>
      <c r="K34" s="6"/>
      <c r="L34" s="24">
        <v>0</v>
      </c>
      <c r="M34" s="20">
        <v>46204</v>
      </c>
      <c r="N34" s="3"/>
      <c r="O34" s="4"/>
      <c r="P34" s="24" t="e">
        <f t="shared" si="4"/>
        <v>#DIV/0!</v>
      </c>
      <c r="Q34" s="128">
        <f t="shared" si="5"/>
        <v>0</v>
      </c>
      <c r="R34" s="126">
        <f>+C34+G34+K34+O34</f>
        <v>0</v>
      </c>
      <c r="S34" s="129"/>
    </row>
    <row r="35" spans="1:19 16384:16384" s="17" customFormat="1" ht="27" thickBot="1" x14ac:dyDescent="0.75">
      <c r="A35" s="16" t="s">
        <v>10</v>
      </c>
      <c r="B35" s="30">
        <f>SUM(B4:B34)</f>
        <v>723452.4</v>
      </c>
      <c r="C35" s="30">
        <f t="shared" ref="C35" si="6">SUM(C4:C34)</f>
        <v>113143.7</v>
      </c>
      <c r="D35" s="15" t="s">
        <v>11</v>
      </c>
      <c r="E35" s="16" t="s">
        <v>10</v>
      </c>
      <c r="F35" s="30">
        <f>SUM(F4:F34)</f>
        <v>265994.2</v>
      </c>
      <c r="G35" s="30">
        <f t="shared" ref="G35" si="7">SUM(G4:G34)</f>
        <v>32634.199999999997</v>
      </c>
      <c r="H35" s="15" t="s">
        <v>11</v>
      </c>
      <c r="I35" s="16" t="s">
        <v>10</v>
      </c>
      <c r="J35" s="30">
        <f>SUM(J4:J34)</f>
        <v>82802.5</v>
      </c>
      <c r="K35" s="30">
        <f t="shared" ref="K35" si="8">SUM(K4:K34)</f>
        <v>3802.7</v>
      </c>
      <c r="L35" s="15" t="s">
        <v>11</v>
      </c>
      <c r="M35" s="16" t="s">
        <v>10</v>
      </c>
      <c r="N35" s="30">
        <f>SUM(N4:N34)</f>
        <v>411372</v>
      </c>
      <c r="O35" s="30">
        <f t="shared" ref="O35:Q35" si="9">SUM(O4:O34)</f>
        <v>47138.100000000006</v>
      </c>
      <c r="P35" s="15" t="s">
        <v>11</v>
      </c>
      <c r="Q35" s="130">
        <f>SUM(Q4:Q34)</f>
        <v>1483621.1</v>
      </c>
      <c r="R35" s="131">
        <f>SUM(R4:R34)</f>
        <v>196718.70000000004</v>
      </c>
      <c r="S35" s="132" t="s">
        <v>11</v>
      </c>
      <c r="XFD35" s="17">
        <f>SUM(A35:XFC35)</f>
        <v>3360679.6000000006</v>
      </c>
    </row>
    <row r="36" spans="1:19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9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9 16384:16384" ht="26.4" customHeight="1" x14ac:dyDescent="0.7">
      <c r="A38" s="8"/>
      <c r="B38" s="115" t="s">
        <v>13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9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9 16384:16384" x14ac:dyDescent="0.6">
      <c r="A40" s="2"/>
      <c r="B40" s="31" t="s">
        <v>0</v>
      </c>
      <c r="C40" s="32">
        <f>+B35</f>
        <v>723452.4</v>
      </c>
      <c r="D40" s="32">
        <f>+C35</f>
        <v>113143.7</v>
      </c>
      <c r="E40" s="34">
        <f>+D40/C40</f>
        <v>0.15639411798205383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9 16384:16384" x14ac:dyDescent="0.6">
      <c r="A41" s="2"/>
      <c r="B41" s="31" t="s">
        <v>1</v>
      </c>
      <c r="C41" s="33">
        <f>+F35</f>
        <v>265994.2</v>
      </c>
      <c r="D41" s="33">
        <f>+G35</f>
        <v>32634.199999999997</v>
      </c>
      <c r="E41" s="34">
        <f t="shared" ref="E41:E42" si="10">+D41/C41</f>
        <v>0.12268763754999168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9 16384:16384" x14ac:dyDescent="0.6">
      <c r="A42" s="2"/>
      <c r="B42" s="31" t="s">
        <v>2</v>
      </c>
      <c r="C42" s="33">
        <f>+J35</f>
        <v>82802.5</v>
      </c>
      <c r="D42" s="33">
        <f>+K35</f>
        <v>3802.7</v>
      </c>
      <c r="E42" s="34">
        <f t="shared" si="10"/>
        <v>4.592494187977416E-2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9 16384:16384" x14ac:dyDescent="0.6">
      <c r="A43" s="2"/>
      <c r="B43" s="31" t="s">
        <v>3</v>
      </c>
      <c r="C43" s="33">
        <f>+N35</f>
        <v>411372</v>
      </c>
      <c r="D43" s="33">
        <f>+O35</f>
        <v>47138.100000000006</v>
      </c>
      <c r="E43" s="34">
        <f>+D43/C43</f>
        <v>0.11458752661824335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9 16384:16384" ht="26.4" x14ac:dyDescent="0.7">
      <c r="A44" s="2"/>
      <c r="B44" s="47" t="s">
        <v>9</v>
      </c>
      <c r="C44" s="45">
        <f>SUM(C40:C43)</f>
        <v>1483621.1</v>
      </c>
      <c r="D44" s="45">
        <f>SUM(D40:D43)</f>
        <v>196718.7</v>
      </c>
      <c r="E44" s="46">
        <f>+D44/C44</f>
        <v>0.13259362515132739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9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9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9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9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8">
    <mergeCell ref="Q2:Q3"/>
    <mergeCell ref="R2:R3"/>
    <mergeCell ref="S2:S3"/>
    <mergeCell ref="B38:E38"/>
    <mergeCell ref="A2:D2"/>
    <mergeCell ref="E2:H2"/>
    <mergeCell ref="I2:L2"/>
    <mergeCell ref="M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FB7D-484F-4918-AAE4-17698038DBF6}">
  <sheetPr>
    <tabColor rgb="FF00B0F0"/>
  </sheetPr>
  <dimension ref="A1:XFD70"/>
  <sheetViews>
    <sheetView zoomScale="115" zoomScaleNormal="115" workbookViewId="0">
      <pane xSplit="4" ySplit="3" topLeftCell="E34" activePane="bottomRight" state="frozen"/>
      <selection activeCell="C7" sqref="C7"/>
      <selection pane="topRight" activeCell="C7" sqref="C7"/>
      <selection pane="bottomLeft" activeCell="C7" sqref="C7"/>
      <selection pane="bottomRight" activeCell="H5" sqref="H5"/>
    </sheetView>
  </sheetViews>
  <sheetFormatPr defaultRowHeight="23.4" x14ac:dyDescent="0.6"/>
  <cols>
    <col min="1" max="1" width="9.09765625" style="1" bestFit="1" customWidth="1"/>
    <col min="2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69921875" style="1"/>
    <col min="16384" max="16384" width="9" style="1" bestFit="1" customWidth="1"/>
  </cols>
  <sheetData>
    <row r="1" spans="1:16" ht="28.8" x14ac:dyDescent="0.75">
      <c r="A1" s="35" t="s">
        <v>15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46204</v>
      </c>
      <c r="B4" s="3"/>
      <c r="C4" s="3"/>
      <c r="D4" s="24" t="e">
        <f>+C4/B4</f>
        <v>#DIV/0!</v>
      </c>
      <c r="E4" s="20">
        <v>46204</v>
      </c>
      <c r="F4" s="3"/>
      <c r="G4" s="3"/>
      <c r="H4" s="24" t="e">
        <f>+G4/F4</f>
        <v>#DIV/0!</v>
      </c>
      <c r="I4" s="20">
        <v>46204</v>
      </c>
      <c r="J4" s="3"/>
      <c r="K4" s="3"/>
      <c r="L4" s="24" t="e">
        <f>+K4/J4</f>
        <v>#DIV/0!</v>
      </c>
      <c r="M4" s="20">
        <v>46204</v>
      </c>
      <c r="N4" s="3"/>
      <c r="O4" s="4"/>
      <c r="P4" s="24" t="e">
        <f>+O4/N4</f>
        <v>#DIV/0!</v>
      </c>
    </row>
    <row r="5" spans="1:16" x14ac:dyDescent="0.6">
      <c r="A5" s="20">
        <v>46205</v>
      </c>
      <c r="B5" s="3"/>
      <c r="C5" s="3"/>
      <c r="D5" s="24" t="e">
        <f t="shared" ref="D5:D32" si="0">+C5/B5</f>
        <v>#DIV/0!</v>
      </c>
      <c r="E5" s="20">
        <v>46205</v>
      </c>
      <c r="F5" s="3"/>
      <c r="G5" s="3"/>
      <c r="H5" s="24" t="e">
        <f t="shared" ref="H5:H31" si="1">+G5/F5</f>
        <v>#DIV/0!</v>
      </c>
      <c r="I5" s="20">
        <v>46205</v>
      </c>
      <c r="J5" s="5"/>
      <c r="K5" s="3"/>
      <c r="L5" s="24" t="e">
        <f t="shared" ref="L5:L32" si="2">+K5/J5</f>
        <v>#DIV/0!</v>
      </c>
      <c r="M5" s="20">
        <v>46205</v>
      </c>
      <c r="N5" s="3"/>
      <c r="O5" s="4"/>
      <c r="P5" s="24" t="e">
        <f t="shared" ref="P5:P34" si="3">+O5/N5</f>
        <v>#DIV/0!</v>
      </c>
    </row>
    <row r="6" spans="1:16" x14ac:dyDescent="0.6">
      <c r="A6" s="20">
        <v>46206</v>
      </c>
      <c r="B6" s="3"/>
      <c r="C6" s="3"/>
      <c r="D6" s="24" t="e">
        <f t="shared" si="0"/>
        <v>#DIV/0!</v>
      </c>
      <c r="E6" s="20">
        <v>46206</v>
      </c>
      <c r="F6" s="3"/>
      <c r="G6" s="3"/>
      <c r="H6" s="24" t="e">
        <f t="shared" si="1"/>
        <v>#DIV/0!</v>
      </c>
      <c r="I6" s="20">
        <v>46206</v>
      </c>
      <c r="J6" s="5"/>
      <c r="K6" s="3"/>
      <c r="L6" s="24" t="e">
        <f t="shared" si="2"/>
        <v>#DIV/0!</v>
      </c>
      <c r="M6" s="20">
        <v>46206</v>
      </c>
      <c r="N6" s="3"/>
      <c r="O6" s="4"/>
      <c r="P6" s="24" t="e">
        <f t="shared" si="3"/>
        <v>#DIV/0!</v>
      </c>
    </row>
    <row r="7" spans="1:16" x14ac:dyDescent="0.6">
      <c r="A7" s="20">
        <v>46207</v>
      </c>
      <c r="B7" s="3"/>
      <c r="C7" s="3"/>
      <c r="D7" s="24" t="e">
        <f t="shared" si="0"/>
        <v>#DIV/0!</v>
      </c>
      <c r="E7" s="20">
        <v>46207</v>
      </c>
      <c r="F7" s="3"/>
      <c r="G7" s="3"/>
      <c r="H7" s="24" t="e">
        <f t="shared" si="1"/>
        <v>#DIV/0!</v>
      </c>
      <c r="I7" s="20">
        <v>46207</v>
      </c>
      <c r="J7" s="5"/>
      <c r="K7" s="3"/>
      <c r="L7" s="24" t="e">
        <f t="shared" si="2"/>
        <v>#DIV/0!</v>
      </c>
      <c r="M7" s="20">
        <v>46207</v>
      </c>
      <c r="N7" s="3"/>
      <c r="O7" s="4"/>
      <c r="P7" s="24" t="e">
        <f t="shared" si="3"/>
        <v>#DIV/0!</v>
      </c>
    </row>
    <row r="8" spans="1:16" x14ac:dyDescent="0.6">
      <c r="A8" s="20">
        <v>46208</v>
      </c>
      <c r="B8" s="3"/>
      <c r="C8" s="3"/>
      <c r="D8" s="24" t="e">
        <f t="shared" si="0"/>
        <v>#DIV/0!</v>
      </c>
      <c r="E8" s="20">
        <v>46208</v>
      </c>
      <c r="F8" s="3"/>
      <c r="G8" s="3"/>
      <c r="H8" s="24" t="e">
        <f t="shared" si="1"/>
        <v>#DIV/0!</v>
      </c>
      <c r="I8" s="20">
        <v>46208</v>
      </c>
      <c r="J8" s="5"/>
      <c r="K8" s="3"/>
      <c r="L8" s="24" t="e">
        <f t="shared" si="2"/>
        <v>#DIV/0!</v>
      </c>
      <c r="M8" s="20">
        <v>46208</v>
      </c>
      <c r="N8" s="3"/>
      <c r="O8" s="4"/>
      <c r="P8" s="24" t="e">
        <f t="shared" si="3"/>
        <v>#DIV/0!</v>
      </c>
    </row>
    <row r="9" spans="1:16" x14ac:dyDescent="0.6">
      <c r="A9" s="20">
        <v>46209</v>
      </c>
      <c r="B9" s="3"/>
      <c r="C9" s="3"/>
      <c r="D9" s="24" t="e">
        <f t="shared" si="0"/>
        <v>#DIV/0!</v>
      </c>
      <c r="E9" s="20">
        <v>46209</v>
      </c>
      <c r="F9" s="3"/>
      <c r="G9" s="3"/>
      <c r="H9" s="24" t="e">
        <f t="shared" si="1"/>
        <v>#DIV/0!</v>
      </c>
      <c r="I9" s="20">
        <v>46209</v>
      </c>
      <c r="J9" s="3"/>
      <c r="K9" s="3"/>
      <c r="L9" s="24" t="e">
        <f t="shared" si="2"/>
        <v>#DIV/0!</v>
      </c>
      <c r="M9" s="20">
        <v>46209</v>
      </c>
      <c r="N9" s="3"/>
      <c r="O9" s="4"/>
      <c r="P9" s="24" t="e">
        <f t="shared" si="3"/>
        <v>#DIV/0!</v>
      </c>
    </row>
    <row r="10" spans="1:16" x14ac:dyDescent="0.6">
      <c r="A10" s="20">
        <v>46210</v>
      </c>
      <c r="B10" s="3"/>
      <c r="C10" s="3"/>
      <c r="D10" s="24" t="e">
        <f t="shared" si="0"/>
        <v>#DIV/0!</v>
      </c>
      <c r="E10" s="20">
        <v>46210</v>
      </c>
      <c r="F10" s="3"/>
      <c r="G10" s="3"/>
      <c r="H10" s="24" t="e">
        <f t="shared" si="1"/>
        <v>#DIV/0!</v>
      </c>
      <c r="I10" s="20">
        <v>46210</v>
      </c>
      <c r="J10" s="3"/>
      <c r="K10" s="4"/>
      <c r="L10" s="24" t="e">
        <f t="shared" si="2"/>
        <v>#DIV/0!</v>
      </c>
      <c r="M10" s="20">
        <v>46210</v>
      </c>
      <c r="N10" s="3"/>
      <c r="O10" s="4"/>
      <c r="P10" s="24" t="e">
        <f t="shared" si="3"/>
        <v>#DIV/0!</v>
      </c>
    </row>
    <row r="11" spans="1:16" x14ac:dyDescent="0.6">
      <c r="A11" s="20">
        <v>46211</v>
      </c>
      <c r="B11" s="3"/>
      <c r="C11" s="3"/>
      <c r="D11" s="24" t="e">
        <f>+C11/B11</f>
        <v>#DIV/0!</v>
      </c>
      <c r="E11" s="20">
        <v>46211</v>
      </c>
      <c r="F11" s="3"/>
      <c r="G11" s="4"/>
      <c r="H11" s="24" t="e">
        <f t="shared" si="1"/>
        <v>#DIV/0!</v>
      </c>
      <c r="I11" s="20">
        <v>46211</v>
      </c>
      <c r="J11" s="3"/>
      <c r="K11" s="4"/>
      <c r="L11" s="24" t="e">
        <f t="shared" si="2"/>
        <v>#DIV/0!</v>
      </c>
      <c r="M11" s="20">
        <v>46211</v>
      </c>
      <c r="N11" s="3"/>
      <c r="O11" s="4"/>
      <c r="P11" s="24" t="e">
        <f t="shared" si="3"/>
        <v>#DIV/0!</v>
      </c>
    </row>
    <row r="12" spans="1:16" x14ac:dyDescent="0.6">
      <c r="A12" s="20">
        <v>46212</v>
      </c>
      <c r="B12" s="3"/>
      <c r="C12" s="3"/>
      <c r="D12" s="24" t="e">
        <f t="shared" si="0"/>
        <v>#DIV/0!</v>
      </c>
      <c r="E12" s="20">
        <v>46212</v>
      </c>
      <c r="F12" s="3"/>
      <c r="G12" s="4"/>
      <c r="H12" s="24" t="e">
        <f t="shared" si="1"/>
        <v>#DIV/0!</v>
      </c>
      <c r="I12" s="20">
        <v>46212</v>
      </c>
      <c r="J12" s="3"/>
      <c r="K12" s="4"/>
      <c r="L12" s="24" t="e">
        <f t="shared" si="2"/>
        <v>#DIV/0!</v>
      </c>
      <c r="M12" s="20">
        <v>46212</v>
      </c>
      <c r="N12" s="3"/>
      <c r="O12" s="4"/>
      <c r="P12" s="24" t="e">
        <f t="shared" si="3"/>
        <v>#DIV/0!</v>
      </c>
    </row>
    <row r="13" spans="1:16" x14ac:dyDescent="0.6">
      <c r="A13" s="20">
        <v>46213</v>
      </c>
      <c r="B13" s="3"/>
      <c r="C13" s="3"/>
      <c r="D13" s="24" t="e">
        <f t="shared" si="0"/>
        <v>#DIV/0!</v>
      </c>
      <c r="E13" s="20">
        <v>46213</v>
      </c>
      <c r="F13" s="3"/>
      <c r="G13" s="4"/>
      <c r="H13" s="24" t="e">
        <f t="shared" si="1"/>
        <v>#DIV/0!</v>
      </c>
      <c r="I13" s="20">
        <v>46213</v>
      </c>
      <c r="J13" s="3"/>
      <c r="K13" s="4"/>
      <c r="L13" s="24" t="e">
        <f t="shared" si="2"/>
        <v>#DIV/0!</v>
      </c>
      <c r="M13" s="20">
        <v>46213</v>
      </c>
      <c r="N13" s="3"/>
      <c r="O13" s="4"/>
      <c r="P13" s="24" t="e">
        <f t="shared" si="3"/>
        <v>#DIV/0!</v>
      </c>
    </row>
    <row r="14" spans="1:16" x14ac:dyDescent="0.6">
      <c r="A14" s="20">
        <v>46214</v>
      </c>
      <c r="B14" s="3"/>
      <c r="C14" s="3"/>
      <c r="D14" s="24" t="e">
        <f t="shared" si="0"/>
        <v>#DIV/0!</v>
      </c>
      <c r="E14" s="20">
        <v>46214</v>
      </c>
      <c r="F14" s="3"/>
      <c r="G14" s="4"/>
      <c r="H14" s="24" t="e">
        <f t="shared" si="1"/>
        <v>#DIV/0!</v>
      </c>
      <c r="I14" s="20">
        <v>46214</v>
      </c>
      <c r="J14" s="3"/>
      <c r="K14" s="4"/>
      <c r="L14" s="24" t="e">
        <f t="shared" si="2"/>
        <v>#DIV/0!</v>
      </c>
      <c r="M14" s="20">
        <v>46214</v>
      </c>
      <c r="N14" s="3"/>
      <c r="O14" s="4"/>
      <c r="P14" s="24" t="e">
        <f t="shared" si="3"/>
        <v>#DIV/0!</v>
      </c>
    </row>
    <row r="15" spans="1:16" x14ac:dyDescent="0.6">
      <c r="A15" s="20">
        <v>46215</v>
      </c>
      <c r="B15" s="3"/>
      <c r="C15" s="3"/>
      <c r="D15" s="24" t="e">
        <f t="shared" si="0"/>
        <v>#DIV/0!</v>
      </c>
      <c r="E15" s="20">
        <v>46215</v>
      </c>
      <c r="F15" s="3"/>
      <c r="G15" s="4"/>
      <c r="H15" s="24" t="e">
        <f t="shared" si="1"/>
        <v>#DIV/0!</v>
      </c>
      <c r="I15" s="20">
        <v>46215</v>
      </c>
      <c r="J15" s="3"/>
      <c r="K15" s="4"/>
      <c r="L15" s="24" t="e">
        <f t="shared" si="2"/>
        <v>#DIV/0!</v>
      </c>
      <c r="M15" s="20">
        <v>46215</v>
      </c>
      <c r="N15" s="3"/>
      <c r="O15" s="4"/>
      <c r="P15" s="24" t="e">
        <f t="shared" si="3"/>
        <v>#DIV/0!</v>
      </c>
    </row>
    <row r="16" spans="1:16" x14ac:dyDescent="0.6">
      <c r="A16" s="20">
        <v>46216</v>
      </c>
      <c r="B16" s="3"/>
      <c r="C16" s="3"/>
      <c r="D16" s="24" t="e">
        <f t="shared" si="0"/>
        <v>#DIV/0!</v>
      </c>
      <c r="E16" s="20">
        <v>46216</v>
      </c>
      <c r="F16" s="3"/>
      <c r="G16" s="3"/>
      <c r="H16" s="24" t="e">
        <f t="shared" si="1"/>
        <v>#DIV/0!</v>
      </c>
      <c r="I16" s="20">
        <v>46216</v>
      </c>
      <c r="J16" s="3"/>
      <c r="K16" s="3"/>
      <c r="L16" s="24" t="e">
        <f t="shared" si="2"/>
        <v>#DIV/0!</v>
      </c>
      <c r="M16" s="20">
        <v>46216</v>
      </c>
      <c r="N16" s="3"/>
      <c r="O16" s="4"/>
      <c r="P16" s="24" t="e">
        <f t="shared" si="3"/>
        <v>#DIV/0!</v>
      </c>
    </row>
    <row r="17" spans="1:16" x14ac:dyDescent="0.6">
      <c r="A17" s="20">
        <v>46217</v>
      </c>
      <c r="B17" s="3"/>
      <c r="C17" s="3"/>
      <c r="D17" s="24" t="e">
        <f t="shared" si="0"/>
        <v>#DIV/0!</v>
      </c>
      <c r="E17" s="20">
        <v>46217</v>
      </c>
      <c r="F17" s="3"/>
      <c r="G17" s="3"/>
      <c r="H17" s="24" t="e">
        <f t="shared" si="1"/>
        <v>#DIV/0!</v>
      </c>
      <c r="I17" s="20">
        <v>46217</v>
      </c>
      <c r="J17" s="3"/>
      <c r="K17" s="3"/>
      <c r="L17" s="24" t="e">
        <f t="shared" si="2"/>
        <v>#DIV/0!</v>
      </c>
      <c r="M17" s="20">
        <v>46217</v>
      </c>
      <c r="N17" s="3"/>
      <c r="O17" s="4"/>
      <c r="P17" s="24" t="e">
        <f t="shared" si="3"/>
        <v>#DIV/0!</v>
      </c>
    </row>
    <row r="18" spans="1:16" x14ac:dyDescent="0.6">
      <c r="A18" s="20">
        <v>46218</v>
      </c>
      <c r="B18" s="3"/>
      <c r="C18" s="3"/>
      <c r="D18" s="24" t="e">
        <f t="shared" si="0"/>
        <v>#DIV/0!</v>
      </c>
      <c r="E18" s="20">
        <v>46218</v>
      </c>
      <c r="F18" s="3"/>
      <c r="G18" s="3"/>
      <c r="H18" s="24" t="e">
        <f t="shared" si="1"/>
        <v>#DIV/0!</v>
      </c>
      <c r="I18" s="20">
        <v>46218</v>
      </c>
      <c r="J18" s="3"/>
      <c r="K18" s="3"/>
      <c r="L18" s="24" t="e">
        <f t="shared" si="2"/>
        <v>#DIV/0!</v>
      </c>
      <c r="M18" s="20">
        <v>46218</v>
      </c>
      <c r="N18" s="3"/>
      <c r="O18" s="4"/>
      <c r="P18" s="24" t="e">
        <f t="shared" si="3"/>
        <v>#DIV/0!</v>
      </c>
    </row>
    <row r="19" spans="1:16" x14ac:dyDescent="0.6">
      <c r="A19" s="20">
        <v>46219</v>
      </c>
      <c r="B19" s="3"/>
      <c r="C19" s="3"/>
      <c r="D19" s="24" t="e">
        <f t="shared" si="0"/>
        <v>#DIV/0!</v>
      </c>
      <c r="E19" s="20">
        <v>46219</v>
      </c>
      <c r="F19" s="3"/>
      <c r="G19" s="3"/>
      <c r="H19" s="24" t="e">
        <f t="shared" si="1"/>
        <v>#DIV/0!</v>
      </c>
      <c r="I19" s="20">
        <v>46219</v>
      </c>
      <c r="J19" s="3"/>
      <c r="K19" s="3"/>
      <c r="L19" s="24" t="e">
        <f t="shared" si="2"/>
        <v>#DIV/0!</v>
      </c>
      <c r="M19" s="20">
        <v>46219</v>
      </c>
      <c r="N19" s="3"/>
      <c r="O19" s="4"/>
      <c r="P19" s="24" t="e">
        <f t="shared" si="3"/>
        <v>#DIV/0!</v>
      </c>
    </row>
    <row r="20" spans="1:16" x14ac:dyDescent="0.6">
      <c r="A20" s="20">
        <v>46220</v>
      </c>
      <c r="B20" s="3"/>
      <c r="C20" s="3"/>
      <c r="D20" s="24" t="e">
        <f t="shared" si="0"/>
        <v>#DIV/0!</v>
      </c>
      <c r="E20" s="20">
        <v>46220</v>
      </c>
      <c r="F20" s="3"/>
      <c r="G20" s="3"/>
      <c r="H20" s="24" t="e">
        <f t="shared" si="1"/>
        <v>#DIV/0!</v>
      </c>
      <c r="I20" s="20">
        <v>46220</v>
      </c>
      <c r="J20" s="3"/>
      <c r="K20" s="3"/>
      <c r="L20" s="24" t="e">
        <f t="shared" si="2"/>
        <v>#DIV/0!</v>
      </c>
      <c r="M20" s="20">
        <v>46220</v>
      </c>
      <c r="N20" s="3"/>
      <c r="O20" s="4"/>
      <c r="P20" s="24" t="e">
        <f t="shared" si="3"/>
        <v>#DIV/0!</v>
      </c>
    </row>
    <row r="21" spans="1:16" x14ac:dyDescent="0.6">
      <c r="A21" s="20">
        <v>46221</v>
      </c>
      <c r="B21" s="3"/>
      <c r="C21" s="3"/>
      <c r="D21" s="24" t="e">
        <f t="shared" si="0"/>
        <v>#DIV/0!</v>
      </c>
      <c r="E21" s="20">
        <v>46221</v>
      </c>
      <c r="F21" s="3"/>
      <c r="G21" s="4"/>
      <c r="H21" s="24" t="e">
        <f t="shared" si="1"/>
        <v>#DIV/0!</v>
      </c>
      <c r="I21" s="20">
        <v>46221</v>
      </c>
      <c r="J21" s="3"/>
      <c r="K21" s="4"/>
      <c r="L21" s="24" t="e">
        <f t="shared" si="2"/>
        <v>#DIV/0!</v>
      </c>
      <c r="M21" s="20">
        <v>46221</v>
      </c>
      <c r="N21" s="3"/>
      <c r="O21" s="4"/>
      <c r="P21" s="24" t="e">
        <f t="shared" si="3"/>
        <v>#DIV/0!</v>
      </c>
    </row>
    <row r="22" spans="1:16" x14ac:dyDescent="0.6">
      <c r="A22" s="20">
        <v>46222</v>
      </c>
      <c r="B22" s="3"/>
      <c r="C22" s="3"/>
      <c r="D22" s="24" t="e">
        <f t="shared" si="0"/>
        <v>#DIV/0!</v>
      </c>
      <c r="E22" s="20">
        <v>46222</v>
      </c>
      <c r="F22" s="3"/>
      <c r="G22" s="4"/>
      <c r="H22" s="24" t="e">
        <f t="shared" si="1"/>
        <v>#DIV/0!</v>
      </c>
      <c r="I22" s="20">
        <v>46222</v>
      </c>
      <c r="J22" s="3"/>
      <c r="K22" s="4"/>
      <c r="L22" s="24" t="e">
        <f t="shared" si="2"/>
        <v>#DIV/0!</v>
      </c>
      <c r="M22" s="20">
        <v>46222</v>
      </c>
      <c r="N22" s="3"/>
      <c r="O22" s="4"/>
      <c r="P22" s="24" t="e">
        <f t="shared" si="3"/>
        <v>#DIV/0!</v>
      </c>
    </row>
    <row r="23" spans="1:16" x14ac:dyDescent="0.6">
      <c r="A23" s="20">
        <v>46223</v>
      </c>
      <c r="B23" s="3"/>
      <c r="C23" s="3"/>
      <c r="D23" s="24" t="e">
        <f t="shared" si="0"/>
        <v>#DIV/0!</v>
      </c>
      <c r="E23" s="20">
        <v>46223</v>
      </c>
      <c r="F23" s="48"/>
      <c r="G23" s="3"/>
      <c r="H23" s="27">
        <v>0</v>
      </c>
      <c r="I23" s="20">
        <v>46223</v>
      </c>
      <c r="J23" s="3"/>
      <c r="K23" s="4"/>
      <c r="L23" s="24" t="e">
        <f t="shared" si="2"/>
        <v>#DIV/0!</v>
      </c>
      <c r="M23" s="20">
        <v>46223</v>
      </c>
      <c r="N23" s="3"/>
      <c r="O23" s="4"/>
      <c r="P23" s="24" t="e">
        <f t="shared" si="3"/>
        <v>#DIV/0!</v>
      </c>
    </row>
    <row r="24" spans="1:16" x14ac:dyDescent="0.6">
      <c r="A24" s="20">
        <v>46224</v>
      </c>
      <c r="B24" s="3"/>
      <c r="C24" s="3"/>
      <c r="D24" s="24" t="e">
        <f t="shared" si="0"/>
        <v>#DIV/0!</v>
      </c>
      <c r="E24" s="20">
        <v>46224</v>
      </c>
      <c r="F24" s="3"/>
      <c r="G24" s="48"/>
      <c r="H24" s="24" t="e">
        <f t="shared" si="1"/>
        <v>#DIV/0!</v>
      </c>
      <c r="I24" s="20">
        <v>46224</v>
      </c>
      <c r="J24" s="3"/>
      <c r="K24" s="4"/>
      <c r="L24" s="24" t="e">
        <f t="shared" si="2"/>
        <v>#DIV/0!</v>
      </c>
      <c r="M24" s="20">
        <v>46224</v>
      </c>
      <c r="N24" s="3"/>
      <c r="O24" s="4"/>
      <c r="P24" s="24" t="e">
        <f t="shared" si="3"/>
        <v>#DIV/0!</v>
      </c>
    </row>
    <row r="25" spans="1:16" x14ac:dyDescent="0.6">
      <c r="A25" s="20">
        <v>46225</v>
      </c>
      <c r="B25" s="3"/>
      <c r="C25" s="3"/>
      <c r="D25" s="24" t="e">
        <f t="shared" si="0"/>
        <v>#DIV/0!</v>
      </c>
      <c r="E25" s="20">
        <v>46225</v>
      </c>
      <c r="F25" s="3"/>
      <c r="G25" s="48"/>
      <c r="H25" s="24" t="e">
        <f>+G25/F25</f>
        <v>#DIV/0!</v>
      </c>
      <c r="I25" s="20">
        <v>46225</v>
      </c>
      <c r="J25" s="3"/>
      <c r="K25" s="6"/>
      <c r="L25" s="24" t="e">
        <f t="shared" si="2"/>
        <v>#DIV/0!</v>
      </c>
      <c r="M25" s="20">
        <v>46225</v>
      </c>
      <c r="N25" s="3"/>
      <c r="O25" s="4"/>
      <c r="P25" s="24" t="e">
        <f t="shared" si="3"/>
        <v>#DIV/0!</v>
      </c>
    </row>
    <row r="26" spans="1:16" x14ac:dyDescent="0.6">
      <c r="A26" s="20">
        <v>46226</v>
      </c>
      <c r="B26" s="3"/>
      <c r="C26" s="3"/>
      <c r="D26" s="24" t="e">
        <f t="shared" si="0"/>
        <v>#DIV/0!</v>
      </c>
      <c r="E26" s="20">
        <v>46226</v>
      </c>
      <c r="F26" s="3"/>
      <c r="G26" s="48"/>
      <c r="H26" s="24" t="e">
        <f t="shared" si="1"/>
        <v>#DIV/0!</v>
      </c>
      <c r="I26" s="20">
        <v>46226</v>
      </c>
      <c r="J26" s="3"/>
      <c r="K26" s="6"/>
      <c r="L26" s="24" t="e">
        <f t="shared" si="2"/>
        <v>#DIV/0!</v>
      </c>
      <c r="M26" s="20">
        <v>46226</v>
      </c>
      <c r="N26" s="3"/>
      <c r="O26" s="4"/>
      <c r="P26" s="24" t="e">
        <f t="shared" si="3"/>
        <v>#DIV/0!</v>
      </c>
    </row>
    <row r="27" spans="1:16" x14ac:dyDescent="0.6">
      <c r="A27" s="20">
        <v>46227</v>
      </c>
      <c r="B27" s="3"/>
      <c r="C27" s="3"/>
      <c r="D27" s="24" t="e">
        <f t="shared" si="0"/>
        <v>#DIV/0!</v>
      </c>
      <c r="E27" s="20">
        <v>46227</v>
      </c>
      <c r="F27" s="3"/>
      <c r="G27" s="6"/>
      <c r="H27" s="24" t="e">
        <f t="shared" si="1"/>
        <v>#DIV/0!</v>
      </c>
      <c r="I27" s="20">
        <v>46227</v>
      </c>
      <c r="J27" s="3"/>
      <c r="K27" s="6"/>
      <c r="L27" s="24" t="e">
        <f t="shared" si="2"/>
        <v>#DIV/0!</v>
      </c>
      <c r="M27" s="20">
        <v>46227</v>
      </c>
      <c r="N27" s="3"/>
      <c r="O27" s="4"/>
      <c r="P27" s="24" t="e">
        <f t="shared" si="3"/>
        <v>#DIV/0!</v>
      </c>
    </row>
    <row r="28" spans="1:16" x14ac:dyDescent="0.6">
      <c r="A28" s="20">
        <v>46228</v>
      </c>
      <c r="B28" s="3"/>
      <c r="C28" s="4"/>
      <c r="D28" s="24" t="e">
        <f t="shared" si="0"/>
        <v>#DIV/0!</v>
      </c>
      <c r="E28" s="20">
        <v>46228</v>
      </c>
      <c r="F28" s="3"/>
      <c r="G28" s="6"/>
      <c r="H28" s="24" t="e">
        <f t="shared" si="1"/>
        <v>#DIV/0!</v>
      </c>
      <c r="I28" s="20">
        <v>46228</v>
      </c>
      <c r="J28" s="3"/>
      <c r="K28" s="6"/>
      <c r="L28" s="24" t="e">
        <f t="shared" si="2"/>
        <v>#DIV/0!</v>
      </c>
      <c r="M28" s="20">
        <v>46228</v>
      </c>
      <c r="N28" s="3"/>
      <c r="O28" s="4"/>
      <c r="P28" s="24" t="e">
        <f t="shared" si="3"/>
        <v>#DIV/0!</v>
      </c>
    </row>
    <row r="29" spans="1:16" x14ac:dyDescent="0.6">
      <c r="A29" s="20">
        <v>46229</v>
      </c>
      <c r="B29" s="3"/>
      <c r="C29" s="4"/>
      <c r="D29" s="24" t="e">
        <f t="shared" si="0"/>
        <v>#DIV/0!</v>
      </c>
      <c r="E29" s="20">
        <v>46229</v>
      </c>
      <c r="F29" s="48"/>
      <c r="G29" s="6"/>
      <c r="H29" s="24">
        <v>0</v>
      </c>
      <c r="I29" s="20">
        <v>46229</v>
      </c>
      <c r="J29" s="3"/>
      <c r="K29" s="6"/>
      <c r="L29" s="24">
        <v>0</v>
      </c>
      <c r="M29" s="20">
        <v>46229</v>
      </c>
      <c r="N29" s="3"/>
      <c r="O29" s="4"/>
      <c r="P29" s="24" t="e">
        <f t="shared" si="3"/>
        <v>#DIV/0!</v>
      </c>
    </row>
    <row r="30" spans="1:16" x14ac:dyDescent="0.6">
      <c r="A30" s="20">
        <v>46230</v>
      </c>
      <c r="B30" s="3"/>
      <c r="C30" s="4"/>
      <c r="D30" s="24" t="e">
        <f t="shared" si="0"/>
        <v>#DIV/0!</v>
      </c>
      <c r="E30" s="20">
        <v>46230</v>
      </c>
      <c r="F30" s="48"/>
      <c r="G30" s="6"/>
      <c r="H30" s="24">
        <v>0</v>
      </c>
      <c r="I30" s="20">
        <v>46230</v>
      </c>
      <c r="J30" s="3"/>
      <c r="K30" s="6"/>
      <c r="L30" s="24" t="e">
        <f t="shared" si="2"/>
        <v>#DIV/0!</v>
      </c>
      <c r="M30" s="20">
        <v>46230</v>
      </c>
      <c r="N30" s="3"/>
      <c r="O30" s="4"/>
      <c r="P30" s="24" t="e">
        <f t="shared" si="3"/>
        <v>#DIV/0!</v>
      </c>
    </row>
    <row r="31" spans="1:16" x14ac:dyDescent="0.6">
      <c r="A31" s="20">
        <v>46231</v>
      </c>
      <c r="B31" s="4"/>
      <c r="C31" s="4"/>
      <c r="D31" s="24" t="e">
        <f t="shared" si="0"/>
        <v>#DIV/0!</v>
      </c>
      <c r="E31" s="20">
        <v>46231</v>
      </c>
      <c r="F31" s="3"/>
      <c r="G31" s="6"/>
      <c r="H31" s="24" t="e">
        <f t="shared" si="1"/>
        <v>#DIV/0!</v>
      </c>
      <c r="I31" s="20">
        <v>46231</v>
      </c>
      <c r="J31" s="3"/>
      <c r="K31" s="6"/>
      <c r="L31" s="24">
        <v>0</v>
      </c>
      <c r="M31" s="20">
        <v>46231</v>
      </c>
      <c r="N31" s="3"/>
      <c r="O31" s="4"/>
      <c r="P31" s="24" t="e">
        <f t="shared" si="3"/>
        <v>#DIV/0!</v>
      </c>
    </row>
    <row r="32" spans="1:16" x14ac:dyDescent="0.6">
      <c r="A32" s="20">
        <v>46232</v>
      </c>
      <c r="B32" s="4"/>
      <c r="C32" s="4"/>
      <c r="D32" s="24" t="e">
        <f t="shared" si="0"/>
        <v>#DIV/0!</v>
      </c>
      <c r="E32" s="20">
        <v>46232</v>
      </c>
      <c r="F32" s="4"/>
      <c r="G32" s="6"/>
      <c r="H32" s="24">
        <v>0</v>
      </c>
      <c r="I32" s="20">
        <v>46232</v>
      </c>
      <c r="J32" s="3"/>
      <c r="K32" s="6"/>
      <c r="L32" s="24" t="e">
        <f t="shared" si="2"/>
        <v>#DIV/0!</v>
      </c>
      <c r="M32" s="20">
        <v>46232</v>
      </c>
      <c r="N32" s="3"/>
      <c r="O32" s="4"/>
      <c r="P32" s="24" t="e">
        <f t="shared" si="3"/>
        <v>#DIV/0!</v>
      </c>
    </row>
    <row r="33" spans="1:16 16384:16384" x14ac:dyDescent="0.6">
      <c r="A33" s="20">
        <v>46233</v>
      </c>
      <c r="B33" s="4"/>
      <c r="C33" s="4"/>
      <c r="D33" s="24">
        <v>0</v>
      </c>
      <c r="E33" s="20">
        <v>46233</v>
      </c>
      <c r="F33" s="4"/>
      <c r="G33" s="6"/>
      <c r="H33" s="24">
        <v>0</v>
      </c>
      <c r="I33" s="20">
        <v>46233</v>
      </c>
      <c r="J33" s="3"/>
      <c r="K33" s="6"/>
      <c r="L33" s="24">
        <v>0</v>
      </c>
      <c r="M33" s="20">
        <v>46233</v>
      </c>
      <c r="N33" s="4"/>
      <c r="O33" s="4"/>
      <c r="P33" s="24">
        <v>0</v>
      </c>
    </row>
    <row r="34" spans="1:16 16384:16384" x14ac:dyDescent="0.6">
      <c r="A34" s="20">
        <v>46234</v>
      </c>
      <c r="B34" s="4"/>
      <c r="C34" s="4"/>
      <c r="D34" s="24">
        <v>0</v>
      </c>
      <c r="E34" s="20">
        <v>46234</v>
      </c>
      <c r="F34" s="6"/>
      <c r="G34" s="6"/>
      <c r="H34" s="24">
        <v>0</v>
      </c>
      <c r="I34" s="20">
        <v>46234</v>
      </c>
      <c r="J34" s="48"/>
      <c r="K34" s="6"/>
      <c r="L34" s="24">
        <v>0</v>
      </c>
      <c r="M34" s="20">
        <v>46234</v>
      </c>
      <c r="N34" s="3"/>
      <c r="O34" s="4"/>
      <c r="P34" s="24" t="e">
        <f t="shared" si="3"/>
        <v>#DIV/0!</v>
      </c>
    </row>
    <row r="35" spans="1:16 16384:16384" s="17" customFormat="1" ht="27" thickBot="1" x14ac:dyDescent="0.75">
      <c r="A35" s="16" t="s">
        <v>10</v>
      </c>
      <c r="B35" s="30">
        <f>SUM(B4:B34)</f>
        <v>0</v>
      </c>
      <c r="C35" s="30">
        <f t="shared" ref="C35" si="4">SUM(C4:C34)</f>
        <v>0</v>
      </c>
      <c r="D35" s="15" t="s">
        <v>11</v>
      </c>
      <c r="E35" s="16" t="s">
        <v>10</v>
      </c>
      <c r="F35" s="30">
        <f>SUM(F4:F34)</f>
        <v>0</v>
      </c>
      <c r="G35" s="30">
        <f t="shared" ref="G35" si="5">SUM(G4:G34)</f>
        <v>0</v>
      </c>
      <c r="H35" s="15" t="s">
        <v>11</v>
      </c>
      <c r="I35" s="16" t="s">
        <v>10</v>
      </c>
      <c r="J35" s="30">
        <f>SUM(J4:J34)</f>
        <v>0</v>
      </c>
      <c r="K35" s="30">
        <f t="shared" ref="K35" si="6">SUM(K4:K34)</f>
        <v>0</v>
      </c>
      <c r="L35" s="15" t="s">
        <v>11</v>
      </c>
      <c r="M35" s="16" t="s">
        <v>10</v>
      </c>
      <c r="N35" s="30">
        <f>SUM(N4:N34)</f>
        <v>0</v>
      </c>
      <c r="O35" s="30">
        <f t="shared" ref="O35" si="7">SUM(O4:O34)</f>
        <v>0</v>
      </c>
      <c r="P35" s="15" t="s">
        <v>11</v>
      </c>
      <c r="XFD35" s="17">
        <f>SUM(A35:XFC35)</f>
        <v>0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x14ac:dyDescent="0.7">
      <c r="A38" s="8"/>
      <c r="B38" s="115" t="s">
        <v>14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32">
        <f>+B35</f>
        <v>0</v>
      </c>
      <c r="D40" s="32">
        <f>+C35</f>
        <v>0</v>
      </c>
      <c r="E40" s="34" t="e">
        <f>+D40/C40</f>
        <v>#DIV/0!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33">
        <f>+F35</f>
        <v>0</v>
      </c>
      <c r="D41" s="33">
        <f>+G35</f>
        <v>0</v>
      </c>
      <c r="E41" s="34" t="e">
        <f t="shared" ref="E41:E42" si="8">+D41/C41</f>
        <v>#DIV/0!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33">
        <f>+J35</f>
        <v>0</v>
      </c>
      <c r="D42" s="33">
        <f>+K35</f>
        <v>0</v>
      </c>
      <c r="E42" s="34" t="e">
        <f t="shared" si="8"/>
        <v>#DIV/0!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33">
        <f>+N35</f>
        <v>0</v>
      </c>
      <c r="D43" s="33">
        <f>+O35</f>
        <v>0</v>
      </c>
      <c r="E43" s="34" t="e">
        <f>+D43/C43</f>
        <v>#DIV/0!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47" t="s">
        <v>9</v>
      </c>
      <c r="C44" s="45">
        <f>SUM(C40:C43)</f>
        <v>0</v>
      </c>
      <c r="D44" s="45">
        <f>SUM(D40:D43)</f>
        <v>0</v>
      </c>
      <c r="E44" s="46" t="e">
        <f>+D44/C44</f>
        <v>#DIV/0!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44AC-0597-4EF5-950B-839896574919}">
  <sheetPr>
    <tabColor rgb="FF00B0F0"/>
  </sheetPr>
  <dimension ref="A1:XFD70"/>
  <sheetViews>
    <sheetView zoomScale="115" zoomScaleNormal="115" workbookViewId="0">
      <pane xSplit="4" ySplit="3" topLeftCell="E4" activePane="bottomRight" state="frozen"/>
      <selection activeCell="C7" sqref="C7"/>
      <selection pane="topRight" activeCell="C7" sqref="C7"/>
      <selection pane="bottomLeft" activeCell="C7" sqref="C7"/>
      <selection pane="bottomRight" activeCell="J40" sqref="J40"/>
    </sheetView>
  </sheetViews>
  <sheetFormatPr defaultRowHeight="23.4" x14ac:dyDescent="0.6"/>
  <cols>
    <col min="1" max="1" width="9.09765625" style="1" bestFit="1" customWidth="1"/>
    <col min="2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69921875" style="1"/>
    <col min="16384" max="16384" width="9" style="1" bestFit="1" customWidth="1"/>
  </cols>
  <sheetData>
    <row r="1" spans="1:16" ht="28.8" x14ac:dyDescent="0.75">
      <c r="A1" s="35" t="s">
        <v>16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46235</v>
      </c>
      <c r="B4" s="3"/>
      <c r="C4" s="3"/>
      <c r="D4" s="24" t="e">
        <f>+C4/B4</f>
        <v>#DIV/0!</v>
      </c>
      <c r="E4" s="20">
        <v>46235</v>
      </c>
      <c r="F4" s="3"/>
      <c r="G4" s="3"/>
      <c r="H4" s="24" t="e">
        <f>+G4/F4</f>
        <v>#DIV/0!</v>
      </c>
      <c r="I4" s="20">
        <v>46235</v>
      </c>
      <c r="J4" s="3"/>
      <c r="K4" s="3"/>
      <c r="L4" s="24" t="e">
        <f>+K4/J4</f>
        <v>#DIV/0!</v>
      </c>
      <c r="M4" s="20">
        <v>46235</v>
      </c>
      <c r="N4" s="3"/>
      <c r="O4" s="4"/>
      <c r="P4" s="24" t="e">
        <f>+O4/N4</f>
        <v>#DIV/0!</v>
      </c>
    </row>
    <row r="5" spans="1:16" x14ac:dyDescent="0.6">
      <c r="A5" s="20">
        <v>46236</v>
      </c>
      <c r="B5" s="3"/>
      <c r="C5" s="3"/>
      <c r="D5" s="24" t="e">
        <f t="shared" ref="D5:D32" si="0">+C5/B5</f>
        <v>#DIV/0!</v>
      </c>
      <c r="E5" s="20">
        <v>46236</v>
      </c>
      <c r="F5" s="3"/>
      <c r="G5" s="3"/>
      <c r="H5" s="24" t="e">
        <f t="shared" ref="H5:H31" si="1">+G5/F5</f>
        <v>#DIV/0!</v>
      </c>
      <c r="I5" s="20">
        <v>46236</v>
      </c>
      <c r="J5" s="5"/>
      <c r="K5" s="3"/>
      <c r="L5" s="24" t="e">
        <f t="shared" ref="L5:L32" si="2">+K5/J5</f>
        <v>#DIV/0!</v>
      </c>
      <c r="M5" s="20">
        <v>46236</v>
      </c>
      <c r="N5" s="3"/>
      <c r="O5" s="4"/>
      <c r="P5" s="24" t="e">
        <f t="shared" ref="P5:P34" si="3">+O5/N5</f>
        <v>#DIV/0!</v>
      </c>
    </row>
    <row r="6" spans="1:16" x14ac:dyDescent="0.6">
      <c r="A6" s="20">
        <v>46237</v>
      </c>
      <c r="B6" s="3"/>
      <c r="C6" s="3"/>
      <c r="D6" s="24" t="e">
        <f t="shared" si="0"/>
        <v>#DIV/0!</v>
      </c>
      <c r="E6" s="20">
        <v>46237</v>
      </c>
      <c r="F6" s="3"/>
      <c r="G6" s="3"/>
      <c r="H6" s="24" t="e">
        <f t="shared" si="1"/>
        <v>#DIV/0!</v>
      </c>
      <c r="I6" s="20">
        <v>46237</v>
      </c>
      <c r="J6" s="5"/>
      <c r="K6" s="3"/>
      <c r="L6" s="24" t="e">
        <f t="shared" si="2"/>
        <v>#DIV/0!</v>
      </c>
      <c r="M6" s="20">
        <v>46237</v>
      </c>
      <c r="N6" s="3"/>
      <c r="O6" s="4"/>
      <c r="P6" s="24" t="e">
        <f t="shared" si="3"/>
        <v>#DIV/0!</v>
      </c>
    </row>
    <row r="7" spans="1:16" x14ac:dyDescent="0.6">
      <c r="A7" s="20">
        <v>46238</v>
      </c>
      <c r="B7" s="3"/>
      <c r="C7" s="3"/>
      <c r="D7" s="24" t="e">
        <f t="shared" si="0"/>
        <v>#DIV/0!</v>
      </c>
      <c r="E7" s="20">
        <v>46238</v>
      </c>
      <c r="F7" s="3"/>
      <c r="G7" s="3"/>
      <c r="H7" s="24" t="e">
        <f t="shared" si="1"/>
        <v>#DIV/0!</v>
      </c>
      <c r="I7" s="20">
        <v>46238</v>
      </c>
      <c r="J7" s="5"/>
      <c r="K7" s="3"/>
      <c r="L7" s="24" t="e">
        <f t="shared" si="2"/>
        <v>#DIV/0!</v>
      </c>
      <c r="M7" s="20">
        <v>46238</v>
      </c>
      <c r="N7" s="3"/>
      <c r="O7" s="4"/>
      <c r="P7" s="24" t="e">
        <f t="shared" si="3"/>
        <v>#DIV/0!</v>
      </c>
    </row>
    <row r="8" spans="1:16" x14ac:dyDescent="0.6">
      <c r="A8" s="20">
        <v>46239</v>
      </c>
      <c r="B8" s="3"/>
      <c r="C8" s="3"/>
      <c r="D8" s="24" t="e">
        <f t="shared" si="0"/>
        <v>#DIV/0!</v>
      </c>
      <c r="E8" s="20">
        <v>46239</v>
      </c>
      <c r="F8" s="3"/>
      <c r="G8" s="3"/>
      <c r="H8" s="24" t="e">
        <f t="shared" si="1"/>
        <v>#DIV/0!</v>
      </c>
      <c r="I8" s="20">
        <v>46239</v>
      </c>
      <c r="J8" s="5"/>
      <c r="K8" s="3"/>
      <c r="L8" s="24" t="e">
        <f t="shared" si="2"/>
        <v>#DIV/0!</v>
      </c>
      <c r="M8" s="20">
        <v>46239</v>
      </c>
      <c r="N8" s="3"/>
      <c r="O8" s="4"/>
      <c r="P8" s="24" t="e">
        <f t="shared" si="3"/>
        <v>#DIV/0!</v>
      </c>
    </row>
    <row r="9" spans="1:16" x14ac:dyDescent="0.6">
      <c r="A9" s="20">
        <v>46240</v>
      </c>
      <c r="B9" s="3"/>
      <c r="C9" s="3"/>
      <c r="D9" s="24" t="e">
        <f t="shared" si="0"/>
        <v>#DIV/0!</v>
      </c>
      <c r="E9" s="20">
        <v>46240</v>
      </c>
      <c r="F9" s="3"/>
      <c r="G9" s="3"/>
      <c r="H9" s="24" t="e">
        <f t="shared" si="1"/>
        <v>#DIV/0!</v>
      </c>
      <c r="I9" s="20">
        <v>46240</v>
      </c>
      <c r="J9" s="3"/>
      <c r="K9" s="3"/>
      <c r="L9" s="24" t="e">
        <f t="shared" si="2"/>
        <v>#DIV/0!</v>
      </c>
      <c r="M9" s="20">
        <v>46240</v>
      </c>
      <c r="N9" s="3"/>
      <c r="O9" s="4"/>
      <c r="P9" s="24" t="e">
        <f t="shared" si="3"/>
        <v>#DIV/0!</v>
      </c>
    </row>
    <row r="10" spans="1:16" x14ac:dyDescent="0.6">
      <c r="A10" s="20">
        <v>46241</v>
      </c>
      <c r="B10" s="3"/>
      <c r="C10" s="3"/>
      <c r="D10" s="24" t="e">
        <f t="shared" si="0"/>
        <v>#DIV/0!</v>
      </c>
      <c r="E10" s="20">
        <v>46241</v>
      </c>
      <c r="F10" s="3"/>
      <c r="G10" s="3"/>
      <c r="H10" s="24" t="e">
        <f t="shared" si="1"/>
        <v>#DIV/0!</v>
      </c>
      <c r="I10" s="20">
        <v>46241</v>
      </c>
      <c r="J10" s="3"/>
      <c r="K10" s="4"/>
      <c r="L10" s="24" t="e">
        <f t="shared" si="2"/>
        <v>#DIV/0!</v>
      </c>
      <c r="M10" s="20">
        <v>46241</v>
      </c>
      <c r="N10" s="3"/>
      <c r="O10" s="4"/>
      <c r="P10" s="24" t="e">
        <f t="shared" si="3"/>
        <v>#DIV/0!</v>
      </c>
    </row>
    <row r="11" spans="1:16" x14ac:dyDescent="0.6">
      <c r="A11" s="20">
        <v>46242</v>
      </c>
      <c r="B11" s="3"/>
      <c r="C11" s="3"/>
      <c r="D11" s="24" t="e">
        <f>+C11/B11</f>
        <v>#DIV/0!</v>
      </c>
      <c r="E11" s="20">
        <v>46242</v>
      </c>
      <c r="F11" s="3"/>
      <c r="G11" s="4"/>
      <c r="H11" s="24" t="e">
        <f t="shared" si="1"/>
        <v>#DIV/0!</v>
      </c>
      <c r="I11" s="20">
        <v>46242</v>
      </c>
      <c r="J11" s="3"/>
      <c r="K11" s="4"/>
      <c r="L11" s="24" t="e">
        <f t="shared" si="2"/>
        <v>#DIV/0!</v>
      </c>
      <c r="M11" s="20">
        <v>46242</v>
      </c>
      <c r="N11" s="3"/>
      <c r="O11" s="4"/>
      <c r="P11" s="24" t="e">
        <f t="shared" si="3"/>
        <v>#DIV/0!</v>
      </c>
    </row>
    <row r="12" spans="1:16" x14ac:dyDescent="0.6">
      <c r="A12" s="20">
        <v>46243</v>
      </c>
      <c r="B12" s="3"/>
      <c r="C12" s="3"/>
      <c r="D12" s="24" t="e">
        <f t="shared" si="0"/>
        <v>#DIV/0!</v>
      </c>
      <c r="E12" s="20">
        <v>46243</v>
      </c>
      <c r="F12" s="3"/>
      <c r="G12" s="4"/>
      <c r="H12" s="24" t="e">
        <f t="shared" si="1"/>
        <v>#DIV/0!</v>
      </c>
      <c r="I12" s="20">
        <v>46243</v>
      </c>
      <c r="J12" s="3"/>
      <c r="K12" s="4"/>
      <c r="L12" s="24" t="e">
        <f t="shared" si="2"/>
        <v>#DIV/0!</v>
      </c>
      <c r="M12" s="20">
        <v>46243</v>
      </c>
      <c r="N12" s="3"/>
      <c r="O12" s="4"/>
      <c r="P12" s="24" t="e">
        <f t="shared" si="3"/>
        <v>#DIV/0!</v>
      </c>
    </row>
    <row r="13" spans="1:16" x14ac:dyDescent="0.6">
      <c r="A13" s="20">
        <v>46244</v>
      </c>
      <c r="B13" s="3"/>
      <c r="C13" s="3"/>
      <c r="D13" s="24" t="e">
        <f t="shared" si="0"/>
        <v>#DIV/0!</v>
      </c>
      <c r="E13" s="20">
        <v>46244</v>
      </c>
      <c r="F13" s="3"/>
      <c r="G13" s="4"/>
      <c r="H13" s="24" t="e">
        <f t="shared" si="1"/>
        <v>#DIV/0!</v>
      </c>
      <c r="I13" s="20">
        <v>46244</v>
      </c>
      <c r="J13" s="3"/>
      <c r="K13" s="4"/>
      <c r="L13" s="24" t="e">
        <f t="shared" si="2"/>
        <v>#DIV/0!</v>
      </c>
      <c r="M13" s="20">
        <v>46244</v>
      </c>
      <c r="N13" s="3"/>
      <c r="O13" s="4"/>
      <c r="P13" s="24" t="e">
        <f t="shared" si="3"/>
        <v>#DIV/0!</v>
      </c>
    </row>
    <row r="14" spans="1:16" x14ac:dyDescent="0.6">
      <c r="A14" s="20">
        <v>46245</v>
      </c>
      <c r="B14" s="3"/>
      <c r="C14" s="3"/>
      <c r="D14" s="24" t="e">
        <f t="shared" si="0"/>
        <v>#DIV/0!</v>
      </c>
      <c r="E14" s="20">
        <v>46245</v>
      </c>
      <c r="F14" s="3"/>
      <c r="G14" s="4"/>
      <c r="H14" s="24" t="e">
        <f t="shared" si="1"/>
        <v>#DIV/0!</v>
      </c>
      <c r="I14" s="20">
        <v>46245</v>
      </c>
      <c r="J14" s="3"/>
      <c r="K14" s="4"/>
      <c r="L14" s="24" t="e">
        <f t="shared" si="2"/>
        <v>#DIV/0!</v>
      </c>
      <c r="M14" s="20">
        <v>46245</v>
      </c>
      <c r="N14" s="3"/>
      <c r="O14" s="4"/>
      <c r="P14" s="24" t="e">
        <f t="shared" si="3"/>
        <v>#DIV/0!</v>
      </c>
    </row>
    <row r="15" spans="1:16" x14ac:dyDescent="0.6">
      <c r="A15" s="20">
        <v>46246</v>
      </c>
      <c r="B15" s="3"/>
      <c r="C15" s="3"/>
      <c r="D15" s="24" t="e">
        <f t="shared" si="0"/>
        <v>#DIV/0!</v>
      </c>
      <c r="E15" s="20">
        <v>46246</v>
      </c>
      <c r="F15" s="3"/>
      <c r="G15" s="4"/>
      <c r="H15" s="24" t="e">
        <f t="shared" si="1"/>
        <v>#DIV/0!</v>
      </c>
      <c r="I15" s="20">
        <v>46246</v>
      </c>
      <c r="J15" s="3"/>
      <c r="K15" s="4"/>
      <c r="L15" s="24" t="e">
        <f t="shared" si="2"/>
        <v>#DIV/0!</v>
      </c>
      <c r="M15" s="20">
        <v>46246</v>
      </c>
      <c r="N15" s="3"/>
      <c r="O15" s="4"/>
      <c r="P15" s="24" t="e">
        <f t="shared" si="3"/>
        <v>#DIV/0!</v>
      </c>
    </row>
    <row r="16" spans="1:16" x14ac:dyDescent="0.6">
      <c r="A16" s="20">
        <v>46247</v>
      </c>
      <c r="B16" s="3"/>
      <c r="C16" s="3"/>
      <c r="D16" s="24" t="e">
        <f t="shared" si="0"/>
        <v>#DIV/0!</v>
      </c>
      <c r="E16" s="20">
        <v>46247</v>
      </c>
      <c r="F16" s="3"/>
      <c r="G16" s="3"/>
      <c r="H16" s="24" t="e">
        <f t="shared" si="1"/>
        <v>#DIV/0!</v>
      </c>
      <c r="I16" s="20">
        <v>46247</v>
      </c>
      <c r="J16" s="3"/>
      <c r="K16" s="3"/>
      <c r="L16" s="24" t="e">
        <f t="shared" si="2"/>
        <v>#DIV/0!</v>
      </c>
      <c r="M16" s="20">
        <v>46247</v>
      </c>
      <c r="N16" s="3"/>
      <c r="O16" s="4"/>
      <c r="P16" s="24" t="e">
        <f t="shared" si="3"/>
        <v>#DIV/0!</v>
      </c>
    </row>
    <row r="17" spans="1:16" x14ac:dyDescent="0.6">
      <c r="A17" s="20">
        <v>46248</v>
      </c>
      <c r="B17" s="3"/>
      <c r="C17" s="3"/>
      <c r="D17" s="24" t="e">
        <f t="shared" si="0"/>
        <v>#DIV/0!</v>
      </c>
      <c r="E17" s="20">
        <v>46248</v>
      </c>
      <c r="F17" s="3"/>
      <c r="G17" s="3"/>
      <c r="H17" s="24" t="e">
        <f t="shared" si="1"/>
        <v>#DIV/0!</v>
      </c>
      <c r="I17" s="20">
        <v>46248</v>
      </c>
      <c r="J17" s="3"/>
      <c r="K17" s="3"/>
      <c r="L17" s="24" t="e">
        <f t="shared" si="2"/>
        <v>#DIV/0!</v>
      </c>
      <c r="M17" s="20">
        <v>46248</v>
      </c>
      <c r="N17" s="3"/>
      <c r="O17" s="4"/>
      <c r="P17" s="24" t="e">
        <f t="shared" si="3"/>
        <v>#DIV/0!</v>
      </c>
    </row>
    <row r="18" spans="1:16" x14ac:dyDescent="0.6">
      <c r="A18" s="20">
        <v>46249</v>
      </c>
      <c r="B18" s="3"/>
      <c r="C18" s="3"/>
      <c r="D18" s="24" t="e">
        <f t="shared" si="0"/>
        <v>#DIV/0!</v>
      </c>
      <c r="E18" s="20">
        <v>46249</v>
      </c>
      <c r="F18" s="3"/>
      <c r="G18" s="3"/>
      <c r="H18" s="24" t="e">
        <f t="shared" si="1"/>
        <v>#DIV/0!</v>
      </c>
      <c r="I18" s="20">
        <v>46249</v>
      </c>
      <c r="J18" s="3"/>
      <c r="K18" s="3"/>
      <c r="L18" s="24" t="e">
        <f t="shared" si="2"/>
        <v>#DIV/0!</v>
      </c>
      <c r="M18" s="20">
        <v>46249</v>
      </c>
      <c r="N18" s="3"/>
      <c r="O18" s="4"/>
      <c r="P18" s="24" t="e">
        <f t="shared" si="3"/>
        <v>#DIV/0!</v>
      </c>
    </row>
    <row r="19" spans="1:16" x14ac:dyDescent="0.6">
      <c r="A19" s="20">
        <v>46250</v>
      </c>
      <c r="B19" s="3"/>
      <c r="C19" s="3"/>
      <c r="D19" s="24" t="e">
        <f t="shared" si="0"/>
        <v>#DIV/0!</v>
      </c>
      <c r="E19" s="20">
        <v>46250</v>
      </c>
      <c r="F19" s="3"/>
      <c r="G19" s="3"/>
      <c r="H19" s="24" t="e">
        <f t="shared" si="1"/>
        <v>#DIV/0!</v>
      </c>
      <c r="I19" s="20">
        <v>46250</v>
      </c>
      <c r="J19" s="3"/>
      <c r="K19" s="3"/>
      <c r="L19" s="24" t="e">
        <f t="shared" si="2"/>
        <v>#DIV/0!</v>
      </c>
      <c r="M19" s="20">
        <v>46250</v>
      </c>
      <c r="N19" s="3"/>
      <c r="O19" s="4"/>
      <c r="P19" s="24" t="e">
        <f t="shared" si="3"/>
        <v>#DIV/0!</v>
      </c>
    </row>
    <row r="20" spans="1:16" x14ac:dyDescent="0.6">
      <c r="A20" s="20">
        <v>46251</v>
      </c>
      <c r="B20" s="3"/>
      <c r="C20" s="3"/>
      <c r="D20" s="24" t="e">
        <f t="shared" si="0"/>
        <v>#DIV/0!</v>
      </c>
      <c r="E20" s="20">
        <v>46251</v>
      </c>
      <c r="F20" s="3"/>
      <c r="G20" s="3"/>
      <c r="H20" s="24" t="e">
        <f t="shared" si="1"/>
        <v>#DIV/0!</v>
      </c>
      <c r="I20" s="20">
        <v>46251</v>
      </c>
      <c r="J20" s="3"/>
      <c r="K20" s="3"/>
      <c r="L20" s="24" t="e">
        <f t="shared" si="2"/>
        <v>#DIV/0!</v>
      </c>
      <c r="M20" s="20">
        <v>46251</v>
      </c>
      <c r="N20" s="3"/>
      <c r="O20" s="4"/>
      <c r="P20" s="24" t="e">
        <f t="shared" si="3"/>
        <v>#DIV/0!</v>
      </c>
    </row>
    <row r="21" spans="1:16" x14ac:dyDescent="0.6">
      <c r="A21" s="20">
        <v>46252</v>
      </c>
      <c r="B21" s="3"/>
      <c r="C21" s="3"/>
      <c r="D21" s="24" t="e">
        <f t="shared" si="0"/>
        <v>#DIV/0!</v>
      </c>
      <c r="E21" s="20">
        <v>46252</v>
      </c>
      <c r="F21" s="3"/>
      <c r="G21" s="4"/>
      <c r="H21" s="24" t="e">
        <f t="shared" si="1"/>
        <v>#DIV/0!</v>
      </c>
      <c r="I21" s="20">
        <v>46252</v>
      </c>
      <c r="J21" s="3"/>
      <c r="K21" s="4"/>
      <c r="L21" s="24" t="e">
        <f t="shared" si="2"/>
        <v>#DIV/0!</v>
      </c>
      <c r="M21" s="20">
        <v>46252</v>
      </c>
      <c r="N21" s="3"/>
      <c r="O21" s="4"/>
      <c r="P21" s="24" t="e">
        <f t="shared" si="3"/>
        <v>#DIV/0!</v>
      </c>
    </row>
    <row r="22" spans="1:16" x14ac:dyDescent="0.6">
      <c r="A22" s="20">
        <v>46253</v>
      </c>
      <c r="B22" s="3"/>
      <c r="C22" s="3"/>
      <c r="D22" s="24" t="e">
        <f t="shared" si="0"/>
        <v>#DIV/0!</v>
      </c>
      <c r="E22" s="20">
        <v>46253</v>
      </c>
      <c r="F22" s="3"/>
      <c r="G22" s="4"/>
      <c r="H22" s="24" t="e">
        <f t="shared" si="1"/>
        <v>#DIV/0!</v>
      </c>
      <c r="I22" s="20">
        <v>46253</v>
      </c>
      <c r="J22" s="3"/>
      <c r="K22" s="4"/>
      <c r="L22" s="24" t="e">
        <f t="shared" si="2"/>
        <v>#DIV/0!</v>
      </c>
      <c r="M22" s="20">
        <v>46253</v>
      </c>
      <c r="N22" s="3"/>
      <c r="O22" s="4"/>
      <c r="P22" s="24" t="e">
        <f t="shared" si="3"/>
        <v>#DIV/0!</v>
      </c>
    </row>
    <row r="23" spans="1:16" x14ac:dyDescent="0.6">
      <c r="A23" s="20">
        <v>46254</v>
      </c>
      <c r="B23" s="3"/>
      <c r="C23" s="3"/>
      <c r="D23" s="24" t="e">
        <f t="shared" si="0"/>
        <v>#DIV/0!</v>
      </c>
      <c r="E23" s="20">
        <v>46254</v>
      </c>
      <c r="F23" s="48"/>
      <c r="G23" s="3"/>
      <c r="H23" s="27">
        <v>0</v>
      </c>
      <c r="I23" s="20">
        <v>46254</v>
      </c>
      <c r="J23" s="3"/>
      <c r="K23" s="4"/>
      <c r="L23" s="24" t="e">
        <f t="shared" si="2"/>
        <v>#DIV/0!</v>
      </c>
      <c r="M23" s="20">
        <v>46254</v>
      </c>
      <c r="N23" s="3"/>
      <c r="O23" s="4"/>
      <c r="P23" s="24" t="e">
        <f t="shared" si="3"/>
        <v>#DIV/0!</v>
      </c>
    </row>
    <row r="24" spans="1:16" x14ac:dyDescent="0.6">
      <c r="A24" s="20">
        <v>46255</v>
      </c>
      <c r="B24" s="3"/>
      <c r="C24" s="3"/>
      <c r="D24" s="24" t="e">
        <f t="shared" si="0"/>
        <v>#DIV/0!</v>
      </c>
      <c r="E24" s="20">
        <v>46255</v>
      </c>
      <c r="F24" s="3"/>
      <c r="G24" s="48"/>
      <c r="H24" s="24" t="e">
        <f t="shared" si="1"/>
        <v>#DIV/0!</v>
      </c>
      <c r="I24" s="20">
        <v>46255</v>
      </c>
      <c r="J24" s="3"/>
      <c r="K24" s="4"/>
      <c r="L24" s="24" t="e">
        <f t="shared" si="2"/>
        <v>#DIV/0!</v>
      </c>
      <c r="M24" s="20">
        <v>46255</v>
      </c>
      <c r="N24" s="3"/>
      <c r="O24" s="4"/>
      <c r="P24" s="24" t="e">
        <f t="shared" si="3"/>
        <v>#DIV/0!</v>
      </c>
    </row>
    <row r="25" spans="1:16" x14ac:dyDescent="0.6">
      <c r="A25" s="20">
        <v>46256</v>
      </c>
      <c r="B25" s="3"/>
      <c r="C25" s="3"/>
      <c r="D25" s="24" t="e">
        <f t="shared" si="0"/>
        <v>#DIV/0!</v>
      </c>
      <c r="E25" s="20">
        <v>46256</v>
      </c>
      <c r="F25" s="3"/>
      <c r="G25" s="48"/>
      <c r="H25" s="24" t="e">
        <f>+G25/F25</f>
        <v>#DIV/0!</v>
      </c>
      <c r="I25" s="20">
        <v>46256</v>
      </c>
      <c r="J25" s="3"/>
      <c r="K25" s="6"/>
      <c r="L25" s="24" t="e">
        <f t="shared" si="2"/>
        <v>#DIV/0!</v>
      </c>
      <c r="M25" s="20">
        <v>46256</v>
      </c>
      <c r="N25" s="3"/>
      <c r="O25" s="4"/>
      <c r="P25" s="24" t="e">
        <f t="shared" si="3"/>
        <v>#DIV/0!</v>
      </c>
    </row>
    <row r="26" spans="1:16" x14ac:dyDescent="0.6">
      <c r="A26" s="20">
        <v>46257</v>
      </c>
      <c r="B26" s="3"/>
      <c r="C26" s="3"/>
      <c r="D26" s="24" t="e">
        <f t="shared" si="0"/>
        <v>#DIV/0!</v>
      </c>
      <c r="E26" s="20">
        <v>46257</v>
      </c>
      <c r="F26" s="3"/>
      <c r="G26" s="48"/>
      <c r="H26" s="24" t="e">
        <f t="shared" si="1"/>
        <v>#DIV/0!</v>
      </c>
      <c r="I26" s="20">
        <v>46257</v>
      </c>
      <c r="J26" s="3"/>
      <c r="K26" s="6"/>
      <c r="L26" s="24" t="e">
        <f t="shared" si="2"/>
        <v>#DIV/0!</v>
      </c>
      <c r="M26" s="20">
        <v>46257</v>
      </c>
      <c r="N26" s="3"/>
      <c r="O26" s="4"/>
      <c r="P26" s="24" t="e">
        <f t="shared" si="3"/>
        <v>#DIV/0!</v>
      </c>
    </row>
    <row r="27" spans="1:16" x14ac:dyDescent="0.6">
      <c r="A27" s="20">
        <v>46258</v>
      </c>
      <c r="B27" s="3"/>
      <c r="C27" s="3"/>
      <c r="D27" s="24" t="e">
        <f t="shared" si="0"/>
        <v>#DIV/0!</v>
      </c>
      <c r="E27" s="20">
        <v>46258</v>
      </c>
      <c r="F27" s="3"/>
      <c r="G27" s="6"/>
      <c r="H27" s="24" t="e">
        <f t="shared" si="1"/>
        <v>#DIV/0!</v>
      </c>
      <c r="I27" s="20">
        <v>46258</v>
      </c>
      <c r="J27" s="3"/>
      <c r="K27" s="6"/>
      <c r="L27" s="24" t="e">
        <f t="shared" si="2"/>
        <v>#DIV/0!</v>
      </c>
      <c r="M27" s="20">
        <v>46258</v>
      </c>
      <c r="N27" s="3"/>
      <c r="O27" s="4"/>
      <c r="P27" s="24" t="e">
        <f t="shared" si="3"/>
        <v>#DIV/0!</v>
      </c>
    </row>
    <row r="28" spans="1:16" x14ac:dyDescent="0.6">
      <c r="A28" s="20">
        <v>46259</v>
      </c>
      <c r="B28" s="3"/>
      <c r="C28" s="4"/>
      <c r="D28" s="24" t="e">
        <f t="shared" si="0"/>
        <v>#DIV/0!</v>
      </c>
      <c r="E28" s="20">
        <v>46259</v>
      </c>
      <c r="F28" s="3"/>
      <c r="G28" s="6"/>
      <c r="H28" s="24" t="e">
        <f t="shared" si="1"/>
        <v>#DIV/0!</v>
      </c>
      <c r="I28" s="20">
        <v>46259</v>
      </c>
      <c r="J28" s="3"/>
      <c r="K28" s="6"/>
      <c r="L28" s="24" t="e">
        <f t="shared" si="2"/>
        <v>#DIV/0!</v>
      </c>
      <c r="M28" s="20">
        <v>46259</v>
      </c>
      <c r="N28" s="3"/>
      <c r="O28" s="4"/>
      <c r="P28" s="24" t="e">
        <f t="shared" si="3"/>
        <v>#DIV/0!</v>
      </c>
    </row>
    <row r="29" spans="1:16" x14ac:dyDescent="0.6">
      <c r="A29" s="20">
        <v>46260</v>
      </c>
      <c r="B29" s="3"/>
      <c r="C29" s="4"/>
      <c r="D29" s="24" t="e">
        <f t="shared" si="0"/>
        <v>#DIV/0!</v>
      </c>
      <c r="E29" s="20">
        <v>46260</v>
      </c>
      <c r="F29" s="48"/>
      <c r="G29" s="6"/>
      <c r="H29" s="24">
        <v>0</v>
      </c>
      <c r="I29" s="20">
        <v>46260</v>
      </c>
      <c r="J29" s="3"/>
      <c r="K29" s="6"/>
      <c r="L29" s="24">
        <v>0</v>
      </c>
      <c r="M29" s="20">
        <v>46260</v>
      </c>
      <c r="N29" s="3"/>
      <c r="O29" s="4"/>
      <c r="P29" s="24" t="e">
        <f t="shared" si="3"/>
        <v>#DIV/0!</v>
      </c>
    </row>
    <row r="30" spans="1:16" x14ac:dyDescent="0.6">
      <c r="A30" s="20">
        <v>46261</v>
      </c>
      <c r="B30" s="3"/>
      <c r="C30" s="4"/>
      <c r="D30" s="24" t="e">
        <f t="shared" si="0"/>
        <v>#DIV/0!</v>
      </c>
      <c r="E30" s="20">
        <v>46261</v>
      </c>
      <c r="F30" s="48"/>
      <c r="G30" s="6"/>
      <c r="H30" s="24">
        <v>0</v>
      </c>
      <c r="I30" s="20">
        <v>46261</v>
      </c>
      <c r="J30" s="3"/>
      <c r="K30" s="6"/>
      <c r="L30" s="24" t="e">
        <f t="shared" si="2"/>
        <v>#DIV/0!</v>
      </c>
      <c r="M30" s="20">
        <v>46261</v>
      </c>
      <c r="N30" s="3"/>
      <c r="O30" s="4"/>
      <c r="P30" s="24" t="e">
        <f t="shared" si="3"/>
        <v>#DIV/0!</v>
      </c>
    </row>
    <row r="31" spans="1:16" x14ac:dyDescent="0.6">
      <c r="A31" s="20">
        <v>46262</v>
      </c>
      <c r="B31" s="4"/>
      <c r="C31" s="4"/>
      <c r="D31" s="24" t="e">
        <f t="shared" si="0"/>
        <v>#DIV/0!</v>
      </c>
      <c r="E31" s="20">
        <v>46262</v>
      </c>
      <c r="F31" s="3"/>
      <c r="G31" s="6"/>
      <c r="H31" s="24" t="e">
        <f t="shared" si="1"/>
        <v>#DIV/0!</v>
      </c>
      <c r="I31" s="20">
        <v>46262</v>
      </c>
      <c r="J31" s="3"/>
      <c r="K31" s="6"/>
      <c r="L31" s="24">
        <v>0</v>
      </c>
      <c r="M31" s="20">
        <v>46262</v>
      </c>
      <c r="N31" s="3"/>
      <c r="O31" s="4"/>
      <c r="P31" s="24" t="e">
        <f t="shared" si="3"/>
        <v>#DIV/0!</v>
      </c>
    </row>
    <row r="32" spans="1:16" x14ac:dyDescent="0.6">
      <c r="A32" s="20">
        <v>46263</v>
      </c>
      <c r="B32" s="4"/>
      <c r="C32" s="4"/>
      <c r="D32" s="24" t="e">
        <f t="shared" si="0"/>
        <v>#DIV/0!</v>
      </c>
      <c r="E32" s="20">
        <v>46263</v>
      </c>
      <c r="F32" s="4"/>
      <c r="G32" s="6"/>
      <c r="H32" s="24">
        <v>0</v>
      </c>
      <c r="I32" s="20">
        <v>46263</v>
      </c>
      <c r="J32" s="3"/>
      <c r="K32" s="6"/>
      <c r="L32" s="24" t="e">
        <f t="shared" si="2"/>
        <v>#DIV/0!</v>
      </c>
      <c r="M32" s="20">
        <v>46263</v>
      </c>
      <c r="N32" s="3"/>
      <c r="O32" s="4"/>
      <c r="P32" s="24" t="e">
        <f t="shared" si="3"/>
        <v>#DIV/0!</v>
      </c>
    </row>
    <row r="33" spans="1:16 16384:16384" x14ac:dyDescent="0.6">
      <c r="A33" s="20">
        <v>46264</v>
      </c>
      <c r="B33" s="4"/>
      <c r="C33" s="4"/>
      <c r="D33" s="24">
        <v>0</v>
      </c>
      <c r="E33" s="20">
        <v>46264</v>
      </c>
      <c r="F33" s="4"/>
      <c r="G33" s="6"/>
      <c r="H33" s="24">
        <v>0</v>
      </c>
      <c r="I33" s="20">
        <v>46264</v>
      </c>
      <c r="J33" s="3"/>
      <c r="K33" s="6"/>
      <c r="L33" s="24">
        <v>0</v>
      </c>
      <c r="M33" s="20">
        <v>46264</v>
      </c>
      <c r="N33" s="4"/>
      <c r="O33" s="4"/>
      <c r="P33" s="24">
        <v>0</v>
      </c>
    </row>
    <row r="34" spans="1:16 16384:16384" x14ac:dyDescent="0.6">
      <c r="A34" s="20">
        <v>46265</v>
      </c>
      <c r="B34" s="4"/>
      <c r="C34" s="4"/>
      <c r="D34" s="24">
        <v>0</v>
      </c>
      <c r="E34" s="20">
        <v>46265</v>
      </c>
      <c r="F34" s="6"/>
      <c r="G34" s="6"/>
      <c r="H34" s="24">
        <v>0</v>
      </c>
      <c r="I34" s="20">
        <v>46265</v>
      </c>
      <c r="J34" s="48"/>
      <c r="K34" s="6"/>
      <c r="L34" s="24">
        <v>0</v>
      </c>
      <c r="M34" s="20">
        <v>46265</v>
      </c>
      <c r="N34" s="3"/>
      <c r="O34" s="4"/>
      <c r="P34" s="24" t="e">
        <f t="shared" si="3"/>
        <v>#DIV/0!</v>
      </c>
    </row>
    <row r="35" spans="1:16 16384:16384" s="17" customFormat="1" ht="27" thickBot="1" x14ac:dyDescent="0.75">
      <c r="A35" s="16" t="s">
        <v>10</v>
      </c>
      <c r="B35" s="30">
        <f>SUM(B4:B34)</f>
        <v>0</v>
      </c>
      <c r="C35" s="30">
        <f t="shared" ref="C35" si="4">SUM(C4:C34)</f>
        <v>0</v>
      </c>
      <c r="D35" s="15" t="s">
        <v>11</v>
      </c>
      <c r="E35" s="16" t="s">
        <v>10</v>
      </c>
      <c r="F35" s="30">
        <f>SUM(F4:F34)</f>
        <v>0</v>
      </c>
      <c r="G35" s="30">
        <f t="shared" ref="G35" si="5">SUM(G4:G34)</f>
        <v>0</v>
      </c>
      <c r="H35" s="15" t="s">
        <v>11</v>
      </c>
      <c r="I35" s="16" t="s">
        <v>10</v>
      </c>
      <c r="J35" s="30">
        <f>SUM(J4:J34)</f>
        <v>0</v>
      </c>
      <c r="K35" s="30">
        <f t="shared" ref="K35" si="6">SUM(K4:K34)</f>
        <v>0</v>
      </c>
      <c r="L35" s="15" t="s">
        <v>11</v>
      </c>
      <c r="M35" s="16" t="s">
        <v>10</v>
      </c>
      <c r="N35" s="30">
        <f>SUM(N4:N34)</f>
        <v>0</v>
      </c>
      <c r="O35" s="30">
        <f t="shared" ref="O35" si="7">SUM(O4:O34)</f>
        <v>0</v>
      </c>
      <c r="P35" s="15" t="s">
        <v>11</v>
      </c>
      <c r="XFD35" s="17">
        <f>SUM(A35:XFC35)</f>
        <v>0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x14ac:dyDescent="0.7">
      <c r="A38" s="8"/>
      <c r="B38" s="115" t="s">
        <v>17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32">
        <f>+B35</f>
        <v>0</v>
      </c>
      <c r="D40" s="32">
        <f>+C35</f>
        <v>0</v>
      </c>
      <c r="E40" s="34" t="e">
        <f>+D40/C40</f>
        <v>#DIV/0!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33">
        <f>+F35</f>
        <v>0</v>
      </c>
      <c r="D41" s="33">
        <f>+G35</f>
        <v>0</v>
      </c>
      <c r="E41" s="34" t="e">
        <f t="shared" ref="E41:E42" si="8">+D41/C41</f>
        <v>#DIV/0!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33">
        <f>+J35</f>
        <v>0</v>
      </c>
      <c r="D42" s="33">
        <f>+K35</f>
        <v>0</v>
      </c>
      <c r="E42" s="34" t="e">
        <f t="shared" si="8"/>
        <v>#DIV/0!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33">
        <f>+N35</f>
        <v>0</v>
      </c>
      <c r="D43" s="33">
        <f>+O35</f>
        <v>0</v>
      </c>
      <c r="E43" s="34" t="e">
        <f>+D43/C43</f>
        <v>#DIV/0!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47" t="s">
        <v>9</v>
      </c>
      <c r="C44" s="45">
        <f>SUM(C40:C43)</f>
        <v>0</v>
      </c>
      <c r="D44" s="45">
        <f>SUM(D40:D43)</f>
        <v>0</v>
      </c>
      <c r="E44" s="46" t="e">
        <f>+D44/C44</f>
        <v>#DIV/0!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A2A1-B319-4FB2-A68B-B052C73BB2D4}">
  <sheetPr>
    <tabColor rgb="FF00B0F0"/>
  </sheetPr>
  <dimension ref="A1:XFD70"/>
  <sheetViews>
    <sheetView zoomScale="115" zoomScaleNormal="115" workbookViewId="0">
      <pane xSplit="4" ySplit="3" topLeftCell="E4" activePane="bottomRight" state="frozen"/>
      <selection activeCell="C7" sqref="C7"/>
      <selection pane="topRight" activeCell="C7" sqref="C7"/>
      <selection pane="bottomLeft" activeCell="C7" sqref="C7"/>
      <selection pane="bottomRight" activeCell="C36" sqref="C36"/>
    </sheetView>
  </sheetViews>
  <sheetFormatPr defaultRowHeight="23.4" x14ac:dyDescent="0.6"/>
  <cols>
    <col min="1" max="1" width="9.09765625" style="1" bestFit="1" customWidth="1"/>
    <col min="2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69921875" style="1"/>
    <col min="16384" max="16384" width="9" style="1" bestFit="1" customWidth="1"/>
  </cols>
  <sheetData>
    <row r="1" spans="1:16" ht="28.8" x14ac:dyDescent="0.75">
      <c r="A1" s="35" t="s">
        <v>18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46204</v>
      </c>
      <c r="B4" s="3"/>
      <c r="C4" s="3"/>
      <c r="D4" s="24" t="e">
        <f>+C4/B4</f>
        <v>#DIV/0!</v>
      </c>
      <c r="E4" s="20">
        <v>46204</v>
      </c>
      <c r="F4" s="3"/>
      <c r="G4" s="3"/>
      <c r="H4" s="24" t="e">
        <f>+G4/F4</f>
        <v>#DIV/0!</v>
      </c>
      <c r="I4" s="20">
        <v>46204</v>
      </c>
      <c r="J4" s="3"/>
      <c r="K4" s="3"/>
      <c r="L4" s="24" t="e">
        <f>+K4/J4</f>
        <v>#DIV/0!</v>
      </c>
      <c r="M4" s="20">
        <v>46204</v>
      </c>
      <c r="N4" s="3"/>
      <c r="O4" s="4"/>
      <c r="P4" s="24" t="e">
        <f>+O4/N4</f>
        <v>#DIV/0!</v>
      </c>
    </row>
    <row r="5" spans="1:16" x14ac:dyDescent="0.6">
      <c r="A5" s="20">
        <v>46205</v>
      </c>
      <c r="B5" s="3"/>
      <c r="C5" s="3"/>
      <c r="D5" s="24" t="e">
        <f t="shared" ref="D5:D32" si="0">+C5/B5</f>
        <v>#DIV/0!</v>
      </c>
      <c r="E5" s="20">
        <v>46205</v>
      </c>
      <c r="F5" s="3"/>
      <c r="G5" s="3"/>
      <c r="H5" s="24" t="e">
        <f t="shared" ref="H5:H31" si="1">+G5/F5</f>
        <v>#DIV/0!</v>
      </c>
      <c r="I5" s="20">
        <v>46205</v>
      </c>
      <c r="J5" s="5"/>
      <c r="K5" s="3"/>
      <c r="L5" s="24" t="e">
        <f t="shared" ref="L5:L32" si="2">+K5/J5</f>
        <v>#DIV/0!</v>
      </c>
      <c r="M5" s="20">
        <v>46205</v>
      </c>
      <c r="N5" s="3"/>
      <c r="O5" s="4"/>
      <c r="P5" s="24" t="e">
        <f t="shared" ref="P5:P34" si="3">+O5/N5</f>
        <v>#DIV/0!</v>
      </c>
    </row>
    <row r="6" spans="1:16" x14ac:dyDescent="0.6">
      <c r="A6" s="20">
        <v>46206</v>
      </c>
      <c r="B6" s="3"/>
      <c r="C6" s="3"/>
      <c r="D6" s="24" t="e">
        <f t="shared" si="0"/>
        <v>#DIV/0!</v>
      </c>
      <c r="E6" s="20">
        <v>46206</v>
      </c>
      <c r="F6" s="3"/>
      <c r="G6" s="3"/>
      <c r="H6" s="24" t="e">
        <f t="shared" si="1"/>
        <v>#DIV/0!</v>
      </c>
      <c r="I6" s="20">
        <v>46206</v>
      </c>
      <c r="J6" s="5"/>
      <c r="K6" s="3"/>
      <c r="L6" s="24" t="e">
        <f t="shared" si="2"/>
        <v>#DIV/0!</v>
      </c>
      <c r="M6" s="20">
        <v>46206</v>
      </c>
      <c r="N6" s="3"/>
      <c r="O6" s="4"/>
      <c r="P6" s="24" t="e">
        <f t="shared" si="3"/>
        <v>#DIV/0!</v>
      </c>
    </row>
    <row r="7" spans="1:16" x14ac:dyDescent="0.6">
      <c r="A7" s="20">
        <v>46207</v>
      </c>
      <c r="B7" s="3"/>
      <c r="C7" s="3"/>
      <c r="D7" s="24" t="e">
        <f t="shared" si="0"/>
        <v>#DIV/0!</v>
      </c>
      <c r="E7" s="20">
        <v>46207</v>
      </c>
      <c r="F7" s="3"/>
      <c r="G7" s="3"/>
      <c r="H7" s="24" t="e">
        <f t="shared" si="1"/>
        <v>#DIV/0!</v>
      </c>
      <c r="I7" s="20">
        <v>46207</v>
      </c>
      <c r="J7" s="5"/>
      <c r="K7" s="3"/>
      <c r="L7" s="24" t="e">
        <f t="shared" si="2"/>
        <v>#DIV/0!</v>
      </c>
      <c r="M7" s="20">
        <v>46207</v>
      </c>
      <c r="N7" s="3"/>
      <c r="O7" s="4"/>
      <c r="P7" s="24" t="e">
        <f t="shared" si="3"/>
        <v>#DIV/0!</v>
      </c>
    </row>
    <row r="8" spans="1:16" x14ac:dyDescent="0.6">
      <c r="A8" s="20">
        <v>46208</v>
      </c>
      <c r="B8" s="3"/>
      <c r="C8" s="3"/>
      <c r="D8" s="24" t="e">
        <f t="shared" si="0"/>
        <v>#DIV/0!</v>
      </c>
      <c r="E8" s="20">
        <v>46208</v>
      </c>
      <c r="F8" s="3"/>
      <c r="G8" s="3"/>
      <c r="H8" s="24" t="e">
        <f t="shared" si="1"/>
        <v>#DIV/0!</v>
      </c>
      <c r="I8" s="20">
        <v>46208</v>
      </c>
      <c r="J8" s="5"/>
      <c r="K8" s="3"/>
      <c r="L8" s="24" t="e">
        <f t="shared" si="2"/>
        <v>#DIV/0!</v>
      </c>
      <c r="M8" s="20">
        <v>46208</v>
      </c>
      <c r="N8" s="3"/>
      <c r="O8" s="4"/>
      <c r="P8" s="24" t="e">
        <f t="shared" si="3"/>
        <v>#DIV/0!</v>
      </c>
    </row>
    <row r="9" spans="1:16" x14ac:dyDescent="0.6">
      <c r="A9" s="20">
        <v>46209</v>
      </c>
      <c r="B9" s="3"/>
      <c r="C9" s="3"/>
      <c r="D9" s="24" t="e">
        <f t="shared" si="0"/>
        <v>#DIV/0!</v>
      </c>
      <c r="E9" s="20">
        <v>46209</v>
      </c>
      <c r="F9" s="3"/>
      <c r="G9" s="3"/>
      <c r="H9" s="24" t="e">
        <f t="shared" si="1"/>
        <v>#DIV/0!</v>
      </c>
      <c r="I9" s="20">
        <v>46209</v>
      </c>
      <c r="J9" s="3"/>
      <c r="K9" s="3"/>
      <c r="L9" s="24" t="e">
        <f t="shared" si="2"/>
        <v>#DIV/0!</v>
      </c>
      <c r="M9" s="20">
        <v>46209</v>
      </c>
      <c r="N9" s="3"/>
      <c r="O9" s="4"/>
      <c r="P9" s="24" t="e">
        <f t="shared" si="3"/>
        <v>#DIV/0!</v>
      </c>
    </row>
    <row r="10" spans="1:16" x14ac:dyDescent="0.6">
      <c r="A10" s="20">
        <v>46210</v>
      </c>
      <c r="B10" s="3"/>
      <c r="C10" s="3"/>
      <c r="D10" s="24" t="e">
        <f t="shared" si="0"/>
        <v>#DIV/0!</v>
      </c>
      <c r="E10" s="20">
        <v>46210</v>
      </c>
      <c r="F10" s="3"/>
      <c r="G10" s="3"/>
      <c r="H10" s="24" t="e">
        <f t="shared" si="1"/>
        <v>#DIV/0!</v>
      </c>
      <c r="I10" s="20">
        <v>46210</v>
      </c>
      <c r="J10" s="3"/>
      <c r="K10" s="4"/>
      <c r="L10" s="24" t="e">
        <f t="shared" si="2"/>
        <v>#DIV/0!</v>
      </c>
      <c r="M10" s="20">
        <v>46210</v>
      </c>
      <c r="N10" s="3"/>
      <c r="O10" s="4"/>
      <c r="P10" s="24" t="e">
        <f t="shared" si="3"/>
        <v>#DIV/0!</v>
      </c>
    </row>
    <row r="11" spans="1:16" x14ac:dyDescent="0.6">
      <c r="A11" s="20">
        <v>46211</v>
      </c>
      <c r="B11" s="3"/>
      <c r="C11" s="3"/>
      <c r="D11" s="24" t="e">
        <f>+C11/B11</f>
        <v>#DIV/0!</v>
      </c>
      <c r="E11" s="20">
        <v>46211</v>
      </c>
      <c r="F11" s="3"/>
      <c r="G11" s="4"/>
      <c r="H11" s="24" t="e">
        <f t="shared" si="1"/>
        <v>#DIV/0!</v>
      </c>
      <c r="I11" s="20">
        <v>46211</v>
      </c>
      <c r="J11" s="3"/>
      <c r="K11" s="4"/>
      <c r="L11" s="24" t="e">
        <f t="shared" si="2"/>
        <v>#DIV/0!</v>
      </c>
      <c r="M11" s="20">
        <v>46211</v>
      </c>
      <c r="N11" s="3"/>
      <c r="O11" s="4"/>
      <c r="P11" s="24" t="e">
        <f t="shared" si="3"/>
        <v>#DIV/0!</v>
      </c>
    </row>
    <row r="12" spans="1:16" x14ac:dyDescent="0.6">
      <c r="A12" s="20">
        <v>46212</v>
      </c>
      <c r="B12" s="3"/>
      <c r="C12" s="3"/>
      <c r="D12" s="24" t="e">
        <f t="shared" si="0"/>
        <v>#DIV/0!</v>
      </c>
      <c r="E12" s="20">
        <v>46212</v>
      </c>
      <c r="F12" s="3"/>
      <c r="G12" s="4"/>
      <c r="H12" s="24" t="e">
        <f t="shared" si="1"/>
        <v>#DIV/0!</v>
      </c>
      <c r="I12" s="20">
        <v>46212</v>
      </c>
      <c r="J12" s="3"/>
      <c r="K12" s="4"/>
      <c r="L12" s="24" t="e">
        <f t="shared" si="2"/>
        <v>#DIV/0!</v>
      </c>
      <c r="M12" s="20">
        <v>46212</v>
      </c>
      <c r="N12" s="3"/>
      <c r="O12" s="4"/>
      <c r="P12" s="24" t="e">
        <f t="shared" si="3"/>
        <v>#DIV/0!</v>
      </c>
    </row>
    <row r="13" spans="1:16" x14ac:dyDescent="0.6">
      <c r="A13" s="20">
        <v>46213</v>
      </c>
      <c r="B13" s="3"/>
      <c r="C13" s="3"/>
      <c r="D13" s="24" t="e">
        <f t="shared" si="0"/>
        <v>#DIV/0!</v>
      </c>
      <c r="E13" s="20">
        <v>46213</v>
      </c>
      <c r="F13" s="3"/>
      <c r="G13" s="4"/>
      <c r="H13" s="24" t="e">
        <f t="shared" si="1"/>
        <v>#DIV/0!</v>
      </c>
      <c r="I13" s="20">
        <v>46213</v>
      </c>
      <c r="J13" s="3"/>
      <c r="K13" s="4"/>
      <c r="L13" s="24" t="e">
        <f t="shared" si="2"/>
        <v>#DIV/0!</v>
      </c>
      <c r="M13" s="20">
        <v>46213</v>
      </c>
      <c r="N13" s="3"/>
      <c r="O13" s="4"/>
      <c r="P13" s="24" t="e">
        <f t="shared" si="3"/>
        <v>#DIV/0!</v>
      </c>
    </row>
    <row r="14" spans="1:16" x14ac:dyDescent="0.6">
      <c r="A14" s="20">
        <v>46214</v>
      </c>
      <c r="B14" s="3"/>
      <c r="C14" s="3"/>
      <c r="D14" s="24" t="e">
        <f t="shared" si="0"/>
        <v>#DIV/0!</v>
      </c>
      <c r="E14" s="20">
        <v>46214</v>
      </c>
      <c r="F14" s="3"/>
      <c r="G14" s="4"/>
      <c r="H14" s="24" t="e">
        <f t="shared" si="1"/>
        <v>#DIV/0!</v>
      </c>
      <c r="I14" s="20">
        <v>46214</v>
      </c>
      <c r="J14" s="3"/>
      <c r="K14" s="4"/>
      <c r="L14" s="24" t="e">
        <f t="shared" si="2"/>
        <v>#DIV/0!</v>
      </c>
      <c r="M14" s="20">
        <v>46214</v>
      </c>
      <c r="N14" s="3"/>
      <c r="O14" s="4"/>
      <c r="P14" s="24" t="e">
        <f t="shared" si="3"/>
        <v>#DIV/0!</v>
      </c>
    </row>
    <row r="15" spans="1:16" x14ac:dyDescent="0.6">
      <c r="A15" s="20">
        <v>46215</v>
      </c>
      <c r="B15" s="3"/>
      <c r="C15" s="3"/>
      <c r="D15" s="24" t="e">
        <f t="shared" si="0"/>
        <v>#DIV/0!</v>
      </c>
      <c r="E15" s="20">
        <v>46215</v>
      </c>
      <c r="F15" s="3"/>
      <c r="G15" s="4"/>
      <c r="H15" s="24" t="e">
        <f t="shared" si="1"/>
        <v>#DIV/0!</v>
      </c>
      <c r="I15" s="20">
        <v>46215</v>
      </c>
      <c r="J15" s="3"/>
      <c r="K15" s="4"/>
      <c r="L15" s="24" t="e">
        <f t="shared" si="2"/>
        <v>#DIV/0!</v>
      </c>
      <c r="M15" s="20">
        <v>46215</v>
      </c>
      <c r="N15" s="3"/>
      <c r="O15" s="4"/>
      <c r="P15" s="24" t="e">
        <f t="shared" si="3"/>
        <v>#DIV/0!</v>
      </c>
    </row>
    <row r="16" spans="1:16" x14ac:dyDescent="0.6">
      <c r="A16" s="20">
        <v>46216</v>
      </c>
      <c r="B16" s="3"/>
      <c r="C16" s="3"/>
      <c r="D16" s="24" t="e">
        <f t="shared" si="0"/>
        <v>#DIV/0!</v>
      </c>
      <c r="E16" s="20">
        <v>46216</v>
      </c>
      <c r="F16" s="3"/>
      <c r="G16" s="3"/>
      <c r="H16" s="24" t="e">
        <f t="shared" si="1"/>
        <v>#DIV/0!</v>
      </c>
      <c r="I16" s="20">
        <v>46216</v>
      </c>
      <c r="J16" s="3"/>
      <c r="K16" s="3"/>
      <c r="L16" s="24" t="e">
        <f t="shared" si="2"/>
        <v>#DIV/0!</v>
      </c>
      <c r="M16" s="20">
        <v>46216</v>
      </c>
      <c r="N16" s="3"/>
      <c r="O16" s="4"/>
      <c r="P16" s="24" t="e">
        <f t="shared" si="3"/>
        <v>#DIV/0!</v>
      </c>
    </row>
    <row r="17" spans="1:16" x14ac:dyDescent="0.6">
      <c r="A17" s="20">
        <v>46217</v>
      </c>
      <c r="B17" s="3"/>
      <c r="C17" s="3"/>
      <c r="D17" s="24" t="e">
        <f t="shared" si="0"/>
        <v>#DIV/0!</v>
      </c>
      <c r="E17" s="20">
        <v>46217</v>
      </c>
      <c r="F17" s="3"/>
      <c r="G17" s="3"/>
      <c r="H17" s="24" t="e">
        <f t="shared" si="1"/>
        <v>#DIV/0!</v>
      </c>
      <c r="I17" s="20">
        <v>46217</v>
      </c>
      <c r="J17" s="3"/>
      <c r="K17" s="3"/>
      <c r="L17" s="24" t="e">
        <f t="shared" si="2"/>
        <v>#DIV/0!</v>
      </c>
      <c r="M17" s="20">
        <v>46217</v>
      </c>
      <c r="N17" s="3"/>
      <c r="O17" s="4"/>
      <c r="P17" s="24" t="e">
        <f t="shared" si="3"/>
        <v>#DIV/0!</v>
      </c>
    </row>
    <row r="18" spans="1:16" x14ac:dyDescent="0.6">
      <c r="A18" s="20">
        <v>46218</v>
      </c>
      <c r="B18" s="3"/>
      <c r="C18" s="3"/>
      <c r="D18" s="24" t="e">
        <f t="shared" si="0"/>
        <v>#DIV/0!</v>
      </c>
      <c r="E18" s="20">
        <v>46218</v>
      </c>
      <c r="F18" s="3"/>
      <c r="G18" s="3"/>
      <c r="H18" s="24" t="e">
        <f t="shared" si="1"/>
        <v>#DIV/0!</v>
      </c>
      <c r="I18" s="20">
        <v>46218</v>
      </c>
      <c r="J18" s="3"/>
      <c r="K18" s="3"/>
      <c r="L18" s="24" t="e">
        <f t="shared" si="2"/>
        <v>#DIV/0!</v>
      </c>
      <c r="M18" s="20">
        <v>46218</v>
      </c>
      <c r="N18" s="3"/>
      <c r="O18" s="4"/>
      <c r="P18" s="24" t="e">
        <f t="shared" si="3"/>
        <v>#DIV/0!</v>
      </c>
    </row>
    <row r="19" spans="1:16" x14ac:dyDescent="0.6">
      <c r="A19" s="20">
        <v>46219</v>
      </c>
      <c r="B19" s="3"/>
      <c r="C19" s="3"/>
      <c r="D19" s="24" t="e">
        <f t="shared" si="0"/>
        <v>#DIV/0!</v>
      </c>
      <c r="E19" s="20">
        <v>46219</v>
      </c>
      <c r="F19" s="3"/>
      <c r="G19" s="3"/>
      <c r="H19" s="24" t="e">
        <f t="shared" si="1"/>
        <v>#DIV/0!</v>
      </c>
      <c r="I19" s="20">
        <v>46219</v>
      </c>
      <c r="J19" s="3"/>
      <c r="K19" s="3"/>
      <c r="L19" s="24" t="e">
        <f t="shared" si="2"/>
        <v>#DIV/0!</v>
      </c>
      <c r="M19" s="20">
        <v>46219</v>
      </c>
      <c r="N19" s="3"/>
      <c r="O19" s="4"/>
      <c r="P19" s="24" t="e">
        <f t="shared" si="3"/>
        <v>#DIV/0!</v>
      </c>
    </row>
    <row r="20" spans="1:16" x14ac:dyDescent="0.6">
      <c r="A20" s="20">
        <v>46220</v>
      </c>
      <c r="B20" s="3"/>
      <c r="C20" s="3"/>
      <c r="D20" s="24" t="e">
        <f t="shared" si="0"/>
        <v>#DIV/0!</v>
      </c>
      <c r="E20" s="20">
        <v>46220</v>
      </c>
      <c r="F20" s="3"/>
      <c r="G20" s="3"/>
      <c r="H20" s="24" t="e">
        <f t="shared" si="1"/>
        <v>#DIV/0!</v>
      </c>
      <c r="I20" s="20">
        <v>46220</v>
      </c>
      <c r="J20" s="3"/>
      <c r="K20" s="3"/>
      <c r="L20" s="24" t="e">
        <f t="shared" si="2"/>
        <v>#DIV/0!</v>
      </c>
      <c r="M20" s="20">
        <v>46220</v>
      </c>
      <c r="N20" s="3"/>
      <c r="O20" s="4"/>
      <c r="P20" s="24" t="e">
        <f t="shared" si="3"/>
        <v>#DIV/0!</v>
      </c>
    </row>
    <row r="21" spans="1:16" x14ac:dyDescent="0.6">
      <c r="A21" s="20">
        <v>46221</v>
      </c>
      <c r="B21" s="3"/>
      <c r="C21" s="3"/>
      <c r="D21" s="24" t="e">
        <f t="shared" si="0"/>
        <v>#DIV/0!</v>
      </c>
      <c r="E21" s="20">
        <v>46221</v>
      </c>
      <c r="F21" s="3"/>
      <c r="G21" s="4"/>
      <c r="H21" s="24" t="e">
        <f t="shared" si="1"/>
        <v>#DIV/0!</v>
      </c>
      <c r="I21" s="20">
        <v>46221</v>
      </c>
      <c r="J21" s="3"/>
      <c r="K21" s="4"/>
      <c r="L21" s="24" t="e">
        <f t="shared" si="2"/>
        <v>#DIV/0!</v>
      </c>
      <c r="M21" s="20">
        <v>46221</v>
      </c>
      <c r="N21" s="3"/>
      <c r="O21" s="4"/>
      <c r="P21" s="24" t="e">
        <f t="shared" si="3"/>
        <v>#DIV/0!</v>
      </c>
    </row>
    <row r="22" spans="1:16" x14ac:dyDescent="0.6">
      <c r="A22" s="20">
        <v>46222</v>
      </c>
      <c r="B22" s="3"/>
      <c r="C22" s="3"/>
      <c r="D22" s="24" t="e">
        <f t="shared" si="0"/>
        <v>#DIV/0!</v>
      </c>
      <c r="E22" s="20">
        <v>46222</v>
      </c>
      <c r="F22" s="3"/>
      <c r="G22" s="4"/>
      <c r="H22" s="24" t="e">
        <f t="shared" si="1"/>
        <v>#DIV/0!</v>
      </c>
      <c r="I22" s="20">
        <v>46222</v>
      </c>
      <c r="J22" s="3"/>
      <c r="K22" s="4"/>
      <c r="L22" s="24" t="e">
        <f t="shared" si="2"/>
        <v>#DIV/0!</v>
      </c>
      <c r="M22" s="20">
        <v>46222</v>
      </c>
      <c r="N22" s="3"/>
      <c r="O22" s="4"/>
      <c r="P22" s="24" t="e">
        <f t="shared" si="3"/>
        <v>#DIV/0!</v>
      </c>
    </row>
    <row r="23" spans="1:16" x14ac:dyDescent="0.6">
      <c r="A23" s="20">
        <v>46223</v>
      </c>
      <c r="B23" s="3"/>
      <c r="C23" s="3"/>
      <c r="D23" s="24" t="e">
        <f t="shared" si="0"/>
        <v>#DIV/0!</v>
      </c>
      <c r="E23" s="20">
        <v>46223</v>
      </c>
      <c r="F23" s="48"/>
      <c r="G23" s="3"/>
      <c r="H23" s="27">
        <v>0</v>
      </c>
      <c r="I23" s="20">
        <v>46223</v>
      </c>
      <c r="J23" s="3"/>
      <c r="K23" s="4"/>
      <c r="L23" s="24" t="e">
        <f t="shared" si="2"/>
        <v>#DIV/0!</v>
      </c>
      <c r="M23" s="20">
        <v>46223</v>
      </c>
      <c r="N23" s="3"/>
      <c r="O23" s="4"/>
      <c r="P23" s="24" t="e">
        <f t="shared" si="3"/>
        <v>#DIV/0!</v>
      </c>
    </row>
    <row r="24" spans="1:16" x14ac:dyDescent="0.6">
      <c r="A24" s="20">
        <v>46224</v>
      </c>
      <c r="B24" s="3"/>
      <c r="C24" s="3"/>
      <c r="D24" s="24" t="e">
        <f t="shared" si="0"/>
        <v>#DIV/0!</v>
      </c>
      <c r="E24" s="20">
        <v>46224</v>
      </c>
      <c r="F24" s="3"/>
      <c r="G24" s="48"/>
      <c r="H24" s="24" t="e">
        <f t="shared" si="1"/>
        <v>#DIV/0!</v>
      </c>
      <c r="I24" s="20">
        <v>46224</v>
      </c>
      <c r="J24" s="3"/>
      <c r="K24" s="4"/>
      <c r="L24" s="24" t="e">
        <f t="shared" si="2"/>
        <v>#DIV/0!</v>
      </c>
      <c r="M24" s="20">
        <v>46224</v>
      </c>
      <c r="N24" s="3"/>
      <c r="O24" s="4"/>
      <c r="P24" s="24" t="e">
        <f t="shared" si="3"/>
        <v>#DIV/0!</v>
      </c>
    </row>
    <row r="25" spans="1:16" x14ac:dyDescent="0.6">
      <c r="A25" s="20">
        <v>46225</v>
      </c>
      <c r="B25" s="3"/>
      <c r="C25" s="3"/>
      <c r="D25" s="24" t="e">
        <f t="shared" si="0"/>
        <v>#DIV/0!</v>
      </c>
      <c r="E25" s="20">
        <v>46225</v>
      </c>
      <c r="F25" s="3"/>
      <c r="G25" s="48"/>
      <c r="H25" s="24" t="e">
        <f>+G25/F25</f>
        <v>#DIV/0!</v>
      </c>
      <c r="I25" s="20">
        <v>46225</v>
      </c>
      <c r="J25" s="3"/>
      <c r="K25" s="6"/>
      <c r="L25" s="24" t="e">
        <f t="shared" si="2"/>
        <v>#DIV/0!</v>
      </c>
      <c r="M25" s="20">
        <v>46225</v>
      </c>
      <c r="N25" s="3"/>
      <c r="O25" s="4"/>
      <c r="P25" s="24" t="e">
        <f t="shared" si="3"/>
        <v>#DIV/0!</v>
      </c>
    </row>
    <row r="26" spans="1:16" x14ac:dyDescent="0.6">
      <c r="A26" s="20">
        <v>46226</v>
      </c>
      <c r="B26" s="3"/>
      <c r="C26" s="3"/>
      <c r="D26" s="24" t="e">
        <f t="shared" si="0"/>
        <v>#DIV/0!</v>
      </c>
      <c r="E26" s="20">
        <v>46226</v>
      </c>
      <c r="F26" s="3"/>
      <c r="G26" s="48"/>
      <c r="H26" s="24" t="e">
        <f t="shared" si="1"/>
        <v>#DIV/0!</v>
      </c>
      <c r="I26" s="20">
        <v>46226</v>
      </c>
      <c r="J26" s="3"/>
      <c r="K26" s="6"/>
      <c r="L26" s="24" t="e">
        <f t="shared" si="2"/>
        <v>#DIV/0!</v>
      </c>
      <c r="M26" s="20">
        <v>46226</v>
      </c>
      <c r="N26" s="3"/>
      <c r="O26" s="4"/>
      <c r="P26" s="24" t="e">
        <f t="shared" si="3"/>
        <v>#DIV/0!</v>
      </c>
    </row>
    <row r="27" spans="1:16" x14ac:dyDescent="0.6">
      <c r="A27" s="20">
        <v>46227</v>
      </c>
      <c r="B27" s="3"/>
      <c r="C27" s="3"/>
      <c r="D27" s="24" t="e">
        <f t="shared" si="0"/>
        <v>#DIV/0!</v>
      </c>
      <c r="E27" s="20">
        <v>46227</v>
      </c>
      <c r="F27" s="3"/>
      <c r="G27" s="6"/>
      <c r="H27" s="24" t="e">
        <f t="shared" si="1"/>
        <v>#DIV/0!</v>
      </c>
      <c r="I27" s="20">
        <v>46227</v>
      </c>
      <c r="J27" s="3"/>
      <c r="K27" s="6"/>
      <c r="L27" s="24" t="e">
        <f t="shared" si="2"/>
        <v>#DIV/0!</v>
      </c>
      <c r="M27" s="20">
        <v>46227</v>
      </c>
      <c r="N27" s="3"/>
      <c r="O27" s="4"/>
      <c r="P27" s="24" t="e">
        <f t="shared" si="3"/>
        <v>#DIV/0!</v>
      </c>
    </row>
    <row r="28" spans="1:16" x14ac:dyDescent="0.6">
      <c r="A28" s="20">
        <v>46228</v>
      </c>
      <c r="B28" s="3"/>
      <c r="C28" s="4"/>
      <c r="D28" s="24" t="e">
        <f t="shared" si="0"/>
        <v>#DIV/0!</v>
      </c>
      <c r="E28" s="20">
        <v>46228</v>
      </c>
      <c r="F28" s="3"/>
      <c r="G28" s="6"/>
      <c r="H28" s="24" t="e">
        <f t="shared" si="1"/>
        <v>#DIV/0!</v>
      </c>
      <c r="I28" s="20">
        <v>46228</v>
      </c>
      <c r="J28" s="3"/>
      <c r="K28" s="6"/>
      <c r="L28" s="24" t="e">
        <f t="shared" si="2"/>
        <v>#DIV/0!</v>
      </c>
      <c r="M28" s="20">
        <v>46228</v>
      </c>
      <c r="N28" s="3"/>
      <c r="O28" s="4"/>
      <c r="P28" s="24" t="e">
        <f t="shared" si="3"/>
        <v>#DIV/0!</v>
      </c>
    </row>
    <row r="29" spans="1:16" x14ac:dyDescent="0.6">
      <c r="A29" s="20">
        <v>46229</v>
      </c>
      <c r="B29" s="3"/>
      <c r="C29" s="4"/>
      <c r="D29" s="24" t="e">
        <f t="shared" si="0"/>
        <v>#DIV/0!</v>
      </c>
      <c r="E29" s="20">
        <v>46229</v>
      </c>
      <c r="F29" s="48"/>
      <c r="G29" s="6"/>
      <c r="H29" s="24">
        <v>0</v>
      </c>
      <c r="I29" s="20">
        <v>46229</v>
      </c>
      <c r="J29" s="3"/>
      <c r="K29" s="6"/>
      <c r="L29" s="24">
        <v>0</v>
      </c>
      <c r="M29" s="20">
        <v>46229</v>
      </c>
      <c r="N29" s="3"/>
      <c r="O29" s="4"/>
      <c r="P29" s="24" t="e">
        <f t="shared" si="3"/>
        <v>#DIV/0!</v>
      </c>
    </row>
    <row r="30" spans="1:16" x14ac:dyDescent="0.6">
      <c r="A30" s="20">
        <v>46230</v>
      </c>
      <c r="B30" s="3"/>
      <c r="C30" s="4"/>
      <c r="D30" s="24" t="e">
        <f t="shared" si="0"/>
        <v>#DIV/0!</v>
      </c>
      <c r="E30" s="20">
        <v>46230</v>
      </c>
      <c r="F30" s="48"/>
      <c r="G30" s="6"/>
      <c r="H30" s="24">
        <v>0</v>
      </c>
      <c r="I30" s="20">
        <v>46230</v>
      </c>
      <c r="J30" s="3"/>
      <c r="K30" s="6"/>
      <c r="L30" s="24" t="e">
        <f t="shared" si="2"/>
        <v>#DIV/0!</v>
      </c>
      <c r="M30" s="20">
        <v>46230</v>
      </c>
      <c r="N30" s="3"/>
      <c r="O30" s="4"/>
      <c r="P30" s="24" t="e">
        <f t="shared" si="3"/>
        <v>#DIV/0!</v>
      </c>
    </row>
    <row r="31" spans="1:16" x14ac:dyDescent="0.6">
      <c r="A31" s="20">
        <v>46231</v>
      </c>
      <c r="B31" s="4"/>
      <c r="C31" s="4"/>
      <c r="D31" s="24" t="e">
        <f t="shared" si="0"/>
        <v>#DIV/0!</v>
      </c>
      <c r="E31" s="20">
        <v>46231</v>
      </c>
      <c r="F31" s="3"/>
      <c r="G31" s="6"/>
      <c r="H31" s="24" t="e">
        <f t="shared" si="1"/>
        <v>#DIV/0!</v>
      </c>
      <c r="I31" s="20">
        <v>46231</v>
      </c>
      <c r="J31" s="3"/>
      <c r="K31" s="6"/>
      <c r="L31" s="24">
        <v>0</v>
      </c>
      <c r="M31" s="20">
        <v>46231</v>
      </c>
      <c r="N31" s="3"/>
      <c r="O31" s="4"/>
      <c r="P31" s="24" t="e">
        <f t="shared" si="3"/>
        <v>#DIV/0!</v>
      </c>
    </row>
    <row r="32" spans="1:16" x14ac:dyDescent="0.6">
      <c r="A32" s="20">
        <v>46232</v>
      </c>
      <c r="B32" s="4"/>
      <c r="C32" s="4"/>
      <c r="D32" s="24" t="e">
        <f t="shared" si="0"/>
        <v>#DIV/0!</v>
      </c>
      <c r="E32" s="20">
        <v>46232</v>
      </c>
      <c r="F32" s="4"/>
      <c r="G32" s="6"/>
      <c r="H32" s="24">
        <v>0</v>
      </c>
      <c r="I32" s="20">
        <v>46232</v>
      </c>
      <c r="J32" s="3"/>
      <c r="K32" s="6"/>
      <c r="L32" s="24" t="e">
        <f t="shared" si="2"/>
        <v>#DIV/0!</v>
      </c>
      <c r="M32" s="20">
        <v>46232</v>
      </c>
      <c r="N32" s="3"/>
      <c r="O32" s="4"/>
      <c r="P32" s="24" t="e">
        <f t="shared" si="3"/>
        <v>#DIV/0!</v>
      </c>
    </row>
    <row r="33" spans="1:16 16384:16384" x14ac:dyDescent="0.6">
      <c r="A33" s="20">
        <v>46233</v>
      </c>
      <c r="B33" s="4"/>
      <c r="C33" s="4"/>
      <c r="D33" s="24">
        <v>0</v>
      </c>
      <c r="E33" s="20">
        <v>46233</v>
      </c>
      <c r="F33" s="4"/>
      <c r="G33" s="6"/>
      <c r="H33" s="24">
        <v>0</v>
      </c>
      <c r="I33" s="20">
        <v>46233</v>
      </c>
      <c r="J33" s="3"/>
      <c r="K33" s="6"/>
      <c r="L33" s="24">
        <v>0</v>
      </c>
      <c r="M33" s="20">
        <v>46233</v>
      </c>
      <c r="N33" s="4"/>
      <c r="O33" s="4"/>
      <c r="P33" s="24">
        <v>0</v>
      </c>
    </row>
    <row r="34" spans="1:16 16384:16384" x14ac:dyDescent="0.6">
      <c r="A34" s="20">
        <v>46234</v>
      </c>
      <c r="B34" s="4"/>
      <c r="C34" s="4"/>
      <c r="D34" s="24">
        <v>0</v>
      </c>
      <c r="E34" s="20">
        <v>46234</v>
      </c>
      <c r="F34" s="6"/>
      <c r="G34" s="6"/>
      <c r="H34" s="24">
        <v>0</v>
      </c>
      <c r="I34" s="20">
        <v>46234</v>
      </c>
      <c r="J34" s="48"/>
      <c r="K34" s="6"/>
      <c r="L34" s="24">
        <v>0</v>
      </c>
      <c r="M34" s="20">
        <v>46234</v>
      </c>
      <c r="N34" s="3"/>
      <c r="O34" s="4"/>
      <c r="P34" s="24" t="e">
        <f t="shared" si="3"/>
        <v>#DIV/0!</v>
      </c>
    </row>
    <row r="35" spans="1:16 16384:16384" s="17" customFormat="1" ht="27" thickBot="1" x14ac:dyDescent="0.75">
      <c r="A35" s="16" t="s">
        <v>10</v>
      </c>
      <c r="B35" s="30">
        <f>SUM(B4:B34)</f>
        <v>0</v>
      </c>
      <c r="C35" s="30">
        <f t="shared" ref="C35" si="4">SUM(C4:C34)</f>
        <v>0</v>
      </c>
      <c r="D35" s="15" t="s">
        <v>11</v>
      </c>
      <c r="E35" s="16" t="s">
        <v>10</v>
      </c>
      <c r="F35" s="30">
        <f>SUM(F4:F34)</f>
        <v>0</v>
      </c>
      <c r="G35" s="30">
        <f t="shared" ref="G35" si="5">SUM(G4:G34)</f>
        <v>0</v>
      </c>
      <c r="H35" s="15" t="s">
        <v>11</v>
      </c>
      <c r="I35" s="16" t="s">
        <v>10</v>
      </c>
      <c r="J35" s="30">
        <f>SUM(J4:J34)</f>
        <v>0</v>
      </c>
      <c r="K35" s="30">
        <f t="shared" ref="K35" si="6">SUM(K4:K34)</f>
        <v>0</v>
      </c>
      <c r="L35" s="15" t="s">
        <v>11</v>
      </c>
      <c r="M35" s="16" t="s">
        <v>10</v>
      </c>
      <c r="N35" s="30">
        <f>SUM(N4:N34)</f>
        <v>0</v>
      </c>
      <c r="O35" s="30">
        <f t="shared" ref="O35" si="7">SUM(O4:O34)</f>
        <v>0</v>
      </c>
      <c r="P35" s="15" t="s">
        <v>11</v>
      </c>
      <c r="XFD35" s="17">
        <f>SUM(A35:XFC35)</f>
        <v>0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x14ac:dyDescent="0.7">
      <c r="A38" s="8"/>
      <c r="B38" s="115" t="s">
        <v>19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32">
        <f>+B35</f>
        <v>0</v>
      </c>
      <c r="D40" s="32">
        <f>+C35</f>
        <v>0</v>
      </c>
      <c r="E40" s="34" t="e">
        <f>+D40/C40</f>
        <v>#DIV/0!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33">
        <f>+F35</f>
        <v>0</v>
      </c>
      <c r="D41" s="33">
        <f>+G35</f>
        <v>0</v>
      </c>
      <c r="E41" s="34" t="e">
        <f t="shared" ref="E41:E42" si="8">+D41/C41</f>
        <v>#DIV/0!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33">
        <f>+J35</f>
        <v>0</v>
      </c>
      <c r="D42" s="33">
        <f>+K35</f>
        <v>0</v>
      </c>
      <c r="E42" s="34" t="e">
        <f t="shared" si="8"/>
        <v>#DIV/0!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33">
        <f>+N35</f>
        <v>0</v>
      </c>
      <c r="D43" s="33">
        <f>+O35</f>
        <v>0</v>
      </c>
      <c r="E43" s="34" t="e">
        <f>+D43/C43</f>
        <v>#DIV/0!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47" t="s">
        <v>9</v>
      </c>
      <c r="C44" s="45">
        <f>SUM(C40:C43)</f>
        <v>0</v>
      </c>
      <c r="D44" s="45">
        <f>SUM(D40:D43)</f>
        <v>0</v>
      </c>
      <c r="E44" s="46" t="e">
        <f>+D44/C44</f>
        <v>#DIV/0!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F514-9D40-4BA3-87A8-B6EC08EF837A}">
  <sheetPr>
    <tabColor rgb="FF00B0F0"/>
  </sheetPr>
  <dimension ref="A1:XFD70"/>
  <sheetViews>
    <sheetView zoomScaleNormal="100" workbookViewId="0">
      <pane xSplit="4" ySplit="3" topLeftCell="E4" activePane="bottomRight" state="frozen"/>
      <selection activeCell="C7" sqref="C7"/>
      <selection pane="topRight" activeCell="C7" sqref="C7"/>
      <selection pane="bottomLeft" activeCell="C7" sqref="C7"/>
      <selection pane="bottomRight" activeCell="G36" sqref="G36"/>
    </sheetView>
  </sheetViews>
  <sheetFormatPr defaultRowHeight="23.4" x14ac:dyDescent="0.6"/>
  <cols>
    <col min="1" max="1" width="9.09765625" style="1" bestFit="1" customWidth="1"/>
    <col min="2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69921875" style="1"/>
    <col min="16384" max="16384" width="9" style="1" bestFit="1" customWidth="1"/>
  </cols>
  <sheetData>
    <row r="1" spans="1:16" ht="28.8" x14ac:dyDescent="0.75">
      <c r="A1" s="35" t="s">
        <v>20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46023</v>
      </c>
      <c r="B4" s="3"/>
      <c r="C4" s="3"/>
      <c r="D4" s="24" t="e">
        <f>+C4/B4</f>
        <v>#DIV/0!</v>
      </c>
      <c r="E4" s="20">
        <v>46023</v>
      </c>
      <c r="F4" s="3"/>
      <c r="G4" s="3"/>
      <c r="H4" s="24" t="e">
        <f>+G4/F4</f>
        <v>#DIV/0!</v>
      </c>
      <c r="I4" s="20">
        <v>46023</v>
      </c>
      <c r="J4" s="3"/>
      <c r="K4" s="3"/>
      <c r="L4" s="24" t="e">
        <f>+K4/J4</f>
        <v>#DIV/0!</v>
      </c>
      <c r="M4" s="20">
        <v>46023</v>
      </c>
      <c r="N4" s="3"/>
      <c r="O4" s="4"/>
      <c r="P4" s="24" t="e">
        <f>+O4/N4</f>
        <v>#DIV/0!</v>
      </c>
    </row>
    <row r="5" spans="1:16" x14ac:dyDescent="0.6">
      <c r="A5" s="20">
        <v>46024</v>
      </c>
      <c r="B5" s="3"/>
      <c r="C5" s="3"/>
      <c r="D5" s="24" t="e">
        <f t="shared" ref="D5:D32" si="0">+C5/B5</f>
        <v>#DIV/0!</v>
      </c>
      <c r="E5" s="20">
        <v>46024</v>
      </c>
      <c r="F5" s="3"/>
      <c r="G5" s="3"/>
      <c r="H5" s="24" t="e">
        <f t="shared" ref="H5:H31" si="1">+G5/F5</f>
        <v>#DIV/0!</v>
      </c>
      <c r="I5" s="20">
        <v>46024</v>
      </c>
      <c r="J5" s="5"/>
      <c r="K5" s="3"/>
      <c r="L5" s="24" t="e">
        <f t="shared" ref="L5:L32" si="2">+K5/J5</f>
        <v>#DIV/0!</v>
      </c>
      <c r="M5" s="20">
        <v>46024</v>
      </c>
      <c r="N5" s="3"/>
      <c r="O5" s="4"/>
      <c r="P5" s="24" t="e">
        <f t="shared" ref="P5:P34" si="3">+O5/N5</f>
        <v>#DIV/0!</v>
      </c>
    </row>
    <row r="6" spans="1:16" x14ac:dyDescent="0.6">
      <c r="A6" s="20">
        <v>46025</v>
      </c>
      <c r="B6" s="3"/>
      <c r="C6" s="3"/>
      <c r="D6" s="24" t="e">
        <f t="shared" si="0"/>
        <v>#DIV/0!</v>
      </c>
      <c r="E6" s="20">
        <v>46025</v>
      </c>
      <c r="F6" s="3"/>
      <c r="G6" s="3"/>
      <c r="H6" s="24" t="e">
        <f t="shared" si="1"/>
        <v>#DIV/0!</v>
      </c>
      <c r="I6" s="20">
        <v>46025</v>
      </c>
      <c r="J6" s="5"/>
      <c r="K6" s="3"/>
      <c r="L6" s="24" t="e">
        <f t="shared" si="2"/>
        <v>#DIV/0!</v>
      </c>
      <c r="M6" s="20">
        <v>46025</v>
      </c>
      <c r="N6" s="3"/>
      <c r="O6" s="4"/>
      <c r="P6" s="24" t="e">
        <f t="shared" si="3"/>
        <v>#DIV/0!</v>
      </c>
    </row>
    <row r="7" spans="1:16" x14ac:dyDescent="0.6">
      <c r="A7" s="20">
        <v>46026</v>
      </c>
      <c r="B7" s="3"/>
      <c r="C7" s="3"/>
      <c r="D7" s="24" t="e">
        <f t="shared" si="0"/>
        <v>#DIV/0!</v>
      </c>
      <c r="E7" s="20">
        <v>46026</v>
      </c>
      <c r="F7" s="3"/>
      <c r="G7" s="3"/>
      <c r="H7" s="24" t="e">
        <f t="shared" si="1"/>
        <v>#DIV/0!</v>
      </c>
      <c r="I7" s="20">
        <v>46026</v>
      </c>
      <c r="J7" s="5"/>
      <c r="K7" s="3"/>
      <c r="L7" s="24" t="e">
        <f t="shared" si="2"/>
        <v>#DIV/0!</v>
      </c>
      <c r="M7" s="20">
        <v>46026</v>
      </c>
      <c r="N7" s="3"/>
      <c r="O7" s="4"/>
      <c r="P7" s="24" t="e">
        <f t="shared" si="3"/>
        <v>#DIV/0!</v>
      </c>
    </row>
    <row r="8" spans="1:16" x14ac:dyDescent="0.6">
      <c r="A8" s="20">
        <v>46027</v>
      </c>
      <c r="B8" s="3"/>
      <c r="C8" s="3"/>
      <c r="D8" s="24" t="e">
        <f t="shared" si="0"/>
        <v>#DIV/0!</v>
      </c>
      <c r="E8" s="20">
        <v>46027</v>
      </c>
      <c r="F8" s="3"/>
      <c r="G8" s="3"/>
      <c r="H8" s="24" t="e">
        <f t="shared" si="1"/>
        <v>#DIV/0!</v>
      </c>
      <c r="I8" s="20">
        <v>46027</v>
      </c>
      <c r="J8" s="5"/>
      <c r="K8" s="3"/>
      <c r="L8" s="24" t="e">
        <f t="shared" si="2"/>
        <v>#DIV/0!</v>
      </c>
      <c r="M8" s="20">
        <v>46027</v>
      </c>
      <c r="N8" s="3"/>
      <c r="O8" s="4"/>
      <c r="P8" s="24" t="e">
        <f t="shared" si="3"/>
        <v>#DIV/0!</v>
      </c>
    </row>
    <row r="9" spans="1:16" x14ac:dyDescent="0.6">
      <c r="A9" s="20">
        <v>46028</v>
      </c>
      <c r="B9" s="3"/>
      <c r="C9" s="3"/>
      <c r="D9" s="24" t="e">
        <f t="shared" si="0"/>
        <v>#DIV/0!</v>
      </c>
      <c r="E9" s="20">
        <v>46028</v>
      </c>
      <c r="F9" s="3"/>
      <c r="G9" s="3"/>
      <c r="H9" s="24" t="e">
        <f t="shared" si="1"/>
        <v>#DIV/0!</v>
      </c>
      <c r="I9" s="20">
        <v>46028</v>
      </c>
      <c r="J9" s="3"/>
      <c r="K9" s="3"/>
      <c r="L9" s="24" t="e">
        <f t="shared" si="2"/>
        <v>#DIV/0!</v>
      </c>
      <c r="M9" s="20">
        <v>46028</v>
      </c>
      <c r="N9" s="3"/>
      <c r="O9" s="4"/>
      <c r="P9" s="24" t="e">
        <f t="shared" si="3"/>
        <v>#DIV/0!</v>
      </c>
    </row>
    <row r="10" spans="1:16" x14ac:dyDescent="0.6">
      <c r="A10" s="20">
        <v>46029</v>
      </c>
      <c r="B10" s="3"/>
      <c r="C10" s="3"/>
      <c r="D10" s="24" t="e">
        <f t="shared" si="0"/>
        <v>#DIV/0!</v>
      </c>
      <c r="E10" s="20">
        <v>46029</v>
      </c>
      <c r="F10" s="3"/>
      <c r="G10" s="3"/>
      <c r="H10" s="24" t="e">
        <f t="shared" si="1"/>
        <v>#DIV/0!</v>
      </c>
      <c r="I10" s="20">
        <v>46029</v>
      </c>
      <c r="J10" s="3"/>
      <c r="K10" s="4"/>
      <c r="L10" s="24" t="e">
        <f t="shared" si="2"/>
        <v>#DIV/0!</v>
      </c>
      <c r="M10" s="20">
        <v>46029</v>
      </c>
      <c r="N10" s="3"/>
      <c r="O10" s="4"/>
      <c r="P10" s="24" t="e">
        <f t="shared" si="3"/>
        <v>#DIV/0!</v>
      </c>
    </row>
    <row r="11" spans="1:16" x14ac:dyDescent="0.6">
      <c r="A11" s="20">
        <v>46030</v>
      </c>
      <c r="B11" s="3"/>
      <c r="C11" s="3"/>
      <c r="D11" s="24" t="e">
        <f>+C11/B11</f>
        <v>#DIV/0!</v>
      </c>
      <c r="E11" s="20">
        <v>46030</v>
      </c>
      <c r="F11" s="3"/>
      <c r="G11" s="4"/>
      <c r="H11" s="24" t="e">
        <f t="shared" si="1"/>
        <v>#DIV/0!</v>
      </c>
      <c r="I11" s="20">
        <v>46030</v>
      </c>
      <c r="J11" s="3"/>
      <c r="K11" s="4"/>
      <c r="L11" s="24" t="e">
        <f t="shared" si="2"/>
        <v>#DIV/0!</v>
      </c>
      <c r="M11" s="20">
        <v>46030</v>
      </c>
      <c r="N11" s="3"/>
      <c r="O11" s="4"/>
      <c r="P11" s="24" t="e">
        <f t="shared" si="3"/>
        <v>#DIV/0!</v>
      </c>
    </row>
    <row r="12" spans="1:16" x14ac:dyDescent="0.6">
      <c r="A12" s="20">
        <v>46031</v>
      </c>
      <c r="B12" s="3"/>
      <c r="C12" s="3"/>
      <c r="D12" s="24" t="e">
        <f t="shared" si="0"/>
        <v>#DIV/0!</v>
      </c>
      <c r="E12" s="20">
        <v>46031</v>
      </c>
      <c r="F12" s="3"/>
      <c r="G12" s="4"/>
      <c r="H12" s="24" t="e">
        <f t="shared" si="1"/>
        <v>#DIV/0!</v>
      </c>
      <c r="I12" s="20">
        <v>46031</v>
      </c>
      <c r="J12" s="3"/>
      <c r="K12" s="4"/>
      <c r="L12" s="24" t="e">
        <f t="shared" si="2"/>
        <v>#DIV/0!</v>
      </c>
      <c r="M12" s="20">
        <v>46031</v>
      </c>
      <c r="N12" s="3"/>
      <c r="O12" s="4"/>
      <c r="P12" s="24" t="e">
        <f t="shared" si="3"/>
        <v>#DIV/0!</v>
      </c>
    </row>
    <row r="13" spans="1:16" x14ac:dyDescent="0.6">
      <c r="A13" s="20">
        <v>46032</v>
      </c>
      <c r="B13" s="3"/>
      <c r="C13" s="3"/>
      <c r="D13" s="24" t="e">
        <f t="shared" si="0"/>
        <v>#DIV/0!</v>
      </c>
      <c r="E13" s="20">
        <v>46032</v>
      </c>
      <c r="F13" s="3"/>
      <c r="G13" s="4"/>
      <c r="H13" s="24" t="e">
        <f t="shared" si="1"/>
        <v>#DIV/0!</v>
      </c>
      <c r="I13" s="20">
        <v>46032</v>
      </c>
      <c r="J13" s="3"/>
      <c r="K13" s="4"/>
      <c r="L13" s="24" t="e">
        <f t="shared" si="2"/>
        <v>#DIV/0!</v>
      </c>
      <c r="M13" s="20">
        <v>46032</v>
      </c>
      <c r="N13" s="3"/>
      <c r="O13" s="4"/>
      <c r="P13" s="24" t="e">
        <f t="shared" si="3"/>
        <v>#DIV/0!</v>
      </c>
    </row>
    <row r="14" spans="1:16" x14ac:dyDescent="0.6">
      <c r="A14" s="20">
        <v>46033</v>
      </c>
      <c r="B14" s="3"/>
      <c r="C14" s="3"/>
      <c r="D14" s="24" t="e">
        <f t="shared" si="0"/>
        <v>#DIV/0!</v>
      </c>
      <c r="E14" s="20">
        <v>46033</v>
      </c>
      <c r="F14" s="3"/>
      <c r="G14" s="4"/>
      <c r="H14" s="24" t="e">
        <f t="shared" si="1"/>
        <v>#DIV/0!</v>
      </c>
      <c r="I14" s="20">
        <v>46033</v>
      </c>
      <c r="J14" s="3"/>
      <c r="K14" s="4"/>
      <c r="L14" s="24" t="e">
        <f t="shared" si="2"/>
        <v>#DIV/0!</v>
      </c>
      <c r="M14" s="20">
        <v>46033</v>
      </c>
      <c r="N14" s="3"/>
      <c r="O14" s="4"/>
      <c r="P14" s="24" t="e">
        <f t="shared" si="3"/>
        <v>#DIV/0!</v>
      </c>
    </row>
    <row r="15" spans="1:16" x14ac:dyDescent="0.6">
      <c r="A15" s="20">
        <v>46034</v>
      </c>
      <c r="B15" s="3"/>
      <c r="C15" s="3"/>
      <c r="D15" s="24" t="e">
        <f t="shared" si="0"/>
        <v>#DIV/0!</v>
      </c>
      <c r="E15" s="20">
        <v>46034</v>
      </c>
      <c r="F15" s="3"/>
      <c r="G15" s="4"/>
      <c r="H15" s="24" t="e">
        <f t="shared" si="1"/>
        <v>#DIV/0!</v>
      </c>
      <c r="I15" s="20">
        <v>46034</v>
      </c>
      <c r="J15" s="3"/>
      <c r="K15" s="4"/>
      <c r="L15" s="24" t="e">
        <f t="shared" si="2"/>
        <v>#DIV/0!</v>
      </c>
      <c r="M15" s="20">
        <v>46034</v>
      </c>
      <c r="N15" s="3"/>
      <c r="O15" s="4"/>
      <c r="P15" s="24" t="e">
        <f t="shared" si="3"/>
        <v>#DIV/0!</v>
      </c>
    </row>
    <row r="16" spans="1:16" x14ac:dyDescent="0.6">
      <c r="A16" s="20">
        <v>46035</v>
      </c>
      <c r="B16" s="3"/>
      <c r="C16" s="3"/>
      <c r="D16" s="24" t="e">
        <f t="shared" si="0"/>
        <v>#DIV/0!</v>
      </c>
      <c r="E16" s="20">
        <v>46035</v>
      </c>
      <c r="F16" s="3"/>
      <c r="G16" s="3"/>
      <c r="H16" s="24" t="e">
        <f t="shared" si="1"/>
        <v>#DIV/0!</v>
      </c>
      <c r="I16" s="20">
        <v>46035</v>
      </c>
      <c r="J16" s="3"/>
      <c r="K16" s="3"/>
      <c r="L16" s="24" t="e">
        <f t="shared" si="2"/>
        <v>#DIV/0!</v>
      </c>
      <c r="M16" s="20">
        <v>46035</v>
      </c>
      <c r="N16" s="3"/>
      <c r="O16" s="4"/>
      <c r="P16" s="24" t="e">
        <f t="shared" si="3"/>
        <v>#DIV/0!</v>
      </c>
    </row>
    <row r="17" spans="1:16" x14ac:dyDescent="0.6">
      <c r="A17" s="20">
        <v>46036</v>
      </c>
      <c r="B17" s="3"/>
      <c r="C17" s="3"/>
      <c r="D17" s="24" t="e">
        <f t="shared" si="0"/>
        <v>#DIV/0!</v>
      </c>
      <c r="E17" s="20">
        <v>46036</v>
      </c>
      <c r="F17" s="3"/>
      <c r="G17" s="3"/>
      <c r="H17" s="24" t="e">
        <f t="shared" si="1"/>
        <v>#DIV/0!</v>
      </c>
      <c r="I17" s="20">
        <v>46036</v>
      </c>
      <c r="J17" s="3"/>
      <c r="K17" s="3"/>
      <c r="L17" s="24" t="e">
        <f t="shared" si="2"/>
        <v>#DIV/0!</v>
      </c>
      <c r="M17" s="20">
        <v>46036</v>
      </c>
      <c r="N17" s="3"/>
      <c r="O17" s="4"/>
      <c r="P17" s="24" t="e">
        <f t="shared" si="3"/>
        <v>#DIV/0!</v>
      </c>
    </row>
    <row r="18" spans="1:16" x14ac:dyDescent="0.6">
      <c r="A18" s="20">
        <v>46037</v>
      </c>
      <c r="B18" s="3"/>
      <c r="C18" s="3"/>
      <c r="D18" s="24" t="e">
        <f t="shared" si="0"/>
        <v>#DIV/0!</v>
      </c>
      <c r="E18" s="20">
        <v>46037</v>
      </c>
      <c r="F18" s="3"/>
      <c r="G18" s="3"/>
      <c r="H18" s="24" t="e">
        <f t="shared" si="1"/>
        <v>#DIV/0!</v>
      </c>
      <c r="I18" s="20">
        <v>46037</v>
      </c>
      <c r="J18" s="3"/>
      <c r="K18" s="3"/>
      <c r="L18" s="24" t="e">
        <f t="shared" si="2"/>
        <v>#DIV/0!</v>
      </c>
      <c r="M18" s="20">
        <v>46037</v>
      </c>
      <c r="N18" s="3"/>
      <c r="O18" s="4"/>
      <c r="P18" s="24" t="e">
        <f t="shared" si="3"/>
        <v>#DIV/0!</v>
      </c>
    </row>
    <row r="19" spans="1:16" x14ac:dyDescent="0.6">
      <c r="A19" s="20">
        <v>46038</v>
      </c>
      <c r="B19" s="3"/>
      <c r="C19" s="3"/>
      <c r="D19" s="24" t="e">
        <f t="shared" si="0"/>
        <v>#DIV/0!</v>
      </c>
      <c r="E19" s="20">
        <v>46038</v>
      </c>
      <c r="F19" s="3"/>
      <c r="G19" s="3"/>
      <c r="H19" s="24" t="e">
        <f t="shared" si="1"/>
        <v>#DIV/0!</v>
      </c>
      <c r="I19" s="20">
        <v>46038</v>
      </c>
      <c r="J19" s="3"/>
      <c r="K19" s="3"/>
      <c r="L19" s="24" t="e">
        <f t="shared" si="2"/>
        <v>#DIV/0!</v>
      </c>
      <c r="M19" s="20">
        <v>46038</v>
      </c>
      <c r="N19" s="3"/>
      <c r="O19" s="4"/>
      <c r="P19" s="24" t="e">
        <f t="shared" si="3"/>
        <v>#DIV/0!</v>
      </c>
    </row>
    <row r="20" spans="1:16" x14ac:dyDescent="0.6">
      <c r="A20" s="20">
        <v>46039</v>
      </c>
      <c r="B20" s="3"/>
      <c r="C20" s="3"/>
      <c r="D20" s="24" t="e">
        <f t="shared" si="0"/>
        <v>#DIV/0!</v>
      </c>
      <c r="E20" s="20">
        <v>46039</v>
      </c>
      <c r="F20" s="3"/>
      <c r="G20" s="3"/>
      <c r="H20" s="24" t="e">
        <f t="shared" si="1"/>
        <v>#DIV/0!</v>
      </c>
      <c r="I20" s="20">
        <v>46039</v>
      </c>
      <c r="J20" s="3"/>
      <c r="K20" s="3"/>
      <c r="L20" s="24" t="e">
        <f t="shared" si="2"/>
        <v>#DIV/0!</v>
      </c>
      <c r="M20" s="20">
        <v>46039</v>
      </c>
      <c r="N20" s="3"/>
      <c r="O20" s="4"/>
      <c r="P20" s="24" t="e">
        <f t="shared" si="3"/>
        <v>#DIV/0!</v>
      </c>
    </row>
    <row r="21" spans="1:16" x14ac:dyDescent="0.6">
      <c r="A21" s="20">
        <v>46040</v>
      </c>
      <c r="B21" s="3"/>
      <c r="C21" s="3"/>
      <c r="D21" s="24" t="e">
        <f t="shared" si="0"/>
        <v>#DIV/0!</v>
      </c>
      <c r="E21" s="20">
        <v>46040</v>
      </c>
      <c r="F21" s="3"/>
      <c r="G21" s="4"/>
      <c r="H21" s="24" t="e">
        <f t="shared" si="1"/>
        <v>#DIV/0!</v>
      </c>
      <c r="I21" s="20">
        <v>46040</v>
      </c>
      <c r="J21" s="3"/>
      <c r="K21" s="4"/>
      <c r="L21" s="24" t="e">
        <f t="shared" si="2"/>
        <v>#DIV/0!</v>
      </c>
      <c r="M21" s="20">
        <v>46040</v>
      </c>
      <c r="N21" s="3"/>
      <c r="O21" s="4"/>
      <c r="P21" s="24" t="e">
        <f t="shared" si="3"/>
        <v>#DIV/0!</v>
      </c>
    </row>
    <row r="22" spans="1:16" x14ac:dyDescent="0.6">
      <c r="A22" s="20">
        <v>46041</v>
      </c>
      <c r="B22" s="3"/>
      <c r="C22" s="3"/>
      <c r="D22" s="24" t="e">
        <f t="shared" si="0"/>
        <v>#DIV/0!</v>
      </c>
      <c r="E22" s="20">
        <v>46041</v>
      </c>
      <c r="F22" s="3"/>
      <c r="G22" s="4"/>
      <c r="H22" s="24" t="e">
        <f t="shared" si="1"/>
        <v>#DIV/0!</v>
      </c>
      <c r="I22" s="20">
        <v>46041</v>
      </c>
      <c r="J22" s="3"/>
      <c r="K22" s="4"/>
      <c r="L22" s="24" t="e">
        <f t="shared" si="2"/>
        <v>#DIV/0!</v>
      </c>
      <c r="M22" s="20">
        <v>46041</v>
      </c>
      <c r="N22" s="3"/>
      <c r="O22" s="4"/>
      <c r="P22" s="24" t="e">
        <f t="shared" si="3"/>
        <v>#DIV/0!</v>
      </c>
    </row>
    <row r="23" spans="1:16" x14ac:dyDescent="0.6">
      <c r="A23" s="20">
        <v>46042</v>
      </c>
      <c r="B23" s="3"/>
      <c r="C23" s="3"/>
      <c r="D23" s="24" t="e">
        <f t="shared" si="0"/>
        <v>#DIV/0!</v>
      </c>
      <c r="E23" s="20">
        <v>46042</v>
      </c>
      <c r="F23" s="48"/>
      <c r="G23" s="3"/>
      <c r="H23" s="27">
        <v>0</v>
      </c>
      <c r="I23" s="20">
        <v>46042</v>
      </c>
      <c r="J23" s="3"/>
      <c r="K23" s="4"/>
      <c r="L23" s="24" t="e">
        <f t="shared" si="2"/>
        <v>#DIV/0!</v>
      </c>
      <c r="M23" s="20">
        <v>46042</v>
      </c>
      <c r="N23" s="3"/>
      <c r="O23" s="4"/>
      <c r="P23" s="24" t="e">
        <f t="shared" si="3"/>
        <v>#DIV/0!</v>
      </c>
    </row>
    <row r="24" spans="1:16" x14ac:dyDescent="0.6">
      <c r="A24" s="20">
        <v>46043</v>
      </c>
      <c r="B24" s="3"/>
      <c r="C24" s="3"/>
      <c r="D24" s="24" t="e">
        <f t="shared" si="0"/>
        <v>#DIV/0!</v>
      </c>
      <c r="E24" s="20">
        <v>46043</v>
      </c>
      <c r="F24" s="3"/>
      <c r="G24" s="48"/>
      <c r="H24" s="24" t="e">
        <f t="shared" si="1"/>
        <v>#DIV/0!</v>
      </c>
      <c r="I24" s="20">
        <v>46043</v>
      </c>
      <c r="J24" s="3"/>
      <c r="K24" s="4"/>
      <c r="L24" s="24" t="e">
        <f t="shared" si="2"/>
        <v>#DIV/0!</v>
      </c>
      <c r="M24" s="20">
        <v>46043</v>
      </c>
      <c r="N24" s="3"/>
      <c r="O24" s="4"/>
      <c r="P24" s="24" t="e">
        <f t="shared" si="3"/>
        <v>#DIV/0!</v>
      </c>
    </row>
    <row r="25" spans="1:16" x14ac:dyDescent="0.6">
      <c r="A25" s="20">
        <v>46044</v>
      </c>
      <c r="B25" s="3"/>
      <c r="C25" s="3"/>
      <c r="D25" s="24" t="e">
        <f t="shared" si="0"/>
        <v>#DIV/0!</v>
      </c>
      <c r="E25" s="20">
        <v>46044</v>
      </c>
      <c r="F25" s="3"/>
      <c r="G25" s="48"/>
      <c r="H25" s="24" t="e">
        <f>+G25/F25</f>
        <v>#DIV/0!</v>
      </c>
      <c r="I25" s="20">
        <v>46044</v>
      </c>
      <c r="J25" s="3"/>
      <c r="K25" s="6"/>
      <c r="L25" s="24" t="e">
        <f t="shared" si="2"/>
        <v>#DIV/0!</v>
      </c>
      <c r="M25" s="20">
        <v>46044</v>
      </c>
      <c r="N25" s="3"/>
      <c r="O25" s="4"/>
      <c r="P25" s="24" t="e">
        <f t="shared" si="3"/>
        <v>#DIV/0!</v>
      </c>
    </row>
    <row r="26" spans="1:16" x14ac:dyDescent="0.6">
      <c r="A26" s="20">
        <v>46045</v>
      </c>
      <c r="B26" s="3"/>
      <c r="C26" s="3"/>
      <c r="D26" s="24" t="e">
        <f t="shared" si="0"/>
        <v>#DIV/0!</v>
      </c>
      <c r="E26" s="20">
        <v>46045</v>
      </c>
      <c r="F26" s="3"/>
      <c r="G26" s="48"/>
      <c r="H26" s="24" t="e">
        <f t="shared" si="1"/>
        <v>#DIV/0!</v>
      </c>
      <c r="I26" s="20">
        <v>46045</v>
      </c>
      <c r="J26" s="3"/>
      <c r="K26" s="6"/>
      <c r="L26" s="24" t="e">
        <f t="shared" si="2"/>
        <v>#DIV/0!</v>
      </c>
      <c r="M26" s="20">
        <v>46045</v>
      </c>
      <c r="N26" s="3"/>
      <c r="O26" s="4"/>
      <c r="P26" s="24" t="e">
        <f t="shared" si="3"/>
        <v>#DIV/0!</v>
      </c>
    </row>
    <row r="27" spans="1:16" x14ac:dyDescent="0.6">
      <c r="A27" s="20">
        <v>46046</v>
      </c>
      <c r="B27" s="3"/>
      <c r="C27" s="3"/>
      <c r="D27" s="24" t="e">
        <f t="shared" si="0"/>
        <v>#DIV/0!</v>
      </c>
      <c r="E27" s="20">
        <v>46046</v>
      </c>
      <c r="F27" s="3"/>
      <c r="G27" s="6"/>
      <c r="H27" s="24" t="e">
        <f t="shared" si="1"/>
        <v>#DIV/0!</v>
      </c>
      <c r="I27" s="20">
        <v>46046</v>
      </c>
      <c r="J27" s="3"/>
      <c r="K27" s="6"/>
      <c r="L27" s="24" t="e">
        <f t="shared" si="2"/>
        <v>#DIV/0!</v>
      </c>
      <c r="M27" s="20">
        <v>46046</v>
      </c>
      <c r="N27" s="3"/>
      <c r="O27" s="4"/>
      <c r="P27" s="24" t="e">
        <f t="shared" si="3"/>
        <v>#DIV/0!</v>
      </c>
    </row>
    <row r="28" spans="1:16" x14ac:dyDescent="0.6">
      <c r="A28" s="20">
        <v>46047</v>
      </c>
      <c r="B28" s="3"/>
      <c r="C28" s="4"/>
      <c r="D28" s="24" t="e">
        <f t="shared" si="0"/>
        <v>#DIV/0!</v>
      </c>
      <c r="E28" s="20">
        <v>46047</v>
      </c>
      <c r="F28" s="3"/>
      <c r="G28" s="6"/>
      <c r="H28" s="24" t="e">
        <f t="shared" si="1"/>
        <v>#DIV/0!</v>
      </c>
      <c r="I28" s="20">
        <v>46047</v>
      </c>
      <c r="J28" s="3"/>
      <c r="K28" s="6"/>
      <c r="L28" s="24" t="e">
        <f t="shared" si="2"/>
        <v>#DIV/0!</v>
      </c>
      <c r="M28" s="20">
        <v>46047</v>
      </c>
      <c r="N28" s="3"/>
      <c r="O28" s="4"/>
      <c r="P28" s="24" t="e">
        <f t="shared" si="3"/>
        <v>#DIV/0!</v>
      </c>
    </row>
    <row r="29" spans="1:16" x14ac:dyDescent="0.6">
      <c r="A29" s="20">
        <v>46048</v>
      </c>
      <c r="B29" s="3"/>
      <c r="C29" s="4"/>
      <c r="D29" s="24" t="e">
        <f t="shared" si="0"/>
        <v>#DIV/0!</v>
      </c>
      <c r="E29" s="20">
        <v>46048</v>
      </c>
      <c r="F29" s="48"/>
      <c r="G29" s="6"/>
      <c r="H29" s="24">
        <v>0</v>
      </c>
      <c r="I29" s="20">
        <v>46048</v>
      </c>
      <c r="J29" s="3"/>
      <c r="K29" s="6"/>
      <c r="L29" s="24">
        <v>0</v>
      </c>
      <c r="M29" s="20">
        <v>46048</v>
      </c>
      <c r="N29" s="3"/>
      <c r="O29" s="4"/>
      <c r="P29" s="24" t="e">
        <f t="shared" si="3"/>
        <v>#DIV/0!</v>
      </c>
    </row>
    <row r="30" spans="1:16" x14ac:dyDescent="0.6">
      <c r="A30" s="20">
        <v>46049</v>
      </c>
      <c r="B30" s="3"/>
      <c r="C30" s="4"/>
      <c r="D30" s="24" t="e">
        <f t="shared" si="0"/>
        <v>#DIV/0!</v>
      </c>
      <c r="E30" s="20">
        <v>46049</v>
      </c>
      <c r="F30" s="48"/>
      <c r="G30" s="6"/>
      <c r="H30" s="24">
        <v>0</v>
      </c>
      <c r="I30" s="20">
        <v>46049</v>
      </c>
      <c r="J30" s="3"/>
      <c r="K30" s="6"/>
      <c r="L30" s="24" t="e">
        <f t="shared" si="2"/>
        <v>#DIV/0!</v>
      </c>
      <c r="M30" s="20">
        <v>46049</v>
      </c>
      <c r="N30" s="3"/>
      <c r="O30" s="4"/>
      <c r="P30" s="24" t="e">
        <f t="shared" si="3"/>
        <v>#DIV/0!</v>
      </c>
    </row>
    <row r="31" spans="1:16" x14ac:dyDescent="0.6">
      <c r="A31" s="20">
        <v>46050</v>
      </c>
      <c r="B31" s="4"/>
      <c r="C31" s="4"/>
      <c r="D31" s="24" t="e">
        <f t="shared" si="0"/>
        <v>#DIV/0!</v>
      </c>
      <c r="E31" s="20">
        <v>46050</v>
      </c>
      <c r="F31" s="3"/>
      <c r="G31" s="6"/>
      <c r="H31" s="24" t="e">
        <f t="shared" si="1"/>
        <v>#DIV/0!</v>
      </c>
      <c r="I31" s="20">
        <v>46050</v>
      </c>
      <c r="J31" s="3"/>
      <c r="K31" s="6"/>
      <c r="L31" s="24">
        <v>0</v>
      </c>
      <c r="M31" s="20">
        <v>46050</v>
      </c>
      <c r="N31" s="3"/>
      <c r="O31" s="4"/>
      <c r="P31" s="24" t="e">
        <f t="shared" si="3"/>
        <v>#DIV/0!</v>
      </c>
    </row>
    <row r="32" spans="1:16" x14ac:dyDescent="0.6">
      <c r="A32" s="20">
        <v>46051</v>
      </c>
      <c r="B32" s="4"/>
      <c r="C32" s="4"/>
      <c r="D32" s="24" t="e">
        <f t="shared" si="0"/>
        <v>#DIV/0!</v>
      </c>
      <c r="E32" s="20">
        <v>46051</v>
      </c>
      <c r="F32" s="4"/>
      <c r="G32" s="6"/>
      <c r="H32" s="24">
        <v>0</v>
      </c>
      <c r="I32" s="20">
        <v>46051</v>
      </c>
      <c r="J32" s="3"/>
      <c r="K32" s="6"/>
      <c r="L32" s="24" t="e">
        <f t="shared" si="2"/>
        <v>#DIV/0!</v>
      </c>
      <c r="M32" s="20">
        <v>46051</v>
      </c>
      <c r="N32" s="3"/>
      <c r="O32" s="4"/>
      <c r="P32" s="24" t="e">
        <f t="shared" si="3"/>
        <v>#DIV/0!</v>
      </c>
    </row>
    <row r="33" spans="1:16 16384:16384" x14ac:dyDescent="0.6">
      <c r="A33" s="20">
        <v>46052</v>
      </c>
      <c r="B33" s="4"/>
      <c r="C33" s="4"/>
      <c r="D33" s="24">
        <v>0</v>
      </c>
      <c r="E33" s="20">
        <v>46052</v>
      </c>
      <c r="F33" s="4"/>
      <c r="G33" s="6"/>
      <c r="H33" s="24">
        <v>0</v>
      </c>
      <c r="I33" s="20">
        <v>46052</v>
      </c>
      <c r="J33" s="3"/>
      <c r="K33" s="6"/>
      <c r="L33" s="24">
        <v>0</v>
      </c>
      <c r="M33" s="20">
        <v>46052</v>
      </c>
      <c r="N33" s="4"/>
      <c r="O33" s="4"/>
      <c r="P33" s="24">
        <v>0</v>
      </c>
    </row>
    <row r="34" spans="1:16 16384:16384" x14ac:dyDescent="0.6">
      <c r="A34" s="20">
        <v>46053</v>
      </c>
      <c r="B34" s="4"/>
      <c r="C34" s="4"/>
      <c r="D34" s="24">
        <v>0</v>
      </c>
      <c r="E34" s="20">
        <v>46053</v>
      </c>
      <c r="F34" s="6"/>
      <c r="G34" s="6"/>
      <c r="H34" s="24">
        <v>0</v>
      </c>
      <c r="I34" s="20">
        <v>46053</v>
      </c>
      <c r="J34" s="48"/>
      <c r="K34" s="6"/>
      <c r="L34" s="24">
        <v>0</v>
      </c>
      <c r="M34" s="20">
        <v>46053</v>
      </c>
      <c r="N34" s="3"/>
      <c r="O34" s="4"/>
      <c r="P34" s="24" t="e">
        <f t="shared" si="3"/>
        <v>#DIV/0!</v>
      </c>
    </row>
    <row r="35" spans="1:16 16384:16384" s="17" customFormat="1" ht="27" thickBot="1" x14ac:dyDescent="0.75">
      <c r="A35" s="16" t="s">
        <v>10</v>
      </c>
      <c r="B35" s="30">
        <f>SUM(B4:B34)</f>
        <v>0</v>
      </c>
      <c r="C35" s="30">
        <f t="shared" ref="C35" si="4">SUM(C4:C34)</f>
        <v>0</v>
      </c>
      <c r="D35" s="15" t="s">
        <v>11</v>
      </c>
      <c r="E35" s="16" t="s">
        <v>10</v>
      </c>
      <c r="F35" s="30">
        <f>SUM(F4:F34)</f>
        <v>0</v>
      </c>
      <c r="G35" s="30">
        <f t="shared" ref="G35" si="5">SUM(G4:G34)</f>
        <v>0</v>
      </c>
      <c r="H35" s="15" t="s">
        <v>11</v>
      </c>
      <c r="I35" s="16" t="s">
        <v>10</v>
      </c>
      <c r="J35" s="30">
        <f>SUM(J4:J34)</f>
        <v>0</v>
      </c>
      <c r="K35" s="30">
        <f t="shared" ref="K35" si="6">SUM(K4:K34)</f>
        <v>0</v>
      </c>
      <c r="L35" s="15" t="s">
        <v>11</v>
      </c>
      <c r="M35" s="16" t="s">
        <v>10</v>
      </c>
      <c r="N35" s="30">
        <f>SUM(N4:N34)</f>
        <v>0</v>
      </c>
      <c r="O35" s="30">
        <f t="shared" ref="O35" si="7">SUM(O4:O34)</f>
        <v>0</v>
      </c>
      <c r="P35" s="15" t="s">
        <v>11</v>
      </c>
      <c r="XFD35" s="17">
        <f>SUM(A35:XFC35)</f>
        <v>0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x14ac:dyDescent="0.7">
      <c r="A38" s="8"/>
      <c r="B38" s="115" t="s">
        <v>21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32">
        <f>+B35</f>
        <v>0</v>
      </c>
      <c r="D40" s="32">
        <f>+C35</f>
        <v>0</v>
      </c>
      <c r="E40" s="34" t="e">
        <f>+D40/C40</f>
        <v>#DIV/0!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33">
        <f>+F35</f>
        <v>0</v>
      </c>
      <c r="D41" s="33">
        <f>+G35</f>
        <v>0</v>
      </c>
      <c r="E41" s="34" t="e">
        <f t="shared" ref="E41:E42" si="8">+D41/C41</f>
        <v>#DIV/0!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33">
        <f>+J35</f>
        <v>0</v>
      </c>
      <c r="D42" s="33">
        <f>+K35</f>
        <v>0</v>
      </c>
      <c r="E42" s="34" t="e">
        <f t="shared" si="8"/>
        <v>#DIV/0!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33">
        <f>+N35</f>
        <v>0</v>
      </c>
      <c r="D43" s="33">
        <f>+O35</f>
        <v>0</v>
      </c>
      <c r="E43" s="34" t="e">
        <f>+D43/C43</f>
        <v>#DIV/0!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47" t="s">
        <v>9</v>
      </c>
      <c r="C44" s="45">
        <f>SUM(C40:C43)</f>
        <v>0</v>
      </c>
      <c r="D44" s="45">
        <f>SUM(D40:D43)</f>
        <v>0</v>
      </c>
      <c r="E44" s="46" t="e">
        <f>+D44/C44</f>
        <v>#DIV/0!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51F3-89DE-44B3-836A-21B1892AA33C}">
  <sheetPr>
    <tabColor rgb="FF00B0F0"/>
  </sheetPr>
  <dimension ref="A1:XFD70"/>
  <sheetViews>
    <sheetView zoomScale="115" zoomScaleNormal="115" workbookViewId="0">
      <pane xSplit="4" ySplit="3" topLeftCell="E4" activePane="bottomRight" state="frozen"/>
      <selection activeCell="C7" sqref="C7"/>
      <selection pane="topRight" activeCell="C7" sqref="C7"/>
      <selection pane="bottomLeft" activeCell="C7" sqref="C7"/>
      <selection pane="bottomRight" activeCell="H42" sqref="H42"/>
    </sheetView>
  </sheetViews>
  <sheetFormatPr defaultRowHeight="23.4" x14ac:dyDescent="0.6"/>
  <cols>
    <col min="1" max="1" width="9.09765625" style="1" bestFit="1" customWidth="1"/>
    <col min="2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69921875" style="1"/>
    <col min="16384" max="16384" width="9" style="1" bestFit="1" customWidth="1"/>
  </cols>
  <sheetData>
    <row r="1" spans="1:16" ht="28.8" x14ac:dyDescent="0.75">
      <c r="A1" s="35" t="s">
        <v>22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46327</v>
      </c>
      <c r="B4" s="3"/>
      <c r="C4" s="3"/>
      <c r="D4" s="24" t="e">
        <f>+C4/B4</f>
        <v>#DIV/0!</v>
      </c>
      <c r="E4" s="20">
        <v>46327</v>
      </c>
      <c r="F4" s="3"/>
      <c r="G4" s="3"/>
      <c r="H4" s="24" t="e">
        <f>+G4/F4</f>
        <v>#DIV/0!</v>
      </c>
      <c r="I4" s="20">
        <v>46327</v>
      </c>
      <c r="J4" s="3"/>
      <c r="K4" s="3"/>
      <c r="L4" s="24" t="e">
        <f>+K4/J4</f>
        <v>#DIV/0!</v>
      </c>
      <c r="M4" s="20">
        <v>46327</v>
      </c>
      <c r="N4" s="3"/>
      <c r="O4" s="4"/>
      <c r="P4" s="24" t="e">
        <f>+O4/N4</f>
        <v>#DIV/0!</v>
      </c>
    </row>
    <row r="5" spans="1:16" x14ac:dyDescent="0.6">
      <c r="A5" s="20">
        <v>46328</v>
      </c>
      <c r="B5" s="3"/>
      <c r="C5" s="3"/>
      <c r="D5" s="24" t="e">
        <f t="shared" ref="D5:D32" si="0">+C5/B5</f>
        <v>#DIV/0!</v>
      </c>
      <c r="E5" s="20">
        <v>46328</v>
      </c>
      <c r="F5" s="3"/>
      <c r="G5" s="3"/>
      <c r="H5" s="24" t="e">
        <f t="shared" ref="H5:H31" si="1">+G5/F5</f>
        <v>#DIV/0!</v>
      </c>
      <c r="I5" s="20">
        <v>46328</v>
      </c>
      <c r="J5" s="5"/>
      <c r="K5" s="3"/>
      <c r="L5" s="24" t="e">
        <f t="shared" ref="L5:L32" si="2">+K5/J5</f>
        <v>#DIV/0!</v>
      </c>
      <c r="M5" s="20">
        <v>46328</v>
      </c>
      <c r="N5" s="3"/>
      <c r="O5" s="4"/>
      <c r="P5" s="24" t="e">
        <f t="shared" ref="P5:P34" si="3">+O5/N5</f>
        <v>#DIV/0!</v>
      </c>
    </row>
    <row r="6" spans="1:16" x14ac:dyDescent="0.6">
      <c r="A6" s="20">
        <v>46329</v>
      </c>
      <c r="B6" s="3"/>
      <c r="C6" s="3"/>
      <c r="D6" s="24" t="e">
        <f t="shared" si="0"/>
        <v>#DIV/0!</v>
      </c>
      <c r="E6" s="20">
        <v>46329</v>
      </c>
      <c r="F6" s="3"/>
      <c r="G6" s="3"/>
      <c r="H6" s="24" t="e">
        <f t="shared" si="1"/>
        <v>#DIV/0!</v>
      </c>
      <c r="I6" s="20">
        <v>46329</v>
      </c>
      <c r="J6" s="5"/>
      <c r="K6" s="3"/>
      <c r="L6" s="24" t="e">
        <f t="shared" si="2"/>
        <v>#DIV/0!</v>
      </c>
      <c r="M6" s="20">
        <v>46329</v>
      </c>
      <c r="N6" s="3"/>
      <c r="O6" s="4"/>
      <c r="P6" s="24" t="e">
        <f t="shared" si="3"/>
        <v>#DIV/0!</v>
      </c>
    </row>
    <row r="7" spans="1:16" x14ac:dyDescent="0.6">
      <c r="A7" s="20">
        <v>46330</v>
      </c>
      <c r="B7" s="3"/>
      <c r="C7" s="3"/>
      <c r="D7" s="24" t="e">
        <f t="shared" si="0"/>
        <v>#DIV/0!</v>
      </c>
      <c r="E7" s="20">
        <v>46330</v>
      </c>
      <c r="F7" s="3"/>
      <c r="G7" s="3"/>
      <c r="H7" s="24" t="e">
        <f t="shared" si="1"/>
        <v>#DIV/0!</v>
      </c>
      <c r="I7" s="20">
        <v>46330</v>
      </c>
      <c r="J7" s="5"/>
      <c r="K7" s="3"/>
      <c r="L7" s="24" t="e">
        <f t="shared" si="2"/>
        <v>#DIV/0!</v>
      </c>
      <c r="M7" s="20">
        <v>46330</v>
      </c>
      <c r="N7" s="3"/>
      <c r="O7" s="4"/>
      <c r="P7" s="24" t="e">
        <f t="shared" si="3"/>
        <v>#DIV/0!</v>
      </c>
    </row>
    <row r="8" spans="1:16" x14ac:dyDescent="0.6">
      <c r="A8" s="20">
        <v>46331</v>
      </c>
      <c r="B8" s="3"/>
      <c r="C8" s="3"/>
      <c r="D8" s="24" t="e">
        <f t="shared" si="0"/>
        <v>#DIV/0!</v>
      </c>
      <c r="E8" s="20">
        <v>46331</v>
      </c>
      <c r="F8" s="3"/>
      <c r="G8" s="3"/>
      <c r="H8" s="24" t="e">
        <f t="shared" si="1"/>
        <v>#DIV/0!</v>
      </c>
      <c r="I8" s="20">
        <v>46331</v>
      </c>
      <c r="J8" s="5"/>
      <c r="K8" s="3"/>
      <c r="L8" s="24" t="e">
        <f t="shared" si="2"/>
        <v>#DIV/0!</v>
      </c>
      <c r="M8" s="20">
        <v>46331</v>
      </c>
      <c r="N8" s="3"/>
      <c r="O8" s="4"/>
      <c r="P8" s="24" t="e">
        <f t="shared" si="3"/>
        <v>#DIV/0!</v>
      </c>
    </row>
    <row r="9" spans="1:16" x14ac:dyDescent="0.6">
      <c r="A9" s="20">
        <v>46332</v>
      </c>
      <c r="B9" s="3"/>
      <c r="C9" s="3"/>
      <c r="D9" s="24" t="e">
        <f t="shared" si="0"/>
        <v>#DIV/0!</v>
      </c>
      <c r="E9" s="20">
        <v>46332</v>
      </c>
      <c r="F9" s="3"/>
      <c r="G9" s="3"/>
      <c r="H9" s="24" t="e">
        <f t="shared" si="1"/>
        <v>#DIV/0!</v>
      </c>
      <c r="I9" s="20">
        <v>46332</v>
      </c>
      <c r="J9" s="3"/>
      <c r="K9" s="3"/>
      <c r="L9" s="24" t="e">
        <f t="shared" si="2"/>
        <v>#DIV/0!</v>
      </c>
      <c r="M9" s="20">
        <v>46332</v>
      </c>
      <c r="N9" s="3"/>
      <c r="O9" s="4"/>
      <c r="P9" s="24" t="e">
        <f t="shared" si="3"/>
        <v>#DIV/0!</v>
      </c>
    </row>
    <row r="10" spans="1:16" x14ac:dyDescent="0.6">
      <c r="A10" s="20">
        <v>46333</v>
      </c>
      <c r="B10" s="3"/>
      <c r="C10" s="3"/>
      <c r="D10" s="24" t="e">
        <f t="shared" si="0"/>
        <v>#DIV/0!</v>
      </c>
      <c r="E10" s="20">
        <v>46333</v>
      </c>
      <c r="F10" s="3"/>
      <c r="G10" s="3"/>
      <c r="H10" s="24" t="e">
        <f t="shared" si="1"/>
        <v>#DIV/0!</v>
      </c>
      <c r="I10" s="20">
        <v>46333</v>
      </c>
      <c r="J10" s="3"/>
      <c r="K10" s="4"/>
      <c r="L10" s="24" t="e">
        <f t="shared" si="2"/>
        <v>#DIV/0!</v>
      </c>
      <c r="M10" s="20">
        <v>46333</v>
      </c>
      <c r="N10" s="3"/>
      <c r="O10" s="4"/>
      <c r="P10" s="24" t="e">
        <f t="shared" si="3"/>
        <v>#DIV/0!</v>
      </c>
    </row>
    <row r="11" spans="1:16" x14ac:dyDescent="0.6">
      <c r="A11" s="20">
        <v>46334</v>
      </c>
      <c r="B11" s="3"/>
      <c r="C11" s="3"/>
      <c r="D11" s="24" t="e">
        <f>+C11/B11</f>
        <v>#DIV/0!</v>
      </c>
      <c r="E11" s="20">
        <v>46334</v>
      </c>
      <c r="F11" s="3"/>
      <c r="G11" s="4"/>
      <c r="H11" s="24" t="e">
        <f t="shared" si="1"/>
        <v>#DIV/0!</v>
      </c>
      <c r="I11" s="20">
        <v>46334</v>
      </c>
      <c r="J11" s="3"/>
      <c r="K11" s="4"/>
      <c r="L11" s="24" t="e">
        <f t="shared" si="2"/>
        <v>#DIV/0!</v>
      </c>
      <c r="M11" s="20">
        <v>46334</v>
      </c>
      <c r="N11" s="3"/>
      <c r="O11" s="4"/>
      <c r="P11" s="24" t="e">
        <f t="shared" si="3"/>
        <v>#DIV/0!</v>
      </c>
    </row>
    <row r="12" spans="1:16" x14ac:dyDescent="0.6">
      <c r="A12" s="20">
        <v>46335</v>
      </c>
      <c r="B12" s="3"/>
      <c r="C12" s="3"/>
      <c r="D12" s="24" t="e">
        <f t="shared" si="0"/>
        <v>#DIV/0!</v>
      </c>
      <c r="E12" s="20">
        <v>46335</v>
      </c>
      <c r="F12" s="3"/>
      <c r="G12" s="4"/>
      <c r="H12" s="24" t="e">
        <f t="shared" si="1"/>
        <v>#DIV/0!</v>
      </c>
      <c r="I12" s="20">
        <v>46335</v>
      </c>
      <c r="J12" s="3"/>
      <c r="K12" s="4"/>
      <c r="L12" s="24" t="e">
        <f t="shared" si="2"/>
        <v>#DIV/0!</v>
      </c>
      <c r="M12" s="20">
        <v>46335</v>
      </c>
      <c r="N12" s="3"/>
      <c r="O12" s="4"/>
      <c r="P12" s="24" t="e">
        <f t="shared" si="3"/>
        <v>#DIV/0!</v>
      </c>
    </row>
    <row r="13" spans="1:16" x14ac:dyDescent="0.6">
      <c r="A13" s="20">
        <v>46336</v>
      </c>
      <c r="B13" s="3"/>
      <c r="C13" s="3"/>
      <c r="D13" s="24" t="e">
        <f t="shared" si="0"/>
        <v>#DIV/0!</v>
      </c>
      <c r="E13" s="20">
        <v>46336</v>
      </c>
      <c r="F13" s="3"/>
      <c r="G13" s="4"/>
      <c r="H13" s="24" t="e">
        <f t="shared" si="1"/>
        <v>#DIV/0!</v>
      </c>
      <c r="I13" s="20">
        <v>46336</v>
      </c>
      <c r="J13" s="3"/>
      <c r="K13" s="4"/>
      <c r="L13" s="24" t="e">
        <f t="shared" si="2"/>
        <v>#DIV/0!</v>
      </c>
      <c r="M13" s="20">
        <v>46336</v>
      </c>
      <c r="N13" s="3"/>
      <c r="O13" s="4"/>
      <c r="P13" s="24" t="e">
        <f t="shared" si="3"/>
        <v>#DIV/0!</v>
      </c>
    </row>
    <row r="14" spans="1:16" x14ac:dyDescent="0.6">
      <c r="A14" s="20">
        <v>46337</v>
      </c>
      <c r="B14" s="3"/>
      <c r="C14" s="3"/>
      <c r="D14" s="24" t="e">
        <f t="shared" si="0"/>
        <v>#DIV/0!</v>
      </c>
      <c r="E14" s="20">
        <v>46337</v>
      </c>
      <c r="F14" s="3"/>
      <c r="G14" s="4"/>
      <c r="H14" s="24" t="e">
        <f t="shared" si="1"/>
        <v>#DIV/0!</v>
      </c>
      <c r="I14" s="20">
        <v>46337</v>
      </c>
      <c r="J14" s="3"/>
      <c r="K14" s="4"/>
      <c r="L14" s="24" t="e">
        <f t="shared" si="2"/>
        <v>#DIV/0!</v>
      </c>
      <c r="M14" s="20">
        <v>46337</v>
      </c>
      <c r="N14" s="3"/>
      <c r="O14" s="4"/>
      <c r="P14" s="24" t="e">
        <f t="shared" si="3"/>
        <v>#DIV/0!</v>
      </c>
    </row>
    <row r="15" spans="1:16" x14ac:dyDescent="0.6">
      <c r="A15" s="20">
        <v>46338</v>
      </c>
      <c r="B15" s="3"/>
      <c r="C15" s="3"/>
      <c r="D15" s="24" t="e">
        <f t="shared" si="0"/>
        <v>#DIV/0!</v>
      </c>
      <c r="E15" s="20">
        <v>46338</v>
      </c>
      <c r="F15" s="3"/>
      <c r="G15" s="4"/>
      <c r="H15" s="24" t="e">
        <f t="shared" si="1"/>
        <v>#DIV/0!</v>
      </c>
      <c r="I15" s="20">
        <v>46338</v>
      </c>
      <c r="J15" s="3"/>
      <c r="K15" s="4"/>
      <c r="L15" s="24" t="e">
        <f t="shared" si="2"/>
        <v>#DIV/0!</v>
      </c>
      <c r="M15" s="20">
        <v>46338</v>
      </c>
      <c r="N15" s="3"/>
      <c r="O15" s="4"/>
      <c r="P15" s="24" t="e">
        <f t="shared" si="3"/>
        <v>#DIV/0!</v>
      </c>
    </row>
    <row r="16" spans="1:16" x14ac:dyDescent="0.6">
      <c r="A16" s="20">
        <v>46339</v>
      </c>
      <c r="B16" s="3"/>
      <c r="C16" s="3"/>
      <c r="D16" s="24" t="e">
        <f t="shared" si="0"/>
        <v>#DIV/0!</v>
      </c>
      <c r="E16" s="20">
        <v>46339</v>
      </c>
      <c r="F16" s="3"/>
      <c r="G16" s="3"/>
      <c r="H16" s="24" t="e">
        <f t="shared" si="1"/>
        <v>#DIV/0!</v>
      </c>
      <c r="I16" s="20">
        <v>46339</v>
      </c>
      <c r="J16" s="3"/>
      <c r="K16" s="3"/>
      <c r="L16" s="24" t="e">
        <f t="shared" si="2"/>
        <v>#DIV/0!</v>
      </c>
      <c r="M16" s="20">
        <v>46339</v>
      </c>
      <c r="N16" s="3"/>
      <c r="O16" s="4"/>
      <c r="P16" s="24" t="e">
        <f t="shared" si="3"/>
        <v>#DIV/0!</v>
      </c>
    </row>
    <row r="17" spans="1:16" x14ac:dyDescent="0.6">
      <c r="A17" s="20">
        <v>46340</v>
      </c>
      <c r="B17" s="3"/>
      <c r="C17" s="3"/>
      <c r="D17" s="24" t="e">
        <f t="shared" si="0"/>
        <v>#DIV/0!</v>
      </c>
      <c r="E17" s="20">
        <v>46340</v>
      </c>
      <c r="F17" s="3"/>
      <c r="G17" s="3"/>
      <c r="H17" s="24" t="e">
        <f t="shared" si="1"/>
        <v>#DIV/0!</v>
      </c>
      <c r="I17" s="20">
        <v>46340</v>
      </c>
      <c r="J17" s="3"/>
      <c r="K17" s="3"/>
      <c r="L17" s="24" t="e">
        <f t="shared" si="2"/>
        <v>#DIV/0!</v>
      </c>
      <c r="M17" s="20">
        <v>46340</v>
      </c>
      <c r="N17" s="3"/>
      <c r="O17" s="4"/>
      <c r="P17" s="24" t="e">
        <f t="shared" si="3"/>
        <v>#DIV/0!</v>
      </c>
    </row>
    <row r="18" spans="1:16" x14ac:dyDescent="0.6">
      <c r="A18" s="20">
        <v>46341</v>
      </c>
      <c r="B18" s="3"/>
      <c r="C18" s="3"/>
      <c r="D18" s="24" t="e">
        <f t="shared" si="0"/>
        <v>#DIV/0!</v>
      </c>
      <c r="E18" s="20">
        <v>46341</v>
      </c>
      <c r="F18" s="3"/>
      <c r="G18" s="3"/>
      <c r="H18" s="24" t="e">
        <f t="shared" si="1"/>
        <v>#DIV/0!</v>
      </c>
      <c r="I18" s="20">
        <v>46341</v>
      </c>
      <c r="J18" s="3"/>
      <c r="K18" s="3"/>
      <c r="L18" s="24" t="e">
        <f t="shared" si="2"/>
        <v>#DIV/0!</v>
      </c>
      <c r="M18" s="20">
        <v>46341</v>
      </c>
      <c r="N18" s="3"/>
      <c r="O18" s="4"/>
      <c r="P18" s="24" t="e">
        <f t="shared" si="3"/>
        <v>#DIV/0!</v>
      </c>
    </row>
    <row r="19" spans="1:16" x14ac:dyDescent="0.6">
      <c r="A19" s="20">
        <v>46342</v>
      </c>
      <c r="B19" s="3"/>
      <c r="C19" s="3"/>
      <c r="D19" s="24" t="e">
        <f t="shared" si="0"/>
        <v>#DIV/0!</v>
      </c>
      <c r="E19" s="20">
        <v>46342</v>
      </c>
      <c r="F19" s="3"/>
      <c r="G19" s="3"/>
      <c r="H19" s="24" t="e">
        <f t="shared" si="1"/>
        <v>#DIV/0!</v>
      </c>
      <c r="I19" s="20">
        <v>46342</v>
      </c>
      <c r="J19" s="3"/>
      <c r="K19" s="3"/>
      <c r="L19" s="24" t="e">
        <f t="shared" si="2"/>
        <v>#DIV/0!</v>
      </c>
      <c r="M19" s="20">
        <v>46342</v>
      </c>
      <c r="N19" s="3"/>
      <c r="O19" s="4"/>
      <c r="P19" s="24" t="e">
        <f t="shared" si="3"/>
        <v>#DIV/0!</v>
      </c>
    </row>
    <row r="20" spans="1:16" x14ac:dyDescent="0.6">
      <c r="A20" s="20">
        <v>46343</v>
      </c>
      <c r="B20" s="3"/>
      <c r="C20" s="3"/>
      <c r="D20" s="24" t="e">
        <f t="shared" si="0"/>
        <v>#DIV/0!</v>
      </c>
      <c r="E20" s="20">
        <v>46343</v>
      </c>
      <c r="F20" s="3"/>
      <c r="G20" s="3"/>
      <c r="H20" s="24" t="e">
        <f t="shared" si="1"/>
        <v>#DIV/0!</v>
      </c>
      <c r="I20" s="20">
        <v>46343</v>
      </c>
      <c r="J20" s="3"/>
      <c r="K20" s="3"/>
      <c r="L20" s="24" t="e">
        <f t="shared" si="2"/>
        <v>#DIV/0!</v>
      </c>
      <c r="M20" s="20">
        <v>46343</v>
      </c>
      <c r="N20" s="3"/>
      <c r="O20" s="4"/>
      <c r="P20" s="24" t="e">
        <f t="shared" si="3"/>
        <v>#DIV/0!</v>
      </c>
    </row>
    <row r="21" spans="1:16" x14ac:dyDescent="0.6">
      <c r="A21" s="20">
        <v>46344</v>
      </c>
      <c r="B21" s="3"/>
      <c r="C21" s="3"/>
      <c r="D21" s="24" t="e">
        <f t="shared" si="0"/>
        <v>#DIV/0!</v>
      </c>
      <c r="E21" s="20">
        <v>46344</v>
      </c>
      <c r="F21" s="3"/>
      <c r="G21" s="4"/>
      <c r="H21" s="24" t="e">
        <f t="shared" si="1"/>
        <v>#DIV/0!</v>
      </c>
      <c r="I21" s="20">
        <v>46344</v>
      </c>
      <c r="J21" s="3"/>
      <c r="K21" s="4"/>
      <c r="L21" s="24" t="e">
        <f t="shared" si="2"/>
        <v>#DIV/0!</v>
      </c>
      <c r="M21" s="20">
        <v>46344</v>
      </c>
      <c r="N21" s="3"/>
      <c r="O21" s="4"/>
      <c r="P21" s="24" t="e">
        <f t="shared" si="3"/>
        <v>#DIV/0!</v>
      </c>
    </row>
    <row r="22" spans="1:16" x14ac:dyDescent="0.6">
      <c r="A22" s="20">
        <v>46345</v>
      </c>
      <c r="B22" s="3"/>
      <c r="C22" s="3"/>
      <c r="D22" s="24" t="e">
        <f t="shared" si="0"/>
        <v>#DIV/0!</v>
      </c>
      <c r="E22" s="20">
        <v>46345</v>
      </c>
      <c r="F22" s="3"/>
      <c r="G22" s="4"/>
      <c r="H22" s="24" t="e">
        <f t="shared" si="1"/>
        <v>#DIV/0!</v>
      </c>
      <c r="I22" s="20">
        <v>46345</v>
      </c>
      <c r="J22" s="3"/>
      <c r="K22" s="4"/>
      <c r="L22" s="24" t="e">
        <f t="shared" si="2"/>
        <v>#DIV/0!</v>
      </c>
      <c r="M22" s="20">
        <v>46345</v>
      </c>
      <c r="N22" s="3"/>
      <c r="O22" s="4"/>
      <c r="P22" s="24" t="e">
        <f t="shared" si="3"/>
        <v>#DIV/0!</v>
      </c>
    </row>
    <row r="23" spans="1:16" x14ac:dyDescent="0.6">
      <c r="A23" s="20">
        <v>46346</v>
      </c>
      <c r="B23" s="3"/>
      <c r="C23" s="3"/>
      <c r="D23" s="24" t="e">
        <f t="shared" si="0"/>
        <v>#DIV/0!</v>
      </c>
      <c r="E23" s="20">
        <v>46346</v>
      </c>
      <c r="F23" s="48"/>
      <c r="G23" s="3"/>
      <c r="H23" s="27">
        <v>0</v>
      </c>
      <c r="I23" s="20">
        <v>46346</v>
      </c>
      <c r="J23" s="3"/>
      <c r="K23" s="4"/>
      <c r="L23" s="24" t="e">
        <f t="shared" si="2"/>
        <v>#DIV/0!</v>
      </c>
      <c r="M23" s="20">
        <v>46346</v>
      </c>
      <c r="N23" s="3"/>
      <c r="O23" s="4"/>
      <c r="P23" s="24" t="e">
        <f t="shared" si="3"/>
        <v>#DIV/0!</v>
      </c>
    </row>
    <row r="24" spans="1:16" x14ac:dyDescent="0.6">
      <c r="A24" s="20">
        <v>46347</v>
      </c>
      <c r="B24" s="3"/>
      <c r="C24" s="3"/>
      <c r="D24" s="24" t="e">
        <f t="shared" si="0"/>
        <v>#DIV/0!</v>
      </c>
      <c r="E24" s="20">
        <v>46347</v>
      </c>
      <c r="F24" s="3"/>
      <c r="G24" s="48"/>
      <c r="H24" s="24" t="e">
        <f t="shared" si="1"/>
        <v>#DIV/0!</v>
      </c>
      <c r="I24" s="20">
        <v>46347</v>
      </c>
      <c r="J24" s="3"/>
      <c r="K24" s="4"/>
      <c r="L24" s="24" t="e">
        <f t="shared" si="2"/>
        <v>#DIV/0!</v>
      </c>
      <c r="M24" s="20">
        <v>46347</v>
      </c>
      <c r="N24" s="3"/>
      <c r="O24" s="4"/>
      <c r="P24" s="24" t="e">
        <f t="shared" si="3"/>
        <v>#DIV/0!</v>
      </c>
    </row>
    <row r="25" spans="1:16" x14ac:dyDescent="0.6">
      <c r="A25" s="20">
        <v>46348</v>
      </c>
      <c r="B25" s="3"/>
      <c r="C25" s="3"/>
      <c r="D25" s="24" t="e">
        <f t="shared" si="0"/>
        <v>#DIV/0!</v>
      </c>
      <c r="E25" s="20">
        <v>46348</v>
      </c>
      <c r="F25" s="3"/>
      <c r="G25" s="48"/>
      <c r="H25" s="24" t="e">
        <f>+G25/F25</f>
        <v>#DIV/0!</v>
      </c>
      <c r="I25" s="20">
        <v>46348</v>
      </c>
      <c r="J25" s="3"/>
      <c r="K25" s="6"/>
      <c r="L25" s="24" t="e">
        <f t="shared" si="2"/>
        <v>#DIV/0!</v>
      </c>
      <c r="M25" s="20">
        <v>46348</v>
      </c>
      <c r="N25" s="3"/>
      <c r="O25" s="4"/>
      <c r="P25" s="24" t="e">
        <f t="shared" si="3"/>
        <v>#DIV/0!</v>
      </c>
    </row>
    <row r="26" spans="1:16" x14ac:dyDescent="0.6">
      <c r="A26" s="20">
        <v>46349</v>
      </c>
      <c r="B26" s="3"/>
      <c r="C26" s="3"/>
      <c r="D26" s="24" t="e">
        <f t="shared" si="0"/>
        <v>#DIV/0!</v>
      </c>
      <c r="E26" s="20">
        <v>46349</v>
      </c>
      <c r="F26" s="3"/>
      <c r="G26" s="48"/>
      <c r="H26" s="24" t="e">
        <f t="shared" si="1"/>
        <v>#DIV/0!</v>
      </c>
      <c r="I26" s="20">
        <v>46349</v>
      </c>
      <c r="J26" s="3"/>
      <c r="K26" s="6"/>
      <c r="L26" s="24" t="e">
        <f t="shared" si="2"/>
        <v>#DIV/0!</v>
      </c>
      <c r="M26" s="20">
        <v>46349</v>
      </c>
      <c r="N26" s="3"/>
      <c r="O26" s="4"/>
      <c r="P26" s="24" t="e">
        <f t="shared" si="3"/>
        <v>#DIV/0!</v>
      </c>
    </row>
    <row r="27" spans="1:16" x14ac:dyDescent="0.6">
      <c r="A27" s="20">
        <v>46350</v>
      </c>
      <c r="B27" s="3"/>
      <c r="C27" s="3"/>
      <c r="D27" s="24" t="e">
        <f t="shared" si="0"/>
        <v>#DIV/0!</v>
      </c>
      <c r="E27" s="20">
        <v>46350</v>
      </c>
      <c r="F27" s="3"/>
      <c r="G27" s="6"/>
      <c r="H27" s="24" t="e">
        <f t="shared" si="1"/>
        <v>#DIV/0!</v>
      </c>
      <c r="I27" s="20">
        <v>46350</v>
      </c>
      <c r="J27" s="3"/>
      <c r="K27" s="6"/>
      <c r="L27" s="24" t="e">
        <f t="shared" si="2"/>
        <v>#DIV/0!</v>
      </c>
      <c r="M27" s="20">
        <v>46350</v>
      </c>
      <c r="N27" s="3"/>
      <c r="O27" s="4"/>
      <c r="P27" s="24" t="e">
        <f t="shared" si="3"/>
        <v>#DIV/0!</v>
      </c>
    </row>
    <row r="28" spans="1:16" x14ac:dyDescent="0.6">
      <c r="A28" s="20">
        <v>46351</v>
      </c>
      <c r="B28" s="3"/>
      <c r="C28" s="4"/>
      <c r="D28" s="24" t="e">
        <f t="shared" si="0"/>
        <v>#DIV/0!</v>
      </c>
      <c r="E28" s="20">
        <v>46351</v>
      </c>
      <c r="F28" s="3"/>
      <c r="G28" s="6"/>
      <c r="H28" s="24" t="e">
        <f t="shared" si="1"/>
        <v>#DIV/0!</v>
      </c>
      <c r="I28" s="20">
        <v>46351</v>
      </c>
      <c r="J28" s="3"/>
      <c r="K28" s="6"/>
      <c r="L28" s="24" t="e">
        <f t="shared" si="2"/>
        <v>#DIV/0!</v>
      </c>
      <c r="M28" s="20">
        <v>46351</v>
      </c>
      <c r="N28" s="3"/>
      <c r="O28" s="4"/>
      <c r="P28" s="24" t="e">
        <f t="shared" si="3"/>
        <v>#DIV/0!</v>
      </c>
    </row>
    <row r="29" spans="1:16" x14ac:dyDescent="0.6">
      <c r="A29" s="20">
        <v>46352</v>
      </c>
      <c r="B29" s="3"/>
      <c r="C29" s="4"/>
      <c r="D29" s="24" t="e">
        <f t="shared" si="0"/>
        <v>#DIV/0!</v>
      </c>
      <c r="E29" s="20">
        <v>46352</v>
      </c>
      <c r="F29" s="48"/>
      <c r="G29" s="6"/>
      <c r="H29" s="24">
        <v>0</v>
      </c>
      <c r="I29" s="20">
        <v>46352</v>
      </c>
      <c r="J29" s="3"/>
      <c r="K29" s="6"/>
      <c r="L29" s="24">
        <v>0</v>
      </c>
      <c r="M29" s="20">
        <v>46352</v>
      </c>
      <c r="N29" s="3"/>
      <c r="O29" s="4"/>
      <c r="P29" s="24" t="e">
        <f t="shared" si="3"/>
        <v>#DIV/0!</v>
      </c>
    </row>
    <row r="30" spans="1:16" x14ac:dyDescent="0.6">
      <c r="A30" s="20">
        <v>46353</v>
      </c>
      <c r="B30" s="3"/>
      <c r="C30" s="4"/>
      <c r="D30" s="24" t="e">
        <f t="shared" si="0"/>
        <v>#DIV/0!</v>
      </c>
      <c r="E30" s="20">
        <v>46353</v>
      </c>
      <c r="F30" s="48"/>
      <c r="G30" s="6"/>
      <c r="H30" s="24">
        <v>0</v>
      </c>
      <c r="I30" s="20">
        <v>46353</v>
      </c>
      <c r="J30" s="3"/>
      <c r="K30" s="6"/>
      <c r="L30" s="24" t="e">
        <f t="shared" si="2"/>
        <v>#DIV/0!</v>
      </c>
      <c r="M30" s="20">
        <v>46353</v>
      </c>
      <c r="N30" s="3"/>
      <c r="O30" s="4"/>
      <c r="P30" s="24" t="e">
        <f t="shared" si="3"/>
        <v>#DIV/0!</v>
      </c>
    </row>
    <row r="31" spans="1:16" x14ac:dyDescent="0.6">
      <c r="A31" s="20">
        <v>46354</v>
      </c>
      <c r="B31" s="4"/>
      <c r="C31" s="4"/>
      <c r="D31" s="24" t="e">
        <f t="shared" si="0"/>
        <v>#DIV/0!</v>
      </c>
      <c r="E31" s="20">
        <v>46354</v>
      </c>
      <c r="F31" s="3"/>
      <c r="G31" s="6"/>
      <c r="H31" s="24" t="e">
        <f t="shared" si="1"/>
        <v>#DIV/0!</v>
      </c>
      <c r="I31" s="20">
        <v>46354</v>
      </c>
      <c r="J31" s="3"/>
      <c r="K31" s="6"/>
      <c r="L31" s="24">
        <v>0</v>
      </c>
      <c r="M31" s="20">
        <v>46354</v>
      </c>
      <c r="N31" s="3"/>
      <c r="O31" s="4"/>
      <c r="P31" s="24" t="e">
        <f t="shared" si="3"/>
        <v>#DIV/0!</v>
      </c>
    </row>
    <row r="32" spans="1:16" x14ac:dyDescent="0.6">
      <c r="A32" s="20">
        <v>46355</v>
      </c>
      <c r="B32" s="4"/>
      <c r="C32" s="4"/>
      <c r="D32" s="24" t="e">
        <f t="shared" si="0"/>
        <v>#DIV/0!</v>
      </c>
      <c r="E32" s="20">
        <v>46355</v>
      </c>
      <c r="F32" s="4"/>
      <c r="G32" s="6"/>
      <c r="H32" s="24">
        <v>0</v>
      </c>
      <c r="I32" s="20">
        <v>46355</v>
      </c>
      <c r="J32" s="3"/>
      <c r="K32" s="6"/>
      <c r="L32" s="24" t="e">
        <f t="shared" si="2"/>
        <v>#DIV/0!</v>
      </c>
      <c r="M32" s="20">
        <v>46355</v>
      </c>
      <c r="N32" s="3"/>
      <c r="O32" s="4"/>
      <c r="P32" s="24" t="e">
        <f t="shared" si="3"/>
        <v>#DIV/0!</v>
      </c>
    </row>
    <row r="33" spans="1:16 16384:16384" x14ac:dyDescent="0.6">
      <c r="A33" s="20">
        <v>46356</v>
      </c>
      <c r="B33" s="4"/>
      <c r="C33" s="4"/>
      <c r="D33" s="24">
        <v>0</v>
      </c>
      <c r="E33" s="20">
        <v>46356</v>
      </c>
      <c r="F33" s="4"/>
      <c r="G33" s="6"/>
      <c r="H33" s="24">
        <v>0</v>
      </c>
      <c r="I33" s="20">
        <v>46356</v>
      </c>
      <c r="J33" s="3"/>
      <c r="K33" s="6"/>
      <c r="L33" s="24">
        <v>0</v>
      </c>
      <c r="M33" s="20">
        <v>46356</v>
      </c>
      <c r="N33" s="4"/>
      <c r="O33" s="4"/>
      <c r="P33" s="24">
        <v>0</v>
      </c>
    </row>
    <row r="34" spans="1:16 16384:16384" x14ac:dyDescent="0.6">
      <c r="A34" s="20">
        <v>46357</v>
      </c>
      <c r="B34" s="4"/>
      <c r="C34" s="4"/>
      <c r="D34" s="24">
        <v>0</v>
      </c>
      <c r="E34" s="20">
        <v>46357</v>
      </c>
      <c r="F34" s="6"/>
      <c r="G34" s="6"/>
      <c r="H34" s="24">
        <v>0</v>
      </c>
      <c r="I34" s="20">
        <v>46357</v>
      </c>
      <c r="J34" s="48"/>
      <c r="K34" s="6"/>
      <c r="L34" s="24">
        <v>0</v>
      </c>
      <c r="M34" s="20">
        <v>46357</v>
      </c>
      <c r="N34" s="3"/>
      <c r="O34" s="4"/>
      <c r="P34" s="24" t="e">
        <f t="shared" si="3"/>
        <v>#DIV/0!</v>
      </c>
    </row>
    <row r="35" spans="1:16 16384:16384" s="17" customFormat="1" ht="27" thickBot="1" x14ac:dyDescent="0.75">
      <c r="A35" s="16" t="s">
        <v>10</v>
      </c>
      <c r="B35" s="30">
        <f>SUM(B4:B34)</f>
        <v>0</v>
      </c>
      <c r="C35" s="30">
        <f t="shared" ref="C35" si="4">SUM(C4:C34)</f>
        <v>0</v>
      </c>
      <c r="D35" s="15" t="s">
        <v>11</v>
      </c>
      <c r="E35" s="16" t="s">
        <v>10</v>
      </c>
      <c r="F35" s="30">
        <f>SUM(F4:F34)</f>
        <v>0</v>
      </c>
      <c r="G35" s="30">
        <f t="shared" ref="G35" si="5">SUM(G4:G34)</f>
        <v>0</v>
      </c>
      <c r="H35" s="15" t="s">
        <v>11</v>
      </c>
      <c r="I35" s="16" t="s">
        <v>10</v>
      </c>
      <c r="J35" s="30">
        <f>SUM(J4:J34)</f>
        <v>0</v>
      </c>
      <c r="K35" s="30">
        <f t="shared" ref="K35" si="6">SUM(K4:K34)</f>
        <v>0</v>
      </c>
      <c r="L35" s="15" t="s">
        <v>11</v>
      </c>
      <c r="M35" s="16" t="s">
        <v>10</v>
      </c>
      <c r="N35" s="30">
        <f>SUM(N4:N34)</f>
        <v>0</v>
      </c>
      <c r="O35" s="30">
        <f t="shared" ref="O35" si="7">SUM(O4:O34)</f>
        <v>0</v>
      </c>
      <c r="P35" s="15" t="s">
        <v>11</v>
      </c>
      <c r="XFD35" s="17">
        <f>SUM(A35:XFC35)</f>
        <v>0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x14ac:dyDescent="0.7">
      <c r="A38" s="8"/>
      <c r="B38" s="115" t="s">
        <v>23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32">
        <f>+B35</f>
        <v>0</v>
      </c>
      <c r="D40" s="32">
        <f>+C35</f>
        <v>0</v>
      </c>
      <c r="E40" s="34" t="e">
        <f>+D40/C40</f>
        <v>#DIV/0!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33">
        <f>+F35</f>
        <v>0</v>
      </c>
      <c r="D41" s="33">
        <f>+G35</f>
        <v>0</v>
      </c>
      <c r="E41" s="34" t="e">
        <f t="shared" ref="E41:E42" si="8">+D41/C41</f>
        <v>#DIV/0!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33">
        <f>+J35</f>
        <v>0</v>
      </c>
      <c r="D42" s="33">
        <f>+K35</f>
        <v>0</v>
      </c>
      <c r="E42" s="34" t="e">
        <f t="shared" si="8"/>
        <v>#DIV/0!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33">
        <f>+N35</f>
        <v>0</v>
      </c>
      <c r="D43" s="33">
        <f>+O35</f>
        <v>0</v>
      </c>
      <c r="E43" s="34" t="e">
        <f>+D43/C43</f>
        <v>#DIV/0!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47" t="s">
        <v>9</v>
      </c>
      <c r="C44" s="45">
        <f>SUM(C40:C43)</f>
        <v>0</v>
      </c>
      <c r="D44" s="45">
        <f>SUM(D40:D43)</f>
        <v>0</v>
      </c>
      <c r="E44" s="46" t="e">
        <f>+D44/C44</f>
        <v>#DIV/0!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  <pageSetup paperSize="9" orientation="portrait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DF83-6FE1-4D75-BA94-61236E5DBA6B}">
  <sheetPr>
    <tabColor rgb="FF00B0F0"/>
  </sheetPr>
  <dimension ref="A1:XFD70"/>
  <sheetViews>
    <sheetView zoomScale="115" zoomScaleNormal="115" workbookViewId="0">
      <pane xSplit="4" ySplit="3" topLeftCell="E25" activePane="bottomRight" state="frozen"/>
      <selection activeCell="C7" sqref="C7"/>
      <selection pane="topRight" activeCell="C7" sqref="C7"/>
      <selection pane="bottomLeft" activeCell="C7" sqref="C7"/>
      <selection pane="bottomRight" activeCell="P29" sqref="P29:P34"/>
    </sheetView>
  </sheetViews>
  <sheetFormatPr defaultRowHeight="23.4" x14ac:dyDescent="0.6"/>
  <cols>
    <col min="1" max="1" width="9.09765625" style="1" bestFit="1" customWidth="1"/>
    <col min="2" max="3" width="11.3984375" style="1" bestFit="1" customWidth="1"/>
    <col min="4" max="4" width="9.8984375" style="26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29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29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29" customWidth="1"/>
    <col min="17" max="16383" width="8.69921875" style="1"/>
    <col min="16384" max="16384" width="9" style="1" bestFit="1" customWidth="1"/>
  </cols>
  <sheetData>
    <row r="1" spans="1:16" ht="28.8" x14ac:dyDescent="0.75">
      <c r="A1" s="35" t="s">
        <v>24</v>
      </c>
    </row>
    <row r="2" spans="1:16" s="18" customFormat="1" ht="26.4" x14ac:dyDescent="0.7">
      <c r="A2" s="118" t="s">
        <v>0</v>
      </c>
      <c r="B2" s="118"/>
      <c r="C2" s="118"/>
      <c r="D2" s="118"/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1" t="s">
        <v>3</v>
      </c>
      <c r="N2" s="121"/>
      <c r="O2" s="121"/>
      <c r="P2" s="121"/>
    </row>
    <row r="3" spans="1:16" s="19" customFormat="1" ht="52.8" x14ac:dyDescent="0.25">
      <c r="A3" s="36" t="s">
        <v>4</v>
      </c>
      <c r="B3" s="36" t="s">
        <v>5</v>
      </c>
      <c r="C3" s="36" t="s">
        <v>6</v>
      </c>
      <c r="D3" s="37" t="s">
        <v>7</v>
      </c>
      <c r="E3" s="38" t="s">
        <v>4</v>
      </c>
      <c r="F3" s="38" t="s">
        <v>5</v>
      </c>
      <c r="G3" s="38" t="s">
        <v>6</v>
      </c>
      <c r="H3" s="39" t="s">
        <v>7</v>
      </c>
      <c r="I3" s="40" t="s">
        <v>4</v>
      </c>
      <c r="J3" s="40" t="s">
        <v>5</v>
      </c>
      <c r="K3" s="40" t="s">
        <v>6</v>
      </c>
      <c r="L3" s="41" t="s">
        <v>7</v>
      </c>
      <c r="M3" s="42" t="s">
        <v>4</v>
      </c>
      <c r="N3" s="42" t="s">
        <v>5</v>
      </c>
      <c r="O3" s="42" t="s">
        <v>6</v>
      </c>
      <c r="P3" s="43" t="s">
        <v>7</v>
      </c>
    </row>
    <row r="4" spans="1:16" x14ac:dyDescent="0.6">
      <c r="A4" s="20">
        <v>46357</v>
      </c>
      <c r="B4" s="3"/>
      <c r="C4" s="3"/>
      <c r="D4" s="24" t="e">
        <f>+C4/B4</f>
        <v>#DIV/0!</v>
      </c>
      <c r="E4" s="20">
        <v>46357</v>
      </c>
      <c r="F4" s="3"/>
      <c r="G4" s="3"/>
      <c r="H4" s="24" t="e">
        <f>+G4/F4</f>
        <v>#DIV/0!</v>
      </c>
      <c r="I4" s="20">
        <v>46357</v>
      </c>
      <c r="J4" s="3"/>
      <c r="K4" s="3"/>
      <c r="L4" s="24" t="e">
        <f>+K4/J4</f>
        <v>#DIV/0!</v>
      </c>
      <c r="M4" s="20">
        <v>46357</v>
      </c>
      <c r="N4" s="3"/>
      <c r="O4" s="4"/>
      <c r="P4" s="24" t="e">
        <f>+O4/N4</f>
        <v>#DIV/0!</v>
      </c>
    </row>
    <row r="5" spans="1:16" x14ac:dyDescent="0.6">
      <c r="A5" s="20">
        <v>46358</v>
      </c>
      <c r="B5" s="3"/>
      <c r="C5" s="3"/>
      <c r="D5" s="24" t="e">
        <f t="shared" ref="D5:D34" si="0">+C5/B5</f>
        <v>#DIV/0!</v>
      </c>
      <c r="E5" s="20">
        <v>46358</v>
      </c>
      <c r="F5" s="3"/>
      <c r="G5" s="3"/>
      <c r="H5" s="24" t="e">
        <f t="shared" ref="H5:H34" si="1">+G5/F5</f>
        <v>#DIV/0!</v>
      </c>
      <c r="I5" s="20">
        <v>46358</v>
      </c>
      <c r="J5" s="5"/>
      <c r="K5" s="3"/>
      <c r="L5" s="24" t="e">
        <f t="shared" ref="L5:L34" si="2">+K5/J5</f>
        <v>#DIV/0!</v>
      </c>
      <c r="M5" s="20">
        <v>46358</v>
      </c>
      <c r="N5" s="3"/>
      <c r="O5" s="4"/>
      <c r="P5" s="24" t="e">
        <f t="shared" ref="P5:P34" si="3">+O5/N5</f>
        <v>#DIV/0!</v>
      </c>
    </row>
    <row r="6" spans="1:16" x14ac:dyDescent="0.6">
      <c r="A6" s="20">
        <v>46359</v>
      </c>
      <c r="B6" s="3"/>
      <c r="C6" s="3"/>
      <c r="D6" s="24" t="e">
        <f t="shared" si="0"/>
        <v>#DIV/0!</v>
      </c>
      <c r="E6" s="20">
        <v>46359</v>
      </c>
      <c r="F6" s="3"/>
      <c r="G6" s="3"/>
      <c r="H6" s="24" t="e">
        <f t="shared" si="1"/>
        <v>#DIV/0!</v>
      </c>
      <c r="I6" s="20">
        <v>46359</v>
      </c>
      <c r="J6" s="5"/>
      <c r="K6" s="3"/>
      <c r="L6" s="24" t="e">
        <f t="shared" si="2"/>
        <v>#DIV/0!</v>
      </c>
      <c r="M6" s="20">
        <v>46359</v>
      </c>
      <c r="N6" s="3"/>
      <c r="O6" s="4"/>
      <c r="P6" s="24" t="e">
        <f t="shared" si="3"/>
        <v>#DIV/0!</v>
      </c>
    </row>
    <row r="7" spans="1:16" x14ac:dyDescent="0.6">
      <c r="A7" s="20">
        <v>46360</v>
      </c>
      <c r="B7" s="3"/>
      <c r="C7" s="3"/>
      <c r="D7" s="24" t="e">
        <f t="shared" si="0"/>
        <v>#DIV/0!</v>
      </c>
      <c r="E7" s="20">
        <v>46360</v>
      </c>
      <c r="F7" s="3"/>
      <c r="G7" s="3"/>
      <c r="H7" s="24" t="e">
        <f t="shared" si="1"/>
        <v>#DIV/0!</v>
      </c>
      <c r="I7" s="20">
        <v>46360</v>
      </c>
      <c r="J7" s="5"/>
      <c r="K7" s="3"/>
      <c r="L7" s="24" t="e">
        <f t="shared" si="2"/>
        <v>#DIV/0!</v>
      </c>
      <c r="M7" s="20">
        <v>46360</v>
      </c>
      <c r="N7" s="3"/>
      <c r="O7" s="4"/>
      <c r="P7" s="24" t="e">
        <f t="shared" si="3"/>
        <v>#DIV/0!</v>
      </c>
    </row>
    <row r="8" spans="1:16" x14ac:dyDescent="0.6">
      <c r="A8" s="20">
        <v>46361</v>
      </c>
      <c r="B8" s="3"/>
      <c r="C8" s="3"/>
      <c r="D8" s="24" t="e">
        <f t="shared" si="0"/>
        <v>#DIV/0!</v>
      </c>
      <c r="E8" s="20">
        <v>46361</v>
      </c>
      <c r="F8" s="3"/>
      <c r="G8" s="3"/>
      <c r="H8" s="24" t="e">
        <f t="shared" si="1"/>
        <v>#DIV/0!</v>
      </c>
      <c r="I8" s="20">
        <v>46361</v>
      </c>
      <c r="J8" s="5"/>
      <c r="K8" s="3"/>
      <c r="L8" s="24" t="e">
        <f t="shared" si="2"/>
        <v>#DIV/0!</v>
      </c>
      <c r="M8" s="20">
        <v>46361</v>
      </c>
      <c r="N8" s="3"/>
      <c r="O8" s="4"/>
      <c r="P8" s="24" t="e">
        <f t="shared" si="3"/>
        <v>#DIV/0!</v>
      </c>
    </row>
    <row r="9" spans="1:16" x14ac:dyDescent="0.6">
      <c r="A9" s="20">
        <v>46362</v>
      </c>
      <c r="B9" s="3"/>
      <c r="C9" s="3"/>
      <c r="D9" s="24" t="e">
        <f t="shared" si="0"/>
        <v>#DIV/0!</v>
      </c>
      <c r="E9" s="20">
        <v>46362</v>
      </c>
      <c r="F9" s="3"/>
      <c r="G9" s="3"/>
      <c r="H9" s="24" t="e">
        <f t="shared" si="1"/>
        <v>#DIV/0!</v>
      </c>
      <c r="I9" s="20">
        <v>46362</v>
      </c>
      <c r="J9" s="3"/>
      <c r="K9" s="3"/>
      <c r="L9" s="24" t="e">
        <f t="shared" si="2"/>
        <v>#DIV/0!</v>
      </c>
      <c r="M9" s="20">
        <v>46362</v>
      </c>
      <c r="N9" s="3"/>
      <c r="O9" s="4"/>
      <c r="P9" s="24" t="e">
        <f t="shared" si="3"/>
        <v>#DIV/0!</v>
      </c>
    </row>
    <row r="10" spans="1:16" x14ac:dyDescent="0.6">
      <c r="A10" s="20">
        <v>46363</v>
      </c>
      <c r="B10" s="3"/>
      <c r="C10" s="3"/>
      <c r="D10" s="24" t="e">
        <f t="shared" si="0"/>
        <v>#DIV/0!</v>
      </c>
      <c r="E10" s="20">
        <v>46363</v>
      </c>
      <c r="F10" s="3"/>
      <c r="G10" s="3"/>
      <c r="H10" s="24" t="e">
        <f t="shared" si="1"/>
        <v>#DIV/0!</v>
      </c>
      <c r="I10" s="20">
        <v>46363</v>
      </c>
      <c r="J10" s="3"/>
      <c r="K10" s="4"/>
      <c r="L10" s="24" t="e">
        <f t="shared" si="2"/>
        <v>#DIV/0!</v>
      </c>
      <c r="M10" s="20">
        <v>46363</v>
      </c>
      <c r="N10" s="3"/>
      <c r="O10" s="4"/>
      <c r="P10" s="24" t="e">
        <f t="shared" si="3"/>
        <v>#DIV/0!</v>
      </c>
    </row>
    <row r="11" spans="1:16" x14ac:dyDescent="0.6">
      <c r="A11" s="20">
        <v>46364</v>
      </c>
      <c r="B11" s="3"/>
      <c r="C11" s="3"/>
      <c r="D11" s="24" t="e">
        <f>+C11/B11</f>
        <v>#DIV/0!</v>
      </c>
      <c r="E11" s="20">
        <v>46364</v>
      </c>
      <c r="F11" s="3"/>
      <c r="G11" s="4"/>
      <c r="H11" s="24" t="e">
        <f t="shared" si="1"/>
        <v>#DIV/0!</v>
      </c>
      <c r="I11" s="20">
        <v>46364</v>
      </c>
      <c r="J11" s="3"/>
      <c r="K11" s="4"/>
      <c r="L11" s="24" t="e">
        <f t="shared" si="2"/>
        <v>#DIV/0!</v>
      </c>
      <c r="M11" s="20">
        <v>46364</v>
      </c>
      <c r="N11" s="3"/>
      <c r="O11" s="4"/>
      <c r="P11" s="24" t="e">
        <f t="shared" si="3"/>
        <v>#DIV/0!</v>
      </c>
    </row>
    <row r="12" spans="1:16" x14ac:dyDescent="0.6">
      <c r="A12" s="20">
        <v>46365</v>
      </c>
      <c r="B12" s="3"/>
      <c r="C12" s="3"/>
      <c r="D12" s="24" t="e">
        <f t="shared" si="0"/>
        <v>#DIV/0!</v>
      </c>
      <c r="E12" s="20">
        <v>46365</v>
      </c>
      <c r="F12" s="3"/>
      <c r="G12" s="4"/>
      <c r="H12" s="24" t="e">
        <f t="shared" si="1"/>
        <v>#DIV/0!</v>
      </c>
      <c r="I12" s="20">
        <v>46365</v>
      </c>
      <c r="J12" s="3"/>
      <c r="K12" s="4"/>
      <c r="L12" s="24" t="e">
        <f t="shared" si="2"/>
        <v>#DIV/0!</v>
      </c>
      <c r="M12" s="20">
        <v>46365</v>
      </c>
      <c r="N12" s="3"/>
      <c r="O12" s="4"/>
      <c r="P12" s="24" t="e">
        <f t="shared" si="3"/>
        <v>#DIV/0!</v>
      </c>
    </row>
    <row r="13" spans="1:16" x14ac:dyDescent="0.6">
      <c r="A13" s="20">
        <v>46366</v>
      </c>
      <c r="B13" s="3"/>
      <c r="C13" s="3"/>
      <c r="D13" s="24" t="e">
        <f t="shared" si="0"/>
        <v>#DIV/0!</v>
      </c>
      <c r="E13" s="20">
        <v>46366</v>
      </c>
      <c r="F13" s="3"/>
      <c r="G13" s="4"/>
      <c r="H13" s="24" t="e">
        <f t="shared" si="1"/>
        <v>#DIV/0!</v>
      </c>
      <c r="I13" s="20">
        <v>46366</v>
      </c>
      <c r="J13" s="3"/>
      <c r="K13" s="4"/>
      <c r="L13" s="24" t="e">
        <f t="shared" si="2"/>
        <v>#DIV/0!</v>
      </c>
      <c r="M13" s="20">
        <v>46366</v>
      </c>
      <c r="N13" s="3"/>
      <c r="O13" s="4"/>
      <c r="P13" s="24" t="e">
        <f t="shared" si="3"/>
        <v>#DIV/0!</v>
      </c>
    </row>
    <row r="14" spans="1:16" x14ac:dyDescent="0.6">
      <c r="A14" s="20">
        <v>46367</v>
      </c>
      <c r="B14" s="3"/>
      <c r="C14" s="3"/>
      <c r="D14" s="24" t="e">
        <f t="shared" si="0"/>
        <v>#DIV/0!</v>
      </c>
      <c r="E14" s="20">
        <v>46367</v>
      </c>
      <c r="F14" s="3"/>
      <c r="G14" s="4"/>
      <c r="H14" s="24" t="e">
        <f t="shared" si="1"/>
        <v>#DIV/0!</v>
      </c>
      <c r="I14" s="20">
        <v>46367</v>
      </c>
      <c r="J14" s="3"/>
      <c r="K14" s="4"/>
      <c r="L14" s="24" t="e">
        <f t="shared" si="2"/>
        <v>#DIV/0!</v>
      </c>
      <c r="M14" s="20">
        <v>46367</v>
      </c>
      <c r="N14" s="3"/>
      <c r="O14" s="4"/>
      <c r="P14" s="24" t="e">
        <f t="shared" si="3"/>
        <v>#DIV/0!</v>
      </c>
    </row>
    <row r="15" spans="1:16" x14ac:dyDescent="0.6">
      <c r="A15" s="20">
        <v>46368</v>
      </c>
      <c r="B15" s="3"/>
      <c r="C15" s="3"/>
      <c r="D15" s="24" t="e">
        <f t="shared" si="0"/>
        <v>#DIV/0!</v>
      </c>
      <c r="E15" s="20">
        <v>46368</v>
      </c>
      <c r="F15" s="3"/>
      <c r="G15" s="4"/>
      <c r="H15" s="24" t="e">
        <f t="shared" si="1"/>
        <v>#DIV/0!</v>
      </c>
      <c r="I15" s="20">
        <v>46368</v>
      </c>
      <c r="J15" s="3"/>
      <c r="K15" s="4"/>
      <c r="L15" s="24" t="e">
        <f t="shared" si="2"/>
        <v>#DIV/0!</v>
      </c>
      <c r="M15" s="20">
        <v>46368</v>
      </c>
      <c r="N15" s="3"/>
      <c r="O15" s="4"/>
      <c r="P15" s="24" t="e">
        <f t="shared" si="3"/>
        <v>#DIV/0!</v>
      </c>
    </row>
    <row r="16" spans="1:16" x14ac:dyDescent="0.6">
      <c r="A16" s="20">
        <v>46369</v>
      </c>
      <c r="B16" s="3"/>
      <c r="C16" s="3"/>
      <c r="D16" s="24" t="e">
        <f t="shared" si="0"/>
        <v>#DIV/0!</v>
      </c>
      <c r="E16" s="20">
        <v>46369</v>
      </c>
      <c r="F16" s="3"/>
      <c r="G16" s="3"/>
      <c r="H16" s="24" t="e">
        <f t="shared" si="1"/>
        <v>#DIV/0!</v>
      </c>
      <c r="I16" s="20">
        <v>46369</v>
      </c>
      <c r="J16" s="3"/>
      <c r="K16" s="3"/>
      <c r="L16" s="24" t="e">
        <f t="shared" si="2"/>
        <v>#DIV/0!</v>
      </c>
      <c r="M16" s="20">
        <v>46369</v>
      </c>
      <c r="N16" s="3"/>
      <c r="O16" s="4"/>
      <c r="P16" s="24" t="e">
        <f t="shared" si="3"/>
        <v>#DIV/0!</v>
      </c>
    </row>
    <row r="17" spans="1:16" x14ac:dyDescent="0.6">
      <c r="A17" s="20">
        <v>46370</v>
      </c>
      <c r="B17" s="3"/>
      <c r="C17" s="3"/>
      <c r="D17" s="24" t="e">
        <f t="shared" si="0"/>
        <v>#DIV/0!</v>
      </c>
      <c r="E17" s="20">
        <v>46370</v>
      </c>
      <c r="F17" s="3"/>
      <c r="G17" s="3"/>
      <c r="H17" s="24" t="e">
        <f t="shared" si="1"/>
        <v>#DIV/0!</v>
      </c>
      <c r="I17" s="20">
        <v>46370</v>
      </c>
      <c r="J17" s="3"/>
      <c r="K17" s="3"/>
      <c r="L17" s="24" t="e">
        <f t="shared" si="2"/>
        <v>#DIV/0!</v>
      </c>
      <c r="M17" s="20">
        <v>46370</v>
      </c>
      <c r="N17" s="3"/>
      <c r="O17" s="4"/>
      <c r="P17" s="24" t="e">
        <f t="shared" si="3"/>
        <v>#DIV/0!</v>
      </c>
    </row>
    <row r="18" spans="1:16" x14ac:dyDescent="0.6">
      <c r="A18" s="20">
        <v>46371</v>
      </c>
      <c r="B18" s="3"/>
      <c r="C18" s="3"/>
      <c r="D18" s="24" t="e">
        <f t="shared" si="0"/>
        <v>#DIV/0!</v>
      </c>
      <c r="E18" s="20">
        <v>46371</v>
      </c>
      <c r="F18" s="3"/>
      <c r="G18" s="3"/>
      <c r="H18" s="24" t="e">
        <f t="shared" si="1"/>
        <v>#DIV/0!</v>
      </c>
      <c r="I18" s="20">
        <v>46371</v>
      </c>
      <c r="J18" s="3"/>
      <c r="K18" s="3"/>
      <c r="L18" s="24" t="e">
        <f t="shared" si="2"/>
        <v>#DIV/0!</v>
      </c>
      <c r="M18" s="20">
        <v>46371</v>
      </c>
      <c r="N18" s="3"/>
      <c r="O18" s="4"/>
      <c r="P18" s="24" t="e">
        <f t="shared" si="3"/>
        <v>#DIV/0!</v>
      </c>
    </row>
    <row r="19" spans="1:16" x14ac:dyDescent="0.6">
      <c r="A19" s="20">
        <v>46372</v>
      </c>
      <c r="B19" s="3"/>
      <c r="C19" s="3"/>
      <c r="D19" s="24" t="e">
        <f t="shared" si="0"/>
        <v>#DIV/0!</v>
      </c>
      <c r="E19" s="20">
        <v>46372</v>
      </c>
      <c r="F19" s="3"/>
      <c r="G19" s="3"/>
      <c r="H19" s="24" t="e">
        <f t="shared" si="1"/>
        <v>#DIV/0!</v>
      </c>
      <c r="I19" s="20">
        <v>46372</v>
      </c>
      <c r="J19" s="3"/>
      <c r="K19" s="3"/>
      <c r="L19" s="24" t="e">
        <f t="shared" si="2"/>
        <v>#DIV/0!</v>
      </c>
      <c r="M19" s="20">
        <v>46372</v>
      </c>
      <c r="N19" s="3"/>
      <c r="O19" s="4"/>
      <c r="P19" s="24" t="e">
        <f t="shared" si="3"/>
        <v>#DIV/0!</v>
      </c>
    </row>
    <row r="20" spans="1:16" x14ac:dyDescent="0.6">
      <c r="A20" s="20">
        <v>46373</v>
      </c>
      <c r="B20" s="3"/>
      <c r="C20" s="3"/>
      <c r="D20" s="24" t="e">
        <f t="shared" si="0"/>
        <v>#DIV/0!</v>
      </c>
      <c r="E20" s="20">
        <v>46373</v>
      </c>
      <c r="F20" s="3"/>
      <c r="G20" s="3"/>
      <c r="H20" s="24" t="e">
        <f t="shared" si="1"/>
        <v>#DIV/0!</v>
      </c>
      <c r="I20" s="20">
        <v>46373</v>
      </c>
      <c r="J20" s="3"/>
      <c r="K20" s="3"/>
      <c r="L20" s="24" t="e">
        <f t="shared" si="2"/>
        <v>#DIV/0!</v>
      </c>
      <c r="M20" s="20">
        <v>46373</v>
      </c>
      <c r="N20" s="3"/>
      <c r="O20" s="4"/>
      <c r="P20" s="24" t="e">
        <f t="shared" si="3"/>
        <v>#DIV/0!</v>
      </c>
    </row>
    <row r="21" spans="1:16" x14ac:dyDescent="0.6">
      <c r="A21" s="20">
        <v>46374</v>
      </c>
      <c r="B21" s="3"/>
      <c r="C21" s="3"/>
      <c r="D21" s="24" t="e">
        <f t="shared" si="0"/>
        <v>#DIV/0!</v>
      </c>
      <c r="E21" s="20">
        <v>46374</v>
      </c>
      <c r="F21" s="3"/>
      <c r="G21" s="4"/>
      <c r="H21" s="24" t="e">
        <f t="shared" si="1"/>
        <v>#DIV/0!</v>
      </c>
      <c r="I21" s="20">
        <v>46374</v>
      </c>
      <c r="J21" s="3"/>
      <c r="K21" s="4"/>
      <c r="L21" s="24" t="e">
        <f t="shared" si="2"/>
        <v>#DIV/0!</v>
      </c>
      <c r="M21" s="20">
        <v>46374</v>
      </c>
      <c r="N21" s="3"/>
      <c r="O21" s="4"/>
      <c r="P21" s="24" t="e">
        <f t="shared" si="3"/>
        <v>#DIV/0!</v>
      </c>
    </row>
    <row r="22" spans="1:16" x14ac:dyDescent="0.6">
      <c r="A22" s="20">
        <v>46375</v>
      </c>
      <c r="B22" s="3"/>
      <c r="C22" s="3"/>
      <c r="D22" s="24" t="e">
        <f t="shared" si="0"/>
        <v>#DIV/0!</v>
      </c>
      <c r="E22" s="20">
        <v>46375</v>
      </c>
      <c r="F22" s="3"/>
      <c r="G22" s="4"/>
      <c r="H22" s="24" t="e">
        <f t="shared" si="1"/>
        <v>#DIV/0!</v>
      </c>
      <c r="I22" s="20">
        <v>46375</v>
      </c>
      <c r="J22" s="3"/>
      <c r="K22" s="4"/>
      <c r="L22" s="24" t="e">
        <f t="shared" si="2"/>
        <v>#DIV/0!</v>
      </c>
      <c r="M22" s="20">
        <v>46375</v>
      </c>
      <c r="N22" s="3"/>
      <c r="O22" s="4"/>
      <c r="P22" s="24" t="e">
        <f t="shared" si="3"/>
        <v>#DIV/0!</v>
      </c>
    </row>
    <row r="23" spans="1:16" x14ac:dyDescent="0.6">
      <c r="A23" s="20">
        <v>46376</v>
      </c>
      <c r="B23" s="3"/>
      <c r="C23" s="3"/>
      <c r="D23" s="24" t="e">
        <f t="shared" si="0"/>
        <v>#DIV/0!</v>
      </c>
      <c r="E23" s="20">
        <v>46376</v>
      </c>
      <c r="F23" s="48"/>
      <c r="G23" s="3"/>
      <c r="H23" s="27">
        <v>0</v>
      </c>
      <c r="I23" s="20">
        <v>46376</v>
      </c>
      <c r="J23" s="3"/>
      <c r="K23" s="4"/>
      <c r="L23" s="24" t="e">
        <f t="shared" si="2"/>
        <v>#DIV/0!</v>
      </c>
      <c r="M23" s="20">
        <v>46376</v>
      </c>
      <c r="N23" s="3"/>
      <c r="O23" s="4"/>
      <c r="P23" s="24" t="e">
        <f t="shared" si="3"/>
        <v>#DIV/0!</v>
      </c>
    </row>
    <row r="24" spans="1:16" x14ac:dyDescent="0.6">
      <c r="A24" s="20">
        <v>46377</v>
      </c>
      <c r="B24" s="3"/>
      <c r="C24" s="3"/>
      <c r="D24" s="24" t="e">
        <f t="shared" si="0"/>
        <v>#DIV/0!</v>
      </c>
      <c r="E24" s="20">
        <v>46377</v>
      </c>
      <c r="F24" s="3"/>
      <c r="G24" s="48"/>
      <c r="H24" s="24" t="e">
        <f t="shared" si="1"/>
        <v>#DIV/0!</v>
      </c>
      <c r="I24" s="20">
        <v>46377</v>
      </c>
      <c r="J24" s="3"/>
      <c r="K24" s="4"/>
      <c r="L24" s="24" t="e">
        <f t="shared" si="2"/>
        <v>#DIV/0!</v>
      </c>
      <c r="M24" s="20">
        <v>46377</v>
      </c>
      <c r="N24" s="3"/>
      <c r="O24" s="4"/>
      <c r="P24" s="24" t="e">
        <f t="shared" si="3"/>
        <v>#DIV/0!</v>
      </c>
    </row>
    <row r="25" spans="1:16" x14ac:dyDescent="0.6">
      <c r="A25" s="20">
        <v>46378</v>
      </c>
      <c r="B25" s="3"/>
      <c r="C25" s="3"/>
      <c r="D25" s="24" t="e">
        <f t="shared" si="0"/>
        <v>#DIV/0!</v>
      </c>
      <c r="E25" s="20">
        <v>46378</v>
      </c>
      <c r="F25" s="3"/>
      <c r="G25" s="48"/>
      <c r="H25" s="24" t="e">
        <f>+G25/F25</f>
        <v>#DIV/0!</v>
      </c>
      <c r="I25" s="20">
        <v>46378</v>
      </c>
      <c r="J25" s="3"/>
      <c r="K25" s="6"/>
      <c r="L25" s="24" t="e">
        <f t="shared" si="2"/>
        <v>#DIV/0!</v>
      </c>
      <c r="M25" s="20">
        <v>46378</v>
      </c>
      <c r="N25" s="3"/>
      <c r="O25" s="4"/>
      <c r="P25" s="24" t="e">
        <f t="shared" si="3"/>
        <v>#DIV/0!</v>
      </c>
    </row>
    <row r="26" spans="1:16" x14ac:dyDescent="0.6">
      <c r="A26" s="20">
        <v>46379</v>
      </c>
      <c r="B26" s="3"/>
      <c r="C26" s="3"/>
      <c r="D26" s="24" t="e">
        <f t="shared" si="0"/>
        <v>#DIV/0!</v>
      </c>
      <c r="E26" s="20">
        <v>46379</v>
      </c>
      <c r="F26" s="3"/>
      <c r="G26" s="48"/>
      <c r="H26" s="24" t="e">
        <f t="shared" si="1"/>
        <v>#DIV/0!</v>
      </c>
      <c r="I26" s="20">
        <v>46379</v>
      </c>
      <c r="J26" s="3"/>
      <c r="K26" s="6"/>
      <c r="L26" s="24" t="e">
        <f t="shared" si="2"/>
        <v>#DIV/0!</v>
      </c>
      <c r="M26" s="20">
        <v>46379</v>
      </c>
      <c r="N26" s="3"/>
      <c r="O26" s="4"/>
      <c r="P26" s="24" t="e">
        <f t="shared" si="3"/>
        <v>#DIV/0!</v>
      </c>
    </row>
    <row r="27" spans="1:16" x14ac:dyDescent="0.6">
      <c r="A27" s="20">
        <v>46380</v>
      </c>
      <c r="B27" s="3"/>
      <c r="C27" s="3"/>
      <c r="D27" s="24" t="e">
        <f t="shared" si="0"/>
        <v>#DIV/0!</v>
      </c>
      <c r="E27" s="20">
        <v>46380</v>
      </c>
      <c r="F27" s="3"/>
      <c r="G27" s="6"/>
      <c r="H27" s="24" t="e">
        <f t="shared" si="1"/>
        <v>#DIV/0!</v>
      </c>
      <c r="I27" s="20">
        <v>46380</v>
      </c>
      <c r="J27" s="3"/>
      <c r="K27" s="6"/>
      <c r="L27" s="24" t="e">
        <f t="shared" si="2"/>
        <v>#DIV/0!</v>
      </c>
      <c r="M27" s="20">
        <v>46380</v>
      </c>
      <c r="N27" s="3"/>
      <c r="O27" s="4"/>
      <c r="P27" s="24" t="e">
        <f t="shared" si="3"/>
        <v>#DIV/0!</v>
      </c>
    </row>
    <row r="28" spans="1:16" x14ac:dyDescent="0.6">
      <c r="A28" s="20">
        <v>46381</v>
      </c>
      <c r="B28" s="3"/>
      <c r="C28" s="4"/>
      <c r="D28" s="24" t="e">
        <f t="shared" si="0"/>
        <v>#DIV/0!</v>
      </c>
      <c r="E28" s="20">
        <v>46381</v>
      </c>
      <c r="F28" s="3"/>
      <c r="G28" s="6"/>
      <c r="H28" s="24" t="e">
        <f t="shared" si="1"/>
        <v>#DIV/0!</v>
      </c>
      <c r="I28" s="20">
        <v>46381</v>
      </c>
      <c r="J28" s="3"/>
      <c r="K28" s="6"/>
      <c r="L28" s="24" t="e">
        <f t="shared" si="2"/>
        <v>#DIV/0!</v>
      </c>
      <c r="M28" s="20">
        <v>46381</v>
      </c>
      <c r="N28" s="3"/>
      <c r="O28" s="4"/>
      <c r="P28" s="24" t="e">
        <f t="shared" si="3"/>
        <v>#DIV/0!</v>
      </c>
    </row>
    <row r="29" spans="1:16" x14ac:dyDescent="0.6">
      <c r="A29" s="20">
        <v>46382</v>
      </c>
      <c r="B29" s="3"/>
      <c r="C29" s="4"/>
      <c r="D29" s="24" t="e">
        <f t="shared" si="0"/>
        <v>#DIV/0!</v>
      </c>
      <c r="E29" s="20">
        <v>46382</v>
      </c>
      <c r="F29" s="48"/>
      <c r="G29" s="6"/>
      <c r="H29" s="24" t="e">
        <f t="shared" si="1"/>
        <v>#DIV/0!</v>
      </c>
      <c r="I29" s="20">
        <v>46382</v>
      </c>
      <c r="J29" s="3"/>
      <c r="K29" s="6"/>
      <c r="L29" s="24" t="e">
        <f t="shared" si="2"/>
        <v>#DIV/0!</v>
      </c>
      <c r="M29" s="20">
        <v>46382</v>
      </c>
      <c r="N29" s="3"/>
      <c r="O29" s="4"/>
      <c r="P29" s="24" t="e">
        <f t="shared" si="3"/>
        <v>#DIV/0!</v>
      </c>
    </row>
    <row r="30" spans="1:16" x14ac:dyDescent="0.6">
      <c r="A30" s="20">
        <v>46383</v>
      </c>
      <c r="B30" s="3"/>
      <c r="C30" s="4"/>
      <c r="D30" s="24" t="e">
        <f t="shared" si="0"/>
        <v>#DIV/0!</v>
      </c>
      <c r="E30" s="20">
        <v>46383</v>
      </c>
      <c r="F30" s="48"/>
      <c r="G30" s="6"/>
      <c r="H30" s="24" t="e">
        <f t="shared" si="1"/>
        <v>#DIV/0!</v>
      </c>
      <c r="I30" s="20">
        <v>46383</v>
      </c>
      <c r="J30" s="3"/>
      <c r="K30" s="6"/>
      <c r="L30" s="24" t="e">
        <f t="shared" si="2"/>
        <v>#DIV/0!</v>
      </c>
      <c r="M30" s="20">
        <v>46383</v>
      </c>
      <c r="N30" s="3"/>
      <c r="O30" s="4"/>
      <c r="P30" s="24" t="e">
        <f t="shared" si="3"/>
        <v>#DIV/0!</v>
      </c>
    </row>
    <row r="31" spans="1:16" x14ac:dyDescent="0.6">
      <c r="A31" s="20">
        <v>46384</v>
      </c>
      <c r="B31" s="4"/>
      <c r="C31" s="4"/>
      <c r="D31" s="24" t="e">
        <f t="shared" si="0"/>
        <v>#DIV/0!</v>
      </c>
      <c r="E31" s="20">
        <v>46384</v>
      </c>
      <c r="F31" s="3"/>
      <c r="G31" s="6"/>
      <c r="H31" s="24" t="e">
        <f t="shared" si="1"/>
        <v>#DIV/0!</v>
      </c>
      <c r="I31" s="20">
        <v>46384</v>
      </c>
      <c r="J31" s="3"/>
      <c r="K31" s="6"/>
      <c r="L31" s="24" t="e">
        <f t="shared" si="2"/>
        <v>#DIV/0!</v>
      </c>
      <c r="M31" s="20">
        <v>46384</v>
      </c>
      <c r="N31" s="3"/>
      <c r="O31" s="4"/>
      <c r="P31" s="24" t="e">
        <f t="shared" si="3"/>
        <v>#DIV/0!</v>
      </c>
    </row>
    <row r="32" spans="1:16" x14ac:dyDescent="0.6">
      <c r="A32" s="20">
        <v>46385</v>
      </c>
      <c r="B32" s="4"/>
      <c r="C32" s="4"/>
      <c r="D32" s="24" t="e">
        <f t="shared" si="0"/>
        <v>#DIV/0!</v>
      </c>
      <c r="E32" s="20">
        <v>46385</v>
      </c>
      <c r="F32" s="4"/>
      <c r="G32" s="6"/>
      <c r="H32" s="24" t="e">
        <f t="shared" si="1"/>
        <v>#DIV/0!</v>
      </c>
      <c r="I32" s="20">
        <v>46385</v>
      </c>
      <c r="J32" s="3"/>
      <c r="K32" s="6"/>
      <c r="L32" s="24" t="e">
        <f t="shared" si="2"/>
        <v>#DIV/0!</v>
      </c>
      <c r="M32" s="20">
        <v>46385</v>
      </c>
      <c r="N32" s="3"/>
      <c r="O32" s="4"/>
      <c r="P32" s="24" t="e">
        <f t="shared" si="3"/>
        <v>#DIV/0!</v>
      </c>
    </row>
    <row r="33" spans="1:16 16384:16384" x14ac:dyDescent="0.6">
      <c r="A33" s="20">
        <v>46386</v>
      </c>
      <c r="B33" s="4"/>
      <c r="C33" s="4"/>
      <c r="D33" s="24" t="e">
        <f t="shared" si="0"/>
        <v>#DIV/0!</v>
      </c>
      <c r="E33" s="20">
        <v>46386</v>
      </c>
      <c r="F33" s="4"/>
      <c r="G33" s="6"/>
      <c r="H33" s="24" t="e">
        <f t="shared" si="1"/>
        <v>#DIV/0!</v>
      </c>
      <c r="I33" s="20">
        <v>46386</v>
      </c>
      <c r="J33" s="3"/>
      <c r="K33" s="6"/>
      <c r="L33" s="24" t="e">
        <f t="shared" si="2"/>
        <v>#DIV/0!</v>
      </c>
      <c r="M33" s="20">
        <v>46386</v>
      </c>
      <c r="N33" s="4"/>
      <c r="O33" s="4"/>
      <c r="P33" s="24" t="e">
        <f t="shared" si="3"/>
        <v>#DIV/0!</v>
      </c>
    </row>
    <row r="34" spans="1:16 16384:16384" x14ac:dyDescent="0.6">
      <c r="A34" s="20">
        <v>46387</v>
      </c>
      <c r="B34" s="4"/>
      <c r="C34" s="4"/>
      <c r="D34" s="24" t="e">
        <f t="shared" si="0"/>
        <v>#DIV/0!</v>
      </c>
      <c r="E34" s="20">
        <v>46387</v>
      </c>
      <c r="F34" s="6"/>
      <c r="G34" s="6"/>
      <c r="H34" s="24" t="e">
        <f t="shared" si="1"/>
        <v>#DIV/0!</v>
      </c>
      <c r="I34" s="20">
        <v>46387</v>
      </c>
      <c r="J34" s="48"/>
      <c r="K34" s="6"/>
      <c r="L34" s="24" t="e">
        <f t="shared" si="2"/>
        <v>#DIV/0!</v>
      </c>
      <c r="M34" s="20">
        <v>46387</v>
      </c>
      <c r="N34" s="3"/>
      <c r="O34" s="4"/>
      <c r="P34" s="24" t="e">
        <f t="shared" si="3"/>
        <v>#DIV/0!</v>
      </c>
    </row>
    <row r="35" spans="1:16 16384:16384" s="17" customFormat="1" ht="27" thickBot="1" x14ac:dyDescent="0.75">
      <c r="A35" s="16" t="s">
        <v>10</v>
      </c>
      <c r="B35" s="30">
        <f>SUM(B4:B34)</f>
        <v>0</v>
      </c>
      <c r="C35" s="30">
        <f t="shared" ref="C35" si="4">SUM(C4:C34)</f>
        <v>0</v>
      </c>
      <c r="D35" s="15" t="s">
        <v>11</v>
      </c>
      <c r="E35" s="16" t="s">
        <v>10</v>
      </c>
      <c r="F35" s="30">
        <f>SUM(F4:F34)</f>
        <v>0</v>
      </c>
      <c r="G35" s="30">
        <f t="shared" ref="G35" si="5">SUM(G4:G34)</f>
        <v>0</v>
      </c>
      <c r="H35" s="15" t="s">
        <v>11</v>
      </c>
      <c r="I35" s="16" t="s">
        <v>10</v>
      </c>
      <c r="J35" s="30">
        <f>SUM(J4:J34)</f>
        <v>0</v>
      </c>
      <c r="K35" s="30">
        <f t="shared" ref="K35" si="6">SUM(K4:K34)</f>
        <v>0</v>
      </c>
      <c r="L35" s="15" t="s">
        <v>11</v>
      </c>
      <c r="M35" s="16" t="s">
        <v>10</v>
      </c>
      <c r="N35" s="30">
        <f>SUM(N4:N34)</f>
        <v>0</v>
      </c>
      <c r="O35" s="30">
        <f t="shared" ref="O35" si="7">SUM(O4:O34)</f>
        <v>0</v>
      </c>
      <c r="P35" s="15" t="s">
        <v>11</v>
      </c>
      <c r="XFD35" s="17">
        <f>SUM(A35:XFC35)</f>
        <v>0</v>
      </c>
    </row>
    <row r="36" spans="1:16 16384:16384" ht="24" thickTop="1" x14ac:dyDescent="0.6">
      <c r="A36" s="6"/>
      <c r="B36" s="6"/>
      <c r="C36" s="6"/>
      <c r="D36" s="25"/>
      <c r="E36" s="6"/>
      <c r="F36" s="6"/>
      <c r="G36" s="6"/>
      <c r="H36" s="21"/>
      <c r="I36" s="6"/>
      <c r="J36" s="6"/>
      <c r="K36" s="6"/>
      <c r="L36" s="21"/>
      <c r="M36" s="6"/>
      <c r="N36" s="6"/>
      <c r="O36" s="6"/>
      <c r="P36" s="21"/>
    </row>
    <row r="37" spans="1:16 16384:16384" x14ac:dyDescent="0.6">
      <c r="A37" s="6"/>
      <c r="B37" s="6"/>
      <c r="C37" s="6"/>
      <c r="D37" s="25"/>
      <c r="E37" s="7"/>
      <c r="F37" s="7"/>
      <c r="G37" s="7"/>
      <c r="H37" s="28"/>
      <c r="I37" s="6"/>
      <c r="J37" s="6"/>
      <c r="K37" s="6"/>
      <c r="L37" s="21"/>
      <c r="M37" s="6"/>
      <c r="N37" s="6"/>
      <c r="O37" s="6"/>
      <c r="P37" s="21"/>
    </row>
    <row r="38" spans="1:16 16384:16384" ht="26.4" x14ac:dyDescent="0.7">
      <c r="A38" s="8"/>
      <c r="B38" s="115" t="s">
        <v>25</v>
      </c>
      <c r="C38" s="116"/>
      <c r="D38" s="116"/>
      <c r="E38" s="117"/>
      <c r="F38" s="7"/>
      <c r="G38" s="8"/>
      <c r="H38" s="21"/>
      <c r="I38" s="8"/>
      <c r="J38" s="8"/>
      <c r="K38" s="8"/>
      <c r="L38" s="21"/>
      <c r="M38" s="9"/>
      <c r="N38" s="6"/>
      <c r="O38" s="6"/>
      <c r="P38" s="21"/>
    </row>
    <row r="39" spans="1:16 16384:16384" ht="26.4" x14ac:dyDescent="0.7">
      <c r="A39" s="10"/>
      <c r="B39" s="44" t="s">
        <v>8</v>
      </c>
      <c r="C39" s="44" t="s">
        <v>5</v>
      </c>
      <c r="D39" s="44" t="s">
        <v>6</v>
      </c>
      <c r="E39" s="44" t="s">
        <v>7</v>
      </c>
      <c r="F39" s="6"/>
      <c r="G39" s="10"/>
      <c r="H39" s="22"/>
      <c r="I39" s="10"/>
      <c r="J39" s="10"/>
      <c r="K39" s="10"/>
      <c r="L39" s="21"/>
      <c r="M39" s="6"/>
      <c r="N39" s="6"/>
      <c r="O39" s="6"/>
      <c r="P39" s="21"/>
    </row>
    <row r="40" spans="1:16 16384:16384" x14ac:dyDescent="0.6">
      <c r="A40" s="2"/>
      <c r="B40" s="31" t="s">
        <v>0</v>
      </c>
      <c r="C40" s="32">
        <f>+B35</f>
        <v>0</v>
      </c>
      <c r="D40" s="32">
        <f>+C35</f>
        <v>0</v>
      </c>
      <c r="E40" s="34" t="e">
        <f>+D40/C40</f>
        <v>#DIV/0!</v>
      </c>
      <c r="F40" s="6"/>
      <c r="G40" s="11"/>
      <c r="H40" s="23"/>
      <c r="I40" s="12"/>
      <c r="J40" s="11"/>
      <c r="K40" s="13"/>
      <c r="L40" s="21"/>
      <c r="M40" s="2"/>
      <c r="N40" s="3"/>
      <c r="O40" s="6"/>
      <c r="P40" s="21"/>
    </row>
    <row r="41" spans="1:16 16384:16384" x14ac:dyDescent="0.6">
      <c r="A41" s="2"/>
      <c r="B41" s="31" t="s">
        <v>1</v>
      </c>
      <c r="C41" s="33">
        <f>+F35</f>
        <v>0</v>
      </c>
      <c r="D41" s="33">
        <f>+G35</f>
        <v>0</v>
      </c>
      <c r="E41" s="34" t="e">
        <f t="shared" ref="E41:E42" si="8">+D41/C41</f>
        <v>#DIV/0!</v>
      </c>
      <c r="F41" s="6"/>
      <c r="G41" s="11"/>
      <c r="H41" s="23"/>
      <c r="I41" s="12"/>
      <c r="J41" s="11"/>
      <c r="K41" s="13"/>
      <c r="L41" s="21"/>
      <c r="M41" s="2"/>
      <c r="N41" s="3"/>
      <c r="O41" s="6"/>
      <c r="P41" s="21"/>
    </row>
    <row r="42" spans="1:16 16384:16384" x14ac:dyDescent="0.6">
      <c r="A42" s="2"/>
      <c r="B42" s="31" t="s">
        <v>2</v>
      </c>
      <c r="C42" s="33">
        <f>+J35</f>
        <v>0</v>
      </c>
      <c r="D42" s="33">
        <f>+K35</f>
        <v>0</v>
      </c>
      <c r="E42" s="34" t="e">
        <f t="shared" si="8"/>
        <v>#DIV/0!</v>
      </c>
      <c r="F42" s="6"/>
      <c r="G42" s="11"/>
      <c r="H42" s="23"/>
      <c r="I42" s="12"/>
      <c r="J42" s="11"/>
      <c r="K42" s="13"/>
      <c r="L42" s="21"/>
      <c r="M42" s="2"/>
      <c r="N42" s="3"/>
      <c r="O42" s="6"/>
      <c r="P42" s="21"/>
    </row>
    <row r="43" spans="1:16 16384:16384" x14ac:dyDescent="0.6">
      <c r="A43" s="2"/>
      <c r="B43" s="31" t="s">
        <v>3</v>
      </c>
      <c r="C43" s="33">
        <f>+N35</f>
        <v>0</v>
      </c>
      <c r="D43" s="33">
        <f>+O35</f>
        <v>0</v>
      </c>
      <c r="E43" s="34" t="e">
        <f>+D43/C43</f>
        <v>#DIV/0!</v>
      </c>
      <c r="F43" s="6"/>
      <c r="G43" s="11"/>
      <c r="H43" s="23"/>
      <c r="I43" s="12"/>
      <c r="J43" s="11"/>
      <c r="K43" s="13"/>
      <c r="L43" s="21"/>
      <c r="M43" s="2"/>
      <c r="N43" s="3"/>
      <c r="O43" s="6"/>
      <c r="P43" s="21"/>
    </row>
    <row r="44" spans="1:16 16384:16384" ht="26.4" x14ac:dyDescent="0.7">
      <c r="A44" s="2"/>
      <c r="B44" s="47" t="s">
        <v>9</v>
      </c>
      <c r="C44" s="45">
        <f>SUM(C40:C43)</f>
        <v>0</v>
      </c>
      <c r="D44" s="45">
        <f>SUM(D40:D43)</f>
        <v>0</v>
      </c>
      <c r="E44" s="46" t="e">
        <f>+D44/C44</f>
        <v>#DIV/0!</v>
      </c>
      <c r="F44" s="6"/>
      <c r="G44" s="8"/>
      <c r="H44" s="23"/>
      <c r="I44" s="14"/>
      <c r="J44" s="10"/>
      <c r="K44" s="10"/>
      <c r="L44" s="21"/>
      <c r="M44" s="2"/>
      <c r="N44" s="3"/>
      <c r="O44" s="6"/>
      <c r="P44" s="21"/>
    </row>
    <row r="45" spans="1:16 16384:16384" x14ac:dyDescent="0.6">
      <c r="A45" s="2"/>
      <c r="B45" s="6"/>
      <c r="C45" s="6"/>
      <c r="D45" s="24"/>
      <c r="E45" s="6"/>
      <c r="F45" s="6"/>
      <c r="G45" s="6"/>
      <c r="H45" s="21"/>
      <c r="I45" s="6"/>
      <c r="J45" s="6"/>
      <c r="K45" s="6"/>
      <c r="L45" s="21"/>
      <c r="M45" s="2"/>
      <c r="N45" s="3"/>
      <c r="O45" s="6"/>
      <c r="P45" s="21"/>
    </row>
    <row r="46" spans="1:16 16384:16384" x14ac:dyDescent="0.6">
      <c r="A46" s="2"/>
      <c r="B46" s="6"/>
      <c r="C46" s="6"/>
      <c r="D46" s="24"/>
      <c r="E46" s="6"/>
      <c r="F46" s="6"/>
      <c r="G46" s="6"/>
      <c r="H46" s="21"/>
      <c r="I46" s="6"/>
      <c r="J46" s="6"/>
      <c r="K46" s="6"/>
      <c r="L46" s="21"/>
      <c r="M46" s="2"/>
      <c r="N46" s="3"/>
      <c r="O46" s="6"/>
      <c r="P46" s="21"/>
    </row>
    <row r="47" spans="1:16 16384:16384" x14ac:dyDescent="0.6">
      <c r="A47" s="2"/>
      <c r="B47" s="6"/>
      <c r="C47" s="6"/>
      <c r="D47" s="24"/>
      <c r="E47" s="6"/>
      <c r="F47" s="6"/>
      <c r="G47" s="6"/>
      <c r="H47" s="21"/>
      <c r="I47" s="6"/>
      <c r="J47" s="6"/>
      <c r="K47" s="6"/>
      <c r="L47" s="21"/>
      <c r="M47" s="2"/>
      <c r="N47" s="3"/>
      <c r="O47" s="6"/>
      <c r="P47" s="21"/>
    </row>
    <row r="48" spans="1:16 16384:16384" x14ac:dyDescent="0.6">
      <c r="A48" s="2"/>
      <c r="B48" s="6"/>
      <c r="C48" s="6"/>
      <c r="D48" s="24"/>
      <c r="E48" s="6"/>
      <c r="F48" s="6"/>
      <c r="G48" s="6"/>
      <c r="H48" s="21"/>
      <c r="I48" s="6"/>
      <c r="J48" s="6"/>
      <c r="K48" s="6"/>
      <c r="L48" s="21"/>
      <c r="M48" s="2"/>
      <c r="N48" s="3"/>
      <c r="O48" s="6"/>
      <c r="P48" s="21"/>
    </row>
    <row r="49" spans="1:16" x14ac:dyDescent="0.6">
      <c r="A49" s="2"/>
      <c r="B49" s="6"/>
      <c r="C49" s="6"/>
      <c r="D49" s="24"/>
      <c r="E49" s="6"/>
      <c r="F49" s="6"/>
      <c r="G49" s="6"/>
      <c r="H49" s="21"/>
      <c r="I49" s="6"/>
      <c r="J49" s="6"/>
      <c r="K49" s="6"/>
      <c r="L49" s="21"/>
      <c r="M49" s="2"/>
      <c r="N49" s="3"/>
      <c r="O49" s="6"/>
      <c r="P49" s="21"/>
    </row>
    <row r="50" spans="1:16" x14ac:dyDescent="0.6">
      <c r="A50" s="2"/>
      <c r="B50" s="6"/>
      <c r="C50" s="6"/>
      <c r="D50" s="24"/>
      <c r="E50" s="6"/>
      <c r="F50" s="6"/>
      <c r="G50" s="6"/>
      <c r="H50" s="21"/>
      <c r="I50" s="6"/>
      <c r="J50" s="6"/>
      <c r="K50" s="6"/>
      <c r="L50" s="21"/>
      <c r="M50" s="2"/>
      <c r="N50" s="3"/>
      <c r="O50" s="6"/>
      <c r="P50" s="21"/>
    </row>
    <row r="51" spans="1:16" x14ac:dyDescent="0.6">
      <c r="A51" s="2"/>
      <c r="B51" s="6"/>
      <c r="C51" s="6"/>
      <c r="D51" s="24"/>
      <c r="E51" s="6"/>
      <c r="F51" s="6"/>
      <c r="G51" s="6"/>
      <c r="H51" s="21"/>
      <c r="I51" s="6"/>
      <c r="J51" s="6"/>
      <c r="K51" s="6"/>
      <c r="L51" s="21"/>
      <c r="M51" s="2"/>
      <c r="N51" s="3"/>
      <c r="O51" s="6"/>
      <c r="P51" s="21"/>
    </row>
    <row r="52" spans="1:16" x14ac:dyDescent="0.6">
      <c r="A52" s="2"/>
      <c r="B52" s="6"/>
      <c r="C52" s="6"/>
      <c r="D52" s="24"/>
      <c r="E52" s="6"/>
      <c r="F52" s="6"/>
      <c r="G52" s="6"/>
      <c r="H52" s="21"/>
      <c r="I52" s="6"/>
      <c r="J52" s="6"/>
      <c r="K52" s="6"/>
      <c r="L52" s="21"/>
      <c r="M52" s="2"/>
      <c r="N52" s="3"/>
      <c r="O52" s="6"/>
      <c r="P52" s="21"/>
    </row>
    <row r="53" spans="1:16" x14ac:dyDescent="0.6">
      <c r="A53" s="2"/>
      <c r="B53" s="6"/>
      <c r="C53" s="6"/>
      <c r="D53" s="24"/>
      <c r="E53" s="6"/>
      <c r="F53" s="6"/>
      <c r="G53" s="6"/>
      <c r="H53" s="21"/>
      <c r="I53" s="6"/>
      <c r="J53" s="6"/>
      <c r="K53" s="6"/>
      <c r="L53" s="21"/>
      <c r="M53" s="2"/>
      <c r="N53" s="3"/>
      <c r="O53" s="6"/>
      <c r="P53" s="21"/>
    </row>
    <row r="54" spans="1:16" x14ac:dyDescent="0.6">
      <c r="A54" s="2"/>
      <c r="B54" s="6"/>
      <c r="C54" s="6"/>
      <c r="D54" s="24"/>
      <c r="E54" s="6"/>
      <c r="F54" s="6"/>
      <c r="G54" s="6"/>
      <c r="H54" s="21"/>
      <c r="I54" s="6"/>
      <c r="J54" s="6"/>
      <c r="K54" s="6"/>
      <c r="L54" s="21"/>
      <c r="M54" s="2"/>
      <c r="N54" s="3"/>
      <c r="O54" s="6"/>
      <c r="P54" s="21"/>
    </row>
    <row r="55" spans="1:16" x14ac:dyDescent="0.6">
      <c r="A55" s="2"/>
      <c r="B55" s="6"/>
      <c r="C55" s="6"/>
      <c r="D55" s="24"/>
      <c r="E55" s="6"/>
      <c r="F55" s="6"/>
      <c r="G55" s="6"/>
      <c r="H55" s="21"/>
      <c r="I55" s="6"/>
      <c r="J55" s="6"/>
      <c r="K55" s="6"/>
      <c r="L55" s="21"/>
      <c r="M55" s="2"/>
      <c r="N55" s="3"/>
      <c r="O55" s="6"/>
      <c r="P55" s="21"/>
    </row>
    <row r="56" spans="1:16" x14ac:dyDescent="0.6">
      <c r="A56" s="2"/>
      <c r="B56" s="6"/>
      <c r="C56" s="6"/>
      <c r="D56" s="24"/>
      <c r="E56" s="6"/>
      <c r="F56" s="6"/>
      <c r="G56" s="6"/>
      <c r="H56" s="21"/>
      <c r="I56" s="6"/>
      <c r="J56" s="6"/>
      <c r="K56" s="6"/>
      <c r="L56" s="21"/>
      <c r="M56" s="2"/>
      <c r="N56" s="3"/>
      <c r="O56" s="6"/>
      <c r="P56" s="21"/>
    </row>
    <row r="57" spans="1:16" x14ac:dyDescent="0.6">
      <c r="A57" s="2"/>
      <c r="B57" s="6"/>
      <c r="C57" s="6"/>
      <c r="D57" s="24"/>
      <c r="E57" s="6"/>
      <c r="F57" s="6"/>
      <c r="G57" s="6"/>
      <c r="H57" s="21"/>
      <c r="I57" s="6"/>
      <c r="J57" s="6"/>
      <c r="K57" s="6"/>
      <c r="L57" s="21"/>
      <c r="M57" s="2"/>
      <c r="N57" s="3"/>
      <c r="O57" s="6"/>
      <c r="P57" s="21"/>
    </row>
    <row r="58" spans="1:16" x14ac:dyDescent="0.6">
      <c r="A58" s="2"/>
      <c r="B58" s="6"/>
      <c r="C58" s="6"/>
      <c r="D58" s="24"/>
      <c r="E58" s="6"/>
      <c r="F58" s="6"/>
      <c r="G58" s="6"/>
      <c r="H58" s="21"/>
      <c r="I58" s="6"/>
      <c r="J58" s="6"/>
      <c r="K58" s="6"/>
      <c r="L58" s="21"/>
      <c r="M58" s="2"/>
      <c r="N58" s="3"/>
      <c r="O58" s="6"/>
      <c r="P58" s="21"/>
    </row>
    <row r="59" spans="1:16" x14ac:dyDescent="0.6">
      <c r="A59" s="2"/>
      <c r="B59" s="6"/>
      <c r="C59" s="6"/>
      <c r="D59" s="24"/>
      <c r="E59" s="6"/>
      <c r="F59" s="6"/>
      <c r="G59" s="6"/>
      <c r="H59" s="21"/>
      <c r="I59" s="6"/>
      <c r="J59" s="6"/>
      <c r="K59" s="6"/>
      <c r="L59" s="21"/>
      <c r="M59" s="2"/>
      <c r="N59" s="3"/>
      <c r="O59" s="6"/>
      <c r="P59" s="21"/>
    </row>
    <row r="60" spans="1:16" x14ac:dyDescent="0.6">
      <c r="A60" s="2"/>
      <c r="B60" s="6"/>
      <c r="C60" s="6"/>
      <c r="D60" s="24"/>
      <c r="E60" s="6"/>
      <c r="F60" s="6"/>
      <c r="G60" s="6"/>
      <c r="H60" s="21"/>
      <c r="I60" s="6"/>
      <c r="J60" s="6"/>
      <c r="K60" s="6"/>
      <c r="L60" s="21"/>
      <c r="M60" s="2"/>
      <c r="N60" s="3"/>
      <c r="O60" s="6"/>
      <c r="P60" s="21"/>
    </row>
    <row r="61" spans="1:16" x14ac:dyDescent="0.6">
      <c r="A61" s="2"/>
      <c r="B61" s="6"/>
      <c r="C61" s="6"/>
      <c r="D61" s="24"/>
      <c r="E61" s="6"/>
      <c r="F61" s="6"/>
      <c r="G61" s="6"/>
      <c r="H61" s="21"/>
      <c r="I61" s="6"/>
      <c r="J61" s="6"/>
      <c r="K61" s="6"/>
      <c r="L61" s="21"/>
      <c r="M61" s="2"/>
      <c r="N61" s="3"/>
      <c r="O61" s="6"/>
      <c r="P61" s="21"/>
    </row>
    <row r="62" spans="1:16" x14ac:dyDescent="0.6">
      <c r="A62" s="2"/>
      <c r="B62" s="6"/>
      <c r="C62" s="6"/>
      <c r="D62" s="24"/>
      <c r="E62" s="6"/>
      <c r="F62" s="6"/>
      <c r="G62" s="6"/>
      <c r="H62" s="21"/>
      <c r="I62" s="6"/>
      <c r="J62" s="6"/>
      <c r="K62" s="6"/>
      <c r="L62" s="21"/>
      <c r="M62" s="2"/>
      <c r="N62" s="3"/>
      <c r="O62" s="6"/>
      <c r="P62" s="21"/>
    </row>
    <row r="63" spans="1:16" x14ac:dyDescent="0.6">
      <c r="A63" s="2"/>
      <c r="B63" s="6"/>
      <c r="C63" s="6"/>
      <c r="D63" s="24"/>
      <c r="E63" s="6"/>
      <c r="F63" s="6"/>
      <c r="G63" s="6"/>
      <c r="H63" s="21"/>
      <c r="I63" s="6"/>
      <c r="J63" s="6"/>
      <c r="K63" s="6"/>
      <c r="L63" s="21"/>
      <c r="M63" s="2"/>
      <c r="N63" s="3"/>
      <c r="O63" s="6"/>
      <c r="P63" s="21"/>
    </row>
    <row r="64" spans="1:16" x14ac:dyDescent="0.6">
      <c r="A64" s="2"/>
      <c r="B64" s="6"/>
      <c r="C64" s="6"/>
      <c r="D64" s="24"/>
      <c r="E64" s="6"/>
      <c r="F64" s="6"/>
      <c r="G64" s="6"/>
      <c r="H64" s="21"/>
      <c r="I64" s="6"/>
      <c r="J64" s="6"/>
      <c r="K64" s="6"/>
      <c r="L64" s="21"/>
      <c r="M64" s="2"/>
      <c r="N64" s="3"/>
      <c r="O64" s="6"/>
      <c r="P64" s="21"/>
    </row>
    <row r="65" spans="1:16" x14ac:dyDescent="0.6">
      <c r="A65" s="2"/>
      <c r="B65" s="6"/>
      <c r="C65" s="6"/>
      <c r="D65" s="24"/>
      <c r="E65" s="6"/>
      <c r="F65" s="6"/>
      <c r="G65" s="6"/>
      <c r="H65" s="21"/>
      <c r="I65" s="6"/>
      <c r="J65" s="6"/>
      <c r="K65" s="6"/>
      <c r="L65" s="21"/>
      <c r="M65" s="2"/>
      <c r="N65" s="3"/>
      <c r="O65" s="6"/>
      <c r="P65" s="21"/>
    </row>
    <row r="66" spans="1:16" x14ac:dyDescent="0.6">
      <c r="A66" s="2"/>
      <c r="B66" s="6"/>
      <c r="C66" s="6"/>
      <c r="D66" s="24"/>
      <c r="E66" s="6"/>
      <c r="F66" s="6"/>
      <c r="G66" s="6"/>
      <c r="H66" s="21"/>
      <c r="I66" s="6"/>
      <c r="J66" s="6"/>
      <c r="K66" s="6"/>
      <c r="L66" s="21"/>
      <c r="M66" s="2"/>
      <c r="N66" s="3"/>
      <c r="O66" s="6"/>
      <c r="P66" s="21"/>
    </row>
    <row r="67" spans="1:16" x14ac:dyDescent="0.6">
      <c r="A67" s="2"/>
      <c r="B67" s="6"/>
      <c r="C67" s="6"/>
      <c r="D67" s="24"/>
      <c r="E67" s="6"/>
      <c r="F67" s="6"/>
      <c r="G67" s="6"/>
      <c r="H67" s="21"/>
      <c r="I67" s="6"/>
      <c r="J67" s="6"/>
      <c r="K67" s="6"/>
      <c r="L67" s="21"/>
      <c r="M67" s="2"/>
      <c r="N67" s="3"/>
      <c r="O67" s="6"/>
      <c r="P67" s="21"/>
    </row>
    <row r="68" spans="1:16" x14ac:dyDescent="0.6">
      <c r="A68" s="2"/>
      <c r="B68" s="6"/>
      <c r="C68" s="6"/>
      <c r="D68" s="24"/>
      <c r="E68" s="6"/>
      <c r="F68" s="6"/>
      <c r="G68" s="6"/>
      <c r="H68" s="21"/>
      <c r="I68" s="6"/>
      <c r="J68" s="6"/>
      <c r="K68" s="6"/>
      <c r="L68" s="21"/>
      <c r="M68" s="2"/>
      <c r="N68" s="4"/>
      <c r="O68" s="6"/>
      <c r="P68" s="21"/>
    </row>
    <row r="69" spans="1:16" x14ac:dyDescent="0.6">
      <c r="A69" s="2"/>
      <c r="B69" s="6"/>
      <c r="C69" s="6"/>
      <c r="D69" s="24"/>
      <c r="E69" s="6"/>
      <c r="F69" s="6"/>
      <c r="G69" s="6"/>
      <c r="H69" s="21"/>
      <c r="I69" s="6"/>
      <c r="J69" s="6"/>
      <c r="K69" s="6"/>
      <c r="L69" s="21"/>
      <c r="M69" s="2"/>
      <c r="N69" s="4"/>
      <c r="O69" s="6"/>
      <c r="P69" s="21"/>
    </row>
    <row r="70" spans="1:16" x14ac:dyDescent="0.6">
      <c r="A70" s="2"/>
      <c r="B70" s="6"/>
      <c r="C70" s="6"/>
      <c r="D70" s="25"/>
      <c r="E70" s="6"/>
      <c r="F70" s="6"/>
      <c r="G70" s="6"/>
      <c r="H70" s="21"/>
      <c r="I70" s="6"/>
      <c r="J70" s="6"/>
      <c r="K70" s="6"/>
      <c r="L70" s="21"/>
      <c r="M70" s="2"/>
      <c r="N70" s="4"/>
      <c r="O70" s="6"/>
      <c r="P70" s="21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13</vt:i4>
      </vt:variant>
    </vt:vector>
  </HeadingPairs>
  <TitlesOfParts>
    <vt:vector size="13" baseType="lpstr">
      <vt:lpstr>ALL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  <vt:lpstr>ต.ค.</vt:lpstr>
      <vt:lpstr>พ.ย.</vt:lpstr>
      <vt:lpstr>ธ.ค.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dcterms:created xsi:type="dcterms:W3CDTF">2025-04-01T08:38:33Z</dcterms:created>
  <dcterms:modified xsi:type="dcterms:W3CDTF">2026-07-04T10:21:58Z</dcterms:modified>
</cp:coreProperties>
</file>