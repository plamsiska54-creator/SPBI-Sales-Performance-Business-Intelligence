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งานต้นปาล์ม\รวมออนไลน์\ติดตามออเดอร์ส่งของน้องกิ๊ก\"/>
    </mc:Choice>
  </mc:AlternateContent>
  <xr:revisionPtr revIDLastSave="0" documentId="13_ncr:1_{520FD578-2E64-45A2-9B7C-7D2C3D5BBE1E}" xr6:coauthVersionLast="36" xr6:coauthVersionMax="47" xr10:uidLastSave="{00000000-0000-0000-0000-000000000000}"/>
  <bookViews>
    <workbookView xWindow="14292" yWindow="0" windowWidth="14616" windowHeight="15588" tabRatio="882" activeTab="1" xr2:uid="{13EF2253-7BD7-4442-9B9C-0A72170BE943}"/>
  </bookViews>
  <sheets>
    <sheet name="สรุป" sheetId="4" r:id="rId1"/>
    <sheet name="สรุปรายการสินค้า" sheetId="7" r:id="rId2"/>
    <sheet name="Lazada" sheetId="1" r:id="rId3"/>
    <sheet name="Shopee" sheetId="2" r:id="rId4"/>
    <sheet name="TikTok" sheetId="3" r:id="rId5"/>
    <sheet name="ไปรษณีย์" sheetId="5" r:id="rId6"/>
    <sheet name="รายการสินค้าตีกลับ" sheetId="6" r:id="rId7"/>
  </sheets>
  <definedNames>
    <definedName name="_xlnm._FilterDatabase" localSheetId="2" hidden="1">Lazada!$A$3:$AN$25</definedName>
    <definedName name="_xlnm._FilterDatabase" localSheetId="3" hidden="1">Shopee!$A$3:$O$3</definedName>
    <definedName name="_xlnm._FilterDatabase" localSheetId="4" hidden="1">TikTok!$A$3:$O$59</definedName>
    <definedName name="_xlnm._FilterDatabase" localSheetId="5" hidden="1">ไปรษณีย์!$A$3:$X$32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" i="5" l="1"/>
  <c r="I1" i="3"/>
  <c r="I1" i="2"/>
  <c r="I1" i="1"/>
  <c r="M9" i="4" l="1"/>
  <c r="M6" i="4"/>
  <c r="M7" i="4"/>
  <c r="M8" i="4"/>
  <c r="M5" i="4"/>
  <c r="L9" i="4"/>
  <c r="K9" i="4"/>
  <c r="J9" i="4"/>
  <c r="I9" i="4"/>
  <c r="H9" i="4"/>
  <c r="G9" i="4"/>
  <c r="F9" i="4"/>
  <c r="E9" i="4"/>
  <c r="D9" i="4"/>
  <c r="C9" i="4"/>
  <c r="B9" i="4"/>
  <c r="L6" i="4"/>
  <c r="L7" i="4"/>
  <c r="L8" i="4"/>
  <c r="L5" i="4"/>
  <c r="AG28" i="6" l="1"/>
  <c r="B34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2" i="6"/>
  <c r="AG33" i="6"/>
  <c r="AG5" i="6" l="1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9" i="6"/>
  <c r="AG30" i="6"/>
  <c r="AG31" i="6"/>
  <c r="AG4" i="6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" i="7" l="1"/>
  <c r="C34" i="7" s="1"/>
  <c r="AG34" i="6"/>
</calcChain>
</file>

<file path=xl/sharedStrings.xml><?xml version="1.0" encoding="utf-8"?>
<sst xmlns="http://schemas.openxmlformats.org/spreadsheetml/2006/main" count="871" uniqueCount="405">
  <si>
    <t>ลำดับ</t>
  </si>
  <si>
    <t>ชื่อลูกค้า</t>
  </si>
  <si>
    <t>เลขที่พัสดุ</t>
  </si>
  <si>
    <t xml:space="preserve">สาเหตุการตีกลับ </t>
  </si>
  <si>
    <t>วันที่ตีกลับ</t>
  </si>
  <si>
    <t>เลขที่ออเดอร์</t>
  </si>
  <si>
    <t>ชื่อ</t>
  </si>
  <si>
    <t>นามสกุล</t>
  </si>
  <si>
    <t>หัวข้อการสาเหตุตีของกลับ</t>
  </si>
  <si>
    <t>ติดต่อไม่ได้ , ไม่รับโทรศัพท์</t>
  </si>
  <si>
    <t>ปฏิเสธ , ยกเลิก</t>
  </si>
  <si>
    <t>ส่งของไปซ้ำ</t>
  </si>
  <si>
    <t>Lazada</t>
  </si>
  <si>
    <t>Shopee</t>
  </si>
  <si>
    <t>TikTok</t>
  </si>
  <si>
    <t>สาเหตุการตีกลับ</t>
  </si>
  <si>
    <t>รวม</t>
  </si>
  <si>
    <t>Facebook , Facebook Live , Line , Line OA (ไปรษณีย์)</t>
  </si>
  <si>
    <t>ลูกค้าแจ้งว่าไม่ได้สั่ง</t>
  </si>
  <si>
    <t>ยอมรวมทั้งหมด</t>
  </si>
  <si>
    <t>หมายเหตุ</t>
  </si>
  <si>
    <t>ร้านค้า</t>
  </si>
  <si>
    <t>Flash Express Thailand</t>
  </si>
  <si>
    <t>ผู้ให้บริการจัดส่ง</t>
  </si>
  <si>
    <t>LEX TH</t>
  </si>
  <si>
    <t>Facebook</t>
  </si>
  <si>
    <t>Facebook Live</t>
  </si>
  <si>
    <t>Line OA</t>
  </si>
  <si>
    <t>Line</t>
  </si>
  <si>
    <t>Phone</t>
  </si>
  <si>
    <t>Kerry_dropoff</t>
  </si>
  <si>
    <t>วันที่</t>
  </si>
  <si>
    <t>ชิฟฟอนแยกชิ้น</t>
  </si>
  <si>
    <t>ชิฟฟอน 8 ชิ้น</t>
  </si>
  <si>
    <t>ชิฟฟอน 4 ชิ้น</t>
  </si>
  <si>
    <t>ชิฟฟอนไส้แยม 6 ชิ้น</t>
  </si>
  <si>
    <t>ชิฟฟอนไส้แยม 3 ชิ้น</t>
  </si>
  <si>
    <t>เบาหวิว ล</t>
  </si>
  <si>
    <t>เบาหวิว ญ</t>
  </si>
  <si>
    <t>เปี๊ยะ ล</t>
  </si>
  <si>
    <t>เปี๊ยะโมจิ ล</t>
  </si>
  <si>
    <t>เปี๊ยะ ญ</t>
  </si>
  <si>
    <t>เปี๊ยะโมจิ ญ</t>
  </si>
  <si>
    <t>คุกกี้เนย</t>
  </si>
  <si>
    <t>คุกกี้เนย 4 ชิ้น/กล่อง</t>
  </si>
  <si>
    <t>ปังกรอบคาราเมล</t>
  </si>
  <si>
    <t>ปังเนยน้ำตาล</t>
  </si>
  <si>
    <t>ปังเนยนิ่ม กล่อง 2 ชิ้น</t>
  </si>
  <si>
    <t>ปังเนยนิ่ม กล่อง 3 ชิ้น</t>
  </si>
  <si>
    <t>ปังเนยนิ่มถุง5ชิ้น</t>
  </si>
  <si>
    <t>ปังสตรอบูล</t>
  </si>
  <si>
    <t>ปังไก่หยอง</t>
  </si>
  <si>
    <t>ปังทวิต</t>
  </si>
  <si>
    <t>ปังแถว</t>
  </si>
  <si>
    <t>เปี๊ยะลาวา</t>
  </si>
  <si>
    <t>คอนเฟล็ก</t>
  </si>
  <si>
    <t>ไดฟูกุ</t>
  </si>
  <si>
    <t>ปังเลเยอร์</t>
  </si>
  <si>
    <t>เมอแรงค์</t>
  </si>
  <si>
    <t>DIY</t>
  </si>
  <si>
    <t>ครีมฮอนร์จัมโบ้</t>
  </si>
  <si>
    <t>ครีมฮอร์น</t>
  </si>
  <si>
    <t>ยอดรวม</t>
  </si>
  <si>
    <t>รายการ</t>
  </si>
  <si>
    <t>ชิ้น</t>
  </si>
  <si>
    <t>ยอดรวมทั้งเดือน</t>
  </si>
  <si>
    <t>ยอดรวม/วัน (ทุกรายการ)</t>
  </si>
  <si>
    <t>จำนวน</t>
  </si>
  <si>
    <t>พายสัปปะรด</t>
  </si>
  <si>
    <t xml:space="preserve">** NOTE </t>
  </si>
  <si>
    <t>ชื่อลูกค้า ไม่มีในข้อมูล TikTok</t>
  </si>
  <si>
    <t>ชื่อลูกค้า ไม่มีในข้อมูล Shopee</t>
  </si>
  <si>
    <t>ชื่อร้าน</t>
  </si>
  <si>
    <t>วรรณวนัช เบเกอรี่ (ร้านที่ 1 ร้านหลัก)</t>
  </si>
  <si>
    <t>ของฝากวรรณวนัช (cakewanwanach.lzd)</t>
  </si>
  <si>
    <t>วรรณวนัช ชิฟฟ่อน (chiffonlazada)</t>
  </si>
  <si>
    <t>วรรณวนัช (0944831646)</t>
  </si>
  <si>
    <t>ชิฟฟ่อน กำแพงแสน (chiffonk.kps)</t>
  </si>
  <si>
    <t>วรรณวนัช ของอร่อย (cakewanwanach.kps)</t>
  </si>
  <si>
    <t>วรรณวนัช ไทยแลนด์ (chiffon.kps)</t>
  </si>
  <si>
    <t>ของฝาก นครปฐม (khongfhak.kps)</t>
  </si>
  <si>
    <t>ของอร่อยกำแพงแสน (kahnomcake.lzd)</t>
  </si>
  <si>
    <t>ชิฟฟ่อน เบเกอรี่ (wanwanachcake)</t>
  </si>
  <si>
    <t>ชื่อขนส่ง</t>
  </si>
  <si>
    <t>ร้านที่ 1</t>
  </si>
  <si>
    <t>ร้านที่ 2</t>
  </si>
  <si>
    <t>วรรณวนัชเบเกอรี่ (พี่กุ๊ก)</t>
  </si>
  <si>
    <t>วรรณวนัช เบเกอรี่ (แอม)</t>
  </si>
  <si>
    <t>วรรณวนัช โรงงานจำหน่ายโดยตรง (นุ่น)</t>
  </si>
  <si>
    <t>ของฝากวรรณวนัช By:แอดอั้ม (อั้ม)</t>
  </si>
  <si>
    <t>ชิฟฟ่อนเค้กวรรณวนัช (พี่เอฟ)</t>
  </si>
  <si>
    <t>J&amp;T Express</t>
  </si>
  <si>
    <t>ไปรษณีย์ไทย</t>
  </si>
  <si>
    <t>J&amp;T</t>
  </si>
  <si>
    <t>รายการสินค้าที่ตีกลับมารวมทุกช่องทางขายออนไลน์ เดือนเมษายน 2567</t>
  </si>
  <si>
    <t>รายการของตีกลับช่องทาง Facebook , Facebook Live , Line , Line OA (ไปรษณีย์) เดือนเมษายน 2567</t>
  </si>
  <si>
    <t>รายการของตีกลับช่องทาง TikTok เดือนเมษายน 2567</t>
  </si>
  <si>
    <t>รายการของตีกลับช่องทาง SHOPEE เดือนเมษายน 2567</t>
  </si>
  <si>
    <t>รายการของตีกลับช่องทาง LAZADA เดือนเมษายน 2567</t>
  </si>
  <si>
    <t>สรุปรายการของตีกลับของช่องทางออนไลน์ เดือนเมษายน 2567</t>
  </si>
  <si>
    <t>240401K8HJY4C8</t>
  </si>
  <si>
    <t>240403PGRQMAR4</t>
  </si>
  <si>
    <t>240401K16EFJWA</t>
  </si>
  <si>
    <t>840269386572085</t>
  </si>
  <si>
    <t>842655512522734</t>
  </si>
  <si>
    <t>ด.ญ.จุฑาทิพย์</t>
  </si>
  <si>
    <t>โอแสงธรรมนนท์</t>
  </si>
  <si>
    <t>Thiyada</t>
  </si>
  <si>
    <t>Teansast</t>
  </si>
  <si>
    <t>836643650268157</t>
  </si>
  <si>
    <t>ชลลดา</t>
  </si>
  <si>
    <t>โสมคง</t>
  </si>
  <si>
    <t>840062105869889</t>
  </si>
  <si>
    <t>สมใจ</t>
  </si>
  <si>
    <t>แสนดี</t>
  </si>
  <si>
    <t>839883819546099</t>
  </si>
  <si>
    <t>838708645602783</t>
  </si>
  <si>
    <t>สุดาวัลย์</t>
  </si>
  <si>
    <t>จรดล</t>
  </si>
  <si>
    <t>Ma</t>
  </si>
  <si>
    <t>Ly</t>
  </si>
  <si>
    <t>841519702547352</t>
  </si>
  <si>
    <t>สุรัล</t>
  </si>
  <si>
    <t>ผ้าแก้ว</t>
  </si>
  <si>
    <t>EA961105344TH</t>
  </si>
  <si>
    <t>EA958897060TH</t>
  </si>
  <si>
    <t>EA960048230TH</t>
  </si>
  <si>
    <t>EA959395682TH</t>
  </si>
  <si>
    <t>EA959654387TH</t>
  </si>
  <si>
    <t>EA960048274TH</t>
  </si>
  <si>
    <t>EA960048036TH</t>
  </si>
  <si>
    <t>EA960048212TH</t>
  </si>
  <si>
    <t>EA960824361TH</t>
  </si>
  <si>
    <t>EA959654360TH</t>
  </si>
  <si>
    <t>EA960224209TH</t>
  </si>
  <si>
    <t>6/04/2567</t>
  </si>
  <si>
    <t>3/04/2567</t>
  </si>
  <si>
    <t>นามวิจิตร</t>
  </si>
  <si>
    <t>ปวีณา</t>
  </si>
  <si>
    <t>พงษ์เผือก</t>
  </si>
  <si>
    <t>สมชาย</t>
  </si>
  <si>
    <t>ฤาชา</t>
  </si>
  <si>
    <t>น.นา</t>
  </si>
  <si>
    <t>เจษฎา</t>
  </si>
  <si>
    <t>วัฒนบุตร</t>
  </si>
  <si>
    <t>กาญจนา</t>
  </si>
  <si>
    <t>นาคเนื้อนิ่ม</t>
  </si>
  <si>
    <t>น.ส.ชุติมา</t>
  </si>
  <si>
    <t>มีมานะ</t>
  </si>
  <si>
    <t>นิค</t>
  </si>
  <si>
    <t>ออย</t>
  </si>
  <si>
    <t>น.ส.ยุวดี</t>
  </si>
  <si>
    <t>จันทะดา</t>
  </si>
  <si>
    <t>TH01515FEPX49B</t>
  </si>
  <si>
    <t>CNV33</t>
  </si>
  <si>
    <t>นางชบาไพร</t>
  </si>
  <si>
    <t>CMU22</t>
  </si>
  <si>
    <t>CNG29</t>
  </si>
  <si>
    <t>CMX15</t>
  </si>
  <si>
    <t>CNA89</t>
  </si>
  <si>
    <t>CNG25</t>
  </si>
  <si>
    <t>CNE94</t>
  </si>
  <si>
    <t>CNG43</t>
  </si>
  <si>
    <t>CNT16</t>
  </si>
  <si>
    <t>CNA54</t>
  </si>
  <si>
    <t>CNJ69</t>
  </si>
  <si>
    <t>LEXPU0322207022</t>
  </si>
  <si>
    <t>LEXPU0324792169</t>
  </si>
  <si>
    <t>LEXPU0326231994</t>
  </si>
  <si>
    <t>LEXDO0096787529</t>
  </si>
  <si>
    <t>KERDO0122855869</t>
  </si>
  <si>
    <t>KERDO0122572634</t>
  </si>
  <si>
    <t>520002232725</t>
  </si>
  <si>
    <t>TH13035FK8HU7M</t>
  </si>
  <si>
    <t>TH01135FF7PS9C</t>
  </si>
  <si>
    <t>578697080318035977</t>
  </si>
  <si>
    <t>578703045984946795</t>
  </si>
  <si>
    <t>THT1503UVT4R4Z</t>
  </si>
  <si>
    <t>THT0119UZX018Z</t>
  </si>
  <si>
    <t>844209983083635</t>
  </si>
  <si>
    <t>841929823524925</t>
  </si>
  <si>
    <t>844501526760650</t>
  </si>
  <si>
    <t>จอมยุทธ</t>
  </si>
  <si>
    <t>บุตรศาสตร์</t>
  </si>
  <si>
    <t>ละอองดาว</t>
  </si>
  <si>
    <t>ศรีจันทร์</t>
  </si>
  <si>
    <t>สริตา</t>
  </si>
  <si>
    <t>บุญณะ</t>
  </si>
  <si>
    <t>578701301455030344</t>
  </si>
  <si>
    <t>578693791527635461</t>
  </si>
  <si>
    <t>578703041497893157</t>
  </si>
  <si>
    <t>578701973508360780</t>
  </si>
  <si>
    <t>578711378760992884</t>
  </si>
  <si>
    <t>578721687937649055</t>
  </si>
  <si>
    <t>578723268271573593</t>
  </si>
  <si>
    <t>578724456368801804</t>
  </si>
  <si>
    <t>578723336836188761</t>
  </si>
  <si>
    <t>578707516544289767</t>
  </si>
  <si>
    <t>578721110531410561</t>
  </si>
  <si>
    <t>578723959789750687</t>
  </si>
  <si>
    <t>578721731481012639</t>
  </si>
  <si>
    <t>EA963095021TH</t>
  </si>
  <si>
    <t>EA960824242TH</t>
  </si>
  <si>
    <t>อำพัน</t>
  </si>
  <si>
    <t>ดวงภักดี</t>
  </si>
  <si>
    <t>กิตติพงษ์</t>
  </si>
  <si>
    <t>อาชาปราโมทย์</t>
  </si>
  <si>
    <t>520002284455</t>
  </si>
  <si>
    <t>LEXDO0097403963</t>
  </si>
  <si>
    <t>LEXDO0096650640</t>
  </si>
  <si>
    <t>747313213846</t>
  </si>
  <si>
    <t>747343061312</t>
  </si>
  <si>
    <t>747355121800</t>
  </si>
  <si>
    <t>747364961744</t>
  </si>
  <si>
    <t>747425179255</t>
  </si>
  <si>
    <t>747485405951</t>
  </si>
  <si>
    <t>747487070960</t>
  </si>
  <si>
    <t>747472744922</t>
  </si>
  <si>
    <t>747448598820</t>
  </si>
  <si>
    <t>747404953083</t>
  </si>
  <si>
    <t>747413399725</t>
  </si>
  <si>
    <t>747433320911</t>
  </si>
  <si>
    <t>747440927811</t>
  </si>
  <si>
    <t>COW73</t>
  </si>
  <si>
    <t>CNT38</t>
  </si>
  <si>
    <t>847552330734088</t>
  </si>
  <si>
    <t>847656794714361</t>
  </si>
  <si>
    <t>847504596276968</t>
  </si>
  <si>
    <t>842140018988479</t>
  </si>
  <si>
    <t>848688720893389</t>
  </si>
  <si>
    <t>อรุณ</t>
  </si>
  <si>
    <t>พิมลดา</t>
  </si>
  <si>
    <t>วลัยทิพย์</t>
  </si>
  <si>
    <t>บุญเลิศ</t>
  </si>
  <si>
    <t>ปาริตา</t>
  </si>
  <si>
    <t>ศรีนาค</t>
  </si>
  <si>
    <t>นันทภัศน์</t>
  </si>
  <si>
    <t>เกียรติสูงเนิน</t>
  </si>
  <si>
    <t>EA963094984TH</t>
  </si>
  <si>
    <t>EA962926814TH</t>
  </si>
  <si>
    <t>(S) TH61045GTZRR7E</t>
  </si>
  <si>
    <t>(S) TH38055GBKC35E</t>
  </si>
  <si>
    <t>สุพัตรา</t>
  </si>
  <si>
    <t>อุทัยกัน</t>
  </si>
  <si>
    <t>อุสา</t>
  </si>
  <si>
    <t>ร.ต.สุชาติ</t>
  </si>
  <si>
    <t>คงถาวร</t>
  </si>
  <si>
    <t>CPL6</t>
  </si>
  <si>
    <t>COW90</t>
  </si>
  <si>
    <t>COR40</t>
  </si>
  <si>
    <t>CQB53</t>
  </si>
  <si>
    <t>LEXPU0329822675</t>
  </si>
  <si>
    <t>LEXPU0329819517</t>
  </si>
  <si>
    <t>LEXPU0329487043</t>
  </si>
  <si>
    <t>LEXPU0330569462</t>
  </si>
  <si>
    <t>KERDO0123817791</t>
  </si>
  <si>
    <t>ยอดคำสั่งซื้อ</t>
  </si>
  <si>
    <t>บาท</t>
  </si>
  <si>
    <t>ยอดเงิน</t>
  </si>
  <si>
    <t>แพลตฟอร์ม</t>
  </si>
  <si>
    <t>ลูกค้าตีกลับ เนื่องจาก มดขึ้นขนม ขนมมีรสฟาดเฟื่อน</t>
  </si>
  <si>
    <t>841550008596711</t>
  </si>
  <si>
    <t>842779650298826</t>
  </si>
  <si>
    <t xml:space="preserve">วริศรา </t>
  </si>
  <si>
    <t>แก้วระวัง</t>
  </si>
  <si>
    <t xml:space="preserve">ปิณฑิรา </t>
  </si>
  <si>
    <t>ชื่นภิรมย์</t>
  </si>
  <si>
    <t>(S) TH28015GQYE36B</t>
  </si>
  <si>
    <t>(S) TH28015GQYE30B</t>
  </si>
  <si>
    <t>(S) TH28015GQYE26B</t>
  </si>
  <si>
    <t>(S) TH28015GQYE24B</t>
  </si>
  <si>
    <t>Phattaraphon</t>
  </si>
  <si>
    <t>Lerdsakul</t>
  </si>
  <si>
    <t>LEXDO0097259705</t>
  </si>
  <si>
    <t>KERDO0123964822</t>
  </si>
  <si>
    <t>2404086TM0ETKC</t>
  </si>
  <si>
    <t>840519464598466</t>
  </si>
  <si>
    <t>ลักขณา</t>
  </si>
  <si>
    <t>ทองไชย</t>
  </si>
  <si>
    <t>578727329807370654</t>
  </si>
  <si>
    <t>578723243831822372</t>
  </si>
  <si>
    <t>578721428840745705</t>
  </si>
  <si>
    <t>578724013844237293</t>
  </si>
  <si>
    <t>578721459178998505</t>
  </si>
  <si>
    <t>578726241553647748</t>
  </si>
  <si>
    <t>578740976384772963</t>
  </si>
  <si>
    <t>578715190858385600</t>
  </si>
  <si>
    <t>578734835405589386</t>
  </si>
  <si>
    <t>578733159271860361</t>
  </si>
  <si>
    <t>TH01265FZ4KP4A0</t>
  </si>
  <si>
    <t>เหตุผลของลูกค้า : รอจัดส่งนานเกินไป</t>
  </si>
  <si>
    <t>613618273833</t>
  </si>
  <si>
    <t>747521188050</t>
  </si>
  <si>
    <t>747482380890</t>
  </si>
  <si>
    <t>747415907862</t>
  </si>
  <si>
    <t>747586213006</t>
  </si>
  <si>
    <t>747495093844</t>
  </si>
  <si>
    <t>747584332003</t>
  </si>
  <si>
    <t>747550589505</t>
  </si>
  <si>
    <t>747434389402</t>
  </si>
  <si>
    <t>747556767355</t>
  </si>
  <si>
    <t>747574512300</t>
  </si>
  <si>
    <t>EA964158598TH</t>
  </si>
  <si>
    <t>578735261533112456</t>
  </si>
  <si>
    <t>578724551813663622</t>
  </si>
  <si>
    <t>578735288100096320</t>
  </si>
  <si>
    <t>578748176089581751</t>
  </si>
  <si>
    <t>578734793959639059</t>
  </si>
  <si>
    <t>578738400412863443</t>
  </si>
  <si>
    <t>578740969117486035</t>
  </si>
  <si>
    <t>578740548024699155</t>
  </si>
  <si>
    <t>578744587065920097</t>
  </si>
  <si>
    <t>578735265473988744</t>
  </si>
  <si>
    <t>578735536267495469</t>
  </si>
  <si>
    <t>578741113262672039</t>
  </si>
  <si>
    <t>578741707133585567</t>
  </si>
  <si>
    <t>578738010524388116</t>
  </si>
  <si>
    <t>5787406004696358726</t>
  </si>
  <si>
    <t>578749272738007599</t>
  </si>
  <si>
    <t>ฐิติพร</t>
  </si>
  <si>
    <t>ลาดโฮม</t>
  </si>
  <si>
    <t>578756674952268560</t>
  </si>
  <si>
    <t>578747783671744530</t>
  </si>
  <si>
    <t>578741061404101325</t>
  </si>
  <si>
    <t>578740715703470487</t>
  </si>
  <si>
    <t>578747087043790866</t>
  </si>
  <si>
    <t>578740985605163261</t>
  </si>
  <si>
    <t>578737974982903826</t>
  </si>
  <si>
    <t>578741100254235341</t>
  </si>
  <si>
    <t>578747783172623011</t>
  </si>
  <si>
    <t>578757982738876943</t>
  </si>
  <si>
    <t>578761057861929388</t>
  </si>
  <si>
    <t>578738153625848560</t>
  </si>
  <si>
    <t>846528418405656</t>
  </si>
  <si>
    <t>846136241824895</t>
  </si>
  <si>
    <t>ต้องพงศ์</t>
  </si>
  <si>
    <t>พงษ์พานิช</t>
  </si>
  <si>
    <t xml:space="preserve"> HAL</t>
  </si>
  <si>
    <t xml:space="preserve"> หนองคาย</t>
  </si>
  <si>
    <t>578760093806987336</t>
  </si>
  <si>
    <t>EA969823916TH</t>
  </si>
  <si>
    <t xml:space="preserve">ณัฐธภา </t>
  </si>
  <si>
    <t>ปานสองคราม</t>
  </si>
  <si>
    <t>853369750764432</t>
  </si>
  <si>
    <t>พวงผกา</t>
  </si>
  <si>
    <t>พุฒหมื่น</t>
  </si>
  <si>
    <t>57871511270353160</t>
  </si>
  <si>
    <t>EA970106970TH</t>
  </si>
  <si>
    <t>EA969489000TH</t>
  </si>
  <si>
    <t>EA970864484TH</t>
  </si>
  <si>
    <t>EA971185917TH</t>
  </si>
  <si>
    <t>EA972086155TH</t>
  </si>
  <si>
    <t>กันทิมา</t>
  </si>
  <si>
    <t>งานญาติ</t>
  </si>
  <si>
    <t>โสวิญญา</t>
  </si>
  <si>
    <t>สุวรรณาพันธุ์</t>
  </si>
  <si>
    <t>หนึ่งฤทัย</t>
  </si>
  <si>
    <t>สมนึก</t>
  </si>
  <si>
    <t>พัทธนันท์</t>
  </si>
  <si>
    <t>จันทร์นิ่ม</t>
  </si>
  <si>
    <t>ณีรนุช</t>
  </si>
  <si>
    <t>ภิญโญธิติ</t>
  </si>
  <si>
    <t>LEXPU0333008244</t>
  </si>
  <si>
    <t>KERDO0124774064</t>
  </si>
  <si>
    <t>747576462485</t>
  </si>
  <si>
    <t>747468149956</t>
  </si>
  <si>
    <t>747535061490</t>
  </si>
  <si>
    <t>747536487994</t>
  </si>
  <si>
    <t>747562369341</t>
  </si>
  <si>
    <t>747583183480</t>
  </si>
  <si>
    <t>747558666676</t>
  </si>
  <si>
    <t>747530252604</t>
  </si>
  <si>
    <t>747568148714</t>
  </si>
  <si>
    <t>747532188303</t>
  </si>
  <si>
    <t>747561076485</t>
  </si>
  <si>
    <t>747521873641</t>
  </si>
  <si>
    <t>747530464516</t>
  </si>
  <si>
    <t>747525550903</t>
  </si>
  <si>
    <t>747678675380</t>
  </si>
  <si>
    <t>747562986844</t>
  </si>
  <si>
    <t>747535380535</t>
  </si>
  <si>
    <t>747577858661</t>
  </si>
  <si>
    <t>747513433995</t>
  </si>
  <si>
    <t>THT1301VNGWG8Z</t>
  </si>
  <si>
    <t>THT3804VKYEN7Z</t>
  </si>
  <si>
    <t>747597275633</t>
  </si>
  <si>
    <t>747530870936</t>
  </si>
  <si>
    <t>747673247440</t>
  </si>
  <si>
    <t>747624089586</t>
  </si>
  <si>
    <t>747501461571</t>
  </si>
  <si>
    <t>747673045545</t>
  </si>
  <si>
    <t>747534893685</t>
  </si>
  <si>
    <t>COP84</t>
  </si>
  <si>
    <t>CRF77</t>
  </si>
  <si>
    <t>CRK90</t>
  </si>
  <si>
    <t>CRA45</t>
  </si>
  <si>
    <t>CRU81</t>
  </si>
  <si>
    <t>CSA50</t>
  </si>
  <si>
    <t>CSO71</t>
  </si>
  <si>
    <t>CPY32</t>
  </si>
  <si>
    <t>เกินเวลานัดส่งพัสดุ</t>
  </si>
  <si>
    <t>จำนวนออเดอร์</t>
  </si>
  <si>
    <t>ยอดขาย</t>
  </si>
  <si>
    <t>747534596685</t>
  </si>
  <si>
    <t>สรุปรายการสินค้าที่ตีกลับมารวมทุกช่องทางขายออนไลน์ เดือนเมษายน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</si>
</sst>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>
    <font>
      <sz val="11"/>
      <color theme="1"/>
      <name val="Calibri"/>
      <family val="2"/>
      <charset val="222"/>
      <scheme val="minor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22"/>
      <color theme="1"/>
      <name val="Angsana New"/>
      <family val="1"/>
    </font>
    <font>
      <b/>
      <sz val="16"/>
      <color rgb="FF00B050"/>
      <name val="Angsana New"/>
      <family val="1"/>
    </font>
    <font>
      <b/>
      <sz val="16"/>
      <color rgb="FFFF0066"/>
      <name val="Angsana New"/>
      <family val="1"/>
    </font>
    <font>
      <b/>
      <sz val="16"/>
      <color rgb="FF0000FF"/>
      <name val="Angsana New"/>
      <family val="1"/>
    </font>
    <font>
      <sz val="18"/>
      <color theme="1"/>
      <name val="Angsana New"/>
      <family val="1"/>
    </font>
    <font>
      <b/>
      <sz val="20"/>
      <color theme="1"/>
      <name val="Angsana New"/>
      <family val="1"/>
    </font>
    <font>
      <sz val="22"/>
      <color theme="1"/>
      <name val="Angsana New"/>
      <family val="1"/>
    </font>
    <font>
      <b/>
      <sz val="16"/>
      <color rgb="FFFF0000"/>
      <name val="Angsana New"/>
      <family val="1"/>
    </font>
    <font>
      <b/>
      <sz val="18"/>
      <color rgb="FF0000FF"/>
      <name val="Angsana New"/>
      <family val="1"/>
    </font>
    <font>
      <b/>
      <sz val="20"/>
      <color rgb="FF0000FF"/>
      <name val="Angsana New"/>
      <family val="1"/>
    </font>
    <font>
      <sz val="16"/>
      <color rgb="FFFF0000"/>
      <name val="Angsana New"/>
      <family val="1"/>
    </font>
    <font>
      <sz val="11"/>
      <color theme="1"/>
      <name val="Calibri"/>
      <family val="2"/>
      <charset val="222"/>
      <scheme val="minor"/>
    </font>
    <font>
      <b/>
      <sz val="16"/>
      <color rgb="FF6600CC"/>
      <name val="Angsana New"/>
      <family val="1"/>
    </font>
  </fonts>
  <fills count="1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rgb="FFFF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5" fillId="0" borderId="0" applyFont="0" applyFill="0" applyBorder="0" applyAlignment="0" applyProtection="0"/>
  </cellStyleXfs>
  <cellXfs count="120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/>
    </xf>
    <xf numFmtId="49" fontId="1" fillId="6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3" fillId="9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9" fillId="0" borderId="0" xfId="0" applyFont="1" applyAlignment="1">
      <alignment horizontal="right"/>
    </xf>
    <xf numFmtId="0" fontId="13" fillId="0" borderId="7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center"/>
    </xf>
    <xf numFmtId="0" fontId="14" fillId="11" borderId="0" xfId="0" applyFont="1" applyFill="1" applyAlignment="1">
      <alignment horizontal="center" vertical="center"/>
    </xf>
    <xf numFmtId="14" fontId="14" fillId="11" borderId="0" xfId="0" applyNumberFormat="1" applyFont="1" applyFill="1" applyAlignment="1">
      <alignment horizontal="center" vertical="center"/>
    </xf>
    <xf numFmtId="49" fontId="14" fillId="11" borderId="0" xfId="0" applyNumberFormat="1" applyFont="1" applyFill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43" fontId="2" fillId="0" borderId="0" xfId="1" applyFont="1" applyAlignment="1">
      <alignment horizontal="center" vertical="center"/>
    </xf>
    <xf numFmtId="43" fontId="2" fillId="0" borderId="0" xfId="1" applyFont="1" applyAlignment="1">
      <alignment horizontal="center"/>
    </xf>
    <xf numFmtId="43" fontId="3" fillId="0" borderId="10" xfId="1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43" fontId="1" fillId="0" borderId="1" xfId="1" applyFont="1" applyBorder="1" applyAlignment="1">
      <alignment horizontal="center" vertical="center"/>
    </xf>
    <xf numFmtId="43" fontId="3" fillId="0" borderId="7" xfId="1" applyFont="1" applyBorder="1" applyAlignment="1">
      <alignment horizontal="center"/>
    </xf>
    <xf numFmtId="0" fontId="3" fillId="12" borderId="1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 wrapText="1"/>
    </xf>
    <xf numFmtId="43" fontId="5" fillId="0" borderId="1" xfId="1" applyFont="1" applyBorder="1" applyAlignment="1">
      <alignment horizontal="center" vertical="center" wrapText="1"/>
    </xf>
    <xf numFmtId="43" fontId="6" fillId="0" borderId="1" xfId="1" applyFont="1" applyBorder="1" applyAlignment="1">
      <alignment horizontal="center" vertical="center" wrapText="1"/>
    </xf>
    <xf numFmtId="43" fontId="7" fillId="0" borderId="1" xfId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43" fontId="16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3" fontId="11" fillId="0" borderId="1" xfId="1" applyFont="1" applyBorder="1" applyAlignment="1">
      <alignment horizontal="center" vertical="center" wrapText="1"/>
    </xf>
    <xf numFmtId="43" fontId="3" fillId="0" borderId="7" xfId="0" applyNumberFormat="1" applyFont="1" applyBorder="1" applyAlignment="1">
      <alignment horizontal="center"/>
    </xf>
    <xf numFmtId="0" fontId="4" fillId="0" borderId="9" xfId="0" applyFont="1" applyBorder="1" applyAlignment="1">
      <alignment horizontal="left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 wrapText="1"/>
    </xf>
    <xf numFmtId="0" fontId="3" fillId="9" borderId="12" xfId="0" applyFont="1" applyFill="1" applyBorder="1" applyAlignment="1">
      <alignment horizontal="center" vertical="center" wrapText="1"/>
    </xf>
    <xf numFmtId="0" fontId="3" fillId="9" borderId="13" xfId="0" applyFont="1" applyFill="1" applyBorder="1" applyAlignment="1">
      <alignment horizontal="center" vertical="center" wrapText="1"/>
    </xf>
    <xf numFmtId="43" fontId="3" fillId="9" borderId="4" xfId="1" applyFont="1" applyFill="1" applyBorder="1" applyAlignment="1">
      <alignment horizontal="center" vertical="center"/>
    </xf>
    <xf numFmtId="43" fontId="3" fillId="9" borderId="8" xfId="1" applyFont="1" applyFill="1" applyBorder="1" applyAlignment="1">
      <alignment horizontal="center" vertical="center"/>
    </xf>
    <xf numFmtId="43" fontId="3" fillId="9" borderId="5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12" borderId="14" xfId="0" applyFont="1" applyFill="1" applyBorder="1" applyAlignment="1">
      <alignment horizontal="center" vertical="center" wrapText="1"/>
    </xf>
    <xf numFmtId="0" fontId="3" fillId="12" borderId="15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49" fontId="1" fillId="6" borderId="4" xfId="0" applyNumberFormat="1" applyFont="1" applyFill="1" applyBorder="1" applyAlignment="1">
      <alignment horizontal="center" vertical="center"/>
    </xf>
    <xf numFmtId="49" fontId="1" fillId="6" borderId="5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3" fontId="3" fillId="6" borderId="4" xfId="1" applyFont="1" applyFill="1" applyBorder="1" applyAlignment="1">
      <alignment horizontal="center" vertical="center"/>
    </xf>
    <xf numFmtId="43" fontId="3" fillId="6" borderId="5" xfId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7" borderId="4" xfId="0" applyNumberFormat="1" applyFont="1" applyFill="1" applyBorder="1" applyAlignment="1">
      <alignment horizontal="center" vertical="center"/>
    </xf>
    <xf numFmtId="49" fontId="1" fillId="7" borderId="5" xfId="0" applyNumberFormat="1" applyFont="1" applyFill="1" applyBorder="1" applyAlignment="1">
      <alignment horizontal="center" vertical="center"/>
    </xf>
    <xf numFmtId="43" fontId="3" fillId="7" borderId="4" xfId="1" applyFont="1" applyFill="1" applyBorder="1" applyAlignment="1">
      <alignment horizontal="center" vertical="center"/>
    </xf>
    <xf numFmtId="43" fontId="3" fillId="7" borderId="5" xfId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49" fontId="1" fillId="8" borderId="4" xfId="0" applyNumberFormat="1" applyFont="1" applyFill="1" applyBorder="1" applyAlignment="1">
      <alignment horizontal="center" vertical="center"/>
    </xf>
    <xf numFmtId="49" fontId="1" fillId="8" borderId="5" xfId="0" applyNumberFormat="1" applyFont="1" applyFill="1" applyBorder="1" applyAlignment="1">
      <alignment horizontal="center" vertical="center"/>
    </xf>
    <xf numFmtId="43" fontId="3" fillId="8" borderId="4" xfId="1" applyFont="1" applyFill="1" applyBorder="1" applyAlignment="1">
      <alignment horizontal="center" vertical="center"/>
    </xf>
    <xf numFmtId="43" fontId="3" fillId="8" borderId="5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49" fontId="1" fillId="5" borderId="4" xfId="0" applyNumberFormat="1" applyFont="1" applyFill="1" applyBorder="1" applyAlignment="1">
      <alignment horizontal="center" vertical="center"/>
    </xf>
    <xf numFmtId="49" fontId="1" fillId="5" borderId="5" xfId="0" applyNumberFormat="1" applyFont="1" applyFill="1" applyBorder="1" applyAlignment="1">
      <alignment horizontal="center" vertical="center"/>
    </xf>
    <xf numFmtId="43" fontId="3" fillId="5" borderId="4" xfId="1" applyFont="1" applyFill="1" applyBorder="1" applyAlignment="1">
      <alignment horizontal="center" vertical="center"/>
    </xf>
    <xf numFmtId="43" fontId="3" fillId="5" borderId="5" xfId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 wrapText="1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6600"/>
      <color rgb="FFFF0066"/>
      <color rgb="FF0000FF"/>
      <color rgb="FFCCFF99"/>
      <color rgb="FFCCCCFF"/>
      <color rgb="FF00FF99"/>
      <color rgb="FFCCFFFF"/>
      <color rgb="FFFFCCFF"/>
      <color rgb="FFFF7C80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F6CC-213B-4386-8F38-9B7EE24BA8A6}">
  <sheetPr>
    <tabColor rgb="FF92D050"/>
    <pageSetUpPr fitToPage="1"/>
  </sheetPr>
  <dimension ref="A1:N10"/>
  <sheetViews>
    <sheetView workbookViewId="0">
      <selection activeCell="N9" sqref="A1:N9"/>
    </sheetView>
  </sheetViews>
  <sheetFormatPr defaultColWidth="9.109375" defaultRowHeight="23.4"/>
  <cols>
    <col min="1" max="1" width="17.5546875" style="3" customWidth="1"/>
    <col min="2" max="11" width="14.33203125" style="6" customWidth="1"/>
    <col min="12" max="12" width="11.6640625" style="3" customWidth="1"/>
    <col min="13" max="13" width="11.5546875" style="49" bestFit="1" customWidth="1"/>
    <col min="14" max="16384" width="9.109375" style="3"/>
  </cols>
  <sheetData>
    <row r="1" spans="1:14" ht="32.4">
      <c r="A1" s="66" t="s">
        <v>99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</row>
    <row r="2" spans="1:14" ht="26.25" customHeight="1">
      <c r="A2" s="67" t="s">
        <v>259</v>
      </c>
      <c r="B2" s="70" t="s">
        <v>15</v>
      </c>
      <c r="C2" s="71"/>
      <c r="D2" s="71"/>
      <c r="E2" s="71"/>
      <c r="F2" s="71"/>
      <c r="G2" s="71"/>
      <c r="H2" s="71"/>
      <c r="I2" s="71"/>
      <c r="J2" s="71"/>
      <c r="K2" s="72"/>
      <c r="L2" s="67" t="s">
        <v>16</v>
      </c>
      <c r="M2" s="73" t="s">
        <v>258</v>
      </c>
    </row>
    <row r="3" spans="1:14" ht="26.4" customHeight="1">
      <c r="A3" s="68"/>
      <c r="B3" s="76" t="s">
        <v>10</v>
      </c>
      <c r="C3" s="77"/>
      <c r="D3" s="78" t="s">
        <v>9</v>
      </c>
      <c r="E3" s="79"/>
      <c r="F3" s="80" t="s">
        <v>11</v>
      </c>
      <c r="G3" s="81"/>
      <c r="H3" s="82" t="s">
        <v>400</v>
      </c>
      <c r="I3" s="83"/>
      <c r="J3" s="84" t="s">
        <v>260</v>
      </c>
      <c r="K3" s="85"/>
      <c r="L3" s="68"/>
      <c r="M3" s="74"/>
    </row>
    <row r="4" spans="1:14" ht="26.4">
      <c r="A4" s="69"/>
      <c r="B4" s="17" t="s">
        <v>401</v>
      </c>
      <c r="C4" s="17" t="s">
        <v>402</v>
      </c>
      <c r="D4" s="18" t="s">
        <v>401</v>
      </c>
      <c r="E4" s="18" t="s">
        <v>402</v>
      </c>
      <c r="F4" s="19" t="s">
        <v>401</v>
      </c>
      <c r="G4" s="19" t="s">
        <v>402</v>
      </c>
      <c r="H4" s="20" t="s">
        <v>401</v>
      </c>
      <c r="I4" s="20" t="s">
        <v>402</v>
      </c>
      <c r="J4" s="56" t="s">
        <v>401</v>
      </c>
      <c r="K4" s="57" t="s">
        <v>402</v>
      </c>
      <c r="L4" s="69"/>
      <c r="M4" s="75"/>
    </row>
    <row r="5" spans="1:14" ht="22.2" customHeight="1">
      <c r="A5" s="13" t="s">
        <v>12</v>
      </c>
      <c r="B5" s="21">
        <v>14</v>
      </c>
      <c r="C5" s="58">
        <v>2829.95</v>
      </c>
      <c r="D5" s="22">
        <v>7</v>
      </c>
      <c r="E5" s="59">
        <v>878.56</v>
      </c>
      <c r="F5" s="23">
        <v>0</v>
      </c>
      <c r="G5" s="60">
        <v>0</v>
      </c>
      <c r="H5" s="61">
        <v>0</v>
      </c>
      <c r="I5" s="62">
        <v>0</v>
      </c>
      <c r="J5" s="63">
        <v>0</v>
      </c>
      <c r="K5" s="64">
        <v>0</v>
      </c>
      <c r="L5" s="16">
        <f>+B5+D5+F5+H5+J5</f>
        <v>21</v>
      </c>
      <c r="M5" s="54">
        <f>+C5+E5+G5+I5+K5</f>
        <v>3708.5099999999998</v>
      </c>
    </row>
    <row r="6" spans="1:14">
      <c r="A6" s="13" t="s">
        <v>13</v>
      </c>
      <c r="B6" s="21">
        <v>2</v>
      </c>
      <c r="C6" s="58">
        <v>309</v>
      </c>
      <c r="D6" s="22">
        <v>2</v>
      </c>
      <c r="E6" s="59">
        <v>626</v>
      </c>
      <c r="F6" s="23">
        <v>0</v>
      </c>
      <c r="G6" s="60">
        <v>0</v>
      </c>
      <c r="H6" s="61">
        <v>0</v>
      </c>
      <c r="I6" s="62">
        <v>0</v>
      </c>
      <c r="J6" s="63">
        <v>0</v>
      </c>
      <c r="K6" s="64">
        <v>0</v>
      </c>
      <c r="L6" s="16">
        <f t="shared" ref="L6:L8" si="0">+B6+D6+F6+H6+J6</f>
        <v>4</v>
      </c>
      <c r="M6" s="54">
        <f t="shared" ref="M6:M8" si="1">+C6+E6+G6+I6+K6</f>
        <v>935</v>
      </c>
    </row>
    <row r="7" spans="1:14">
      <c r="A7" s="13" t="s">
        <v>14</v>
      </c>
      <c r="B7" s="21">
        <v>20</v>
      </c>
      <c r="C7" s="58">
        <v>2890.39</v>
      </c>
      <c r="D7" s="22">
        <v>35</v>
      </c>
      <c r="E7" s="59">
        <v>4713</v>
      </c>
      <c r="F7" s="23">
        <v>0</v>
      </c>
      <c r="G7" s="60">
        <v>0</v>
      </c>
      <c r="H7" s="61">
        <v>0</v>
      </c>
      <c r="I7" s="62">
        <v>0</v>
      </c>
      <c r="J7" s="63">
        <v>0</v>
      </c>
      <c r="K7" s="64">
        <v>0</v>
      </c>
      <c r="L7" s="16">
        <f t="shared" si="0"/>
        <v>55</v>
      </c>
      <c r="M7" s="54">
        <f t="shared" si="1"/>
        <v>7603.3899999999994</v>
      </c>
    </row>
    <row r="8" spans="1:14" ht="93.6">
      <c r="A8" s="14" t="s">
        <v>17</v>
      </c>
      <c r="B8" s="21">
        <v>7</v>
      </c>
      <c r="C8" s="58">
        <v>1370</v>
      </c>
      <c r="D8" s="22">
        <v>17</v>
      </c>
      <c r="E8" s="59">
        <v>4041</v>
      </c>
      <c r="F8" s="23">
        <v>0</v>
      </c>
      <c r="G8" s="60">
        <v>0</v>
      </c>
      <c r="H8" s="61">
        <v>0</v>
      </c>
      <c r="I8" s="62">
        <v>0</v>
      </c>
      <c r="J8" s="63">
        <v>4</v>
      </c>
      <c r="K8" s="64">
        <v>8800</v>
      </c>
      <c r="L8" s="16">
        <f t="shared" si="0"/>
        <v>28</v>
      </c>
      <c r="M8" s="54">
        <f t="shared" si="1"/>
        <v>14211</v>
      </c>
    </row>
    <row r="9" spans="1:14" ht="27" thickBot="1">
      <c r="A9" s="41" t="s">
        <v>19</v>
      </c>
      <c r="B9" s="42">
        <f t="shared" ref="B9:J9" si="2">SUM(B5:B8)</f>
        <v>43</v>
      </c>
      <c r="C9" s="65">
        <f>SUM(C5:C8)</f>
        <v>7399.34</v>
      </c>
      <c r="D9" s="42">
        <f t="shared" si="2"/>
        <v>61</v>
      </c>
      <c r="E9" s="65">
        <f>SUM(E5:E8)</f>
        <v>10258.56</v>
      </c>
      <c r="F9" s="42">
        <f t="shared" si="2"/>
        <v>0</v>
      </c>
      <c r="G9" s="65">
        <f>SUM(G5:G8)</f>
        <v>0</v>
      </c>
      <c r="H9" s="42">
        <f t="shared" si="2"/>
        <v>0</v>
      </c>
      <c r="I9" s="65">
        <f>SUM(I5:I8)</f>
        <v>0</v>
      </c>
      <c r="J9" s="42">
        <f t="shared" si="2"/>
        <v>4</v>
      </c>
      <c r="K9" s="65">
        <f>SUM(K5:K8)</f>
        <v>8800</v>
      </c>
      <c r="L9" s="42">
        <f>SUM(L5:L8)</f>
        <v>108</v>
      </c>
      <c r="M9" s="55">
        <f>SUM(M5:M8)</f>
        <v>26457.9</v>
      </c>
      <c r="N9" s="2" t="s">
        <v>257</v>
      </c>
    </row>
    <row r="10" spans="1:14" ht="24" thickTop="1"/>
  </sheetData>
  <mergeCells count="10">
    <mergeCell ref="A1:L1"/>
    <mergeCell ref="L2:L4"/>
    <mergeCell ref="A2:A4"/>
    <mergeCell ref="B2:K2"/>
    <mergeCell ref="M2:M4"/>
    <mergeCell ref="B3:C3"/>
    <mergeCell ref="D3:E3"/>
    <mergeCell ref="F3:G3"/>
    <mergeCell ref="H3:I3"/>
    <mergeCell ref="J3:K3"/>
  </mergeCells>
  <pageMargins left="0.25" right="0.25" top="0.75" bottom="0.75" header="0.3" footer="0.3"/>
  <pageSetup paperSize="9" scale="74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FD6AF-97B7-49CD-B729-429D78B9E28D}">
  <sheetPr>
    <tabColor rgb="FF92D050"/>
    <pageSetUpPr fitToPage="1"/>
  </sheetPr>
  <dimension ref="A1:D35"/>
  <sheetViews>
    <sheetView tabSelected="1" zoomScaleNormal="100" workbookViewId="0">
      <pane xSplit="2" ySplit="2" topLeftCell="C21" activePane="bottomRight" state="frozen"/>
      <selection pane="topRight" activeCell="C1" sqref="C1"/>
      <selection pane="bottomLeft" activeCell="A3" sqref="A3"/>
      <selection pane="bottomRight" activeCell="G23" sqref="G22:G23"/>
    </sheetView>
  </sheetViews>
  <sheetFormatPr defaultColWidth="9.109375" defaultRowHeight="23.4"/>
  <cols>
    <col min="1" max="1" width="10.88671875" style="1" customWidth="1"/>
    <col min="2" max="2" width="21.44140625" style="1" bestFit="1" customWidth="1"/>
    <col min="3" max="4" width="14.33203125" style="1" customWidth="1"/>
    <col min="5" max="16384" width="9.109375" style="1"/>
  </cols>
  <sheetData>
    <row r="1" spans="1:4" ht="32.4">
      <c r="A1" s="26" t="s">
        <v>404</v>
      </c>
    </row>
    <row r="2" spans="1:4" ht="26.4">
      <c r="A2" s="33" t="s">
        <v>0</v>
      </c>
      <c r="B2" s="33" t="s">
        <v>63</v>
      </c>
      <c r="C2" s="33" t="s">
        <v>67</v>
      </c>
      <c r="D2" s="33" t="s">
        <v>20</v>
      </c>
    </row>
    <row r="3" spans="1:4">
      <c r="A3" s="36">
        <v>1</v>
      </c>
      <c r="B3" s="37" t="s">
        <v>32</v>
      </c>
      <c r="C3" s="37">
        <f>+รายการสินค้าตีกลับ!B34</f>
        <v>999</v>
      </c>
      <c r="D3" s="34"/>
    </row>
    <row r="4" spans="1:4">
      <c r="A4" s="36">
        <v>2</v>
      </c>
      <c r="B4" s="37" t="s">
        <v>33</v>
      </c>
      <c r="C4" s="37">
        <f>+รายการสินค้าตีกลับ!C34</f>
        <v>14</v>
      </c>
      <c r="D4" s="35"/>
    </row>
    <row r="5" spans="1:4">
      <c r="A5" s="36">
        <v>3</v>
      </c>
      <c r="B5" s="37" t="s">
        <v>34</v>
      </c>
      <c r="C5" s="37">
        <f>+รายการสินค้าตีกลับ!D34</f>
        <v>0</v>
      </c>
      <c r="D5" s="35"/>
    </row>
    <row r="6" spans="1:4">
      <c r="A6" s="36">
        <v>4</v>
      </c>
      <c r="B6" s="37" t="s">
        <v>35</v>
      </c>
      <c r="C6" s="37">
        <f>+รายการสินค้าตีกลับ!E34</f>
        <v>14</v>
      </c>
      <c r="D6" s="35"/>
    </row>
    <row r="7" spans="1:4">
      <c r="A7" s="36">
        <v>5</v>
      </c>
      <c r="B7" s="37" t="s">
        <v>36</v>
      </c>
      <c r="C7" s="37">
        <f>+รายการสินค้าตีกลับ!F34</f>
        <v>2</v>
      </c>
      <c r="D7" s="37"/>
    </row>
    <row r="8" spans="1:4">
      <c r="A8" s="36">
        <v>6</v>
      </c>
      <c r="B8" s="37" t="s">
        <v>37</v>
      </c>
      <c r="C8" s="37">
        <f>+รายการสินค้าตีกลับ!G34</f>
        <v>38</v>
      </c>
      <c r="D8" s="37"/>
    </row>
    <row r="9" spans="1:4">
      <c r="A9" s="36">
        <v>7</v>
      </c>
      <c r="B9" s="37" t="s">
        <v>38</v>
      </c>
      <c r="C9" s="37">
        <f>+รายการสินค้าตีกลับ!H34</f>
        <v>0</v>
      </c>
      <c r="D9" s="37"/>
    </row>
    <row r="10" spans="1:4">
      <c r="A10" s="36">
        <v>8</v>
      </c>
      <c r="B10" s="37" t="s">
        <v>39</v>
      </c>
      <c r="C10" s="37">
        <f>+รายการสินค้าตีกลับ!I34</f>
        <v>16</v>
      </c>
      <c r="D10" s="37"/>
    </row>
    <row r="11" spans="1:4">
      <c r="A11" s="36">
        <v>9</v>
      </c>
      <c r="B11" s="37" t="s">
        <v>40</v>
      </c>
      <c r="C11" s="37">
        <f>+รายการสินค้าตีกลับ!J34</f>
        <v>0</v>
      </c>
      <c r="D11" s="37"/>
    </row>
    <row r="12" spans="1:4">
      <c r="A12" s="36">
        <v>10</v>
      </c>
      <c r="B12" s="37" t="s">
        <v>41</v>
      </c>
      <c r="C12" s="37">
        <f>+รายการสินค้าตีกลับ!K34</f>
        <v>0</v>
      </c>
      <c r="D12" s="37"/>
    </row>
    <row r="13" spans="1:4">
      <c r="A13" s="36">
        <v>11</v>
      </c>
      <c r="B13" s="37" t="s">
        <v>42</v>
      </c>
      <c r="C13" s="37">
        <f>+รายการสินค้าตีกลับ!L34</f>
        <v>0</v>
      </c>
      <c r="D13" s="37"/>
    </row>
    <row r="14" spans="1:4">
      <c r="A14" s="36">
        <v>12</v>
      </c>
      <c r="B14" s="37" t="s">
        <v>68</v>
      </c>
      <c r="C14" s="37">
        <f>+รายการสินค้าตีกลับ!M34</f>
        <v>0</v>
      </c>
      <c r="D14" s="37"/>
    </row>
    <row r="15" spans="1:4">
      <c r="A15" s="36">
        <v>13</v>
      </c>
      <c r="B15" s="37" t="s">
        <v>43</v>
      </c>
      <c r="C15" s="37">
        <f>+รายการสินค้าตีกลับ!N34</f>
        <v>0</v>
      </c>
      <c r="D15" s="37"/>
    </row>
    <row r="16" spans="1:4">
      <c r="A16" s="36">
        <v>14</v>
      </c>
      <c r="B16" s="37" t="s">
        <v>44</v>
      </c>
      <c r="C16" s="37">
        <f>+รายการสินค้าตีกลับ!O34</f>
        <v>0</v>
      </c>
      <c r="D16" s="37"/>
    </row>
    <row r="17" spans="1:4">
      <c r="A17" s="36">
        <v>15</v>
      </c>
      <c r="B17" s="37" t="s">
        <v>45</v>
      </c>
      <c r="C17" s="37">
        <f>+รายการสินค้าตีกลับ!P34</f>
        <v>2</v>
      </c>
      <c r="D17" s="37"/>
    </row>
    <row r="18" spans="1:4">
      <c r="A18" s="36">
        <v>16</v>
      </c>
      <c r="B18" s="37" t="s">
        <v>46</v>
      </c>
      <c r="C18" s="37">
        <f>+รายการสินค้าตีกลับ!Q34</f>
        <v>0</v>
      </c>
      <c r="D18" s="37"/>
    </row>
    <row r="19" spans="1:4">
      <c r="A19" s="36">
        <v>17</v>
      </c>
      <c r="B19" s="37" t="s">
        <v>47</v>
      </c>
      <c r="C19" s="37">
        <f>+รายการสินค้าตีกลับ!R34</f>
        <v>1</v>
      </c>
      <c r="D19" s="37"/>
    </row>
    <row r="20" spans="1:4">
      <c r="A20" s="36">
        <v>18</v>
      </c>
      <c r="B20" s="37" t="s">
        <v>48</v>
      </c>
      <c r="C20" s="37">
        <f>+รายการสินค้าตีกลับ!S34</f>
        <v>0</v>
      </c>
      <c r="D20" s="37"/>
    </row>
    <row r="21" spans="1:4">
      <c r="A21" s="36">
        <v>19</v>
      </c>
      <c r="B21" s="37" t="s">
        <v>49</v>
      </c>
      <c r="C21" s="37">
        <f>+รายการสินค้าตีกลับ!T34</f>
        <v>0</v>
      </c>
      <c r="D21" s="37"/>
    </row>
    <row r="22" spans="1:4">
      <c r="A22" s="36">
        <v>20</v>
      </c>
      <c r="B22" s="37" t="s">
        <v>50</v>
      </c>
      <c r="C22" s="37">
        <f>+รายการสินค้าตีกลับ!U34</f>
        <v>0</v>
      </c>
      <c r="D22" s="37"/>
    </row>
    <row r="23" spans="1:4">
      <c r="A23" s="36">
        <v>21</v>
      </c>
      <c r="B23" s="37" t="s">
        <v>51</v>
      </c>
      <c r="C23" s="37">
        <f>+รายการสินค้าตีกลับ!V34</f>
        <v>0</v>
      </c>
      <c r="D23" s="37"/>
    </row>
    <row r="24" spans="1:4">
      <c r="A24" s="36">
        <v>22</v>
      </c>
      <c r="B24" s="37" t="s">
        <v>52</v>
      </c>
      <c r="C24" s="37">
        <f>+รายการสินค้าตีกลับ!W34</f>
        <v>0</v>
      </c>
      <c r="D24" s="37"/>
    </row>
    <row r="25" spans="1:4">
      <c r="A25" s="36">
        <v>23</v>
      </c>
      <c r="B25" s="37" t="s">
        <v>53</v>
      </c>
      <c r="C25" s="37">
        <f>+รายการสินค้าตีกลับ!X34</f>
        <v>38</v>
      </c>
      <c r="D25" s="37"/>
    </row>
    <row r="26" spans="1:4">
      <c r="A26" s="36">
        <v>24</v>
      </c>
      <c r="B26" s="37" t="s">
        <v>54</v>
      </c>
      <c r="C26" s="37">
        <f>+รายการสินค้าตีกลับ!Y34</f>
        <v>0</v>
      </c>
      <c r="D26" s="37"/>
    </row>
    <row r="27" spans="1:4">
      <c r="A27" s="36">
        <v>25</v>
      </c>
      <c r="B27" s="37" t="s">
        <v>55</v>
      </c>
      <c r="C27" s="37">
        <f>+รายการสินค้าตีกลับ!Z34</f>
        <v>0</v>
      </c>
      <c r="D27" s="37"/>
    </row>
    <row r="28" spans="1:4">
      <c r="A28" s="36">
        <v>26</v>
      </c>
      <c r="B28" s="37" t="s">
        <v>56</v>
      </c>
      <c r="C28" s="37">
        <f>+รายการสินค้าตีกลับ!AA34</f>
        <v>0</v>
      </c>
      <c r="D28" s="37"/>
    </row>
    <row r="29" spans="1:4">
      <c r="A29" s="36">
        <v>27</v>
      </c>
      <c r="B29" s="37" t="s">
        <v>57</v>
      </c>
      <c r="C29" s="37">
        <f>+รายการสินค้าตีกลับ!AB34</f>
        <v>0</v>
      </c>
      <c r="D29" s="37"/>
    </row>
    <row r="30" spans="1:4">
      <c r="A30" s="36">
        <v>28</v>
      </c>
      <c r="B30" s="37" t="s">
        <v>58</v>
      </c>
      <c r="C30" s="37">
        <f>+รายการสินค้าตีกลับ!AC34</f>
        <v>0</v>
      </c>
      <c r="D30" s="37"/>
    </row>
    <row r="31" spans="1:4">
      <c r="A31" s="36">
        <v>29</v>
      </c>
      <c r="B31" s="37" t="s">
        <v>59</v>
      </c>
      <c r="C31" s="37">
        <f>+รายการสินค้าตีกลับ!AD34</f>
        <v>0</v>
      </c>
      <c r="D31" s="37"/>
    </row>
    <row r="32" spans="1:4">
      <c r="A32" s="36">
        <v>30</v>
      </c>
      <c r="B32" s="37" t="s">
        <v>60</v>
      </c>
      <c r="C32" s="37">
        <f>+รายการสินค้าตีกลับ!AE34</f>
        <v>0</v>
      </c>
      <c r="D32" s="37"/>
    </row>
    <row r="33" spans="1:4">
      <c r="A33" s="36">
        <v>31</v>
      </c>
      <c r="B33" s="37" t="s">
        <v>61</v>
      </c>
      <c r="C33" s="37">
        <f>+รายการสินค้าตีกลับ!AF34</f>
        <v>164</v>
      </c>
      <c r="D33" s="37"/>
    </row>
    <row r="34" spans="1:4" ht="29.4" thickBot="1">
      <c r="B34" s="38" t="s">
        <v>62</v>
      </c>
      <c r="C34" s="39">
        <f>SUM(C3:C33)</f>
        <v>1288</v>
      </c>
      <c r="D34" s="40" t="s">
        <v>64</v>
      </c>
    </row>
    <row r="35" spans="1:4" ht="24" thickTop="1"/>
  </sheetData>
  <pageMargins left="0.25" right="0.25" top="0.75" bottom="0.75" header="0.3" footer="0.3"/>
  <pageSetup paperSize="9" scale="90" fitToWidth="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9A882-3BE8-43A3-822B-826BDED3B85D}">
  <sheetPr>
    <tabColor rgb="FF00B0F0"/>
  </sheetPr>
  <dimension ref="A1:P25"/>
  <sheetViews>
    <sheetView zoomScale="70" zoomScaleNormal="70" workbookViewId="0">
      <pane xSplit="4" ySplit="3" topLeftCell="H4" activePane="bottomRight" state="frozen"/>
      <selection pane="topRight" activeCell="E1" sqref="E1"/>
      <selection pane="bottomLeft" activeCell="A4" sqref="A4"/>
      <selection pane="bottomRight" activeCell="H1" sqref="H1:J1"/>
    </sheetView>
  </sheetViews>
  <sheetFormatPr defaultColWidth="9.109375" defaultRowHeight="23.4"/>
  <cols>
    <col min="1" max="1" width="13.44140625" style="3" customWidth="1"/>
    <col min="2" max="2" width="10.6640625" style="3" bestFit="1" customWidth="1"/>
    <col min="3" max="3" width="17" style="4" bestFit="1" customWidth="1"/>
    <col min="4" max="4" width="33.44140625" style="4" bestFit="1" customWidth="1"/>
    <col min="5" max="5" width="25.5546875" style="4" customWidth="1"/>
    <col min="6" max="6" width="38.33203125" style="4" customWidth="1"/>
    <col min="7" max="7" width="12.109375" style="3" bestFit="1" customWidth="1"/>
    <col min="8" max="8" width="16.5546875" style="3" bestFit="1" customWidth="1"/>
    <col min="9" max="9" width="14.5546875" style="49" customWidth="1"/>
    <col min="10" max="10" width="24.88671875" style="3" bestFit="1" customWidth="1"/>
    <col min="11" max="11" width="45.6640625" style="3" bestFit="1" customWidth="1"/>
    <col min="12" max="12" width="9" style="3" customWidth="1"/>
    <col min="13" max="13" width="9.109375" style="3"/>
    <col min="14" max="14" width="24.88671875" style="3" bestFit="1" customWidth="1"/>
    <col min="15" max="15" width="38.33203125" style="3" bestFit="1" customWidth="1"/>
    <col min="16" max="16" width="26.44140625" style="3" customWidth="1"/>
    <col min="17" max="16384" width="9.109375" style="3"/>
  </cols>
  <sheetData>
    <row r="1" spans="1:16" ht="33" thickBot="1">
      <c r="A1" s="7" t="s">
        <v>98</v>
      </c>
      <c r="H1" s="52" t="s">
        <v>16</v>
      </c>
      <c r="I1" s="51">
        <f>SUBTOTAL(9,I4:I12000)</f>
        <v>3708.5099999999998</v>
      </c>
      <c r="J1" s="53" t="s">
        <v>257</v>
      </c>
    </row>
    <row r="2" spans="1:16" s="2" customFormat="1" ht="24" thickTop="1">
      <c r="A2" s="86" t="s">
        <v>0</v>
      </c>
      <c r="B2" s="86" t="s">
        <v>4</v>
      </c>
      <c r="C2" s="87" t="s">
        <v>5</v>
      </c>
      <c r="D2" s="87" t="s">
        <v>2</v>
      </c>
      <c r="E2" s="90" t="s">
        <v>23</v>
      </c>
      <c r="F2" s="90" t="s">
        <v>21</v>
      </c>
      <c r="G2" s="87" t="s">
        <v>1</v>
      </c>
      <c r="H2" s="86"/>
      <c r="I2" s="93" t="s">
        <v>256</v>
      </c>
      <c r="J2" s="86" t="s">
        <v>3</v>
      </c>
      <c r="K2" s="92" t="s">
        <v>20</v>
      </c>
      <c r="N2" s="88" t="s">
        <v>8</v>
      </c>
      <c r="O2" s="88" t="s">
        <v>72</v>
      </c>
      <c r="P2" s="88" t="s">
        <v>83</v>
      </c>
    </row>
    <row r="3" spans="1:16" s="2" customFormat="1">
      <c r="A3" s="86"/>
      <c r="B3" s="86"/>
      <c r="C3" s="87"/>
      <c r="D3" s="87"/>
      <c r="E3" s="91"/>
      <c r="F3" s="91"/>
      <c r="G3" s="25" t="s">
        <v>6</v>
      </c>
      <c r="H3" s="10"/>
      <c r="I3" s="94"/>
      <c r="J3" s="86"/>
      <c r="K3" s="92"/>
      <c r="N3" s="89"/>
      <c r="O3" s="89"/>
      <c r="P3" s="89"/>
    </row>
    <row r="4" spans="1:16">
      <c r="A4" s="3">
        <v>1</v>
      </c>
      <c r="B4" s="8">
        <v>243711</v>
      </c>
      <c r="C4" s="5" t="s">
        <v>103</v>
      </c>
      <c r="D4" s="4" t="s">
        <v>166</v>
      </c>
      <c r="E4" s="5" t="s">
        <v>24</v>
      </c>
      <c r="F4" s="5" t="s">
        <v>73</v>
      </c>
      <c r="G4" s="5" t="s">
        <v>105</v>
      </c>
      <c r="H4" s="4" t="s">
        <v>106</v>
      </c>
      <c r="I4" s="50">
        <v>80.72</v>
      </c>
      <c r="J4" s="3" t="s">
        <v>10</v>
      </c>
      <c r="N4" s="9" t="s">
        <v>10</v>
      </c>
      <c r="O4" s="9" t="s">
        <v>73</v>
      </c>
      <c r="P4" s="46" t="s">
        <v>24</v>
      </c>
    </row>
    <row r="5" spans="1:16">
      <c r="A5" s="3">
        <v>2</v>
      </c>
      <c r="B5" s="8">
        <v>243711</v>
      </c>
      <c r="C5" s="5" t="s">
        <v>104</v>
      </c>
      <c r="D5" s="4" t="s">
        <v>167</v>
      </c>
      <c r="E5" s="5" t="s">
        <v>24</v>
      </c>
      <c r="F5" s="5" t="s">
        <v>73</v>
      </c>
      <c r="G5" s="5" t="s">
        <v>107</v>
      </c>
      <c r="H5" s="5" t="s">
        <v>108</v>
      </c>
      <c r="I5" s="50">
        <v>78.64</v>
      </c>
      <c r="J5" s="3" t="s">
        <v>9</v>
      </c>
      <c r="N5" s="9" t="s">
        <v>9</v>
      </c>
      <c r="O5" s="9" t="s">
        <v>74</v>
      </c>
      <c r="P5" s="47" t="s">
        <v>22</v>
      </c>
    </row>
    <row r="6" spans="1:16">
      <c r="A6" s="3">
        <v>3</v>
      </c>
      <c r="B6" s="8">
        <v>243712</v>
      </c>
      <c r="C6" s="4" t="s">
        <v>109</v>
      </c>
      <c r="D6" s="4" t="s">
        <v>172</v>
      </c>
      <c r="E6" s="5" t="s">
        <v>24</v>
      </c>
      <c r="F6" s="5" t="s">
        <v>78</v>
      </c>
      <c r="G6" s="5" t="s">
        <v>110</v>
      </c>
      <c r="H6" s="5" t="s">
        <v>111</v>
      </c>
      <c r="I6" s="50">
        <v>60.22</v>
      </c>
      <c r="J6" s="3" t="s">
        <v>10</v>
      </c>
      <c r="N6" s="9" t="s">
        <v>11</v>
      </c>
      <c r="O6" s="9" t="s">
        <v>75</v>
      </c>
      <c r="P6" s="46" t="s">
        <v>30</v>
      </c>
    </row>
    <row r="7" spans="1:16">
      <c r="A7" s="3">
        <v>4</v>
      </c>
      <c r="B7" s="8">
        <v>243714</v>
      </c>
      <c r="C7" s="4" t="s">
        <v>112</v>
      </c>
      <c r="D7" s="4" t="s">
        <v>171</v>
      </c>
      <c r="E7" s="5" t="s">
        <v>24</v>
      </c>
      <c r="F7" s="5" t="s">
        <v>78</v>
      </c>
      <c r="G7" s="4" t="s">
        <v>113</v>
      </c>
      <c r="H7" s="4" t="s">
        <v>114</v>
      </c>
      <c r="I7" s="50">
        <v>169.2</v>
      </c>
      <c r="J7" s="3" t="s">
        <v>9</v>
      </c>
      <c r="N7" s="9" t="s">
        <v>18</v>
      </c>
      <c r="O7" s="9" t="s">
        <v>76</v>
      </c>
      <c r="P7" s="9"/>
    </row>
    <row r="8" spans="1:16">
      <c r="A8" s="3">
        <v>5</v>
      </c>
      <c r="B8" s="8">
        <v>243718</v>
      </c>
      <c r="C8" s="4" t="s">
        <v>115</v>
      </c>
      <c r="D8" s="5" t="s">
        <v>169</v>
      </c>
      <c r="E8" s="5" t="s">
        <v>24</v>
      </c>
      <c r="F8" s="5" t="s">
        <v>82</v>
      </c>
      <c r="G8" s="4" t="s">
        <v>117</v>
      </c>
      <c r="H8" s="4" t="s">
        <v>118</v>
      </c>
      <c r="I8" s="50">
        <v>260</v>
      </c>
      <c r="J8" s="3" t="s">
        <v>10</v>
      </c>
      <c r="N8" s="9"/>
      <c r="O8" s="9" t="s">
        <v>77</v>
      </c>
      <c r="P8" s="9"/>
    </row>
    <row r="9" spans="1:16">
      <c r="A9" s="3">
        <v>6</v>
      </c>
      <c r="B9" s="8">
        <v>243718</v>
      </c>
      <c r="C9" s="4" t="s">
        <v>116</v>
      </c>
      <c r="D9" s="4" t="s">
        <v>168</v>
      </c>
      <c r="E9" s="5" t="s">
        <v>24</v>
      </c>
      <c r="F9" s="5" t="s">
        <v>73</v>
      </c>
      <c r="G9" s="4" t="s">
        <v>119</v>
      </c>
      <c r="H9" s="4" t="s">
        <v>120</v>
      </c>
      <c r="I9" s="50">
        <v>318</v>
      </c>
      <c r="J9" s="3" t="s">
        <v>10</v>
      </c>
      <c r="N9" s="9"/>
      <c r="O9" s="9" t="s">
        <v>78</v>
      </c>
      <c r="P9" s="9"/>
    </row>
    <row r="10" spans="1:16">
      <c r="A10" s="3">
        <v>7</v>
      </c>
      <c r="B10" s="8">
        <v>243719</v>
      </c>
      <c r="C10" s="4" t="s">
        <v>121</v>
      </c>
      <c r="D10" s="4" t="s">
        <v>170</v>
      </c>
      <c r="E10" s="5" t="s">
        <v>24</v>
      </c>
      <c r="F10" s="5" t="s">
        <v>78</v>
      </c>
      <c r="G10" s="3" t="s">
        <v>122</v>
      </c>
      <c r="H10" s="3" t="s">
        <v>123</v>
      </c>
      <c r="I10" s="50">
        <v>158.04</v>
      </c>
      <c r="J10" s="3" t="s">
        <v>10</v>
      </c>
      <c r="N10" s="9"/>
      <c r="O10" s="9" t="s">
        <v>80</v>
      </c>
      <c r="P10" s="9"/>
    </row>
    <row r="11" spans="1:16">
      <c r="A11" s="3">
        <v>8</v>
      </c>
      <c r="B11" s="8">
        <v>243721</v>
      </c>
      <c r="C11" s="4" t="s">
        <v>179</v>
      </c>
      <c r="D11" s="5" t="s">
        <v>207</v>
      </c>
      <c r="E11" s="5" t="s">
        <v>24</v>
      </c>
      <c r="F11" s="5" t="s">
        <v>78</v>
      </c>
      <c r="G11" s="4" t="s">
        <v>182</v>
      </c>
      <c r="H11" s="4" t="s">
        <v>183</v>
      </c>
      <c r="I11" s="50">
        <v>63</v>
      </c>
      <c r="J11" s="3" t="s">
        <v>10</v>
      </c>
      <c r="N11" s="9"/>
      <c r="O11" s="9" t="s">
        <v>79</v>
      </c>
      <c r="P11" s="9"/>
    </row>
    <row r="12" spans="1:16">
      <c r="A12" s="3">
        <v>9</v>
      </c>
      <c r="B12" s="8">
        <v>243722</v>
      </c>
      <c r="C12" s="4" t="s">
        <v>180</v>
      </c>
      <c r="D12" s="5" t="s">
        <v>208</v>
      </c>
      <c r="E12" s="5" t="s">
        <v>24</v>
      </c>
      <c r="F12" s="5" t="s">
        <v>78</v>
      </c>
      <c r="G12" s="3" t="s">
        <v>184</v>
      </c>
      <c r="H12" s="3" t="s">
        <v>185</v>
      </c>
      <c r="I12" s="50">
        <v>57.2</v>
      </c>
      <c r="J12" s="3" t="s">
        <v>10</v>
      </c>
      <c r="N12" s="9"/>
      <c r="O12" s="9" t="s">
        <v>81</v>
      </c>
      <c r="P12" s="9"/>
    </row>
    <row r="13" spans="1:16">
      <c r="A13" s="3">
        <v>10</v>
      </c>
      <c r="B13" s="8">
        <v>243722</v>
      </c>
      <c r="C13" s="4" t="s">
        <v>181</v>
      </c>
      <c r="D13" s="4" t="s">
        <v>209</v>
      </c>
      <c r="E13" s="5" t="s">
        <v>24</v>
      </c>
      <c r="F13" s="5" t="s">
        <v>78</v>
      </c>
      <c r="G13" s="3" t="s">
        <v>186</v>
      </c>
      <c r="H13" s="3" t="s">
        <v>187</v>
      </c>
      <c r="I13" s="49">
        <v>42.3</v>
      </c>
      <c r="J13" s="3" t="s">
        <v>9</v>
      </c>
      <c r="N13" s="9"/>
      <c r="O13" s="9" t="s">
        <v>82</v>
      </c>
      <c r="P13" s="9"/>
    </row>
    <row r="14" spans="1:16">
      <c r="A14" s="3">
        <v>11</v>
      </c>
      <c r="B14" s="8">
        <v>243725</v>
      </c>
      <c r="C14" s="4" t="s">
        <v>225</v>
      </c>
      <c r="D14" s="4" t="s">
        <v>251</v>
      </c>
      <c r="E14" s="5" t="s">
        <v>24</v>
      </c>
      <c r="F14" s="5" t="s">
        <v>73</v>
      </c>
      <c r="G14" s="3" t="s">
        <v>232</v>
      </c>
      <c r="H14" s="3" t="s">
        <v>233</v>
      </c>
      <c r="I14" s="49">
        <v>105.19</v>
      </c>
      <c r="J14" s="3" t="s">
        <v>10</v>
      </c>
      <c r="K14" s="4"/>
    </row>
    <row r="15" spans="1:16">
      <c r="A15" s="3">
        <v>12</v>
      </c>
      <c r="B15" s="8">
        <v>243725</v>
      </c>
      <c r="C15" s="4" t="s">
        <v>226</v>
      </c>
      <c r="D15" s="4" t="s">
        <v>252</v>
      </c>
      <c r="E15" s="5" t="s">
        <v>24</v>
      </c>
      <c r="F15" s="5" t="s">
        <v>73</v>
      </c>
      <c r="G15" s="3" t="s">
        <v>230</v>
      </c>
      <c r="H15" s="4"/>
      <c r="I15" s="49">
        <v>226.4</v>
      </c>
      <c r="J15" s="3" t="s">
        <v>9</v>
      </c>
    </row>
    <row r="16" spans="1:16">
      <c r="A16" s="3">
        <v>13</v>
      </c>
      <c r="B16" s="8">
        <v>243725</v>
      </c>
      <c r="C16" s="4" t="s">
        <v>227</v>
      </c>
      <c r="D16" s="4" t="s">
        <v>253</v>
      </c>
      <c r="E16" s="5" t="s">
        <v>24</v>
      </c>
      <c r="F16" s="5" t="s">
        <v>73</v>
      </c>
      <c r="G16" s="4" t="s">
        <v>231</v>
      </c>
      <c r="H16" s="4"/>
      <c r="I16" s="49">
        <v>107.08</v>
      </c>
      <c r="J16" s="3" t="s">
        <v>10</v>
      </c>
    </row>
    <row r="17" spans="1:11">
      <c r="A17" s="3">
        <v>14</v>
      </c>
      <c r="B17" s="8">
        <v>243725</v>
      </c>
      <c r="C17" s="4" t="s">
        <v>228</v>
      </c>
      <c r="D17" s="4" t="s">
        <v>255</v>
      </c>
      <c r="E17" s="5" t="s">
        <v>24</v>
      </c>
      <c r="F17" s="5" t="s">
        <v>82</v>
      </c>
      <c r="G17" s="3" t="s">
        <v>234</v>
      </c>
      <c r="H17" s="4" t="s">
        <v>235</v>
      </c>
      <c r="I17" s="49">
        <v>440</v>
      </c>
      <c r="J17" s="3" t="s">
        <v>10</v>
      </c>
    </row>
    <row r="18" spans="1:11">
      <c r="A18" s="3">
        <v>15</v>
      </c>
      <c r="B18" s="8">
        <v>243725</v>
      </c>
      <c r="C18" s="5" t="s">
        <v>229</v>
      </c>
      <c r="D18" s="4" t="s">
        <v>254</v>
      </c>
      <c r="E18" s="5" t="s">
        <v>24</v>
      </c>
      <c r="F18" s="5" t="s">
        <v>73</v>
      </c>
      <c r="G18" s="3" t="s">
        <v>236</v>
      </c>
      <c r="H18" s="4" t="s">
        <v>237</v>
      </c>
      <c r="I18" s="49">
        <v>112.86</v>
      </c>
      <c r="J18" s="3" t="s">
        <v>9</v>
      </c>
    </row>
    <row r="19" spans="1:11">
      <c r="A19" s="3">
        <v>16</v>
      </c>
      <c r="B19" s="8">
        <v>243727</v>
      </c>
      <c r="C19" s="4" t="s">
        <v>261</v>
      </c>
      <c r="D19" s="4" t="s">
        <v>273</v>
      </c>
      <c r="E19" s="5" t="s">
        <v>24</v>
      </c>
      <c r="F19" s="5" t="s">
        <v>78</v>
      </c>
      <c r="G19" s="3" t="s">
        <v>263</v>
      </c>
      <c r="H19" s="3" t="s">
        <v>264</v>
      </c>
      <c r="I19" s="49">
        <v>173.69</v>
      </c>
      <c r="J19" s="3" t="s">
        <v>9</v>
      </c>
    </row>
    <row r="20" spans="1:11">
      <c r="A20" s="3">
        <v>17</v>
      </c>
      <c r="B20" s="8">
        <v>243727</v>
      </c>
      <c r="C20" s="4" t="s">
        <v>262</v>
      </c>
      <c r="D20" s="4" t="s">
        <v>274</v>
      </c>
      <c r="E20" s="5" t="s">
        <v>24</v>
      </c>
      <c r="F20" s="5" t="s">
        <v>78</v>
      </c>
      <c r="G20" s="3" t="s">
        <v>265</v>
      </c>
      <c r="H20" s="3" t="s">
        <v>266</v>
      </c>
      <c r="I20" s="49">
        <v>75.47</v>
      </c>
      <c r="J20" s="3" t="s">
        <v>9</v>
      </c>
    </row>
    <row r="21" spans="1:11">
      <c r="A21" s="3">
        <v>18</v>
      </c>
      <c r="B21" s="8">
        <v>243728</v>
      </c>
      <c r="C21" s="4" t="s">
        <v>276</v>
      </c>
      <c r="D21" s="4" t="s">
        <v>289</v>
      </c>
      <c r="E21" s="5" t="s">
        <v>22</v>
      </c>
      <c r="F21" s="5" t="s">
        <v>73</v>
      </c>
      <c r="G21" s="3" t="s">
        <v>277</v>
      </c>
      <c r="H21" s="3" t="s">
        <v>278</v>
      </c>
      <c r="I21" s="49">
        <v>614.29999999999995</v>
      </c>
      <c r="J21" s="3" t="s">
        <v>10</v>
      </c>
      <c r="K21" s="3" t="s">
        <v>290</v>
      </c>
    </row>
    <row r="22" spans="1:11">
      <c r="A22" s="3">
        <v>19</v>
      </c>
      <c r="B22" s="8">
        <v>243737</v>
      </c>
      <c r="C22" s="4" t="s">
        <v>333</v>
      </c>
      <c r="D22" s="4" t="s">
        <v>333</v>
      </c>
      <c r="E22" s="5" t="s">
        <v>24</v>
      </c>
      <c r="F22" s="5" t="s">
        <v>73</v>
      </c>
      <c r="G22" s="3" t="s">
        <v>335</v>
      </c>
      <c r="H22" s="3" t="s">
        <v>336</v>
      </c>
      <c r="I22" s="49">
        <v>71</v>
      </c>
      <c r="J22" s="3" t="s">
        <v>10</v>
      </c>
    </row>
    <row r="23" spans="1:11">
      <c r="A23" s="3">
        <v>20</v>
      </c>
      <c r="B23" s="8">
        <v>243737</v>
      </c>
      <c r="C23" s="4" t="s">
        <v>334</v>
      </c>
      <c r="D23" s="4" t="s">
        <v>362</v>
      </c>
      <c r="E23" s="5" t="s">
        <v>24</v>
      </c>
      <c r="F23" s="5" t="s">
        <v>73</v>
      </c>
      <c r="G23" s="3" t="s">
        <v>337</v>
      </c>
      <c r="H23" s="3" t="s">
        <v>338</v>
      </c>
      <c r="I23" s="49">
        <v>315.3</v>
      </c>
      <c r="J23" s="3" t="s">
        <v>10</v>
      </c>
      <c r="K23" s="3" t="s">
        <v>290</v>
      </c>
    </row>
    <row r="24" spans="1:11">
      <c r="A24" s="3">
        <v>21</v>
      </c>
      <c r="B24" s="8">
        <v>243738</v>
      </c>
      <c r="C24" s="4" t="s">
        <v>343</v>
      </c>
      <c r="D24" s="4" t="s">
        <v>363</v>
      </c>
      <c r="E24" s="5" t="s">
        <v>24</v>
      </c>
      <c r="F24" s="5" t="s">
        <v>78</v>
      </c>
      <c r="G24" s="3" t="s">
        <v>344</v>
      </c>
      <c r="H24" s="3" t="s">
        <v>345</v>
      </c>
      <c r="I24" s="49">
        <v>179.9</v>
      </c>
      <c r="J24" s="3" t="s">
        <v>10</v>
      </c>
    </row>
    <row r="25" spans="1:11">
      <c r="G25" s="4"/>
      <c r="H25" s="4"/>
      <c r="I25" s="4"/>
      <c r="J25" s="4"/>
    </row>
  </sheetData>
  <autoFilter ref="A3:AN25" xr:uid="{1679A882-3BE8-43A3-822B-826BDED3B85D}"/>
  <mergeCells count="13">
    <mergeCell ref="O2:O3"/>
    <mergeCell ref="P2:P3"/>
    <mergeCell ref="N2:N3"/>
    <mergeCell ref="E2:E3"/>
    <mergeCell ref="F2:F3"/>
    <mergeCell ref="K2:K3"/>
    <mergeCell ref="I2:I3"/>
    <mergeCell ref="A2:A3"/>
    <mergeCell ref="C2:C3"/>
    <mergeCell ref="D2:D3"/>
    <mergeCell ref="J2:J3"/>
    <mergeCell ref="B2:B3"/>
    <mergeCell ref="G2:H2"/>
  </mergeCells>
  <dataValidations count="6">
    <dataValidation type="list" allowBlank="1" showInputMessage="1" showErrorMessage="1" sqref="F8:F9 F1:F5 F14:F18 F21:F23 F26:F1048576" xr:uid="{4C3755F8-DCB1-4274-90F6-F88BDA74BCE2}">
      <formula1>$O$4:$O$13</formula1>
    </dataValidation>
    <dataValidation type="list" allowBlank="1" showInputMessage="1" showErrorMessage="1" sqref="J2:J3 J26:J1048576" xr:uid="{150B485C-0F1F-4EAC-A79B-B7098D1663FC}">
      <formula1>$N$4:$N$14</formula1>
    </dataValidation>
    <dataValidation type="list" allowBlank="1" showInputMessage="1" showErrorMessage="1" sqref="E1:E20 E22:E24 E26:E1048576" xr:uid="{481C2C86-495E-4F80-AFBC-5A41CF787B0E}">
      <formula1>$P$4:$P$13</formula1>
    </dataValidation>
    <dataValidation type="list" allowBlank="1" showInputMessage="1" showErrorMessage="1" sqref="E21" xr:uid="{EE115040-C0FA-467D-BDC1-B9B0A94C81D2}">
      <formula1>$O$4:$O$7</formula1>
    </dataValidation>
    <dataValidation type="list" allowBlank="1" showInputMessage="1" showErrorMessage="1" sqref="J1" xr:uid="{664D505B-3F67-41FF-BD41-B9E0E86F032B}">
      <formula1>$M$4:$M$70</formula1>
    </dataValidation>
    <dataValidation type="list" allowBlank="1" showInputMessage="1" showErrorMessage="1" sqref="J1" xr:uid="{AA3A61AC-407C-4966-A32C-EC0014D7EE1F}">
      <formula1>$M$4:$M$46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E75CA-9FA4-4B32-AC0E-075BEAD46C3C}">
  <sheetPr>
    <tabColor rgb="FFFF6600"/>
  </sheetPr>
  <dimension ref="A1:O22"/>
  <sheetViews>
    <sheetView zoomScaleNormal="100" workbookViewId="0">
      <pane xSplit="4" ySplit="3" topLeftCell="H4" activePane="bottomRight" state="frozen"/>
      <selection pane="topRight" activeCell="E1" sqref="E1"/>
      <selection pane="bottomLeft" activeCell="A4" sqref="A4"/>
      <selection pane="bottomRight" activeCell="H1" sqref="H1:J1"/>
    </sheetView>
  </sheetViews>
  <sheetFormatPr defaultColWidth="9.109375" defaultRowHeight="23.4"/>
  <cols>
    <col min="1" max="1" width="11" style="3" customWidth="1"/>
    <col min="2" max="2" width="25.109375" style="3" bestFit="1" customWidth="1"/>
    <col min="3" max="3" width="21.88671875" style="4" customWidth="1"/>
    <col min="4" max="4" width="17.6640625" style="4" bestFit="1" customWidth="1"/>
    <col min="5" max="5" width="20.33203125" style="4" customWidth="1"/>
    <col min="6" max="6" width="7" style="4" bestFit="1" customWidth="1"/>
    <col min="7" max="7" width="7.88671875" style="3" bestFit="1" customWidth="1"/>
    <col min="8" max="8" width="12.88671875" style="3" bestFit="1" customWidth="1"/>
    <col min="9" max="9" width="12.88671875" style="3" customWidth="1"/>
    <col min="10" max="10" width="23.109375" style="3" bestFit="1" customWidth="1"/>
    <col min="11" max="11" width="9" style="3" bestFit="1" customWidth="1"/>
    <col min="12" max="12" width="9" style="3" customWidth="1"/>
    <col min="13" max="13" width="23.33203125" style="3" bestFit="1" customWidth="1"/>
    <col min="14" max="14" width="7" style="3" bestFit="1" customWidth="1"/>
    <col min="15" max="15" width="19.109375" style="3" bestFit="1" customWidth="1"/>
    <col min="16" max="16384" width="9.109375" style="3"/>
  </cols>
  <sheetData>
    <row r="1" spans="1:15" ht="33" thickBot="1">
      <c r="A1" s="7" t="s">
        <v>97</v>
      </c>
      <c r="H1" s="52" t="s">
        <v>16</v>
      </c>
      <c r="I1" s="51">
        <f>SUBTOTAL(9,I4:I12000)</f>
        <v>935</v>
      </c>
      <c r="J1" s="53" t="s">
        <v>257</v>
      </c>
    </row>
    <row r="2" spans="1:15" s="2" customFormat="1" ht="23.25" customHeight="1" thickTop="1">
      <c r="A2" s="95" t="s">
        <v>0</v>
      </c>
      <c r="B2" s="95" t="s">
        <v>4</v>
      </c>
      <c r="C2" s="96" t="s">
        <v>5</v>
      </c>
      <c r="D2" s="96" t="s">
        <v>2</v>
      </c>
      <c r="E2" s="97" t="s">
        <v>23</v>
      </c>
      <c r="F2" s="97" t="s">
        <v>21</v>
      </c>
      <c r="G2" s="95" t="s">
        <v>1</v>
      </c>
      <c r="H2" s="95"/>
      <c r="I2" s="99" t="s">
        <v>256</v>
      </c>
      <c r="J2" s="95" t="s">
        <v>3</v>
      </c>
      <c r="K2" s="92" t="s">
        <v>20</v>
      </c>
      <c r="M2" s="88" t="s">
        <v>8</v>
      </c>
      <c r="N2" s="88" t="s">
        <v>72</v>
      </c>
      <c r="O2" s="88" t="s">
        <v>83</v>
      </c>
    </row>
    <row r="3" spans="1:15" s="2" customFormat="1" ht="23.25" customHeight="1">
      <c r="A3" s="95"/>
      <c r="B3" s="95"/>
      <c r="C3" s="96"/>
      <c r="D3" s="96"/>
      <c r="E3" s="98"/>
      <c r="F3" s="98"/>
      <c r="G3" s="11" t="s">
        <v>6</v>
      </c>
      <c r="H3" s="11" t="s">
        <v>7</v>
      </c>
      <c r="I3" s="100"/>
      <c r="J3" s="95"/>
      <c r="K3" s="92"/>
      <c r="M3" s="89"/>
      <c r="N3" s="89"/>
      <c r="O3" s="89"/>
    </row>
    <row r="4" spans="1:15">
      <c r="A4" s="3">
        <v>1</v>
      </c>
      <c r="B4" s="8">
        <v>243712</v>
      </c>
      <c r="C4" s="24" t="s">
        <v>100</v>
      </c>
      <c r="D4" s="3" t="s">
        <v>153</v>
      </c>
      <c r="E4" s="5" t="s">
        <v>22</v>
      </c>
      <c r="F4" s="5" t="s">
        <v>84</v>
      </c>
      <c r="G4" s="6"/>
      <c r="H4" s="4"/>
      <c r="I4" s="50">
        <v>144</v>
      </c>
      <c r="J4" s="3" t="s">
        <v>10</v>
      </c>
      <c r="M4" s="9" t="s">
        <v>10</v>
      </c>
      <c r="N4" s="9" t="s">
        <v>84</v>
      </c>
      <c r="O4" s="46" t="s">
        <v>24</v>
      </c>
    </row>
    <row r="5" spans="1:15" ht="23.25" customHeight="1">
      <c r="A5" s="3">
        <v>2</v>
      </c>
      <c r="B5" s="8">
        <v>243718</v>
      </c>
      <c r="C5" s="5" t="s">
        <v>101</v>
      </c>
      <c r="D5" s="4" t="s">
        <v>173</v>
      </c>
      <c r="E5" s="5" t="s">
        <v>22</v>
      </c>
      <c r="F5" s="5" t="s">
        <v>84</v>
      </c>
      <c r="G5" s="6"/>
      <c r="H5" s="4"/>
      <c r="I5" s="50">
        <v>252</v>
      </c>
      <c r="J5" s="3" t="s">
        <v>9</v>
      </c>
      <c r="M5" s="9" t="s">
        <v>9</v>
      </c>
      <c r="N5" s="9" t="s">
        <v>85</v>
      </c>
      <c r="O5" s="47" t="s">
        <v>22</v>
      </c>
    </row>
    <row r="6" spans="1:15" ht="23.25" customHeight="1">
      <c r="A6" s="3">
        <v>3</v>
      </c>
      <c r="B6" s="8">
        <v>243719</v>
      </c>
      <c r="C6" s="4" t="s">
        <v>102</v>
      </c>
      <c r="D6" s="1" t="s">
        <v>174</v>
      </c>
      <c r="E6" s="5" t="s">
        <v>22</v>
      </c>
      <c r="F6" s="5" t="s">
        <v>84</v>
      </c>
      <c r="H6" s="4"/>
      <c r="I6" s="50">
        <v>374</v>
      </c>
      <c r="J6" s="3" t="s">
        <v>9</v>
      </c>
      <c r="M6" s="9" t="s">
        <v>11</v>
      </c>
      <c r="N6" s="9"/>
      <c r="O6" s="46" t="s">
        <v>30</v>
      </c>
    </row>
    <row r="7" spans="1:15">
      <c r="A7" s="3">
        <v>4</v>
      </c>
      <c r="B7" s="8">
        <v>243728</v>
      </c>
      <c r="C7" s="4" t="s">
        <v>275</v>
      </c>
      <c r="D7" s="24" t="s">
        <v>291</v>
      </c>
      <c r="E7" s="5" t="s">
        <v>93</v>
      </c>
      <c r="F7" s="5" t="s">
        <v>85</v>
      </c>
      <c r="H7" s="4"/>
      <c r="I7" s="50">
        <v>165</v>
      </c>
      <c r="J7" s="3" t="s">
        <v>10</v>
      </c>
      <c r="M7" s="9" t="s">
        <v>18</v>
      </c>
      <c r="N7" s="9"/>
      <c r="O7" s="9" t="s">
        <v>93</v>
      </c>
    </row>
    <row r="8" spans="1:15">
      <c r="G8" s="4"/>
      <c r="H8" s="4"/>
      <c r="I8" s="4"/>
      <c r="J8" s="4"/>
    </row>
    <row r="9" spans="1:15">
      <c r="A9" s="43" t="s">
        <v>69</v>
      </c>
      <c r="B9" s="44" t="s">
        <v>71</v>
      </c>
      <c r="C9" s="45"/>
      <c r="H9" s="4"/>
      <c r="I9" s="4"/>
    </row>
    <row r="10" spans="1:15">
      <c r="B10" s="8"/>
      <c r="C10" s="5"/>
      <c r="D10" s="5"/>
      <c r="E10" s="5"/>
      <c r="F10" s="5"/>
      <c r="H10" s="4"/>
      <c r="I10" s="4"/>
    </row>
    <row r="11" spans="1:15">
      <c r="B11" s="8"/>
      <c r="H11" s="4"/>
      <c r="I11" s="4"/>
    </row>
    <row r="12" spans="1:15">
      <c r="B12" s="8"/>
      <c r="H12" s="4"/>
      <c r="I12" s="4"/>
    </row>
    <row r="13" spans="1:15">
      <c r="B13" s="8"/>
    </row>
    <row r="14" spans="1:15">
      <c r="B14" s="8"/>
      <c r="G14" s="4"/>
    </row>
    <row r="15" spans="1:15">
      <c r="B15" s="8"/>
      <c r="C15" s="5"/>
      <c r="D15" s="5"/>
      <c r="E15" s="5"/>
      <c r="F15" s="5"/>
      <c r="H15" s="4"/>
      <c r="I15" s="4"/>
    </row>
    <row r="16" spans="1:15">
      <c r="B16" s="8"/>
      <c r="H16" s="4"/>
      <c r="I16" s="4"/>
    </row>
    <row r="17" spans="2:9">
      <c r="B17" s="8"/>
      <c r="H17" s="4"/>
      <c r="I17" s="4"/>
    </row>
    <row r="18" spans="2:9">
      <c r="B18" s="8"/>
      <c r="C18" s="5"/>
      <c r="D18" s="5"/>
      <c r="E18" s="5"/>
      <c r="F18" s="5"/>
      <c r="H18" s="4"/>
      <c r="I18" s="4"/>
    </row>
    <row r="19" spans="2:9">
      <c r="B19" s="8"/>
      <c r="H19" s="4"/>
      <c r="I19" s="4"/>
    </row>
    <row r="20" spans="2:9">
      <c r="B20" s="8"/>
      <c r="H20" s="4"/>
      <c r="I20" s="4"/>
    </row>
    <row r="21" spans="2:9">
      <c r="B21" s="8"/>
      <c r="C21" s="5"/>
      <c r="D21" s="5"/>
      <c r="E21" s="5"/>
      <c r="F21" s="5"/>
      <c r="H21" s="4"/>
      <c r="I21" s="4"/>
    </row>
    <row r="22" spans="2:9">
      <c r="B22" s="8"/>
      <c r="H22" s="4"/>
      <c r="I22" s="4"/>
    </row>
  </sheetData>
  <autoFilter ref="A3:O3" xr:uid="{F57E75CA-9FA4-4B32-AC0E-075BEAD46C3C}"/>
  <mergeCells count="13">
    <mergeCell ref="N2:N3"/>
    <mergeCell ref="O2:O3"/>
    <mergeCell ref="K2:K3"/>
    <mergeCell ref="M2:M3"/>
    <mergeCell ref="E2:E3"/>
    <mergeCell ref="F2:F3"/>
    <mergeCell ref="J2:J3"/>
    <mergeCell ref="I2:I3"/>
    <mergeCell ref="A2:A3"/>
    <mergeCell ref="B2:B3"/>
    <mergeCell ref="C2:C3"/>
    <mergeCell ref="D2:D3"/>
    <mergeCell ref="G2:H2"/>
  </mergeCells>
  <dataValidations count="5">
    <dataValidation type="list" allowBlank="1" showInputMessage="1" showErrorMessage="1" sqref="J9:J1048576 J2:J7" xr:uid="{209C7868-8AD4-441B-84AE-CCBF623D54AB}">
      <formula1>$M$4:$M$18</formula1>
    </dataValidation>
    <dataValidation type="list" allowBlank="1" showInputMessage="1" showErrorMessage="1" sqref="F1:F7 F9:F1048576" xr:uid="{F8BF9A11-7A30-4122-982D-45BFBB75E7BF}">
      <formula1>$N$4:$N$5</formula1>
    </dataValidation>
    <dataValidation type="list" allowBlank="1" showInputMessage="1" showErrorMessage="1" sqref="E1:E7 E9:E1048576" xr:uid="{F6BEA62E-B817-44C3-AEE6-CDADF3E493E9}">
      <formula1>$O$4:$O$7</formula1>
    </dataValidation>
    <dataValidation type="list" allowBlank="1" showInputMessage="1" showErrorMessage="1" sqref="J1" xr:uid="{DC07A13E-6B60-4582-A91E-0DC9E97EC135}">
      <formula1>$M$4:$M$46</formula1>
    </dataValidation>
    <dataValidation type="list" allowBlank="1" showInputMessage="1" showErrorMessage="1" sqref="J1" xr:uid="{41D98ED1-224A-4267-86F6-90C73A2BE535}">
      <formula1>$M$4:$M$70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E908-8DE2-4FD6-BB7A-1DA67190C67A}">
  <sheetPr>
    <tabColor rgb="FFFF0066"/>
  </sheetPr>
  <dimension ref="A1:O66"/>
  <sheetViews>
    <sheetView zoomScale="70" zoomScaleNormal="70" workbookViewId="0">
      <pane xSplit="4" ySplit="3" topLeftCell="E52" activePane="bottomRight" state="frozen"/>
      <selection pane="topRight" activeCell="E1" sqref="E1"/>
      <selection pane="bottomLeft" activeCell="A4" sqref="A4"/>
      <selection pane="bottomRight" activeCell="H1" sqref="H1:J1"/>
    </sheetView>
  </sheetViews>
  <sheetFormatPr defaultColWidth="9.109375" defaultRowHeight="23.4"/>
  <cols>
    <col min="1" max="1" width="15.5546875" style="3" customWidth="1"/>
    <col min="2" max="2" width="14.109375" style="3" customWidth="1"/>
    <col min="3" max="3" width="19.5546875" style="4" customWidth="1"/>
    <col min="4" max="4" width="20" style="4" customWidth="1"/>
    <col min="5" max="5" width="23.88671875" style="4" customWidth="1"/>
    <col min="6" max="6" width="35.33203125" style="4" customWidth="1"/>
    <col min="7" max="8" width="12.109375" style="3" customWidth="1"/>
    <col min="9" max="9" width="12.109375" style="49" customWidth="1"/>
    <col min="10" max="10" width="26" style="3" customWidth="1"/>
    <col min="11" max="11" width="13.44140625" style="3" bestFit="1" customWidth="1"/>
    <col min="12" max="13" width="26" style="3" customWidth="1"/>
    <col min="14" max="14" width="36" style="3" bestFit="1" customWidth="1"/>
    <col min="15" max="15" width="29.5546875" style="3" customWidth="1"/>
    <col min="16" max="16384" width="9.109375" style="3"/>
  </cols>
  <sheetData>
    <row r="1" spans="1:15" ht="33" thickBot="1">
      <c r="A1" s="7" t="s">
        <v>96</v>
      </c>
      <c r="H1" s="52" t="s">
        <v>16</v>
      </c>
      <c r="I1" s="51">
        <f>SUBTOTAL(9,I4:I12000)</f>
        <v>7603.3899999999994</v>
      </c>
      <c r="J1" s="53" t="s">
        <v>257</v>
      </c>
    </row>
    <row r="2" spans="1:15" s="2" customFormat="1" ht="23.25" customHeight="1" thickTop="1">
      <c r="A2" s="101" t="s">
        <v>0</v>
      </c>
      <c r="B2" s="101" t="s">
        <v>4</v>
      </c>
      <c r="C2" s="102" t="s">
        <v>5</v>
      </c>
      <c r="D2" s="102" t="s">
        <v>2</v>
      </c>
      <c r="E2" s="104" t="s">
        <v>23</v>
      </c>
      <c r="F2" s="104" t="s">
        <v>21</v>
      </c>
      <c r="G2" s="101" t="s">
        <v>1</v>
      </c>
      <c r="H2" s="101"/>
      <c r="I2" s="106" t="s">
        <v>256</v>
      </c>
      <c r="J2" s="101" t="s">
        <v>3</v>
      </c>
      <c r="K2" s="92" t="s">
        <v>20</v>
      </c>
      <c r="M2" s="88" t="s">
        <v>8</v>
      </c>
      <c r="N2" s="88" t="s">
        <v>72</v>
      </c>
      <c r="O2" s="88" t="s">
        <v>83</v>
      </c>
    </row>
    <row r="3" spans="1:15" s="2" customFormat="1" ht="23.25" customHeight="1">
      <c r="A3" s="101"/>
      <c r="B3" s="101"/>
      <c r="C3" s="102"/>
      <c r="D3" s="102"/>
      <c r="E3" s="105"/>
      <c r="F3" s="105"/>
      <c r="G3" s="12" t="s">
        <v>6</v>
      </c>
      <c r="H3" s="12" t="s">
        <v>7</v>
      </c>
      <c r="I3" s="107"/>
      <c r="J3" s="101"/>
      <c r="K3" s="92"/>
      <c r="M3" s="103"/>
      <c r="N3" s="103"/>
      <c r="O3" s="103"/>
    </row>
    <row r="4" spans="1:15">
      <c r="A4" s="3">
        <v>1</v>
      </c>
      <c r="B4" s="8">
        <v>243719</v>
      </c>
      <c r="C4" s="5" t="s">
        <v>175</v>
      </c>
      <c r="D4" s="5" t="s">
        <v>177</v>
      </c>
      <c r="E4" s="5" t="s">
        <v>22</v>
      </c>
      <c r="F4" s="5" t="s">
        <v>86</v>
      </c>
      <c r="G4" s="6"/>
      <c r="H4" s="4"/>
      <c r="I4" s="50">
        <v>72</v>
      </c>
      <c r="J4" s="3" t="s">
        <v>9</v>
      </c>
      <c r="M4" s="9" t="s">
        <v>10</v>
      </c>
      <c r="N4" s="9" t="s">
        <v>86</v>
      </c>
      <c r="O4" s="46" t="s">
        <v>24</v>
      </c>
    </row>
    <row r="5" spans="1:15">
      <c r="A5" s="3">
        <v>2</v>
      </c>
      <c r="B5" s="8">
        <v>243720</v>
      </c>
      <c r="C5" s="5" t="s">
        <v>176</v>
      </c>
      <c r="D5" s="5" t="s">
        <v>178</v>
      </c>
      <c r="E5" s="5" t="s">
        <v>22</v>
      </c>
      <c r="F5" s="5" t="s">
        <v>86</v>
      </c>
      <c r="G5" s="6"/>
      <c r="H5" s="4"/>
      <c r="I5" s="49">
        <v>100</v>
      </c>
      <c r="J5" s="3" t="s">
        <v>9</v>
      </c>
      <c r="M5" s="9" t="s">
        <v>9</v>
      </c>
      <c r="N5" s="9" t="s">
        <v>87</v>
      </c>
      <c r="O5" s="47" t="s">
        <v>22</v>
      </c>
    </row>
    <row r="6" spans="1:15">
      <c r="A6" s="3">
        <v>3</v>
      </c>
      <c r="B6" s="8">
        <v>243721</v>
      </c>
      <c r="C6" s="5" t="s">
        <v>188</v>
      </c>
      <c r="D6" s="5" t="s">
        <v>210</v>
      </c>
      <c r="E6" s="5" t="s">
        <v>91</v>
      </c>
      <c r="F6" s="5" t="s">
        <v>86</v>
      </c>
      <c r="H6" s="4"/>
      <c r="I6" s="49">
        <v>90</v>
      </c>
      <c r="J6" s="3" t="s">
        <v>9</v>
      </c>
      <c r="M6" s="9" t="s">
        <v>11</v>
      </c>
      <c r="N6" s="9" t="s">
        <v>88</v>
      </c>
      <c r="O6" s="46" t="s">
        <v>30</v>
      </c>
    </row>
    <row r="7" spans="1:15">
      <c r="A7" s="3">
        <v>4</v>
      </c>
      <c r="B7" s="8">
        <v>243721</v>
      </c>
      <c r="C7" s="5" t="s">
        <v>189</v>
      </c>
      <c r="D7" s="5" t="s">
        <v>211</v>
      </c>
      <c r="E7" s="5" t="s">
        <v>91</v>
      </c>
      <c r="F7" s="5" t="s">
        <v>86</v>
      </c>
      <c r="H7" s="4"/>
      <c r="I7" s="49">
        <v>100</v>
      </c>
      <c r="J7" s="3" t="s">
        <v>9</v>
      </c>
      <c r="M7" s="9" t="s">
        <v>18</v>
      </c>
      <c r="N7" s="9" t="s">
        <v>89</v>
      </c>
      <c r="O7" s="9" t="s">
        <v>91</v>
      </c>
    </row>
    <row r="8" spans="1:15">
      <c r="A8" s="3">
        <v>5</v>
      </c>
      <c r="B8" s="8">
        <v>243721</v>
      </c>
      <c r="C8" s="4" t="s">
        <v>190</v>
      </c>
      <c r="D8" s="4" t="s">
        <v>212</v>
      </c>
      <c r="E8" s="5" t="s">
        <v>91</v>
      </c>
      <c r="F8" s="5" t="s">
        <v>86</v>
      </c>
      <c r="H8" s="4"/>
      <c r="I8" s="49">
        <v>200</v>
      </c>
      <c r="J8" s="3" t="s">
        <v>10</v>
      </c>
      <c r="M8" s="9"/>
      <c r="N8" s="9" t="s">
        <v>90</v>
      </c>
      <c r="O8" s="9"/>
    </row>
    <row r="9" spans="1:15">
      <c r="A9" s="3">
        <v>6</v>
      </c>
      <c r="B9" s="8">
        <v>243721</v>
      </c>
      <c r="C9" s="4" t="s">
        <v>191</v>
      </c>
      <c r="D9" s="5" t="s">
        <v>213</v>
      </c>
      <c r="E9" s="5" t="s">
        <v>91</v>
      </c>
      <c r="F9" s="5" t="s">
        <v>86</v>
      </c>
      <c r="H9" s="4"/>
      <c r="I9" s="49">
        <v>228</v>
      </c>
      <c r="J9" s="3" t="s">
        <v>10</v>
      </c>
    </row>
    <row r="10" spans="1:15">
      <c r="A10" s="3">
        <v>7</v>
      </c>
      <c r="B10" s="8">
        <v>243721</v>
      </c>
      <c r="C10" s="4" t="s">
        <v>192</v>
      </c>
      <c r="D10" s="5" t="s">
        <v>214</v>
      </c>
      <c r="E10" s="5" t="s">
        <v>91</v>
      </c>
      <c r="F10" s="5" t="s">
        <v>86</v>
      </c>
      <c r="H10" s="4"/>
      <c r="I10" s="49">
        <v>200</v>
      </c>
      <c r="J10" s="3" t="s">
        <v>9</v>
      </c>
    </row>
    <row r="11" spans="1:15">
      <c r="A11" s="3">
        <v>8</v>
      </c>
      <c r="B11" s="8">
        <v>243723</v>
      </c>
      <c r="C11" s="5" t="s">
        <v>193</v>
      </c>
      <c r="D11" s="5" t="s">
        <v>215</v>
      </c>
      <c r="E11" s="5" t="s">
        <v>91</v>
      </c>
      <c r="F11" s="5" t="s">
        <v>86</v>
      </c>
      <c r="G11" s="6"/>
      <c r="H11" s="4"/>
      <c r="I11" s="49">
        <v>141</v>
      </c>
      <c r="J11" s="3" t="s">
        <v>10</v>
      </c>
    </row>
    <row r="12" spans="1:15">
      <c r="A12" s="3">
        <v>9</v>
      </c>
      <c r="B12" s="8">
        <v>243723</v>
      </c>
      <c r="C12" s="5" t="s">
        <v>194</v>
      </c>
      <c r="D12" s="5" t="s">
        <v>216</v>
      </c>
      <c r="E12" s="5" t="s">
        <v>91</v>
      </c>
      <c r="F12" s="5" t="s">
        <v>86</v>
      </c>
      <c r="G12" s="4"/>
      <c r="I12" s="49">
        <v>90</v>
      </c>
      <c r="J12" s="3" t="s">
        <v>10</v>
      </c>
    </row>
    <row r="13" spans="1:15">
      <c r="A13" s="3">
        <v>10</v>
      </c>
      <c r="B13" s="8">
        <v>243723</v>
      </c>
      <c r="C13" s="5" t="s">
        <v>195</v>
      </c>
      <c r="D13" s="5" t="s">
        <v>217</v>
      </c>
      <c r="E13" s="5" t="s">
        <v>91</v>
      </c>
      <c r="F13" s="5" t="s">
        <v>86</v>
      </c>
      <c r="G13" s="4"/>
      <c r="I13" s="49">
        <v>50</v>
      </c>
      <c r="J13" s="3" t="s">
        <v>10</v>
      </c>
    </row>
    <row r="14" spans="1:15">
      <c r="A14" s="3">
        <v>11</v>
      </c>
      <c r="B14" s="8">
        <v>243723</v>
      </c>
      <c r="C14" s="5" t="s">
        <v>196</v>
      </c>
      <c r="D14" s="5" t="s">
        <v>218</v>
      </c>
      <c r="E14" s="5" t="s">
        <v>91</v>
      </c>
      <c r="F14" s="5" t="s">
        <v>86</v>
      </c>
      <c r="G14" s="4"/>
      <c r="I14" s="49">
        <v>156</v>
      </c>
      <c r="J14" s="3" t="s">
        <v>10</v>
      </c>
    </row>
    <row r="15" spans="1:15">
      <c r="A15" s="3">
        <v>12</v>
      </c>
      <c r="B15" s="8">
        <v>243723</v>
      </c>
      <c r="C15" s="5" t="s">
        <v>197</v>
      </c>
      <c r="D15" s="5" t="s">
        <v>219</v>
      </c>
      <c r="E15" s="5" t="s">
        <v>91</v>
      </c>
      <c r="F15" s="5" t="s">
        <v>86</v>
      </c>
      <c r="G15" s="4"/>
      <c r="I15" s="49">
        <v>55</v>
      </c>
      <c r="J15" s="3" t="s">
        <v>9</v>
      </c>
    </row>
    <row r="16" spans="1:15">
      <c r="A16" s="3">
        <v>13</v>
      </c>
      <c r="B16" s="8">
        <v>243723</v>
      </c>
      <c r="C16" s="5" t="s">
        <v>198</v>
      </c>
      <c r="D16" s="5" t="s">
        <v>220</v>
      </c>
      <c r="E16" s="5" t="s">
        <v>91</v>
      </c>
      <c r="F16" s="5" t="s">
        <v>86</v>
      </c>
      <c r="G16" s="4"/>
      <c r="I16" s="49">
        <v>136</v>
      </c>
      <c r="J16" s="3" t="s">
        <v>10</v>
      </c>
    </row>
    <row r="17" spans="1:10" ht="24.75" customHeight="1">
      <c r="A17" s="3">
        <v>14</v>
      </c>
      <c r="B17" s="8">
        <v>243723</v>
      </c>
      <c r="C17" s="5" t="s">
        <v>199</v>
      </c>
      <c r="D17" s="5" t="s">
        <v>221</v>
      </c>
      <c r="E17" s="5" t="s">
        <v>91</v>
      </c>
      <c r="F17" s="5" t="s">
        <v>86</v>
      </c>
      <c r="H17" s="4"/>
      <c r="I17" s="49">
        <v>332</v>
      </c>
      <c r="J17" s="3" t="s">
        <v>9</v>
      </c>
    </row>
    <row r="18" spans="1:10">
      <c r="A18" s="3">
        <v>15</v>
      </c>
      <c r="B18" s="8">
        <v>243723</v>
      </c>
      <c r="C18" s="5" t="s">
        <v>200</v>
      </c>
      <c r="D18" s="5" t="s">
        <v>222</v>
      </c>
      <c r="E18" s="5" t="s">
        <v>91</v>
      </c>
      <c r="F18" s="5" t="s">
        <v>86</v>
      </c>
      <c r="H18" s="4"/>
      <c r="I18" s="49">
        <v>285</v>
      </c>
      <c r="J18" s="3" t="s">
        <v>10</v>
      </c>
    </row>
    <row r="19" spans="1:10">
      <c r="A19" s="3">
        <v>16</v>
      </c>
      <c r="B19" s="8">
        <v>243728</v>
      </c>
      <c r="C19" s="5" t="s">
        <v>279</v>
      </c>
      <c r="D19" s="5" t="s">
        <v>292</v>
      </c>
      <c r="E19" s="5" t="s">
        <v>91</v>
      </c>
      <c r="F19" s="5" t="s">
        <v>86</v>
      </c>
      <c r="H19" s="4"/>
      <c r="I19" s="49">
        <v>90</v>
      </c>
      <c r="J19" s="3" t="s">
        <v>10</v>
      </c>
    </row>
    <row r="20" spans="1:10">
      <c r="A20" s="3">
        <v>17</v>
      </c>
      <c r="B20" s="8">
        <v>243728</v>
      </c>
      <c r="C20" s="5" t="s">
        <v>280</v>
      </c>
      <c r="D20" s="5" t="s">
        <v>293</v>
      </c>
      <c r="E20" s="5" t="s">
        <v>91</v>
      </c>
      <c r="F20" s="5" t="s">
        <v>86</v>
      </c>
      <c r="H20" s="4"/>
      <c r="I20" s="49">
        <v>50</v>
      </c>
      <c r="J20" s="3" t="s">
        <v>10</v>
      </c>
    </row>
    <row r="21" spans="1:10">
      <c r="A21" s="3">
        <v>18</v>
      </c>
      <c r="B21" s="8">
        <v>243728</v>
      </c>
      <c r="C21" s="5" t="s">
        <v>281</v>
      </c>
      <c r="D21" s="5" t="s">
        <v>294</v>
      </c>
      <c r="E21" s="5" t="s">
        <v>91</v>
      </c>
      <c r="F21" s="5" t="s">
        <v>86</v>
      </c>
      <c r="H21" s="4"/>
      <c r="I21" s="49">
        <v>85</v>
      </c>
      <c r="J21" s="3" t="s">
        <v>10</v>
      </c>
    </row>
    <row r="22" spans="1:10">
      <c r="A22" s="3">
        <v>19</v>
      </c>
      <c r="B22" s="8">
        <v>243728</v>
      </c>
      <c r="C22" s="5" t="s">
        <v>282</v>
      </c>
      <c r="D22" s="5" t="s">
        <v>295</v>
      </c>
      <c r="E22" s="5" t="s">
        <v>91</v>
      </c>
      <c r="F22" s="5" t="s">
        <v>86</v>
      </c>
      <c r="H22" s="4"/>
      <c r="I22" s="49">
        <v>75</v>
      </c>
      <c r="J22" s="3" t="s">
        <v>10</v>
      </c>
    </row>
    <row r="23" spans="1:10">
      <c r="A23" s="3">
        <v>20</v>
      </c>
      <c r="B23" s="8">
        <v>243728</v>
      </c>
      <c r="C23" s="5" t="s">
        <v>283</v>
      </c>
      <c r="D23" s="5" t="s">
        <v>296</v>
      </c>
      <c r="E23" s="5" t="s">
        <v>91</v>
      </c>
      <c r="F23" s="5" t="s">
        <v>86</v>
      </c>
      <c r="H23" s="4"/>
      <c r="I23" s="49">
        <v>135</v>
      </c>
      <c r="J23" s="3" t="s">
        <v>9</v>
      </c>
    </row>
    <row r="24" spans="1:10">
      <c r="A24" s="3">
        <v>21</v>
      </c>
      <c r="B24" s="8">
        <v>243728</v>
      </c>
      <c r="C24" s="5" t="s">
        <v>284</v>
      </c>
      <c r="D24" s="5" t="s">
        <v>297</v>
      </c>
      <c r="E24" s="5" t="s">
        <v>91</v>
      </c>
      <c r="F24" s="5" t="s">
        <v>86</v>
      </c>
      <c r="H24" s="4"/>
      <c r="I24" s="49">
        <v>141</v>
      </c>
      <c r="J24" s="3" t="s">
        <v>9</v>
      </c>
    </row>
    <row r="25" spans="1:10">
      <c r="A25" s="3">
        <v>22</v>
      </c>
      <c r="B25" s="8">
        <v>243728</v>
      </c>
      <c r="C25" s="5" t="s">
        <v>285</v>
      </c>
      <c r="D25" s="5" t="s">
        <v>298</v>
      </c>
      <c r="E25" s="5" t="s">
        <v>91</v>
      </c>
      <c r="F25" s="5" t="s">
        <v>86</v>
      </c>
      <c r="H25" s="4"/>
      <c r="I25" s="49">
        <v>141</v>
      </c>
      <c r="J25" s="3" t="s">
        <v>10</v>
      </c>
    </row>
    <row r="26" spans="1:10">
      <c r="A26" s="3">
        <v>23</v>
      </c>
      <c r="B26" s="8">
        <v>243728</v>
      </c>
      <c r="C26" s="5" t="s">
        <v>286</v>
      </c>
      <c r="D26" s="5" t="s">
        <v>299</v>
      </c>
      <c r="E26" s="5" t="s">
        <v>91</v>
      </c>
      <c r="F26" s="5" t="s">
        <v>86</v>
      </c>
      <c r="H26" s="4"/>
      <c r="I26" s="49">
        <v>129</v>
      </c>
      <c r="J26" s="3" t="s">
        <v>9</v>
      </c>
    </row>
    <row r="27" spans="1:10">
      <c r="A27" s="3">
        <v>24</v>
      </c>
      <c r="B27" s="8">
        <v>243728</v>
      </c>
      <c r="C27" s="5" t="s">
        <v>287</v>
      </c>
      <c r="D27" s="5" t="s">
        <v>300</v>
      </c>
      <c r="E27" s="5" t="s">
        <v>91</v>
      </c>
      <c r="F27" s="5" t="s">
        <v>86</v>
      </c>
      <c r="H27" s="4"/>
      <c r="I27" s="49">
        <v>145</v>
      </c>
      <c r="J27" s="3" t="s">
        <v>10</v>
      </c>
    </row>
    <row r="28" spans="1:10">
      <c r="A28" s="3">
        <v>25</v>
      </c>
      <c r="B28" s="8">
        <v>243728</v>
      </c>
      <c r="C28" s="5" t="s">
        <v>288</v>
      </c>
      <c r="D28" s="5" t="s">
        <v>301</v>
      </c>
      <c r="E28" s="5" t="s">
        <v>91</v>
      </c>
      <c r="F28" s="5" t="s">
        <v>86</v>
      </c>
      <c r="H28" s="4"/>
      <c r="I28" s="49">
        <v>125</v>
      </c>
      <c r="J28" s="3" t="s">
        <v>10</v>
      </c>
    </row>
    <row r="29" spans="1:10">
      <c r="A29" s="3">
        <v>26</v>
      </c>
      <c r="B29" s="8">
        <v>243732</v>
      </c>
      <c r="C29" s="5" t="s">
        <v>303</v>
      </c>
      <c r="D29" s="5" t="s">
        <v>364</v>
      </c>
      <c r="E29" s="5" t="s">
        <v>91</v>
      </c>
      <c r="F29" s="5" t="s">
        <v>86</v>
      </c>
      <c r="H29" s="4"/>
      <c r="I29" s="49">
        <v>80</v>
      </c>
      <c r="J29" s="3" t="s">
        <v>9</v>
      </c>
    </row>
    <row r="30" spans="1:10">
      <c r="A30" s="3">
        <v>27</v>
      </c>
      <c r="B30" s="8">
        <v>243732</v>
      </c>
      <c r="C30" s="5" t="s">
        <v>304</v>
      </c>
      <c r="D30" s="5" t="s">
        <v>365</v>
      </c>
      <c r="E30" s="5" t="s">
        <v>91</v>
      </c>
      <c r="F30" s="5" t="s">
        <v>86</v>
      </c>
      <c r="H30" s="4"/>
      <c r="I30" s="49">
        <v>87.5</v>
      </c>
      <c r="J30" s="3" t="s">
        <v>9</v>
      </c>
    </row>
    <row r="31" spans="1:10">
      <c r="A31" s="3">
        <v>28</v>
      </c>
      <c r="B31" s="8">
        <v>243732</v>
      </c>
      <c r="C31" s="5" t="s">
        <v>305</v>
      </c>
      <c r="D31" s="5" t="s">
        <v>366</v>
      </c>
      <c r="E31" s="5" t="s">
        <v>91</v>
      </c>
      <c r="F31" s="5" t="s">
        <v>86</v>
      </c>
      <c r="H31" s="4"/>
      <c r="I31" s="49">
        <v>173</v>
      </c>
      <c r="J31" s="3" t="s">
        <v>10</v>
      </c>
    </row>
    <row r="32" spans="1:10">
      <c r="A32" s="3">
        <v>29</v>
      </c>
      <c r="B32" s="8">
        <v>243732</v>
      </c>
      <c r="C32" s="5" t="s">
        <v>306</v>
      </c>
      <c r="D32" s="5" t="s">
        <v>367</v>
      </c>
      <c r="E32" s="5" t="s">
        <v>91</v>
      </c>
      <c r="F32" s="5" t="s">
        <v>86</v>
      </c>
      <c r="H32" s="4"/>
      <c r="I32" s="49">
        <v>141</v>
      </c>
      <c r="J32" s="3" t="s">
        <v>10</v>
      </c>
    </row>
    <row r="33" spans="1:10">
      <c r="A33" s="3">
        <v>30</v>
      </c>
      <c r="B33" s="8">
        <v>243732</v>
      </c>
      <c r="C33" s="5" t="s">
        <v>307</v>
      </c>
      <c r="D33" s="5" t="s">
        <v>368</v>
      </c>
      <c r="E33" s="5" t="s">
        <v>91</v>
      </c>
      <c r="F33" s="5" t="s">
        <v>86</v>
      </c>
      <c r="H33" s="4"/>
      <c r="I33" s="49">
        <v>141</v>
      </c>
      <c r="J33" s="3" t="s">
        <v>10</v>
      </c>
    </row>
    <row r="34" spans="1:10">
      <c r="A34" s="3">
        <v>31</v>
      </c>
      <c r="B34" s="8">
        <v>243732</v>
      </c>
      <c r="C34" s="5" t="s">
        <v>308</v>
      </c>
      <c r="D34" s="5" t="s">
        <v>369</v>
      </c>
      <c r="E34" s="5" t="s">
        <v>91</v>
      </c>
      <c r="F34" s="5" t="s">
        <v>86</v>
      </c>
      <c r="H34" s="4"/>
      <c r="I34" s="49">
        <v>121.89</v>
      </c>
      <c r="J34" s="3" t="s">
        <v>9</v>
      </c>
    </row>
    <row r="35" spans="1:10">
      <c r="A35" s="3">
        <v>32</v>
      </c>
      <c r="B35" s="8">
        <v>243732</v>
      </c>
      <c r="C35" s="5" t="s">
        <v>309</v>
      </c>
      <c r="D35" s="5" t="s">
        <v>370</v>
      </c>
      <c r="E35" s="5" t="s">
        <v>91</v>
      </c>
      <c r="F35" s="5" t="s">
        <v>86</v>
      </c>
      <c r="H35" s="4"/>
      <c r="I35" s="49">
        <v>141</v>
      </c>
      <c r="J35" s="3" t="s">
        <v>10</v>
      </c>
    </row>
    <row r="36" spans="1:10">
      <c r="A36" s="3">
        <v>33</v>
      </c>
      <c r="B36" s="8">
        <v>243732</v>
      </c>
      <c r="C36" s="5" t="s">
        <v>310</v>
      </c>
      <c r="D36" s="5" t="s">
        <v>371</v>
      </c>
      <c r="E36" s="5" t="s">
        <v>91</v>
      </c>
      <c r="F36" s="5" t="s">
        <v>86</v>
      </c>
      <c r="H36" s="4"/>
      <c r="I36" s="49">
        <v>180</v>
      </c>
      <c r="J36" s="3" t="s">
        <v>10</v>
      </c>
    </row>
    <row r="37" spans="1:10">
      <c r="A37" s="3">
        <v>34</v>
      </c>
      <c r="B37" s="8">
        <v>243732</v>
      </c>
      <c r="C37" s="5" t="s">
        <v>311</v>
      </c>
      <c r="D37" s="5" t="s">
        <v>372</v>
      </c>
      <c r="E37" s="5" t="s">
        <v>91</v>
      </c>
      <c r="F37" s="5" t="s">
        <v>86</v>
      </c>
      <c r="H37" s="4"/>
      <c r="I37" s="49">
        <v>141</v>
      </c>
      <c r="J37" s="3" t="s">
        <v>10</v>
      </c>
    </row>
    <row r="38" spans="1:10">
      <c r="A38" s="3">
        <v>35</v>
      </c>
      <c r="B38" s="8">
        <v>243732</v>
      </c>
      <c r="C38" s="5" t="s">
        <v>312</v>
      </c>
      <c r="D38" s="5" t="s">
        <v>373</v>
      </c>
      <c r="E38" s="5" t="s">
        <v>91</v>
      </c>
      <c r="F38" s="5" t="s">
        <v>86</v>
      </c>
      <c r="H38" s="4"/>
      <c r="I38" s="49">
        <v>50</v>
      </c>
      <c r="J38" s="3" t="s">
        <v>10</v>
      </c>
    </row>
    <row r="39" spans="1:10">
      <c r="A39" s="3">
        <v>36</v>
      </c>
      <c r="B39" s="8">
        <v>243732</v>
      </c>
      <c r="C39" s="5" t="s">
        <v>313</v>
      </c>
      <c r="D39" s="5" t="s">
        <v>374</v>
      </c>
      <c r="E39" s="5" t="s">
        <v>91</v>
      </c>
      <c r="F39" s="5" t="s">
        <v>86</v>
      </c>
      <c r="H39" s="4"/>
      <c r="I39" s="49">
        <v>141</v>
      </c>
      <c r="J39" s="3" t="s">
        <v>9</v>
      </c>
    </row>
    <row r="40" spans="1:10">
      <c r="A40" s="3">
        <v>37</v>
      </c>
      <c r="B40" s="8">
        <v>243732</v>
      </c>
      <c r="C40" s="5" t="s">
        <v>314</v>
      </c>
      <c r="D40" s="5" t="s">
        <v>375</v>
      </c>
      <c r="E40" s="5" t="s">
        <v>91</v>
      </c>
      <c r="F40" s="5" t="s">
        <v>86</v>
      </c>
      <c r="H40" s="4"/>
      <c r="I40" s="49">
        <v>141</v>
      </c>
      <c r="J40" s="3" t="s">
        <v>9</v>
      </c>
    </row>
    <row r="41" spans="1:10">
      <c r="A41" s="3">
        <v>38</v>
      </c>
      <c r="B41" s="8">
        <v>243732</v>
      </c>
      <c r="C41" s="5" t="s">
        <v>315</v>
      </c>
      <c r="D41" s="5" t="s">
        <v>403</v>
      </c>
      <c r="E41" s="5" t="s">
        <v>91</v>
      </c>
      <c r="F41" s="5" t="s">
        <v>87</v>
      </c>
      <c r="H41" s="4"/>
      <c r="I41" s="49">
        <v>189</v>
      </c>
      <c r="J41" s="3" t="s">
        <v>9</v>
      </c>
    </row>
    <row r="42" spans="1:10">
      <c r="A42" s="3">
        <v>39</v>
      </c>
      <c r="B42" s="8">
        <v>243732</v>
      </c>
      <c r="C42" s="5" t="s">
        <v>316</v>
      </c>
      <c r="D42" s="5" t="s">
        <v>376</v>
      </c>
      <c r="E42" s="5" t="s">
        <v>91</v>
      </c>
      <c r="F42" s="5" t="s">
        <v>86</v>
      </c>
      <c r="H42" s="4"/>
      <c r="I42" s="49">
        <v>180</v>
      </c>
      <c r="J42" s="3" t="s">
        <v>10</v>
      </c>
    </row>
    <row r="43" spans="1:10" ht="23.25" customHeight="1">
      <c r="A43" s="3">
        <v>40</v>
      </c>
      <c r="B43" s="8">
        <v>243732</v>
      </c>
      <c r="C43" s="5" t="s">
        <v>317</v>
      </c>
      <c r="D43" s="5" t="s">
        <v>391</v>
      </c>
      <c r="E43" s="5" t="s">
        <v>91</v>
      </c>
      <c r="F43" s="5" t="s">
        <v>87</v>
      </c>
      <c r="H43" s="4"/>
      <c r="I43" s="49">
        <v>250</v>
      </c>
      <c r="J43" s="3" t="s">
        <v>9</v>
      </c>
    </row>
    <row r="44" spans="1:10">
      <c r="A44" s="3">
        <v>41</v>
      </c>
      <c r="B44" s="8">
        <v>243732</v>
      </c>
      <c r="C44" s="5" t="s">
        <v>318</v>
      </c>
      <c r="D44" s="5" t="s">
        <v>377</v>
      </c>
      <c r="E44" s="5" t="s">
        <v>91</v>
      </c>
      <c r="F44" s="5" t="s">
        <v>86</v>
      </c>
      <c r="H44" s="4"/>
      <c r="I44" s="49">
        <v>240</v>
      </c>
      <c r="J44" s="3" t="s">
        <v>10</v>
      </c>
    </row>
    <row r="45" spans="1:10">
      <c r="A45" s="3">
        <v>42</v>
      </c>
      <c r="B45" s="8">
        <v>243734</v>
      </c>
      <c r="C45" s="5" t="s">
        <v>321</v>
      </c>
      <c r="D45" s="5" t="s">
        <v>378</v>
      </c>
      <c r="E45" s="5" t="s">
        <v>91</v>
      </c>
      <c r="F45" s="5" t="s">
        <v>86</v>
      </c>
      <c r="H45" s="4"/>
      <c r="I45" s="49">
        <v>50</v>
      </c>
      <c r="J45" s="3" t="s">
        <v>10</v>
      </c>
    </row>
    <row r="46" spans="1:10">
      <c r="A46" s="3">
        <v>43</v>
      </c>
      <c r="B46" s="8">
        <v>243734</v>
      </c>
      <c r="C46" s="5" t="s">
        <v>322</v>
      </c>
      <c r="D46" s="5" t="s">
        <v>379</v>
      </c>
      <c r="E46" s="5" t="s">
        <v>91</v>
      </c>
      <c r="F46" s="5" t="s">
        <v>86</v>
      </c>
      <c r="H46" s="4"/>
      <c r="I46" s="49">
        <v>50</v>
      </c>
      <c r="J46" s="3" t="s">
        <v>10</v>
      </c>
    </row>
    <row r="47" spans="1:10">
      <c r="A47" s="3">
        <v>44</v>
      </c>
      <c r="B47" s="8">
        <v>243734</v>
      </c>
      <c r="C47" s="5" t="s">
        <v>323</v>
      </c>
      <c r="D47" s="5" t="s">
        <v>380</v>
      </c>
      <c r="E47" s="5" t="s">
        <v>91</v>
      </c>
      <c r="F47" s="5" t="s">
        <v>86</v>
      </c>
      <c r="H47" s="4"/>
      <c r="I47" s="49">
        <v>141</v>
      </c>
      <c r="J47" s="3" t="s">
        <v>10</v>
      </c>
    </row>
    <row r="48" spans="1:10">
      <c r="A48" s="3">
        <v>45</v>
      </c>
      <c r="B48" s="8">
        <v>243734</v>
      </c>
      <c r="C48" s="4" t="s">
        <v>324</v>
      </c>
      <c r="D48" s="4" t="s">
        <v>381</v>
      </c>
      <c r="E48" s="5" t="s">
        <v>91</v>
      </c>
      <c r="F48" s="5" t="s">
        <v>86</v>
      </c>
      <c r="H48" s="4"/>
      <c r="I48" s="49">
        <v>141</v>
      </c>
      <c r="J48" s="3" t="s">
        <v>10</v>
      </c>
    </row>
    <row r="49" spans="1:12">
      <c r="A49" s="3">
        <v>46</v>
      </c>
      <c r="B49" s="8">
        <v>243734</v>
      </c>
      <c r="C49" s="45" t="s">
        <v>325</v>
      </c>
      <c r="D49" s="4" t="s">
        <v>382</v>
      </c>
      <c r="E49" s="5" t="s">
        <v>91</v>
      </c>
      <c r="F49" s="5" t="s">
        <v>86</v>
      </c>
      <c r="H49" s="4"/>
      <c r="I49" s="49">
        <v>185</v>
      </c>
      <c r="J49" s="3" t="s">
        <v>10</v>
      </c>
    </row>
    <row r="50" spans="1:12">
      <c r="A50" s="3">
        <v>47</v>
      </c>
      <c r="B50" s="8">
        <v>243734</v>
      </c>
      <c r="C50" s="4" t="s">
        <v>326</v>
      </c>
      <c r="D50" s="4" t="s">
        <v>383</v>
      </c>
      <c r="E50" s="5" t="s">
        <v>22</v>
      </c>
      <c r="F50" s="5" t="s">
        <v>86</v>
      </c>
      <c r="H50" s="4"/>
      <c r="I50" s="49">
        <v>141</v>
      </c>
      <c r="J50" s="3" t="s">
        <v>9</v>
      </c>
    </row>
    <row r="51" spans="1:12">
      <c r="A51" s="3">
        <v>48</v>
      </c>
      <c r="B51" s="8">
        <v>243734</v>
      </c>
      <c r="C51" s="4" t="s">
        <v>327</v>
      </c>
      <c r="D51" s="4" t="s">
        <v>384</v>
      </c>
      <c r="E51" s="5" t="s">
        <v>22</v>
      </c>
      <c r="F51" s="5" t="s">
        <v>86</v>
      </c>
      <c r="G51" s="4"/>
      <c r="I51" s="49">
        <v>244</v>
      </c>
      <c r="J51" s="3" t="s">
        <v>9</v>
      </c>
    </row>
    <row r="52" spans="1:12">
      <c r="A52" s="3">
        <v>49</v>
      </c>
      <c r="B52" s="8">
        <v>243734</v>
      </c>
      <c r="C52" s="5" t="s">
        <v>328</v>
      </c>
      <c r="D52" s="5" t="s">
        <v>385</v>
      </c>
      <c r="E52" s="5" t="s">
        <v>91</v>
      </c>
      <c r="F52" s="5" t="s">
        <v>86</v>
      </c>
      <c r="H52" s="4"/>
      <c r="I52" s="49">
        <v>154</v>
      </c>
      <c r="J52" s="3" t="s">
        <v>10</v>
      </c>
    </row>
    <row r="53" spans="1:12">
      <c r="A53" s="3">
        <v>50</v>
      </c>
      <c r="B53" s="8">
        <v>243734</v>
      </c>
      <c r="C53" s="4" t="s">
        <v>329</v>
      </c>
      <c r="D53" s="4" t="s">
        <v>386</v>
      </c>
      <c r="E53" s="5" t="s">
        <v>91</v>
      </c>
      <c r="F53" s="5" t="s">
        <v>86</v>
      </c>
      <c r="H53" s="4"/>
      <c r="I53" s="49">
        <v>67</v>
      </c>
      <c r="J53" s="3" t="s">
        <v>10</v>
      </c>
    </row>
    <row r="54" spans="1:12">
      <c r="A54" s="3">
        <v>51</v>
      </c>
      <c r="B54" s="8">
        <v>243734</v>
      </c>
      <c r="C54" s="4" t="s">
        <v>330</v>
      </c>
      <c r="D54" s="4" t="s">
        <v>387</v>
      </c>
      <c r="E54" s="5" t="s">
        <v>91</v>
      </c>
      <c r="F54" s="5" t="s">
        <v>86</v>
      </c>
      <c r="H54" s="8"/>
      <c r="I54" s="49">
        <v>141</v>
      </c>
      <c r="J54" s="3" t="s">
        <v>10</v>
      </c>
      <c r="K54" s="4"/>
      <c r="L54" s="4"/>
    </row>
    <row r="55" spans="1:12">
      <c r="A55" s="3">
        <v>52</v>
      </c>
      <c r="B55" s="8">
        <v>243734</v>
      </c>
      <c r="C55" s="4" t="s">
        <v>331</v>
      </c>
      <c r="D55" s="4" t="s">
        <v>388</v>
      </c>
      <c r="E55" s="5" t="s">
        <v>91</v>
      </c>
      <c r="F55" s="5" t="s">
        <v>86</v>
      </c>
      <c r="H55" s="8"/>
      <c r="I55" s="49">
        <v>141</v>
      </c>
      <c r="J55" s="3" t="s">
        <v>9</v>
      </c>
    </row>
    <row r="56" spans="1:12">
      <c r="A56" s="3">
        <v>53</v>
      </c>
      <c r="B56" s="8">
        <v>243734</v>
      </c>
      <c r="C56" s="4" t="s">
        <v>332</v>
      </c>
      <c r="D56" s="4" t="s">
        <v>389</v>
      </c>
      <c r="E56" s="5" t="s">
        <v>91</v>
      </c>
      <c r="F56" s="5" t="s">
        <v>86</v>
      </c>
      <c r="H56" s="4"/>
      <c r="I56" s="49">
        <v>220</v>
      </c>
      <c r="J56" s="3" t="s">
        <v>10</v>
      </c>
    </row>
    <row r="57" spans="1:12">
      <c r="A57" s="3">
        <v>54</v>
      </c>
      <c r="B57" s="8">
        <v>243737</v>
      </c>
      <c r="C57" s="4" t="s">
        <v>339</v>
      </c>
      <c r="D57" s="4" t="s">
        <v>390</v>
      </c>
      <c r="E57" s="5" t="s">
        <v>91</v>
      </c>
      <c r="F57" s="5" t="s">
        <v>86</v>
      </c>
      <c r="H57" s="4"/>
      <c r="I57" s="49">
        <v>180</v>
      </c>
      <c r="J57" s="3" t="s">
        <v>10</v>
      </c>
    </row>
    <row r="58" spans="1:12">
      <c r="A58" s="3">
        <v>55</v>
      </c>
      <c r="B58" s="8">
        <v>243738</v>
      </c>
      <c r="C58" s="5" t="s">
        <v>346</v>
      </c>
      <c r="H58" s="4"/>
      <c r="J58" s="3" t="s">
        <v>10</v>
      </c>
    </row>
    <row r="59" spans="1:12">
      <c r="B59" s="8"/>
      <c r="I59" s="3"/>
    </row>
    <row r="60" spans="1:12">
      <c r="B60" s="8"/>
      <c r="F60" s="5"/>
      <c r="H60" s="4"/>
    </row>
    <row r="61" spans="1:12">
      <c r="B61" s="8"/>
      <c r="H61" s="4"/>
    </row>
    <row r="62" spans="1:12">
      <c r="B62" s="8"/>
    </row>
    <row r="66" spans="1:2">
      <c r="A66" s="43" t="s">
        <v>69</v>
      </c>
      <c r="B66" s="44" t="s">
        <v>70</v>
      </c>
    </row>
  </sheetData>
  <autoFilter ref="A3:O59" xr:uid="{2EE7E908-8DE2-4FD6-BB7A-1DA67190C67A}"/>
  <mergeCells count="13">
    <mergeCell ref="N2:N3"/>
    <mergeCell ref="O2:O3"/>
    <mergeCell ref="M2:M3"/>
    <mergeCell ref="F2:F3"/>
    <mergeCell ref="E2:E3"/>
    <mergeCell ref="K2:K3"/>
    <mergeCell ref="J2:J3"/>
    <mergeCell ref="I2:I3"/>
    <mergeCell ref="A2:A3"/>
    <mergeCell ref="B2:B3"/>
    <mergeCell ref="C2:C3"/>
    <mergeCell ref="D2:D3"/>
    <mergeCell ref="G2:H2"/>
  </mergeCells>
  <dataValidations count="5">
    <dataValidation type="list" allowBlank="1" showInputMessage="1" showErrorMessage="1" sqref="J2:J3 J60:J1048576" xr:uid="{19676AA6-3E83-4AA3-B902-B140BCCFDBF8}">
      <formula1>$M$4:$M$57</formula1>
    </dataValidation>
    <dataValidation type="list" allowBlank="1" showInputMessage="1" showErrorMessage="1" sqref="L54 E1:E1048576" xr:uid="{C876B902-3CDF-4B09-8F5D-F790F4B7B977}">
      <formula1>$O$4:$O$8</formula1>
    </dataValidation>
    <dataValidation type="list" allowBlank="1" showInputMessage="1" showErrorMessage="1" sqref="F1:F1048576" xr:uid="{3D84178C-9B6E-44F9-B7C4-88E6DBE1C413}">
      <formula1>$N$4:$N$8</formula1>
    </dataValidation>
    <dataValidation type="list" allowBlank="1" showInputMessage="1" showErrorMessage="1" sqref="J1" xr:uid="{ECF14700-4A3B-4E6E-BC0B-87462AD78C29}">
      <formula1>$M$4:$M$70</formula1>
    </dataValidation>
    <dataValidation type="list" allowBlank="1" showInputMessage="1" showErrorMessage="1" sqref="J1" xr:uid="{56A7627C-F366-4D99-98C5-D5A659AB12EA}">
      <formula1>$M$4:$M$46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0EBCA-1D2A-4602-883D-0120B5DC9240}">
  <sheetPr>
    <tabColor rgb="FF00FF99"/>
  </sheetPr>
  <dimension ref="A1:R32"/>
  <sheetViews>
    <sheetView zoomScale="70" zoomScaleNormal="70" workbookViewId="0">
      <pane xSplit="3" ySplit="3" topLeftCell="D22" activePane="bottomRight" state="frozen"/>
      <selection pane="topRight" activeCell="D1" sqref="D1"/>
      <selection pane="bottomLeft" activeCell="A4" sqref="A4"/>
      <selection pane="bottomRight" activeCell="J32" sqref="J32"/>
    </sheetView>
  </sheetViews>
  <sheetFormatPr defaultColWidth="9.109375" defaultRowHeight="23.4"/>
  <cols>
    <col min="1" max="1" width="12.5546875" style="3" customWidth="1"/>
    <col min="2" max="2" width="11.33203125" style="3" bestFit="1" customWidth="1"/>
    <col min="3" max="3" width="19.6640625" style="4" customWidth="1"/>
    <col min="4" max="4" width="21.109375" style="4" bestFit="1" customWidth="1"/>
    <col min="5" max="5" width="23.88671875" style="4" customWidth="1"/>
    <col min="6" max="6" width="24.33203125" style="4" customWidth="1"/>
    <col min="7" max="8" width="15.33203125" style="3" customWidth="1"/>
    <col min="9" max="9" width="15.33203125" style="49" customWidth="1"/>
    <col min="10" max="10" width="45.88671875" style="3" bestFit="1" customWidth="1"/>
    <col min="11" max="11" width="20.109375" style="3" bestFit="1" customWidth="1"/>
    <col min="12" max="12" width="12" style="3" customWidth="1"/>
    <col min="13" max="13" width="45.88671875" style="3" bestFit="1" customWidth="1"/>
    <col min="14" max="14" width="29.33203125" style="3" customWidth="1"/>
    <col min="15" max="15" width="29.44140625" style="3" customWidth="1"/>
    <col min="16" max="18" width="36.109375" style="3" customWidth="1"/>
    <col min="19" max="16384" width="9.109375" style="3"/>
  </cols>
  <sheetData>
    <row r="1" spans="1:18" ht="33" thickBot="1">
      <c r="A1" s="7" t="s">
        <v>95</v>
      </c>
      <c r="H1" s="52" t="s">
        <v>16</v>
      </c>
      <c r="I1" s="51">
        <f>SUBTOTAL(9,I4:I12000)</f>
        <v>14211</v>
      </c>
      <c r="J1" s="53" t="s">
        <v>257</v>
      </c>
    </row>
    <row r="2" spans="1:18" s="2" customFormat="1" ht="27" thickTop="1">
      <c r="A2" s="108" t="s">
        <v>0</v>
      </c>
      <c r="B2" s="108" t="s">
        <v>4</v>
      </c>
      <c r="C2" s="109" t="s">
        <v>5</v>
      </c>
      <c r="D2" s="109" t="s">
        <v>2</v>
      </c>
      <c r="E2" s="110" t="s">
        <v>23</v>
      </c>
      <c r="F2" s="110" t="s">
        <v>21</v>
      </c>
      <c r="G2" s="108" t="s">
        <v>1</v>
      </c>
      <c r="H2" s="108"/>
      <c r="I2" s="112" t="s">
        <v>256</v>
      </c>
      <c r="J2" s="108" t="s">
        <v>3</v>
      </c>
      <c r="K2" s="92" t="s">
        <v>20</v>
      </c>
      <c r="M2" s="88" t="s">
        <v>8</v>
      </c>
      <c r="N2" s="88" t="s">
        <v>21</v>
      </c>
      <c r="O2" s="88" t="s">
        <v>83</v>
      </c>
    </row>
    <row r="3" spans="1:18" s="2" customFormat="1" ht="26.4">
      <c r="A3" s="108"/>
      <c r="B3" s="108"/>
      <c r="C3" s="109"/>
      <c r="D3" s="109"/>
      <c r="E3" s="111"/>
      <c r="F3" s="111"/>
      <c r="G3" s="15" t="s">
        <v>6</v>
      </c>
      <c r="H3" s="15" t="s">
        <v>7</v>
      </c>
      <c r="I3" s="113"/>
      <c r="J3" s="108"/>
      <c r="K3" s="92"/>
      <c r="M3" s="103"/>
      <c r="N3" s="103"/>
      <c r="O3" s="103"/>
    </row>
    <row r="4" spans="1:18">
      <c r="A4" s="3">
        <v>1</v>
      </c>
      <c r="B4" s="4" t="s">
        <v>136</v>
      </c>
      <c r="C4" s="4" t="s">
        <v>154</v>
      </c>
      <c r="D4" s="1" t="s">
        <v>124</v>
      </c>
      <c r="E4" s="5" t="s">
        <v>92</v>
      </c>
      <c r="F4" s="5" t="s">
        <v>25</v>
      </c>
      <c r="G4" s="1" t="s">
        <v>155</v>
      </c>
      <c r="H4" s="1" t="s">
        <v>137</v>
      </c>
      <c r="I4" s="50">
        <v>430</v>
      </c>
      <c r="J4" s="3" t="s">
        <v>10</v>
      </c>
      <c r="K4"/>
      <c r="M4" s="9" t="s">
        <v>10</v>
      </c>
      <c r="N4" s="9" t="s">
        <v>25</v>
      </c>
      <c r="O4" s="46" t="s">
        <v>24</v>
      </c>
      <c r="P4" s="2"/>
      <c r="Q4" s="2"/>
      <c r="R4" s="2"/>
    </row>
    <row r="5" spans="1:18">
      <c r="A5" s="3">
        <v>2</v>
      </c>
      <c r="B5" s="4" t="s">
        <v>136</v>
      </c>
      <c r="C5" s="4" t="s">
        <v>156</v>
      </c>
      <c r="D5" s="1" t="s">
        <v>125</v>
      </c>
      <c r="E5" s="5" t="s">
        <v>92</v>
      </c>
      <c r="F5" s="5" t="s">
        <v>25</v>
      </c>
      <c r="G5" s="1" t="s">
        <v>138</v>
      </c>
      <c r="H5" s="1" t="s">
        <v>139</v>
      </c>
      <c r="I5" s="50">
        <v>617</v>
      </c>
      <c r="J5" s="3" t="s">
        <v>9</v>
      </c>
      <c r="K5"/>
      <c r="M5" s="9" t="s">
        <v>9</v>
      </c>
      <c r="N5" s="9" t="s">
        <v>26</v>
      </c>
      <c r="O5" s="47" t="s">
        <v>22</v>
      </c>
      <c r="P5" s="2"/>
      <c r="Q5" s="2"/>
      <c r="R5" s="2"/>
    </row>
    <row r="6" spans="1:18">
      <c r="A6" s="3">
        <v>3</v>
      </c>
      <c r="B6" s="4" t="s">
        <v>136</v>
      </c>
      <c r="C6" s="4" t="s">
        <v>157</v>
      </c>
      <c r="D6" s="1" t="s">
        <v>126</v>
      </c>
      <c r="E6" s="5" t="s">
        <v>92</v>
      </c>
      <c r="F6" s="5" t="s">
        <v>25</v>
      </c>
      <c r="G6" s="1" t="s">
        <v>140</v>
      </c>
      <c r="H6" s="1" t="s">
        <v>141</v>
      </c>
      <c r="I6" s="50">
        <v>180</v>
      </c>
      <c r="J6" s="3" t="s">
        <v>9</v>
      </c>
      <c r="K6"/>
      <c r="M6" s="9" t="s">
        <v>11</v>
      </c>
      <c r="N6" s="9" t="s">
        <v>28</v>
      </c>
      <c r="O6" s="46" t="s">
        <v>30</v>
      </c>
      <c r="P6" s="2"/>
      <c r="Q6" s="2"/>
      <c r="R6" s="2"/>
    </row>
    <row r="7" spans="1:18">
      <c r="A7" s="3">
        <v>4</v>
      </c>
      <c r="B7" s="4" t="s">
        <v>136</v>
      </c>
      <c r="C7" s="4" t="s">
        <v>158</v>
      </c>
      <c r="D7" s="1" t="s">
        <v>127</v>
      </c>
      <c r="E7" s="5" t="s">
        <v>92</v>
      </c>
      <c r="F7" s="5" t="s">
        <v>25</v>
      </c>
      <c r="G7" s="1" t="s">
        <v>142</v>
      </c>
      <c r="H7" s="1"/>
      <c r="I7" s="50">
        <v>219</v>
      </c>
      <c r="J7" s="3" t="s">
        <v>9</v>
      </c>
      <c r="K7"/>
      <c r="M7" s="9" t="s">
        <v>18</v>
      </c>
      <c r="N7" s="9" t="s">
        <v>27</v>
      </c>
      <c r="O7" s="9" t="s">
        <v>91</v>
      </c>
      <c r="P7" s="2"/>
      <c r="Q7" s="2"/>
      <c r="R7" s="2"/>
    </row>
    <row r="8" spans="1:18">
      <c r="A8" s="3">
        <v>5</v>
      </c>
      <c r="B8" s="4" t="s">
        <v>136</v>
      </c>
      <c r="C8" s="4" t="s">
        <v>159</v>
      </c>
      <c r="D8" s="1" t="s">
        <v>128</v>
      </c>
      <c r="E8" s="5" t="s">
        <v>92</v>
      </c>
      <c r="F8" s="5" t="s">
        <v>25</v>
      </c>
      <c r="G8" s="1" t="s">
        <v>143</v>
      </c>
      <c r="H8" s="1" t="s">
        <v>144</v>
      </c>
      <c r="I8" s="50">
        <v>180</v>
      </c>
      <c r="J8" s="3" t="s">
        <v>10</v>
      </c>
      <c r="K8"/>
      <c r="M8" s="9" t="s">
        <v>260</v>
      </c>
      <c r="N8" s="9" t="s">
        <v>29</v>
      </c>
      <c r="O8" s="9" t="s">
        <v>92</v>
      </c>
      <c r="P8" s="2"/>
      <c r="Q8" s="2"/>
      <c r="R8" s="2"/>
    </row>
    <row r="9" spans="1:18">
      <c r="A9" s="3">
        <v>6</v>
      </c>
      <c r="B9" s="4" t="s">
        <v>135</v>
      </c>
      <c r="C9" s="4" t="s">
        <v>160</v>
      </c>
      <c r="D9" s="1" t="s">
        <v>129</v>
      </c>
      <c r="E9" s="5" t="s">
        <v>92</v>
      </c>
      <c r="F9" s="5" t="s">
        <v>25</v>
      </c>
      <c r="G9" s="1" t="s">
        <v>145</v>
      </c>
      <c r="H9" s="1" t="s">
        <v>146</v>
      </c>
      <c r="I9" s="50">
        <v>180</v>
      </c>
      <c r="J9" s="3" t="s">
        <v>9</v>
      </c>
      <c r="K9"/>
      <c r="P9" s="2"/>
      <c r="Q9" s="2"/>
      <c r="R9" s="2"/>
    </row>
    <row r="10" spans="1:18">
      <c r="A10" s="3">
        <v>7</v>
      </c>
      <c r="B10" s="4" t="s">
        <v>135</v>
      </c>
      <c r="C10" s="4" t="s">
        <v>161</v>
      </c>
      <c r="D10" s="1" t="s">
        <v>130</v>
      </c>
      <c r="E10" s="5" t="s">
        <v>92</v>
      </c>
      <c r="F10" s="5" t="s">
        <v>25</v>
      </c>
      <c r="G10" s="1" t="s">
        <v>147</v>
      </c>
      <c r="H10" s="1" t="s">
        <v>148</v>
      </c>
      <c r="I10" s="50">
        <v>180</v>
      </c>
      <c r="J10" s="3" t="s">
        <v>9</v>
      </c>
      <c r="K10" s="1"/>
      <c r="L10" s="1"/>
      <c r="P10" s="2"/>
      <c r="Q10" s="2"/>
      <c r="R10" s="2"/>
    </row>
    <row r="11" spans="1:18">
      <c r="A11" s="3">
        <v>8</v>
      </c>
      <c r="B11" s="4" t="s">
        <v>135</v>
      </c>
      <c r="C11" s="4" t="s">
        <v>162</v>
      </c>
      <c r="D11" s="1" t="s">
        <v>131</v>
      </c>
      <c r="E11" s="5" t="s">
        <v>92</v>
      </c>
      <c r="F11" s="5" t="s">
        <v>25</v>
      </c>
      <c r="G11" s="1" t="s">
        <v>149</v>
      </c>
      <c r="H11" s="1"/>
      <c r="I11" s="50">
        <v>180</v>
      </c>
      <c r="J11" s="3" t="s">
        <v>9</v>
      </c>
      <c r="K11" s="1"/>
      <c r="L11" s="1"/>
      <c r="P11" s="2"/>
      <c r="Q11" s="2"/>
      <c r="R11" s="2"/>
    </row>
    <row r="12" spans="1:18">
      <c r="A12" s="3">
        <v>9</v>
      </c>
      <c r="B12" s="4" t="s">
        <v>135</v>
      </c>
      <c r="C12" s="4" t="s">
        <v>163</v>
      </c>
      <c r="D12" s="1" t="s">
        <v>132</v>
      </c>
      <c r="E12" s="5" t="s">
        <v>92</v>
      </c>
      <c r="F12" s="5" t="s">
        <v>25</v>
      </c>
      <c r="G12" s="1" t="s">
        <v>150</v>
      </c>
      <c r="H12" s="1"/>
      <c r="I12" s="50">
        <v>180</v>
      </c>
      <c r="J12" s="3" t="s">
        <v>9</v>
      </c>
      <c r="K12" s="1"/>
      <c r="L12" s="1"/>
      <c r="P12" s="2"/>
      <c r="Q12" s="2"/>
      <c r="R12" s="2"/>
    </row>
    <row r="13" spans="1:18">
      <c r="A13" s="3">
        <v>10</v>
      </c>
      <c r="B13" s="4" t="s">
        <v>135</v>
      </c>
      <c r="C13" s="4" t="s">
        <v>164</v>
      </c>
      <c r="D13" s="1" t="s">
        <v>133</v>
      </c>
      <c r="E13" s="5" t="s">
        <v>92</v>
      </c>
      <c r="F13" s="5" t="s">
        <v>25</v>
      </c>
      <c r="G13" s="1" t="s">
        <v>151</v>
      </c>
      <c r="H13" s="1" t="s">
        <v>152</v>
      </c>
      <c r="I13" s="50">
        <v>180</v>
      </c>
      <c r="J13" s="3" t="s">
        <v>9</v>
      </c>
      <c r="K13" s="1"/>
      <c r="L13" s="1"/>
      <c r="P13" s="2"/>
      <c r="Q13" s="2"/>
      <c r="R13" s="2"/>
    </row>
    <row r="14" spans="1:18">
      <c r="A14" s="3">
        <v>11</v>
      </c>
      <c r="B14" s="4" t="s">
        <v>135</v>
      </c>
      <c r="C14" s="4" t="s">
        <v>165</v>
      </c>
      <c r="D14" s="1" t="s">
        <v>134</v>
      </c>
      <c r="E14" s="5" t="s">
        <v>92</v>
      </c>
      <c r="F14" s="5" t="s">
        <v>25</v>
      </c>
      <c r="G14" s="1" t="s">
        <v>149</v>
      </c>
      <c r="H14" s="1"/>
      <c r="I14" s="50">
        <v>450</v>
      </c>
      <c r="J14" s="3" t="s">
        <v>9</v>
      </c>
      <c r="K14" s="1"/>
      <c r="L14" s="1"/>
      <c r="P14" s="2"/>
      <c r="Q14" s="2"/>
      <c r="R14" s="2"/>
    </row>
    <row r="15" spans="1:18">
      <c r="A15" s="3">
        <v>12</v>
      </c>
      <c r="B15" s="8">
        <v>243722</v>
      </c>
      <c r="C15" s="1" t="s">
        <v>223</v>
      </c>
      <c r="D15" s="1" t="s">
        <v>201</v>
      </c>
      <c r="E15" s="5" t="s">
        <v>92</v>
      </c>
      <c r="F15" s="5" t="s">
        <v>25</v>
      </c>
      <c r="G15" s="3" t="s">
        <v>203</v>
      </c>
      <c r="H15" s="1" t="s">
        <v>204</v>
      </c>
      <c r="I15" s="50">
        <v>180</v>
      </c>
      <c r="J15" s="3" t="s">
        <v>10</v>
      </c>
      <c r="K15" s="1"/>
      <c r="L15" s="1"/>
      <c r="P15" s="2"/>
      <c r="Q15" s="2"/>
      <c r="R15" s="2"/>
    </row>
    <row r="16" spans="1:18">
      <c r="A16" s="3">
        <v>13</v>
      </c>
      <c r="B16" s="8">
        <v>243722</v>
      </c>
      <c r="C16" s="1" t="s">
        <v>224</v>
      </c>
      <c r="D16" s="1" t="s">
        <v>202</v>
      </c>
      <c r="E16" s="5" t="s">
        <v>92</v>
      </c>
      <c r="F16" s="5" t="s">
        <v>25</v>
      </c>
      <c r="G16" s="6" t="s">
        <v>205</v>
      </c>
      <c r="H16" s="1" t="s">
        <v>206</v>
      </c>
      <c r="I16" s="50">
        <v>330</v>
      </c>
      <c r="J16" s="3" t="s">
        <v>9</v>
      </c>
      <c r="K16" s="1"/>
      <c r="L16" s="1"/>
      <c r="P16" s="2"/>
      <c r="Q16" s="2"/>
      <c r="R16" s="2"/>
    </row>
    <row r="17" spans="1:18">
      <c r="A17" s="3">
        <v>14</v>
      </c>
      <c r="B17" s="8">
        <v>243725</v>
      </c>
      <c r="C17" s="1" t="s">
        <v>247</v>
      </c>
      <c r="D17" s="1" t="s">
        <v>241</v>
      </c>
      <c r="E17" s="5" t="s">
        <v>92</v>
      </c>
      <c r="F17" s="5" t="s">
        <v>25</v>
      </c>
      <c r="G17" s="3" t="s">
        <v>242</v>
      </c>
      <c r="H17" s="3" t="s">
        <v>243</v>
      </c>
      <c r="I17" s="49">
        <v>180</v>
      </c>
      <c r="J17" s="3" t="s">
        <v>9</v>
      </c>
      <c r="K17" s="1"/>
      <c r="L17" s="1"/>
      <c r="P17" s="2"/>
      <c r="Q17" s="2"/>
      <c r="R17" s="2"/>
    </row>
    <row r="18" spans="1:18">
      <c r="A18" s="3">
        <v>15</v>
      </c>
      <c r="B18" s="8">
        <v>243725</v>
      </c>
      <c r="C18" s="1" t="s">
        <v>248</v>
      </c>
      <c r="D18" s="1" t="s">
        <v>238</v>
      </c>
      <c r="E18" s="5" t="s">
        <v>92</v>
      </c>
      <c r="F18" s="5" t="s">
        <v>25</v>
      </c>
      <c r="G18" s="1" t="s">
        <v>244</v>
      </c>
      <c r="H18" s="1"/>
      <c r="I18" s="50">
        <v>180</v>
      </c>
      <c r="J18" s="3" t="s">
        <v>9</v>
      </c>
      <c r="K18" s="1"/>
      <c r="L18" s="1"/>
      <c r="P18" s="2"/>
      <c r="Q18" s="2"/>
      <c r="R18" s="2"/>
    </row>
    <row r="19" spans="1:18">
      <c r="A19" s="3">
        <v>16</v>
      </c>
      <c r="B19" s="8">
        <v>243725</v>
      </c>
      <c r="C19" s="1" t="s">
        <v>249</v>
      </c>
      <c r="D19" s="1" t="s">
        <v>239</v>
      </c>
      <c r="E19" s="5" t="s">
        <v>92</v>
      </c>
      <c r="F19" s="5" t="s">
        <v>25</v>
      </c>
      <c r="G19" s="1" t="s">
        <v>138</v>
      </c>
      <c r="H19" s="1" t="s">
        <v>139</v>
      </c>
      <c r="I19" s="50">
        <v>430</v>
      </c>
      <c r="J19" s="3" t="s">
        <v>9</v>
      </c>
      <c r="K19" s="1"/>
      <c r="L19" s="1"/>
      <c r="P19" s="2"/>
      <c r="Q19" s="2"/>
      <c r="R19" s="2"/>
    </row>
    <row r="20" spans="1:18">
      <c r="A20" s="3">
        <v>17</v>
      </c>
      <c r="B20" s="8">
        <v>243725</v>
      </c>
      <c r="C20" s="1" t="s">
        <v>250</v>
      </c>
      <c r="D20" s="1" t="s">
        <v>240</v>
      </c>
      <c r="E20" s="5" t="s">
        <v>92</v>
      </c>
      <c r="F20" s="5" t="s">
        <v>25</v>
      </c>
      <c r="G20" s="1" t="s">
        <v>245</v>
      </c>
      <c r="H20" s="1" t="s">
        <v>246</v>
      </c>
      <c r="I20" s="50">
        <v>235</v>
      </c>
      <c r="J20" s="3" t="s">
        <v>9</v>
      </c>
      <c r="K20" s="1"/>
      <c r="L20" s="1"/>
      <c r="P20" s="2"/>
      <c r="Q20" s="2"/>
      <c r="R20" s="2"/>
    </row>
    <row r="21" spans="1:18">
      <c r="A21" s="3">
        <v>18</v>
      </c>
      <c r="B21" s="8">
        <v>243727</v>
      </c>
      <c r="C21" s="1" t="s">
        <v>399</v>
      </c>
      <c r="D21" s="48" t="s">
        <v>267</v>
      </c>
      <c r="E21" s="5" t="s">
        <v>92</v>
      </c>
      <c r="F21" s="5" t="s">
        <v>25</v>
      </c>
      <c r="G21" s="1" t="s">
        <v>271</v>
      </c>
      <c r="H21" s="1" t="s">
        <v>272</v>
      </c>
      <c r="I21" s="50">
        <v>2200</v>
      </c>
      <c r="J21" s="3" t="s">
        <v>260</v>
      </c>
      <c r="L21" s="1"/>
      <c r="P21" s="2"/>
      <c r="Q21" s="2"/>
      <c r="R21" s="2"/>
    </row>
    <row r="22" spans="1:18">
      <c r="A22" s="3">
        <v>19</v>
      </c>
      <c r="B22" s="8">
        <v>243727</v>
      </c>
      <c r="C22" s="1" t="s">
        <v>399</v>
      </c>
      <c r="D22" s="1" t="s">
        <v>268</v>
      </c>
      <c r="E22" s="5" t="s">
        <v>92</v>
      </c>
      <c r="F22" s="5" t="s">
        <v>25</v>
      </c>
      <c r="G22" s="1" t="s">
        <v>271</v>
      </c>
      <c r="H22" s="1" t="s">
        <v>272</v>
      </c>
      <c r="I22" s="50">
        <v>2200</v>
      </c>
      <c r="J22" s="3" t="s">
        <v>260</v>
      </c>
      <c r="K22" s="6"/>
      <c r="L22" s="1"/>
      <c r="P22" s="2"/>
      <c r="Q22" s="2"/>
      <c r="R22" s="2"/>
    </row>
    <row r="23" spans="1:18">
      <c r="A23" s="3">
        <v>20</v>
      </c>
      <c r="B23" s="8">
        <v>243727</v>
      </c>
      <c r="C23" s="1" t="s">
        <v>399</v>
      </c>
      <c r="D23" s="1" t="s">
        <v>269</v>
      </c>
      <c r="E23" s="5" t="s">
        <v>92</v>
      </c>
      <c r="F23" s="5" t="s">
        <v>25</v>
      </c>
      <c r="G23" s="1" t="s">
        <v>271</v>
      </c>
      <c r="H23" s="1" t="s">
        <v>272</v>
      </c>
      <c r="I23" s="50">
        <v>2200</v>
      </c>
      <c r="J23" s="3" t="s">
        <v>260</v>
      </c>
      <c r="L23" s="1"/>
      <c r="P23" s="2"/>
      <c r="Q23" s="2"/>
      <c r="R23" s="2"/>
    </row>
    <row r="24" spans="1:18">
      <c r="A24" s="3">
        <v>21</v>
      </c>
      <c r="B24" s="8">
        <v>243727</v>
      </c>
      <c r="C24" s="1" t="s">
        <v>399</v>
      </c>
      <c r="D24" s="1" t="s">
        <v>270</v>
      </c>
      <c r="E24" s="5" t="s">
        <v>92</v>
      </c>
      <c r="F24" s="5" t="s">
        <v>25</v>
      </c>
      <c r="G24" s="1" t="s">
        <v>271</v>
      </c>
      <c r="H24" s="1" t="s">
        <v>272</v>
      </c>
      <c r="I24" s="50">
        <v>2200</v>
      </c>
      <c r="J24" s="3" t="s">
        <v>260</v>
      </c>
      <c r="P24" s="2"/>
      <c r="Q24" s="2"/>
      <c r="R24" s="2"/>
    </row>
    <row r="25" spans="1:18">
      <c r="A25" s="3">
        <v>22</v>
      </c>
      <c r="B25" s="8">
        <v>243732</v>
      </c>
      <c r="C25" s="1" t="s">
        <v>392</v>
      </c>
      <c r="D25" s="1" t="s">
        <v>302</v>
      </c>
      <c r="E25" s="5" t="s">
        <v>92</v>
      </c>
      <c r="F25" s="5" t="s">
        <v>25</v>
      </c>
      <c r="G25" s="1" t="s">
        <v>319</v>
      </c>
      <c r="H25" s="1" t="s">
        <v>320</v>
      </c>
      <c r="I25" s="50">
        <v>180</v>
      </c>
      <c r="J25" s="3" t="s">
        <v>10</v>
      </c>
      <c r="P25" s="2"/>
      <c r="Q25" s="2"/>
      <c r="R25" s="2"/>
    </row>
    <row r="26" spans="1:18">
      <c r="A26" s="3">
        <v>23</v>
      </c>
      <c r="B26" s="8">
        <v>243737</v>
      </c>
      <c r="C26" s="1" t="s">
        <v>393</v>
      </c>
      <c r="D26" s="1" t="s">
        <v>340</v>
      </c>
      <c r="E26" s="5" t="s">
        <v>92</v>
      </c>
      <c r="F26" s="5" t="s">
        <v>25</v>
      </c>
      <c r="G26" s="1" t="s">
        <v>341</v>
      </c>
      <c r="H26" s="1" t="s">
        <v>342</v>
      </c>
      <c r="I26" s="50">
        <v>120</v>
      </c>
      <c r="J26" s="3" t="s">
        <v>10</v>
      </c>
      <c r="P26" s="2"/>
      <c r="Q26" s="2"/>
      <c r="R26" s="2"/>
    </row>
    <row r="27" spans="1:18">
      <c r="A27" s="3">
        <v>24</v>
      </c>
      <c r="B27" s="8">
        <v>243738</v>
      </c>
      <c r="C27" s="1" t="s">
        <v>394</v>
      </c>
      <c r="D27" s="1" t="s">
        <v>347</v>
      </c>
      <c r="E27" s="5" t="s">
        <v>92</v>
      </c>
      <c r="F27" s="5" t="s">
        <v>25</v>
      </c>
      <c r="G27" s="1" t="s">
        <v>352</v>
      </c>
      <c r="H27" s="1" t="s">
        <v>353</v>
      </c>
      <c r="I27" s="50">
        <v>80</v>
      </c>
      <c r="J27" s="3" t="s">
        <v>9</v>
      </c>
      <c r="P27" s="2"/>
      <c r="Q27" s="2"/>
      <c r="R27" s="2"/>
    </row>
    <row r="28" spans="1:18">
      <c r="A28" s="3">
        <v>25</v>
      </c>
      <c r="B28" s="8">
        <v>243738</v>
      </c>
      <c r="C28" s="1" t="s">
        <v>395</v>
      </c>
      <c r="D28" s="1" t="s">
        <v>348</v>
      </c>
      <c r="E28" s="5" t="s">
        <v>92</v>
      </c>
      <c r="F28" s="5" t="s">
        <v>25</v>
      </c>
      <c r="G28" s="1" t="s">
        <v>354</v>
      </c>
      <c r="H28" s="1" t="s">
        <v>355</v>
      </c>
      <c r="I28" s="50">
        <v>120</v>
      </c>
      <c r="J28" s="3" t="s">
        <v>9</v>
      </c>
      <c r="P28" s="2"/>
      <c r="Q28" s="2"/>
      <c r="R28" s="2"/>
    </row>
    <row r="29" spans="1:18">
      <c r="A29" s="3">
        <v>26</v>
      </c>
      <c r="B29" s="8">
        <v>243738</v>
      </c>
      <c r="C29" s="1" t="s">
        <v>396</v>
      </c>
      <c r="D29" s="1" t="s">
        <v>349</v>
      </c>
      <c r="E29" s="5" t="s">
        <v>92</v>
      </c>
      <c r="F29" s="5" t="s">
        <v>25</v>
      </c>
      <c r="G29" s="1" t="s">
        <v>356</v>
      </c>
      <c r="H29" s="1" t="s">
        <v>357</v>
      </c>
      <c r="I29" s="50">
        <v>120</v>
      </c>
      <c r="J29" s="3" t="s">
        <v>10</v>
      </c>
      <c r="P29" s="2"/>
      <c r="Q29" s="2"/>
      <c r="R29" s="2"/>
    </row>
    <row r="30" spans="1:18">
      <c r="A30" s="3">
        <v>27</v>
      </c>
      <c r="B30" s="8">
        <v>243738</v>
      </c>
      <c r="C30" s="1" t="s">
        <v>397</v>
      </c>
      <c r="D30" s="1" t="s">
        <v>350</v>
      </c>
      <c r="E30" s="5" t="s">
        <v>92</v>
      </c>
      <c r="F30" s="5" t="s">
        <v>25</v>
      </c>
      <c r="G30" s="1" t="s">
        <v>358</v>
      </c>
      <c r="H30" s="1" t="s">
        <v>359</v>
      </c>
      <c r="I30" s="50">
        <v>120</v>
      </c>
      <c r="J30" s="3" t="s">
        <v>9</v>
      </c>
      <c r="P30" s="2"/>
    </row>
    <row r="31" spans="1:18">
      <c r="A31" s="3">
        <v>28</v>
      </c>
      <c r="B31" s="8">
        <v>243738</v>
      </c>
      <c r="C31" s="1" t="s">
        <v>398</v>
      </c>
      <c r="D31" s="1" t="s">
        <v>351</v>
      </c>
      <c r="E31" s="5" t="s">
        <v>92</v>
      </c>
      <c r="F31" s="5" t="s">
        <v>25</v>
      </c>
      <c r="G31" s="1" t="s">
        <v>360</v>
      </c>
      <c r="H31" s="1" t="s">
        <v>361</v>
      </c>
      <c r="I31" s="50">
        <v>160</v>
      </c>
      <c r="J31" s="3" t="s">
        <v>10</v>
      </c>
      <c r="P31" s="2"/>
    </row>
    <row r="32" spans="1:18">
      <c r="I32" s="3"/>
    </row>
  </sheetData>
  <autoFilter ref="A3:X32" xr:uid="{5D80EBCA-1D2A-4602-883D-0120B5DC9240}"/>
  <dataConsolidate/>
  <mergeCells count="13">
    <mergeCell ref="K2:K3"/>
    <mergeCell ref="M2:M3"/>
    <mergeCell ref="O2:O3"/>
    <mergeCell ref="J2:J3"/>
    <mergeCell ref="E2:E3"/>
    <mergeCell ref="F2:F3"/>
    <mergeCell ref="N2:N3"/>
    <mergeCell ref="I2:I3"/>
    <mergeCell ref="A2:A3"/>
    <mergeCell ref="B2:B3"/>
    <mergeCell ref="C2:C3"/>
    <mergeCell ref="D2:D3"/>
    <mergeCell ref="G2:H2"/>
  </mergeCells>
  <dataValidations count="5">
    <dataValidation type="list" allowBlank="1" showInputMessage="1" showErrorMessage="1" sqref="J33:J1048576 J2:J31" xr:uid="{2736945C-7942-4DEE-A17E-B5B71DE7D63A}">
      <formula1>$M$4:$M$25</formula1>
    </dataValidation>
    <dataValidation type="list" allowBlank="1" showInputMessage="1" showErrorMessage="1" sqref="F1:F1048576" xr:uid="{55F7DB15-91F3-41AA-B28C-C90A1171C47B}">
      <formula1>$N$2:$N$27</formula1>
    </dataValidation>
    <dataValidation type="list" allowBlank="1" showInputMessage="1" showErrorMessage="1" sqref="E1:E1048576" xr:uid="{D2FC0E2E-1651-4C21-9903-7CD645E6E4FF}">
      <formula1>$O$4:$O$8</formula1>
    </dataValidation>
    <dataValidation type="list" allowBlank="1" showInputMessage="1" showErrorMessage="1" sqref="J1" xr:uid="{02A40C31-6CFA-466E-9B5F-7E0404BB7E0D}">
      <formula1>$M$4:$M$46</formula1>
    </dataValidation>
    <dataValidation type="list" allowBlank="1" showInputMessage="1" showErrorMessage="1" sqref="J1" xr:uid="{EBDA87B0-8A85-49B5-8F5B-1974D656E315}">
      <formula1>$M$4:$M$70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AAF43-78FF-485F-A91A-10BC19B0F29A}">
  <sheetPr>
    <tabColor rgb="FF7030A0"/>
  </sheetPr>
  <dimension ref="A1:AG34"/>
  <sheetViews>
    <sheetView zoomScaleNormal="100" workbookViewId="0">
      <pane xSplit="5" ySplit="3" topLeftCell="F25" activePane="bottomRight" state="frozen"/>
      <selection pane="topRight" activeCell="F1" sqref="F1"/>
      <selection pane="bottomLeft" activeCell="A4" sqref="A4"/>
      <selection pane="bottomRight" activeCell="L39" sqref="L39"/>
    </sheetView>
  </sheetViews>
  <sheetFormatPr defaultColWidth="9.109375" defaultRowHeight="23.4"/>
  <cols>
    <col min="1" max="1" width="16.109375" style="3" customWidth="1"/>
    <col min="2" max="2" width="16.88671875" style="3" bestFit="1" customWidth="1"/>
    <col min="3" max="4" width="15.33203125" style="3" bestFit="1" customWidth="1"/>
    <col min="5" max="6" width="22.44140625" style="3" bestFit="1" customWidth="1"/>
    <col min="7" max="7" width="11" style="3" bestFit="1" customWidth="1"/>
    <col min="8" max="8" width="11.109375" style="3" bestFit="1" customWidth="1"/>
    <col min="9" max="9" width="8.5546875" style="3" bestFit="1" customWidth="1"/>
    <col min="10" max="10" width="12" style="3" bestFit="1" customWidth="1"/>
    <col min="11" max="11" width="8.6640625" style="3" bestFit="1" customWidth="1"/>
    <col min="12" max="12" width="12.109375" style="3" bestFit="1" customWidth="1"/>
    <col min="13" max="13" width="14.5546875" style="3" bestFit="1" customWidth="1"/>
    <col min="14" max="14" width="9.33203125" style="3" bestFit="1" customWidth="1"/>
    <col min="15" max="15" width="21.5546875" style="3" bestFit="1" customWidth="1"/>
    <col min="16" max="16" width="18.6640625" style="3" bestFit="1" customWidth="1"/>
    <col min="17" max="17" width="14.88671875" style="3" bestFit="1" customWidth="1"/>
    <col min="18" max="19" width="23.44140625" style="3" bestFit="1" customWidth="1"/>
    <col min="20" max="20" width="18.5546875" style="3" bestFit="1" customWidth="1"/>
    <col min="21" max="21" width="13.109375" style="3" bestFit="1" customWidth="1"/>
    <col min="22" max="22" width="12.44140625" style="3" bestFit="1" customWidth="1"/>
    <col min="23" max="23" width="8.5546875" style="3" bestFit="1" customWidth="1"/>
    <col min="24" max="24" width="8.33203125" style="3" bestFit="1" customWidth="1"/>
    <col min="25" max="25" width="11.109375" style="3" bestFit="1" customWidth="1"/>
    <col min="26" max="26" width="11.44140625" style="3" bestFit="1" customWidth="1"/>
    <col min="27" max="27" width="7.109375" style="3" bestFit="1" customWidth="1"/>
    <col min="28" max="28" width="11.109375" style="3" bestFit="1" customWidth="1"/>
    <col min="29" max="29" width="10" style="3" bestFit="1" customWidth="1"/>
    <col min="30" max="30" width="5.44140625" style="3" bestFit="1" customWidth="1"/>
    <col min="31" max="31" width="16.44140625" style="3" bestFit="1" customWidth="1"/>
    <col min="32" max="32" width="11.109375" style="3" bestFit="1" customWidth="1"/>
    <col min="33" max="33" width="26.33203125" style="3" bestFit="1" customWidth="1"/>
    <col min="34" max="16384" width="9.109375" style="3"/>
  </cols>
  <sheetData>
    <row r="1" spans="1:33" s="28" customFormat="1" ht="32.4">
      <c r="A1" s="7" t="s">
        <v>94</v>
      </c>
    </row>
    <row r="2" spans="1:33" s="27" customFormat="1" ht="26.25" customHeight="1">
      <c r="A2" s="114" t="s">
        <v>31</v>
      </c>
      <c r="B2" s="116" t="s">
        <v>63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8"/>
      <c r="AG2" s="119" t="s">
        <v>66</v>
      </c>
    </row>
    <row r="3" spans="1:33" s="27" customFormat="1" ht="26.4">
      <c r="A3" s="115"/>
      <c r="B3" s="29" t="s">
        <v>32</v>
      </c>
      <c r="C3" s="29" t="s">
        <v>33</v>
      </c>
      <c r="D3" s="29" t="s">
        <v>34</v>
      </c>
      <c r="E3" s="29" t="s">
        <v>35</v>
      </c>
      <c r="F3" s="29" t="s">
        <v>36</v>
      </c>
      <c r="G3" s="29" t="s">
        <v>37</v>
      </c>
      <c r="H3" s="29" t="s">
        <v>38</v>
      </c>
      <c r="I3" s="29" t="s">
        <v>39</v>
      </c>
      <c r="J3" s="29" t="s">
        <v>40</v>
      </c>
      <c r="K3" s="29" t="s">
        <v>41</v>
      </c>
      <c r="L3" s="29" t="s">
        <v>42</v>
      </c>
      <c r="M3" s="29" t="s">
        <v>68</v>
      </c>
      <c r="N3" s="29" t="s">
        <v>43</v>
      </c>
      <c r="O3" s="29" t="s">
        <v>44</v>
      </c>
      <c r="P3" s="29" t="s">
        <v>45</v>
      </c>
      <c r="Q3" s="29" t="s">
        <v>46</v>
      </c>
      <c r="R3" s="29" t="s">
        <v>47</v>
      </c>
      <c r="S3" s="29" t="s">
        <v>48</v>
      </c>
      <c r="T3" s="29" t="s">
        <v>49</v>
      </c>
      <c r="U3" s="29" t="s">
        <v>50</v>
      </c>
      <c r="V3" s="29" t="s">
        <v>51</v>
      </c>
      <c r="W3" s="29" t="s">
        <v>52</v>
      </c>
      <c r="X3" s="29" t="s">
        <v>53</v>
      </c>
      <c r="Y3" s="29" t="s">
        <v>54</v>
      </c>
      <c r="Z3" s="29" t="s">
        <v>55</v>
      </c>
      <c r="AA3" s="29" t="s">
        <v>56</v>
      </c>
      <c r="AB3" s="29" t="s">
        <v>57</v>
      </c>
      <c r="AC3" s="29" t="s">
        <v>58</v>
      </c>
      <c r="AD3" s="29" t="s">
        <v>59</v>
      </c>
      <c r="AE3" s="29" t="s">
        <v>60</v>
      </c>
      <c r="AF3" s="29" t="s">
        <v>61</v>
      </c>
      <c r="AG3" s="119"/>
    </row>
    <row r="4" spans="1:33">
      <c r="A4" s="30">
        <v>243709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31">
        <f>SUM(B4:AF4)</f>
        <v>0</v>
      </c>
    </row>
    <row r="5" spans="1:33">
      <c r="A5" s="30">
        <v>243710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31">
        <f t="shared" ref="AG5:AG33" si="0">SUM(B5:AF5)</f>
        <v>0</v>
      </c>
    </row>
    <row r="6" spans="1:33">
      <c r="A6" s="30">
        <v>243711</v>
      </c>
      <c r="B6" s="6"/>
      <c r="C6" s="6"/>
      <c r="D6" s="6"/>
      <c r="E6" s="6"/>
      <c r="F6" s="6"/>
      <c r="G6" s="6"/>
      <c r="H6" s="6"/>
      <c r="I6" s="6">
        <v>8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>
        <v>14</v>
      </c>
      <c r="AG6" s="31">
        <f t="shared" si="0"/>
        <v>22</v>
      </c>
    </row>
    <row r="7" spans="1:33">
      <c r="A7" s="30">
        <v>243712</v>
      </c>
      <c r="B7" s="6"/>
      <c r="C7" s="6">
        <v>3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>
        <v>2</v>
      </c>
      <c r="Y7" s="6"/>
      <c r="Z7" s="6"/>
      <c r="AA7" s="6"/>
      <c r="AB7" s="6"/>
      <c r="AC7" s="6"/>
      <c r="AD7" s="6"/>
      <c r="AE7" s="6"/>
      <c r="AF7" s="6"/>
      <c r="AG7" s="31">
        <f t="shared" si="0"/>
        <v>5</v>
      </c>
    </row>
    <row r="8" spans="1:33">
      <c r="A8" s="30">
        <v>243713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31">
        <f t="shared" si="0"/>
        <v>0</v>
      </c>
    </row>
    <row r="9" spans="1:33">
      <c r="A9" s="30">
        <v>243714</v>
      </c>
      <c r="B9" s="6"/>
      <c r="C9" s="6">
        <v>2</v>
      </c>
      <c r="D9" s="6"/>
      <c r="E9" s="6">
        <v>1</v>
      </c>
      <c r="F9" s="6"/>
      <c r="G9" s="6">
        <v>1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>
        <v>4</v>
      </c>
      <c r="Y9" s="6"/>
      <c r="Z9" s="6"/>
      <c r="AA9" s="6"/>
      <c r="AB9" s="6"/>
      <c r="AC9" s="6"/>
      <c r="AD9" s="6"/>
      <c r="AE9" s="6"/>
      <c r="AF9" s="6">
        <v>18</v>
      </c>
      <c r="AG9" s="31">
        <f t="shared" si="0"/>
        <v>26</v>
      </c>
    </row>
    <row r="10" spans="1:33">
      <c r="A10" s="30">
        <v>243715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31">
        <f t="shared" si="0"/>
        <v>0</v>
      </c>
    </row>
    <row r="11" spans="1:33">
      <c r="A11" s="30">
        <v>243716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31">
        <f t="shared" si="0"/>
        <v>0</v>
      </c>
    </row>
    <row r="12" spans="1:33">
      <c r="A12" s="30">
        <v>243717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31">
        <f t="shared" si="0"/>
        <v>0</v>
      </c>
    </row>
    <row r="13" spans="1:33">
      <c r="A13" s="30">
        <v>243718</v>
      </c>
      <c r="B13" s="6"/>
      <c r="C13" s="6">
        <v>5</v>
      </c>
      <c r="D13" s="6"/>
      <c r="E13" s="6">
        <v>1</v>
      </c>
      <c r="F13" s="6"/>
      <c r="G13" s="6">
        <v>1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>
        <v>6</v>
      </c>
      <c r="Y13" s="6"/>
      <c r="Z13" s="6"/>
      <c r="AA13" s="6"/>
      <c r="AB13" s="6"/>
      <c r="AC13" s="6"/>
      <c r="AD13" s="6"/>
      <c r="AE13" s="6"/>
      <c r="AF13" s="6">
        <v>1</v>
      </c>
      <c r="AG13" s="31">
        <f t="shared" si="0"/>
        <v>14</v>
      </c>
    </row>
    <row r="14" spans="1:33">
      <c r="A14" s="30">
        <v>243719</v>
      </c>
      <c r="B14" s="6"/>
      <c r="C14" s="6"/>
      <c r="D14" s="6"/>
      <c r="E14" s="6">
        <v>4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>
        <v>2</v>
      </c>
      <c r="Q14" s="6"/>
      <c r="R14" s="6"/>
      <c r="S14" s="6"/>
      <c r="T14" s="6"/>
      <c r="U14" s="6"/>
      <c r="V14" s="6"/>
      <c r="W14" s="6"/>
      <c r="X14" s="6">
        <v>6</v>
      </c>
      <c r="Y14" s="6"/>
      <c r="Z14" s="6"/>
      <c r="AA14" s="6"/>
      <c r="AB14" s="6"/>
      <c r="AC14" s="6"/>
      <c r="AD14" s="6"/>
      <c r="AE14" s="6"/>
      <c r="AF14" s="6">
        <v>2</v>
      </c>
      <c r="AG14" s="31">
        <f t="shared" si="0"/>
        <v>14</v>
      </c>
    </row>
    <row r="15" spans="1:33">
      <c r="A15" s="30">
        <v>243720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>
        <v>3</v>
      </c>
      <c r="AG15" s="31">
        <f t="shared" si="0"/>
        <v>3</v>
      </c>
    </row>
    <row r="16" spans="1:33">
      <c r="A16" s="30">
        <v>243721</v>
      </c>
      <c r="B16" s="6">
        <v>29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>
        <v>2</v>
      </c>
      <c r="Y16" s="6"/>
      <c r="Z16" s="6"/>
      <c r="AA16" s="6"/>
      <c r="AB16" s="6"/>
      <c r="AC16" s="6"/>
      <c r="AD16" s="6"/>
      <c r="AE16" s="6"/>
      <c r="AF16" s="6">
        <v>15</v>
      </c>
      <c r="AG16" s="31">
        <f t="shared" si="0"/>
        <v>46</v>
      </c>
    </row>
    <row r="17" spans="1:33">
      <c r="A17" s="30">
        <v>243722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>
        <v>4</v>
      </c>
      <c r="Y17" s="6"/>
      <c r="Z17" s="6"/>
      <c r="AA17" s="6"/>
      <c r="AB17" s="6"/>
      <c r="AC17" s="6"/>
      <c r="AD17" s="6"/>
      <c r="AE17" s="6"/>
      <c r="AF17" s="6">
        <v>9</v>
      </c>
      <c r="AG17" s="31">
        <f t="shared" si="0"/>
        <v>13</v>
      </c>
    </row>
    <row r="18" spans="1:33">
      <c r="A18" s="30">
        <v>243723</v>
      </c>
      <c r="B18" s="6">
        <v>20</v>
      </c>
      <c r="C18" s="6">
        <v>1</v>
      </c>
      <c r="D18" s="6"/>
      <c r="E18" s="6"/>
      <c r="F18" s="6"/>
      <c r="G18" s="6">
        <v>2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>
        <v>12</v>
      </c>
      <c r="AG18" s="31">
        <f t="shared" si="0"/>
        <v>35</v>
      </c>
    </row>
    <row r="19" spans="1:33">
      <c r="A19" s="30">
        <v>243724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31">
        <f t="shared" si="0"/>
        <v>0</v>
      </c>
    </row>
    <row r="20" spans="1:33">
      <c r="A20" s="30">
        <v>243725</v>
      </c>
      <c r="B20" s="6">
        <v>15</v>
      </c>
      <c r="C20" s="6">
        <v>2</v>
      </c>
      <c r="D20" s="6"/>
      <c r="E20" s="6">
        <v>1</v>
      </c>
      <c r="F20" s="6"/>
      <c r="G20" s="6">
        <v>19</v>
      </c>
      <c r="H20" s="6"/>
      <c r="I20" s="6">
        <v>7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>
        <v>3</v>
      </c>
      <c r="AG20" s="31">
        <f t="shared" si="0"/>
        <v>47</v>
      </c>
    </row>
    <row r="21" spans="1:33">
      <c r="A21" s="30">
        <v>243726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31">
        <f t="shared" si="0"/>
        <v>0</v>
      </c>
    </row>
    <row r="22" spans="1:33">
      <c r="A22" s="30">
        <v>243727</v>
      </c>
      <c r="B22" s="6">
        <v>805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>
        <v>8</v>
      </c>
      <c r="Y22" s="6"/>
      <c r="Z22" s="6"/>
      <c r="AA22" s="6"/>
      <c r="AB22" s="6"/>
      <c r="AC22" s="6"/>
      <c r="AD22" s="6"/>
      <c r="AE22" s="6"/>
      <c r="AF22" s="6"/>
      <c r="AG22" s="31">
        <f t="shared" si="0"/>
        <v>813</v>
      </c>
    </row>
    <row r="23" spans="1:33">
      <c r="A23" s="30">
        <v>243728</v>
      </c>
      <c r="B23" s="6">
        <v>89</v>
      </c>
      <c r="C23" s="6"/>
      <c r="D23" s="6"/>
      <c r="E23" s="6">
        <v>3</v>
      </c>
      <c r="F23" s="6">
        <v>1</v>
      </c>
      <c r="G23" s="6"/>
      <c r="H23" s="6"/>
      <c r="I23" s="6">
        <v>1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>
        <v>15</v>
      </c>
      <c r="AG23" s="31">
        <f t="shared" si="0"/>
        <v>109</v>
      </c>
    </row>
    <row r="24" spans="1:33">
      <c r="A24" s="30">
        <v>243729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31">
        <f t="shared" si="0"/>
        <v>0</v>
      </c>
    </row>
    <row r="25" spans="1:33">
      <c r="A25" s="30">
        <v>243730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31">
        <f t="shared" si="0"/>
        <v>0</v>
      </c>
    </row>
    <row r="26" spans="1:33">
      <c r="A26" s="30">
        <v>243731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31">
        <f t="shared" si="0"/>
        <v>0</v>
      </c>
    </row>
    <row r="27" spans="1:33">
      <c r="A27" s="30">
        <v>243732</v>
      </c>
      <c r="B27" s="6">
        <v>32</v>
      </c>
      <c r="C27" s="6"/>
      <c r="D27" s="6"/>
      <c r="E27" s="6">
        <v>1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>
        <v>39</v>
      </c>
      <c r="AG27" s="31">
        <f t="shared" si="0"/>
        <v>72</v>
      </c>
    </row>
    <row r="28" spans="1:33">
      <c r="A28" s="30">
        <v>243733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31">
        <f>SUM(B28:AF28)</f>
        <v>0</v>
      </c>
    </row>
    <row r="29" spans="1:33">
      <c r="A29" s="30">
        <v>243734</v>
      </c>
      <c r="B29" s="6">
        <v>9</v>
      </c>
      <c r="C29" s="6"/>
      <c r="D29" s="6"/>
      <c r="E29" s="6">
        <v>2</v>
      </c>
      <c r="F29" s="6">
        <v>1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>
        <v>1</v>
      </c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>
        <v>27</v>
      </c>
      <c r="AG29" s="31">
        <f t="shared" si="0"/>
        <v>40</v>
      </c>
    </row>
    <row r="30" spans="1:33">
      <c r="A30" s="30">
        <v>243735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31">
        <f t="shared" si="0"/>
        <v>0</v>
      </c>
    </row>
    <row r="31" spans="1:33">
      <c r="A31" s="30">
        <v>243736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31">
        <f t="shared" si="0"/>
        <v>0</v>
      </c>
    </row>
    <row r="32" spans="1:33">
      <c r="A32" s="30">
        <v>243737</v>
      </c>
      <c r="B32" s="6"/>
      <c r="C32" s="6">
        <v>1</v>
      </c>
      <c r="D32" s="6"/>
      <c r="E32" s="6">
        <v>1</v>
      </c>
      <c r="F32" s="6"/>
      <c r="G32" s="6">
        <v>5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>
        <v>3</v>
      </c>
      <c r="AG32" s="31">
        <f t="shared" si="0"/>
        <v>10</v>
      </c>
    </row>
    <row r="33" spans="1:33">
      <c r="A33" s="30">
        <v>243738</v>
      </c>
      <c r="B33" s="6"/>
      <c r="C33" s="6"/>
      <c r="D33" s="6"/>
      <c r="E33" s="6"/>
      <c r="F33" s="6"/>
      <c r="G33" s="6">
        <v>10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>
        <v>6</v>
      </c>
      <c r="Y33" s="6"/>
      <c r="Z33" s="6"/>
      <c r="AA33" s="6"/>
      <c r="AB33" s="6"/>
      <c r="AC33" s="6"/>
      <c r="AD33" s="6"/>
      <c r="AE33" s="6"/>
      <c r="AF33" s="6">
        <v>3</v>
      </c>
      <c r="AG33" s="31">
        <f t="shared" si="0"/>
        <v>19</v>
      </c>
    </row>
    <row r="34" spans="1:33">
      <c r="A34" s="31" t="s">
        <v>65</v>
      </c>
      <c r="B34" s="31">
        <f t="shared" ref="B34:AF34" si="1">SUM(B4:B33)</f>
        <v>999</v>
      </c>
      <c r="C34" s="31">
        <f t="shared" si="1"/>
        <v>14</v>
      </c>
      <c r="D34" s="31">
        <f t="shared" si="1"/>
        <v>0</v>
      </c>
      <c r="E34" s="31">
        <f t="shared" si="1"/>
        <v>14</v>
      </c>
      <c r="F34" s="31">
        <f t="shared" si="1"/>
        <v>2</v>
      </c>
      <c r="G34" s="31">
        <f t="shared" si="1"/>
        <v>38</v>
      </c>
      <c r="H34" s="31">
        <f t="shared" si="1"/>
        <v>0</v>
      </c>
      <c r="I34" s="31">
        <f t="shared" si="1"/>
        <v>16</v>
      </c>
      <c r="J34" s="31">
        <f t="shared" si="1"/>
        <v>0</v>
      </c>
      <c r="K34" s="31">
        <f t="shared" si="1"/>
        <v>0</v>
      </c>
      <c r="L34" s="31">
        <f t="shared" si="1"/>
        <v>0</v>
      </c>
      <c r="M34" s="31">
        <f t="shared" si="1"/>
        <v>0</v>
      </c>
      <c r="N34" s="31">
        <f t="shared" si="1"/>
        <v>0</v>
      </c>
      <c r="O34" s="31">
        <f t="shared" si="1"/>
        <v>0</v>
      </c>
      <c r="P34" s="31">
        <f t="shared" si="1"/>
        <v>2</v>
      </c>
      <c r="Q34" s="31">
        <f t="shared" si="1"/>
        <v>0</v>
      </c>
      <c r="R34" s="31">
        <f t="shared" si="1"/>
        <v>1</v>
      </c>
      <c r="S34" s="31">
        <f t="shared" si="1"/>
        <v>0</v>
      </c>
      <c r="T34" s="31">
        <f t="shared" si="1"/>
        <v>0</v>
      </c>
      <c r="U34" s="31">
        <f t="shared" si="1"/>
        <v>0</v>
      </c>
      <c r="V34" s="31">
        <f t="shared" si="1"/>
        <v>0</v>
      </c>
      <c r="W34" s="31">
        <f t="shared" si="1"/>
        <v>0</v>
      </c>
      <c r="X34" s="31">
        <f t="shared" si="1"/>
        <v>38</v>
      </c>
      <c r="Y34" s="31">
        <f t="shared" si="1"/>
        <v>0</v>
      </c>
      <c r="Z34" s="31">
        <f t="shared" si="1"/>
        <v>0</v>
      </c>
      <c r="AA34" s="31">
        <f t="shared" si="1"/>
        <v>0</v>
      </c>
      <c r="AB34" s="31">
        <f t="shared" si="1"/>
        <v>0</v>
      </c>
      <c r="AC34" s="31">
        <f t="shared" si="1"/>
        <v>0</v>
      </c>
      <c r="AD34" s="31">
        <f t="shared" si="1"/>
        <v>0</v>
      </c>
      <c r="AE34" s="31">
        <f t="shared" si="1"/>
        <v>0</v>
      </c>
      <c r="AF34" s="31">
        <f t="shared" si="1"/>
        <v>164</v>
      </c>
      <c r="AG34" s="32">
        <f>SUM(B34:AF34)</f>
        <v>1288</v>
      </c>
    </row>
  </sheetData>
  <mergeCells count="3">
    <mergeCell ref="A2:A3"/>
    <mergeCell ref="B2:AF2"/>
    <mergeCell ref="AG2:AG3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FB04F8-918B-4168-9C8A-F8D1148EEB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7</vt:i4>
      </vt:variant>
    </vt:vector>
  </HeadingPairs>
  <TitlesOfParts>
    <vt:vector size="7" baseType="lpstr">
      <vt:lpstr>สรุป</vt:lpstr>
      <vt:lpstr>สรุปรายการสินค้า</vt:lpstr>
      <vt:lpstr>Lazada</vt:lpstr>
      <vt:lpstr>Shopee</vt:lpstr>
      <vt:lpstr>TikTok</vt:lpstr>
      <vt:lpstr>ไปรษณีย์</vt:lpstr>
      <vt:lpstr>รายการสินค้าตีกลับ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กนกอร พุ่มนิล</dc:creator>
  <cp:lastModifiedBy>user</cp:lastModifiedBy>
  <cp:lastPrinted>2024-11-25T17:15:12Z</cp:lastPrinted>
  <dcterms:created xsi:type="dcterms:W3CDTF">2024-02-13T02:39:23Z</dcterms:created>
  <dcterms:modified xsi:type="dcterms:W3CDTF">2024-11-25T17:15:13Z</dcterms:modified>
</cp:coreProperties>
</file>