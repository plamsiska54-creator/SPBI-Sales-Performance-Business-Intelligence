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929FF5C6-E136-48CF-BD6D-D8829AC15D15}" xr6:coauthVersionLast="36" xr6:coauthVersionMax="36" xr10:uidLastSave="{00000000-0000-0000-0000-000000000000}"/>
  <bookViews>
    <workbookView xWindow="14292" yWindow="0" windowWidth="14616" windowHeight="15588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Lazada!$A$3:$AQ$31</definedName>
    <definedName name="_xlnm._FilterDatabase" localSheetId="5" hidden="1">ไปรษณีย์!$A$3:$X$83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5" l="1"/>
  <c r="I1" i="3"/>
  <c r="I1" i="2"/>
  <c r="I1" i="1"/>
  <c r="K9" i="4"/>
  <c r="J9" i="4"/>
  <c r="I9" i="4"/>
  <c r="H9" i="4"/>
  <c r="G9" i="4"/>
  <c r="F9" i="4"/>
  <c r="E9" i="4"/>
  <c r="D9" i="4"/>
  <c r="C9" i="4"/>
  <c r="B9" i="4"/>
  <c r="M8" i="4"/>
  <c r="L8" i="4"/>
  <c r="M7" i="4"/>
  <c r="L7" i="4"/>
  <c r="M6" i="4"/>
  <c r="L6" i="4"/>
  <c r="M5" i="4"/>
  <c r="L5" i="4"/>
  <c r="L9" i="4" l="1"/>
  <c r="M9" i="4"/>
  <c r="I83" i="5" l="1"/>
  <c r="AG35" i="6"/>
  <c r="C34" i="7"/>
  <c r="C32" i="7"/>
  <c r="C31" i="7"/>
  <c r="C33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3" i="7"/>
  <c r="C4" i="7"/>
  <c r="C5" i="7"/>
  <c r="AG21" i="6"/>
  <c r="AG20" i="6"/>
  <c r="AG30" i="6"/>
  <c r="AG6" i="6"/>
  <c r="AG4" i="6"/>
  <c r="AG34" i="6"/>
  <c r="AG33" i="6"/>
  <c r="AG32" i="6"/>
  <c r="AG31" i="6"/>
  <c r="AG29" i="6"/>
  <c r="AG28" i="6"/>
  <c r="AG27" i="6"/>
  <c r="AG26" i="6"/>
  <c r="AG25" i="6"/>
  <c r="AG24" i="6"/>
  <c r="AG23" i="6"/>
  <c r="AG22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B35" i="6"/>
</calcChain>
</file>

<file path=xl/sharedStrings.xml><?xml version="1.0" encoding="utf-8"?>
<sst xmlns="http://schemas.openxmlformats.org/spreadsheetml/2006/main" count="1039" uniqueCount="542">
  <si>
    <t>ลำดับ</t>
  </si>
  <si>
    <t>ชื่อลูกค้า</t>
  </si>
  <si>
    <t>เลขที่พัสดุ</t>
  </si>
  <si>
    <t xml:space="preserve">สาเหตุการตีกลับ </t>
  </si>
  <si>
    <t>797217056731350</t>
  </si>
  <si>
    <t>801304547721614</t>
  </si>
  <si>
    <t>805962515370610</t>
  </si>
  <si>
    <t>805948080896434</t>
  </si>
  <si>
    <t>799342101623188</t>
  </si>
  <si>
    <t>802592141588197</t>
  </si>
  <si>
    <t>804846187948834</t>
  </si>
  <si>
    <t>804561526020785</t>
  </si>
  <si>
    <t>799847133332190</t>
  </si>
  <si>
    <t>795791465933804</t>
  </si>
  <si>
    <t>798376948146993</t>
  </si>
  <si>
    <t>797945768424469</t>
  </si>
  <si>
    <t>794129800524469</t>
  </si>
  <si>
    <t>797751640472366</t>
  </si>
  <si>
    <t>802654541968235</t>
  </si>
  <si>
    <t>802583191570037</t>
  </si>
  <si>
    <t>798391449246968</t>
  </si>
  <si>
    <t>799195655251992</t>
  </si>
  <si>
    <t>806915396155257</t>
  </si>
  <si>
    <t>802427676712916</t>
  </si>
  <si>
    <t>801855283718376</t>
  </si>
  <si>
    <t>809393792220691</t>
  </si>
  <si>
    <t>803944812412044</t>
  </si>
  <si>
    <t>801573070967107</t>
  </si>
  <si>
    <t>805978963544647</t>
  </si>
  <si>
    <t>805051642078182</t>
  </si>
  <si>
    <t>798962635471666</t>
  </si>
  <si>
    <t>วันที่ตีกลับ</t>
  </si>
  <si>
    <t>เลขที่ออเดอร์</t>
  </si>
  <si>
    <t>ช้านอินทร์</t>
  </si>
  <si>
    <t>ณัฏฐกาญต์</t>
  </si>
  <si>
    <t>โชคอนันท์สิทธิ์</t>
  </si>
  <si>
    <t>ฟ้า</t>
  </si>
  <si>
    <t>ครูวนิดา</t>
  </si>
  <si>
    <t>อินทิรา</t>
  </si>
  <si>
    <t>สายใจ</t>
  </si>
  <si>
    <t>ศักดิ์เศรษฐ</t>
  </si>
  <si>
    <t>พา</t>
  </si>
  <si>
    <t>พิพิม</t>
  </si>
  <si>
    <t>บุญเพ็ญ</t>
  </si>
  <si>
    <t>ดัชถุยาวัตร</t>
  </si>
  <si>
    <t>สมปอง</t>
  </si>
  <si>
    <t>สมญาติ</t>
  </si>
  <si>
    <t>จินดาพร</t>
  </si>
  <si>
    <t>ภูวสิทธินันท์</t>
  </si>
  <si>
    <t>สุภัทรา</t>
  </si>
  <si>
    <t>กิตติทัต</t>
  </si>
  <si>
    <t>อิ่มจิตร์</t>
  </si>
  <si>
    <t>ศรีแสวง</t>
  </si>
  <si>
    <t>เอกพงค์</t>
  </si>
  <si>
    <t>คงคาสวัสดิ์</t>
  </si>
  <si>
    <t>ประเสริฐ์สังข์</t>
  </si>
  <si>
    <t>ราตรี</t>
  </si>
  <si>
    <t>ดำศรี</t>
  </si>
  <si>
    <t>สุนทราภรณ์</t>
  </si>
  <si>
    <t>โครงพิมาย</t>
  </si>
  <si>
    <t>บัญชา</t>
  </si>
  <si>
    <t>ขินานา</t>
  </si>
  <si>
    <t>อำไพ</t>
  </si>
  <si>
    <t>หอมเกษร</t>
  </si>
  <si>
    <t>บัวส่าย</t>
  </si>
  <si>
    <t>อนุสา</t>
  </si>
  <si>
    <t>วรรณศรี</t>
  </si>
  <si>
    <t>สมเดช</t>
  </si>
  <si>
    <t>ไตรมูล</t>
  </si>
  <si>
    <t>จิรพา</t>
  </si>
  <si>
    <t>เจตนิพิฐ</t>
  </si>
  <si>
    <t>รื่นวัตร</t>
  </si>
  <si>
    <t>อัจฉราวรรณ</t>
  </si>
  <si>
    <t>อนันทวรรณ</t>
  </si>
  <si>
    <t>อำภาพร</t>
  </si>
  <si>
    <t>นายถาวร</t>
  </si>
  <si>
    <t>เอกรัฐ</t>
  </si>
  <si>
    <t>เหมือนจันทร์</t>
  </si>
  <si>
    <t>ภัทรกนก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</si>
  <si>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</si>
  <si>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</si>
  <si>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</si>
  <si>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</si>
  <si>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</si>
  <si>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</si>
  <si>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รายการของตีกลับช่องทาง LAZADA เดือนมกราคม 2567</t>
  </si>
  <si>
    <t>รายการของตีกลับช่องทาง SHOPEE เดือนมกราคม 2567</t>
  </si>
  <si>
    <t>231219k2BEVBTX</t>
  </si>
  <si>
    <t>2312267U6UBEK2</t>
  </si>
  <si>
    <t>231230j773N4CV</t>
  </si>
  <si>
    <t>240103UUKC6MBT</t>
  </si>
  <si>
    <t>240109CTJDDM17</t>
  </si>
  <si>
    <t>240112NHET2FTP</t>
  </si>
  <si>
    <t>2312255GBMJW1S</t>
  </si>
  <si>
    <t>231228DNEJBT7Y</t>
  </si>
  <si>
    <t>231216C3EXUJ8Y</t>
  </si>
  <si>
    <t>240110GT80MCS2</t>
  </si>
  <si>
    <t>231227ATJ59V3N</t>
  </si>
  <si>
    <t>รายการของตีกลับช่องทาง TikTok เดือนมกราคม 2567</t>
  </si>
  <si>
    <t>578293337887836285</t>
  </si>
  <si>
    <t>578256878782482832</t>
  </si>
  <si>
    <t>578282608056174864</t>
  </si>
  <si>
    <t>578323524392487744</t>
  </si>
  <si>
    <t>578315229976627216</t>
  </si>
  <si>
    <t>578322026151840146</t>
  </si>
  <si>
    <t>578324165669456454</t>
  </si>
  <si>
    <t>578348606717594319</t>
  </si>
  <si>
    <t>578332479363189056</t>
  </si>
  <si>
    <t>578347160418093459</t>
  </si>
  <si>
    <t>578334129203612291</t>
  </si>
  <si>
    <t>578316685237586778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</si>
  <si>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</si>
  <si>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</si>
  <si>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</si>
  <si>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</si>
  <si>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</si>
  <si>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</si>
  <si>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รายการของตีกลับช่องทาง Facebook , Facebook Live , Line , Line OA (ไปรษณีย์) เดือนมกราคม 2567</t>
  </si>
  <si>
    <t>ลูกค้าแจ้งว่าไม่ได้สั่ง</t>
  </si>
  <si>
    <t>ครูหาเปี่ยมสุข</t>
  </si>
  <si>
    <t>ธนากร</t>
  </si>
  <si>
    <t>EA922294898TH</t>
  </si>
  <si>
    <t>Nick</t>
  </si>
  <si>
    <t>EA922900368TH</t>
  </si>
  <si>
    <t>ดีนารัมย์</t>
  </si>
  <si>
    <t>นายวายุ</t>
  </si>
  <si>
    <t>TH272252A3HJ7D</t>
  </si>
  <si>
    <t>จันทะลัย</t>
  </si>
  <si>
    <t>นิภาพร</t>
  </si>
  <si>
    <t>EA921577632TH</t>
  </si>
  <si>
    <t>พร</t>
  </si>
  <si>
    <t>EA920705732TH</t>
  </si>
  <si>
    <t>สิงหเดชาสิทธิ์</t>
  </si>
  <si>
    <t>จ.ส.ต.อัศม์เดช</t>
  </si>
  <si>
    <t>EA920936285TH</t>
  </si>
  <si>
    <t>จันทร์เติม</t>
  </si>
  <si>
    <t>เสอ็ม</t>
  </si>
  <si>
    <t>EA922900345TH</t>
  </si>
  <si>
    <t>สัมมะโย</t>
  </si>
  <si>
    <t>นางสาวภาทินี</t>
  </si>
  <si>
    <t>EA921182609TH</t>
  </si>
  <si>
    <t>สิงห์นาค</t>
  </si>
  <si>
    <t>ประไพ</t>
  </si>
  <si>
    <t>EA921182507TH</t>
  </si>
  <si>
    <t>EA915978367TH</t>
  </si>
  <si>
    <t>สีนวล</t>
  </si>
  <si>
    <t>นันทิชา</t>
  </si>
  <si>
    <t>EA920705644TH</t>
  </si>
  <si>
    <t>เรืองศรี</t>
  </si>
  <si>
    <t>สุทิศา</t>
  </si>
  <si>
    <t>EA915292755TH</t>
  </si>
  <si>
    <t>ธนเดชภัทรไพศาล</t>
  </si>
  <si>
    <t>ภัทรวราภรณ์</t>
  </si>
  <si>
    <t>EA915599470TH</t>
  </si>
  <si>
    <t>น.สจุไรรัตน์ดีป้อง</t>
  </si>
  <si>
    <t>EA919990757TH</t>
  </si>
  <si>
    <t>ลี้เกื้อกูล</t>
  </si>
  <si>
    <t>สุภรณ์</t>
  </si>
  <si>
    <t>EA914700387TH</t>
  </si>
  <si>
    <t>เอี่ยมสะอาด</t>
  </si>
  <si>
    <t>ดวงพร</t>
  </si>
  <si>
    <t>EA915599280TH</t>
  </si>
  <si>
    <t>จันทร์ดี</t>
  </si>
  <si>
    <t>ยุวธิดา</t>
  </si>
  <si>
    <t>EA915599293TH</t>
  </si>
  <si>
    <t>อักษราภัค</t>
  </si>
  <si>
    <t>EA920002835TH</t>
  </si>
  <si>
    <t>ปิยาพัชร</t>
  </si>
  <si>
    <t>สมประสงค์</t>
  </si>
  <si>
    <t>ฝน</t>
  </si>
  <si>
    <t>EA915978424TH</t>
  </si>
  <si>
    <t>EA915978605TH</t>
  </si>
  <si>
    <t>จงธีระธรรม</t>
  </si>
  <si>
    <t>นางสาวรัตติพร</t>
  </si>
  <si>
    <t>EA919714811TH</t>
  </si>
  <si>
    <t>นางจิตรัตน์</t>
  </si>
  <si>
    <t>EA915599421TH</t>
  </si>
  <si>
    <t>พัชรา</t>
  </si>
  <si>
    <t>EA913912439TH</t>
  </si>
  <si>
    <t>ให้ดีที่สุด</t>
  </si>
  <si>
    <t>ทำวันนี้</t>
  </si>
  <si>
    <t>EA913912059TH</t>
  </si>
  <si>
    <t>มีคำต้นข้าว</t>
  </si>
  <si>
    <t>ศิริลักษณ์</t>
  </si>
  <si>
    <t>EA913912544TH</t>
  </si>
  <si>
    <t>ล้อทอง</t>
  </si>
  <si>
    <t>สุพัตรา</t>
  </si>
  <si>
    <t>EA913912076TH</t>
  </si>
  <si>
    <t>วิพัดเมือง</t>
  </si>
  <si>
    <t>กนกณิภา</t>
  </si>
  <si>
    <t>TH28025278YK1E</t>
  </si>
  <si>
    <t>สีนา</t>
  </si>
  <si>
    <t>นายสรายุทธ</t>
  </si>
  <si>
    <t>EA914700342TH</t>
  </si>
  <si>
    <t>ไทยเส็งเฮงอลูมิเนียม</t>
  </si>
  <si>
    <t>EA913525899TH</t>
  </si>
  <si>
    <t>รจนาอ่อนไผ่ดำ</t>
  </si>
  <si>
    <t>EA913912337TH</t>
  </si>
  <si>
    <t>EA914830617TH</t>
  </si>
  <si>
    <t>นวลจันทร์</t>
  </si>
  <si>
    <t>EA911218388TH</t>
  </si>
  <si>
    <t>อู่ทอง</t>
  </si>
  <si>
    <t>ปริศนา</t>
  </si>
  <si>
    <t>EA913912306TH</t>
  </si>
  <si>
    <t>โพธินาม</t>
  </si>
  <si>
    <t>ทองยุ่น</t>
  </si>
  <si>
    <t>ตุลชาติ</t>
  </si>
  <si>
    <t>ชนิดา</t>
  </si>
  <si>
    <t>EA912203570TH</t>
  </si>
  <si>
    <t>หิลแก้ว</t>
  </si>
  <si>
    <t>กาญจนา</t>
  </si>
  <si>
    <t>TH270152FMEM3V</t>
  </si>
  <si>
    <t>โคตรสีทา</t>
  </si>
  <si>
    <t>พิพ์พรรณ</t>
  </si>
  <si>
    <t>TH381452FMEN2J</t>
  </si>
  <si>
    <t>กัลยรัตน์</t>
  </si>
  <si>
    <t>TH20085278Y94A</t>
  </si>
  <si>
    <t>โลหิตโยธิน</t>
  </si>
  <si>
    <t>พรปวีณ์</t>
  </si>
  <si>
    <t>EA911414864TH</t>
  </si>
  <si>
    <t>ชายเขาทอง</t>
  </si>
  <si>
    <t>วราภร</t>
  </si>
  <si>
    <t>EA909773109TH</t>
  </si>
  <si>
    <t>คุณสมศรี</t>
  </si>
  <si>
    <t>TH150352DE3K2A</t>
  </si>
  <si>
    <t>ภู่ระหงษ์</t>
  </si>
  <si>
    <t>วลีรัตน์</t>
  </si>
  <si>
    <t>TH120152GSTZ2C</t>
  </si>
  <si>
    <t>ซิ้ม</t>
  </si>
  <si>
    <t>TH140751ZRCV6A</t>
  </si>
  <si>
    <t>มโนมัย</t>
  </si>
  <si>
    <t>ธนพร</t>
  </si>
  <si>
    <t>TH44055231851A</t>
  </si>
  <si>
    <t>จันทะ</t>
  </si>
  <si>
    <t>วิรัตน</t>
  </si>
  <si>
    <t>TH210852A3GM3A</t>
  </si>
  <si>
    <t>แพรเมือง</t>
  </si>
  <si>
    <t>วาสนา</t>
  </si>
  <si>
    <t>TH070452318Z9E</t>
  </si>
  <si>
    <t>,จีจี้</t>
  </si>
  <si>
    <t>EA911718826TH</t>
  </si>
  <si>
    <t>นวลวิมล</t>
  </si>
  <si>
    <t>ภาณุพงษ์</t>
  </si>
  <si>
    <t>EA912204178TH</t>
  </si>
  <si>
    <t>เทียนสุวรรณ</t>
  </si>
  <si>
    <t>นงชนก</t>
  </si>
  <si>
    <t>EA911414820TH</t>
  </si>
  <si>
    <t>กำจาย</t>
  </si>
  <si>
    <t>EA911414949TH</t>
  </si>
  <si>
    <t>สุโขโชติวัฒน์</t>
  </si>
  <si>
    <t>ภาวิณีย์</t>
  </si>
  <si>
    <t>EA911255099TH</t>
  </si>
  <si>
    <t>พัดภาภร</t>
  </si>
  <si>
    <t>EA911218459TH</t>
  </si>
  <si>
    <t>กู้ทรัพย์</t>
  </si>
  <si>
    <t>หทัยรัตน์</t>
  </si>
  <si>
    <t>EA912204120TH</t>
  </si>
  <si>
    <t>ผงษ์เผือก</t>
  </si>
  <si>
    <t>กรองทอง</t>
  </si>
  <si>
    <t>TH14065278YX3C</t>
  </si>
  <si>
    <t>คุณเกต</t>
  </si>
  <si>
    <t>TH73015278XD3A</t>
  </si>
  <si>
    <t>ผาดี</t>
  </si>
  <si>
    <t>จิตรา</t>
  </si>
  <si>
    <t>TH380652318E7E</t>
  </si>
  <si>
    <t>คงนิ่ม</t>
  </si>
  <si>
    <t>อนิญา</t>
  </si>
  <si>
    <t>TH26075278YA5A</t>
  </si>
  <si>
    <t>จันทร์เขียว</t>
  </si>
  <si>
    <t>วิไลพร</t>
  </si>
  <si>
    <t>TH64015231829A</t>
  </si>
  <si>
    <t>เชยชมศรี</t>
  </si>
  <si>
    <t>อารีย์.</t>
  </si>
  <si>
    <t>EA911493615TH</t>
  </si>
  <si>
    <t>ติยะธะ</t>
  </si>
  <si>
    <t>EA912203795TH</t>
  </si>
  <si>
    <t>วิทักขะ</t>
  </si>
  <si>
    <t>ธัญญ์รัญ</t>
  </si>
  <si>
    <t>EA911418720TH</t>
  </si>
  <si>
    <t>มีแสง</t>
  </si>
  <si>
    <t>จุฑามาส</t>
  </si>
  <si>
    <t>EA911255363TH</t>
  </si>
  <si>
    <t>วรนาม</t>
  </si>
  <si>
    <t>วิไลสวรรณ</t>
  </si>
  <si>
    <t>EA911414325TH</t>
  </si>
  <si>
    <t>EA911218745TH</t>
  </si>
  <si>
    <t>ปรักมาศ</t>
  </si>
  <si>
    <t>ปวริศส</t>
  </si>
  <si>
    <t>EA908075769TH</t>
  </si>
  <si>
    <t>เป็ดสุวรรณ์</t>
  </si>
  <si>
    <t>EA911414895TH</t>
  </si>
  <si>
    <t>จรใย</t>
  </si>
  <si>
    <t>ผกามาศ</t>
  </si>
  <si>
    <t>EA911493495TH</t>
  </si>
  <si>
    <t>ชูศิริ</t>
  </si>
  <si>
    <t>ศักดิ์ชัย</t>
  </si>
  <si>
    <t>EA911414507TH</t>
  </si>
  <si>
    <t>อญชลี</t>
  </si>
  <si>
    <t>สุชานัน</t>
  </si>
  <si>
    <t>EA909934177TH</t>
  </si>
  <si>
    <t>เพ่งเพียร</t>
  </si>
  <si>
    <t>คุณทรงศรี</t>
  </si>
  <si>
    <t>EA910919441TH</t>
  </si>
  <si>
    <t>ชักนำ</t>
  </si>
  <si>
    <t>ศรินธร</t>
  </si>
  <si>
    <t>EA911072475TH</t>
  </si>
  <si>
    <t>พันธุนิตย์</t>
  </si>
  <si>
    <t>ชิดชนก</t>
  </si>
  <si>
    <t>EA907360056TH</t>
  </si>
  <si>
    <t>ซอสูงเนิน</t>
  </si>
  <si>
    <t>มัณทิตา</t>
  </si>
  <si>
    <t>TH010752A3HP0C</t>
  </si>
  <si>
    <t>จันทร</t>
  </si>
  <si>
    <t>อารีย์</t>
  </si>
  <si>
    <t>TH272552A3HU1D</t>
  </si>
  <si>
    <t>น้ำรอบ</t>
  </si>
  <si>
    <t>พรปรียา</t>
  </si>
  <si>
    <t>TH06075278X98B</t>
  </si>
  <si>
    <t>บุญศิริ</t>
  </si>
  <si>
    <t>โสภา</t>
  </si>
  <si>
    <t>กิจการนา</t>
  </si>
  <si>
    <t>อัญธิมา</t>
  </si>
  <si>
    <t>ปลั๊ก</t>
  </si>
  <si>
    <t>เขมจิรา</t>
  </si>
  <si>
    <t>EA909679620TH</t>
  </si>
  <si>
    <t>TH64115231819A</t>
  </si>
  <si>
    <t>ยอมรวมทั้งหมด</t>
  </si>
  <si>
    <t>CGC92</t>
  </si>
  <si>
    <t>CFN39</t>
  </si>
  <si>
    <t>CGI62</t>
  </si>
  <si>
    <t>CGU42</t>
  </si>
  <si>
    <t>CGO55</t>
  </si>
  <si>
    <t>CGU44</t>
  </si>
  <si>
    <t>CGF26</t>
  </si>
  <si>
    <t>CGG59</t>
  </si>
  <si>
    <t>CFR78</t>
  </si>
  <si>
    <t>CGA74</t>
  </si>
  <si>
    <t>CFL45</t>
  </si>
  <si>
    <t>นุ่ม</t>
  </si>
  <si>
    <t>CFO83</t>
  </si>
  <si>
    <t>CFU61</t>
  </si>
  <si>
    <t>CFR42</t>
  </si>
  <si>
    <t>CFR60</t>
  </si>
  <si>
    <t>CFM88</t>
  </si>
  <si>
    <t>EA919714839TH</t>
  </si>
  <si>
    <t>EA915599347TH</t>
  </si>
  <si>
    <t>CFU62</t>
  </si>
  <si>
    <t>CFX19</t>
  </si>
  <si>
    <t>CFM74</t>
  </si>
  <si>
    <t>CFM75</t>
  </si>
  <si>
    <t>CEZ57</t>
  </si>
  <si>
    <t>หมายเหตุ</t>
  </si>
  <si>
    <t>CFW1</t>
  </si>
  <si>
    <t>CFO85</t>
  </si>
  <si>
    <t>CES41</t>
  </si>
  <si>
    <t>CER66</t>
  </si>
  <si>
    <t>CER22</t>
  </si>
  <si>
    <t>CER70</t>
  </si>
  <si>
    <t>CDR99</t>
  </si>
  <si>
    <t>CDM19</t>
  </si>
  <si>
    <t>CEZ69</t>
  </si>
  <si>
    <t>CEM95</t>
  </si>
  <si>
    <t>CES22</t>
  </si>
  <si>
    <t>ชำนาญ</t>
  </si>
  <si>
    <t>พิพัฒจิตตระกูล</t>
  </si>
  <si>
    <t>CBY35</t>
  </si>
  <si>
    <t>CES26</t>
  </si>
  <si>
    <t>CCT72</t>
  </si>
  <si>
    <t>CDA10</t>
  </si>
  <si>
    <t>CEG87</t>
  </si>
  <si>
    <t>CCQ94</t>
  </si>
  <si>
    <t>CBD44</t>
  </si>
  <si>
    <t>CCD53</t>
  </si>
  <si>
    <t>CDK89</t>
  </si>
  <si>
    <t>CEF14</t>
  </si>
  <si>
    <t>CEF22</t>
  </si>
  <si>
    <t>CDG61</t>
  </si>
  <si>
    <t>CDO49</t>
  </si>
  <si>
    <t>CDB86</t>
  </si>
  <si>
    <t>CCM96</t>
  </si>
  <si>
    <t>CCY88</t>
  </si>
  <si>
    <t>CCD60</t>
  </si>
  <si>
    <t>CCD39</t>
  </si>
  <si>
    <t>CBZ65</t>
  </si>
  <si>
    <t>CCY62</t>
  </si>
  <si>
    <t>CDO25</t>
  </si>
  <si>
    <t>CDJ25</t>
  </si>
  <si>
    <t>CDC92</t>
  </si>
  <si>
    <t>CDL18</t>
  </si>
  <si>
    <t>CDG77</t>
  </si>
  <si>
    <t>CCG59</t>
  </si>
  <si>
    <t>CCY33</t>
  </si>
  <si>
    <t>CBV35</t>
  </si>
  <si>
    <t>CBZ49</t>
  </si>
  <si>
    <t>CCF24</t>
  </si>
  <si>
    <t>CBX95</t>
  </si>
  <si>
    <t>CAA55</t>
  </si>
  <si>
    <t>CCD47</t>
  </si>
  <si>
    <t>CCG93</t>
  </si>
  <si>
    <t>CCE99</t>
  </si>
  <si>
    <t>CBG11</t>
  </si>
  <si>
    <t>CBQ18</t>
  </si>
  <si>
    <t>CBU79</t>
  </si>
  <si>
    <t>BZS99</t>
  </si>
  <si>
    <t>CBB96</t>
  </si>
  <si>
    <t>CDR73</t>
  </si>
  <si>
    <t>CDQ93</t>
  </si>
  <si>
    <t>CDJ19</t>
  </si>
  <si>
    <t>CDG84</t>
  </si>
  <si>
    <t>745981537210</t>
  </si>
  <si>
    <t>745804625263</t>
  </si>
  <si>
    <t>ร้านค้า</t>
  </si>
  <si>
    <t>745922009066</t>
  </si>
  <si>
    <t>746025940063</t>
  </si>
  <si>
    <t>วรรณวนัชเบเกอรี่ (ร้านหลัก)</t>
  </si>
  <si>
    <t>วรรณวนัช เบเกอรี่ (ร้านแอม)</t>
  </si>
  <si>
    <t>745984906811</t>
  </si>
  <si>
    <t>746054300025</t>
  </si>
  <si>
    <t>746072821174</t>
  </si>
  <si>
    <t>THT0706Q2NPR8Z</t>
  </si>
  <si>
    <t>746032465371</t>
  </si>
  <si>
    <t>746006321712</t>
  </si>
  <si>
    <t>746010134376</t>
  </si>
  <si>
    <t>745910605963</t>
  </si>
  <si>
    <t>J&amp;T</t>
  </si>
  <si>
    <t>Flash Express Thailand</t>
  </si>
  <si>
    <t>ผู้ให้บริการจัดส่ง</t>
  </si>
  <si>
    <t>หาข้อมูลไม่พบ</t>
  </si>
  <si>
    <t>615057470786</t>
  </si>
  <si>
    <t>ร้าน 1</t>
  </si>
  <si>
    <t>ร้าน 2</t>
  </si>
  <si>
    <t>TH74015249UX3A</t>
  </si>
  <si>
    <t>TH120451ZZQZ4N</t>
  </si>
  <si>
    <t>610725040612</t>
  </si>
  <si>
    <t>TH440952FDCY7B</t>
  </si>
  <si>
    <t>TH011853PHWN6B1</t>
  </si>
  <si>
    <t>614223761981</t>
  </si>
  <si>
    <t>TH2303547BC70H</t>
  </si>
  <si>
    <t>TH01285405MS1C</t>
  </si>
  <si>
    <t>615252946092</t>
  </si>
  <si>
    <t>614112182633</t>
  </si>
  <si>
    <t>วรรณวนัช เบเกอรี่ (ร้านหลัก)</t>
  </si>
  <si>
    <t>TH650151F9P45H0</t>
  </si>
  <si>
    <t>TH740651MW7C1E</t>
  </si>
  <si>
    <t>TH4207521NK48D</t>
  </si>
  <si>
    <t>TH641251572C2B</t>
  </si>
  <si>
    <t>TH2106514C261A1</t>
  </si>
  <si>
    <t>TH210651DZ942A1</t>
  </si>
  <si>
    <t>LEXPU0290156277</t>
  </si>
  <si>
    <t>LEX TH</t>
  </si>
  <si>
    <t>LEXPU0290154371</t>
  </si>
  <si>
    <t>LEXPU0290156077</t>
  </si>
  <si>
    <t>LEXPU0290127124</t>
  </si>
  <si>
    <t>LEXPU0290584384</t>
  </si>
  <si>
    <t>LEXPU0291109446</t>
  </si>
  <si>
    <t>LEXPU0292353680</t>
  </si>
  <si>
    <t>LEXPU0292043962</t>
  </si>
  <si>
    <t>LEXPU0292996211</t>
  </si>
  <si>
    <t>TH42075334DX7B</t>
  </si>
  <si>
    <t>TH541552YVJ97C</t>
  </si>
  <si>
    <t>KERPU0117415667</t>
  </si>
  <si>
    <t>LEXPU0294300869</t>
  </si>
  <si>
    <t>LEXPU0293580729</t>
  </si>
  <si>
    <t>TH420953NS8K3A</t>
  </si>
  <si>
    <t>LEXPU0295169217</t>
  </si>
  <si>
    <t>LEXPU0297134950</t>
  </si>
  <si>
    <t>KERDO0117297599</t>
  </si>
  <si>
    <t>ชิฟฟ่อน เบเกอรี่ (ร้านที่ 10)</t>
  </si>
  <si>
    <t>Facebook</t>
  </si>
  <si>
    <t>Facebook Live</t>
  </si>
  <si>
    <t>Line OA</t>
  </si>
  <si>
    <t>Line</t>
  </si>
  <si>
    <t>Phone</t>
  </si>
  <si>
    <t>EA911576221TH</t>
  </si>
  <si>
    <t>CCM7</t>
  </si>
  <si>
    <t>CFE86</t>
  </si>
  <si>
    <t>578338917842127082</t>
  </si>
  <si>
    <t>578347372318788443</t>
  </si>
  <si>
    <t>THT0146Q20R61Z</t>
  </si>
  <si>
    <t>746036828563</t>
  </si>
  <si>
    <t>KERDO0117108402</t>
  </si>
  <si>
    <t>Kerry_dropoff</t>
  </si>
  <si>
    <t>ชิฟฟ่อน กำแพงแสน  (chiffonk.kps)</t>
  </si>
  <si>
    <t>ข้อมูลไม่ครบ เนื่องจากลูกค้ายกเลิกก่อนยืนยันการส่ง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</si>
  <si>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</si>
  <si>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</si>
  <si>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</si>
  <si>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</si>
  <si>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</si>
  <si>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</si>
  <si>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</si>
  <si>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</si>
  <si>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</si>
  <si>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</si>
  <si>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</si>
  <si>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</si>
  <si>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</si>
  <si>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</si>
  <si>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</si>
  <si>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</si>
  <si>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</si>
  <si>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</si>
  <si>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</si>
  <si>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</si>
  <si>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</si>
  <si>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</si>
  <si>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</si>
  <si>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</si>
  <si>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</si>
  <si>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</si>
  <si>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</si>
  <si>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</si>
  <si>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</si>
  <si>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</si>
  <si>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</si>
  <si>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</si>
  <si>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</si>
  <si>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</si>
  <si>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</si>
  <si>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รายการสินค้าที่ตีกลับมารวมทุกช่องทางขายออนไลน์ เดือนมกราคม 2567</t>
  </si>
  <si>
    <t>ยอดรวม/วัน (ทุกรายการ)</t>
  </si>
  <si>
    <t>สรุปรายการสินค้าที่ตีกลับมารวมทุกช่องทางขายออนไลน์ เดือนมกราคม 2567</t>
  </si>
  <si>
    <t>สรุปรายการของตีกลับของช่องทางออนไลน์ เดือนมกราคม 67</t>
  </si>
  <si>
    <t>จำนวน</t>
  </si>
  <si>
    <t>พายสัปปะรด</t>
  </si>
  <si>
    <t>ไปรษณีย์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</si>
  <si>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</si>
  <si>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</si>
  <si>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</si>
  <si>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สุจิน</t>
  </si>
  <si>
    <t>ใจไหม</t>
  </si>
  <si>
    <t>ยอดคำสั่งซื้อ</t>
  </si>
  <si>
    <t>บาท</t>
  </si>
  <si>
    <t>ยอดเงิน</t>
  </si>
  <si>
    <t>CBY22</t>
  </si>
  <si>
    <t>KERDO0115617685</t>
  </si>
  <si>
    <t>ชิฟฟ่อน เบเกอรี่ (wanwanachcake)</t>
  </si>
  <si>
    <t>แพลตฟอร์ม</t>
  </si>
  <si>
    <t>เกินเวลานัดส่งพัสดุ</t>
  </si>
  <si>
    <t>ลูกค้าตีกลับ เนื่องจาก มดขึ้นขนม ขนมมีรสฟาดเฟื่อน</t>
  </si>
  <si>
    <t>จำนวนออเดอร์</t>
  </si>
  <si>
    <t>ยอดขาย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</si>
</sst>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6"/>
      <color rgb="FF000000"/>
      <name val="Angsana New"/>
      <family val="1"/>
    </font>
    <font>
      <sz val="16"/>
      <color rgb="FF444746"/>
      <name val="Angsana New"/>
      <family val="1"/>
    </font>
    <font>
      <b/>
      <sz val="16"/>
      <color rgb="FF0B57D0"/>
      <name val="Angsana New"/>
      <family val="1"/>
    </font>
    <font>
      <sz val="12"/>
      <color rgb="FF6C6C6C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rgb="FF6600CC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E1E3E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11" borderId="6" xfId="0" applyFont="1" applyFill="1" applyBorder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12" borderId="0" xfId="0" applyFont="1" applyFill="1" applyAlignment="1">
      <alignment horizontal="right" vertical="center" wrapText="1" indent="1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7" fillId="0" borderId="8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center"/>
    </xf>
    <xf numFmtId="0" fontId="18" fillId="13" borderId="0" xfId="0" applyFont="1" applyFill="1" applyAlignment="1">
      <alignment horizontal="center" vertical="center"/>
    </xf>
    <xf numFmtId="14" fontId="18" fillId="13" borderId="0" xfId="0" applyNumberFormat="1" applyFont="1" applyFill="1" applyAlignment="1">
      <alignment horizontal="center" vertical="center"/>
    </xf>
    <xf numFmtId="49" fontId="18" fillId="13" borderId="0" xfId="0" applyNumberFormat="1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43" fontId="2" fillId="0" borderId="0" xfId="1" applyFont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3" fillId="0" borderId="8" xfId="1" applyFont="1" applyBorder="1" applyAlignment="1">
      <alignment horizontal="center"/>
    </xf>
    <xf numFmtId="0" fontId="3" fillId="14" borderId="1" xfId="0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3" fontId="15" fillId="0" borderId="1" xfId="1" applyFont="1" applyBorder="1" applyAlignment="1">
      <alignment horizontal="center" vertical="center" wrapText="1"/>
    </xf>
    <xf numFmtId="43" fontId="3" fillId="0" borderId="8" xfId="0" applyNumberFormat="1" applyFont="1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43" fontId="3" fillId="9" borderId="4" xfId="1" applyFont="1" applyFill="1" applyBorder="1" applyAlignment="1">
      <alignment horizontal="center" vertical="center"/>
    </xf>
    <xf numFmtId="43" fontId="3" fillId="9" borderId="13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3" fontId="3" fillId="8" borderId="4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FF"/>
      <color rgb="FFCCFF99"/>
      <color rgb="FFCCCCFF"/>
      <color rgb="FF00FF99"/>
      <color rgb="FFFF6600"/>
      <color rgb="FFCCFFFF"/>
      <color rgb="FFFF0066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workbookViewId="0">
      <selection activeCell="N9" sqref="A1:N9"/>
    </sheetView>
  </sheetViews>
  <sheetFormatPr defaultColWidth="9.109375" defaultRowHeight="23.4"/>
  <cols>
    <col min="1" max="1" width="17.5546875" style="4" customWidth="1"/>
    <col min="2" max="5" width="14.33203125" style="7" customWidth="1"/>
    <col min="6" max="6" width="11.6640625" style="4" customWidth="1"/>
    <col min="7" max="7" width="11.5546875" style="4" bestFit="1" customWidth="1"/>
    <col min="8" max="10" width="9.109375" style="4"/>
    <col min="11" max="11" width="10.33203125" style="4" bestFit="1" customWidth="1"/>
    <col min="12" max="12" width="9.109375" style="4"/>
    <col min="13" max="13" width="11.44140625" style="4" bestFit="1" customWidth="1"/>
    <col min="14" max="16384" width="9.109375" style="4"/>
  </cols>
  <sheetData>
    <row r="1" spans="1:14" ht="32.4">
      <c r="A1" s="8" t="s">
        <v>522</v>
      </c>
    </row>
    <row r="2" spans="1:14" ht="26.4" customHeight="1">
      <c r="A2" s="70" t="s">
        <v>537</v>
      </c>
      <c r="B2" s="85" t="s">
        <v>114</v>
      </c>
      <c r="C2" s="86"/>
      <c r="D2" s="86"/>
      <c r="E2" s="86"/>
      <c r="F2" s="86"/>
      <c r="G2" s="86"/>
      <c r="H2" s="86"/>
      <c r="I2" s="86"/>
      <c r="J2" s="86"/>
      <c r="K2" s="87"/>
      <c r="L2" s="70" t="s">
        <v>115</v>
      </c>
      <c r="M2" s="73" t="s">
        <v>533</v>
      </c>
    </row>
    <row r="3" spans="1:14" ht="26.4">
      <c r="A3" s="71"/>
      <c r="B3" s="76" t="s">
        <v>83</v>
      </c>
      <c r="C3" s="77"/>
      <c r="D3" s="78" t="s">
        <v>82</v>
      </c>
      <c r="E3" s="79"/>
      <c r="F3" s="80" t="s">
        <v>84</v>
      </c>
      <c r="G3" s="81"/>
      <c r="H3" s="82" t="s">
        <v>538</v>
      </c>
      <c r="I3" s="83"/>
      <c r="J3" s="84" t="s">
        <v>539</v>
      </c>
      <c r="K3" s="84"/>
      <c r="L3" s="71"/>
      <c r="M3" s="74"/>
    </row>
    <row r="4" spans="1:14" ht="52.8">
      <c r="A4" s="72"/>
      <c r="B4" s="22" t="s">
        <v>540</v>
      </c>
      <c r="C4" s="22" t="s">
        <v>541</v>
      </c>
      <c r="D4" s="23" t="s">
        <v>540</v>
      </c>
      <c r="E4" s="23" t="s">
        <v>541</v>
      </c>
      <c r="F4" s="24" t="s">
        <v>540</v>
      </c>
      <c r="G4" s="24" t="s">
        <v>541</v>
      </c>
      <c r="H4" s="25" t="s">
        <v>540</v>
      </c>
      <c r="I4" s="25" t="s">
        <v>541</v>
      </c>
      <c r="J4" s="61" t="s">
        <v>540</v>
      </c>
      <c r="K4" s="61" t="s">
        <v>541</v>
      </c>
      <c r="L4" s="72"/>
      <c r="M4" s="75"/>
    </row>
    <row r="5" spans="1:14">
      <c r="A5" s="14" t="s">
        <v>111</v>
      </c>
      <c r="B5" s="26">
        <v>20</v>
      </c>
      <c r="C5" s="62">
        <v>5679.25</v>
      </c>
      <c r="D5" s="27">
        <v>5</v>
      </c>
      <c r="E5" s="63">
        <v>1044.56</v>
      </c>
      <c r="F5" s="28">
        <v>2</v>
      </c>
      <c r="G5" s="64">
        <v>520.84</v>
      </c>
      <c r="H5" s="65">
        <v>0</v>
      </c>
      <c r="I5" s="66">
        <v>0</v>
      </c>
      <c r="J5" s="67">
        <v>0</v>
      </c>
      <c r="K5" s="68">
        <v>0</v>
      </c>
      <c r="L5" s="17">
        <f>+B5+D5+F5+H5+J5</f>
        <v>27</v>
      </c>
      <c r="M5" s="59">
        <f>+C5+E5+G5+I5+K5</f>
        <v>7244.65</v>
      </c>
    </row>
    <row r="6" spans="1:14">
      <c r="A6" s="14" t="s">
        <v>112</v>
      </c>
      <c r="B6" s="26">
        <v>7</v>
      </c>
      <c r="C6" s="62">
        <v>1194</v>
      </c>
      <c r="D6" s="27">
        <v>4</v>
      </c>
      <c r="E6" s="63">
        <v>1058</v>
      </c>
      <c r="F6" s="28">
        <v>0</v>
      </c>
      <c r="G6" s="64">
        <v>0</v>
      </c>
      <c r="H6" s="65">
        <v>0</v>
      </c>
      <c r="I6" s="66">
        <v>0</v>
      </c>
      <c r="J6" s="67">
        <v>0</v>
      </c>
      <c r="K6" s="68">
        <v>0</v>
      </c>
      <c r="L6" s="17">
        <f t="shared" ref="L6:M8" si="0">+B6+D6+F6+H6+J6</f>
        <v>11</v>
      </c>
      <c r="M6" s="59">
        <f t="shared" si="0"/>
        <v>2252</v>
      </c>
    </row>
    <row r="7" spans="1:14">
      <c r="A7" s="14" t="s">
        <v>113</v>
      </c>
      <c r="B7" s="26">
        <v>6</v>
      </c>
      <c r="C7" s="62">
        <v>1379.5</v>
      </c>
      <c r="D7" s="27">
        <v>8</v>
      </c>
      <c r="E7" s="63">
        <v>2051</v>
      </c>
      <c r="F7" s="28">
        <v>0</v>
      </c>
      <c r="G7" s="64">
        <v>0</v>
      </c>
      <c r="H7" s="65">
        <v>0</v>
      </c>
      <c r="I7" s="66">
        <v>0</v>
      </c>
      <c r="J7" s="67">
        <v>0</v>
      </c>
      <c r="K7" s="68">
        <v>0</v>
      </c>
      <c r="L7" s="17">
        <f t="shared" si="0"/>
        <v>14</v>
      </c>
      <c r="M7" s="59">
        <f t="shared" si="0"/>
        <v>3430.5</v>
      </c>
    </row>
    <row r="8" spans="1:14" ht="93.6">
      <c r="A8" s="15" t="s">
        <v>116</v>
      </c>
      <c r="B8" s="26">
        <v>37</v>
      </c>
      <c r="C8" s="62">
        <v>19049</v>
      </c>
      <c r="D8" s="27">
        <v>35</v>
      </c>
      <c r="E8" s="63">
        <v>13647</v>
      </c>
      <c r="F8" s="28">
        <v>0</v>
      </c>
      <c r="G8" s="64">
        <v>0</v>
      </c>
      <c r="H8" s="65">
        <v>0</v>
      </c>
      <c r="I8" s="66">
        <v>0</v>
      </c>
      <c r="J8" s="67">
        <v>7</v>
      </c>
      <c r="K8" s="68">
        <v>1580</v>
      </c>
      <c r="L8" s="17">
        <f t="shared" si="0"/>
        <v>79</v>
      </c>
      <c r="M8" s="59">
        <f t="shared" si="0"/>
        <v>34276</v>
      </c>
    </row>
    <row r="9" spans="1:14" ht="27" thickBot="1">
      <c r="A9" s="46" t="s">
        <v>326</v>
      </c>
      <c r="B9" s="47">
        <f t="shared" ref="B9:J9" si="1">SUM(B5:B8)</f>
        <v>70</v>
      </c>
      <c r="C9" s="69">
        <f>SUM(C5:C8)</f>
        <v>27301.75</v>
      </c>
      <c r="D9" s="47">
        <f t="shared" si="1"/>
        <v>52</v>
      </c>
      <c r="E9" s="69">
        <f>SUM(E5:E8)</f>
        <v>17800.559999999998</v>
      </c>
      <c r="F9" s="47">
        <f t="shared" si="1"/>
        <v>2</v>
      </c>
      <c r="G9" s="69">
        <f>SUM(G5:G8)</f>
        <v>520.84</v>
      </c>
      <c r="H9" s="47">
        <f t="shared" si="1"/>
        <v>0</v>
      </c>
      <c r="I9" s="69">
        <f>SUM(I5:I8)</f>
        <v>0</v>
      </c>
      <c r="J9" s="47">
        <f t="shared" si="1"/>
        <v>7</v>
      </c>
      <c r="K9" s="69">
        <f>SUM(K5:K8)</f>
        <v>1580</v>
      </c>
      <c r="L9" s="47">
        <f>SUM(L5:L8)</f>
        <v>131</v>
      </c>
      <c r="M9" s="60">
        <f>SUM(M5:M8)</f>
        <v>47203.15</v>
      </c>
      <c r="N9" s="3" t="s">
        <v>532</v>
      </c>
    </row>
    <row r="10" spans="1:14" ht="24" thickTop="1"/>
  </sheetData>
  <mergeCells count="9">
    <mergeCell ref="A2:A4"/>
    <mergeCell ref="B2:K2"/>
    <mergeCell ref="L2:L4"/>
    <mergeCell ref="M2:M4"/>
    <mergeCell ref="B3:C3"/>
    <mergeCell ref="D3:E3"/>
    <mergeCell ref="F3:G3"/>
    <mergeCell ref="H3:I3"/>
    <mergeCell ref="J3:K3"/>
  </mergeCells>
  <pageMargins left="0.25" right="0.25" top="0.75" bottom="0.75" header="0.3" footer="0.3"/>
  <pageSetup paperSize="9" scale="86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tabSelected="1"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sqref="A1:D34"/>
    </sheetView>
  </sheetViews>
  <sheetFormatPr defaultColWidth="9.109375" defaultRowHeight="23.4"/>
  <cols>
    <col min="1" max="1" width="10.88671875" style="2" customWidth="1"/>
    <col min="2" max="2" width="21.44140625" style="2" bestFit="1" customWidth="1"/>
    <col min="3" max="4" width="14.33203125" style="2" customWidth="1"/>
    <col min="5" max="16384" width="9.109375" style="2"/>
  </cols>
  <sheetData>
    <row r="1" spans="1:4" ht="32.4">
      <c r="A1" s="31" t="s">
        <v>521</v>
      </c>
    </row>
    <row r="2" spans="1:4" ht="26.4">
      <c r="A2" s="38" t="s">
        <v>0</v>
      </c>
      <c r="B2" s="38" t="s">
        <v>516</v>
      </c>
      <c r="C2" s="38" t="s">
        <v>523</v>
      </c>
      <c r="D2" s="38" t="s">
        <v>351</v>
      </c>
    </row>
    <row r="3" spans="1:4">
      <c r="A3" s="41">
        <v>1</v>
      </c>
      <c r="B3" s="42" t="s">
        <v>485</v>
      </c>
      <c r="C3" s="42">
        <f>+รายการสินค้าตีกลับ!B35</f>
        <v>306</v>
      </c>
      <c r="D3" s="39"/>
    </row>
    <row r="4" spans="1:4">
      <c r="A4" s="41">
        <v>2</v>
      </c>
      <c r="B4" s="42" t="s">
        <v>486</v>
      </c>
      <c r="C4" s="42">
        <f>+รายการสินค้าตีกลับ!C35</f>
        <v>232</v>
      </c>
      <c r="D4" s="40"/>
    </row>
    <row r="5" spans="1:4">
      <c r="A5" s="41">
        <v>3</v>
      </c>
      <c r="B5" s="42" t="s">
        <v>487</v>
      </c>
      <c r="C5" s="42">
        <f>+รายการสินค้าตีกลับ!D35</f>
        <v>18</v>
      </c>
      <c r="D5" s="40"/>
    </row>
    <row r="6" spans="1:4">
      <c r="A6" s="41">
        <v>4</v>
      </c>
      <c r="B6" s="42" t="s">
        <v>488</v>
      </c>
      <c r="C6" s="42">
        <f>+รายการสินค้าตีกลับ!E35</f>
        <v>23</v>
      </c>
      <c r="D6" s="40"/>
    </row>
    <row r="7" spans="1:4">
      <c r="A7" s="41">
        <v>5</v>
      </c>
      <c r="B7" s="42" t="s">
        <v>489</v>
      </c>
      <c r="C7" s="42">
        <f>+รายการสินค้าตีกลับ!F35</f>
        <v>0</v>
      </c>
      <c r="D7" s="42"/>
    </row>
    <row r="8" spans="1:4">
      <c r="A8" s="41">
        <v>6</v>
      </c>
      <c r="B8" s="42" t="s">
        <v>490</v>
      </c>
      <c r="C8" s="42">
        <f>+รายการสินค้าตีกลับ!G35</f>
        <v>43</v>
      </c>
      <c r="D8" s="42"/>
    </row>
    <row r="9" spans="1:4">
      <c r="A9" s="41">
        <v>7</v>
      </c>
      <c r="B9" s="42" t="s">
        <v>491</v>
      </c>
      <c r="C9" s="42">
        <f>+รายการสินค้าตีกลับ!H35</f>
        <v>23</v>
      </c>
      <c r="D9" s="42"/>
    </row>
    <row r="10" spans="1:4">
      <c r="A10" s="41">
        <v>8</v>
      </c>
      <c r="B10" s="42" t="s">
        <v>492</v>
      </c>
      <c r="C10" s="42">
        <f>+รายการสินค้าตีกลับ!I35</f>
        <v>55</v>
      </c>
      <c r="D10" s="42"/>
    </row>
    <row r="11" spans="1:4">
      <c r="A11" s="41">
        <v>9</v>
      </c>
      <c r="B11" s="42" t="s">
        <v>493</v>
      </c>
      <c r="C11" s="42">
        <f>+รายการสินค้าตีกลับ!J35</f>
        <v>0</v>
      </c>
      <c r="D11" s="42"/>
    </row>
    <row r="12" spans="1:4">
      <c r="A12" s="41">
        <v>10</v>
      </c>
      <c r="B12" s="42" t="s">
        <v>494</v>
      </c>
      <c r="C12" s="42">
        <f>+รายการสินค้าตีกลับ!K35</f>
        <v>2</v>
      </c>
      <c r="D12" s="42"/>
    </row>
    <row r="13" spans="1:4">
      <c r="A13" s="41">
        <v>11</v>
      </c>
      <c r="B13" s="42" t="s">
        <v>495</v>
      </c>
      <c r="C13" s="42">
        <f>+รายการสินค้าตีกลับ!L35</f>
        <v>0</v>
      </c>
      <c r="D13" s="42"/>
    </row>
    <row r="14" spans="1:4">
      <c r="A14" s="41">
        <v>12</v>
      </c>
      <c r="B14" s="42" t="s">
        <v>524</v>
      </c>
      <c r="C14" s="42">
        <f>+รายการสินค้าตีกลับ!M35</f>
        <v>10</v>
      </c>
      <c r="D14" s="42"/>
    </row>
    <row r="15" spans="1:4">
      <c r="A15" s="41">
        <v>13</v>
      </c>
      <c r="B15" s="42" t="s">
        <v>496</v>
      </c>
      <c r="C15" s="42">
        <f>+รายการสินค้าตีกลับ!N35</f>
        <v>0</v>
      </c>
      <c r="D15" s="42"/>
    </row>
    <row r="16" spans="1:4">
      <c r="A16" s="41">
        <v>14</v>
      </c>
      <c r="B16" s="42" t="s">
        <v>497</v>
      </c>
      <c r="C16" s="42">
        <f>+รายการสินค้าตีกลับ!O35</f>
        <v>0</v>
      </c>
      <c r="D16" s="42"/>
    </row>
    <row r="17" spans="1:4">
      <c r="A17" s="41">
        <v>15</v>
      </c>
      <c r="B17" s="42" t="s">
        <v>498</v>
      </c>
      <c r="C17" s="42">
        <f>+รายการสินค้าตีกลับ!P35</f>
        <v>0</v>
      </c>
      <c r="D17" s="42"/>
    </row>
    <row r="18" spans="1:4">
      <c r="A18" s="41">
        <v>16</v>
      </c>
      <c r="B18" s="42" t="s">
        <v>499</v>
      </c>
      <c r="C18" s="42">
        <f>+รายการสินค้าตีกลับ!Q35</f>
        <v>0</v>
      </c>
      <c r="D18" s="42"/>
    </row>
    <row r="19" spans="1:4">
      <c r="A19" s="41">
        <v>17</v>
      </c>
      <c r="B19" s="42" t="s">
        <v>500</v>
      </c>
      <c r="C19" s="42">
        <f>+รายการสินค้าตีกลับ!R35</f>
        <v>0</v>
      </c>
      <c r="D19" s="42"/>
    </row>
    <row r="20" spans="1:4">
      <c r="A20" s="41">
        <v>18</v>
      </c>
      <c r="B20" s="42" t="s">
        <v>501</v>
      </c>
      <c r="C20" s="42">
        <f>+รายการสินค้าตีกลับ!S35</f>
        <v>0</v>
      </c>
      <c r="D20" s="42"/>
    </row>
    <row r="21" spans="1:4">
      <c r="A21" s="41">
        <v>19</v>
      </c>
      <c r="B21" s="42" t="s">
        <v>502</v>
      </c>
      <c r="C21" s="42">
        <f>+รายการสินค้าตีกลับ!T35</f>
        <v>0</v>
      </c>
      <c r="D21" s="42"/>
    </row>
    <row r="22" spans="1:4">
      <c r="A22" s="41">
        <v>20</v>
      </c>
      <c r="B22" s="42" t="s">
        <v>503</v>
      </c>
      <c r="C22" s="42">
        <f>+รายการสินค้าตีกลับ!U35</f>
        <v>0</v>
      </c>
      <c r="D22" s="42"/>
    </row>
    <row r="23" spans="1:4">
      <c r="A23" s="41">
        <v>21</v>
      </c>
      <c r="B23" s="42" t="s">
        <v>504</v>
      </c>
      <c r="C23" s="42">
        <f>+รายการสินค้าตีกลับ!V35</f>
        <v>0</v>
      </c>
      <c r="D23" s="42"/>
    </row>
    <row r="24" spans="1:4">
      <c r="A24" s="41">
        <v>22</v>
      </c>
      <c r="B24" s="42" t="s">
        <v>505</v>
      </c>
      <c r="C24" s="42">
        <f>+รายการสินค้าตีกลับ!W35</f>
        <v>0</v>
      </c>
      <c r="D24" s="42"/>
    </row>
    <row r="25" spans="1:4">
      <c r="A25" s="41">
        <v>23</v>
      </c>
      <c r="B25" s="42" t="s">
        <v>506</v>
      </c>
      <c r="C25" s="42">
        <f>+รายการสินค้าตีกลับ!X35</f>
        <v>30</v>
      </c>
      <c r="D25" s="42"/>
    </row>
    <row r="26" spans="1:4">
      <c r="A26" s="41">
        <v>24</v>
      </c>
      <c r="B26" s="42" t="s">
        <v>507</v>
      </c>
      <c r="C26" s="42">
        <f>+รายการสินค้าตีกลับ!Y35</f>
        <v>0</v>
      </c>
      <c r="D26" s="42"/>
    </row>
    <row r="27" spans="1:4">
      <c r="A27" s="41">
        <v>25</v>
      </c>
      <c r="B27" s="42" t="s">
        <v>508</v>
      </c>
      <c r="C27" s="42">
        <f>+รายการสินค้าตีกลับ!Z35</f>
        <v>0</v>
      </c>
      <c r="D27" s="42"/>
    </row>
    <row r="28" spans="1:4">
      <c r="A28" s="41">
        <v>26</v>
      </c>
      <c r="B28" s="42" t="s">
        <v>509</v>
      </c>
      <c r="C28" s="42">
        <f>+รายการสินค้าตีกลับ!AA35</f>
        <v>2</v>
      </c>
      <c r="D28" s="42"/>
    </row>
    <row r="29" spans="1:4">
      <c r="A29" s="41">
        <v>27</v>
      </c>
      <c r="B29" s="42" t="s">
        <v>510</v>
      </c>
      <c r="C29" s="42">
        <f>+รายการสินค้าตีกลับ!AB35</f>
        <v>1</v>
      </c>
      <c r="D29" s="42"/>
    </row>
    <row r="30" spans="1:4">
      <c r="A30" s="41">
        <v>28</v>
      </c>
      <c r="B30" s="42" t="s">
        <v>511</v>
      </c>
      <c r="C30" s="42">
        <f>+รายการสินค้าตีกลับ!AC35</f>
        <v>0</v>
      </c>
      <c r="D30" s="42"/>
    </row>
    <row r="31" spans="1:4">
      <c r="A31" s="41">
        <v>29</v>
      </c>
      <c r="B31" s="42" t="s">
        <v>512</v>
      </c>
      <c r="C31" s="42">
        <f>+รายการสินค้าตีกลับ!AD35</f>
        <v>0</v>
      </c>
      <c r="D31" s="42"/>
    </row>
    <row r="32" spans="1:4">
      <c r="A32" s="41">
        <v>30</v>
      </c>
      <c r="B32" s="42" t="s">
        <v>513</v>
      </c>
      <c r="C32" s="42">
        <f>+รายการสินค้าตีกลับ!AE35</f>
        <v>56</v>
      </c>
      <c r="D32" s="42"/>
    </row>
    <row r="33" spans="1:4">
      <c r="A33" s="41">
        <v>31</v>
      </c>
      <c r="B33" s="42" t="s">
        <v>514</v>
      </c>
      <c r="C33" s="42">
        <f>+รายการสินค้าตีกลับ!AF35</f>
        <v>95</v>
      </c>
      <c r="D33" s="42"/>
    </row>
    <row r="34" spans="1:4" ht="29.4" thickBot="1">
      <c r="B34" s="43" t="s">
        <v>515</v>
      </c>
      <c r="C34" s="44">
        <f>SUM(C3:C33)</f>
        <v>896</v>
      </c>
      <c r="D34" s="45" t="s">
        <v>517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N30"/>
  <sheetViews>
    <sheetView zoomScale="70" zoomScaleNormal="70" workbookViewId="0">
      <pane xSplit="10" ySplit="3" topLeftCell="K4" activePane="bottomRight" state="frozen"/>
      <selection pane="topRight" activeCell="H1" sqref="H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3.44140625" style="4" customWidth="1"/>
    <col min="2" max="2" width="10.6640625" style="4" bestFit="1" customWidth="1"/>
    <col min="3" max="3" width="17" style="5" bestFit="1" customWidth="1"/>
    <col min="4" max="4" width="33.44140625" style="5" bestFit="1" customWidth="1"/>
    <col min="5" max="5" width="25.5546875" style="5" customWidth="1"/>
    <col min="6" max="6" width="31.5546875" style="5" bestFit="1" customWidth="1"/>
    <col min="7" max="7" width="12.109375" style="4" bestFit="1" customWidth="1"/>
    <col min="8" max="8" width="14.5546875" style="4" bestFit="1" customWidth="1"/>
    <col min="9" max="9" width="14.5546875" style="4" customWidth="1"/>
    <col min="10" max="10" width="24.88671875" style="4" bestFit="1" customWidth="1"/>
    <col min="11" max="11" width="45.6640625" style="4" bestFit="1" customWidth="1"/>
    <col min="12" max="12" width="9" style="4" customWidth="1"/>
    <col min="13" max="13" width="9.109375" style="4"/>
    <col min="14" max="14" width="24.88671875" style="4" bestFit="1" customWidth="1"/>
    <col min="15" max="16384" width="9.109375" style="4"/>
  </cols>
  <sheetData>
    <row r="1" spans="1:14" ht="33" thickBot="1">
      <c r="A1" s="8" t="s">
        <v>85</v>
      </c>
      <c r="H1" s="56" t="s">
        <v>115</v>
      </c>
      <c r="I1" s="55">
        <f>SUBTOTAL(9,I4:I12000)</f>
        <v>7244.6499999999987</v>
      </c>
      <c r="J1" s="57" t="s">
        <v>532</v>
      </c>
    </row>
    <row r="2" spans="1:14" s="3" customFormat="1" ht="24" thickTop="1">
      <c r="A2" s="93" t="s">
        <v>0</v>
      </c>
      <c r="B2" s="93" t="s">
        <v>31</v>
      </c>
      <c r="C2" s="94" t="s">
        <v>32</v>
      </c>
      <c r="D2" s="94" t="s">
        <v>2</v>
      </c>
      <c r="E2" s="90" t="s">
        <v>426</v>
      </c>
      <c r="F2" s="90" t="s">
        <v>411</v>
      </c>
      <c r="G2" s="93" t="s">
        <v>1</v>
      </c>
      <c r="H2" s="93"/>
      <c r="I2" s="95" t="s">
        <v>531</v>
      </c>
      <c r="J2" s="93" t="s">
        <v>3</v>
      </c>
      <c r="K2" s="92" t="s">
        <v>351</v>
      </c>
      <c r="N2" s="88" t="s">
        <v>81</v>
      </c>
    </row>
    <row r="3" spans="1:14" s="3" customFormat="1">
      <c r="A3" s="93"/>
      <c r="B3" s="93"/>
      <c r="C3" s="94"/>
      <c r="D3" s="94"/>
      <c r="E3" s="91"/>
      <c r="F3" s="91"/>
      <c r="G3" s="11" t="s">
        <v>79</v>
      </c>
      <c r="H3" s="11" t="s">
        <v>80</v>
      </c>
      <c r="I3" s="96"/>
      <c r="J3" s="93"/>
      <c r="K3" s="92"/>
      <c r="N3" s="89"/>
    </row>
    <row r="4" spans="1:14">
      <c r="A4" s="4">
        <v>1</v>
      </c>
      <c r="B4" s="9">
        <v>243621</v>
      </c>
      <c r="C4" s="6" t="s">
        <v>8</v>
      </c>
      <c r="D4" s="6" t="s">
        <v>442</v>
      </c>
      <c r="E4" s="6" t="s">
        <v>425</v>
      </c>
      <c r="F4" s="6" t="s">
        <v>441</v>
      </c>
      <c r="G4" s="7" t="s">
        <v>39</v>
      </c>
      <c r="H4" s="5" t="s">
        <v>40</v>
      </c>
      <c r="I4" s="54">
        <v>288.24</v>
      </c>
      <c r="J4" s="4" t="s">
        <v>83</v>
      </c>
      <c r="N4" s="10" t="s">
        <v>83</v>
      </c>
    </row>
    <row r="5" spans="1:14">
      <c r="A5" s="4">
        <v>2</v>
      </c>
      <c r="B5" s="9">
        <v>243621</v>
      </c>
      <c r="C5" s="6" t="s">
        <v>12</v>
      </c>
      <c r="D5" s="6" t="s">
        <v>443</v>
      </c>
      <c r="E5" s="6" t="s">
        <v>425</v>
      </c>
      <c r="F5" s="6" t="s">
        <v>441</v>
      </c>
      <c r="G5" s="7" t="s">
        <v>53</v>
      </c>
      <c r="H5" s="5" t="s">
        <v>54</v>
      </c>
      <c r="I5" s="54">
        <v>153</v>
      </c>
      <c r="J5" s="4" t="s">
        <v>83</v>
      </c>
      <c r="N5" s="10" t="s">
        <v>82</v>
      </c>
    </row>
    <row r="6" spans="1:14">
      <c r="A6" s="4">
        <v>3</v>
      </c>
      <c r="B6" s="9">
        <v>243621</v>
      </c>
      <c r="C6" s="5" t="s">
        <v>13</v>
      </c>
      <c r="D6" s="5" t="s">
        <v>444</v>
      </c>
      <c r="E6" s="6" t="s">
        <v>425</v>
      </c>
      <c r="F6" s="6" t="s">
        <v>441</v>
      </c>
      <c r="G6" s="4" t="s">
        <v>38</v>
      </c>
      <c r="H6" s="5" t="s">
        <v>55</v>
      </c>
      <c r="I6" s="54">
        <v>70</v>
      </c>
      <c r="J6" s="4" t="s">
        <v>83</v>
      </c>
      <c r="N6" s="10" t="s">
        <v>84</v>
      </c>
    </row>
    <row r="7" spans="1:14">
      <c r="A7" s="4">
        <v>4</v>
      </c>
      <c r="B7" s="9">
        <v>243621</v>
      </c>
      <c r="C7" s="5" t="s">
        <v>14</v>
      </c>
      <c r="D7" s="5" t="s">
        <v>445</v>
      </c>
      <c r="E7" s="6" t="s">
        <v>425</v>
      </c>
      <c r="F7" s="6" t="s">
        <v>441</v>
      </c>
      <c r="G7" s="4" t="s">
        <v>56</v>
      </c>
      <c r="H7" s="5" t="s">
        <v>57</v>
      </c>
      <c r="I7" s="54">
        <v>321.3</v>
      </c>
      <c r="J7" s="4" t="s">
        <v>83</v>
      </c>
      <c r="N7" s="10" t="s">
        <v>118</v>
      </c>
    </row>
    <row r="8" spans="1:14">
      <c r="A8" s="4">
        <v>5</v>
      </c>
      <c r="B8" s="9">
        <v>243621</v>
      </c>
      <c r="C8" s="6" t="s">
        <v>15</v>
      </c>
      <c r="D8" s="6" t="s">
        <v>446</v>
      </c>
      <c r="E8" s="6" t="s">
        <v>425</v>
      </c>
      <c r="F8" s="6" t="s">
        <v>441</v>
      </c>
      <c r="G8" s="7" t="s">
        <v>58</v>
      </c>
      <c r="H8" s="5" t="s">
        <v>59</v>
      </c>
      <c r="I8" s="54">
        <v>929.84</v>
      </c>
      <c r="J8" s="4" t="s">
        <v>83</v>
      </c>
    </row>
    <row r="9" spans="1:14">
      <c r="A9" s="4">
        <v>6</v>
      </c>
      <c r="B9" s="9">
        <v>243621</v>
      </c>
      <c r="C9" s="6" t="s">
        <v>16</v>
      </c>
      <c r="D9" s="6" t="s">
        <v>447</v>
      </c>
      <c r="E9" s="6" t="s">
        <v>425</v>
      </c>
      <c r="F9" s="6" t="s">
        <v>441</v>
      </c>
      <c r="G9" s="4" t="s">
        <v>58</v>
      </c>
      <c r="H9" s="5" t="s">
        <v>59</v>
      </c>
      <c r="I9" s="54">
        <v>1098.05</v>
      </c>
      <c r="J9" s="4" t="s">
        <v>83</v>
      </c>
    </row>
    <row r="10" spans="1:14">
      <c r="A10" s="4">
        <v>7</v>
      </c>
      <c r="B10" s="9">
        <v>243622</v>
      </c>
      <c r="C10" s="5" t="s">
        <v>17</v>
      </c>
      <c r="D10" s="5" t="s">
        <v>448</v>
      </c>
      <c r="E10" s="5" t="s">
        <v>449</v>
      </c>
      <c r="F10" s="6" t="s">
        <v>441</v>
      </c>
      <c r="G10" s="4" t="s">
        <v>41</v>
      </c>
      <c r="H10" s="5" t="s">
        <v>42</v>
      </c>
      <c r="I10" s="54">
        <v>159.93</v>
      </c>
      <c r="J10" s="4" t="s">
        <v>83</v>
      </c>
    </row>
    <row r="11" spans="1:14">
      <c r="A11" s="4">
        <v>8</v>
      </c>
      <c r="B11" s="9">
        <v>243622</v>
      </c>
      <c r="C11" s="6" t="s">
        <v>18</v>
      </c>
      <c r="D11" s="6" t="s">
        <v>450</v>
      </c>
      <c r="E11" s="5" t="s">
        <v>449</v>
      </c>
      <c r="F11" s="6" t="s">
        <v>441</v>
      </c>
      <c r="G11" s="7" t="s">
        <v>60</v>
      </c>
      <c r="H11" s="5" t="s">
        <v>61</v>
      </c>
      <c r="I11" s="54">
        <v>259</v>
      </c>
      <c r="J11" s="4" t="s">
        <v>83</v>
      </c>
    </row>
    <row r="12" spans="1:14">
      <c r="A12" s="4">
        <v>9</v>
      </c>
      <c r="B12" s="9">
        <v>243622</v>
      </c>
      <c r="C12" s="6" t="s">
        <v>19</v>
      </c>
      <c r="D12" s="6" t="s">
        <v>451</v>
      </c>
      <c r="E12" s="5" t="s">
        <v>449</v>
      </c>
      <c r="F12" s="6" t="s">
        <v>441</v>
      </c>
      <c r="G12" s="5" t="s">
        <v>62</v>
      </c>
      <c r="H12" s="4" t="s">
        <v>63</v>
      </c>
      <c r="I12" s="54">
        <v>66.75</v>
      </c>
      <c r="J12" s="4" t="s">
        <v>83</v>
      </c>
    </row>
    <row r="13" spans="1:14">
      <c r="A13" s="4">
        <v>10</v>
      </c>
      <c r="B13" s="9">
        <v>243623</v>
      </c>
      <c r="C13" s="5" t="s">
        <v>4</v>
      </c>
      <c r="D13" s="5" t="s">
        <v>452</v>
      </c>
      <c r="E13" s="5" t="s">
        <v>449</v>
      </c>
      <c r="F13" s="6" t="s">
        <v>441</v>
      </c>
      <c r="G13" s="7" t="s">
        <v>76</v>
      </c>
      <c r="H13" s="5" t="s">
        <v>43</v>
      </c>
      <c r="I13" s="54">
        <v>482.1</v>
      </c>
      <c r="J13" s="4" t="s">
        <v>82</v>
      </c>
    </row>
    <row r="14" spans="1:14">
      <c r="A14" s="4">
        <v>11</v>
      </c>
      <c r="B14" s="9">
        <v>243626</v>
      </c>
      <c r="C14" s="5" t="s">
        <v>5</v>
      </c>
      <c r="D14" s="5" t="s">
        <v>535</v>
      </c>
      <c r="E14" s="5" t="s">
        <v>449</v>
      </c>
      <c r="F14" s="5" t="s">
        <v>482</v>
      </c>
      <c r="G14" s="4" t="s">
        <v>77</v>
      </c>
      <c r="H14" s="5" t="s">
        <v>44</v>
      </c>
      <c r="I14" s="54">
        <v>228.56</v>
      </c>
      <c r="J14" s="4" t="s">
        <v>83</v>
      </c>
      <c r="K14" s="5" t="s">
        <v>483</v>
      </c>
    </row>
    <row r="15" spans="1:14">
      <c r="A15" s="4">
        <v>12</v>
      </c>
      <c r="B15" s="9">
        <v>243627</v>
      </c>
      <c r="C15" s="5" t="s">
        <v>9</v>
      </c>
      <c r="D15" s="5" t="s">
        <v>453</v>
      </c>
      <c r="E15" s="5" t="s">
        <v>449</v>
      </c>
      <c r="F15" s="6" t="s">
        <v>441</v>
      </c>
      <c r="G15" s="4" t="s">
        <v>45</v>
      </c>
      <c r="H15" s="5" t="s">
        <v>46</v>
      </c>
      <c r="I15" s="54">
        <v>144.12</v>
      </c>
      <c r="J15" s="4" t="s">
        <v>83</v>
      </c>
    </row>
    <row r="16" spans="1:14">
      <c r="A16" s="4">
        <v>13</v>
      </c>
      <c r="B16" s="9">
        <v>243627</v>
      </c>
      <c r="C16" s="5" t="s">
        <v>20</v>
      </c>
      <c r="D16" s="5" t="s">
        <v>454</v>
      </c>
      <c r="E16" s="5" t="s">
        <v>449</v>
      </c>
      <c r="F16" s="6" t="s">
        <v>441</v>
      </c>
      <c r="G16" s="4" t="s">
        <v>78</v>
      </c>
      <c r="H16" s="5" t="s">
        <v>64</v>
      </c>
      <c r="I16" s="54">
        <v>172.98</v>
      </c>
      <c r="J16" s="4" t="s">
        <v>83</v>
      </c>
    </row>
    <row r="17" spans="1:11">
      <c r="A17" s="4">
        <v>14</v>
      </c>
      <c r="B17" s="9">
        <v>243628</v>
      </c>
      <c r="C17" s="5" t="s">
        <v>10</v>
      </c>
      <c r="D17" s="5" t="s">
        <v>455</v>
      </c>
      <c r="E17" s="5" t="s">
        <v>449</v>
      </c>
      <c r="F17" s="6" t="s">
        <v>441</v>
      </c>
      <c r="G17" s="4" t="s">
        <v>47</v>
      </c>
      <c r="H17" s="5" t="s">
        <v>48</v>
      </c>
      <c r="I17" s="54">
        <v>204</v>
      </c>
      <c r="J17" s="4" t="s">
        <v>83</v>
      </c>
    </row>
    <row r="18" spans="1:11">
      <c r="A18" s="4">
        <v>15</v>
      </c>
      <c r="B18" s="9">
        <v>243628</v>
      </c>
      <c r="C18" s="6" t="s">
        <v>30</v>
      </c>
      <c r="D18" s="6" t="s">
        <v>456</v>
      </c>
      <c r="E18" s="5" t="s">
        <v>449</v>
      </c>
      <c r="F18" s="6" t="s">
        <v>441</v>
      </c>
      <c r="G18" s="4" t="s">
        <v>34</v>
      </c>
      <c r="H18" s="5" t="s">
        <v>35</v>
      </c>
      <c r="I18" s="54">
        <v>125.25</v>
      </c>
      <c r="J18" s="4" t="s">
        <v>83</v>
      </c>
    </row>
    <row r="19" spans="1:11">
      <c r="A19" s="4">
        <v>16</v>
      </c>
      <c r="B19" s="9">
        <v>243630</v>
      </c>
      <c r="C19" s="5" t="s">
        <v>6</v>
      </c>
      <c r="D19" s="5" t="s">
        <v>457</v>
      </c>
      <c r="E19" s="5" t="s">
        <v>449</v>
      </c>
      <c r="F19" s="6" t="s">
        <v>441</v>
      </c>
      <c r="G19" s="4" t="s">
        <v>49</v>
      </c>
      <c r="H19" s="5" t="s">
        <v>36</v>
      </c>
      <c r="I19" s="54">
        <v>125</v>
      </c>
      <c r="J19" s="4" t="s">
        <v>82</v>
      </c>
    </row>
    <row r="20" spans="1:11">
      <c r="A20" s="4">
        <v>17</v>
      </c>
      <c r="B20" s="9">
        <v>243632</v>
      </c>
      <c r="C20" s="5" t="s">
        <v>11</v>
      </c>
      <c r="D20" s="5" t="s">
        <v>458</v>
      </c>
      <c r="E20" s="6" t="s">
        <v>425</v>
      </c>
      <c r="F20" s="6" t="s">
        <v>441</v>
      </c>
      <c r="G20" s="4" t="s">
        <v>37</v>
      </c>
      <c r="H20" s="5"/>
      <c r="I20" s="54">
        <v>190.03</v>
      </c>
      <c r="J20" s="4" t="s">
        <v>83</v>
      </c>
    </row>
    <row r="21" spans="1:11">
      <c r="A21" s="4">
        <v>18</v>
      </c>
      <c r="B21" s="9">
        <v>243632</v>
      </c>
      <c r="C21" s="5" t="s">
        <v>21</v>
      </c>
      <c r="D21" s="5" t="s">
        <v>459</v>
      </c>
      <c r="E21" s="6" t="s">
        <v>425</v>
      </c>
      <c r="F21" s="6" t="s">
        <v>441</v>
      </c>
      <c r="G21" s="4" t="s">
        <v>65</v>
      </c>
      <c r="H21" s="4" t="s">
        <v>66</v>
      </c>
      <c r="I21" s="54">
        <v>127.28</v>
      </c>
      <c r="J21" s="4" t="s">
        <v>82</v>
      </c>
    </row>
    <row r="22" spans="1:11">
      <c r="A22" s="4">
        <v>19</v>
      </c>
      <c r="B22" s="9">
        <v>243632</v>
      </c>
      <c r="C22" s="5" t="s">
        <v>22</v>
      </c>
      <c r="D22" s="5" t="s">
        <v>460</v>
      </c>
      <c r="E22" s="5" t="s">
        <v>449</v>
      </c>
      <c r="F22" s="6" t="s">
        <v>441</v>
      </c>
      <c r="G22" s="5" t="s">
        <v>67</v>
      </c>
      <c r="H22" s="4" t="s">
        <v>68</v>
      </c>
      <c r="I22" s="54">
        <v>412.1</v>
      </c>
      <c r="J22" s="4" t="s">
        <v>84</v>
      </c>
    </row>
    <row r="23" spans="1:11">
      <c r="A23" s="4">
        <v>20</v>
      </c>
      <c r="B23" s="9">
        <v>243632</v>
      </c>
      <c r="C23" s="5" t="s">
        <v>27</v>
      </c>
      <c r="D23" s="5" t="s">
        <v>27</v>
      </c>
      <c r="F23" s="6" t="s">
        <v>441</v>
      </c>
      <c r="G23" s="4" t="s">
        <v>69</v>
      </c>
      <c r="H23" s="5" t="s">
        <v>33</v>
      </c>
      <c r="I23" s="54">
        <v>108.74</v>
      </c>
      <c r="J23" s="4" t="s">
        <v>84</v>
      </c>
      <c r="K23" s="5" t="s">
        <v>483</v>
      </c>
    </row>
    <row r="24" spans="1:11">
      <c r="A24" s="4">
        <v>21</v>
      </c>
      <c r="B24" s="9">
        <v>243634</v>
      </c>
      <c r="C24" s="5" t="s">
        <v>23</v>
      </c>
      <c r="D24" s="5" t="s">
        <v>461</v>
      </c>
      <c r="E24" s="5" t="s">
        <v>449</v>
      </c>
      <c r="F24" s="6" t="s">
        <v>441</v>
      </c>
      <c r="G24" s="4" t="s">
        <v>38</v>
      </c>
      <c r="H24" s="5"/>
      <c r="I24" s="54">
        <v>178.04</v>
      </c>
      <c r="J24" s="4" t="s">
        <v>83</v>
      </c>
    </row>
    <row r="25" spans="1:11">
      <c r="A25" s="4">
        <v>22</v>
      </c>
      <c r="B25" s="9">
        <v>243634</v>
      </c>
      <c r="C25" s="5" t="s">
        <v>24</v>
      </c>
      <c r="D25" s="5" t="s">
        <v>462</v>
      </c>
      <c r="E25" s="5" t="s">
        <v>449</v>
      </c>
      <c r="F25" s="6" t="s">
        <v>441</v>
      </c>
      <c r="G25" s="4" t="s">
        <v>70</v>
      </c>
      <c r="H25" s="5" t="s">
        <v>71</v>
      </c>
      <c r="I25" s="54">
        <v>87.48</v>
      </c>
      <c r="J25" s="4" t="s">
        <v>83</v>
      </c>
    </row>
    <row r="26" spans="1:11">
      <c r="A26" s="4">
        <v>23</v>
      </c>
      <c r="B26" s="9">
        <v>243634</v>
      </c>
      <c r="C26" s="6" t="s">
        <v>28</v>
      </c>
      <c r="D26" s="6" t="s">
        <v>463</v>
      </c>
      <c r="E26" s="6" t="s">
        <v>425</v>
      </c>
      <c r="F26" s="6" t="s">
        <v>441</v>
      </c>
      <c r="G26" s="4" t="s">
        <v>72</v>
      </c>
      <c r="H26" s="5" t="s">
        <v>73</v>
      </c>
      <c r="I26" s="54">
        <v>671.53</v>
      </c>
      <c r="J26" s="4" t="s">
        <v>83</v>
      </c>
    </row>
    <row r="27" spans="1:11">
      <c r="A27" s="4">
        <v>24</v>
      </c>
      <c r="B27" s="9">
        <v>243641</v>
      </c>
      <c r="C27" s="5" t="s">
        <v>25</v>
      </c>
      <c r="D27" s="5" t="s">
        <v>480</v>
      </c>
      <c r="E27" s="5" t="s">
        <v>481</v>
      </c>
      <c r="F27" s="5" t="s">
        <v>482</v>
      </c>
      <c r="G27" s="4" t="s">
        <v>50</v>
      </c>
      <c r="H27" s="5" t="s">
        <v>51</v>
      </c>
      <c r="I27" s="54">
        <v>91.25</v>
      </c>
      <c r="J27" s="4" t="s">
        <v>83</v>
      </c>
    </row>
    <row r="28" spans="1:11">
      <c r="A28" s="4">
        <v>25</v>
      </c>
      <c r="B28" s="9">
        <v>243641</v>
      </c>
      <c r="C28" s="5" t="s">
        <v>26</v>
      </c>
      <c r="D28" s="5" t="s">
        <v>464</v>
      </c>
      <c r="E28" s="5" t="s">
        <v>449</v>
      </c>
      <c r="F28" s="6" t="s">
        <v>441</v>
      </c>
      <c r="G28" s="4" t="s">
        <v>74</v>
      </c>
      <c r="H28" s="5"/>
      <c r="I28" s="54">
        <v>200.06</v>
      </c>
      <c r="J28" s="4" t="s">
        <v>82</v>
      </c>
    </row>
    <row r="29" spans="1:11">
      <c r="A29" s="4">
        <v>26</v>
      </c>
      <c r="B29" s="9">
        <v>243641</v>
      </c>
      <c r="C29" s="6" t="s">
        <v>29</v>
      </c>
      <c r="D29" s="6" t="s">
        <v>466</v>
      </c>
      <c r="E29" s="5" t="s">
        <v>449</v>
      </c>
      <c r="F29" s="6" t="s">
        <v>536</v>
      </c>
      <c r="G29" s="4" t="s">
        <v>75</v>
      </c>
      <c r="H29" s="5"/>
      <c r="I29" s="54">
        <v>239.9</v>
      </c>
      <c r="J29" s="4" t="s">
        <v>83</v>
      </c>
    </row>
    <row r="30" spans="1:11">
      <c r="A30" s="4">
        <v>27</v>
      </c>
      <c r="B30" s="9">
        <v>243646</v>
      </c>
      <c r="C30" s="5" t="s">
        <v>7</v>
      </c>
      <c r="D30" s="5" t="s">
        <v>465</v>
      </c>
      <c r="E30" s="5" t="s">
        <v>449</v>
      </c>
      <c r="F30" s="6" t="s">
        <v>467</v>
      </c>
      <c r="G30" s="4" t="s">
        <v>74</v>
      </c>
      <c r="H30" s="5" t="s">
        <v>52</v>
      </c>
      <c r="I30" s="54">
        <v>110.12</v>
      </c>
      <c r="J30" s="4" t="s">
        <v>82</v>
      </c>
    </row>
  </sheetData>
  <autoFilter ref="A3:AQ31" xr:uid="{1679A882-3BE8-43A3-822B-826BDED3B85D}"/>
  <mergeCells count="11">
    <mergeCell ref="N2:N3"/>
    <mergeCell ref="E2:E3"/>
    <mergeCell ref="F2:F3"/>
    <mergeCell ref="K2:K3"/>
    <mergeCell ref="A2:A3"/>
    <mergeCell ref="C2:C3"/>
    <mergeCell ref="D2:D3"/>
    <mergeCell ref="J2:J3"/>
    <mergeCell ref="B2:B3"/>
    <mergeCell ref="G2:H2"/>
    <mergeCell ref="I2:I3"/>
  </mergeCells>
  <dataValidations count="4">
    <dataValidation type="list" allowBlank="1" showInputMessage="1" showErrorMessage="1" sqref="J32:J1048576 J2:J30" xr:uid="{150B485C-0F1F-4EAC-A79B-B7098D1663FC}">
      <formula1>$N$4:$N$15</formula1>
    </dataValidation>
    <dataValidation type="list" allowBlank="1" showInputMessage="1" showErrorMessage="1" sqref="F29" xr:uid="{682843FE-B1BF-4509-94DB-0095DA900EB5}">
      <formula1>$O$4:$O$13</formula1>
    </dataValidation>
    <dataValidation type="list" allowBlank="1" showInputMessage="1" showErrorMessage="1" sqref="J1" xr:uid="{3128C77D-FCE7-4605-939D-524BDE69D773}">
      <formula1>$M$4:$M$70</formula1>
    </dataValidation>
    <dataValidation type="list" allowBlank="1" showInputMessage="1" showErrorMessage="1" sqref="J1" xr:uid="{6104A220-0788-4A67-9301-7DCB83E5073F}">
      <formula1>$M$4:$M$46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M30"/>
  <sheetViews>
    <sheetView zoomScale="85" zoomScaleNormal="85" workbookViewId="0">
      <pane xSplit="10" ySplit="3" topLeftCell="K4" activePane="bottomRight" state="frozen"/>
      <selection pane="topRight" activeCell="H1" sqref="H1"/>
      <selection pane="bottomLeft" activeCell="A4" sqref="A4"/>
      <selection pane="bottomRight" activeCell="J1" sqref="H1:J1"/>
    </sheetView>
  </sheetViews>
  <sheetFormatPr defaultColWidth="9.109375" defaultRowHeight="23.4"/>
  <cols>
    <col min="1" max="1" width="12.5546875" style="4" customWidth="1"/>
    <col min="2" max="2" width="10" style="4" bestFit="1" customWidth="1"/>
    <col min="3" max="3" width="18" style="5" bestFit="1" customWidth="1"/>
    <col min="4" max="4" width="21.44140625" style="5" bestFit="1" customWidth="1"/>
    <col min="5" max="5" width="20.33203125" style="5" customWidth="1"/>
    <col min="6" max="6" width="17.5546875" style="5" customWidth="1"/>
    <col min="7" max="9" width="15.33203125" style="4" customWidth="1"/>
    <col min="10" max="10" width="24.33203125" style="4" bestFit="1" customWidth="1"/>
    <col min="11" max="11" width="13.44140625" style="4" bestFit="1" customWidth="1"/>
    <col min="12" max="12" width="9" style="4" customWidth="1"/>
    <col min="13" max="13" width="26" style="4" customWidth="1"/>
    <col min="14" max="16384" width="9.109375" style="4"/>
  </cols>
  <sheetData>
    <row r="1" spans="1:13" ht="33" thickBot="1">
      <c r="A1" s="8" t="s">
        <v>86</v>
      </c>
      <c r="H1" s="56" t="s">
        <v>115</v>
      </c>
      <c r="I1" s="55">
        <f>SUBTOTAL(9,I4:I12000)</f>
        <v>2252</v>
      </c>
      <c r="J1" s="57" t="s">
        <v>532</v>
      </c>
    </row>
    <row r="2" spans="1:13" s="3" customFormat="1" ht="24" thickTop="1">
      <c r="A2" s="99" t="s">
        <v>0</v>
      </c>
      <c r="B2" s="99" t="s">
        <v>31</v>
      </c>
      <c r="C2" s="100" t="s">
        <v>32</v>
      </c>
      <c r="D2" s="100" t="s">
        <v>2</v>
      </c>
      <c r="E2" s="97" t="s">
        <v>426</v>
      </c>
      <c r="F2" s="97" t="s">
        <v>411</v>
      </c>
      <c r="G2" s="99" t="s">
        <v>1</v>
      </c>
      <c r="H2" s="99"/>
      <c r="I2" s="101" t="s">
        <v>531</v>
      </c>
      <c r="J2" s="99" t="s">
        <v>3</v>
      </c>
      <c r="K2" s="92" t="s">
        <v>351</v>
      </c>
      <c r="M2" s="88" t="s">
        <v>81</v>
      </c>
    </row>
    <row r="3" spans="1:13" s="3" customFormat="1">
      <c r="A3" s="99"/>
      <c r="B3" s="99"/>
      <c r="C3" s="100"/>
      <c r="D3" s="100"/>
      <c r="E3" s="98"/>
      <c r="F3" s="98"/>
      <c r="G3" s="12" t="s">
        <v>79</v>
      </c>
      <c r="H3" s="12" t="s">
        <v>80</v>
      </c>
      <c r="I3" s="102"/>
      <c r="J3" s="99"/>
      <c r="K3" s="92"/>
      <c r="M3" s="89"/>
    </row>
    <row r="4" spans="1:13">
      <c r="A4" s="4">
        <v>1</v>
      </c>
      <c r="B4" s="9">
        <v>243619</v>
      </c>
      <c r="C4" s="6" t="s">
        <v>87</v>
      </c>
      <c r="D4" s="30" t="s">
        <v>428</v>
      </c>
      <c r="E4" s="6" t="s">
        <v>424</v>
      </c>
      <c r="F4" s="6" t="s">
        <v>429</v>
      </c>
      <c r="G4" s="7"/>
      <c r="H4" s="5"/>
      <c r="I4" s="54">
        <v>88</v>
      </c>
      <c r="J4" s="4" t="s">
        <v>83</v>
      </c>
      <c r="M4" s="10" t="s">
        <v>83</v>
      </c>
    </row>
    <row r="5" spans="1:13">
      <c r="A5" s="4">
        <v>2</v>
      </c>
      <c r="B5" s="9">
        <v>243621</v>
      </c>
      <c r="C5" s="6" t="s">
        <v>88</v>
      </c>
      <c r="D5" s="2" t="s">
        <v>431</v>
      </c>
      <c r="E5" s="6" t="s">
        <v>425</v>
      </c>
      <c r="F5" s="6" t="s">
        <v>429</v>
      </c>
      <c r="G5" s="7"/>
      <c r="H5" s="5"/>
      <c r="I5" s="54">
        <v>234</v>
      </c>
      <c r="J5" s="4" t="s">
        <v>82</v>
      </c>
      <c r="M5" s="10" t="s">
        <v>82</v>
      </c>
    </row>
    <row r="6" spans="1:13">
      <c r="A6" s="4">
        <v>3</v>
      </c>
      <c r="B6" s="9">
        <v>243622</v>
      </c>
      <c r="C6" s="5" t="s">
        <v>93</v>
      </c>
      <c r="D6" s="2" t="s">
        <v>432</v>
      </c>
      <c r="E6" s="6" t="s">
        <v>425</v>
      </c>
      <c r="F6" s="6" t="s">
        <v>429</v>
      </c>
      <c r="H6" s="5"/>
      <c r="I6" s="54">
        <v>307</v>
      </c>
      <c r="J6" s="4" t="s">
        <v>83</v>
      </c>
      <c r="M6" s="10" t="s">
        <v>84</v>
      </c>
    </row>
    <row r="7" spans="1:13">
      <c r="A7" s="4">
        <v>4</v>
      </c>
      <c r="B7" s="9">
        <v>243622</v>
      </c>
      <c r="C7" s="5" t="s">
        <v>94</v>
      </c>
      <c r="D7" s="30" t="s">
        <v>433</v>
      </c>
      <c r="E7" s="6" t="s">
        <v>424</v>
      </c>
      <c r="F7" s="6" t="s">
        <v>429</v>
      </c>
      <c r="H7" s="5"/>
      <c r="I7" s="54">
        <v>204</v>
      </c>
      <c r="J7" s="4" t="s">
        <v>83</v>
      </c>
      <c r="M7" s="10" t="s">
        <v>118</v>
      </c>
    </row>
    <row r="8" spans="1:13">
      <c r="A8" s="4">
        <v>5</v>
      </c>
      <c r="B8" s="9">
        <v>243622</v>
      </c>
      <c r="C8" s="6" t="s">
        <v>95</v>
      </c>
      <c r="D8" s="30" t="s">
        <v>439</v>
      </c>
      <c r="E8" s="6" t="s">
        <v>424</v>
      </c>
      <c r="F8" s="6" t="s">
        <v>430</v>
      </c>
      <c r="G8" s="7"/>
      <c r="H8" s="5"/>
      <c r="I8" s="54">
        <v>128</v>
      </c>
      <c r="J8" s="4" t="s">
        <v>83</v>
      </c>
    </row>
    <row r="9" spans="1:13">
      <c r="A9" s="4">
        <v>6</v>
      </c>
      <c r="B9" s="9">
        <v>243627</v>
      </c>
      <c r="C9" s="6" t="s">
        <v>89</v>
      </c>
      <c r="D9" s="2" t="s">
        <v>434</v>
      </c>
      <c r="E9" s="6" t="s">
        <v>425</v>
      </c>
      <c r="F9" s="6" t="s">
        <v>429</v>
      </c>
      <c r="H9" s="5"/>
      <c r="I9" s="54">
        <v>237</v>
      </c>
      <c r="J9" s="4" t="s">
        <v>82</v>
      </c>
    </row>
    <row r="10" spans="1:13">
      <c r="A10" s="4">
        <v>7</v>
      </c>
      <c r="B10" s="9">
        <v>243628</v>
      </c>
      <c r="C10" s="5" t="s">
        <v>90</v>
      </c>
      <c r="D10" s="30" t="s">
        <v>436</v>
      </c>
      <c r="E10" s="6" t="s">
        <v>424</v>
      </c>
      <c r="F10" s="6" t="s">
        <v>429</v>
      </c>
      <c r="H10" s="5"/>
      <c r="I10" s="54">
        <v>62</v>
      </c>
      <c r="J10" s="4" t="s">
        <v>82</v>
      </c>
    </row>
    <row r="11" spans="1:13">
      <c r="A11" s="4">
        <v>8</v>
      </c>
      <c r="B11" s="9">
        <v>243628</v>
      </c>
      <c r="C11" s="6" t="s">
        <v>91</v>
      </c>
      <c r="D11" s="2" t="s">
        <v>435</v>
      </c>
      <c r="E11" s="6" t="s">
        <v>425</v>
      </c>
      <c r="F11" s="6" t="s">
        <v>429</v>
      </c>
      <c r="G11" s="7"/>
      <c r="H11" s="5"/>
      <c r="I11" s="54">
        <v>53</v>
      </c>
      <c r="J11" s="4" t="s">
        <v>83</v>
      </c>
    </row>
    <row r="12" spans="1:13">
      <c r="A12" s="4">
        <v>9</v>
      </c>
      <c r="B12" s="9">
        <v>243635</v>
      </c>
      <c r="C12" s="6" t="s">
        <v>92</v>
      </c>
      <c r="D12" s="2" t="s">
        <v>437</v>
      </c>
      <c r="E12" s="6" t="s">
        <v>425</v>
      </c>
      <c r="F12" s="6" t="s">
        <v>429</v>
      </c>
      <c r="G12" s="5"/>
      <c r="I12" s="54">
        <v>525</v>
      </c>
      <c r="J12" s="4" t="s">
        <v>82</v>
      </c>
    </row>
    <row r="13" spans="1:13">
      <c r="A13" s="4">
        <v>10</v>
      </c>
      <c r="B13" s="9">
        <v>243640</v>
      </c>
      <c r="C13" s="5" t="s">
        <v>96</v>
      </c>
      <c r="D13" s="2" t="s">
        <v>438</v>
      </c>
      <c r="E13" s="6" t="s">
        <v>425</v>
      </c>
      <c r="F13" s="6" t="s">
        <v>429</v>
      </c>
      <c r="G13" s="7"/>
      <c r="H13" s="5"/>
      <c r="I13" s="54">
        <v>207</v>
      </c>
      <c r="J13" s="4" t="s">
        <v>83</v>
      </c>
    </row>
    <row r="14" spans="1:13">
      <c r="A14" s="4">
        <v>11</v>
      </c>
      <c r="B14" s="9">
        <v>243640</v>
      </c>
      <c r="C14" s="5" t="s">
        <v>97</v>
      </c>
      <c r="D14" s="5" t="s">
        <v>440</v>
      </c>
      <c r="E14" s="6" t="s">
        <v>424</v>
      </c>
      <c r="F14" s="6" t="s">
        <v>430</v>
      </c>
      <c r="H14" s="5"/>
      <c r="I14" s="54">
        <v>207</v>
      </c>
      <c r="J14" s="4" t="s">
        <v>83</v>
      </c>
    </row>
    <row r="15" spans="1:13">
      <c r="B15" s="9"/>
    </row>
    <row r="16" spans="1:13">
      <c r="H16" s="5"/>
      <c r="I16" s="5"/>
    </row>
    <row r="17" spans="1:9">
      <c r="A17" s="48" t="s">
        <v>526</v>
      </c>
      <c r="B17" s="49" t="s">
        <v>528</v>
      </c>
      <c r="C17" s="50"/>
      <c r="H17" s="5"/>
      <c r="I17" s="5"/>
    </row>
    <row r="18" spans="1:9">
      <c r="B18" s="9"/>
      <c r="C18" s="6"/>
      <c r="D18" s="6"/>
      <c r="E18" s="6"/>
      <c r="F18" s="6"/>
      <c r="H18" s="5"/>
      <c r="I18" s="5"/>
    </row>
    <row r="19" spans="1:9">
      <c r="B19" s="9"/>
      <c r="H19" s="5"/>
      <c r="I19" s="5"/>
    </row>
    <row r="20" spans="1:9">
      <c r="B20" s="9"/>
      <c r="H20" s="5"/>
      <c r="I20" s="5"/>
    </row>
    <row r="21" spans="1:9">
      <c r="B21" s="9"/>
    </row>
    <row r="22" spans="1:9">
      <c r="B22" s="9"/>
      <c r="G22" s="5"/>
    </row>
    <row r="23" spans="1:9">
      <c r="B23" s="9"/>
      <c r="C23" s="6"/>
      <c r="D23" s="6"/>
      <c r="E23" s="6"/>
      <c r="F23" s="6"/>
      <c r="H23" s="5"/>
      <c r="I23" s="5"/>
    </row>
    <row r="24" spans="1:9">
      <c r="B24" s="9"/>
      <c r="H24" s="5"/>
      <c r="I24" s="5"/>
    </row>
    <row r="25" spans="1:9">
      <c r="B25" s="9"/>
      <c r="H25" s="5"/>
      <c r="I25" s="5"/>
    </row>
    <row r="26" spans="1:9">
      <c r="B26" s="9"/>
      <c r="C26" s="6"/>
      <c r="D26" s="6"/>
      <c r="E26" s="6"/>
      <c r="F26" s="6"/>
      <c r="H26" s="5"/>
      <c r="I26" s="5"/>
    </row>
    <row r="27" spans="1:9">
      <c r="B27" s="9"/>
      <c r="H27" s="5"/>
      <c r="I27" s="5"/>
    </row>
    <row r="28" spans="1:9">
      <c r="B28" s="9"/>
      <c r="H28" s="5"/>
      <c r="I28" s="5"/>
    </row>
    <row r="29" spans="1:9">
      <c r="B29" s="9"/>
      <c r="C29" s="6"/>
      <c r="D29" s="6"/>
      <c r="E29" s="6"/>
      <c r="F29" s="6"/>
      <c r="H29" s="5"/>
      <c r="I29" s="5"/>
    </row>
    <row r="30" spans="1:9">
      <c r="B30" s="9"/>
      <c r="H30" s="5"/>
      <c r="I30" s="5"/>
    </row>
  </sheetData>
  <mergeCells count="11">
    <mergeCell ref="K2:K3"/>
    <mergeCell ref="M2:M3"/>
    <mergeCell ref="E2:E3"/>
    <mergeCell ref="F2:F3"/>
    <mergeCell ref="A2:A3"/>
    <mergeCell ref="B2:B3"/>
    <mergeCell ref="C2:C3"/>
    <mergeCell ref="D2:D3"/>
    <mergeCell ref="G2:H2"/>
    <mergeCell ref="J2:J3"/>
    <mergeCell ref="I2:I3"/>
  </mergeCells>
  <dataValidations count="3">
    <dataValidation type="list" allowBlank="1" showInputMessage="1" showErrorMessage="1" sqref="J2:J14 J16:J1048576" xr:uid="{209C7868-8AD4-441B-84AE-CCBF623D54AB}">
      <formula1>$M$4:$M$24</formula1>
    </dataValidation>
    <dataValidation type="list" allowBlank="1" showInputMessage="1" showErrorMessage="1" sqref="J1" xr:uid="{30F72C26-90B1-4FFE-8FEF-FE3AC58C620F}">
      <formula1>$M$4:$M$46</formula1>
    </dataValidation>
    <dataValidation type="list" allowBlank="1" showInputMessage="1" showErrorMessage="1" sqref="J1" xr:uid="{68DB5A06-6993-41EE-9F8F-4323DFB8D07B}">
      <formula1>$M$4:$M$70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M30"/>
  <sheetViews>
    <sheetView zoomScale="70" zoomScaleNormal="70" workbookViewId="0">
      <pane xSplit="10" ySplit="3" topLeftCell="K4" activePane="bottomRight" state="frozen"/>
      <selection pane="topRight" activeCell="H1" sqref="H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5.5546875" style="4" customWidth="1"/>
    <col min="2" max="2" width="13.88671875" style="4" customWidth="1"/>
    <col min="3" max="3" width="19.5546875" style="5" customWidth="1"/>
    <col min="4" max="4" width="20" style="5" customWidth="1"/>
    <col min="5" max="5" width="23.88671875" style="5" customWidth="1"/>
    <col min="6" max="6" width="30.33203125" style="5" customWidth="1"/>
    <col min="7" max="9" width="12.109375" style="4" customWidth="1"/>
    <col min="10" max="10" width="26" style="4" customWidth="1"/>
    <col min="11" max="11" width="13.44140625" style="4" bestFit="1" customWidth="1"/>
    <col min="12" max="13" width="26" style="4" customWidth="1"/>
    <col min="14" max="16384" width="9.109375" style="4"/>
  </cols>
  <sheetData>
    <row r="1" spans="1:13" ht="33" thickBot="1">
      <c r="A1" s="8" t="s">
        <v>98</v>
      </c>
      <c r="H1" s="56" t="s">
        <v>115</v>
      </c>
      <c r="I1" s="55">
        <f>SUBTOTAL(9,I4:I12000)</f>
        <v>3395.5</v>
      </c>
      <c r="J1" s="57" t="s">
        <v>532</v>
      </c>
    </row>
    <row r="2" spans="1:13" s="3" customFormat="1" ht="24" thickTop="1">
      <c r="A2" s="105" t="s">
        <v>0</v>
      </c>
      <c r="B2" s="105" t="s">
        <v>31</v>
      </c>
      <c r="C2" s="106" t="s">
        <v>32</v>
      </c>
      <c r="D2" s="106" t="s">
        <v>2</v>
      </c>
      <c r="E2" s="103" t="s">
        <v>426</v>
      </c>
      <c r="F2" s="103" t="s">
        <v>411</v>
      </c>
      <c r="G2" s="105" t="s">
        <v>1</v>
      </c>
      <c r="H2" s="105"/>
      <c r="I2" s="107" t="s">
        <v>531</v>
      </c>
      <c r="J2" s="105" t="s">
        <v>3</v>
      </c>
      <c r="K2" s="92" t="s">
        <v>351</v>
      </c>
      <c r="M2" s="88" t="s">
        <v>81</v>
      </c>
    </row>
    <row r="3" spans="1:13" s="3" customFormat="1">
      <c r="A3" s="105"/>
      <c r="B3" s="105"/>
      <c r="C3" s="106"/>
      <c r="D3" s="106"/>
      <c r="E3" s="104"/>
      <c r="F3" s="104"/>
      <c r="G3" s="13" t="s">
        <v>79</v>
      </c>
      <c r="H3" s="13" t="s">
        <v>80</v>
      </c>
      <c r="I3" s="108"/>
      <c r="J3" s="105"/>
      <c r="K3" s="92"/>
      <c r="M3" s="89"/>
    </row>
    <row r="4" spans="1:13">
      <c r="A4" s="4">
        <v>1</v>
      </c>
      <c r="B4" s="9">
        <v>243622</v>
      </c>
      <c r="C4" s="6" t="s">
        <v>99</v>
      </c>
      <c r="D4" s="6" t="s">
        <v>409</v>
      </c>
      <c r="E4" s="6" t="s">
        <v>424</v>
      </c>
      <c r="F4" s="6" t="s">
        <v>414</v>
      </c>
      <c r="G4" s="7"/>
      <c r="H4" s="5"/>
      <c r="I4" s="54">
        <v>337.5</v>
      </c>
      <c r="J4" s="4" t="s">
        <v>83</v>
      </c>
      <c r="M4" s="10" t="s">
        <v>83</v>
      </c>
    </row>
    <row r="5" spans="1:13">
      <c r="A5" s="4">
        <v>2</v>
      </c>
      <c r="B5" s="9">
        <v>243622</v>
      </c>
      <c r="C5" s="6" t="s">
        <v>100</v>
      </c>
      <c r="D5" s="6" t="s">
        <v>410</v>
      </c>
      <c r="E5" s="6" t="s">
        <v>424</v>
      </c>
      <c r="F5" s="6" t="s">
        <v>414</v>
      </c>
      <c r="G5" s="7"/>
      <c r="H5" s="5"/>
      <c r="I5" s="58">
        <v>169</v>
      </c>
      <c r="J5" s="4" t="s">
        <v>82</v>
      </c>
      <c r="M5" s="10" t="s">
        <v>82</v>
      </c>
    </row>
    <row r="6" spans="1:13">
      <c r="A6" s="4">
        <v>3</v>
      </c>
      <c r="B6" s="9">
        <v>243622</v>
      </c>
      <c r="C6" s="6" t="s">
        <v>101</v>
      </c>
      <c r="D6" s="6" t="s">
        <v>412</v>
      </c>
      <c r="E6" s="6" t="s">
        <v>424</v>
      </c>
      <c r="F6" s="6" t="s">
        <v>415</v>
      </c>
      <c r="H6" s="5"/>
      <c r="I6" s="58">
        <v>65</v>
      </c>
      <c r="J6" s="4" t="s">
        <v>82</v>
      </c>
      <c r="M6" s="10" t="s">
        <v>84</v>
      </c>
    </row>
    <row r="7" spans="1:13">
      <c r="A7" s="4">
        <v>4</v>
      </c>
      <c r="B7" s="9">
        <v>243628</v>
      </c>
      <c r="C7" s="6" t="s">
        <v>102</v>
      </c>
      <c r="D7" s="6" t="s">
        <v>413</v>
      </c>
      <c r="E7" s="6" t="s">
        <v>424</v>
      </c>
      <c r="F7" s="6" t="s">
        <v>414</v>
      </c>
      <c r="H7" s="5"/>
      <c r="I7" s="58">
        <v>199</v>
      </c>
      <c r="J7" s="4" t="s">
        <v>83</v>
      </c>
      <c r="M7" s="10" t="s">
        <v>118</v>
      </c>
    </row>
    <row r="8" spans="1:13">
      <c r="A8" s="4">
        <v>5</v>
      </c>
      <c r="B8" s="9">
        <v>243628</v>
      </c>
      <c r="C8" s="6" t="s">
        <v>103</v>
      </c>
      <c r="D8" s="6" t="s">
        <v>416</v>
      </c>
      <c r="E8" s="6" t="s">
        <v>424</v>
      </c>
      <c r="F8" s="6" t="s">
        <v>415</v>
      </c>
      <c r="G8" s="7"/>
      <c r="H8" s="5"/>
      <c r="I8" s="58">
        <v>286</v>
      </c>
      <c r="J8" s="4" t="s">
        <v>82</v>
      </c>
    </row>
    <row r="9" spans="1:13">
      <c r="A9" s="4">
        <v>6</v>
      </c>
      <c r="B9" s="9">
        <v>243628</v>
      </c>
      <c r="C9" s="6" t="s">
        <v>104</v>
      </c>
      <c r="D9" s="6" t="s">
        <v>417</v>
      </c>
      <c r="E9" s="6" t="s">
        <v>424</v>
      </c>
      <c r="F9" s="6" t="s">
        <v>415</v>
      </c>
      <c r="H9" s="5"/>
      <c r="I9" s="58">
        <v>125</v>
      </c>
      <c r="J9" s="4" t="s">
        <v>82</v>
      </c>
    </row>
    <row r="10" spans="1:13">
      <c r="A10" s="4">
        <v>7</v>
      </c>
      <c r="B10" s="9">
        <v>243628</v>
      </c>
      <c r="C10" s="6" t="s">
        <v>105</v>
      </c>
      <c r="D10" s="6" t="s">
        <v>418</v>
      </c>
      <c r="E10" s="6" t="s">
        <v>424</v>
      </c>
      <c r="F10" s="6" t="s">
        <v>414</v>
      </c>
      <c r="H10" s="5"/>
      <c r="I10" s="58">
        <v>240</v>
      </c>
      <c r="J10" s="4" t="s">
        <v>82</v>
      </c>
    </row>
    <row r="11" spans="1:13">
      <c r="A11" s="4">
        <v>8</v>
      </c>
      <c r="B11" s="9">
        <v>243630</v>
      </c>
      <c r="C11" s="6" t="s">
        <v>106</v>
      </c>
      <c r="D11" s="6" t="s">
        <v>419</v>
      </c>
      <c r="E11" s="6" t="s">
        <v>425</v>
      </c>
      <c r="F11" s="6" t="s">
        <v>414</v>
      </c>
      <c r="G11" s="7"/>
      <c r="H11" s="5"/>
      <c r="I11" s="58">
        <v>205</v>
      </c>
      <c r="J11" s="4" t="s">
        <v>83</v>
      </c>
    </row>
    <row r="12" spans="1:13">
      <c r="A12" s="4">
        <v>9</v>
      </c>
      <c r="B12" s="9">
        <v>243630</v>
      </c>
      <c r="C12" s="6" t="s">
        <v>107</v>
      </c>
      <c r="D12" s="6" t="s">
        <v>420</v>
      </c>
      <c r="E12" s="6" t="s">
        <v>424</v>
      </c>
      <c r="F12" s="6" t="s">
        <v>414</v>
      </c>
      <c r="G12" s="5"/>
      <c r="I12" s="58">
        <v>199</v>
      </c>
      <c r="J12" s="4" t="s">
        <v>82</v>
      </c>
    </row>
    <row r="13" spans="1:13">
      <c r="A13" s="4">
        <v>10</v>
      </c>
      <c r="B13" s="9">
        <v>243630</v>
      </c>
      <c r="C13" s="6" t="s">
        <v>476</v>
      </c>
      <c r="D13" s="6" t="s">
        <v>479</v>
      </c>
      <c r="E13" s="6" t="s">
        <v>424</v>
      </c>
      <c r="F13" s="6" t="s">
        <v>414</v>
      </c>
      <c r="G13" s="7"/>
      <c r="H13" s="5"/>
      <c r="I13" s="58">
        <v>199</v>
      </c>
      <c r="J13" s="4" t="s">
        <v>83</v>
      </c>
      <c r="K13" s="4" t="s">
        <v>427</v>
      </c>
    </row>
    <row r="14" spans="1:13">
      <c r="A14" s="4">
        <v>11</v>
      </c>
      <c r="B14" s="9">
        <v>243634</v>
      </c>
      <c r="C14" s="6" t="s">
        <v>477</v>
      </c>
      <c r="D14" s="6" t="s">
        <v>478</v>
      </c>
      <c r="E14" s="6" t="s">
        <v>425</v>
      </c>
      <c r="F14" s="6" t="s">
        <v>414</v>
      </c>
      <c r="H14" s="5"/>
      <c r="I14" s="58">
        <v>768</v>
      </c>
      <c r="J14" s="4" t="s">
        <v>82</v>
      </c>
      <c r="K14" s="4" t="s">
        <v>427</v>
      </c>
    </row>
    <row r="15" spans="1:13">
      <c r="A15" s="4">
        <v>12</v>
      </c>
      <c r="B15" s="9">
        <v>243640</v>
      </c>
      <c r="C15" s="6" t="s">
        <v>108</v>
      </c>
      <c r="D15" s="6" t="s">
        <v>421</v>
      </c>
      <c r="E15" s="6" t="s">
        <v>424</v>
      </c>
      <c r="F15" s="6" t="s">
        <v>414</v>
      </c>
      <c r="H15" s="5"/>
      <c r="I15" s="58">
        <v>205</v>
      </c>
      <c r="J15" s="4" t="s">
        <v>83</v>
      </c>
    </row>
    <row r="16" spans="1:13">
      <c r="A16" s="4">
        <v>13</v>
      </c>
      <c r="B16" s="9">
        <v>243640</v>
      </c>
      <c r="C16" s="6" t="s">
        <v>109</v>
      </c>
      <c r="D16" s="6" t="s">
        <v>422</v>
      </c>
      <c r="E16" s="6" t="s">
        <v>424</v>
      </c>
      <c r="F16" s="6" t="s">
        <v>414</v>
      </c>
      <c r="H16" s="5"/>
      <c r="I16" s="58">
        <v>199</v>
      </c>
      <c r="J16" s="4" t="s">
        <v>82</v>
      </c>
    </row>
    <row r="17" spans="1:10" ht="24.75" customHeight="1">
      <c r="A17" s="4">
        <v>14</v>
      </c>
      <c r="B17" s="9">
        <v>243640</v>
      </c>
      <c r="C17" s="6" t="s">
        <v>110</v>
      </c>
      <c r="D17" s="6" t="s">
        <v>423</v>
      </c>
      <c r="E17" s="6" t="s">
        <v>424</v>
      </c>
      <c r="F17" s="6" t="s">
        <v>414</v>
      </c>
      <c r="H17" s="5"/>
      <c r="I17" s="58">
        <v>199</v>
      </c>
      <c r="J17" s="4" t="s">
        <v>83</v>
      </c>
    </row>
    <row r="18" spans="1:10">
      <c r="B18" s="9"/>
      <c r="C18" s="6"/>
      <c r="D18" s="6"/>
      <c r="E18" s="6"/>
      <c r="F18" s="6"/>
    </row>
    <row r="19" spans="1:10">
      <c r="B19" s="9"/>
      <c r="H19" s="5"/>
      <c r="I19" s="5"/>
    </row>
    <row r="20" spans="1:10">
      <c r="A20" s="48" t="s">
        <v>526</v>
      </c>
      <c r="B20" s="49" t="s">
        <v>527</v>
      </c>
      <c r="C20" s="50"/>
      <c r="H20" s="5"/>
      <c r="I20" s="5"/>
    </row>
    <row r="21" spans="1:10">
      <c r="B21" s="9"/>
    </row>
    <row r="22" spans="1:10">
      <c r="B22" s="9"/>
      <c r="G22" s="5"/>
    </row>
    <row r="23" spans="1:10">
      <c r="B23" s="9"/>
      <c r="C23" s="6"/>
      <c r="D23" s="6"/>
      <c r="E23" s="6"/>
      <c r="F23" s="6"/>
      <c r="H23" s="5"/>
      <c r="I23" s="5"/>
    </row>
    <row r="24" spans="1:10">
      <c r="B24" s="9"/>
      <c r="H24" s="5"/>
      <c r="I24" s="5"/>
    </row>
    <row r="25" spans="1:10">
      <c r="B25" s="9"/>
      <c r="H25" s="5"/>
      <c r="I25" s="5"/>
    </row>
    <row r="26" spans="1:10">
      <c r="B26" s="9"/>
      <c r="C26" s="6"/>
      <c r="D26" s="6"/>
      <c r="E26" s="6"/>
      <c r="F26" s="6"/>
      <c r="H26" s="5"/>
      <c r="I26" s="5"/>
    </row>
    <row r="27" spans="1:10">
      <c r="B27" s="9"/>
      <c r="H27" s="5"/>
      <c r="I27" s="5"/>
    </row>
    <row r="28" spans="1:10">
      <c r="B28" s="9"/>
      <c r="H28" s="5"/>
      <c r="I28" s="5"/>
    </row>
    <row r="29" spans="1:10">
      <c r="B29" s="9"/>
      <c r="C29" s="6"/>
      <c r="D29" s="6"/>
      <c r="E29" s="6"/>
      <c r="F29" s="6"/>
      <c r="H29" s="5"/>
      <c r="I29" s="5"/>
    </row>
    <row r="30" spans="1:10">
      <c r="B30" s="9"/>
      <c r="H30" s="5"/>
      <c r="I30" s="5"/>
    </row>
  </sheetData>
  <mergeCells count="11">
    <mergeCell ref="M2:M3"/>
    <mergeCell ref="F2:F3"/>
    <mergeCell ref="E2:E3"/>
    <mergeCell ref="K2:K3"/>
    <mergeCell ref="A2:A3"/>
    <mergeCell ref="B2:B3"/>
    <mergeCell ref="C2:C3"/>
    <mergeCell ref="D2:D3"/>
    <mergeCell ref="G2:H2"/>
    <mergeCell ref="J2:J3"/>
    <mergeCell ref="I2:I3"/>
  </mergeCells>
  <dataValidations count="3">
    <dataValidation type="list" allowBlank="1" showInputMessage="1" showErrorMessage="1" sqref="J2:J17 J19:J1048576" xr:uid="{19676AA6-3E83-4AA3-B902-B140BCCFDBF8}">
      <formula1>$M$4:$M$27</formula1>
    </dataValidation>
    <dataValidation type="list" allowBlank="1" showInputMessage="1" showErrorMessage="1" sqref="J1" xr:uid="{A18C4397-FD2B-423A-B914-6BE06E16B1C6}">
      <formula1>$M$4:$M$70</formula1>
    </dataValidation>
    <dataValidation type="list" allowBlank="1" showInputMessage="1" showErrorMessage="1" sqref="J1" xr:uid="{80D962F5-B4DD-42F8-92C8-9B9C94026E09}">
      <formula1>$M$4:$M$46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 filterMode="1">
    <tabColor rgb="FF00FF99"/>
  </sheetPr>
  <dimension ref="A1:X83"/>
  <sheetViews>
    <sheetView zoomScale="85" zoomScaleNormal="85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I4" sqref="I4:I81"/>
    </sheetView>
  </sheetViews>
  <sheetFormatPr defaultColWidth="9.109375" defaultRowHeight="23.4"/>
  <cols>
    <col min="1" max="1" width="12.5546875" style="4" customWidth="1"/>
    <col min="2" max="2" width="11.33203125" style="4" bestFit="1" customWidth="1"/>
    <col min="3" max="4" width="19.6640625" style="5" customWidth="1"/>
    <col min="5" max="5" width="23.88671875" style="5" customWidth="1"/>
    <col min="6" max="6" width="24.33203125" style="5" customWidth="1"/>
    <col min="7" max="9" width="15.33203125" style="4" customWidth="1"/>
    <col min="10" max="10" width="25.33203125" style="4" bestFit="1" customWidth="1"/>
    <col min="11" max="11" width="20.109375" style="4" bestFit="1" customWidth="1"/>
    <col min="12" max="12" width="12" style="4" customWidth="1"/>
    <col min="13" max="13" width="26" style="4" customWidth="1"/>
    <col min="14" max="14" width="29.33203125" style="4" customWidth="1"/>
    <col min="15" max="15" width="25.5546875" style="4" customWidth="1"/>
    <col min="16" max="18" width="36.109375" style="4" customWidth="1"/>
    <col min="19" max="16384" width="9.109375" style="4"/>
  </cols>
  <sheetData>
    <row r="1" spans="1:24" ht="33" thickBot="1">
      <c r="A1" s="8" t="s">
        <v>117</v>
      </c>
      <c r="H1" s="56" t="s">
        <v>115</v>
      </c>
      <c r="I1" s="55">
        <f>SUBTOTAL(9,I4:I12000)</f>
        <v>1580</v>
      </c>
      <c r="J1" s="57" t="s">
        <v>532</v>
      </c>
    </row>
    <row r="2" spans="1:24" s="3" customFormat="1" ht="27" thickTop="1">
      <c r="A2" s="109" t="s">
        <v>0</v>
      </c>
      <c r="B2" s="109" t="s">
        <v>31</v>
      </c>
      <c r="C2" s="112" t="s">
        <v>32</v>
      </c>
      <c r="D2" s="112" t="s">
        <v>2</v>
      </c>
      <c r="E2" s="110" t="s">
        <v>426</v>
      </c>
      <c r="F2" s="110" t="s">
        <v>411</v>
      </c>
      <c r="G2" s="109" t="s">
        <v>1</v>
      </c>
      <c r="H2" s="109"/>
      <c r="I2" s="113" t="s">
        <v>531</v>
      </c>
      <c r="J2" s="109" t="s">
        <v>3</v>
      </c>
      <c r="K2" s="92" t="s">
        <v>351</v>
      </c>
      <c r="M2" s="88" t="s">
        <v>81</v>
      </c>
      <c r="N2" s="88" t="s">
        <v>411</v>
      </c>
    </row>
    <row r="3" spans="1:24" s="3" customFormat="1" ht="26.4">
      <c r="A3" s="109"/>
      <c r="B3" s="109"/>
      <c r="C3" s="112"/>
      <c r="D3" s="112"/>
      <c r="E3" s="111"/>
      <c r="F3" s="111"/>
      <c r="G3" s="16" t="s">
        <v>79</v>
      </c>
      <c r="H3" s="16" t="s">
        <v>80</v>
      </c>
      <c r="I3" s="114"/>
      <c r="J3" s="109"/>
      <c r="K3" s="92"/>
      <c r="M3" s="89"/>
      <c r="N3" s="89"/>
    </row>
    <row r="4" spans="1:24" hidden="1">
      <c r="A4" s="4">
        <v>1</v>
      </c>
      <c r="B4" s="9">
        <v>243621</v>
      </c>
      <c r="C4" s="2" t="s">
        <v>408</v>
      </c>
      <c r="D4" s="2" t="s">
        <v>325</v>
      </c>
      <c r="E4" s="6" t="s">
        <v>525</v>
      </c>
      <c r="F4" s="6" t="s">
        <v>468</v>
      </c>
      <c r="G4" s="2" t="s">
        <v>316</v>
      </c>
      <c r="H4" s="2" t="s">
        <v>315</v>
      </c>
      <c r="I4" s="54">
        <v>270</v>
      </c>
      <c r="J4" s="4" t="s">
        <v>82</v>
      </c>
      <c r="M4" s="10" t="s">
        <v>83</v>
      </c>
      <c r="N4" s="10" t="s">
        <v>468</v>
      </c>
      <c r="O4" s="3"/>
      <c r="P4" s="3"/>
      <c r="Q4" s="3"/>
      <c r="R4" s="3"/>
    </row>
    <row r="5" spans="1:24" hidden="1">
      <c r="A5" s="4">
        <v>2</v>
      </c>
      <c r="B5" s="9">
        <v>243621</v>
      </c>
      <c r="C5" s="2" t="s">
        <v>407</v>
      </c>
      <c r="D5" s="2" t="s">
        <v>317</v>
      </c>
      <c r="E5" s="6" t="s">
        <v>525</v>
      </c>
      <c r="F5" s="6" t="s">
        <v>468</v>
      </c>
      <c r="G5" s="2" t="s">
        <v>313</v>
      </c>
      <c r="H5" s="2" t="s">
        <v>312</v>
      </c>
      <c r="I5" s="54">
        <v>280</v>
      </c>
      <c r="J5" s="4" t="s">
        <v>82</v>
      </c>
      <c r="M5" s="10" t="s">
        <v>82</v>
      </c>
      <c r="N5" s="10" t="s">
        <v>469</v>
      </c>
      <c r="O5" s="3"/>
      <c r="P5" s="3"/>
      <c r="Q5" s="3"/>
      <c r="R5" s="3"/>
    </row>
    <row r="6" spans="1:24" hidden="1">
      <c r="A6" s="4">
        <v>3</v>
      </c>
      <c r="B6" s="9">
        <v>243621</v>
      </c>
      <c r="C6" s="2" t="s">
        <v>406</v>
      </c>
      <c r="D6" s="2" t="s">
        <v>314</v>
      </c>
      <c r="E6" s="6" t="s">
        <v>525</v>
      </c>
      <c r="F6" s="6" t="s">
        <v>468</v>
      </c>
      <c r="G6" s="2" t="s">
        <v>310</v>
      </c>
      <c r="H6" s="2" t="s">
        <v>309</v>
      </c>
      <c r="I6" s="54">
        <v>530</v>
      </c>
      <c r="J6" s="2" t="s">
        <v>83</v>
      </c>
      <c r="M6" s="10" t="s">
        <v>84</v>
      </c>
      <c r="N6" s="10" t="s">
        <v>471</v>
      </c>
      <c r="O6" s="3"/>
      <c r="P6" s="3"/>
      <c r="Q6" s="3"/>
      <c r="R6" s="3"/>
    </row>
    <row r="7" spans="1:24" hidden="1">
      <c r="A7" s="4">
        <v>4</v>
      </c>
      <c r="B7" s="9">
        <v>243621</v>
      </c>
      <c r="C7" s="2" t="s">
        <v>405</v>
      </c>
      <c r="D7" s="2" t="s">
        <v>311</v>
      </c>
      <c r="E7" s="6" t="s">
        <v>525</v>
      </c>
      <c r="F7" s="6" t="s">
        <v>468</v>
      </c>
      <c r="G7" s="2" t="s">
        <v>307</v>
      </c>
      <c r="H7" s="2" t="s">
        <v>306</v>
      </c>
      <c r="I7" s="54">
        <v>780</v>
      </c>
      <c r="J7" s="4" t="s">
        <v>83</v>
      </c>
      <c r="M7" s="10" t="s">
        <v>118</v>
      </c>
      <c r="N7" s="10" t="s">
        <v>470</v>
      </c>
      <c r="O7" s="3"/>
      <c r="P7" s="3"/>
      <c r="Q7" s="3"/>
      <c r="R7" s="3"/>
    </row>
    <row r="8" spans="1:24" hidden="1">
      <c r="A8" s="4">
        <v>5</v>
      </c>
      <c r="B8" s="9">
        <v>243621</v>
      </c>
      <c r="C8" s="2" t="s">
        <v>404</v>
      </c>
      <c r="D8" s="2" t="s">
        <v>324</v>
      </c>
      <c r="E8" s="6" t="s">
        <v>525</v>
      </c>
      <c r="F8" s="6" t="s">
        <v>468</v>
      </c>
      <c r="G8" s="2" t="s">
        <v>304</v>
      </c>
      <c r="H8" s="2" t="s">
        <v>303</v>
      </c>
      <c r="I8" s="54">
        <v>180</v>
      </c>
      <c r="J8" s="4" t="s">
        <v>82</v>
      </c>
      <c r="M8" s="10"/>
      <c r="N8" s="10" t="s">
        <v>472</v>
      </c>
      <c r="P8" s="3"/>
      <c r="Q8" s="3"/>
      <c r="R8" s="3"/>
    </row>
    <row r="9" spans="1:24">
      <c r="A9" s="4">
        <v>6</v>
      </c>
      <c r="B9" s="9">
        <v>243621</v>
      </c>
      <c r="C9" s="2" t="s">
        <v>403</v>
      </c>
      <c r="D9" s="2" t="s">
        <v>308</v>
      </c>
      <c r="E9" s="6" t="s">
        <v>525</v>
      </c>
      <c r="F9" s="6" t="s">
        <v>468</v>
      </c>
      <c r="G9" s="2" t="s">
        <v>301</v>
      </c>
      <c r="H9" s="2" t="s">
        <v>300</v>
      </c>
      <c r="I9" s="54">
        <v>190</v>
      </c>
      <c r="J9" s="2" t="s">
        <v>118</v>
      </c>
      <c r="P9" s="3"/>
      <c r="Q9" s="3"/>
      <c r="R9" s="3"/>
      <c r="T9" s="18"/>
      <c r="U9" s="1"/>
      <c r="V9" s="1"/>
      <c r="W9" s="1"/>
      <c r="X9" s="1"/>
    </row>
    <row r="10" spans="1:24" hidden="1">
      <c r="A10" s="4">
        <v>7</v>
      </c>
      <c r="B10" s="9">
        <v>243621</v>
      </c>
      <c r="C10" s="2" t="s">
        <v>402</v>
      </c>
      <c r="D10" s="2" t="s">
        <v>305</v>
      </c>
      <c r="E10" s="6" t="s">
        <v>525</v>
      </c>
      <c r="F10" s="6" t="s">
        <v>468</v>
      </c>
      <c r="G10" s="2" t="s">
        <v>298</v>
      </c>
      <c r="H10" s="2" t="s">
        <v>297</v>
      </c>
      <c r="I10" s="54">
        <v>1219</v>
      </c>
      <c r="J10" s="4" t="s">
        <v>82</v>
      </c>
      <c r="P10" s="3"/>
      <c r="Q10" s="3"/>
      <c r="R10" s="3"/>
      <c r="U10" s="115"/>
      <c r="V10" s="19"/>
      <c r="W10" s="115"/>
      <c r="X10" s="115"/>
    </row>
    <row r="11" spans="1:24" hidden="1">
      <c r="A11" s="4">
        <v>8</v>
      </c>
      <c r="B11" s="9">
        <v>243621</v>
      </c>
      <c r="C11" s="2" t="s">
        <v>401</v>
      </c>
      <c r="D11" s="2" t="s">
        <v>302</v>
      </c>
      <c r="E11" s="6" t="s">
        <v>525</v>
      </c>
      <c r="F11" s="6" t="s">
        <v>468</v>
      </c>
      <c r="G11" s="2" t="s">
        <v>295</v>
      </c>
      <c r="H11" s="2" t="s">
        <v>294</v>
      </c>
      <c r="I11" s="54">
        <v>180</v>
      </c>
      <c r="J11" s="4" t="s">
        <v>82</v>
      </c>
      <c r="P11" s="3"/>
      <c r="Q11" s="3"/>
      <c r="R11" s="3"/>
      <c r="U11" s="116"/>
      <c r="V11" s="20"/>
      <c r="W11" s="116"/>
      <c r="X11" s="116"/>
    </row>
    <row r="12" spans="1:24" hidden="1">
      <c r="A12" s="4">
        <v>9</v>
      </c>
      <c r="B12" s="9">
        <v>243621</v>
      </c>
      <c r="C12" s="2" t="s">
        <v>400</v>
      </c>
      <c r="D12" s="2" t="s">
        <v>299</v>
      </c>
      <c r="E12" s="6" t="s">
        <v>525</v>
      </c>
      <c r="F12" s="6" t="s">
        <v>468</v>
      </c>
      <c r="G12" s="2" t="s">
        <v>292</v>
      </c>
      <c r="H12" s="2" t="s">
        <v>291</v>
      </c>
      <c r="I12" s="54">
        <v>180</v>
      </c>
      <c r="J12" s="2" t="s">
        <v>83</v>
      </c>
      <c r="P12" s="3"/>
      <c r="Q12" s="3"/>
      <c r="R12" s="3"/>
      <c r="U12" s="116"/>
      <c r="V12" s="21"/>
      <c r="W12" s="116"/>
      <c r="X12" s="116"/>
    </row>
    <row r="13" spans="1:24">
      <c r="A13" s="4">
        <v>10</v>
      </c>
      <c r="B13" s="9">
        <v>243621</v>
      </c>
      <c r="C13" s="2" t="s">
        <v>399</v>
      </c>
      <c r="D13" s="2" t="s">
        <v>296</v>
      </c>
      <c r="E13" s="6" t="s">
        <v>525</v>
      </c>
      <c r="F13" s="6" t="s">
        <v>468</v>
      </c>
      <c r="G13" s="2" t="s">
        <v>323</v>
      </c>
      <c r="H13" s="2" t="s">
        <v>289</v>
      </c>
      <c r="I13" s="54">
        <v>330</v>
      </c>
      <c r="J13" s="2" t="s">
        <v>118</v>
      </c>
      <c r="P13" s="3"/>
      <c r="Q13" s="3"/>
      <c r="R13" s="3"/>
      <c r="U13" s="116"/>
      <c r="V13" s="21"/>
      <c r="W13" s="116"/>
      <c r="X13" s="116"/>
    </row>
    <row r="14" spans="1:24" hidden="1">
      <c r="A14" s="4">
        <v>11</v>
      </c>
      <c r="B14" s="9">
        <v>243621</v>
      </c>
      <c r="C14" s="2" t="s">
        <v>398</v>
      </c>
      <c r="D14" s="2" t="s">
        <v>293</v>
      </c>
      <c r="E14" s="6" t="s">
        <v>525</v>
      </c>
      <c r="F14" s="6" t="s">
        <v>468</v>
      </c>
      <c r="G14" s="2" t="s">
        <v>322</v>
      </c>
      <c r="H14" s="2"/>
      <c r="I14" s="54">
        <v>330</v>
      </c>
      <c r="J14" s="4" t="s">
        <v>82</v>
      </c>
      <c r="P14" s="3"/>
      <c r="Q14" s="3"/>
      <c r="R14" s="3"/>
    </row>
    <row r="15" spans="1:24" hidden="1">
      <c r="A15" s="4">
        <v>12</v>
      </c>
      <c r="B15" s="9">
        <v>243621</v>
      </c>
      <c r="C15" s="2" t="s">
        <v>397</v>
      </c>
      <c r="D15" s="2" t="s">
        <v>290</v>
      </c>
      <c r="E15" s="6" t="s">
        <v>525</v>
      </c>
      <c r="F15" s="6" t="s">
        <v>470</v>
      </c>
      <c r="G15" s="2" t="s">
        <v>287</v>
      </c>
      <c r="H15" s="2" t="s">
        <v>286</v>
      </c>
      <c r="I15" s="54">
        <v>219</v>
      </c>
      <c r="J15" s="2" t="s">
        <v>83</v>
      </c>
      <c r="P15" s="3"/>
      <c r="Q15" s="3"/>
      <c r="R15" s="3"/>
    </row>
    <row r="16" spans="1:24">
      <c r="A16" s="4">
        <v>13</v>
      </c>
      <c r="B16" s="9">
        <v>243621</v>
      </c>
      <c r="C16" s="2" t="s">
        <v>396</v>
      </c>
      <c r="D16" s="2" t="s">
        <v>288</v>
      </c>
      <c r="E16" s="6" t="s">
        <v>525</v>
      </c>
      <c r="F16" s="6" t="s">
        <v>468</v>
      </c>
      <c r="G16" s="2" t="s">
        <v>321</v>
      </c>
      <c r="H16" s="2" t="s">
        <v>320</v>
      </c>
      <c r="I16" s="54">
        <v>250</v>
      </c>
      <c r="J16" s="2" t="s">
        <v>118</v>
      </c>
      <c r="P16" s="3"/>
      <c r="Q16" s="3"/>
      <c r="R16" s="3"/>
    </row>
    <row r="17" spans="1:18" hidden="1">
      <c r="A17" s="4">
        <v>14</v>
      </c>
      <c r="B17" s="9">
        <v>243621</v>
      </c>
      <c r="C17" s="2" t="s">
        <v>395</v>
      </c>
      <c r="D17" s="2" t="s">
        <v>285</v>
      </c>
      <c r="E17" s="6" t="s">
        <v>525</v>
      </c>
      <c r="F17" s="6" t="s">
        <v>468</v>
      </c>
      <c r="G17" s="2" t="s">
        <v>319</v>
      </c>
      <c r="H17" s="2"/>
      <c r="I17" s="54">
        <v>438</v>
      </c>
      <c r="J17" s="4" t="s">
        <v>83</v>
      </c>
      <c r="P17" s="3"/>
      <c r="Q17" s="3"/>
      <c r="R17" s="3"/>
    </row>
    <row r="18" spans="1:18">
      <c r="A18" s="4">
        <v>15</v>
      </c>
      <c r="B18" s="9">
        <v>243621</v>
      </c>
      <c r="C18" s="2" t="s">
        <v>394</v>
      </c>
      <c r="D18" s="2" t="s">
        <v>284</v>
      </c>
      <c r="E18" s="6" t="s">
        <v>525</v>
      </c>
      <c r="F18" s="6" t="s">
        <v>468</v>
      </c>
      <c r="G18" s="2" t="s">
        <v>283</v>
      </c>
      <c r="H18" s="2" t="s">
        <v>282</v>
      </c>
      <c r="I18" s="54">
        <v>230</v>
      </c>
      <c r="J18" s="2" t="s">
        <v>118</v>
      </c>
      <c r="P18" s="3"/>
      <c r="Q18" s="3"/>
      <c r="R18" s="3"/>
    </row>
    <row r="19" spans="1:18" hidden="1">
      <c r="A19" s="4">
        <v>16</v>
      </c>
      <c r="B19" s="9">
        <v>243621</v>
      </c>
      <c r="C19" s="2" t="s">
        <v>393</v>
      </c>
      <c r="D19" s="2" t="s">
        <v>281</v>
      </c>
      <c r="E19" s="6" t="s">
        <v>525</v>
      </c>
      <c r="F19" s="5" t="s">
        <v>470</v>
      </c>
      <c r="G19" s="2" t="s">
        <v>280</v>
      </c>
      <c r="H19" s="2" t="s">
        <v>279</v>
      </c>
      <c r="I19" s="54">
        <v>1019</v>
      </c>
      <c r="J19" s="4" t="s">
        <v>83</v>
      </c>
      <c r="P19" s="3"/>
      <c r="Q19" s="3"/>
      <c r="R19" s="3"/>
    </row>
    <row r="20" spans="1:18" hidden="1">
      <c r="A20" s="4">
        <v>17</v>
      </c>
      <c r="B20" s="9">
        <v>243621</v>
      </c>
      <c r="C20" s="2" t="s">
        <v>392</v>
      </c>
      <c r="D20" s="2" t="s">
        <v>278</v>
      </c>
      <c r="E20" s="6" t="s">
        <v>525</v>
      </c>
      <c r="F20" s="5" t="s">
        <v>469</v>
      </c>
      <c r="G20" s="2" t="s">
        <v>277</v>
      </c>
      <c r="H20" s="2" t="s">
        <v>276</v>
      </c>
      <c r="I20" s="54">
        <v>760</v>
      </c>
      <c r="J20" s="4" t="s">
        <v>83</v>
      </c>
      <c r="P20" s="3"/>
      <c r="Q20" s="3"/>
      <c r="R20" s="3"/>
    </row>
    <row r="21" spans="1:18" hidden="1">
      <c r="A21" s="4">
        <v>18</v>
      </c>
      <c r="B21" s="9">
        <v>243621</v>
      </c>
      <c r="C21" s="2" t="s">
        <v>391</v>
      </c>
      <c r="D21" s="2" t="s">
        <v>275</v>
      </c>
      <c r="E21" s="6" t="s">
        <v>525</v>
      </c>
      <c r="F21" s="5" t="s">
        <v>468</v>
      </c>
      <c r="G21" s="2" t="s">
        <v>318</v>
      </c>
      <c r="H21" s="2" t="s">
        <v>274</v>
      </c>
      <c r="I21" s="54">
        <v>270</v>
      </c>
      <c r="J21" s="2" t="s">
        <v>82</v>
      </c>
      <c r="P21" s="3"/>
      <c r="Q21" s="3"/>
      <c r="R21" s="3"/>
    </row>
    <row r="22" spans="1:18" hidden="1">
      <c r="A22" s="4">
        <v>19</v>
      </c>
      <c r="B22" s="9">
        <v>243621</v>
      </c>
      <c r="C22" s="2" t="s">
        <v>390</v>
      </c>
      <c r="D22" s="2" t="s">
        <v>273</v>
      </c>
      <c r="E22" s="6" t="s">
        <v>525</v>
      </c>
      <c r="F22" s="5" t="s">
        <v>468</v>
      </c>
      <c r="G22" s="2" t="s">
        <v>272</v>
      </c>
      <c r="H22" s="2" t="s">
        <v>271</v>
      </c>
      <c r="I22" s="54">
        <v>410</v>
      </c>
      <c r="J22" s="4" t="s">
        <v>82</v>
      </c>
      <c r="P22" s="3"/>
      <c r="Q22" s="3"/>
      <c r="R22" s="3"/>
    </row>
    <row r="23" spans="1:18" hidden="1">
      <c r="A23" s="4">
        <v>20</v>
      </c>
      <c r="B23" s="9">
        <v>243622</v>
      </c>
      <c r="C23" s="2" t="s">
        <v>389</v>
      </c>
      <c r="D23" s="2" t="s">
        <v>270</v>
      </c>
      <c r="E23" s="6" t="s">
        <v>525</v>
      </c>
      <c r="F23" s="6" t="s">
        <v>470</v>
      </c>
      <c r="G23" s="2" t="s">
        <v>269</v>
      </c>
      <c r="H23" s="2" t="s">
        <v>268</v>
      </c>
      <c r="I23" s="54">
        <v>1030</v>
      </c>
      <c r="J23" s="4" t="s">
        <v>82</v>
      </c>
      <c r="P23" s="3"/>
      <c r="Q23" s="3"/>
      <c r="R23" s="3"/>
    </row>
    <row r="24" spans="1:18" hidden="1">
      <c r="A24" s="4">
        <v>21</v>
      </c>
      <c r="B24" s="9">
        <v>243622</v>
      </c>
      <c r="C24" s="2" t="s">
        <v>388</v>
      </c>
      <c r="D24" s="2" t="s">
        <v>267</v>
      </c>
      <c r="E24" s="6" t="s">
        <v>525</v>
      </c>
      <c r="F24" s="5" t="s">
        <v>468</v>
      </c>
      <c r="G24" s="2" t="s">
        <v>266</v>
      </c>
      <c r="H24" s="2" t="s">
        <v>265</v>
      </c>
      <c r="I24" s="54">
        <v>2200</v>
      </c>
      <c r="J24" s="2" t="s">
        <v>83</v>
      </c>
      <c r="P24" s="3"/>
      <c r="Q24" s="3"/>
      <c r="R24" s="3"/>
    </row>
    <row r="25" spans="1:18" hidden="1">
      <c r="A25" s="4">
        <v>22</v>
      </c>
      <c r="B25" s="9">
        <v>243622</v>
      </c>
      <c r="C25" s="2" t="s">
        <v>387</v>
      </c>
      <c r="D25" s="2" t="s">
        <v>264</v>
      </c>
      <c r="E25" s="6" t="s">
        <v>525</v>
      </c>
      <c r="F25" s="5" t="s">
        <v>468</v>
      </c>
      <c r="G25" s="2" t="s">
        <v>263</v>
      </c>
      <c r="H25" s="2" t="s">
        <v>262</v>
      </c>
      <c r="I25" s="54">
        <v>180</v>
      </c>
      <c r="J25" s="4" t="s">
        <v>83</v>
      </c>
      <c r="P25" s="3"/>
      <c r="Q25" s="3"/>
      <c r="R25" s="3"/>
    </row>
    <row r="26" spans="1:18" hidden="1">
      <c r="A26" s="4">
        <v>23</v>
      </c>
      <c r="B26" s="9">
        <v>243622</v>
      </c>
      <c r="C26" s="2" t="s">
        <v>386</v>
      </c>
      <c r="D26" s="2" t="s">
        <v>261</v>
      </c>
      <c r="E26" s="6" t="s">
        <v>525</v>
      </c>
      <c r="F26" s="6" t="s">
        <v>468</v>
      </c>
      <c r="G26" s="2" t="s">
        <v>260</v>
      </c>
      <c r="H26" s="2"/>
      <c r="I26" s="54">
        <v>180</v>
      </c>
      <c r="J26" s="4" t="s">
        <v>82</v>
      </c>
      <c r="P26" s="3"/>
      <c r="Q26" s="3"/>
      <c r="R26" s="3"/>
    </row>
    <row r="27" spans="1:18" hidden="1">
      <c r="A27" s="4">
        <v>24</v>
      </c>
      <c r="B27" s="9">
        <v>243622</v>
      </c>
      <c r="C27" s="2" t="s">
        <v>385</v>
      </c>
      <c r="D27" s="2" t="s">
        <v>259</v>
      </c>
      <c r="E27" s="6" t="s">
        <v>525</v>
      </c>
      <c r="F27" s="5" t="s">
        <v>468</v>
      </c>
      <c r="G27" s="2" t="s">
        <v>258</v>
      </c>
      <c r="H27" s="2" t="s">
        <v>257</v>
      </c>
      <c r="I27" s="54">
        <v>970</v>
      </c>
      <c r="J27" s="2" t="s">
        <v>82</v>
      </c>
      <c r="P27" s="3"/>
      <c r="Q27" s="3"/>
      <c r="R27" s="3"/>
    </row>
    <row r="28" spans="1:18" hidden="1">
      <c r="A28" s="4">
        <v>25</v>
      </c>
      <c r="B28" s="9">
        <v>243623</v>
      </c>
      <c r="C28" s="2" t="s">
        <v>384</v>
      </c>
      <c r="D28" s="2" t="s">
        <v>256</v>
      </c>
      <c r="E28" s="6" t="s">
        <v>525</v>
      </c>
      <c r="F28" s="5" t="s">
        <v>468</v>
      </c>
      <c r="G28" s="2" t="s">
        <v>255</v>
      </c>
      <c r="H28" s="2" t="s">
        <v>254</v>
      </c>
      <c r="I28" s="54">
        <v>180</v>
      </c>
      <c r="J28" s="4" t="s">
        <v>82</v>
      </c>
      <c r="P28" s="3"/>
      <c r="Q28" s="3"/>
      <c r="R28" s="3"/>
    </row>
    <row r="29" spans="1:18" hidden="1">
      <c r="A29" s="4">
        <v>26</v>
      </c>
      <c r="B29" s="9">
        <v>243623</v>
      </c>
      <c r="C29" s="2" t="s">
        <v>534</v>
      </c>
      <c r="D29" s="2" t="s">
        <v>253</v>
      </c>
      <c r="E29" s="6" t="s">
        <v>525</v>
      </c>
      <c r="F29" s="6" t="s">
        <v>468</v>
      </c>
      <c r="G29" s="2" t="s">
        <v>252</v>
      </c>
      <c r="H29" s="2"/>
      <c r="I29" s="54">
        <v>299</v>
      </c>
      <c r="J29" s="4" t="s">
        <v>83</v>
      </c>
      <c r="P29" s="3"/>
      <c r="Q29" s="3"/>
      <c r="R29" s="3"/>
    </row>
    <row r="30" spans="1:18" hidden="1">
      <c r="A30" s="4">
        <v>27</v>
      </c>
      <c r="B30" s="9">
        <v>243623</v>
      </c>
      <c r="C30" s="2" t="s">
        <v>383</v>
      </c>
      <c r="D30" s="2" t="s">
        <v>251</v>
      </c>
      <c r="E30" s="6" t="s">
        <v>525</v>
      </c>
      <c r="F30" s="5" t="s">
        <v>468</v>
      </c>
      <c r="G30" s="2" t="s">
        <v>250</v>
      </c>
      <c r="H30" s="2" t="s">
        <v>249</v>
      </c>
      <c r="I30" s="54">
        <v>180</v>
      </c>
      <c r="J30" s="2" t="s">
        <v>83</v>
      </c>
    </row>
    <row r="31" spans="1:18" hidden="1">
      <c r="A31" s="4">
        <v>28</v>
      </c>
      <c r="B31" s="9">
        <v>243623</v>
      </c>
      <c r="C31" s="2" t="s">
        <v>382</v>
      </c>
      <c r="D31" s="2" t="s">
        <v>248</v>
      </c>
      <c r="E31" s="6" t="s">
        <v>525</v>
      </c>
      <c r="F31" s="5" t="s">
        <v>470</v>
      </c>
      <c r="G31" s="2" t="s">
        <v>247</v>
      </c>
      <c r="H31" s="2"/>
      <c r="I31" s="54">
        <v>219</v>
      </c>
      <c r="J31" s="4" t="s">
        <v>83</v>
      </c>
    </row>
    <row r="32" spans="1:18" hidden="1">
      <c r="A32" s="4">
        <v>29</v>
      </c>
      <c r="B32" s="9">
        <v>243623</v>
      </c>
      <c r="C32" s="2" t="s">
        <v>381</v>
      </c>
      <c r="D32" s="2" t="s">
        <v>246</v>
      </c>
      <c r="E32" s="6" t="s">
        <v>525</v>
      </c>
      <c r="F32" s="5" t="s">
        <v>470</v>
      </c>
      <c r="G32" s="2" t="s">
        <v>245</v>
      </c>
      <c r="H32" s="2" t="s">
        <v>244</v>
      </c>
      <c r="I32" s="54">
        <v>219</v>
      </c>
      <c r="J32" s="4" t="s">
        <v>83</v>
      </c>
    </row>
    <row r="33" spans="1:10" hidden="1">
      <c r="A33" s="4">
        <v>30</v>
      </c>
      <c r="B33" s="9">
        <v>243623</v>
      </c>
      <c r="C33" s="2" t="s">
        <v>380</v>
      </c>
      <c r="D33" s="2" t="s">
        <v>243</v>
      </c>
      <c r="E33" s="6" t="s">
        <v>525</v>
      </c>
      <c r="F33" s="5" t="s">
        <v>468</v>
      </c>
      <c r="G33" s="2" t="s">
        <v>242</v>
      </c>
      <c r="H33" s="2" t="s">
        <v>241</v>
      </c>
      <c r="I33" s="54">
        <v>180</v>
      </c>
      <c r="J33" s="2" t="s">
        <v>82</v>
      </c>
    </row>
    <row r="34" spans="1:10" hidden="1">
      <c r="A34" s="4">
        <v>31</v>
      </c>
      <c r="B34" s="9">
        <v>243623</v>
      </c>
      <c r="C34" s="2" t="s">
        <v>379</v>
      </c>
      <c r="D34" s="2" t="s">
        <v>240</v>
      </c>
      <c r="E34" s="6" t="s">
        <v>525</v>
      </c>
      <c r="F34" s="5" t="s">
        <v>468</v>
      </c>
      <c r="G34" s="2" t="s">
        <v>239</v>
      </c>
      <c r="H34" s="2"/>
      <c r="I34" s="54">
        <v>180</v>
      </c>
      <c r="J34" s="4" t="s">
        <v>82</v>
      </c>
    </row>
    <row r="35" spans="1:10" hidden="1">
      <c r="A35" s="4">
        <v>32</v>
      </c>
      <c r="B35" s="9">
        <v>243626</v>
      </c>
      <c r="C35" s="2" t="s">
        <v>378</v>
      </c>
      <c r="D35" s="2" t="s">
        <v>238</v>
      </c>
      <c r="E35" s="6" t="s">
        <v>525</v>
      </c>
      <c r="F35" s="5" t="s">
        <v>468</v>
      </c>
      <c r="G35" s="2" t="s">
        <v>237</v>
      </c>
      <c r="H35" s="2" t="s">
        <v>236</v>
      </c>
      <c r="I35" s="54">
        <v>830</v>
      </c>
      <c r="J35" s="4" t="s">
        <v>83</v>
      </c>
    </row>
    <row r="36" spans="1:10" hidden="1">
      <c r="A36" s="4">
        <v>33</v>
      </c>
      <c r="B36" s="9">
        <v>243626</v>
      </c>
      <c r="C36" s="2" t="s">
        <v>377</v>
      </c>
      <c r="D36" s="2" t="s">
        <v>235</v>
      </c>
      <c r="E36" s="6" t="s">
        <v>525</v>
      </c>
      <c r="F36" s="5" t="s">
        <v>468</v>
      </c>
      <c r="G36" s="2" t="s">
        <v>234</v>
      </c>
      <c r="H36" s="2" t="s">
        <v>233</v>
      </c>
      <c r="I36" s="54">
        <v>1750</v>
      </c>
      <c r="J36" s="2" t="s">
        <v>83</v>
      </c>
    </row>
    <row r="37" spans="1:10" hidden="1">
      <c r="A37" s="4">
        <v>34</v>
      </c>
      <c r="B37" s="9">
        <v>243626</v>
      </c>
      <c r="C37" s="2" t="s">
        <v>376</v>
      </c>
      <c r="D37" s="2" t="s">
        <v>232</v>
      </c>
      <c r="E37" s="6" t="s">
        <v>525</v>
      </c>
      <c r="F37" s="5" t="s">
        <v>468</v>
      </c>
      <c r="G37" s="2" t="s">
        <v>231</v>
      </c>
      <c r="H37" s="2" t="s">
        <v>230</v>
      </c>
      <c r="I37" s="54">
        <v>180</v>
      </c>
      <c r="J37" s="4" t="s">
        <v>83</v>
      </c>
    </row>
    <row r="38" spans="1:10" hidden="1">
      <c r="A38" s="4">
        <v>35</v>
      </c>
      <c r="B38" s="9">
        <v>243626</v>
      </c>
      <c r="C38" s="2" t="s">
        <v>368</v>
      </c>
      <c r="D38" s="2" t="s">
        <v>229</v>
      </c>
      <c r="E38" s="6" t="s">
        <v>525</v>
      </c>
      <c r="F38" s="5" t="s">
        <v>468</v>
      </c>
      <c r="G38" s="2" t="s">
        <v>228</v>
      </c>
      <c r="H38" s="2"/>
      <c r="I38" s="54">
        <v>1370</v>
      </c>
      <c r="J38" s="4" t="s">
        <v>83</v>
      </c>
    </row>
    <row r="39" spans="1:10" hidden="1">
      <c r="A39" s="4">
        <v>36</v>
      </c>
      <c r="B39" s="9">
        <v>243626</v>
      </c>
      <c r="C39" s="2" t="s">
        <v>369</v>
      </c>
      <c r="D39" s="2" t="s">
        <v>227</v>
      </c>
      <c r="E39" s="6" t="s">
        <v>525</v>
      </c>
      <c r="F39" s="5" t="s">
        <v>468</v>
      </c>
      <c r="G39" s="2" t="s">
        <v>226</v>
      </c>
      <c r="H39" s="2" t="s">
        <v>225</v>
      </c>
      <c r="I39" s="54">
        <v>380</v>
      </c>
      <c r="J39" s="2" t="s">
        <v>82</v>
      </c>
    </row>
    <row r="40" spans="1:10" hidden="1">
      <c r="A40" s="4">
        <v>37</v>
      </c>
      <c r="B40" s="9">
        <v>243626</v>
      </c>
      <c r="C40" s="2" t="s">
        <v>370</v>
      </c>
      <c r="D40" s="2" t="s">
        <v>224</v>
      </c>
      <c r="E40" s="6" t="s">
        <v>525</v>
      </c>
      <c r="F40" s="5" t="s">
        <v>472</v>
      </c>
      <c r="G40" s="2" t="s">
        <v>223</v>
      </c>
      <c r="H40" s="2"/>
      <c r="I40" s="54">
        <v>150</v>
      </c>
      <c r="J40" s="4" t="s">
        <v>83</v>
      </c>
    </row>
    <row r="41" spans="1:10">
      <c r="A41" s="4">
        <v>38</v>
      </c>
      <c r="B41" s="9">
        <v>243627</v>
      </c>
      <c r="C41" s="2" t="s">
        <v>371</v>
      </c>
      <c r="D41" s="2" t="s">
        <v>222</v>
      </c>
      <c r="E41" s="6" t="s">
        <v>525</v>
      </c>
      <c r="F41" s="5" t="s">
        <v>468</v>
      </c>
      <c r="G41" s="2" t="s">
        <v>221</v>
      </c>
      <c r="H41" s="2" t="s">
        <v>220</v>
      </c>
      <c r="I41" s="54">
        <v>180</v>
      </c>
      <c r="J41" s="2" t="s">
        <v>118</v>
      </c>
    </row>
    <row r="42" spans="1:10" hidden="1">
      <c r="A42" s="4">
        <v>39</v>
      </c>
      <c r="B42" s="9">
        <v>243627</v>
      </c>
      <c r="C42" s="2" t="s">
        <v>372</v>
      </c>
      <c r="D42" s="2" t="s">
        <v>219</v>
      </c>
      <c r="E42" s="6" t="s">
        <v>525</v>
      </c>
      <c r="F42" s="5" t="s">
        <v>470</v>
      </c>
      <c r="G42" s="2" t="s">
        <v>218</v>
      </c>
      <c r="H42" s="2" t="s">
        <v>217</v>
      </c>
      <c r="I42" s="54">
        <v>219</v>
      </c>
      <c r="J42" s="2" t="s">
        <v>83</v>
      </c>
    </row>
    <row r="43" spans="1:10" hidden="1">
      <c r="A43" s="4">
        <v>40</v>
      </c>
      <c r="B43" s="9">
        <v>243627</v>
      </c>
      <c r="C43" s="2" t="s">
        <v>373</v>
      </c>
      <c r="D43" s="2" t="s">
        <v>216</v>
      </c>
      <c r="E43" s="6" t="s">
        <v>525</v>
      </c>
      <c r="F43" s="5" t="s">
        <v>468</v>
      </c>
      <c r="G43" s="2" t="s">
        <v>215</v>
      </c>
      <c r="H43" s="2"/>
      <c r="I43" s="54">
        <v>150</v>
      </c>
      <c r="J43" s="4" t="s">
        <v>83</v>
      </c>
    </row>
    <row r="44" spans="1:10" hidden="1">
      <c r="A44" s="4">
        <v>41</v>
      </c>
      <c r="B44" s="9">
        <v>243627</v>
      </c>
      <c r="C44" s="5" t="s">
        <v>374</v>
      </c>
      <c r="D44" s="2" t="s">
        <v>214</v>
      </c>
      <c r="E44" s="6" t="s">
        <v>525</v>
      </c>
      <c r="F44" s="5" t="s">
        <v>468</v>
      </c>
      <c r="G44" s="2" t="s">
        <v>213</v>
      </c>
      <c r="H44" s="2" t="s">
        <v>212</v>
      </c>
      <c r="I44" s="54">
        <v>180</v>
      </c>
      <c r="J44" s="4" t="s">
        <v>83</v>
      </c>
    </row>
    <row r="45" spans="1:10" hidden="1">
      <c r="A45" s="4">
        <v>42</v>
      </c>
      <c r="B45" s="9">
        <v>243628</v>
      </c>
      <c r="C45" s="2" t="s">
        <v>375</v>
      </c>
      <c r="D45" s="2" t="s">
        <v>211</v>
      </c>
      <c r="E45" s="6" t="s">
        <v>525</v>
      </c>
      <c r="F45" s="5" t="s">
        <v>468</v>
      </c>
      <c r="G45" s="2" t="s">
        <v>210</v>
      </c>
      <c r="H45" s="2" t="s">
        <v>209</v>
      </c>
      <c r="I45" s="54">
        <v>530</v>
      </c>
      <c r="J45" s="2" t="s">
        <v>83</v>
      </c>
    </row>
    <row r="46" spans="1:10" hidden="1">
      <c r="A46" s="4">
        <v>43</v>
      </c>
      <c r="B46" s="9">
        <v>243628</v>
      </c>
      <c r="C46" s="2" t="s">
        <v>367</v>
      </c>
      <c r="D46" s="2" t="s">
        <v>208</v>
      </c>
      <c r="E46" s="6" t="s">
        <v>525</v>
      </c>
      <c r="F46" s="5" t="s">
        <v>468</v>
      </c>
      <c r="G46" s="2" t="s">
        <v>207</v>
      </c>
      <c r="H46" s="2" t="s">
        <v>206</v>
      </c>
      <c r="I46" s="54">
        <v>320</v>
      </c>
      <c r="J46" s="4" t="s">
        <v>83</v>
      </c>
    </row>
    <row r="47" spans="1:10" hidden="1">
      <c r="A47" s="4">
        <v>44</v>
      </c>
      <c r="B47" s="9">
        <v>243628</v>
      </c>
      <c r="C47" s="2" t="s">
        <v>366</v>
      </c>
      <c r="D47" s="2" t="s">
        <v>203</v>
      </c>
      <c r="E47" s="6" t="s">
        <v>525</v>
      </c>
      <c r="F47" s="5" t="s">
        <v>468</v>
      </c>
      <c r="G47" s="2" t="s">
        <v>205</v>
      </c>
      <c r="H47" s="2" t="s">
        <v>204</v>
      </c>
      <c r="I47" s="54">
        <v>220</v>
      </c>
      <c r="J47" s="4" t="s">
        <v>83</v>
      </c>
    </row>
    <row r="48" spans="1:10" hidden="1">
      <c r="A48" s="4">
        <v>45</v>
      </c>
      <c r="B48" s="9">
        <v>243628</v>
      </c>
      <c r="C48" s="2" t="s">
        <v>474</v>
      </c>
      <c r="D48" s="2" t="s">
        <v>473</v>
      </c>
      <c r="E48" s="6" t="s">
        <v>525</v>
      </c>
      <c r="F48" s="5" t="s">
        <v>468</v>
      </c>
      <c r="G48" s="2" t="s">
        <v>202</v>
      </c>
      <c r="H48" s="2" t="s">
        <v>201</v>
      </c>
      <c r="I48" s="54">
        <v>180</v>
      </c>
      <c r="J48" s="2" t="s">
        <v>83</v>
      </c>
    </row>
    <row r="49" spans="1:15" hidden="1">
      <c r="A49" s="4">
        <v>46</v>
      </c>
      <c r="B49" s="9">
        <v>243628</v>
      </c>
      <c r="C49" s="2" t="s">
        <v>365</v>
      </c>
      <c r="D49" s="2" t="s">
        <v>200</v>
      </c>
      <c r="E49" s="6" t="s">
        <v>525</v>
      </c>
      <c r="F49" s="5" t="s">
        <v>468</v>
      </c>
      <c r="G49" s="2" t="s">
        <v>199</v>
      </c>
      <c r="H49" s="2"/>
      <c r="I49" s="54">
        <v>419</v>
      </c>
      <c r="J49" s="4" t="s">
        <v>82</v>
      </c>
    </row>
    <row r="50" spans="1:15" hidden="1">
      <c r="A50" s="4">
        <v>47</v>
      </c>
      <c r="B50" s="9">
        <v>243628</v>
      </c>
      <c r="C50" s="2" t="s">
        <v>475</v>
      </c>
      <c r="D50" s="2" t="s">
        <v>198</v>
      </c>
      <c r="E50" s="6" t="s">
        <v>525</v>
      </c>
      <c r="F50" s="5" t="s">
        <v>468</v>
      </c>
      <c r="G50" s="2" t="s">
        <v>363</v>
      </c>
      <c r="H50" s="2" t="s">
        <v>364</v>
      </c>
      <c r="I50" s="54">
        <v>1100</v>
      </c>
      <c r="J50" s="4" t="s">
        <v>83</v>
      </c>
      <c r="O50" s="29"/>
    </row>
    <row r="51" spans="1:15" hidden="1">
      <c r="A51" s="4">
        <v>48</v>
      </c>
      <c r="B51" s="9">
        <v>243630</v>
      </c>
      <c r="C51" s="2" t="s">
        <v>362</v>
      </c>
      <c r="D51" s="2" t="s">
        <v>197</v>
      </c>
      <c r="E51" s="6" t="s">
        <v>525</v>
      </c>
      <c r="F51" s="5" t="s">
        <v>468</v>
      </c>
      <c r="G51" s="2" t="s">
        <v>196</v>
      </c>
      <c r="H51" s="2"/>
      <c r="I51" s="54">
        <v>180</v>
      </c>
      <c r="J51" s="2" t="s">
        <v>82</v>
      </c>
    </row>
    <row r="52" spans="1:15" hidden="1">
      <c r="A52" s="4">
        <v>49</v>
      </c>
      <c r="B52" s="9">
        <v>243630</v>
      </c>
      <c r="C52" s="2" t="s">
        <v>361</v>
      </c>
      <c r="D52" s="2" t="s">
        <v>195</v>
      </c>
      <c r="E52" s="6" t="s">
        <v>525</v>
      </c>
      <c r="F52" s="5" t="s">
        <v>468</v>
      </c>
      <c r="G52" s="2" t="s">
        <v>194</v>
      </c>
      <c r="H52" s="2"/>
      <c r="I52" s="54">
        <v>180</v>
      </c>
      <c r="J52" s="4" t="s">
        <v>82</v>
      </c>
    </row>
    <row r="53" spans="1:15" hidden="1">
      <c r="A53" s="4">
        <v>50</v>
      </c>
      <c r="B53" s="9">
        <v>243630</v>
      </c>
      <c r="C53" s="2" t="s">
        <v>360</v>
      </c>
      <c r="D53" s="2" t="s">
        <v>193</v>
      </c>
      <c r="E53" s="6" t="s">
        <v>525</v>
      </c>
      <c r="F53" s="5" t="s">
        <v>468</v>
      </c>
      <c r="G53" s="2" t="s">
        <v>192</v>
      </c>
      <c r="H53" s="2" t="s">
        <v>191</v>
      </c>
      <c r="I53" s="54">
        <v>180</v>
      </c>
      <c r="J53" s="4" t="s">
        <v>82</v>
      </c>
    </row>
    <row r="54" spans="1:15" hidden="1">
      <c r="A54" s="4">
        <v>51</v>
      </c>
      <c r="B54" s="9">
        <v>243630</v>
      </c>
      <c r="C54" s="2" t="s">
        <v>359</v>
      </c>
      <c r="D54" s="2" t="s">
        <v>190</v>
      </c>
      <c r="E54" s="6" t="s">
        <v>525</v>
      </c>
      <c r="F54" s="5" t="s">
        <v>468</v>
      </c>
      <c r="G54" s="2" t="s">
        <v>189</v>
      </c>
      <c r="H54" s="2" t="s">
        <v>188</v>
      </c>
      <c r="I54" s="54">
        <v>330</v>
      </c>
      <c r="J54" s="2" t="s">
        <v>82</v>
      </c>
    </row>
    <row r="55" spans="1:15" hidden="1">
      <c r="A55" s="4">
        <v>52</v>
      </c>
      <c r="B55" s="9">
        <v>243630</v>
      </c>
      <c r="C55" s="2" t="s">
        <v>357</v>
      </c>
      <c r="D55" s="2" t="s">
        <v>187</v>
      </c>
      <c r="E55" s="6" t="s">
        <v>525</v>
      </c>
      <c r="F55" s="5" t="s">
        <v>468</v>
      </c>
      <c r="G55" s="2" t="s">
        <v>186</v>
      </c>
      <c r="H55" s="2" t="s">
        <v>185</v>
      </c>
      <c r="I55" s="54">
        <v>1750</v>
      </c>
      <c r="J55" s="4" t="s">
        <v>82</v>
      </c>
    </row>
    <row r="56" spans="1:15" hidden="1">
      <c r="A56" s="4">
        <v>53</v>
      </c>
      <c r="B56" s="9">
        <v>243631</v>
      </c>
      <c r="C56" s="2" t="s">
        <v>356</v>
      </c>
      <c r="D56" s="2" t="s">
        <v>184</v>
      </c>
      <c r="E56" s="6" t="s">
        <v>525</v>
      </c>
      <c r="F56" s="5" t="s">
        <v>468</v>
      </c>
      <c r="G56" s="2" t="s">
        <v>183</v>
      </c>
      <c r="H56" s="2" t="s">
        <v>182</v>
      </c>
      <c r="I56" s="54">
        <v>330</v>
      </c>
      <c r="J56" s="4" t="s">
        <v>82</v>
      </c>
    </row>
    <row r="57" spans="1:15">
      <c r="A57" s="4">
        <v>54</v>
      </c>
      <c r="B57" s="9">
        <v>243634</v>
      </c>
      <c r="C57" s="2" t="s">
        <v>355</v>
      </c>
      <c r="D57" s="2" t="s">
        <v>181</v>
      </c>
      <c r="E57" s="6" t="s">
        <v>525</v>
      </c>
      <c r="F57" s="5" t="s">
        <v>468</v>
      </c>
      <c r="G57" s="2" t="s">
        <v>180</v>
      </c>
      <c r="H57" s="2" t="s">
        <v>179</v>
      </c>
      <c r="I57" s="54">
        <v>180</v>
      </c>
      <c r="J57" s="2" t="s">
        <v>118</v>
      </c>
    </row>
    <row r="58" spans="1:15" hidden="1">
      <c r="A58" s="4">
        <v>55</v>
      </c>
      <c r="B58" s="9">
        <v>243634</v>
      </c>
      <c r="C58" s="2" t="s">
        <v>354</v>
      </c>
      <c r="D58" s="2" t="s">
        <v>178</v>
      </c>
      <c r="E58" s="6" t="s">
        <v>525</v>
      </c>
      <c r="F58" s="5" t="s">
        <v>468</v>
      </c>
      <c r="G58" s="2" t="s">
        <v>177</v>
      </c>
      <c r="H58" s="2"/>
      <c r="I58" s="54">
        <v>280</v>
      </c>
      <c r="J58" s="4" t="s">
        <v>82</v>
      </c>
    </row>
    <row r="59" spans="1:15" hidden="1">
      <c r="A59" s="4">
        <v>56</v>
      </c>
      <c r="B59" s="9">
        <v>243634</v>
      </c>
      <c r="C59" s="5" t="s">
        <v>339</v>
      </c>
      <c r="D59" s="2" t="s">
        <v>176</v>
      </c>
      <c r="E59" s="6" t="s">
        <v>525</v>
      </c>
      <c r="F59" s="5" t="s">
        <v>468</v>
      </c>
      <c r="G59" s="2" t="s">
        <v>175</v>
      </c>
      <c r="H59" s="2" t="s">
        <v>148</v>
      </c>
      <c r="I59" s="54">
        <v>930</v>
      </c>
      <c r="J59" s="4" t="s">
        <v>83</v>
      </c>
    </row>
    <row r="60" spans="1:15" hidden="1">
      <c r="A60" s="4">
        <v>57</v>
      </c>
      <c r="B60" s="9">
        <v>243634</v>
      </c>
      <c r="C60" s="5" t="s">
        <v>340</v>
      </c>
      <c r="D60" s="2" t="s">
        <v>174</v>
      </c>
      <c r="E60" s="6" t="s">
        <v>525</v>
      </c>
      <c r="F60" s="5" t="s">
        <v>468</v>
      </c>
      <c r="G60" s="2" t="s">
        <v>173</v>
      </c>
      <c r="H60" s="2" t="s">
        <v>172</v>
      </c>
      <c r="I60" s="54">
        <v>230</v>
      </c>
      <c r="J60" s="2" t="s">
        <v>83</v>
      </c>
    </row>
    <row r="61" spans="1:15" hidden="1">
      <c r="A61" s="4">
        <v>58</v>
      </c>
      <c r="B61" s="9">
        <v>243634</v>
      </c>
      <c r="C61" s="2" t="s">
        <v>341</v>
      </c>
      <c r="D61" s="2" t="s">
        <v>171</v>
      </c>
      <c r="E61" s="6" t="s">
        <v>525</v>
      </c>
      <c r="F61" s="5" t="s">
        <v>468</v>
      </c>
      <c r="G61" s="2" t="s">
        <v>338</v>
      </c>
      <c r="H61" s="2"/>
      <c r="I61" s="54">
        <v>790</v>
      </c>
      <c r="J61" s="4" t="s">
        <v>83</v>
      </c>
    </row>
    <row r="62" spans="1:15" hidden="1">
      <c r="A62" s="4">
        <v>59</v>
      </c>
      <c r="B62" s="9">
        <v>243635</v>
      </c>
      <c r="C62" s="2" t="s">
        <v>342</v>
      </c>
      <c r="D62" s="2" t="s">
        <v>170</v>
      </c>
      <c r="E62" s="6" t="s">
        <v>525</v>
      </c>
      <c r="F62" s="5" t="s">
        <v>468</v>
      </c>
      <c r="G62" s="2" t="s">
        <v>169</v>
      </c>
      <c r="H62" s="2"/>
      <c r="I62" s="54">
        <v>230</v>
      </c>
      <c r="J62" s="4" t="s">
        <v>82</v>
      </c>
    </row>
    <row r="63" spans="1:15" hidden="1">
      <c r="A63" s="4">
        <v>60</v>
      </c>
      <c r="B63" s="9">
        <v>243635</v>
      </c>
      <c r="C63" s="2" t="s">
        <v>343</v>
      </c>
      <c r="D63" s="2" t="s">
        <v>345</v>
      </c>
      <c r="E63" s="6" t="s">
        <v>525</v>
      </c>
      <c r="F63" s="5" t="s">
        <v>468</v>
      </c>
      <c r="G63" s="2" t="s">
        <v>120</v>
      </c>
      <c r="H63" s="2" t="s">
        <v>168</v>
      </c>
      <c r="I63" s="54">
        <v>230</v>
      </c>
      <c r="J63" s="2" t="s">
        <v>83</v>
      </c>
    </row>
    <row r="64" spans="1:15" hidden="1">
      <c r="A64" s="4">
        <v>61</v>
      </c>
      <c r="B64" s="9">
        <v>243635</v>
      </c>
      <c r="C64" s="2" t="s">
        <v>346</v>
      </c>
      <c r="D64" s="2" t="s">
        <v>344</v>
      </c>
      <c r="E64" s="6" t="s">
        <v>525</v>
      </c>
      <c r="F64" s="5" t="s">
        <v>468</v>
      </c>
      <c r="G64" s="2" t="s">
        <v>167</v>
      </c>
      <c r="H64" s="2"/>
      <c r="I64" s="54">
        <v>510</v>
      </c>
      <c r="J64" s="4" t="s">
        <v>82</v>
      </c>
    </row>
    <row r="65" spans="1:10" hidden="1">
      <c r="A65" s="4">
        <v>62</v>
      </c>
      <c r="B65" s="9">
        <v>243635</v>
      </c>
      <c r="C65" s="2" t="s">
        <v>347</v>
      </c>
      <c r="D65" s="2" t="s">
        <v>166</v>
      </c>
      <c r="E65" s="6" t="s">
        <v>525</v>
      </c>
      <c r="F65" s="5" t="s">
        <v>468</v>
      </c>
      <c r="G65" s="2" t="s">
        <v>165</v>
      </c>
      <c r="H65" s="2"/>
      <c r="I65" s="54">
        <v>230</v>
      </c>
      <c r="J65" s="4" t="s">
        <v>83</v>
      </c>
    </row>
    <row r="66" spans="1:10">
      <c r="A66" s="4">
        <v>63</v>
      </c>
      <c r="B66" s="9">
        <v>243635</v>
      </c>
      <c r="C66" s="2" t="s">
        <v>348</v>
      </c>
      <c r="D66" s="2" t="s">
        <v>164</v>
      </c>
      <c r="E66" s="6" t="s">
        <v>525</v>
      </c>
      <c r="F66" s="5" t="s">
        <v>468</v>
      </c>
      <c r="G66" s="2" t="s">
        <v>163</v>
      </c>
      <c r="H66" s="2" t="s">
        <v>162</v>
      </c>
      <c r="I66" s="54">
        <v>220</v>
      </c>
      <c r="J66" s="2" t="s">
        <v>118</v>
      </c>
    </row>
    <row r="67" spans="1:10" hidden="1">
      <c r="A67" s="4">
        <v>64</v>
      </c>
      <c r="B67" s="9">
        <v>243635</v>
      </c>
      <c r="C67" s="2" t="s">
        <v>349</v>
      </c>
      <c r="D67" s="2" t="s">
        <v>161</v>
      </c>
      <c r="E67" s="6" t="s">
        <v>525</v>
      </c>
      <c r="F67" s="5" t="s">
        <v>468</v>
      </c>
      <c r="G67" s="2" t="s">
        <v>160</v>
      </c>
      <c r="H67" s="2" t="s">
        <v>159</v>
      </c>
      <c r="I67" s="54">
        <v>140</v>
      </c>
      <c r="J67" s="4" t="s">
        <v>82</v>
      </c>
    </row>
    <row r="68" spans="1:10" hidden="1">
      <c r="A68" s="4">
        <v>65</v>
      </c>
      <c r="B68" s="9">
        <v>243635</v>
      </c>
      <c r="C68" s="2" t="s">
        <v>350</v>
      </c>
      <c r="D68" s="2" t="s">
        <v>158</v>
      </c>
      <c r="E68" s="6" t="s">
        <v>525</v>
      </c>
      <c r="F68" s="5" t="s">
        <v>468</v>
      </c>
      <c r="G68" s="2" t="s">
        <v>157</v>
      </c>
      <c r="H68" s="2" t="s">
        <v>156</v>
      </c>
      <c r="I68" s="54">
        <v>280</v>
      </c>
      <c r="J68" s="4" t="s">
        <v>83</v>
      </c>
    </row>
    <row r="69" spans="1:10" hidden="1">
      <c r="A69" s="4">
        <v>66</v>
      </c>
      <c r="B69" s="9">
        <v>243635</v>
      </c>
      <c r="C69" s="2" t="s">
        <v>352</v>
      </c>
      <c r="D69" s="2" t="s">
        <v>155</v>
      </c>
      <c r="E69" s="6" t="s">
        <v>525</v>
      </c>
      <c r="F69" s="5" t="s">
        <v>468</v>
      </c>
      <c r="G69" s="2" t="s">
        <v>154</v>
      </c>
      <c r="H69" s="2"/>
      <c r="I69" s="54">
        <v>320</v>
      </c>
      <c r="J69" s="2" t="s">
        <v>82</v>
      </c>
    </row>
    <row r="70" spans="1:10" hidden="1">
      <c r="A70" s="4">
        <v>67</v>
      </c>
      <c r="B70" s="9">
        <v>243635</v>
      </c>
      <c r="C70" s="2" t="s">
        <v>353</v>
      </c>
      <c r="D70" s="2" t="s">
        <v>153</v>
      </c>
      <c r="E70" s="6" t="s">
        <v>525</v>
      </c>
      <c r="F70" s="5" t="s">
        <v>468</v>
      </c>
      <c r="G70" s="2" t="s">
        <v>152</v>
      </c>
      <c r="H70" s="2" t="s">
        <v>151</v>
      </c>
      <c r="I70" s="54">
        <v>280</v>
      </c>
      <c r="J70" s="4" t="s">
        <v>82</v>
      </c>
    </row>
    <row r="71" spans="1:10" hidden="1">
      <c r="A71" s="4">
        <v>68</v>
      </c>
      <c r="B71" s="9">
        <v>243635</v>
      </c>
      <c r="C71" s="2" t="s">
        <v>337</v>
      </c>
      <c r="D71" s="2" t="s">
        <v>150</v>
      </c>
      <c r="E71" s="6" t="s">
        <v>525</v>
      </c>
      <c r="F71" s="5" t="s">
        <v>468</v>
      </c>
      <c r="G71" s="2" t="s">
        <v>149</v>
      </c>
      <c r="H71" s="2" t="s">
        <v>148</v>
      </c>
      <c r="I71" s="54">
        <v>220</v>
      </c>
      <c r="J71" s="4" t="s">
        <v>82</v>
      </c>
    </row>
    <row r="72" spans="1:10" hidden="1">
      <c r="A72" s="4">
        <v>69</v>
      </c>
      <c r="B72" s="9">
        <v>243642</v>
      </c>
      <c r="C72" s="2" t="s">
        <v>336</v>
      </c>
      <c r="D72" s="2" t="s">
        <v>147</v>
      </c>
      <c r="E72" s="6" t="s">
        <v>525</v>
      </c>
      <c r="F72" s="5" t="s">
        <v>468</v>
      </c>
      <c r="G72" s="2" t="s">
        <v>146</v>
      </c>
      <c r="H72" s="2" t="s">
        <v>145</v>
      </c>
      <c r="I72" s="54">
        <v>220</v>
      </c>
      <c r="J72" s="2" t="s">
        <v>83</v>
      </c>
    </row>
    <row r="73" spans="1:10" hidden="1">
      <c r="A73" s="4">
        <v>70</v>
      </c>
      <c r="B73" s="9">
        <v>243642</v>
      </c>
      <c r="C73" s="2" t="s">
        <v>335</v>
      </c>
      <c r="D73" s="2" t="s">
        <v>144</v>
      </c>
      <c r="E73" s="6" t="s">
        <v>525</v>
      </c>
      <c r="F73" s="5" t="s">
        <v>468</v>
      </c>
      <c r="G73" s="2" t="s">
        <v>529</v>
      </c>
      <c r="H73" s="2" t="s">
        <v>530</v>
      </c>
      <c r="I73" s="54">
        <v>230</v>
      </c>
      <c r="J73" s="4" t="s">
        <v>83</v>
      </c>
    </row>
    <row r="74" spans="1:10" hidden="1">
      <c r="A74" s="4">
        <v>71</v>
      </c>
      <c r="B74" s="9">
        <v>243642</v>
      </c>
      <c r="C74" s="2" t="s">
        <v>334</v>
      </c>
      <c r="D74" s="2" t="s">
        <v>143</v>
      </c>
      <c r="E74" s="6" t="s">
        <v>525</v>
      </c>
      <c r="F74" s="5" t="s">
        <v>468</v>
      </c>
      <c r="G74" s="2" t="s">
        <v>142</v>
      </c>
      <c r="H74" s="2" t="s">
        <v>141</v>
      </c>
      <c r="I74" s="54">
        <v>220</v>
      </c>
      <c r="J74" s="4" t="s">
        <v>82</v>
      </c>
    </row>
    <row r="75" spans="1:10" hidden="1">
      <c r="A75" s="4">
        <v>72</v>
      </c>
      <c r="B75" s="9">
        <v>243642</v>
      </c>
      <c r="C75" s="2" t="s">
        <v>333</v>
      </c>
      <c r="D75" s="2" t="s">
        <v>140</v>
      </c>
      <c r="E75" s="6" t="s">
        <v>525</v>
      </c>
      <c r="F75" s="5" t="s">
        <v>468</v>
      </c>
      <c r="G75" s="2" t="s">
        <v>139</v>
      </c>
      <c r="H75" s="2" t="s">
        <v>138</v>
      </c>
      <c r="I75" s="54">
        <v>510</v>
      </c>
      <c r="J75" s="2" t="s">
        <v>83</v>
      </c>
    </row>
    <row r="76" spans="1:10" hidden="1">
      <c r="A76" s="4">
        <v>73</v>
      </c>
      <c r="B76" s="9">
        <v>243646</v>
      </c>
      <c r="C76" s="2" t="s">
        <v>332</v>
      </c>
      <c r="D76" s="2" t="s">
        <v>137</v>
      </c>
      <c r="E76" s="6" t="s">
        <v>525</v>
      </c>
      <c r="F76" s="5" t="s">
        <v>468</v>
      </c>
      <c r="G76" s="2" t="s">
        <v>136</v>
      </c>
      <c r="H76" s="2" t="s">
        <v>135</v>
      </c>
      <c r="I76" s="54">
        <v>930</v>
      </c>
      <c r="J76" s="4" t="s">
        <v>82</v>
      </c>
    </row>
    <row r="77" spans="1:10" hidden="1">
      <c r="A77" s="4">
        <v>74</v>
      </c>
      <c r="B77" s="9">
        <v>243646</v>
      </c>
      <c r="C77" s="2" t="s">
        <v>327</v>
      </c>
      <c r="D77" s="2" t="s">
        <v>134</v>
      </c>
      <c r="E77" s="6" t="s">
        <v>525</v>
      </c>
      <c r="F77" s="5" t="s">
        <v>468</v>
      </c>
      <c r="G77" s="2" t="s">
        <v>133</v>
      </c>
      <c r="H77" s="2" t="s">
        <v>132</v>
      </c>
      <c r="I77" s="54">
        <v>280</v>
      </c>
      <c r="J77" s="4" t="s">
        <v>82</v>
      </c>
    </row>
    <row r="78" spans="1:10" hidden="1">
      <c r="A78" s="4">
        <v>75</v>
      </c>
      <c r="B78" s="9">
        <v>243646</v>
      </c>
      <c r="C78" s="2" t="s">
        <v>328</v>
      </c>
      <c r="D78" s="2" t="s">
        <v>131</v>
      </c>
      <c r="E78" s="6" t="s">
        <v>525</v>
      </c>
      <c r="F78" s="5" t="s">
        <v>469</v>
      </c>
      <c r="G78" s="2" t="s">
        <v>130</v>
      </c>
      <c r="H78" s="2"/>
      <c r="I78" s="54">
        <v>339</v>
      </c>
      <c r="J78" s="2" t="s">
        <v>82</v>
      </c>
    </row>
    <row r="79" spans="1:10" hidden="1">
      <c r="A79" s="4">
        <v>76</v>
      </c>
      <c r="B79" s="9">
        <v>243649</v>
      </c>
      <c r="C79" s="2" t="s">
        <v>329</v>
      </c>
      <c r="D79" s="2" t="s">
        <v>129</v>
      </c>
      <c r="E79" s="6" t="s">
        <v>525</v>
      </c>
      <c r="F79" s="5" t="s">
        <v>468</v>
      </c>
      <c r="G79" s="2" t="s">
        <v>128</v>
      </c>
      <c r="H79" s="2" t="s">
        <v>127</v>
      </c>
      <c r="I79" s="54">
        <v>230</v>
      </c>
      <c r="J79" s="4" t="s">
        <v>83</v>
      </c>
    </row>
    <row r="80" spans="1:10" hidden="1">
      <c r="A80" s="4">
        <v>77</v>
      </c>
      <c r="B80" s="9">
        <v>243649</v>
      </c>
      <c r="C80" s="2" t="s">
        <v>358</v>
      </c>
      <c r="D80" s="2" t="s">
        <v>126</v>
      </c>
      <c r="E80" s="6" t="s">
        <v>525</v>
      </c>
      <c r="F80" s="5" t="s">
        <v>468</v>
      </c>
      <c r="G80" s="2" t="s">
        <v>125</v>
      </c>
      <c r="H80" s="2" t="s">
        <v>124</v>
      </c>
      <c r="I80" s="54">
        <v>150</v>
      </c>
      <c r="J80" s="4" t="s">
        <v>82</v>
      </c>
    </row>
    <row r="81" spans="1:10" hidden="1">
      <c r="A81" s="4">
        <v>78</v>
      </c>
      <c r="B81" s="9">
        <v>243649</v>
      </c>
      <c r="C81" s="2" t="s">
        <v>330</v>
      </c>
      <c r="D81" s="2" t="s">
        <v>123</v>
      </c>
      <c r="E81" s="6" t="s">
        <v>525</v>
      </c>
      <c r="F81" s="5" t="s">
        <v>468</v>
      </c>
      <c r="G81" s="2" t="s">
        <v>122</v>
      </c>
      <c r="H81" s="2" t="s">
        <v>122</v>
      </c>
      <c r="I81" s="54">
        <v>140</v>
      </c>
      <c r="J81" s="2" t="s">
        <v>82</v>
      </c>
    </row>
    <row r="82" spans="1:10" hidden="1">
      <c r="A82" s="4">
        <v>79</v>
      </c>
      <c r="B82" s="9">
        <v>243649</v>
      </c>
      <c r="C82" s="2" t="s">
        <v>331</v>
      </c>
      <c r="D82" s="2" t="s">
        <v>121</v>
      </c>
      <c r="E82" s="6" t="s">
        <v>525</v>
      </c>
      <c r="F82" s="5" t="s">
        <v>468</v>
      </c>
      <c r="G82" s="2" t="s">
        <v>120</v>
      </c>
      <c r="H82" s="2" t="s">
        <v>119</v>
      </c>
      <c r="I82" s="54">
        <v>767</v>
      </c>
      <c r="J82" s="4" t="s">
        <v>83</v>
      </c>
    </row>
    <row r="83" spans="1:10" ht="29.4" hidden="1" thickBot="1">
      <c r="H83" s="56" t="s">
        <v>115</v>
      </c>
      <c r="I83" s="55">
        <f>SUM(I4:I82)</f>
        <v>34276</v>
      </c>
      <c r="J83" s="57" t="s">
        <v>532</v>
      </c>
    </row>
  </sheetData>
  <autoFilter ref="A3:X83" xr:uid="{5D80EBCA-1D2A-4602-883D-0120B5DC9240}">
    <filterColumn colId="9">
      <filters>
        <filter val="ลูกค้าแจ้งว่าไม่ได้สั่ง"/>
      </filters>
    </filterColumn>
  </autoFilter>
  <dataConsolidate/>
  <mergeCells count="15">
    <mergeCell ref="U10:U13"/>
    <mergeCell ref="W10:W13"/>
    <mergeCell ref="X10:X13"/>
    <mergeCell ref="K2:K3"/>
    <mergeCell ref="M2:M3"/>
    <mergeCell ref="J2:J3"/>
    <mergeCell ref="E2:E3"/>
    <mergeCell ref="F2:F3"/>
    <mergeCell ref="N2:N3"/>
    <mergeCell ref="A2:A3"/>
    <mergeCell ref="B2:B3"/>
    <mergeCell ref="C2:C3"/>
    <mergeCell ref="D2:D3"/>
    <mergeCell ref="G2:H2"/>
    <mergeCell ref="I2:I3"/>
  </mergeCells>
  <dataValidations count="5">
    <dataValidation type="list" allowBlank="1" showInputMessage="1" showErrorMessage="1" sqref="J84:J1048576 J2:J82" xr:uid="{2736945C-7942-4DEE-A17E-B5B71DE7D63A}">
      <formula1>#REF!</formula1>
    </dataValidation>
    <dataValidation type="list" allowBlank="1" showInputMessage="1" showErrorMessage="1" sqref="F1:F1048576" xr:uid="{55F7DB15-91F3-41AA-B28C-C90A1171C47B}">
      <formula1>$N$2:$N$27</formula1>
    </dataValidation>
    <dataValidation type="list" allowBlank="1" showInputMessage="1" showErrorMessage="1" sqref="J83" xr:uid="{6C66EDAD-50C8-4381-B4AB-E37716EFB95A}">
      <formula1>$M$4:$M$27</formula1>
    </dataValidation>
    <dataValidation type="list" allowBlank="1" showInputMessage="1" showErrorMessage="1" sqref="J1" xr:uid="{1C887F02-77F9-47C7-A886-5C0BA032EBDB}">
      <formula1>$M$4:$M$46</formula1>
    </dataValidation>
    <dataValidation type="list" allowBlank="1" showInputMessage="1" showErrorMessage="1" sqref="J1" xr:uid="{8E3F932C-3E86-40EF-A95F-546133C8FB11}">
      <formula1>$M$4:$M$70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G35"/>
  <sheetViews>
    <sheetView zoomScaleNormal="100" workbookViewId="0">
      <pane xSplit="11" ySplit="3" topLeftCell="R4" activePane="bottomRight" state="frozen"/>
      <selection pane="topRight" activeCell="L1" sqref="L1"/>
      <selection pane="bottomLeft" activeCell="A4" sqref="A4"/>
      <selection pane="bottomRight" activeCell="R20" sqref="R20"/>
    </sheetView>
  </sheetViews>
  <sheetFormatPr defaultColWidth="9.109375" defaultRowHeight="23.4"/>
  <cols>
    <col min="1" max="1" width="16.109375" style="4" customWidth="1"/>
    <col min="2" max="2" width="16.88671875" style="4" bestFit="1" customWidth="1"/>
    <col min="3" max="4" width="15.33203125" style="4" bestFit="1" customWidth="1"/>
    <col min="5" max="6" width="22.44140625" style="4" bestFit="1" customWidth="1"/>
    <col min="7" max="7" width="11" style="4" bestFit="1" customWidth="1"/>
    <col min="8" max="8" width="11.109375" style="4" bestFit="1" customWidth="1"/>
    <col min="9" max="9" width="8.5546875" style="4" bestFit="1" customWidth="1"/>
    <col min="10" max="10" width="12" style="4" bestFit="1" customWidth="1"/>
    <col min="11" max="11" width="8.6640625" style="4" bestFit="1" customWidth="1"/>
    <col min="12" max="12" width="12.109375" style="4" bestFit="1" customWidth="1"/>
    <col min="13" max="13" width="14.5546875" style="4" bestFit="1" customWidth="1"/>
    <col min="14" max="14" width="9.33203125" style="4" bestFit="1" customWidth="1"/>
    <col min="15" max="15" width="21.5546875" style="4" bestFit="1" customWidth="1"/>
    <col min="16" max="16" width="18.6640625" style="4" bestFit="1" customWidth="1"/>
    <col min="17" max="17" width="14.88671875" style="4" bestFit="1" customWidth="1"/>
    <col min="18" max="19" width="23.44140625" style="4" bestFit="1" customWidth="1"/>
    <col min="20" max="20" width="18.5546875" style="4" bestFit="1" customWidth="1"/>
    <col min="21" max="21" width="13.109375" style="4" bestFit="1" customWidth="1"/>
    <col min="22" max="22" width="12.44140625" style="4" bestFit="1" customWidth="1"/>
    <col min="23" max="23" width="8.5546875" style="4" bestFit="1" customWidth="1"/>
    <col min="24" max="24" width="8.33203125" style="4" bestFit="1" customWidth="1"/>
    <col min="25" max="25" width="11.109375" style="4" bestFit="1" customWidth="1"/>
    <col min="26" max="26" width="11.44140625" style="4" bestFit="1" customWidth="1"/>
    <col min="27" max="27" width="7.109375" style="4" bestFit="1" customWidth="1"/>
    <col min="28" max="28" width="11.109375" style="4" bestFit="1" customWidth="1"/>
    <col min="29" max="29" width="10" style="4" bestFit="1" customWidth="1"/>
    <col min="30" max="30" width="5.44140625" style="4" bestFit="1" customWidth="1"/>
    <col min="31" max="31" width="16.44140625" style="4" bestFit="1" customWidth="1"/>
    <col min="32" max="32" width="11.109375" style="4" bestFit="1" customWidth="1"/>
    <col min="33" max="33" width="26.33203125" style="4" bestFit="1" customWidth="1"/>
    <col min="34" max="16384" width="9.109375" style="4"/>
  </cols>
  <sheetData>
    <row r="1" spans="1:33" s="33" customFormat="1" ht="32.4">
      <c r="A1" s="8" t="s">
        <v>519</v>
      </c>
    </row>
    <row r="2" spans="1:33" s="32" customFormat="1" ht="26.25" customHeight="1">
      <c r="A2" s="117" t="s">
        <v>484</v>
      </c>
      <c r="B2" s="51" t="s">
        <v>516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3"/>
      <c r="AG2" s="119" t="s">
        <v>520</v>
      </c>
    </row>
    <row r="3" spans="1:33" s="32" customFormat="1" ht="26.4">
      <c r="A3" s="118"/>
      <c r="B3" s="34" t="s">
        <v>485</v>
      </c>
      <c r="C3" s="34" t="s">
        <v>486</v>
      </c>
      <c r="D3" s="34" t="s">
        <v>487</v>
      </c>
      <c r="E3" s="34" t="s">
        <v>488</v>
      </c>
      <c r="F3" s="34" t="s">
        <v>489</v>
      </c>
      <c r="G3" s="34" t="s">
        <v>490</v>
      </c>
      <c r="H3" s="34" t="s">
        <v>491</v>
      </c>
      <c r="I3" s="34" t="s">
        <v>492</v>
      </c>
      <c r="J3" s="34" t="s">
        <v>493</v>
      </c>
      <c r="K3" s="34" t="s">
        <v>494</v>
      </c>
      <c r="L3" s="34" t="s">
        <v>495</v>
      </c>
      <c r="M3" s="34" t="s">
        <v>524</v>
      </c>
      <c r="N3" s="34" t="s">
        <v>496</v>
      </c>
      <c r="O3" s="34" t="s">
        <v>497</v>
      </c>
      <c r="P3" s="34" t="s">
        <v>498</v>
      </c>
      <c r="Q3" s="34" t="s">
        <v>499</v>
      </c>
      <c r="R3" s="34" t="s">
        <v>500</v>
      </c>
      <c r="S3" s="34" t="s">
        <v>501</v>
      </c>
      <c r="T3" s="34" t="s">
        <v>502</v>
      </c>
      <c r="U3" s="34" t="s">
        <v>503</v>
      </c>
      <c r="V3" s="34" t="s">
        <v>504</v>
      </c>
      <c r="W3" s="34" t="s">
        <v>505</v>
      </c>
      <c r="X3" s="34" t="s">
        <v>506</v>
      </c>
      <c r="Y3" s="34" t="s">
        <v>507</v>
      </c>
      <c r="Z3" s="34" t="s">
        <v>508</v>
      </c>
      <c r="AA3" s="34" t="s">
        <v>509</v>
      </c>
      <c r="AB3" s="34" t="s">
        <v>510</v>
      </c>
      <c r="AC3" s="34" t="s">
        <v>511</v>
      </c>
      <c r="AD3" s="34" t="s">
        <v>512</v>
      </c>
      <c r="AE3" s="34" t="s">
        <v>513</v>
      </c>
      <c r="AF3" s="34" t="s">
        <v>514</v>
      </c>
      <c r="AG3" s="119"/>
    </row>
    <row r="4" spans="1:33">
      <c r="A4" s="35">
        <v>243619</v>
      </c>
      <c r="B4" s="7"/>
      <c r="C4" s="7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36">
        <f>SUM(B4:AF4)</f>
        <v>1</v>
      </c>
    </row>
    <row r="5" spans="1:33">
      <c r="A5" s="35">
        <v>243620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36">
        <f t="shared" ref="AG5:AG34" si="0">SUM(B5:AF5)</f>
        <v>0</v>
      </c>
    </row>
    <row r="6" spans="1:33">
      <c r="A6" s="35">
        <v>243621</v>
      </c>
      <c r="B6" s="7">
        <v>164</v>
      </c>
      <c r="C6" s="7">
        <v>50</v>
      </c>
      <c r="D6" s="7">
        <v>5</v>
      </c>
      <c r="E6" s="7">
        <v>14</v>
      </c>
      <c r="F6" s="7"/>
      <c r="G6" s="7">
        <v>13</v>
      </c>
      <c r="H6" s="7">
        <v>11</v>
      </c>
      <c r="I6" s="7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>
        <v>12</v>
      </c>
      <c r="Y6" s="7"/>
      <c r="Z6" s="7"/>
      <c r="AA6" s="7"/>
      <c r="AB6" s="7"/>
      <c r="AC6" s="7"/>
      <c r="AD6" s="7"/>
      <c r="AE6" s="7">
        <v>50</v>
      </c>
      <c r="AF6" s="7">
        <v>23</v>
      </c>
      <c r="AG6" s="36">
        <f>SUM(B6:AF6)</f>
        <v>346</v>
      </c>
    </row>
    <row r="7" spans="1:33">
      <c r="A7" s="35">
        <v>243622</v>
      </c>
      <c r="B7" s="7"/>
      <c r="C7" s="7">
        <v>57</v>
      </c>
      <c r="D7" s="7">
        <v>7</v>
      </c>
      <c r="E7" s="7"/>
      <c r="F7" s="7"/>
      <c r="G7" s="7">
        <v>1</v>
      </c>
      <c r="H7" s="7"/>
      <c r="I7" s="7">
        <v>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>
        <v>6</v>
      </c>
      <c r="AF7" s="7">
        <v>10</v>
      </c>
      <c r="AG7" s="36">
        <f t="shared" si="0"/>
        <v>89</v>
      </c>
    </row>
    <row r="8" spans="1:33">
      <c r="A8" s="35">
        <v>243623</v>
      </c>
      <c r="B8" s="7"/>
      <c r="C8" s="7">
        <v>4</v>
      </c>
      <c r="D8" s="7"/>
      <c r="E8" s="7">
        <v>2</v>
      </c>
      <c r="F8" s="7"/>
      <c r="G8" s="7"/>
      <c r="H8" s="7"/>
      <c r="I8" s="7">
        <v>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12</v>
      </c>
      <c r="AG8" s="36">
        <f t="shared" si="0"/>
        <v>24</v>
      </c>
    </row>
    <row r="9" spans="1:33">
      <c r="A9" s="35">
        <v>243624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36">
        <f t="shared" si="0"/>
        <v>0</v>
      </c>
    </row>
    <row r="10" spans="1:33">
      <c r="A10" s="35">
        <v>243625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36">
        <f t="shared" si="0"/>
        <v>0</v>
      </c>
    </row>
    <row r="11" spans="1:33">
      <c r="A11" s="35">
        <v>243626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36">
        <f t="shared" si="0"/>
        <v>0</v>
      </c>
    </row>
    <row r="12" spans="1:33">
      <c r="A12" s="35">
        <v>243627</v>
      </c>
      <c r="B12" s="7"/>
      <c r="C12" s="7">
        <v>2</v>
      </c>
      <c r="D12" s="7">
        <v>6</v>
      </c>
      <c r="E12" s="7">
        <v>3</v>
      </c>
      <c r="F12" s="7"/>
      <c r="G12" s="7">
        <v>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>
        <v>8</v>
      </c>
      <c r="AG12" s="36">
        <f t="shared" si="0"/>
        <v>23</v>
      </c>
    </row>
    <row r="13" spans="1:33">
      <c r="A13" s="35">
        <v>243628</v>
      </c>
      <c r="B13" s="7">
        <v>22</v>
      </c>
      <c r="C13" s="7">
        <v>42</v>
      </c>
      <c r="D13" s="7"/>
      <c r="E13" s="7">
        <v>1</v>
      </c>
      <c r="F13" s="7"/>
      <c r="G13" s="7"/>
      <c r="H13" s="7">
        <v>2</v>
      </c>
      <c r="I13" s="7"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6</v>
      </c>
      <c r="Y13" s="7"/>
      <c r="Z13" s="7"/>
      <c r="AA13" s="7">
        <v>2</v>
      </c>
      <c r="AB13" s="7"/>
      <c r="AC13" s="7"/>
      <c r="AD13" s="7"/>
      <c r="AE13" s="7"/>
      <c r="AF13" s="7">
        <v>9</v>
      </c>
      <c r="AG13" s="36">
        <f t="shared" si="0"/>
        <v>90</v>
      </c>
    </row>
    <row r="14" spans="1:33">
      <c r="A14" s="35">
        <v>243629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36">
        <f t="shared" si="0"/>
        <v>0</v>
      </c>
    </row>
    <row r="15" spans="1:33">
      <c r="A15" s="35">
        <v>243630</v>
      </c>
      <c r="B15" s="7"/>
      <c r="C15" s="7"/>
      <c r="D15" s="7"/>
      <c r="E15" s="7"/>
      <c r="F15" s="7"/>
      <c r="G15" s="7">
        <v>18</v>
      </c>
      <c r="H15" s="7">
        <v>10</v>
      </c>
      <c r="I15" s="7">
        <v>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1</v>
      </c>
      <c r="AC15" s="7"/>
      <c r="AD15" s="7"/>
      <c r="AE15" s="7"/>
      <c r="AF15" s="7">
        <v>18</v>
      </c>
      <c r="AG15" s="36">
        <f t="shared" si="0"/>
        <v>53</v>
      </c>
    </row>
    <row r="16" spans="1:33">
      <c r="A16" s="35">
        <v>243631</v>
      </c>
      <c r="B16" s="7"/>
      <c r="C16" s="7">
        <v>10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>
        <v>6</v>
      </c>
      <c r="AG16" s="36">
        <f t="shared" si="0"/>
        <v>16</v>
      </c>
    </row>
    <row r="17" spans="1:33">
      <c r="A17" s="35">
        <v>243632</v>
      </c>
      <c r="B17" s="7"/>
      <c r="C17" s="7">
        <v>6</v>
      </c>
      <c r="D17" s="7"/>
      <c r="E17" s="7"/>
      <c r="F17" s="7"/>
      <c r="G17" s="7"/>
      <c r="H17" s="7"/>
      <c r="I17" s="7"/>
      <c r="J17" s="7"/>
      <c r="K17" s="7"/>
      <c r="L17" s="7"/>
      <c r="M17" s="7">
        <v>10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>
        <v>6</v>
      </c>
      <c r="Y17" s="7"/>
      <c r="Z17" s="7"/>
      <c r="AA17" s="7"/>
      <c r="AB17" s="7"/>
      <c r="AC17" s="7"/>
      <c r="AD17" s="7"/>
      <c r="AE17" s="7"/>
      <c r="AF17" s="7">
        <v>3</v>
      </c>
      <c r="AG17" s="36">
        <f t="shared" si="0"/>
        <v>25</v>
      </c>
    </row>
    <row r="18" spans="1:33">
      <c r="A18" s="35">
        <v>243633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36">
        <f t="shared" si="0"/>
        <v>0</v>
      </c>
    </row>
    <row r="19" spans="1:33">
      <c r="A19" s="35">
        <v>243634</v>
      </c>
      <c r="B19" s="7">
        <v>80</v>
      </c>
      <c r="C19" s="7">
        <v>19</v>
      </c>
      <c r="D19" s="7"/>
      <c r="E19" s="7">
        <v>1</v>
      </c>
      <c r="F19" s="7"/>
      <c r="G19" s="7">
        <v>4</v>
      </c>
      <c r="H19" s="7"/>
      <c r="I19" s="7">
        <v>11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>
        <v>4</v>
      </c>
      <c r="AG19" s="36">
        <f t="shared" si="0"/>
        <v>119</v>
      </c>
    </row>
    <row r="20" spans="1:33">
      <c r="A20" s="35">
        <v>243635</v>
      </c>
      <c r="B20" s="7">
        <v>40</v>
      </c>
      <c r="C20" s="7">
        <v>22</v>
      </c>
      <c r="D20" s="7"/>
      <c r="E20" s="7">
        <v>1</v>
      </c>
      <c r="F20" s="7"/>
      <c r="G20" s="7">
        <v>1</v>
      </c>
      <c r="H20" s="7"/>
      <c r="I20" s="7">
        <v>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>
        <v>2</v>
      </c>
      <c r="AG20" s="36">
        <f>SUM(B20:AF20)</f>
        <v>67</v>
      </c>
    </row>
    <row r="21" spans="1:33">
      <c r="A21" s="35">
        <v>243636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36">
        <f>SUM(B21:AF21)</f>
        <v>0</v>
      </c>
    </row>
    <row r="22" spans="1:33">
      <c r="A22" s="35">
        <v>243637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36">
        <f t="shared" si="0"/>
        <v>0</v>
      </c>
    </row>
    <row r="23" spans="1:33">
      <c r="A23" s="35">
        <v>243638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36">
        <f t="shared" si="0"/>
        <v>0</v>
      </c>
    </row>
    <row r="24" spans="1:33">
      <c r="A24" s="35">
        <v>243639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36">
        <f t="shared" si="0"/>
        <v>0</v>
      </c>
    </row>
    <row r="25" spans="1:33">
      <c r="A25" s="35">
        <v>243640</v>
      </c>
      <c r="B25" s="7"/>
      <c r="C25" s="7">
        <v>2</v>
      </c>
      <c r="D25" s="7"/>
      <c r="E25" s="7">
        <v>1</v>
      </c>
      <c r="F25" s="7"/>
      <c r="G25" s="7"/>
      <c r="H25" s="7"/>
      <c r="I25" s="7">
        <v>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>
        <v>6</v>
      </c>
      <c r="Y25" s="7"/>
      <c r="Z25" s="7"/>
      <c r="AA25" s="7"/>
      <c r="AB25" s="7"/>
      <c r="AC25" s="7"/>
      <c r="AD25" s="7"/>
      <c r="AE25" s="7"/>
      <c r="AF25" s="7"/>
      <c r="AG25" s="36">
        <f t="shared" si="0"/>
        <v>15</v>
      </c>
    </row>
    <row r="26" spans="1:33">
      <c r="A26" s="35">
        <v>243641</v>
      </c>
      <c r="B26" s="7"/>
      <c r="C26" s="7">
        <v>2</v>
      </c>
      <c r="D26" s="7"/>
      <c r="E26" s="7"/>
      <c r="F26" s="7"/>
      <c r="G26" s="7">
        <v>1</v>
      </c>
      <c r="H26" s="7"/>
      <c r="I26" s="7">
        <v>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36">
        <f t="shared" si="0"/>
        <v>6</v>
      </c>
    </row>
    <row r="27" spans="1:33">
      <c r="A27" s="35">
        <v>243642</v>
      </c>
      <c r="B27" s="7"/>
      <c r="C27" s="7">
        <v>11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36">
        <f t="shared" si="0"/>
        <v>11</v>
      </c>
    </row>
    <row r="28" spans="1:33">
      <c r="A28" s="35">
        <v>243643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36">
        <f t="shared" si="0"/>
        <v>0</v>
      </c>
    </row>
    <row r="29" spans="1:33">
      <c r="A29" s="35">
        <v>243644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36">
        <f t="shared" si="0"/>
        <v>0</v>
      </c>
    </row>
    <row r="30" spans="1:33">
      <c r="A30" s="35">
        <v>243645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36">
        <f>SUM(B30:AF30)</f>
        <v>0</v>
      </c>
    </row>
    <row r="31" spans="1:33">
      <c r="A31" s="35">
        <v>243646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36">
        <f t="shared" si="0"/>
        <v>0</v>
      </c>
    </row>
    <row r="32" spans="1:33">
      <c r="A32" s="35">
        <v>243647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36">
        <f t="shared" si="0"/>
        <v>0</v>
      </c>
    </row>
    <row r="33" spans="1:33">
      <c r="A33" s="35">
        <v>243648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36">
        <f t="shared" si="0"/>
        <v>0</v>
      </c>
    </row>
    <row r="34" spans="1:33">
      <c r="A34" s="35">
        <v>243649</v>
      </c>
      <c r="B34" s="7"/>
      <c r="C34" s="7">
        <v>4</v>
      </c>
      <c r="D34" s="7"/>
      <c r="E34" s="7"/>
      <c r="F34" s="7"/>
      <c r="G34" s="7">
        <v>1</v>
      </c>
      <c r="H34" s="7"/>
      <c r="I34" s="7">
        <v>4</v>
      </c>
      <c r="J34" s="7"/>
      <c r="K34" s="7">
        <v>2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36">
        <f t="shared" si="0"/>
        <v>11</v>
      </c>
    </row>
    <row r="35" spans="1:33">
      <c r="A35" s="36" t="s">
        <v>518</v>
      </c>
      <c r="B35" s="36">
        <f>SUM(B4:B34)</f>
        <v>306</v>
      </c>
      <c r="C35" s="36">
        <f t="shared" ref="C35:AF35" si="1">SUM(C4:C34)</f>
        <v>232</v>
      </c>
      <c r="D35" s="36">
        <f t="shared" si="1"/>
        <v>18</v>
      </c>
      <c r="E35" s="36">
        <f t="shared" si="1"/>
        <v>23</v>
      </c>
      <c r="F35" s="36">
        <f t="shared" si="1"/>
        <v>0</v>
      </c>
      <c r="G35" s="36">
        <f t="shared" si="1"/>
        <v>43</v>
      </c>
      <c r="H35" s="36">
        <f t="shared" si="1"/>
        <v>23</v>
      </c>
      <c r="I35" s="36">
        <f t="shared" si="1"/>
        <v>55</v>
      </c>
      <c r="J35" s="36">
        <f t="shared" si="1"/>
        <v>0</v>
      </c>
      <c r="K35" s="36">
        <f t="shared" si="1"/>
        <v>2</v>
      </c>
      <c r="L35" s="36">
        <f t="shared" si="1"/>
        <v>0</v>
      </c>
      <c r="M35" s="36">
        <f t="shared" si="1"/>
        <v>10</v>
      </c>
      <c r="N35" s="36">
        <f t="shared" si="1"/>
        <v>0</v>
      </c>
      <c r="O35" s="36">
        <f t="shared" si="1"/>
        <v>0</v>
      </c>
      <c r="P35" s="36">
        <f t="shared" si="1"/>
        <v>0</v>
      </c>
      <c r="Q35" s="36">
        <f t="shared" si="1"/>
        <v>0</v>
      </c>
      <c r="R35" s="36">
        <f t="shared" si="1"/>
        <v>0</v>
      </c>
      <c r="S35" s="36">
        <f t="shared" si="1"/>
        <v>0</v>
      </c>
      <c r="T35" s="36">
        <f t="shared" si="1"/>
        <v>0</v>
      </c>
      <c r="U35" s="36">
        <f t="shared" si="1"/>
        <v>0</v>
      </c>
      <c r="V35" s="36">
        <f t="shared" si="1"/>
        <v>0</v>
      </c>
      <c r="W35" s="36">
        <f t="shared" si="1"/>
        <v>0</v>
      </c>
      <c r="X35" s="36">
        <f t="shared" si="1"/>
        <v>30</v>
      </c>
      <c r="Y35" s="36">
        <f t="shared" si="1"/>
        <v>0</v>
      </c>
      <c r="Z35" s="36">
        <f t="shared" si="1"/>
        <v>0</v>
      </c>
      <c r="AA35" s="36">
        <f t="shared" si="1"/>
        <v>2</v>
      </c>
      <c r="AB35" s="36">
        <f t="shared" si="1"/>
        <v>1</v>
      </c>
      <c r="AC35" s="36">
        <f t="shared" si="1"/>
        <v>0</v>
      </c>
      <c r="AD35" s="36">
        <f t="shared" si="1"/>
        <v>0</v>
      </c>
      <c r="AE35" s="36">
        <f t="shared" si="1"/>
        <v>56</v>
      </c>
      <c r="AF35" s="36">
        <f t="shared" si="1"/>
        <v>95</v>
      </c>
      <c r="AG35" s="37">
        <f>SUM(B35:AF35)</f>
        <v>896</v>
      </c>
    </row>
  </sheetData>
  <mergeCells count="2">
    <mergeCell ref="A2:A3"/>
    <mergeCell ref="AG2:A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2024-11-25T17:02:28Z</cp:lastPrinted>
  <dcterms:created xsi:type="dcterms:W3CDTF">2024-02-13T02:39:23Z</dcterms:created>
  <dcterms:modified xsi:type="dcterms:W3CDTF">2024-11-25T17:02:34Z</dcterms:modified>
</cp:coreProperties>
</file>