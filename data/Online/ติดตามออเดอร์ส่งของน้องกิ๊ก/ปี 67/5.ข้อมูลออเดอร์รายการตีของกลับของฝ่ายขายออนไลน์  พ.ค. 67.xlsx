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042E3152-4211-4821-BDEF-B84DB3E7BCD6}" xr6:coauthVersionLast="36" xr6:coauthVersionMax="47" xr10:uidLastSave="{00000000-0000-0000-0000-000000000000}"/>
  <bookViews>
    <workbookView xWindow="-108" yWindow="0" windowWidth="14616" windowHeight="15588" tabRatio="882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Lazada!$A$3:$AN$29</definedName>
    <definedName name="_xlnm._FilterDatabase" localSheetId="3" hidden="1">Shopee!$A$3:$O$3</definedName>
    <definedName name="_xlnm._FilterDatabase" localSheetId="4" hidden="1">TikTok!$A$3:$O$66</definedName>
    <definedName name="_xlnm._FilterDatabase" localSheetId="5" hidden="1">ไปรษณีย์!$A$3:$X$15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4" l="1"/>
  <c r="M7" i="4"/>
  <c r="M8" i="4"/>
  <c r="M5" i="4"/>
  <c r="L6" i="4"/>
  <c r="L7" i="4"/>
  <c r="L8" i="4"/>
  <c r="L5" i="4"/>
  <c r="K9" i="4"/>
  <c r="J9" i="4"/>
  <c r="I9" i="4"/>
  <c r="H9" i="4"/>
  <c r="G9" i="4"/>
  <c r="F9" i="4"/>
  <c r="E9" i="4"/>
  <c r="D9" i="4"/>
  <c r="C9" i="4"/>
  <c r="B9" i="4"/>
  <c r="I16" i="5" l="1"/>
  <c r="I65" i="3"/>
  <c r="I16" i="2"/>
  <c r="I29" i="1"/>
  <c r="M9" i="4" s="1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B35" i="6"/>
  <c r="AG35" i="6"/>
  <c r="L9" i="4" l="1"/>
  <c r="AG34" i="6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" i="7" l="1"/>
  <c r="C34" i="7" s="1"/>
</calcChain>
</file>

<file path=xl/sharedStrings.xml><?xml version="1.0" encoding="utf-8"?>
<sst xmlns="http://schemas.openxmlformats.org/spreadsheetml/2006/main" count="862" uniqueCount="400">
  <si>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</si>
  <si>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</si>
  <si>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</si>
  <si>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</si>
  <si>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</si>
  <si>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</si>
  <si>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</si>
  <si>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</si>
  <si>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</si>
  <si>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</si>
  <si>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</si>
  <si>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</si>
  <si>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</si>
  <si>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</si>
  <si>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</si>
  <si>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</si>
  <si>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</si>
  <si>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</si>
  <si>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</si>
  <si>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</si>
  <si>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</si>
  <si>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</si>
  <si>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</si>
  <si>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</si>
  <si>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</si>
  <si>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</si>
  <si>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</si>
  <si>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</si>
  <si>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</si>
  <si>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</si>
  <si>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</si>
  <si>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</si>
  <si>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</si>
  <si>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</si>
  <si>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</si>
  <si>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</si>
  <si>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</si>
  <si>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</si>
  <si>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</si>
  <si>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</si>
  <si>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</si>
  <si>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</si>
  <si>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</si>
  <si>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</si>
  <si>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</si>
  <si>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</si>
  <si>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</si>
  <si>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</si>
  <si>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</si>
  <si>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</si>
  <si>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</si>
  <si>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</si>
  <si>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</si>
  <si>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</si>
  <si>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</si>
  <si>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</si>
  <si>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</si>
  <si>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</si>
  <si>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</si>
  <si>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</si>
  <si>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</si>
  <si>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</si>
  <si>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</si>
  <si>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</si>
  <si>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</si>
  <si>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</si>
  <si>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</si>
  <si>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</si>
  <si>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</si>
  <si>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</si>
  <si>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</si>
  <si>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</si>
  <si>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</si>
  <si>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</si>
  <si>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</si>
  <si>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</si>
  <si>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</si>
  <si>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</si>
  <si>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</si>
  <si>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</si>
  <si>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</si>
  <si>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</si>
  <si>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</si>
  <si>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</si>
  <si>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</si>
  <si>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</si>
  <si>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</si>
  <si>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</si>
  <si>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</si>
  <si>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</si>
  <si>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</si>
  <si>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</si>
  <si>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</si>
  <si>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</si>
  <si>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</si>
  <si>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</si>
  <si>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</si>
  <si>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</si>
  <si>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</si>
  <si>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สรุปรายการของตีกลับของช่องทางออนไลน์ เดือนพฤษภาคม 2567</t>
  </si>
  <si>
    <t>สรุปรายการสินค้าที่ตีกลับมารวมทุกช่องทางขายออนไลน์ เดือนพฤษภาคม 2567</t>
  </si>
  <si>
    <t>รายการของตีกลับช่องทาง LAZADA เดือนพฤษภาคม 2567</t>
  </si>
  <si>
    <t>รายการของตีกลับช่องทาง SHOPEE เดือนพฤษภาคม 2567</t>
  </si>
  <si>
    <t>รายการของตีกลับช่องทาง TikTok เดือนพฤษภาคม 2567</t>
  </si>
  <si>
    <t>รายการของตีกลับช่องทาง Facebook , Facebook Live , Line , Line OA (ไปรษณีย์) เดือนพฤษภาคม 2567</t>
  </si>
  <si>
    <t>รายการสินค้าที่ตีกลับมารวมทุกช่องทางขายออนไลน์ เดือนพฤษภาคม 2567</t>
  </si>
  <si>
    <t>240425MHPNMM5J</t>
  </si>
  <si>
    <t>578757932700108804</t>
  </si>
  <si>
    <t>578772993740344260</t>
  </si>
  <si>
    <t>578767451998619813</t>
  </si>
  <si>
    <t>578757598731208716</t>
  </si>
  <si>
    <t>578750353956112651</t>
  </si>
  <si>
    <t>578758234141853714</t>
  </si>
  <si>
    <t>578759382415412155</t>
  </si>
  <si>
    <t>578772994863238084</t>
  </si>
  <si>
    <t>578774611257297036</t>
  </si>
  <si>
    <t>578764579586738193</t>
  </si>
  <si>
    <t>578764021090519239</t>
  </si>
  <si>
    <t>578766996964149413</t>
  </si>
  <si>
    <t>578768013827999924</t>
  </si>
  <si>
    <t>578758014638524776</t>
  </si>
  <si>
    <t>578769636610246867</t>
  </si>
  <si>
    <t>เกินเวลานัดรับพัสดุ</t>
  </si>
  <si>
    <t>2/105/2567</t>
  </si>
  <si>
    <t>รุจิรา</t>
  </si>
  <si>
    <t>ดอนจันมาตย์</t>
  </si>
  <si>
    <t>3/05/2567</t>
  </si>
  <si>
    <t>เกินเวลานัดส่งพัสดุ</t>
  </si>
  <si>
    <t>TH23035JCCRW6D</t>
  </si>
  <si>
    <t>747643957351</t>
  </si>
  <si>
    <t>747729055161</t>
  </si>
  <si>
    <t>747653100876</t>
  </si>
  <si>
    <t>747634749304</t>
  </si>
  <si>
    <t>747631301012</t>
  </si>
  <si>
    <t>747666167393</t>
  </si>
  <si>
    <t>747785379003</t>
  </si>
  <si>
    <t>747701148154</t>
  </si>
  <si>
    <t>747685972600</t>
  </si>
  <si>
    <t>747672948643</t>
  </si>
  <si>
    <t>747646678833</t>
  </si>
  <si>
    <t>747637736834</t>
  </si>
  <si>
    <t>747603555381</t>
  </si>
  <si>
    <t>747648695975</t>
  </si>
  <si>
    <t>747689401583</t>
  </si>
  <si>
    <t>TH13035H2B6U4D</t>
  </si>
  <si>
    <t>CQT4</t>
  </si>
  <si>
    <t>EA969823686TH</t>
  </si>
  <si>
    <t>2405017EKSV52W</t>
  </si>
  <si>
    <t>240502ABTFG2H7</t>
  </si>
  <si>
    <t>848934833414361</t>
  </si>
  <si>
    <t>854345527572631</t>
  </si>
  <si>
    <t>854058573384818</t>
  </si>
  <si>
    <t>อรุณ</t>
  </si>
  <si>
    <t>รุ่งฤดี</t>
  </si>
  <si>
    <t>ธนาภิรมย์</t>
  </si>
  <si>
    <t>น้ำทิพย์</t>
  </si>
  <si>
    <t>แซ่อึ่ง</t>
  </si>
  <si>
    <t>852135623239660</t>
  </si>
  <si>
    <t>849966858991600</t>
  </si>
  <si>
    <t>849858672229042</t>
  </si>
  <si>
    <t>นางสาวมนสิชา</t>
  </si>
  <si>
    <t>นักฟ้อน</t>
  </si>
  <si>
    <t>เรือนทรัพย์</t>
  </si>
  <si>
    <t>วรรณวิภา</t>
  </si>
  <si>
    <t>ยอดแก้ว</t>
  </si>
  <si>
    <t>วิลาวัณย์</t>
  </si>
  <si>
    <t>แก้วเจริญ</t>
  </si>
  <si>
    <t>นิลรัตน ณ.อยุธยา</t>
  </si>
  <si>
    <t>240505H72KEQ62</t>
  </si>
  <si>
    <t>240428VMUX8TDX</t>
  </si>
  <si>
    <t>578758250996271122</t>
  </si>
  <si>
    <t>578770051517352460</t>
  </si>
  <si>
    <t>578796691068258353</t>
  </si>
  <si>
    <t>578772873438201875</t>
  </si>
  <si>
    <t>578792805656005453</t>
  </si>
  <si>
    <t>578780685040650533</t>
  </si>
  <si>
    <t>578789933492505218</t>
  </si>
  <si>
    <t>578789948762851625</t>
  </si>
  <si>
    <t>578789848657201501</t>
  </si>
  <si>
    <t>578789918908451741</t>
  </si>
  <si>
    <t>578796446325115838</t>
  </si>
  <si>
    <t>578786667569974062</t>
  </si>
  <si>
    <t>นิศารัตน์</t>
  </si>
  <si>
    <t>มั่นชัย</t>
  </si>
  <si>
    <t>6/05/2567</t>
  </si>
  <si>
    <t>EA972355422TH</t>
  </si>
  <si>
    <t>EA971185903TH</t>
  </si>
  <si>
    <t>อรณิชา</t>
  </si>
  <si>
    <t>อรุณี</t>
  </si>
  <si>
    <t>แซ่เลี่ยว</t>
  </si>
  <si>
    <t>9/05/2567</t>
  </si>
  <si>
    <t>LEXPU0335669730</t>
  </si>
  <si>
    <t>LEXPU0335281436</t>
  </si>
  <si>
    <t>LEXPU0335348196</t>
  </si>
  <si>
    <t>857717994014028</t>
  </si>
  <si>
    <t>LEXDO0099243014</t>
  </si>
  <si>
    <t>KERDO0125139730</t>
  </si>
  <si>
    <t>TH28015K7K1V5N</t>
  </si>
  <si>
    <t>TH01075KTAU89C</t>
  </si>
  <si>
    <t>TH245693002860O</t>
  </si>
  <si>
    <t>747672574305</t>
  </si>
  <si>
    <t>747788617085</t>
  </si>
  <si>
    <t>747839289374</t>
  </si>
  <si>
    <t>THT7008W6X2N3Z</t>
  </si>
  <si>
    <t>747704235526</t>
  </si>
  <si>
    <t>747851625032</t>
  </si>
  <si>
    <t>747782934975</t>
  </si>
  <si>
    <t>747795534916</t>
  </si>
  <si>
    <t>747713335950</t>
  </si>
  <si>
    <t>747827196001</t>
  </si>
  <si>
    <t>CRF90</t>
  </si>
  <si>
    <t>CSR82</t>
  </si>
  <si>
    <t>CSA62</t>
  </si>
  <si>
    <t>2404291UYVVM5F</t>
  </si>
  <si>
    <t>578796836836313168</t>
  </si>
  <si>
    <t>578797866512190434</t>
  </si>
  <si>
    <t>578799957665942343</t>
  </si>
  <si>
    <t>EA974563842TH</t>
  </si>
  <si>
    <t>EA972355382TH</t>
  </si>
  <si>
    <t>EA973102265TH</t>
  </si>
  <si>
    <t>EA973102226TH</t>
  </si>
  <si>
    <t>กนกพร</t>
  </si>
  <si>
    <t>เอ๋</t>
  </si>
  <si>
    <t>นาฏยา</t>
  </si>
  <si>
    <t>ภูมรัตน์</t>
  </si>
  <si>
    <t>นันทขวัญ</t>
  </si>
  <si>
    <t>อ่วมประเสริฐ</t>
  </si>
  <si>
    <t>10/05/2567</t>
  </si>
  <si>
    <t>851480663935728</t>
  </si>
  <si>
    <t>สลิลทิพย์</t>
  </si>
  <si>
    <t>ศรีสังข์งาม</t>
  </si>
  <si>
    <t>578802000005729000</t>
  </si>
  <si>
    <t>578790000928918455</t>
  </si>
  <si>
    <t>578793369875745559</t>
  </si>
  <si>
    <t>747871366336</t>
  </si>
  <si>
    <t>747892169496</t>
  </si>
  <si>
    <t>747846706386</t>
  </si>
  <si>
    <t>747818251644</t>
  </si>
  <si>
    <t>747722139990</t>
  </si>
  <si>
    <t>747845528113</t>
  </si>
  <si>
    <t>CUG11</t>
  </si>
  <si>
    <t>CSR81</t>
  </si>
  <si>
    <t>CTB38</t>
  </si>
  <si>
    <t>240508RM76EVE4</t>
  </si>
  <si>
    <t>EA973102291TH</t>
  </si>
  <si>
    <t>856085560048006</t>
  </si>
  <si>
    <t>852241207267888</t>
  </si>
  <si>
    <t>มาริสา</t>
  </si>
  <si>
    <t>จันทร์มัด</t>
  </si>
  <si>
    <t>นางสาววันเพ็ญ</t>
  </si>
  <si>
    <t>สายเย็นประเสริฐ</t>
  </si>
  <si>
    <t>15/05/2567</t>
  </si>
  <si>
    <t>วัชรินทร์</t>
  </si>
  <si>
    <t>ตะพัง</t>
  </si>
  <si>
    <t>859210954228487</t>
  </si>
  <si>
    <t>860001566128209</t>
  </si>
  <si>
    <t>อธิรัช</t>
  </si>
  <si>
    <t>ทองผาย</t>
  </si>
  <si>
    <t>พรหมพิริยะ</t>
  </si>
  <si>
    <t>วิเศษคล้อ</t>
  </si>
  <si>
    <t>1605/2567</t>
  </si>
  <si>
    <t>CSV50</t>
  </si>
  <si>
    <t>CTB45</t>
  </si>
  <si>
    <t>578820576722454977</t>
  </si>
  <si>
    <t>578789795966847537</t>
  </si>
  <si>
    <t>THT4109WHHXX9Z</t>
  </si>
  <si>
    <t>THT0201X4ET57Z</t>
  </si>
  <si>
    <t>TH244641184815E</t>
  </si>
  <si>
    <t>SPX Express</t>
  </si>
  <si>
    <t>TH243410134669Q</t>
  </si>
  <si>
    <t>LEXPU0340267555</t>
  </si>
  <si>
    <t>KERDO0125289017</t>
  </si>
  <si>
    <t>LEXDO0099870400</t>
  </si>
  <si>
    <t>LEXDO0100209713</t>
  </si>
  <si>
    <t>LEXPU0338090644</t>
  </si>
  <si>
    <t>858791453181981</t>
  </si>
  <si>
    <t>861815188548207</t>
  </si>
  <si>
    <t>240509TM2GAK7Q</t>
  </si>
  <si>
    <t xml:space="preserve"> 2405125NWUHB2A</t>
  </si>
  <si>
    <t>2405112SFTK0U2</t>
  </si>
  <si>
    <t>578828274643012243</t>
  </si>
  <si>
    <t>578827279385135388</t>
  </si>
  <si>
    <t>578830445284658076</t>
  </si>
  <si>
    <t>578831385483512243</t>
  </si>
  <si>
    <t>578831356360099908</t>
  </si>
  <si>
    <t>578829844741524365</t>
  </si>
  <si>
    <t>578831297863518306</t>
  </si>
  <si>
    <t>578817453247925037</t>
  </si>
  <si>
    <t>578831228048935451</t>
  </si>
  <si>
    <t>กิตจุพงษ์</t>
  </si>
  <si>
    <t>คนพินิจพิศ</t>
  </si>
  <si>
    <t>Bonchaun</t>
  </si>
  <si>
    <t>Saejia</t>
  </si>
  <si>
    <t>TH246941406240N</t>
  </si>
  <si>
    <t>TH243290489824C</t>
  </si>
  <si>
    <t>TH244949620174J</t>
  </si>
  <si>
    <t>LEXPU0342517859</t>
  </si>
  <si>
    <t>747915673923</t>
  </si>
  <si>
    <t>747937331842</t>
  </si>
  <si>
    <t>748000086013</t>
  </si>
  <si>
    <t>748089340036</t>
  </si>
  <si>
    <t>THT2502XBFX51Z</t>
  </si>
  <si>
    <t>748005245094</t>
  </si>
  <si>
    <t>748018629142</t>
  </si>
  <si>
    <t>THT2714X2E6P3Z</t>
  </si>
  <si>
    <t>748047429113</t>
  </si>
  <si>
    <t xml:space="preserve">578831286103935874 </t>
  </si>
  <si>
    <t>748069736083</t>
  </si>
  <si>
    <t>EA976433173TH</t>
  </si>
  <si>
    <t>240519QNHUV55X</t>
  </si>
  <si>
    <t>855796440852428</t>
  </si>
  <si>
    <t>855631613188332</t>
  </si>
  <si>
    <t>862559198059151</t>
  </si>
  <si>
    <t>862444562474400</t>
  </si>
  <si>
    <t>862984507214386</t>
  </si>
  <si>
    <t>862970130487650</t>
  </si>
  <si>
    <t>พจ</t>
  </si>
  <si>
    <t>กัญญาภัทร</t>
  </si>
  <si>
    <t>แก้วตา</t>
  </si>
  <si>
    <t>แมทริค</t>
  </si>
  <si>
    <t>โนนทิง</t>
  </si>
  <si>
    <t>เดชา</t>
  </si>
  <si>
    <t>จันทบัตร</t>
  </si>
  <si>
    <t>ปราณี</t>
  </si>
  <si>
    <t>ทรงปัญญา</t>
  </si>
  <si>
    <t>ณัฐมน</t>
  </si>
  <si>
    <t>ปิวิถะ</t>
  </si>
  <si>
    <t>22/05/2567</t>
  </si>
  <si>
    <t>EA976223912TH</t>
  </si>
  <si>
    <t>EA976431331TH</t>
  </si>
  <si>
    <t>ธนากร</t>
  </si>
  <si>
    <t>วิริยเสนกุล</t>
  </si>
  <si>
    <t>เบน</t>
  </si>
  <si>
    <t>24/05/2567</t>
  </si>
  <si>
    <t>LEXPU0342414397</t>
  </si>
  <si>
    <t>LEXPU0343211393</t>
  </si>
  <si>
    <t>LEXPU0343309039</t>
  </si>
  <si>
    <t>LEXPU0343686945</t>
  </si>
  <si>
    <t>LEXPU0343647239</t>
  </si>
  <si>
    <t>LEXDO0100722317</t>
  </si>
  <si>
    <t>TH01095NR0501B</t>
  </si>
  <si>
    <t>578830629255612898</t>
  </si>
  <si>
    <t>578848862508190205</t>
  </si>
  <si>
    <t>THT2701XAZWF5Z</t>
  </si>
  <si>
    <t>THT0116XPJYP0Z</t>
  </si>
  <si>
    <t>CVJ34</t>
  </si>
  <si>
    <t>CVF26</t>
  </si>
  <si>
    <t>CVI76</t>
  </si>
  <si>
    <t>862839766317859</t>
  </si>
  <si>
    <t>858506453200310</t>
  </si>
  <si>
    <t>864704575988425</t>
  </si>
  <si>
    <t>857964672846988</t>
  </si>
  <si>
    <t>นายวรายุ</t>
  </si>
  <si>
    <t>เขียวดอกไม้</t>
  </si>
  <si>
    <t>วณีภรณ์</t>
  </si>
  <si>
    <t>งามพจนวงศ์</t>
  </si>
  <si>
    <t>ยามีละห์</t>
  </si>
  <si>
    <t>ยิ้มม่วง</t>
  </si>
  <si>
    <t>สุกัญญา</t>
  </si>
  <si>
    <t>สากิยะ</t>
  </si>
  <si>
    <t>578827743767923295</t>
  </si>
  <si>
    <t>578850887528122410</t>
  </si>
  <si>
    <t>578852218330646602</t>
  </si>
  <si>
    <t>578852170334309054</t>
  </si>
  <si>
    <t>578851532287085499</t>
  </si>
  <si>
    <t>TH63035N7VU46E</t>
  </si>
  <si>
    <t>LEXDO0101081337</t>
  </si>
  <si>
    <t>747929950891</t>
  </si>
  <si>
    <t>748114435073</t>
  </si>
  <si>
    <t>748186004112</t>
  </si>
  <si>
    <t>748139806116</t>
  </si>
  <si>
    <t>748065184926</t>
  </si>
  <si>
    <t>LEXPU0344382453</t>
  </si>
  <si>
    <t>LEXPU0345103957</t>
  </si>
  <si>
    <t>240518MDSXGQ8G</t>
  </si>
  <si>
    <t>TH249618740431R</t>
  </si>
  <si>
    <t>578853409137134126</t>
  </si>
  <si>
    <t>THT0105XSDDP0Z</t>
  </si>
  <si>
    <t>860621441781973</t>
  </si>
  <si>
    <t>ศิริวรรณ</t>
  </si>
  <si>
    <t>ฐานะภักดี</t>
  </si>
  <si>
    <t>578857971952814099</t>
  </si>
  <si>
    <t>578853976026614769</t>
  </si>
  <si>
    <t>578861298792696465</t>
  </si>
  <si>
    <t>578854595363638196</t>
  </si>
  <si>
    <t>578865345735854757</t>
  </si>
  <si>
    <t>578859071866374320</t>
  </si>
  <si>
    <t>578855451044776845</t>
  </si>
  <si>
    <t>748130286374</t>
  </si>
  <si>
    <t>748190797082</t>
  </si>
  <si>
    <t>748185264514</t>
  </si>
  <si>
    <t>748199818236</t>
  </si>
  <si>
    <t>748104474714</t>
  </si>
  <si>
    <t>748192240423</t>
  </si>
  <si>
    <t>748121459234</t>
  </si>
  <si>
    <t>578853315462335018</t>
  </si>
  <si>
    <t>748123361064</t>
  </si>
  <si>
    <t>LEXPU0346651832</t>
  </si>
  <si>
    <t>จำนวนออเดอร์</t>
  </si>
  <si>
    <t>ยอดขาย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</si>
</sst>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16"/>
      <color rgb="FF6600CC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3" fontId="17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8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00"/>
      <color rgb="FFFF0066"/>
      <color rgb="FF0000FF"/>
      <color rgb="FFCCFF99"/>
      <color rgb="FFCCCCFF"/>
      <color rgb="FF00FF99"/>
      <color rgb="FFCCFFFF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workbookViewId="0">
      <selection activeCell="N9" sqref="A1:N9"/>
    </sheetView>
  </sheetViews>
  <sheetFormatPr defaultColWidth="9.109375" defaultRowHeight="23.4"/>
  <cols>
    <col min="1" max="1" width="17.5546875" style="3" customWidth="1"/>
    <col min="2" max="2" width="9.109375" style="6" bestFit="1" customWidth="1"/>
    <col min="3" max="3" width="11.44140625" style="6" bestFit="1" customWidth="1"/>
    <col min="4" max="4" width="13.33203125" style="6" bestFit="1" customWidth="1"/>
    <col min="5" max="5" width="13.33203125" style="6" customWidth="1"/>
    <col min="6" max="6" width="12.5546875" style="6" bestFit="1" customWidth="1"/>
    <col min="7" max="7" width="12.5546875" style="6" customWidth="1"/>
    <col min="8" max="8" width="11.5546875" style="6" bestFit="1" customWidth="1"/>
    <col min="9" max="9" width="11.5546875" style="6" customWidth="1"/>
    <col min="10" max="10" width="16.109375" style="6" bestFit="1" customWidth="1"/>
    <col min="11" max="11" width="16.109375" style="6" customWidth="1"/>
    <col min="12" max="12" width="11.6640625" style="3" customWidth="1"/>
    <col min="13" max="13" width="11.5546875" style="48" bestFit="1" customWidth="1"/>
    <col min="14" max="16384" width="9.109375" style="3"/>
  </cols>
  <sheetData>
    <row r="1" spans="1:14" ht="32.4">
      <c r="A1" s="64" t="s">
        <v>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4" ht="26.25" customHeight="1">
      <c r="A2" s="65" t="s">
        <v>97</v>
      </c>
      <c r="B2" s="68" t="s">
        <v>15</v>
      </c>
      <c r="C2" s="69"/>
      <c r="D2" s="69"/>
      <c r="E2" s="69"/>
      <c r="F2" s="69"/>
      <c r="G2" s="69"/>
      <c r="H2" s="69"/>
      <c r="I2" s="69"/>
      <c r="J2" s="69"/>
      <c r="K2" s="70"/>
      <c r="L2" s="65" t="s">
        <v>16</v>
      </c>
      <c r="M2" s="71" t="s">
        <v>96</v>
      </c>
    </row>
    <row r="3" spans="1:14" ht="26.4">
      <c r="A3" s="66"/>
      <c r="B3" s="74" t="s">
        <v>10</v>
      </c>
      <c r="C3" s="75"/>
      <c r="D3" s="76" t="s">
        <v>9</v>
      </c>
      <c r="E3" s="77"/>
      <c r="F3" s="78" t="s">
        <v>11</v>
      </c>
      <c r="G3" s="79"/>
      <c r="H3" s="80" t="s">
        <v>127</v>
      </c>
      <c r="I3" s="81"/>
      <c r="J3" s="82" t="s">
        <v>98</v>
      </c>
      <c r="K3" s="82"/>
      <c r="L3" s="66"/>
      <c r="M3" s="72"/>
    </row>
    <row r="4" spans="1:14" ht="52.8">
      <c r="A4" s="67"/>
      <c r="B4" s="17" t="s">
        <v>398</v>
      </c>
      <c r="C4" s="17" t="s">
        <v>399</v>
      </c>
      <c r="D4" s="18" t="s">
        <v>398</v>
      </c>
      <c r="E4" s="18" t="s">
        <v>399</v>
      </c>
      <c r="F4" s="19" t="s">
        <v>398</v>
      </c>
      <c r="G4" s="19" t="s">
        <v>399</v>
      </c>
      <c r="H4" s="20" t="s">
        <v>398</v>
      </c>
      <c r="I4" s="20" t="s">
        <v>399</v>
      </c>
      <c r="J4" s="55" t="s">
        <v>398</v>
      </c>
      <c r="K4" s="55" t="s">
        <v>399</v>
      </c>
      <c r="L4" s="67"/>
      <c r="M4" s="73"/>
    </row>
    <row r="5" spans="1:14">
      <c r="A5" s="13" t="s">
        <v>12</v>
      </c>
      <c r="B5" s="21">
        <v>17</v>
      </c>
      <c r="C5" s="56">
        <v>2229.62</v>
      </c>
      <c r="D5" s="22">
        <v>7</v>
      </c>
      <c r="E5" s="56">
        <v>574.38</v>
      </c>
      <c r="F5" s="23">
        <v>1</v>
      </c>
      <c r="G5" s="58">
        <v>62.65</v>
      </c>
      <c r="H5" s="59">
        <v>0</v>
      </c>
      <c r="I5" s="60">
        <v>0</v>
      </c>
      <c r="J5" s="61">
        <v>0</v>
      </c>
      <c r="K5" s="62">
        <v>0</v>
      </c>
      <c r="L5" s="16">
        <f>+B5+D5+F5+H5+J5</f>
        <v>25</v>
      </c>
      <c r="M5" s="53">
        <f>+C5+E5+G5+I5+K5</f>
        <v>2866.65</v>
      </c>
    </row>
    <row r="6" spans="1:14">
      <c r="A6" s="13" t="s">
        <v>13</v>
      </c>
      <c r="B6" s="21">
        <v>12</v>
      </c>
      <c r="C6" s="56">
        <v>2777</v>
      </c>
      <c r="D6" s="22">
        <v>0</v>
      </c>
      <c r="E6" s="57">
        <v>0</v>
      </c>
      <c r="F6" s="23">
        <v>0</v>
      </c>
      <c r="G6" s="58">
        <v>0</v>
      </c>
      <c r="H6" s="59">
        <v>0</v>
      </c>
      <c r="I6" s="60">
        <v>0</v>
      </c>
      <c r="J6" s="61">
        <v>0</v>
      </c>
      <c r="K6" s="62">
        <v>0</v>
      </c>
      <c r="L6" s="16">
        <f t="shared" ref="L6:L8" si="0">+B6+D6+F6+H6+J6</f>
        <v>12</v>
      </c>
      <c r="M6" s="53">
        <f t="shared" ref="M6:M8" si="1">+C6+E6+G6+I6+K6</f>
        <v>2777</v>
      </c>
    </row>
    <row r="7" spans="1:14">
      <c r="A7" s="13" t="s">
        <v>14</v>
      </c>
      <c r="B7" s="21">
        <v>46</v>
      </c>
      <c r="C7" s="56">
        <v>6547.46</v>
      </c>
      <c r="D7" s="22">
        <v>5</v>
      </c>
      <c r="E7" s="57">
        <v>524</v>
      </c>
      <c r="F7" s="23">
        <v>1</v>
      </c>
      <c r="G7" s="58">
        <v>240</v>
      </c>
      <c r="H7" s="59">
        <v>9</v>
      </c>
      <c r="I7" s="60">
        <v>1513</v>
      </c>
      <c r="J7" s="61">
        <v>0</v>
      </c>
      <c r="K7" s="62">
        <v>0</v>
      </c>
      <c r="L7" s="16">
        <f t="shared" si="0"/>
        <v>61</v>
      </c>
      <c r="M7" s="53">
        <f t="shared" si="1"/>
        <v>8824.4599999999991</v>
      </c>
    </row>
    <row r="8" spans="1:14" ht="93.6">
      <c r="A8" s="14" t="s">
        <v>17</v>
      </c>
      <c r="B8" s="21">
        <v>5</v>
      </c>
      <c r="C8" s="56">
        <v>1428</v>
      </c>
      <c r="D8" s="22">
        <v>7</v>
      </c>
      <c r="E8" s="57">
        <v>1509</v>
      </c>
      <c r="F8" s="23">
        <v>0</v>
      </c>
      <c r="G8" s="58">
        <v>0</v>
      </c>
      <c r="H8" s="59">
        <v>0</v>
      </c>
      <c r="I8" s="60">
        <v>0</v>
      </c>
      <c r="J8" s="61">
        <v>0</v>
      </c>
      <c r="K8" s="62">
        <v>0</v>
      </c>
      <c r="L8" s="16">
        <f t="shared" si="0"/>
        <v>12</v>
      </c>
      <c r="M8" s="53">
        <f t="shared" si="1"/>
        <v>2937</v>
      </c>
    </row>
    <row r="9" spans="1:14" ht="27" thickBot="1">
      <c r="A9" s="41" t="s">
        <v>19</v>
      </c>
      <c r="B9" s="42">
        <f t="shared" ref="B9:J9" si="2">SUM(B5:B8)</f>
        <v>80</v>
      </c>
      <c r="C9" s="63">
        <f>SUM(C5:C8)</f>
        <v>12982.08</v>
      </c>
      <c r="D9" s="42">
        <f t="shared" si="2"/>
        <v>19</v>
      </c>
      <c r="E9" s="63">
        <f>SUM(E5:E8)</f>
        <v>2607.38</v>
      </c>
      <c r="F9" s="42">
        <f t="shared" si="2"/>
        <v>2</v>
      </c>
      <c r="G9" s="63">
        <f>SUM(G5:G8)</f>
        <v>302.64999999999998</v>
      </c>
      <c r="H9" s="42">
        <f t="shared" si="2"/>
        <v>9</v>
      </c>
      <c r="I9" s="63">
        <f>SUM(I5:I8)</f>
        <v>1513</v>
      </c>
      <c r="J9" s="42">
        <f t="shared" si="2"/>
        <v>0</v>
      </c>
      <c r="K9" s="63">
        <f>SUM(K5:K8)</f>
        <v>0</v>
      </c>
      <c r="L9" s="42">
        <f>SUM(L5:L8)</f>
        <v>110</v>
      </c>
      <c r="M9" s="54">
        <f>SUM(M5:M8)</f>
        <v>17405.11</v>
      </c>
      <c r="N9" s="2" t="s">
        <v>95</v>
      </c>
    </row>
    <row r="10" spans="1:14" ht="24" thickTop="1"/>
  </sheetData>
  <mergeCells count="10">
    <mergeCell ref="A1:L1"/>
    <mergeCell ref="A2:A4"/>
    <mergeCell ref="B2:K2"/>
    <mergeCell ref="L2:L4"/>
    <mergeCell ref="M2:M4"/>
    <mergeCell ref="B3:C3"/>
    <mergeCell ref="D3:E3"/>
    <mergeCell ref="F3:G3"/>
    <mergeCell ref="H3:I3"/>
    <mergeCell ref="J3:K3"/>
  </mergeCells>
  <pageMargins left="0.25" right="0.25" top="0.75" bottom="0.75" header="0.3" footer="0.3"/>
  <pageSetup paperSize="9" scale="8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tabSelected="1"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sqref="A1:D34"/>
    </sheetView>
  </sheetViews>
  <sheetFormatPr defaultColWidth="9.109375" defaultRowHeight="23.4"/>
  <cols>
    <col min="1" max="1" width="10.88671875" style="1" customWidth="1"/>
    <col min="2" max="2" width="21.44140625" style="1" bestFit="1" customWidth="1"/>
    <col min="3" max="4" width="14.33203125" style="1" customWidth="1"/>
    <col min="5" max="16384" width="9.109375" style="1"/>
  </cols>
  <sheetData>
    <row r="1" spans="1:4" ht="32.4">
      <c r="A1" s="26" t="s">
        <v>100</v>
      </c>
    </row>
    <row r="2" spans="1:4" ht="26.4">
      <c r="A2" s="33" t="s">
        <v>0</v>
      </c>
      <c r="B2" s="33" t="s">
        <v>63</v>
      </c>
      <c r="C2" s="33" t="s">
        <v>67</v>
      </c>
      <c r="D2" s="33" t="s">
        <v>20</v>
      </c>
    </row>
    <row r="3" spans="1:4">
      <c r="A3" s="36">
        <v>1</v>
      </c>
      <c r="B3" s="37" t="s">
        <v>32</v>
      </c>
      <c r="C3" s="37">
        <f>+รายการสินค้าตีกลับ!B35</f>
        <v>185</v>
      </c>
      <c r="D3" s="34"/>
    </row>
    <row r="4" spans="1:4">
      <c r="A4" s="36">
        <v>2</v>
      </c>
      <c r="B4" s="37" t="s">
        <v>33</v>
      </c>
      <c r="C4" s="37">
        <f>+รายการสินค้าตีกลับ!C35</f>
        <v>25</v>
      </c>
      <c r="D4" s="35"/>
    </row>
    <row r="5" spans="1:4">
      <c r="A5" s="36">
        <v>3</v>
      </c>
      <c r="B5" s="37" t="s">
        <v>34</v>
      </c>
      <c r="C5" s="37">
        <f>+รายการสินค้าตีกลับ!D35</f>
        <v>19</v>
      </c>
      <c r="D5" s="35"/>
    </row>
    <row r="6" spans="1:4">
      <c r="A6" s="36">
        <v>4</v>
      </c>
      <c r="B6" s="37" t="s">
        <v>35</v>
      </c>
      <c r="C6" s="37">
        <f>+รายการสินค้าตีกลับ!E35</f>
        <v>10</v>
      </c>
      <c r="D6" s="35"/>
    </row>
    <row r="7" spans="1:4">
      <c r="A7" s="36">
        <v>5</v>
      </c>
      <c r="B7" s="37" t="s">
        <v>36</v>
      </c>
      <c r="C7" s="37">
        <f>+รายการสินค้าตีกลับ!F35</f>
        <v>4</v>
      </c>
      <c r="D7" s="37"/>
    </row>
    <row r="8" spans="1:4">
      <c r="A8" s="36">
        <v>6</v>
      </c>
      <c r="B8" s="37" t="s">
        <v>37</v>
      </c>
      <c r="C8" s="37">
        <f>+รายการสินค้าตีกลับ!G35</f>
        <v>25</v>
      </c>
      <c r="D8" s="37"/>
    </row>
    <row r="9" spans="1:4">
      <c r="A9" s="36">
        <v>7</v>
      </c>
      <c r="B9" s="37" t="s">
        <v>38</v>
      </c>
      <c r="C9" s="37">
        <f>+รายการสินค้าตีกลับ!H35</f>
        <v>12</v>
      </c>
      <c r="D9" s="37"/>
    </row>
    <row r="10" spans="1:4">
      <c r="A10" s="36">
        <v>8</v>
      </c>
      <c r="B10" s="37" t="s">
        <v>39</v>
      </c>
      <c r="C10" s="37">
        <f>+รายการสินค้าตีกลับ!I35</f>
        <v>11</v>
      </c>
      <c r="D10" s="37"/>
    </row>
    <row r="11" spans="1:4">
      <c r="A11" s="36">
        <v>9</v>
      </c>
      <c r="B11" s="37" t="s">
        <v>40</v>
      </c>
      <c r="C11" s="37">
        <f>+รายการสินค้าตีกลับ!J35</f>
        <v>7</v>
      </c>
      <c r="D11" s="37"/>
    </row>
    <row r="12" spans="1:4">
      <c r="A12" s="36">
        <v>10</v>
      </c>
      <c r="B12" s="37" t="s">
        <v>41</v>
      </c>
      <c r="C12" s="37">
        <f>+รายการสินค้าตีกลับ!K35</f>
        <v>0</v>
      </c>
      <c r="D12" s="37"/>
    </row>
    <row r="13" spans="1:4">
      <c r="A13" s="36">
        <v>11</v>
      </c>
      <c r="B13" s="37" t="s">
        <v>42</v>
      </c>
      <c r="C13" s="37">
        <f>+รายการสินค้าตีกลับ!L35</f>
        <v>0</v>
      </c>
      <c r="D13" s="37"/>
    </row>
    <row r="14" spans="1:4">
      <c r="A14" s="36">
        <v>12</v>
      </c>
      <c r="B14" s="37" t="s">
        <v>68</v>
      </c>
      <c r="C14" s="37">
        <f>+รายการสินค้าตีกลับ!M35</f>
        <v>0</v>
      </c>
      <c r="D14" s="37"/>
    </row>
    <row r="15" spans="1:4">
      <c r="A15" s="36">
        <v>13</v>
      </c>
      <c r="B15" s="37" t="s">
        <v>43</v>
      </c>
      <c r="C15" s="37">
        <f>+รายการสินค้าตีกลับ!N35</f>
        <v>0</v>
      </c>
      <c r="D15" s="37"/>
    </row>
    <row r="16" spans="1:4">
      <c r="A16" s="36">
        <v>14</v>
      </c>
      <c r="B16" s="37" t="s">
        <v>44</v>
      </c>
      <c r="C16" s="37">
        <f>+รายการสินค้าตีกลับ!O35</f>
        <v>0</v>
      </c>
      <c r="D16" s="37"/>
    </row>
    <row r="17" spans="1:4">
      <c r="A17" s="36">
        <v>15</v>
      </c>
      <c r="B17" s="37" t="s">
        <v>45</v>
      </c>
      <c r="C17" s="37">
        <f>+รายการสินค้าตีกลับ!P35</f>
        <v>0</v>
      </c>
      <c r="D17" s="37"/>
    </row>
    <row r="18" spans="1:4">
      <c r="A18" s="36">
        <v>16</v>
      </c>
      <c r="B18" s="37" t="s">
        <v>46</v>
      </c>
      <c r="C18" s="37">
        <f>+รายการสินค้าตีกลับ!Q35</f>
        <v>1</v>
      </c>
      <c r="D18" s="37"/>
    </row>
    <row r="19" spans="1:4">
      <c r="A19" s="36">
        <v>17</v>
      </c>
      <c r="B19" s="37" t="s">
        <v>47</v>
      </c>
      <c r="C19" s="37">
        <f>+รายการสินค้าตีกลับ!R35</f>
        <v>0</v>
      </c>
      <c r="D19" s="37"/>
    </row>
    <row r="20" spans="1:4">
      <c r="A20" s="36">
        <v>18</v>
      </c>
      <c r="B20" s="37" t="s">
        <v>48</v>
      </c>
      <c r="C20" s="37">
        <f>+รายการสินค้าตีกลับ!S35</f>
        <v>0</v>
      </c>
      <c r="D20" s="37"/>
    </row>
    <row r="21" spans="1:4">
      <c r="A21" s="36">
        <v>19</v>
      </c>
      <c r="B21" s="37" t="s">
        <v>49</v>
      </c>
      <c r="C21" s="37">
        <f>+รายการสินค้าตีกลับ!T35</f>
        <v>0</v>
      </c>
      <c r="D21" s="37"/>
    </row>
    <row r="22" spans="1:4">
      <c r="A22" s="36">
        <v>20</v>
      </c>
      <c r="B22" s="37" t="s">
        <v>50</v>
      </c>
      <c r="C22" s="37">
        <f>+รายการสินค้าตีกลับ!U35</f>
        <v>0</v>
      </c>
      <c r="D22" s="37"/>
    </row>
    <row r="23" spans="1:4">
      <c r="A23" s="36">
        <v>21</v>
      </c>
      <c r="B23" s="37" t="s">
        <v>51</v>
      </c>
      <c r="C23" s="37">
        <f>+รายการสินค้าตีกลับ!V35</f>
        <v>0</v>
      </c>
      <c r="D23" s="37"/>
    </row>
    <row r="24" spans="1:4">
      <c r="A24" s="36">
        <v>22</v>
      </c>
      <c r="B24" s="37" t="s">
        <v>52</v>
      </c>
      <c r="C24" s="37">
        <f>+รายการสินค้าตีกลับ!W35</f>
        <v>0</v>
      </c>
      <c r="D24" s="37"/>
    </row>
    <row r="25" spans="1:4">
      <c r="A25" s="36">
        <v>23</v>
      </c>
      <c r="B25" s="37" t="s">
        <v>53</v>
      </c>
      <c r="C25" s="37">
        <f>+รายการสินค้าตีกลับ!X35</f>
        <v>0</v>
      </c>
      <c r="D25" s="37"/>
    </row>
    <row r="26" spans="1:4">
      <c r="A26" s="36">
        <v>24</v>
      </c>
      <c r="B26" s="37" t="s">
        <v>54</v>
      </c>
      <c r="C26" s="37">
        <f>+รายการสินค้าตีกลับ!Y35</f>
        <v>36</v>
      </c>
      <c r="D26" s="37"/>
    </row>
    <row r="27" spans="1:4">
      <c r="A27" s="36">
        <v>25</v>
      </c>
      <c r="B27" s="37" t="s">
        <v>55</v>
      </c>
      <c r="C27" s="37">
        <f>+รายการสินค้าตีกลับ!Z35</f>
        <v>0</v>
      </c>
      <c r="D27" s="37"/>
    </row>
    <row r="28" spans="1:4">
      <c r="A28" s="36">
        <v>26</v>
      </c>
      <c r="B28" s="37" t="s">
        <v>56</v>
      </c>
      <c r="C28" s="37">
        <f>+รายการสินค้าตีกลับ!AA35</f>
        <v>0</v>
      </c>
      <c r="D28" s="37"/>
    </row>
    <row r="29" spans="1:4">
      <c r="A29" s="36">
        <v>27</v>
      </c>
      <c r="B29" s="37" t="s">
        <v>57</v>
      </c>
      <c r="C29" s="37">
        <f>+รายการสินค้าตีกลับ!AB35</f>
        <v>0</v>
      </c>
      <c r="D29" s="37"/>
    </row>
    <row r="30" spans="1:4">
      <c r="A30" s="36">
        <v>28</v>
      </c>
      <c r="B30" s="37" t="s">
        <v>58</v>
      </c>
      <c r="C30" s="37">
        <f>+รายการสินค้าตีกลับ!AC35</f>
        <v>0</v>
      </c>
      <c r="D30" s="37"/>
    </row>
    <row r="31" spans="1:4">
      <c r="A31" s="36">
        <v>29</v>
      </c>
      <c r="B31" s="37" t="s">
        <v>59</v>
      </c>
      <c r="C31" s="37">
        <f>+รายการสินค้าตีกลับ!AD35</f>
        <v>0</v>
      </c>
      <c r="D31" s="37"/>
    </row>
    <row r="32" spans="1:4">
      <c r="A32" s="36">
        <v>30</v>
      </c>
      <c r="B32" s="37" t="s">
        <v>60</v>
      </c>
      <c r="C32" s="37">
        <f>+รายการสินค้าตีกลับ!AE35</f>
        <v>0</v>
      </c>
      <c r="D32" s="37"/>
    </row>
    <row r="33" spans="1:4">
      <c r="A33" s="36">
        <v>31</v>
      </c>
      <c r="B33" s="37" t="s">
        <v>61</v>
      </c>
      <c r="C33" s="37">
        <f>+รายการสินค้าตีกลับ!AF35</f>
        <v>169</v>
      </c>
      <c r="D33" s="37"/>
    </row>
    <row r="34" spans="1:4" ht="29.4" thickBot="1">
      <c r="B34" s="38" t="s">
        <v>62</v>
      </c>
      <c r="C34" s="39">
        <f>SUM(C3:C33)</f>
        <v>504</v>
      </c>
      <c r="D34" s="40" t="s">
        <v>64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P30"/>
  <sheetViews>
    <sheetView zoomScale="70" zoomScaleNormal="70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I4" sqref="I4:I28"/>
    </sheetView>
  </sheetViews>
  <sheetFormatPr defaultColWidth="9.109375" defaultRowHeight="23.4"/>
  <cols>
    <col min="1" max="1" width="13.44140625" style="3" customWidth="1"/>
    <col min="2" max="2" width="10.6640625" style="3" bestFit="1" customWidth="1"/>
    <col min="3" max="3" width="18.109375" style="4" bestFit="1" customWidth="1"/>
    <col min="4" max="4" width="33.44140625" style="4" bestFit="1" customWidth="1"/>
    <col min="5" max="5" width="25.5546875" style="4" customWidth="1"/>
    <col min="6" max="6" width="38.33203125" style="4" customWidth="1"/>
    <col min="7" max="7" width="14.33203125" style="3" bestFit="1" customWidth="1"/>
    <col min="8" max="8" width="16.5546875" style="3" bestFit="1" customWidth="1"/>
    <col min="9" max="9" width="14.5546875" style="48" customWidth="1"/>
    <col min="10" max="10" width="24.88671875" style="3" bestFit="1" customWidth="1"/>
    <col min="11" max="11" width="45.664062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8.33203125" style="3" bestFit="1" customWidth="1"/>
    <col min="16" max="16" width="26.44140625" style="3" customWidth="1"/>
    <col min="17" max="16384" width="9.109375" style="3"/>
  </cols>
  <sheetData>
    <row r="1" spans="1:16" ht="32.4">
      <c r="A1" s="7" t="s">
        <v>101</v>
      </c>
    </row>
    <row r="2" spans="1:16" s="2" customFormat="1">
      <c r="A2" s="83" t="s">
        <v>0</v>
      </c>
      <c r="B2" s="83" t="s">
        <v>4</v>
      </c>
      <c r="C2" s="84" t="s">
        <v>5</v>
      </c>
      <c r="D2" s="84" t="s">
        <v>2</v>
      </c>
      <c r="E2" s="87" t="s">
        <v>23</v>
      </c>
      <c r="F2" s="87" t="s">
        <v>21</v>
      </c>
      <c r="G2" s="84" t="s">
        <v>1</v>
      </c>
      <c r="H2" s="83"/>
      <c r="I2" s="90" t="s">
        <v>94</v>
      </c>
      <c r="J2" s="83" t="s">
        <v>3</v>
      </c>
      <c r="K2" s="89" t="s">
        <v>20</v>
      </c>
      <c r="N2" s="85" t="s">
        <v>8</v>
      </c>
      <c r="O2" s="85" t="s">
        <v>72</v>
      </c>
      <c r="P2" s="85" t="s">
        <v>83</v>
      </c>
    </row>
    <row r="3" spans="1:16" s="2" customFormat="1">
      <c r="A3" s="83"/>
      <c r="B3" s="83"/>
      <c r="C3" s="84"/>
      <c r="D3" s="84"/>
      <c r="E3" s="88"/>
      <c r="F3" s="88"/>
      <c r="G3" s="25" t="s">
        <v>6</v>
      </c>
      <c r="H3" s="10"/>
      <c r="I3" s="91"/>
      <c r="J3" s="83"/>
      <c r="K3" s="89"/>
      <c r="N3" s="86"/>
      <c r="O3" s="86"/>
      <c r="P3" s="86"/>
    </row>
    <row r="4" spans="1:16">
      <c r="A4" s="3">
        <v>1</v>
      </c>
      <c r="B4" s="8">
        <v>243742</v>
      </c>
      <c r="C4" s="4" t="s">
        <v>149</v>
      </c>
      <c r="D4" s="4" t="s">
        <v>191</v>
      </c>
      <c r="E4" s="5" t="s">
        <v>24</v>
      </c>
      <c r="F4" s="5" t="s">
        <v>73</v>
      </c>
      <c r="G4" s="5" t="s">
        <v>152</v>
      </c>
      <c r="H4" s="4"/>
      <c r="I4" s="49">
        <v>111</v>
      </c>
      <c r="J4" s="3" t="s">
        <v>10</v>
      </c>
      <c r="N4" s="9" t="s">
        <v>10</v>
      </c>
      <c r="O4" s="9" t="s">
        <v>73</v>
      </c>
      <c r="P4" s="46" t="s">
        <v>24</v>
      </c>
    </row>
    <row r="5" spans="1:16">
      <c r="A5" s="3">
        <v>2</v>
      </c>
      <c r="B5" s="8">
        <v>243742</v>
      </c>
      <c r="C5" s="4" t="s">
        <v>150</v>
      </c>
      <c r="D5" s="4" t="s">
        <v>192</v>
      </c>
      <c r="E5" s="5" t="s">
        <v>24</v>
      </c>
      <c r="F5" s="5" t="s">
        <v>73</v>
      </c>
      <c r="G5" s="5" t="s">
        <v>153</v>
      </c>
      <c r="H5" s="5" t="s">
        <v>154</v>
      </c>
      <c r="I5" s="49">
        <v>41</v>
      </c>
      <c r="J5" s="3" t="s">
        <v>9</v>
      </c>
      <c r="N5" s="9" t="s">
        <v>9</v>
      </c>
      <c r="O5" s="9" t="s">
        <v>74</v>
      </c>
      <c r="P5" s="47" t="s">
        <v>22</v>
      </c>
    </row>
    <row r="6" spans="1:16">
      <c r="A6" s="3">
        <v>3</v>
      </c>
      <c r="B6" s="8">
        <v>243742</v>
      </c>
      <c r="C6" s="4" t="s">
        <v>151</v>
      </c>
      <c r="D6" s="4" t="s">
        <v>193</v>
      </c>
      <c r="E6" s="5" t="s">
        <v>24</v>
      </c>
      <c r="F6" s="5" t="s">
        <v>73</v>
      </c>
      <c r="G6" s="5" t="s">
        <v>155</v>
      </c>
      <c r="H6" s="5" t="s">
        <v>156</v>
      </c>
      <c r="I6" s="49">
        <v>100.49</v>
      </c>
      <c r="J6" s="3" t="s">
        <v>10</v>
      </c>
      <c r="N6" s="9" t="s">
        <v>11</v>
      </c>
      <c r="O6" s="9" t="s">
        <v>75</v>
      </c>
      <c r="P6" s="46" t="s">
        <v>30</v>
      </c>
    </row>
    <row r="7" spans="1:16">
      <c r="A7" s="3">
        <v>4</v>
      </c>
      <c r="B7" s="8">
        <v>243744</v>
      </c>
      <c r="C7" s="4" t="s">
        <v>157</v>
      </c>
      <c r="E7" s="5"/>
      <c r="F7" s="5" t="s">
        <v>73</v>
      </c>
      <c r="G7" s="4" t="s">
        <v>160</v>
      </c>
      <c r="H7" s="4" t="s">
        <v>161</v>
      </c>
      <c r="I7" s="49">
        <v>165.6</v>
      </c>
      <c r="J7" s="3" t="s">
        <v>10</v>
      </c>
      <c r="N7" s="9" t="s">
        <v>18</v>
      </c>
      <c r="O7" s="9" t="s">
        <v>76</v>
      </c>
      <c r="P7" s="9"/>
    </row>
    <row r="8" spans="1:16">
      <c r="A8" s="3">
        <v>5</v>
      </c>
      <c r="B8" s="8">
        <v>243744</v>
      </c>
      <c r="C8" s="4" t="s">
        <v>194</v>
      </c>
      <c r="E8" s="5"/>
      <c r="F8" s="5" t="s">
        <v>73</v>
      </c>
      <c r="G8" s="4" t="s">
        <v>162</v>
      </c>
      <c r="H8" s="4" t="s">
        <v>167</v>
      </c>
      <c r="I8" s="49">
        <v>126.44</v>
      </c>
      <c r="J8" s="3" t="s">
        <v>10</v>
      </c>
      <c r="N8" s="9"/>
      <c r="O8" s="9" t="s">
        <v>77</v>
      </c>
      <c r="P8" s="9"/>
    </row>
    <row r="9" spans="1:16">
      <c r="A9" s="3">
        <v>6</v>
      </c>
      <c r="B9" s="8">
        <v>243744</v>
      </c>
      <c r="C9" s="4" t="s">
        <v>158</v>
      </c>
      <c r="D9" s="4" t="s">
        <v>195</v>
      </c>
      <c r="E9" s="5" t="s">
        <v>24</v>
      </c>
      <c r="F9" s="5" t="s">
        <v>82</v>
      </c>
      <c r="G9" s="4" t="s">
        <v>163</v>
      </c>
      <c r="H9" s="4" t="s">
        <v>164</v>
      </c>
      <c r="I9" s="49">
        <v>127.24</v>
      </c>
      <c r="J9" s="3" t="s">
        <v>9</v>
      </c>
      <c r="N9" s="9"/>
      <c r="O9" s="9" t="s">
        <v>78</v>
      </c>
      <c r="P9" s="9"/>
    </row>
    <row r="10" spans="1:16">
      <c r="A10" s="3">
        <v>7</v>
      </c>
      <c r="B10" s="8">
        <v>243744</v>
      </c>
      <c r="C10" s="4" t="s">
        <v>159</v>
      </c>
      <c r="D10" s="4" t="s">
        <v>196</v>
      </c>
      <c r="E10" s="5" t="s">
        <v>24</v>
      </c>
      <c r="F10" s="5" t="s">
        <v>73</v>
      </c>
      <c r="G10" s="3" t="s">
        <v>165</v>
      </c>
      <c r="H10" s="3" t="s">
        <v>166</v>
      </c>
      <c r="I10" s="49">
        <v>129.6</v>
      </c>
      <c r="J10" s="3" t="s">
        <v>10</v>
      </c>
      <c r="N10" s="9"/>
      <c r="O10" s="9" t="s">
        <v>80</v>
      </c>
      <c r="P10" s="9"/>
    </row>
    <row r="11" spans="1:16">
      <c r="A11" s="3">
        <v>8</v>
      </c>
      <c r="B11" s="8">
        <v>243749</v>
      </c>
      <c r="C11" s="4" t="s">
        <v>228</v>
      </c>
      <c r="D11" s="5" t="s">
        <v>274</v>
      </c>
      <c r="E11" s="5" t="s">
        <v>24</v>
      </c>
      <c r="F11" s="5" t="s">
        <v>73</v>
      </c>
      <c r="G11" s="4" t="s">
        <v>229</v>
      </c>
      <c r="H11" s="4" t="s">
        <v>230</v>
      </c>
      <c r="I11" s="49">
        <v>156</v>
      </c>
      <c r="J11" s="3" t="s">
        <v>10</v>
      </c>
      <c r="N11" s="9"/>
      <c r="O11" s="9" t="s">
        <v>79</v>
      </c>
      <c r="P11" s="9"/>
    </row>
    <row r="12" spans="1:16">
      <c r="A12" s="3">
        <v>9</v>
      </c>
      <c r="B12" s="8">
        <v>243752</v>
      </c>
      <c r="C12" s="4" t="s">
        <v>245</v>
      </c>
      <c r="D12" s="5" t="s">
        <v>271</v>
      </c>
      <c r="E12" s="5" t="s">
        <v>24</v>
      </c>
      <c r="F12" s="5" t="s">
        <v>78</v>
      </c>
      <c r="G12" s="3" t="s">
        <v>247</v>
      </c>
      <c r="H12" s="3" t="s">
        <v>248</v>
      </c>
      <c r="I12" s="49">
        <v>131.54</v>
      </c>
      <c r="J12" s="3" t="s">
        <v>10</v>
      </c>
      <c r="N12" s="9"/>
      <c r="O12" s="9" t="s">
        <v>81</v>
      </c>
      <c r="P12" s="9"/>
    </row>
    <row r="13" spans="1:16">
      <c r="A13" s="3">
        <v>10</v>
      </c>
      <c r="B13" s="8">
        <v>243752</v>
      </c>
      <c r="C13" s="4" t="s">
        <v>246</v>
      </c>
      <c r="D13" s="4" t="s">
        <v>272</v>
      </c>
      <c r="E13" s="5" t="s">
        <v>24</v>
      </c>
      <c r="F13" s="5" t="s">
        <v>78</v>
      </c>
      <c r="G13" s="3" t="s">
        <v>249</v>
      </c>
      <c r="H13" s="3" t="s">
        <v>250</v>
      </c>
      <c r="I13" s="48">
        <v>179.1</v>
      </c>
      <c r="J13" s="3" t="s">
        <v>10</v>
      </c>
      <c r="N13" s="9"/>
      <c r="O13" s="9" t="s">
        <v>82</v>
      </c>
      <c r="P13" s="9"/>
    </row>
    <row r="14" spans="1:16">
      <c r="A14" s="3">
        <v>11</v>
      </c>
      <c r="B14" s="8">
        <v>243754</v>
      </c>
      <c r="C14" s="4" t="s">
        <v>254</v>
      </c>
      <c r="D14" s="4" t="s">
        <v>270</v>
      </c>
      <c r="E14" s="5" t="s">
        <v>24</v>
      </c>
      <c r="F14" s="5" t="s">
        <v>73</v>
      </c>
      <c r="G14" s="3" t="s">
        <v>256</v>
      </c>
      <c r="H14" s="3" t="s">
        <v>257</v>
      </c>
      <c r="I14" s="48">
        <v>83.1</v>
      </c>
      <c r="J14" s="3" t="s">
        <v>9</v>
      </c>
      <c r="K14" s="4"/>
    </row>
    <row r="15" spans="1:16">
      <c r="A15" s="3">
        <v>12</v>
      </c>
      <c r="B15" s="8">
        <v>243754</v>
      </c>
      <c r="C15" s="4" t="s">
        <v>255</v>
      </c>
      <c r="D15" s="4" t="s">
        <v>273</v>
      </c>
      <c r="E15" s="5" t="s">
        <v>24</v>
      </c>
      <c r="F15" s="5" t="s">
        <v>78</v>
      </c>
      <c r="G15" s="3" t="s">
        <v>258</v>
      </c>
      <c r="H15" s="4" t="s">
        <v>259</v>
      </c>
      <c r="I15" s="48">
        <v>59</v>
      </c>
      <c r="J15" s="3" t="s">
        <v>10</v>
      </c>
    </row>
    <row r="16" spans="1:16">
      <c r="A16" s="3">
        <v>13</v>
      </c>
      <c r="B16" s="8">
        <v>243757</v>
      </c>
      <c r="C16" s="4" t="s">
        <v>275</v>
      </c>
      <c r="E16" s="5"/>
      <c r="F16" s="5" t="s">
        <v>73</v>
      </c>
      <c r="G16" s="4" t="s">
        <v>289</v>
      </c>
      <c r="H16" s="4" t="s">
        <v>290</v>
      </c>
      <c r="I16" s="48">
        <v>94.4</v>
      </c>
      <c r="J16" s="3" t="s">
        <v>10</v>
      </c>
    </row>
    <row r="17" spans="1:10">
      <c r="A17" s="3">
        <v>14</v>
      </c>
      <c r="B17" s="8">
        <v>243757</v>
      </c>
      <c r="C17" s="4" t="s">
        <v>276</v>
      </c>
      <c r="D17" s="4" t="s">
        <v>296</v>
      </c>
      <c r="E17" s="5" t="s">
        <v>24</v>
      </c>
      <c r="F17" s="5" t="s">
        <v>73</v>
      </c>
      <c r="G17" s="3" t="s">
        <v>291</v>
      </c>
      <c r="H17" s="4" t="s">
        <v>292</v>
      </c>
      <c r="I17" s="48">
        <v>48.5</v>
      </c>
      <c r="J17" s="3" t="s">
        <v>10</v>
      </c>
    </row>
    <row r="18" spans="1:10">
      <c r="A18" s="3">
        <v>15</v>
      </c>
      <c r="B18" s="8">
        <v>243760</v>
      </c>
      <c r="C18" s="5" t="s">
        <v>310</v>
      </c>
      <c r="D18" s="4" t="s">
        <v>334</v>
      </c>
      <c r="E18" s="5" t="s">
        <v>24</v>
      </c>
      <c r="F18" s="5" t="s">
        <v>73</v>
      </c>
      <c r="G18" s="3" t="s">
        <v>319</v>
      </c>
      <c r="H18" s="4" t="s">
        <v>320</v>
      </c>
      <c r="I18" s="48">
        <v>249.6</v>
      </c>
      <c r="J18" s="3" t="s">
        <v>10</v>
      </c>
    </row>
    <row r="19" spans="1:10">
      <c r="A19" s="3">
        <v>16</v>
      </c>
      <c r="B19" s="8">
        <v>243760</v>
      </c>
      <c r="C19" s="4" t="s">
        <v>311</v>
      </c>
      <c r="D19" s="4" t="s">
        <v>339</v>
      </c>
      <c r="E19" s="5" t="s">
        <v>24</v>
      </c>
      <c r="F19" s="5" t="s">
        <v>78</v>
      </c>
      <c r="G19" s="3" t="s">
        <v>321</v>
      </c>
      <c r="H19" s="3" t="s">
        <v>322</v>
      </c>
      <c r="I19" s="48">
        <v>65</v>
      </c>
      <c r="J19" s="3" t="s">
        <v>9</v>
      </c>
    </row>
    <row r="20" spans="1:10">
      <c r="A20" s="3">
        <v>17</v>
      </c>
      <c r="B20" s="8">
        <v>243760</v>
      </c>
      <c r="C20" s="4" t="s">
        <v>312</v>
      </c>
      <c r="D20" s="4" t="s">
        <v>335</v>
      </c>
      <c r="E20" s="5" t="s">
        <v>24</v>
      </c>
      <c r="F20" s="5" t="s">
        <v>73</v>
      </c>
      <c r="G20" s="3" t="s">
        <v>323</v>
      </c>
      <c r="H20" s="3" t="s">
        <v>324</v>
      </c>
      <c r="I20" s="48">
        <v>48.5</v>
      </c>
      <c r="J20" s="3" t="s">
        <v>10</v>
      </c>
    </row>
    <row r="21" spans="1:10">
      <c r="A21" s="3">
        <v>18</v>
      </c>
      <c r="B21" s="8">
        <v>243760</v>
      </c>
      <c r="C21" s="4" t="s">
        <v>313</v>
      </c>
      <c r="D21" s="4" t="s">
        <v>336</v>
      </c>
      <c r="E21" s="5" t="s">
        <v>24</v>
      </c>
      <c r="F21" s="5" t="s">
        <v>73</v>
      </c>
      <c r="G21" s="3" t="s">
        <v>316</v>
      </c>
      <c r="I21" s="48">
        <v>126.44</v>
      </c>
      <c r="J21" s="3" t="s">
        <v>10</v>
      </c>
    </row>
    <row r="22" spans="1:10">
      <c r="A22" s="3">
        <v>19</v>
      </c>
      <c r="B22" s="8">
        <v>243760</v>
      </c>
      <c r="C22" s="4" t="s">
        <v>314</v>
      </c>
      <c r="D22" s="4" t="s">
        <v>337</v>
      </c>
      <c r="E22" s="5" t="s">
        <v>24</v>
      </c>
      <c r="F22" s="5" t="s">
        <v>73</v>
      </c>
      <c r="G22" s="3" t="s">
        <v>317</v>
      </c>
      <c r="I22" s="48">
        <v>75.239999999999995</v>
      </c>
      <c r="J22" s="3" t="s">
        <v>9</v>
      </c>
    </row>
    <row r="23" spans="1:10">
      <c r="A23" s="3">
        <v>20</v>
      </c>
      <c r="B23" s="8">
        <v>243760</v>
      </c>
      <c r="C23" s="4" t="s">
        <v>315</v>
      </c>
      <c r="D23" s="4" t="s">
        <v>338</v>
      </c>
      <c r="E23" s="5" t="s">
        <v>24</v>
      </c>
      <c r="F23" s="5" t="s">
        <v>73</v>
      </c>
      <c r="G23" s="3" t="s">
        <v>318</v>
      </c>
      <c r="I23" s="48">
        <v>137.71</v>
      </c>
      <c r="J23" s="3" t="s">
        <v>10</v>
      </c>
    </row>
    <row r="24" spans="1:10">
      <c r="A24" s="3">
        <v>21</v>
      </c>
      <c r="B24" s="8">
        <v>243763</v>
      </c>
      <c r="C24" s="4" t="s">
        <v>348</v>
      </c>
      <c r="D24" s="4" t="s">
        <v>365</v>
      </c>
      <c r="E24" s="5" t="s">
        <v>30</v>
      </c>
      <c r="F24" s="5" t="s">
        <v>73</v>
      </c>
      <c r="G24" s="3" t="s">
        <v>352</v>
      </c>
      <c r="H24" s="3" t="s">
        <v>353</v>
      </c>
      <c r="I24" s="48">
        <v>62.65</v>
      </c>
      <c r="J24" s="3" t="s">
        <v>11</v>
      </c>
    </row>
    <row r="25" spans="1:10">
      <c r="A25" s="3">
        <v>22</v>
      </c>
      <c r="B25" s="8">
        <v>243763</v>
      </c>
      <c r="C25" s="4" t="s">
        <v>349</v>
      </c>
      <c r="D25" s="4" t="s">
        <v>372</v>
      </c>
      <c r="E25" s="5" t="s">
        <v>24</v>
      </c>
      <c r="F25" s="5" t="s">
        <v>73</v>
      </c>
      <c r="G25" s="3" t="s">
        <v>354</v>
      </c>
      <c r="H25" s="3" t="s">
        <v>355</v>
      </c>
      <c r="I25" s="48">
        <v>46</v>
      </c>
      <c r="J25" s="3" t="s">
        <v>9</v>
      </c>
    </row>
    <row r="26" spans="1:10">
      <c r="A26" s="3">
        <v>23</v>
      </c>
      <c r="B26" s="8">
        <v>243763</v>
      </c>
      <c r="C26" s="4" t="s">
        <v>350</v>
      </c>
      <c r="D26" s="4" t="s">
        <v>373</v>
      </c>
      <c r="G26" s="3" t="s">
        <v>356</v>
      </c>
      <c r="H26" s="3" t="s">
        <v>357</v>
      </c>
      <c r="I26" s="48">
        <v>136.80000000000001</v>
      </c>
      <c r="J26" s="3" t="s">
        <v>9</v>
      </c>
    </row>
    <row r="27" spans="1:10">
      <c r="A27" s="3">
        <v>24</v>
      </c>
      <c r="B27" s="8">
        <v>243763</v>
      </c>
      <c r="C27" s="4" t="s">
        <v>351</v>
      </c>
      <c r="D27" s="4" t="s">
        <v>366</v>
      </c>
      <c r="E27" s="5" t="s">
        <v>24</v>
      </c>
      <c r="F27" s="5" t="s">
        <v>73</v>
      </c>
      <c r="G27" s="3" t="s">
        <v>358</v>
      </c>
      <c r="H27" s="3" t="s">
        <v>359</v>
      </c>
      <c r="I27" s="48">
        <v>57</v>
      </c>
      <c r="J27" s="3" t="s">
        <v>10</v>
      </c>
    </row>
    <row r="28" spans="1:10">
      <c r="A28" s="3">
        <v>25</v>
      </c>
      <c r="B28" s="8">
        <v>243768</v>
      </c>
      <c r="C28" s="4" t="s">
        <v>378</v>
      </c>
      <c r="D28" s="4" t="s">
        <v>397</v>
      </c>
      <c r="E28" s="5" t="s">
        <v>24</v>
      </c>
      <c r="F28" s="5" t="s">
        <v>73</v>
      </c>
      <c r="G28" s="3" t="s">
        <v>379</v>
      </c>
      <c r="H28" s="3" t="s">
        <v>380</v>
      </c>
      <c r="I28" s="48">
        <v>308.7</v>
      </c>
      <c r="J28" s="3" t="s">
        <v>10</v>
      </c>
    </row>
    <row r="29" spans="1:10" ht="29.4" thickBot="1">
      <c r="H29" s="51" t="s">
        <v>16</v>
      </c>
      <c r="I29" s="50">
        <f>SUM(I4:I28)</f>
        <v>2866.65</v>
      </c>
      <c r="J29" s="52" t="s">
        <v>95</v>
      </c>
    </row>
    <row r="30" spans="1:10" ht="24" thickTop="1"/>
  </sheetData>
  <autoFilter ref="A3:AN29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4">
    <dataValidation type="list" allowBlank="1" showInputMessage="1" showErrorMessage="1" sqref="J1:J3 J29:J1048576" xr:uid="{150B485C-0F1F-4EAC-A79B-B7098D1663FC}">
      <formula1>$N$4:$N$14</formula1>
    </dataValidation>
    <dataValidation type="list" allowBlank="1" showInputMessage="1" showErrorMessage="1" sqref="J4:J28" xr:uid="{046EE0EB-4651-4033-81CC-FF38BF8979A2}">
      <formula1>$N$4:$N$13</formula1>
    </dataValidation>
    <dataValidation type="list" allowBlank="1" showInputMessage="1" showErrorMessage="1" sqref="F1:F1048576" xr:uid="{4C3755F8-DCB1-4274-90F6-F88BDA74BCE2}">
      <formula1>$O$4:$O$13</formula1>
    </dataValidation>
    <dataValidation type="list" allowBlank="1" showInputMessage="1" showErrorMessage="1" sqref="E1:E1048576" xr:uid="{481C2C86-495E-4F80-AFBC-5A41CF787B0E}">
      <formula1>$P$4:$P$13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V3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4" sqref="I4:I16"/>
    </sheetView>
  </sheetViews>
  <sheetFormatPr defaultColWidth="9.109375" defaultRowHeight="23.4"/>
  <cols>
    <col min="1" max="1" width="11" style="3" customWidth="1"/>
    <col min="2" max="2" width="25.109375" style="3" bestFit="1" customWidth="1"/>
    <col min="3" max="3" width="21.88671875" style="4" customWidth="1"/>
    <col min="4" max="4" width="17.6640625" style="4" bestFit="1" customWidth="1"/>
    <col min="5" max="5" width="20.33203125" style="4" customWidth="1"/>
    <col min="6" max="6" width="7" style="4" bestFit="1" customWidth="1"/>
    <col min="7" max="7" width="7.88671875" style="3" bestFit="1" customWidth="1"/>
    <col min="8" max="8" width="12.88671875" style="3" bestFit="1" customWidth="1"/>
    <col min="9" max="9" width="12.88671875" style="3" customWidth="1"/>
    <col min="10" max="10" width="23.109375" style="3" bestFit="1" customWidth="1"/>
    <col min="11" max="11" width="9" style="3" bestFit="1" customWidth="1"/>
    <col min="12" max="12" width="9" style="3" customWidth="1"/>
    <col min="13" max="13" width="23.33203125" style="3" bestFit="1" customWidth="1"/>
    <col min="14" max="14" width="7" style="3" bestFit="1" customWidth="1"/>
    <col min="15" max="15" width="19.109375" style="3" bestFit="1" customWidth="1"/>
    <col min="16" max="16384" width="9.109375" style="3"/>
  </cols>
  <sheetData>
    <row r="1" spans="1:15" ht="32.4">
      <c r="A1" s="7" t="s">
        <v>102</v>
      </c>
    </row>
    <row r="2" spans="1:15" s="2" customFormat="1" ht="23.25" customHeight="1">
      <c r="A2" s="92" t="s">
        <v>0</v>
      </c>
      <c r="B2" s="92" t="s">
        <v>4</v>
      </c>
      <c r="C2" s="93" t="s">
        <v>5</v>
      </c>
      <c r="D2" s="93" t="s">
        <v>2</v>
      </c>
      <c r="E2" s="94" t="s">
        <v>23</v>
      </c>
      <c r="F2" s="94" t="s">
        <v>21</v>
      </c>
      <c r="G2" s="92" t="s">
        <v>1</v>
      </c>
      <c r="H2" s="92"/>
      <c r="I2" s="96" t="s">
        <v>94</v>
      </c>
      <c r="J2" s="92" t="s">
        <v>3</v>
      </c>
      <c r="K2" s="89" t="s">
        <v>20</v>
      </c>
      <c r="M2" s="85" t="s">
        <v>8</v>
      </c>
      <c r="N2" s="85" t="s">
        <v>72</v>
      </c>
      <c r="O2" s="85" t="s">
        <v>83</v>
      </c>
    </row>
    <row r="3" spans="1:15" s="2" customFormat="1" ht="23.25" customHeight="1">
      <c r="A3" s="92"/>
      <c r="B3" s="92"/>
      <c r="C3" s="93"/>
      <c r="D3" s="93"/>
      <c r="E3" s="95"/>
      <c r="F3" s="95"/>
      <c r="G3" s="11" t="s">
        <v>6</v>
      </c>
      <c r="H3" s="11" t="s">
        <v>7</v>
      </c>
      <c r="I3" s="97"/>
      <c r="J3" s="92"/>
      <c r="K3" s="89"/>
      <c r="M3" s="86"/>
      <c r="N3" s="86"/>
      <c r="O3" s="86"/>
    </row>
    <row r="4" spans="1:15">
      <c r="A4" s="3">
        <v>1</v>
      </c>
      <c r="B4" s="8">
        <v>243741</v>
      </c>
      <c r="C4" s="24" t="s">
        <v>106</v>
      </c>
      <c r="D4" s="3" t="s">
        <v>128</v>
      </c>
      <c r="E4" s="5" t="s">
        <v>22</v>
      </c>
      <c r="F4" s="5" t="s">
        <v>84</v>
      </c>
      <c r="G4" s="6"/>
      <c r="H4" s="4"/>
      <c r="I4" s="49">
        <v>135</v>
      </c>
      <c r="J4" s="3" t="s">
        <v>10</v>
      </c>
      <c r="M4" s="9" t="s">
        <v>10</v>
      </c>
      <c r="N4" s="9" t="s">
        <v>84</v>
      </c>
      <c r="O4" s="46" t="s">
        <v>24</v>
      </c>
    </row>
    <row r="5" spans="1:15" ht="23.25" customHeight="1">
      <c r="A5" s="3">
        <v>2</v>
      </c>
      <c r="B5" s="8">
        <v>243744</v>
      </c>
      <c r="C5" s="5" t="s">
        <v>147</v>
      </c>
      <c r="D5" s="4" t="s">
        <v>197</v>
      </c>
      <c r="E5" s="5" t="s">
        <v>22</v>
      </c>
      <c r="F5" s="5" t="s">
        <v>84</v>
      </c>
      <c r="G5" s="6"/>
      <c r="H5" s="4"/>
      <c r="I5" s="49">
        <v>143</v>
      </c>
      <c r="J5" s="3" t="s">
        <v>10</v>
      </c>
      <c r="M5" s="9" t="s">
        <v>9</v>
      </c>
      <c r="N5" s="9" t="s">
        <v>85</v>
      </c>
      <c r="O5" s="47" t="s">
        <v>22</v>
      </c>
    </row>
    <row r="6" spans="1:15" ht="23.25" customHeight="1">
      <c r="A6" s="3">
        <v>3</v>
      </c>
      <c r="B6" s="8">
        <v>243746</v>
      </c>
      <c r="C6" s="4" t="s">
        <v>168</v>
      </c>
      <c r="D6" s="1" t="s">
        <v>198</v>
      </c>
      <c r="E6" s="5" t="s">
        <v>22</v>
      </c>
      <c r="F6" s="5" t="s">
        <v>84</v>
      </c>
      <c r="H6" s="4"/>
      <c r="I6" s="49">
        <v>180</v>
      </c>
      <c r="J6" s="3" t="s">
        <v>10</v>
      </c>
      <c r="M6" s="9" t="s">
        <v>11</v>
      </c>
      <c r="N6" s="9"/>
      <c r="O6" s="46" t="s">
        <v>30</v>
      </c>
    </row>
    <row r="7" spans="1:15">
      <c r="A7" s="3">
        <v>4</v>
      </c>
      <c r="B7" s="8">
        <v>243746</v>
      </c>
      <c r="C7" s="4" t="s">
        <v>169</v>
      </c>
      <c r="D7" s="24" t="s">
        <v>199</v>
      </c>
      <c r="E7" s="5" t="s">
        <v>22</v>
      </c>
      <c r="F7" s="5" t="s">
        <v>84</v>
      </c>
      <c r="H7" s="4"/>
      <c r="I7" s="49">
        <v>103</v>
      </c>
      <c r="J7" s="3" t="s">
        <v>10</v>
      </c>
      <c r="M7" s="9" t="s">
        <v>18</v>
      </c>
      <c r="N7" s="9"/>
      <c r="O7" s="9" t="s">
        <v>93</v>
      </c>
    </row>
    <row r="8" spans="1:15">
      <c r="A8" s="3">
        <v>5</v>
      </c>
      <c r="B8" s="8">
        <v>243747</v>
      </c>
      <c r="C8" s="4" t="s">
        <v>148</v>
      </c>
      <c r="D8" s="24" t="s">
        <v>269</v>
      </c>
      <c r="E8" s="5" t="s">
        <v>268</v>
      </c>
      <c r="F8" s="5" t="s">
        <v>84</v>
      </c>
      <c r="H8" s="4"/>
      <c r="I8" s="49">
        <v>85</v>
      </c>
      <c r="J8" s="3" t="s">
        <v>10</v>
      </c>
      <c r="M8" s="9"/>
      <c r="N8" s="9"/>
      <c r="O8" s="9" t="s">
        <v>268</v>
      </c>
    </row>
    <row r="9" spans="1:15">
      <c r="A9" s="3">
        <v>6</v>
      </c>
      <c r="B9" s="8">
        <v>243748</v>
      </c>
      <c r="C9" s="4" t="s">
        <v>213</v>
      </c>
      <c r="D9" s="24" t="s">
        <v>267</v>
      </c>
      <c r="E9" s="5" t="s">
        <v>268</v>
      </c>
      <c r="F9" s="5" t="s">
        <v>84</v>
      </c>
      <c r="H9" s="4"/>
      <c r="I9" s="49">
        <v>90</v>
      </c>
      <c r="J9" s="3" t="s">
        <v>10</v>
      </c>
    </row>
    <row r="10" spans="1:15">
      <c r="A10" s="3">
        <v>7</v>
      </c>
      <c r="B10" s="8">
        <v>243753</v>
      </c>
      <c r="C10" s="4" t="s">
        <v>243</v>
      </c>
      <c r="D10" s="24" t="s">
        <v>269</v>
      </c>
      <c r="E10" s="5" t="s">
        <v>268</v>
      </c>
      <c r="F10" s="5" t="s">
        <v>84</v>
      </c>
      <c r="H10" s="4"/>
      <c r="I10" s="49">
        <v>797</v>
      </c>
      <c r="J10" s="3" t="s">
        <v>10</v>
      </c>
    </row>
    <row r="11" spans="1:15">
      <c r="A11" s="3">
        <v>8</v>
      </c>
      <c r="B11" s="8">
        <v>243757</v>
      </c>
      <c r="C11" s="4" t="s">
        <v>277</v>
      </c>
      <c r="D11" s="24" t="s">
        <v>293</v>
      </c>
      <c r="E11" s="5" t="s">
        <v>268</v>
      </c>
      <c r="F11" s="5" t="s">
        <v>84</v>
      </c>
      <c r="H11" s="4"/>
      <c r="I11" s="49">
        <v>188</v>
      </c>
      <c r="J11" s="3" t="s">
        <v>10</v>
      </c>
    </row>
    <row r="12" spans="1:15">
      <c r="A12" s="3">
        <v>9</v>
      </c>
      <c r="B12" s="8">
        <v>243757</v>
      </c>
      <c r="C12" s="4" t="s">
        <v>278</v>
      </c>
      <c r="D12" s="24" t="s">
        <v>294</v>
      </c>
      <c r="E12" s="5" t="s">
        <v>268</v>
      </c>
      <c r="F12" s="5" t="s">
        <v>84</v>
      </c>
      <c r="H12" s="4"/>
      <c r="I12" s="49">
        <v>148</v>
      </c>
      <c r="J12" s="3" t="s">
        <v>10</v>
      </c>
    </row>
    <row r="13" spans="1:15">
      <c r="A13" s="3">
        <v>10</v>
      </c>
      <c r="B13" s="8">
        <v>243757</v>
      </c>
      <c r="C13" s="4" t="s">
        <v>279</v>
      </c>
      <c r="D13" s="24" t="s">
        <v>295</v>
      </c>
      <c r="E13" s="5" t="s">
        <v>268</v>
      </c>
      <c r="F13" s="5" t="s">
        <v>84</v>
      </c>
      <c r="H13" s="4"/>
      <c r="I13" s="49">
        <v>518</v>
      </c>
      <c r="J13" s="3" t="s">
        <v>10</v>
      </c>
    </row>
    <row r="14" spans="1:15">
      <c r="A14" s="3">
        <v>11</v>
      </c>
      <c r="B14" s="8">
        <v>243762</v>
      </c>
      <c r="C14" s="4" t="s">
        <v>309</v>
      </c>
      <c r="D14" s="24" t="s">
        <v>340</v>
      </c>
      <c r="E14" s="5" t="s">
        <v>22</v>
      </c>
      <c r="F14" s="5" t="s">
        <v>84</v>
      </c>
      <c r="H14" s="4"/>
      <c r="I14" s="49">
        <v>120</v>
      </c>
      <c r="J14" s="3" t="s">
        <v>10</v>
      </c>
    </row>
    <row r="15" spans="1:15">
      <c r="A15" s="3">
        <v>12</v>
      </c>
      <c r="B15" s="8">
        <v>243766</v>
      </c>
      <c r="C15" s="4" t="s">
        <v>374</v>
      </c>
      <c r="D15" s="24" t="s">
        <v>375</v>
      </c>
      <c r="E15" s="5" t="s">
        <v>268</v>
      </c>
      <c r="F15" s="5" t="s">
        <v>84</v>
      </c>
      <c r="H15" s="4"/>
      <c r="I15" s="49">
        <v>270</v>
      </c>
      <c r="J15" s="3" t="s">
        <v>10</v>
      </c>
    </row>
    <row r="16" spans="1:15" ht="29.4" thickBot="1">
      <c r="H16" s="51" t="s">
        <v>16</v>
      </c>
      <c r="I16" s="50">
        <f>SUM(I4:I15)</f>
        <v>2777</v>
      </c>
      <c r="J16" s="52" t="s">
        <v>95</v>
      </c>
    </row>
    <row r="17" spans="1:22" ht="24" thickTop="1">
      <c r="A17" s="43" t="s">
        <v>69</v>
      </c>
      <c r="B17" s="44" t="s">
        <v>71</v>
      </c>
      <c r="C17" s="45"/>
      <c r="H17" s="4"/>
      <c r="I17" s="4"/>
    </row>
    <row r="18" spans="1:22">
      <c r="B18" s="8"/>
      <c r="C18" s="5"/>
      <c r="D18" s="5"/>
      <c r="E18" s="5"/>
      <c r="F18" s="5"/>
      <c r="H18" s="4"/>
      <c r="I18" s="4"/>
    </row>
    <row r="19" spans="1:22">
      <c r="B19" s="8"/>
      <c r="H19" s="4"/>
      <c r="I19" s="4"/>
    </row>
    <row r="20" spans="1:22">
      <c r="B20" s="8"/>
      <c r="H20" s="4"/>
      <c r="I20" s="4"/>
    </row>
    <row r="21" spans="1:22">
      <c r="B21" s="8"/>
    </row>
    <row r="22" spans="1:22">
      <c r="B22" s="8"/>
      <c r="G22" s="4"/>
    </row>
    <row r="23" spans="1:22">
      <c r="B23" s="8"/>
      <c r="C23" s="5"/>
      <c r="I23" s="4"/>
      <c r="R23" s="5"/>
      <c r="S23" s="5"/>
      <c r="T23" s="5"/>
      <c r="V23" s="4"/>
    </row>
    <row r="24" spans="1:22">
      <c r="B24" s="8"/>
      <c r="H24" s="4"/>
      <c r="I24" s="4"/>
    </row>
    <row r="25" spans="1:22">
      <c r="B25" s="8"/>
      <c r="H25" s="4"/>
      <c r="I25" s="4"/>
    </row>
    <row r="26" spans="1:22">
      <c r="B26" s="8"/>
      <c r="C26" s="5"/>
      <c r="D26" s="5"/>
      <c r="E26" s="5"/>
      <c r="F26" s="5"/>
      <c r="H26" s="4"/>
      <c r="I26" s="4"/>
    </row>
    <row r="27" spans="1:22">
      <c r="B27" s="8"/>
      <c r="H27" s="4"/>
      <c r="I27" s="4"/>
    </row>
    <row r="28" spans="1:22">
      <c r="B28" s="8"/>
      <c r="H28" s="4"/>
      <c r="I28" s="4"/>
    </row>
    <row r="29" spans="1:22">
      <c r="B29" s="8"/>
      <c r="C29" s="5"/>
      <c r="D29" s="5"/>
      <c r="E29" s="5"/>
      <c r="F29" s="5"/>
      <c r="H29" s="4"/>
      <c r="I29" s="4"/>
    </row>
    <row r="30" spans="1:22">
      <c r="B30" s="8"/>
      <c r="H30" s="4"/>
      <c r="I30" s="4"/>
    </row>
  </sheetData>
  <autoFilter ref="A3:O3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3">
    <dataValidation type="list" allowBlank="1" showInputMessage="1" showErrorMessage="1" sqref="J17:J1048576 J1:J15" xr:uid="{209C7868-8AD4-441B-84AE-CCBF623D54AB}">
      <formula1>$M$4:$M$26</formula1>
    </dataValidation>
    <dataValidation type="list" allowBlank="1" showInputMessage="1" showErrorMessage="1" sqref="T23 F24:F1048576 F1:F22" xr:uid="{F8BF9A11-7A30-4122-982D-45BFBB75E7BF}">
      <formula1>$N$4:$N$5</formula1>
    </dataValidation>
    <dataValidation type="list" allowBlank="1" showInputMessage="1" showErrorMessage="1" sqref="S23 E24:E1048576 E1:E22" xr:uid="{F6BEA62E-B817-44C3-AEE6-CDADF3E493E9}">
      <formula1>$O$4:$O$7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O66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" sqref="J2:J3"/>
    </sheetView>
  </sheetViews>
  <sheetFormatPr defaultColWidth="9.109375" defaultRowHeight="23.4"/>
  <cols>
    <col min="1" max="1" width="15.5546875" style="3" customWidth="1"/>
    <col min="2" max="2" width="14.109375" style="3" customWidth="1"/>
    <col min="3" max="3" width="19.5546875" style="4" customWidth="1"/>
    <col min="4" max="4" width="20" style="4" customWidth="1"/>
    <col min="5" max="5" width="23.88671875" style="4" customWidth="1"/>
    <col min="6" max="6" width="35.33203125" style="4" customWidth="1"/>
    <col min="7" max="8" width="12.109375" style="3" hidden="1" customWidth="1"/>
    <col min="9" max="9" width="12.109375" style="48" customWidth="1"/>
    <col min="10" max="10" width="26" style="3" customWidth="1"/>
    <col min="11" max="11" width="13.44140625" style="3" bestFit="1" customWidth="1"/>
    <col min="12" max="13" width="26" style="3" customWidth="1"/>
    <col min="14" max="14" width="36" style="3" bestFit="1" customWidth="1"/>
    <col min="15" max="15" width="29.5546875" style="3" customWidth="1"/>
    <col min="16" max="16384" width="9.109375" style="3"/>
  </cols>
  <sheetData>
    <row r="1" spans="1:15" ht="32.4">
      <c r="A1" s="7" t="s">
        <v>103</v>
      </c>
    </row>
    <row r="2" spans="1:15" s="2" customFormat="1" ht="23.25" customHeight="1">
      <c r="A2" s="98" t="s">
        <v>0</v>
      </c>
      <c r="B2" s="98" t="s">
        <v>4</v>
      </c>
      <c r="C2" s="99" t="s">
        <v>5</v>
      </c>
      <c r="D2" s="99" t="s">
        <v>2</v>
      </c>
      <c r="E2" s="99" t="s">
        <v>23</v>
      </c>
      <c r="F2" s="99" t="s">
        <v>21</v>
      </c>
      <c r="G2" s="98" t="s">
        <v>1</v>
      </c>
      <c r="H2" s="98"/>
      <c r="I2" s="101" t="s">
        <v>94</v>
      </c>
      <c r="J2" s="98" t="s">
        <v>3</v>
      </c>
      <c r="K2" s="89" t="s">
        <v>20</v>
      </c>
      <c r="M2" s="85" t="s">
        <v>8</v>
      </c>
      <c r="N2" s="85" t="s">
        <v>72</v>
      </c>
      <c r="O2" s="85" t="s">
        <v>83</v>
      </c>
    </row>
    <row r="3" spans="1:15" s="2" customFormat="1" ht="23.25" customHeight="1">
      <c r="A3" s="98"/>
      <c r="B3" s="98"/>
      <c r="C3" s="99"/>
      <c r="D3" s="99"/>
      <c r="E3" s="99"/>
      <c r="F3" s="99"/>
      <c r="G3" s="12" t="s">
        <v>6</v>
      </c>
      <c r="H3" s="12" t="s">
        <v>7</v>
      </c>
      <c r="I3" s="101"/>
      <c r="J3" s="98"/>
      <c r="K3" s="89"/>
      <c r="M3" s="100"/>
      <c r="N3" s="100"/>
      <c r="O3" s="100"/>
    </row>
    <row r="4" spans="1:15">
      <c r="A4" s="3">
        <v>1</v>
      </c>
      <c r="B4" s="8" t="s">
        <v>123</v>
      </c>
      <c r="C4" s="5" t="s">
        <v>107</v>
      </c>
      <c r="D4" s="4" t="s">
        <v>129</v>
      </c>
      <c r="E4" s="5" t="s">
        <v>91</v>
      </c>
      <c r="F4" s="5" t="s">
        <v>86</v>
      </c>
      <c r="G4" s="6"/>
      <c r="H4" s="4"/>
      <c r="I4" s="49">
        <v>102</v>
      </c>
      <c r="J4" s="3" t="s">
        <v>10</v>
      </c>
      <c r="M4" s="9" t="s">
        <v>10</v>
      </c>
      <c r="N4" s="9" t="s">
        <v>86</v>
      </c>
      <c r="O4" s="46" t="s">
        <v>24</v>
      </c>
    </row>
    <row r="5" spans="1:15">
      <c r="A5" s="3">
        <v>2</v>
      </c>
      <c r="B5" s="8" t="s">
        <v>123</v>
      </c>
      <c r="C5" s="5" t="s">
        <v>108</v>
      </c>
      <c r="D5" s="4" t="s">
        <v>130</v>
      </c>
      <c r="E5" s="5" t="s">
        <v>91</v>
      </c>
      <c r="F5" s="5" t="s">
        <v>86</v>
      </c>
      <c r="G5" s="6"/>
      <c r="H5" s="4"/>
      <c r="I5" s="48">
        <v>105</v>
      </c>
      <c r="J5" s="3" t="s">
        <v>10</v>
      </c>
      <c r="M5" s="9" t="s">
        <v>9</v>
      </c>
      <c r="N5" s="9" t="s">
        <v>87</v>
      </c>
      <c r="O5" s="47" t="s">
        <v>22</v>
      </c>
    </row>
    <row r="6" spans="1:15">
      <c r="A6" s="3">
        <v>3</v>
      </c>
      <c r="B6" s="8" t="s">
        <v>123</v>
      </c>
      <c r="C6" s="5" t="s">
        <v>109</v>
      </c>
      <c r="D6" s="4" t="s">
        <v>131</v>
      </c>
      <c r="E6" s="5" t="s">
        <v>91</v>
      </c>
      <c r="F6" s="5" t="s">
        <v>86</v>
      </c>
      <c r="H6" s="4"/>
      <c r="I6" s="48">
        <v>100</v>
      </c>
      <c r="J6" s="3" t="s">
        <v>10</v>
      </c>
      <c r="M6" s="9" t="s">
        <v>11</v>
      </c>
      <c r="N6" s="9" t="s">
        <v>88</v>
      </c>
      <c r="O6" s="46" t="s">
        <v>30</v>
      </c>
    </row>
    <row r="7" spans="1:15">
      <c r="A7" s="3">
        <v>4</v>
      </c>
      <c r="B7" s="8" t="s">
        <v>123</v>
      </c>
      <c r="C7" s="5" t="s">
        <v>110</v>
      </c>
      <c r="D7" s="4" t="s">
        <v>132</v>
      </c>
      <c r="E7" s="5" t="s">
        <v>91</v>
      </c>
      <c r="F7" s="5" t="s">
        <v>86</v>
      </c>
      <c r="H7" s="4"/>
      <c r="I7" s="48">
        <v>200</v>
      </c>
      <c r="J7" s="3" t="s">
        <v>10</v>
      </c>
      <c r="M7" s="9" t="s">
        <v>18</v>
      </c>
      <c r="N7" s="9" t="s">
        <v>89</v>
      </c>
      <c r="O7" s="9" t="s">
        <v>91</v>
      </c>
    </row>
    <row r="8" spans="1:15">
      <c r="A8" s="3">
        <v>5</v>
      </c>
      <c r="B8" s="8" t="s">
        <v>123</v>
      </c>
      <c r="C8" s="4" t="s">
        <v>111</v>
      </c>
      <c r="D8" s="4" t="s">
        <v>133</v>
      </c>
      <c r="E8" s="5" t="s">
        <v>91</v>
      </c>
      <c r="F8" s="5" t="s">
        <v>86</v>
      </c>
      <c r="H8" s="4"/>
      <c r="I8" s="48">
        <v>78</v>
      </c>
      <c r="J8" s="3" t="s">
        <v>122</v>
      </c>
      <c r="M8" s="9" t="s">
        <v>122</v>
      </c>
      <c r="N8" s="9" t="s">
        <v>90</v>
      </c>
      <c r="O8" s="9"/>
    </row>
    <row r="9" spans="1:15">
      <c r="A9" s="3">
        <v>6</v>
      </c>
      <c r="B9" s="8" t="s">
        <v>123</v>
      </c>
      <c r="C9" s="5" t="s">
        <v>112</v>
      </c>
      <c r="D9" s="4" t="s">
        <v>134</v>
      </c>
      <c r="E9" s="5" t="s">
        <v>91</v>
      </c>
      <c r="F9" s="5" t="s">
        <v>86</v>
      </c>
      <c r="H9" s="4"/>
      <c r="I9" s="48">
        <v>141</v>
      </c>
      <c r="J9" s="3" t="s">
        <v>122</v>
      </c>
    </row>
    <row r="10" spans="1:15">
      <c r="A10" s="3">
        <v>7</v>
      </c>
      <c r="B10" s="8" t="s">
        <v>123</v>
      </c>
      <c r="C10" s="5" t="s">
        <v>113</v>
      </c>
      <c r="D10" s="4" t="s">
        <v>143</v>
      </c>
      <c r="E10" s="5" t="s">
        <v>91</v>
      </c>
      <c r="F10" s="5" t="s">
        <v>87</v>
      </c>
      <c r="H10" s="4"/>
      <c r="I10" s="48">
        <v>66</v>
      </c>
      <c r="J10" s="3" t="s">
        <v>10</v>
      </c>
    </row>
    <row r="11" spans="1:15">
      <c r="A11" s="3">
        <v>8</v>
      </c>
      <c r="B11" s="8" t="s">
        <v>123</v>
      </c>
      <c r="C11" s="5" t="s">
        <v>114</v>
      </c>
      <c r="D11" s="4" t="s">
        <v>135</v>
      </c>
      <c r="E11" s="5" t="s">
        <v>91</v>
      </c>
      <c r="F11" s="5" t="s">
        <v>86</v>
      </c>
      <c r="H11" s="4"/>
      <c r="I11" s="48">
        <v>105</v>
      </c>
      <c r="J11" s="3" t="s">
        <v>10</v>
      </c>
    </row>
    <row r="12" spans="1:15">
      <c r="A12" s="3">
        <v>9</v>
      </c>
      <c r="B12" s="8" t="s">
        <v>123</v>
      </c>
      <c r="C12" s="5" t="s">
        <v>115</v>
      </c>
      <c r="D12" s="4" t="s">
        <v>136</v>
      </c>
      <c r="E12" s="5" t="s">
        <v>91</v>
      </c>
      <c r="F12" s="5" t="s">
        <v>86</v>
      </c>
      <c r="G12" s="4"/>
      <c r="I12" s="48">
        <v>126</v>
      </c>
      <c r="J12" s="3" t="s">
        <v>10</v>
      </c>
    </row>
    <row r="13" spans="1:15">
      <c r="A13" s="3">
        <v>10</v>
      </c>
      <c r="B13" s="8">
        <v>243740</v>
      </c>
      <c r="C13" s="5" t="s">
        <v>116</v>
      </c>
      <c r="D13" s="4" t="s">
        <v>137</v>
      </c>
      <c r="E13" s="5" t="s">
        <v>91</v>
      </c>
      <c r="F13" s="5" t="s">
        <v>86</v>
      </c>
      <c r="G13" s="4"/>
      <c r="I13" s="48">
        <v>150</v>
      </c>
      <c r="J13" s="3" t="s">
        <v>10</v>
      </c>
    </row>
    <row r="14" spans="1:15">
      <c r="A14" s="3">
        <v>11</v>
      </c>
      <c r="B14" s="8">
        <v>243740</v>
      </c>
      <c r="C14" s="5" t="s">
        <v>117</v>
      </c>
      <c r="D14" s="4" t="s">
        <v>138</v>
      </c>
      <c r="E14" s="5" t="s">
        <v>91</v>
      </c>
      <c r="F14" s="5" t="s">
        <v>86</v>
      </c>
      <c r="G14" s="4"/>
      <c r="I14" s="48">
        <v>141</v>
      </c>
      <c r="J14" s="3" t="s">
        <v>10</v>
      </c>
    </row>
    <row r="15" spans="1:15">
      <c r="A15" s="3">
        <v>12</v>
      </c>
      <c r="B15" s="8">
        <v>243740</v>
      </c>
      <c r="C15" s="5" t="s">
        <v>118</v>
      </c>
      <c r="D15" s="4" t="s">
        <v>139</v>
      </c>
      <c r="E15" s="5" t="s">
        <v>91</v>
      </c>
      <c r="F15" s="5" t="s">
        <v>86</v>
      </c>
      <c r="G15" s="4"/>
      <c r="I15" s="48">
        <v>141</v>
      </c>
      <c r="J15" s="3" t="s">
        <v>10</v>
      </c>
    </row>
    <row r="16" spans="1:15">
      <c r="A16" s="3">
        <v>13</v>
      </c>
      <c r="B16" s="8">
        <v>243740</v>
      </c>
      <c r="C16" s="5" t="s">
        <v>119</v>
      </c>
      <c r="D16" s="4" t="s">
        <v>140</v>
      </c>
      <c r="E16" s="5" t="s">
        <v>91</v>
      </c>
      <c r="F16" s="5" t="s">
        <v>86</v>
      </c>
      <c r="G16" s="4"/>
      <c r="I16" s="48">
        <v>188</v>
      </c>
      <c r="J16" s="3" t="s">
        <v>10</v>
      </c>
    </row>
    <row r="17" spans="1:10" ht="24.75" customHeight="1">
      <c r="A17" s="3">
        <v>14</v>
      </c>
      <c r="B17" s="8">
        <v>243740</v>
      </c>
      <c r="C17" s="5" t="s">
        <v>120</v>
      </c>
      <c r="D17" s="4" t="s">
        <v>141</v>
      </c>
      <c r="E17" s="5" t="s">
        <v>91</v>
      </c>
      <c r="F17" s="5" t="s">
        <v>86</v>
      </c>
      <c r="H17" s="4"/>
      <c r="I17" s="48">
        <v>141</v>
      </c>
      <c r="J17" s="3" t="s">
        <v>122</v>
      </c>
    </row>
    <row r="18" spans="1:10">
      <c r="A18" s="3">
        <v>15</v>
      </c>
      <c r="B18" s="8">
        <v>243740</v>
      </c>
      <c r="C18" s="5" t="s">
        <v>121</v>
      </c>
      <c r="D18" s="4" t="s">
        <v>142</v>
      </c>
      <c r="E18" s="5" t="s">
        <v>91</v>
      </c>
      <c r="F18" s="5" t="s">
        <v>86</v>
      </c>
      <c r="H18" s="4"/>
      <c r="I18" s="48">
        <v>258</v>
      </c>
      <c r="J18" s="3" t="s">
        <v>122</v>
      </c>
    </row>
    <row r="19" spans="1:10">
      <c r="A19" s="3">
        <v>16</v>
      </c>
      <c r="B19" s="8">
        <v>243742</v>
      </c>
      <c r="C19" s="5" t="s">
        <v>170</v>
      </c>
      <c r="D19" s="5" t="s">
        <v>200</v>
      </c>
      <c r="E19" s="5" t="s">
        <v>91</v>
      </c>
      <c r="F19" s="5" t="s">
        <v>86</v>
      </c>
      <c r="H19" s="4"/>
      <c r="I19" s="48">
        <v>218</v>
      </c>
      <c r="J19" s="3" t="s">
        <v>122</v>
      </c>
    </row>
    <row r="20" spans="1:10">
      <c r="A20" s="3">
        <v>17</v>
      </c>
      <c r="B20" s="8">
        <v>243742</v>
      </c>
      <c r="C20" s="5" t="s">
        <v>171</v>
      </c>
      <c r="D20" s="5" t="s">
        <v>201</v>
      </c>
      <c r="E20" s="5" t="s">
        <v>91</v>
      </c>
      <c r="F20" s="5" t="s">
        <v>86</v>
      </c>
      <c r="H20" s="4"/>
      <c r="I20" s="48">
        <v>141</v>
      </c>
      <c r="J20" s="3" t="s">
        <v>122</v>
      </c>
    </row>
    <row r="21" spans="1:10">
      <c r="A21" s="3">
        <v>18</v>
      </c>
      <c r="B21" s="8">
        <v>243744</v>
      </c>
      <c r="C21" s="5" t="s">
        <v>172</v>
      </c>
      <c r="D21" s="5" t="s">
        <v>202</v>
      </c>
      <c r="E21" s="5" t="s">
        <v>91</v>
      </c>
      <c r="F21" s="5" t="s">
        <v>86</v>
      </c>
      <c r="H21" s="4"/>
      <c r="I21" s="48">
        <v>120</v>
      </c>
      <c r="J21" s="3" t="s">
        <v>10</v>
      </c>
    </row>
    <row r="22" spans="1:10">
      <c r="A22" s="3">
        <v>19</v>
      </c>
      <c r="B22" s="8">
        <v>243744</v>
      </c>
      <c r="C22" s="5" t="s">
        <v>173</v>
      </c>
      <c r="D22" s="5" t="s">
        <v>203</v>
      </c>
      <c r="E22" s="5" t="s">
        <v>22</v>
      </c>
      <c r="F22" s="5" t="s">
        <v>86</v>
      </c>
      <c r="H22" s="4"/>
      <c r="I22" s="48">
        <v>199</v>
      </c>
      <c r="J22" s="3" t="s">
        <v>10</v>
      </c>
    </row>
    <row r="23" spans="1:10">
      <c r="A23" s="3">
        <v>20</v>
      </c>
      <c r="B23" s="8">
        <v>243746</v>
      </c>
      <c r="C23" s="5" t="s">
        <v>174</v>
      </c>
      <c r="D23" s="4" t="s">
        <v>209</v>
      </c>
      <c r="E23" s="5" t="s">
        <v>91</v>
      </c>
      <c r="F23" s="5" t="s">
        <v>89</v>
      </c>
      <c r="I23" s="48">
        <v>57</v>
      </c>
      <c r="J23" s="3" t="s">
        <v>10</v>
      </c>
    </row>
    <row r="24" spans="1:10">
      <c r="A24" s="3">
        <v>21</v>
      </c>
      <c r="B24" s="8">
        <v>243746</v>
      </c>
      <c r="C24" s="5" t="s">
        <v>175</v>
      </c>
      <c r="D24" s="5" t="s">
        <v>204</v>
      </c>
      <c r="E24" s="5" t="s">
        <v>91</v>
      </c>
      <c r="F24" s="5" t="s">
        <v>86</v>
      </c>
      <c r="H24" s="4"/>
      <c r="I24" s="48">
        <v>106</v>
      </c>
      <c r="J24" s="3" t="s">
        <v>10</v>
      </c>
    </row>
    <row r="25" spans="1:10">
      <c r="A25" s="3">
        <v>22</v>
      </c>
      <c r="B25" s="8">
        <v>243746</v>
      </c>
      <c r="C25" s="5" t="s">
        <v>176</v>
      </c>
      <c r="D25" s="5" t="s">
        <v>205</v>
      </c>
      <c r="E25" s="5" t="s">
        <v>91</v>
      </c>
      <c r="F25" s="5" t="s">
        <v>86</v>
      </c>
      <c r="H25" s="4"/>
      <c r="I25" s="48">
        <v>106</v>
      </c>
      <c r="J25" s="3" t="s">
        <v>10</v>
      </c>
    </row>
    <row r="26" spans="1:10">
      <c r="A26" s="3">
        <v>23</v>
      </c>
      <c r="B26" s="8">
        <v>243746</v>
      </c>
      <c r="C26" s="5" t="s">
        <v>177</v>
      </c>
      <c r="D26" s="5" t="s">
        <v>206</v>
      </c>
      <c r="E26" s="5" t="s">
        <v>91</v>
      </c>
      <c r="F26" s="5" t="s">
        <v>86</v>
      </c>
      <c r="H26" s="4"/>
      <c r="I26" s="48">
        <v>106</v>
      </c>
      <c r="J26" s="3" t="s">
        <v>10</v>
      </c>
    </row>
    <row r="27" spans="1:10">
      <c r="A27" s="3">
        <v>24</v>
      </c>
      <c r="B27" s="8">
        <v>243746</v>
      </c>
      <c r="C27" s="5" t="s">
        <v>178</v>
      </c>
      <c r="D27" s="5" t="s">
        <v>207</v>
      </c>
      <c r="E27" s="5" t="s">
        <v>91</v>
      </c>
      <c r="F27" s="5" t="s">
        <v>86</v>
      </c>
      <c r="H27" s="4"/>
      <c r="I27" s="48">
        <v>106</v>
      </c>
      <c r="J27" s="3" t="s">
        <v>10</v>
      </c>
    </row>
    <row r="28" spans="1:10">
      <c r="A28" s="3">
        <v>25</v>
      </c>
      <c r="B28" s="8">
        <v>243746</v>
      </c>
      <c r="C28" s="5" t="s">
        <v>179</v>
      </c>
      <c r="D28" s="5" t="s">
        <v>208</v>
      </c>
      <c r="E28" s="5" t="s">
        <v>91</v>
      </c>
      <c r="F28" s="5" t="s">
        <v>86</v>
      </c>
      <c r="H28" s="4"/>
      <c r="I28" s="48">
        <v>145</v>
      </c>
      <c r="J28" s="3" t="s">
        <v>10</v>
      </c>
    </row>
    <row r="29" spans="1:10">
      <c r="A29" s="3">
        <v>26</v>
      </c>
      <c r="B29" s="8">
        <v>243747</v>
      </c>
      <c r="C29" s="5" t="s">
        <v>180</v>
      </c>
      <c r="D29" s="5" t="s">
        <v>180</v>
      </c>
      <c r="E29" s="5" t="s">
        <v>22</v>
      </c>
      <c r="F29" s="5" t="s">
        <v>86</v>
      </c>
      <c r="H29" s="4"/>
      <c r="I29" s="48">
        <v>126</v>
      </c>
      <c r="J29" s="3" t="s">
        <v>10</v>
      </c>
    </row>
    <row r="30" spans="1:10">
      <c r="A30" s="3">
        <v>27</v>
      </c>
      <c r="B30" s="8">
        <v>243747</v>
      </c>
      <c r="C30" s="5" t="s">
        <v>181</v>
      </c>
      <c r="D30" s="5" t="s">
        <v>181</v>
      </c>
      <c r="E30" s="5" t="s">
        <v>22</v>
      </c>
      <c r="F30" s="5" t="s">
        <v>86</v>
      </c>
      <c r="H30" s="4"/>
      <c r="I30" s="48">
        <v>200</v>
      </c>
      <c r="J30" s="3" t="s">
        <v>10</v>
      </c>
    </row>
    <row r="31" spans="1:10">
      <c r="A31" s="3">
        <v>28</v>
      </c>
      <c r="B31" s="8">
        <v>243748</v>
      </c>
      <c r="C31" s="5" t="s">
        <v>214</v>
      </c>
      <c r="D31" s="5" t="s">
        <v>236</v>
      </c>
      <c r="E31" s="5" t="s">
        <v>91</v>
      </c>
      <c r="F31" s="5" t="s">
        <v>86</v>
      </c>
      <c r="H31" s="4"/>
      <c r="I31" s="48">
        <v>150</v>
      </c>
      <c r="J31" s="3" t="s">
        <v>10</v>
      </c>
    </row>
    <row r="32" spans="1:10">
      <c r="A32" s="3">
        <v>29</v>
      </c>
      <c r="B32" s="8">
        <v>243748</v>
      </c>
      <c r="C32" s="5" t="s">
        <v>215</v>
      </c>
      <c r="D32" s="5" t="s">
        <v>234</v>
      </c>
      <c r="E32" s="5" t="s">
        <v>91</v>
      </c>
      <c r="F32" s="5" t="s">
        <v>86</v>
      </c>
      <c r="H32" s="4"/>
      <c r="I32" s="48">
        <v>156</v>
      </c>
      <c r="J32" s="3" t="s">
        <v>10</v>
      </c>
    </row>
    <row r="33" spans="1:10">
      <c r="A33" s="3">
        <v>30</v>
      </c>
      <c r="B33" s="8">
        <v>243748</v>
      </c>
      <c r="C33" s="5" t="s">
        <v>216</v>
      </c>
      <c r="D33" s="5" t="s">
        <v>235</v>
      </c>
      <c r="E33" s="5" t="s">
        <v>91</v>
      </c>
      <c r="F33" s="5" t="s">
        <v>86</v>
      </c>
      <c r="H33" s="4"/>
      <c r="I33" s="48">
        <v>240</v>
      </c>
      <c r="J33" s="3" t="s">
        <v>11</v>
      </c>
    </row>
    <row r="34" spans="1:10">
      <c r="A34" s="3">
        <v>31</v>
      </c>
      <c r="B34" s="8">
        <v>243749</v>
      </c>
      <c r="C34" s="5" t="s">
        <v>231</v>
      </c>
      <c r="D34" s="5" t="s">
        <v>237</v>
      </c>
      <c r="E34" s="5" t="s">
        <v>91</v>
      </c>
      <c r="F34" s="5" t="s">
        <v>86</v>
      </c>
      <c r="H34" s="4"/>
      <c r="I34" s="48">
        <v>77</v>
      </c>
      <c r="J34" s="3" t="s">
        <v>10</v>
      </c>
    </row>
    <row r="35" spans="1:10">
      <c r="A35" s="3">
        <v>32</v>
      </c>
      <c r="B35" s="8">
        <v>243749</v>
      </c>
      <c r="C35" s="5" t="s">
        <v>232</v>
      </c>
      <c r="D35" s="5" t="s">
        <v>238</v>
      </c>
      <c r="E35" s="5" t="s">
        <v>91</v>
      </c>
      <c r="F35" s="5" t="s">
        <v>86</v>
      </c>
      <c r="H35" s="4"/>
      <c r="I35" s="48">
        <v>106</v>
      </c>
      <c r="J35" s="3" t="s">
        <v>122</v>
      </c>
    </row>
    <row r="36" spans="1:10">
      <c r="A36" s="3">
        <v>33</v>
      </c>
      <c r="B36" s="8">
        <v>243749</v>
      </c>
      <c r="C36" s="5" t="s">
        <v>233</v>
      </c>
      <c r="D36" s="5" t="s">
        <v>239</v>
      </c>
      <c r="E36" s="5" t="s">
        <v>91</v>
      </c>
      <c r="F36" s="5" t="s">
        <v>86</v>
      </c>
      <c r="H36" s="4"/>
      <c r="I36" s="48">
        <v>126</v>
      </c>
      <c r="J36" s="3" t="s">
        <v>10</v>
      </c>
    </row>
    <row r="37" spans="1:10">
      <c r="A37" s="3">
        <v>34</v>
      </c>
      <c r="B37" s="8">
        <v>243752</v>
      </c>
      <c r="C37" s="5" t="s">
        <v>264</v>
      </c>
      <c r="D37" s="5" t="s">
        <v>265</v>
      </c>
      <c r="E37" s="5" t="s">
        <v>22</v>
      </c>
      <c r="F37" s="5" t="s">
        <v>86</v>
      </c>
      <c r="H37" s="4"/>
      <c r="I37" s="48">
        <v>106</v>
      </c>
      <c r="J37" s="3" t="s">
        <v>10</v>
      </c>
    </row>
    <row r="38" spans="1:10">
      <c r="A38" s="3">
        <v>35</v>
      </c>
      <c r="B38" s="8" t="s">
        <v>260</v>
      </c>
      <c r="C38" s="5" t="s">
        <v>263</v>
      </c>
      <c r="D38" s="5" t="s">
        <v>266</v>
      </c>
      <c r="E38" s="5" t="s">
        <v>22</v>
      </c>
      <c r="F38" s="5" t="s">
        <v>86</v>
      </c>
      <c r="H38" s="4"/>
      <c r="I38" s="48">
        <v>115</v>
      </c>
      <c r="J38" s="3" t="s">
        <v>10</v>
      </c>
    </row>
    <row r="39" spans="1:10">
      <c r="A39" s="3">
        <v>36</v>
      </c>
      <c r="B39" s="8">
        <v>243757</v>
      </c>
      <c r="C39" s="5" t="s">
        <v>280</v>
      </c>
      <c r="D39" s="5" t="s">
        <v>297</v>
      </c>
      <c r="E39" s="5" t="s">
        <v>91</v>
      </c>
      <c r="F39" s="5" t="s">
        <v>86</v>
      </c>
      <c r="H39" s="4"/>
      <c r="I39" s="48">
        <v>97</v>
      </c>
      <c r="J39" s="3" t="s">
        <v>10</v>
      </c>
    </row>
    <row r="40" spans="1:10">
      <c r="A40" s="3">
        <v>37</v>
      </c>
      <c r="B40" s="8">
        <v>243757</v>
      </c>
      <c r="C40" s="5" t="s">
        <v>281</v>
      </c>
      <c r="D40" s="5" t="s">
        <v>298</v>
      </c>
      <c r="E40" s="5" t="s">
        <v>91</v>
      </c>
      <c r="F40" s="5" t="s">
        <v>86</v>
      </c>
      <c r="H40" s="4"/>
      <c r="I40" s="48">
        <v>50</v>
      </c>
      <c r="J40" s="3" t="s">
        <v>10</v>
      </c>
    </row>
    <row r="41" spans="1:10">
      <c r="A41" s="3">
        <v>38</v>
      </c>
      <c r="B41" s="8">
        <v>243757</v>
      </c>
      <c r="C41" s="5" t="s">
        <v>282</v>
      </c>
      <c r="D41" s="5" t="s">
        <v>299</v>
      </c>
      <c r="E41" s="5" t="s">
        <v>91</v>
      </c>
      <c r="F41" s="5" t="s">
        <v>86</v>
      </c>
      <c r="H41" s="4"/>
      <c r="I41" s="48">
        <v>66</v>
      </c>
      <c r="J41" s="3" t="s">
        <v>9</v>
      </c>
    </row>
    <row r="42" spans="1:10">
      <c r="A42" s="3">
        <v>39</v>
      </c>
      <c r="B42" s="8">
        <v>243757</v>
      </c>
      <c r="C42" s="5" t="s">
        <v>283</v>
      </c>
      <c r="D42" s="5" t="s">
        <v>300</v>
      </c>
      <c r="E42" s="5" t="s">
        <v>91</v>
      </c>
      <c r="F42" s="5" t="s">
        <v>86</v>
      </c>
      <c r="H42" s="4"/>
      <c r="I42" s="48">
        <v>76</v>
      </c>
      <c r="J42" s="3" t="s">
        <v>9</v>
      </c>
    </row>
    <row r="43" spans="1:10" ht="23.25" customHeight="1">
      <c r="A43" s="3">
        <v>40</v>
      </c>
      <c r="B43" s="8">
        <v>243757</v>
      </c>
      <c r="C43" s="5" t="s">
        <v>306</v>
      </c>
      <c r="D43" s="5" t="s">
        <v>307</v>
      </c>
      <c r="E43" s="5" t="s">
        <v>91</v>
      </c>
      <c r="F43" s="5" t="s">
        <v>86</v>
      </c>
      <c r="H43" s="4"/>
      <c r="I43" s="48">
        <v>150</v>
      </c>
      <c r="J43" s="3" t="s">
        <v>10</v>
      </c>
    </row>
    <row r="44" spans="1:10">
      <c r="A44" s="3">
        <v>41</v>
      </c>
      <c r="B44" s="8">
        <v>243757</v>
      </c>
      <c r="C44" s="5" t="s">
        <v>284</v>
      </c>
      <c r="D44" s="5" t="s">
        <v>301</v>
      </c>
      <c r="E44" s="5" t="s">
        <v>22</v>
      </c>
      <c r="F44" s="5" t="s">
        <v>86</v>
      </c>
      <c r="H44" s="4"/>
      <c r="I44" s="48">
        <v>181</v>
      </c>
      <c r="J44" s="3" t="s">
        <v>10</v>
      </c>
    </row>
    <row r="45" spans="1:10">
      <c r="A45" s="3">
        <v>42</v>
      </c>
      <c r="B45" s="8">
        <v>243757</v>
      </c>
      <c r="C45" s="5" t="s">
        <v>285</v>
      </c>
      <c r="D45" s="5" t="s">
        <v>302</v>
      </c>
      <c r="E45" s="5" t="s">
        <v>91</v>
      </c>
      <c r="F45" s="5" t="s">
        <v>86</v>
      </c>
      <c r="H45" s="4"/>
      <c r="I45" s="48">
        <v>50</v>
      </c>
      <c r="J45" s="3" t="s">
        <v>10</v>
      </c>
    </row>
    <row r="46" spans="1:10">
      <c r="A46" s="3">
        <v>43</v>
      </c>
      <c r="B46" s="8">
        <v>243757</v>
      </c>
      <c r="C46" s="5" t="s">
        <v>286</v>
      </c>
      <c r="D46" s="5" t="s">
        <v>303</v>
      </c>
      <c r="E46" s="5" t="s">
        <v>91</v>
      </c>
      <c r="F46" s="5" t="s">
        <v>86</v>
      </c>
      <c r="H46" s="4"/>
      <c r="I46" s="48">
        <v>165</v>
      </c>
      <c r="J46" s="3" t="s">
        <v>10</v>
      </c>
    </row>
    <row r="47" spans="1:10">
      <c r="A47" s="3">
        <v>44</v>
      </c>
      <c r="B47" s="8">
        <v>243757</v>
      </c>
      <c r="C47" s="5" t="s">
        <v>287</v>
      </c>
      <c r="D47" s="5" t="s">
        <v>304</v>
      </c>
      <c r="E47" s="5" t="s">
        <v>22</v>
      </c>
      <c r="F47" s="5" t="s">
        <v>86</v>
      </c>
      <c r="H47" s="4"/>
      <c r="I47" s="48">
        <v>180</v>
      </c>
      <c r="J47" s="3" t="s">
        <v>9</v>
      </c>
    </row>
    <row r="48" spans="1:10">
      <c r="A48" s="3">
        <v>45</v>
      </c>
      <c r="B48" s="8">
        <v>243757</v>
      </c>
      <c r="C48" s="4" t="s">
        <v>288</v>
      </c>
      <c r="D48" s="4" t="s">
        <v>305</v>
      </c>
      <c r="E48" s="5" t="s">
        <v>91</v>
      </c>
      <c r="F48" s="5" t="s">
        <v>86</v>
      </c>
      <c r="H48" s="4"/>
      <c r="I48" s="48">
        <v>126</v>
      </c>
      <c r="J48" s="3" t="s">
        <v>9</v>
      </c>
    </row>
    <row r="49" spans="1:11">
      <c r="A49" s="3">
        <v>46</v>
      </c>
      <c r="B49" s="8">
        <v>243760</v>
      </c>
      <c r="C49" s="4" t="s">
        <v>341</v>
      </c>
      <c r="D49" s="4" t="s">
        <v>343</v>
      </c>
      <c r="E49" s="5" t="s">
        <v>22</v>
      </c>
      <c r="F49" s="5" t="s">
        <v>86</v>
      </c>
      <c r="H49" s="4"/>
      <c r="I49" s="48">
        <v>106</v>
      </c>
      <c r="J49" s="3" t="s">
        <v>10</v>
      </c>
    </row>
    <row r="50" spans="1:11">
      <c r="A50" s="3">
        <v>47</v>
      </c>
      <c r="B50" s="8">
        <v>243762</v>
      </c>
      <c r="C50" s="4" t="s">
        <v>342</v>
      </c>
      <c r="D50" s="4" t="s">
        <v>344</v>
      </c>
      <c r="E50" s="5" t="s">
        <v>22</v>
      </c>
      <c r="F50" s="5" t="s">
        <v>86</v>
      </c>
      <c r="H50" s="4"/>
      <c r="I50" s="48">
        <v>245</v>
      </c>
      <c r="J50" s="3" t="s">
        <v>10</v>
      </c>
    </row>
    <row r="51" spans="1:11">
      <c r="A51" s="3">
        <v>48</v>
      </c>
      <c r="B51" s="8">
        <v>243763</v>
      </c>
      <c r="C51" s="4" t="s">
        <v>360</v>
      </c>
      <c r="D51" s="4" t="s">
        <v>367</v>
      </c>
      <c r="E51" s="5" t="s">
        <v>91</v>
      </c>
      <c r="F51" s="5" t="s">
        <v>86</v>
      </c>
      <c r="G51" s="4"/>
      <c r="I51" s="48">
        <v>150</v>
      </c>
      <c r="J51" s="3" t="s">
        <v>10</v>
      </c>
    </row>
    <row r="52" spans="1:11">
      <c r="A52" s="3">
        <v>49</v>
      </c>
      <c r="B52" s="8">
        <v>243763</v>
      </c>
      <c r="C52" s="5" t="s">
        <v>361</v>
      </c>
      <c r="D52" s="5" t="s">
        <v>368</v>
      </c>
      <c r="E52" s="5" t="s">
        <v>91</v>
      </c>
      <c r="F52" s="5" t="s">
        <v>86</v>
      </c>
      <c r="H52" s="4"/>
      <c r="I52" s="48">
        <v>160</v>
      </c>
      <c r="J52" s="3" t="s">
        <v>10</v>
      </c>
    </row>
    <row r="53" spans="1:11">
      <c r="A53" s="3">
        <v>50</v>
      </c>
      <c r="B53" s="8">
        <v>243763</v>
      </c>
      <c r="C53" s="4" t="s">
        <v>362</v>
      </c>
      <c r="D53" s="4" t="s">
        <v>369</v>
      </c>
      <c r="E53" s="5" t="s">
        <v>91</v>
      </c>
      <c r="F53" s="5" t="s">
        <v>86</v>
      </c>
      <c r="H53" s="4"/>
      <c r="I53" s="48">
        <v>183</v>
      </c>
      <c r="J53" s="3" t="s">
        <v>10</v>
      </c>
    </row>
    <row r="54" spans="1:11">
      <c r="A54" s="3">
        <v>51</v>
      </c>
      <c r="B54" s="8">
        <v>243763</v>
      </c>
      <c r="C54" s="4" t="s">
        <v>363</v>
      </c>
      <c r="D54" s="4" t="s">
        <v>370</v>
      </c>
      <c r="E54" s="5" t="s">
        <v>91</v>
      </c>
      <c r="F54" s="5" t="s">
        <v>86</v>
      </c>
      <c r="H54" s="8"/>
      <c r="I54" s="48">
        <v>210</v>
      </c>
      <c r="J54" s="3" t="s">
        <v>122</v>
      </c>
      <c r="K54" s="4"/>
    </row>
    <row r="55" spans="1:11">
      <c r="A55" s="3">
        <v>52</v>
      </c>
      <c r="B55" s="8">
        <v>243763</v>
      </c>
      <c r="C55" s="4" t="s">
        <v>364</v>
      </c>
      <c r="D55" s="4" t="s">
        <v>371</v>
      </c>
      <c r="E55" s="5" t="s">
        <v>91</v>
      </c>
      <c r="F55" s="5" t="s">
        <v>86</v>
      </c>
      <c r="H55" s="8"/>
      <c r="I55" s="48">
        <v>220</v>
      </c>
      <c r="J55" s="3" t="s">
        <v>122</v>
      </c>
    </row>
    <row r="56" spans="1:11">
      <c r="A56" s="3">
        <v>53</v>
      </c>
      <c r="B56" s="8">
        <v>243766</v>
      </c>
      <c r="C56" s="4" t="s">
        <v>376</v>
      </c>
      <c r="D56" s="4" t="s">
        <v>377</v>
      </c>
      <c r="E56" s="5" t="s">
        <v>22</v>
      </c>
      <c r="F56" s="5" t="s">
        <v>86</v>
      </c>
      <c r="H56" s="4"/>
      <c r="I56" s="48">
        <v>200</v>
      </c>
      <c r="J56" s="3" t="s">
        <v>10</v>
      </c>
    </row>
    <row r="57" spans="1:11">
      <c r="A57" s="3">
        <v>54</v>
      </c>
      <c r="B57" s="8">
        <v>243768</v>
      </c>
      <c r="C57" s="4" t="s">
        <v>381</v>
      </c>
      <c r="D57" s="4" t="s">
        <v>388</v>
      </c>
      <c r="E57" s="5" t="s">
        <v>91</v>
      </c>
      <c r="F57" s="5" t="s">
        <v>86</v>
      </c>
      <c r="H57" s="4"/>
      <c r="I57" s="48">
        <v>76</v>
      </c>
      <c r="J57" s="3" t="s">
        <v>9</v>
      </c>
    </row>
    <row r="58" spans="1:11">
      <c r="A58" s="3">
        <v>55</v>
      </c>
      <c r="B58" s="8">
        <v>243768</v>
      </c>
      <c r="C58" s="5" t="s">
        <v>382</v>
      </c>
      <c r="D58" s="4" t="s">
        <v>389</v>
      </c>
      <c r="E58" s="5" t="s">
        <v>91</v>
      </c>
      <c r="F58" s="5" t="s">
        <v>86</v>
      </c>
      <c r="H58" s="4"/>
      <c r="I58" s="48">
        <v>76</v>
      </c>
      <c r="J58" s="3" t="s">
        <v>10</v>
      </c>
    </row>
    <row r="59" spans="1:11">
      <c r="A59" s="3">
        <v>56</v>
      </c>
      <c r="B59" s="8">
        <v>243768</v>
      </c>
      <c r="C59" s="4" t="s">
        <v>383</v>
      </c>
      <c r="D59" s="4" t="s">
        <v>390</v>
      </c>
      <c r="E59" s="5" t="s">
        <v>91</v>
      </c>
      <c r="F59" s="5" t="s">
        <v>86</v>
      </c>
      <c r="I59" s="48">
        <v>141</v>
      </c>
      <c r="J59" s="3" t="s">
        <v>10</v>
      </c>
    </row>
    <row r="60" spans="1:11">
      <c r="A60" s="3">
        <v>57</v>
      </c>
      <c r="B60" s="8">
        <v>243768</v>
      </c>
      <c r="C60" s="4" t="s">
        <v>384</v>
      </c>
      <c r="D60" s="4" t="s">
        <v>391</v>
      </c>
      <c r="E60" s="5" t="s">
        <v>91</v>
      </c>
      <c r="F60" s="5" t="s">
        <v>86</v>
      </c>
      <c r="H60" s="4"/>
      <c r="I60" s="48">
        <v>300</v>
      </c>
      <c r="J60" s="3" t="s">
        <v>10</v>
      </c>
    </row>
    <row r="61" spans="1:11">
      <c r="A61" s="3">
        <v>58</v>
      </c>
      <c r="B61" s="8">
        <v>243768</v>
      </c>
      <c r="C61" s="4" t="s">
        <v>385</v>
      </c>
      <c r="D61" s="4" t="s">
        <v>392</v>
      </c>
      <c r="E61" s="5" t="s">
        <v>91</v>
      </c>
      <c r="F61" s="5" t="s">
        <v>86</v>
      </c>
      <c r="H61" s="4"/>
      <c r="I61" s="48">
        <v>115</v>
      </c>
      <c r="J61" s="3" t="s">
        <v>10</v>
      </c>
    </row>
    <row r="62" spans="1:11">
      <c r="A62" s="3">
        <v>59</v>
      </c>
      <c r="B62" s="8">
        <v>243768</v>
      </c>
      <c r="C62" s="4" t="s">
        <v>395</v>
      </c>
      <c r="D62" s="4" t="s">
        <v>396</v>
      </c>
      <c r="E62" s="5" t="s">
        <v>91</v>
      </c>
      <c r="F62" s="5" t="s">
        <v>86</v>
      </c>
      <c r="I62" s="48">
        <v>335</v>
      </c>
      <c r="J62" s="3" t="s">
        <v>10</v>
      </c>
    </row>
    <row r="63" spans="1:11">
      <c r="A63" s="3">
        <v>60</v>
      </c>
      <c r="B63" s="8">
        <v>243768</v>
      </c>
      <c r="C63" s="4" t="s">
        <v>386</v>
      </c>
      <c r="D63" s="4" t="s">
        <v>393</v>
      </c>
      <c r="E63" s="5" t="s">
        <v>91</v>
      </c>
      <c r="F63" s="5" t="s">
        <v>86</v>
      </c>
      <c r="I63" s="48">
        <v>200</v>
      </c>
      <c r="J63" s="3" t="s">
        <v>10</v>
      </c>
    </row>
    <row r="64" spans="1:11">
      <c r="A64" s="3">
        <v>61</v>
      </c>
      <c r="B64" s="8">
        <v>243768</v>
      </c>
      <c r="C64" s="4" t="s">
        <v>387</v>
      </c>
      <c r="D64" s="4" t="s">
        <v>394</v>
      </c>
      <c r="E64" s="5" t="s">
        <v>91</v>
      </c>
      <c r="F64" s="5" t="s">
        <v>86</v>
      </c>
      <c r="I64" s="48">
        <v>218</v>
      </c>
      <c r="J64" s="3" t="s">
        <v>10</v>
      </c>
    </row>
    <row r="65" spans="1:10" ht="29.4" thickBot="1">
      <c r="H65" s="51" t="s">
        <v>16</v>
      </c>
      <c r="I65" s="50">
        <f>SUM(I4:I64)</f>
        <v>8824</v>
      </c>
      <c r="J65" s="52" t="s">
        <v>95</v>
      </c>
    </row>
    <row r="66" spans="1:10" ht="24" thickTop="1">
      <c r="A66" s="43" t="s">
        <v>69</v>
      </c>
      <c r="B66" s="44" t="s">
        <v>70</v>
      </c>
    </row>
  </sheetData>
  <autoFilter ref="A3:O66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dataValidations count="3">
    <dataValidation type="list" allowBlank="1" showInputMessage="1" showErrorMessage="1" sqref="J1:J3 J60:J1048576" xr:uid="{19676AA6-3E83-4AA3-B902-B140BCCFDBF8}">
      <formula1>$M$4:$M$57</formula1>
    </dataValidation>
    <dataValidation type="list" allowBlank="1" showInputMessage="1" showErrorMessage="1" sqref="E1:E1048576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R17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6" activeCellId="2" sqref="I9 I11:I15 I6"/>
    </sheetView>
  </sheetViews>
  <sheetFormatPr defaultColWidth="9.109375" defaultRowHeight="23.4"/>
  <cols>
    <col min="1" max="1" width="12.5546875" style="3" customWidth="1"/>
    <col min="2" max="2" width="11.33203125" style="3" bestFit="1" customWidth="1"/>
    <col min="3" max="3" width="19.6640625" style="4" customWidth="1"/>
    <col min="4" max="4" width="21.109375" style="4" bestFit="1" customWidth="1"/>
    <col min="5" max="5" width="23.88671875" style="4" customWidth="1"/>
    <col min="6" max="6" width="24.33203125" style="4" customWidth="1"/>
    <col min="7" max="8" width="15.33203125" style="3" customWidth="1"/>
    <col min="9" max="9" width="15.33203125" style="48" customWidth="1"/>
    <col min="10" max="10" width="45.88671875" style="3" bestFit="1" customWidth="1"/>
    <col min="11" max="11" width="20.109375" style="3" bestFit="1" customWidth="1"/>
    <col min="12" max="12" width="12" style="3" customWidth="1"/>
    <col min="13" max="13" width="45.88671875" style="3" bestFit="1" customWidth="1"/>
    <col min="14" max="14" width="29.33203125" style="3" customWidth="1"/>
    <col min="15" max="15" width="29.44140625" style="3" customWidth="1"/>
    <col min="16" max="18" width="36.109375" style="3" customWidth="1"/>
    <col min="19" max="16384" width="9.109375" style="3"/>
  </cols>
  <sheetData>
    <row r="1" spans="1:18" ht="32.4">
      <c r="A1" s="7" t="s">
        <v>104</v>
      </c>
    </row>
    <row r="2" spans="1:18" s="2" customFormat="1" ht="26.4">
      <c r="A2" s="102" t="s">
        <v>0</v>
      </c>
      <c r="B2" s="102" t="s">
        <v>4</v>
      </c>
      <c r="C2" s="103" t="s">
        <v>5</v>
      </c>
      <c r="D2" s="103" t="s">
        <v>2</v>
      </c>
      <c r="E2" s="104" t="s">
        <v>23</v>
      </c>
      <c r="F2" s="104" t="s">
        <v>21</v>
      </c>
      <c r="G2" s="102" t="s">
        <v>1</v>
      </c>
      <c r="H2" s="102"/>
      <c r="I2" s="106" t="s">
        <v>94</v>
      </c>
      <c r="J2" s="102" t="s">
        <v>3</v>
      </c>
      <c r="K2" s="89" t="s">
        <v>20</v>
      </c>
      <c r="M2" s="85" t="s">
        <v>8</v>
      </c>
      <c r="N2" s="85" t="s">
        <v>21</v>
      </c>
      <c r="O2" s="85" t="s">
        <v>83</v>
      </c>
    </row>
    <row r="3" spans="1:18" s="2" customFormat="1" ht="26.4">
      <c r="A3" s="102"/>
      <c r="B3" s="102"/>
      <c r="C3" s="103"/>
      <c r="D3" s="103"/>
      <c r="E3" s="105"/>
      <c r="F3" s="105"/>
      <c r="G3" s="15" t="s">
        <v>6</v>
      </c>
      <c r="H3" s="15" t="s">
        <v>7</v>
      </c>
      <c r="I3" s="107"/>
      <c r="J3" s="102"/>
      <c r="K3" s="89"/>
      <c r="M3" s="100"/>
      <c r="N3" s="100"/>
      <c r="O3" s="100"/>
    </row>
    <row r="4" spans="1:18">
      <c r="A4" s="3">
        <v>1</v>
      </c>
      <c r="B4" s="4" t="s">
        <v>126</v>
      </c>
      <c r="C4" s="4" t="s">
        <v>145</v>
      </c>
      <c r="D4" s="4" t="s">
        <v>144</v>
      </c>
      <c r="E4" s="5" t="s">
        <v>92</v>
      </c>
      <c r="F4" s="5" t="s">
        <v>25</v>
      </c>
      <c r="G4" s="1" t="s">
        <v>124</v>
      </c>
      <c r="H4" s="1" t="s">
        <v>125</v>
      </c>
      <c r="I4" s="49">
        <v>568</v>
      </c>
      <c r="J4" s="3" t="s">
        <v>10</v>
      </c>
      <c r="K4"/>
      <c r="M4" s="9" t="s">
        <v>10</v>
      </c>
      <c r="N4" s="9" t="s">
        <v>25</v>
      </c>
      <c r="O4" s="46" t="s">
        <v>24</v>
      </c>
      <c r="P4" s="2"/>
      <c r="Q4" s="2"/>
      <c r="R4" s="2"/>
    </row>
    <row r="5" spans="1:18">
      <c r="A5" s="3">
        <v>2</v>
      </c>
      <c r="B5" s="4" t="s">
        <v>184</v>
      </c>
      <c r="C5" s="4" t="s">
        <v>210</v>
      </c>
      <c r="D5" s="1" t="s">
        <v>146</v>
      </c>
      <c r="E5" s="5" t="s">
        <v>92</v>
      </c>
      <c r="F5" s="5" t="s">
        <v>25</v>
      </c>
      <c r="G5" s="1" t="s">
        <v>182</v>
      </c>
      <c r="H5" s="1" t="s">
        <v>183</v>
      </c>
      <c r="I5" s="49">
        <v>180</v>
      </c>
      <c r="J5" s="3" t="s">
        <v>10</v>
      </c>
      <c r="K5"/>
      <c r="M5" s="9" t="s">
        <v>9</v>
      </c>
      <c r="N5" s="9" t="s">
        <v>26</v>
      </c>
      <c r="O5" s="47" t="s">
        <v>22</v>
      </c>
      <c r="P5" s="2"/>
      <c r="Q5" s="2"/>
      <c r="R5" s="2"/>
    </row>
    <row r="6" spans="1:18">
      <c r="A6" s="3">
        <v>3</v>
      </c>
      <c r="B6" s="4" t="s">
        <v>190</v>
      </c>
      <c r="C6" s="4" t="s">
        <v>211</v>
      </c>
      <c r="D6" s="1" t="s">
        <v>185</v>
      </c>
      <c r="E6" s="5" t="s">
        <v>92</v>
      </c>
      <c r="F6" s="5" t="s">
        <v>25</v>
      </c>
      <c r="G6" s="1" t="s">
        <v>187</v>
      </c>
      <c r="H6" s="1"/>
      <c r="I6" s="49">
        <v>160</v>
      </c>
      <c r="J6" s="3" t="s">
        <v>9</v>
      </c>
      <c r="K6"/>
      <c r="M6" s="9" t="s">
        <v>11</v>
      </c>
      <c r="N6" s="9" t="s">
        <v>28</v>
      </c>
      <c r="O6" s="46" t="s">
        <v>30</v>
      </c>
      <c r="P6" s="2"/>
      <c r="Q6" s="2"/>
      <c r="R6" s="2"/>
    </row>
    <row r="7" spans="1:18">
      <c r="A7" s="3">
        <v>4</v>
      </c>
      <c r="B7" s="4" t="s">
        <v>190</v>
      </c>
      <c r="C7" s="4" t="s">
        <v>212</v>
      </c>
      <c r="D7" s="1" t="s">
        <v>186</v>
      </c>
      <c r="E7" s="5" t="s">
        <v>92</v>
      </c>
      <c r="F7" s="5" t="s">
        <v>25</v>
      </c>
      <c r="G7" s="1" t="s">
        <v>188</v>
      </c>
      <c r="H7" s="1" t="s">
        <v>189</v>
      </c>
      <c r="I7" s="49">
        <v>300</v>
      </c>
      <c r="J7" s="3" t="s">
        <v>10</v>
      </c>
      <c r="K7"/>
      <c r="M7" s="9" t="s">
        <v>18</v>
      </c>
      <c r="N7" s="9" t="s">
        <v>27</v>
      </c>
      <c r="O7" s="9" t="s">
        <v>91</v>
      </c>
      <c r="P7" s="2"/>
      <c r="Q7" s="2"/>
      <c r="R7" s="2"/>
    </row>
    <row r="8" spans="1:18">
      <c r="A8" s="3">
        <v>5</v>
      </c>
      <c r="B8" s="4" t="s">
        <v>227</v>
      </c>
      <c r="C8" s="4" t="s">
        <v>240</v>
      </c>
      <c r="D8" s="1" t="s">
        <v>217</v>
      </c>
      <c r="E8" s="5" t="s">
        <v>92</v>
      </c>
      <c r="F8" s="5" t="s">
        <v>25</v>
      </c>
      <c r="G8" s="1" t="s">
        <v>223</v>
      </c>
      <c r="H8" s="1" t="s">
        <v>224</v>
      </c>
      <c r="I8" s="49">
        <v>200</v>
      </c>
      <c r="J8" s="3" t="s">
        <v>10</v>
      </c>
      <c r="K8"/>
      <c r="M8" s="9" t="s">
        <v>98</v>
      </c>
      <c r="N8" s="9" t="s">
        <v>29</v>
      </c>
      <c r="O8" s="9" t="s">
        <v>92</v>
      </c>
      <c r="P8" s="2"/>
      <c r="Q8" s="2"/>
      <c r="R8" s="2"/>
    </row>
    <row r="9" spans="1:18">
      <c r="A9" s="3">
        <v>6</v>
      </c>
      <c r="B9" s="4" t="s">
        <v>227</v>
      </c>
      <c r="C9" s="4" t="s">
        <v>241</v>
      </c>
      <c r="D9" s="1" t="s">
        <v>218</v>
      </c>
      <c r="E9" s="5" t="s">
        <v>92</v>
      </c>
      <c r="F9" s="5" t="s">
        <v>25</v>
      </c>
      <c r="G9" s="1" t="s">
        <v>221</v>
      </c>
      <c r="H9" s="1"/>
      <c r="I9" s="49">
        <v>160</v>
      </c>
      <c r="J9" s="3" t="s">
        <v>9</v>
      </c>
      <c r="K9"/>
      <c r="P9" s="2"/>
      <c r="Q9" s="2"/>
      <c r="R9" s="2"/>
    </row>
    <row r="10" spans="1:18">
      <c r="A10" s="3">
        <v>7</v>
      </c>
      <c r="B10" s="4" t="s">
        <v>227</v>
      </c>
      <c r="C10" s="4" t="s">
        <v>242</v>
      </c>
      <c r="D10" s="1" t="s">
        <v>219</v>
      </c>
      <c r="E10" s="5" t="s">
        <v>92</v>
      </c>
      <c r="F10" s="5" t="s">
        <v>25</v>
      </c>
      <c r="G10" s="1" t="s">
        <v>225</v>
      </c>
      <c r="H10" s="1" t="s">
        <v>226</v>
      </c>
      <c r="I10" s="49">
        <v>180</v>
      </c>
      <c r="J10" s="3" t="s">
        <v>10</v>
      </c>
      <c r="K10" s="1"/>
      <c r="L10" s="1"/>
      <c r="P10" s="2"/>
      <c r="Q10" s="2"/>
      <c r="R10" s="2"/>
    </row>
    <row r="11" spans="1:18">
      <c r="A11" s="3">
        <v>8</v>
      </c>
      <c r="B11" s="4" t="s">
        <v>227</v>
      </c>
      <c r="C11" s="4" t="s">
        <v>261</v>
      </c>
      <c r="D11" s="1" t="s">
        <v>220</v>
      </c>
      <c r="E11" s="5" t="s">
        <v>92</v>
      </c>
      <c r="F11" s="5" t="s">
        <v>25</v>
      </c>
      <c r="G11" s="1" t="s">
        <v>222</v>
      </c>
      <c r="H11" s="1"/>
      <c r="I11" s="49">
        <v>319</v>
      </c>
      <c r="J11" s="3" t="s">
        <v>9</v>
      </c>
      <c r="K11" s="1"/>
      <c r="L11" s="1"/>
      <c r="P11" s="2"/>
      <c r="Q11" s="2"/>
      <c r="R11" s="2"/>
    </row>
    <row r="12" spans="1:18">
      <c r="A12" s="3">
        <v>9</v>
      </c>
      <c r="B12" s="4" t="s">
        <v>251</v>
      </c>
      <c r="C12" s="4" t="s">
        <v>262</v>
      </c>
      <c r="D12" s="1" t="s">
        <v>244</v>
      </c>
      <c r="E12" s="5" t="s">
        <v>92</v>
      </c>
      <c r="F12" s="5" t="s">
        <v>25</v>
      </c>
      <c r="G12" s="1" t="s">
        <v>252</v>
      </c>
      <c r="H12" s="1" t="s">
        <v>253</v>
      </c>
      <c r="I12" s="49">
        <v>330</v>
      </c>
      <c r="J12" s="3" t="s">
        <v>9</v>
      </c>
      <c r="K12" s="1"/>
      <c r="L12" s="1"/>
      <c r="P12" s="2"/>
      <c r="Q12" s="2"/>
      <c r="R12" s="2"/>
    </row>
    <row r="13" spans="1:18">
      <c r="A13" s="3">
        <v>10</v>
      </c>
      <c r="B13" s="4" t="s">
        <v>327</v>
      </c>
      <c r="C13" s="4" t="s">
        <v>345</v>
      </c>
      <c r="D13" s="1" t="s">
        <v>308</v>
      </c>
      <c r="E13" s="5" t="s">
        <v>92</v>
      </c>
      <c r="F13" s="5" t="s">
        <v>25</v>
      </c>
      <c r="G13" s="1" t="s">
        <v>325</v>
      </c>
      <c r="H13" s="1" t="s">
        <v>326</v>
      </c>
      <c r="I13" s="49">
        <v>180</v>
      </c>
      <c r="J13" s="3" t="s">
        <v>9</v>
      </c>
      <c r="K13" s="1"/>
      <c r="L13" s="1"/>
      <c r="P13" s="2"/>
      <c r="Q13" s="2"/>
      <c r="R13" s="2"/>
    </row>
    <row r="14" spans="1:18">
      <c r="A14" s="3">
        <v>11</v>
      </c>
      <c r="B14" s="4" t="s">
        <v>333</v>
      </c>
      <c r="C14" s="4" t="s">
        <v>346</v>
      </c>
      <c r="D14" s="1" t="s">
        <v>328</v>
      </c>
      <c r="E14" s="5" t="s">
        <v>92</v>
      </c>
      <c r="F14" s="5" t="s">
        <v>25</v>
      </c>
      <c r="G14" s="1" t="s">
        <v>330</v>
      </c>
      <c r="H14" s="49" t="s">
        <v>331</v>
      </c>
      <c r="I14" s="49">
        <v>180</v>
      </c>
      <c r="J14" s="3" t="s">
        <v>9</v>
      </c>
      <c r="K14" s="1"/>
      <c r="O14" s="2"/>
      <c r="P14" s="2"/>
      <c r="Q14" s="2"/>
    </row>
    <row r="15" spans="1:18">
      <c r="A15" s="3">
        <v>12</v>
      </c>
      <c r="B15" s="4" t="s">
        <v>333</v>
      </c>
      <c r="C15" s="1" t="s">
        <v>347</v>
      </c>
      <c r="D15" s="1" t="s">
        <v>329</v>
      </c>
      <c r="E15" s="5" t="s">
        <v>92</v>
      </c>
      <c r="F15" s="5" t="s">
        <v>25</v>
      </c>
      <c r="G15" s="3" t="s">
        <v>332</v>
      </c>
      <c r="H15" s="1"/>
      <c r="I15" s="49">
        <v>180</v>
      </c>
      <c r="J15" s="3" t="s">
        <v>9</v>
      </c>
      <c r="K15" s="1"/>
      <c r="L15" s="1"/>
      <c r="P15" s="2"/>
      <c r="Q15" s="2"/>
      <c r="R15" s="2"/>
    </row>
    <row r="16" spans="1:18" ht="29.4" thickBot="1">
      <c r="H16" s="51" t="s">
        <v>16</v>
      </c>
      <c r="I16" s="50">
        <f>SUM(I4:I15)</f>
        <v>2937</v>
      </c>
      <c r="J16" s="52" t="s">
        <v>95</v>
      </c>
    </row>
    <row r="17" ht="24" thickTop="1"/>
  </sheetData>
  <autoFilter ref="A3:X15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6" type="noConversion"/>
  <dataValidations count="3">
    <dataValidation type="list" allowBlank="1" showInputMessage="1" showErrorMessage="1" sqref="J17:J1048576 J1:J15" xr:uid="{2736945C-7942-4DEE-A17E-B5B71DE7D63A}">
      <formula1>$M$4:$M$15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F1:F1048576" xr:uid="{55F7DB15-91F3-41AA-B28C-C90A1171C47B}">
      <formula1>$N$2:$N$15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G35"/>
  <sheetViews>
    <sheetView zoomScaleNormal="100" workbookViewId="0">
      <pane xSplit="5" ySplit="3" topLeftCell="T22" activePane="bottomRight" state="frozen"/>
      <selection pane="topRight" activeCell="F1" sqref="F1"/>
      <selection pane="bottomLeft" activeCell="A4" sqref="A4"/>
      <selection pane="bottomRight" activeCell="D24" sqref="D24"/>
    </sheetView>
  </sheetViews>
  <sheetFormatPr defaultColWidth="9.109375" defaultRowHeight="23.4"/>
  <cols>
    <col min="1" max="1" width="16.109375" style="3" customWidth="1"/>
    <col min="2" max="2" width="16.88671875" style="3" bestFit="1" customWidth="1"/>
    <col min="3" max="4" width="15.33203125" style="3" bestFit="1" customWidth="1"/>
    <col min="5" max="6" width="22.44140625" style="3" bestFit="1" customWidth="1"/>
    <col min="7" max="7" width="11" style="3" bestFit="1" customWidth="1"/>
    <col min="8" max="8" width="11.109375" style="3" bestFit="1" customWidth="1"/>
    <col min="9" max="9" width="8.5546875" style="3" bestFit="1" customWidth="1"/>
    <col min="10" max="10" width="12" style="3" bestFit="1" customWidth="1"/>
    <col min="11" max="11" width="8.6640625" style="3" bestFit="1" customWidth="1"/>
    <col min="12" max="12" width="12.109375" style="3" bestFit="1" customWidth="1"/>
    <col min="13" max="13" width="14.5546875" style="3" bestFit="1" customWidth="1"/>
    <col min="14" max="14" width="9.33203125" style="3" bestFit="1" customWidth="1"/>
    <col min="15" max="15" width="21.5546875" style="3" bestFit="1" customWidth="1"/>
    <col min="16" max="16" width="18.6640625" style="3" bestFit="1" customWidth="1"/>
    <col min="17" max="17" width="14.88671875" style="3" bestFit="1" customWidth="1"/>
    <col min="18" max="19" width="23.44140625" style="3" bestFit="1" customWidth="1"/>
    <col min="20" max="20" width="18.5546875" style="3" bestFit="1" customWidth="1"/>
    <col min="21" max="21" width="13.109375" style="3" bestFit="1" customWidth="1"/>
    <col min="22" max="22" width="12.44140625" style="3" bestFit="1" customWidth="1"/>
    <col min="23" max="23" width="8.5546875" style="3" bestFit="1" customWidth="1"/>
    <col min="24" max="24" width="8.33203125" style="3" bestFit="1" customWidth="1"/>
    <col min="25" max="25" width="11.109375" style="3" bestFit="1" customWidth="1"/>
    <col min="26" max="26" width="11.44140625" style="3" bestFit="1" customWidth="1"/>
    <col min="27" max="27" width="7.109375" style="3" bestFit="1" customWidth="1"/>
    <col min="28" max="28" width="11.109375" style="3" bestFit="1" customWidth="1"/>
    <col min="29" max="29" width="10" style="3" bestFit="1" customWidth="1"/>
    <col min="30" max="30" width="5.44140625" style="3" bestFit="1" customWidth="1"/>
    <col min="31" max="31" width="16.44140625" style="3" bestFit="1" customWidth="1"/>
    <col min="32" max="32" width="11.109375" style="3" bestFit="1" customWidth="1"/>
    <col min="33" max="33" width="26.33203125" style="3" bestFit="1" customWidth="1"/>
    <col min="34" max="16384" width="9.109375" style="3"/>
  </cols>
  <sheetData>
    <row r="1" spans="1:33" s="28" customFormat="1" ht="32.4">
      <c r="A1" s="7" t="s">
        <v>105</v>
      </c>
    </row>
    <row r="2" spans="1:33" s="27" customFormat="1" ht="26.25" customHeight="1">
      <c r="A2" s="108" t="s">
        <v>31</v>
      </c>
      <c r="B2" s="110" t="s">
        <v>63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2"/>
      <c r="AG2" s="113" t="s">
        <v>66</v>
      </c>
    </row>
    <row r="3" spans="1:33" s="27" customFormat="1" ht="26.4">
      <c r="A3" s="109"/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68</v>
      </c>
      <c r="N3" s="29" t="s">
        <v>43</v>
      </c>
      <c r="O3" s="29" t="s">
        <v>44</v>
      </c>
      <c r="P3" s="29" t="s">
        <v>45</v>
      </c>
      <c r="Q3" s="29" t="s">
        <v>46</v>
      </c>
      <c r="R3" s="29" t="s">
        <v>47</v>
      </c>
      <c r="S3" s="29" t="s">
        <v>48</v>
      </c>
      <c r="T3" s="29" t="s">
        <v>49</v>
      </c>
      <c r="U3" s="29" t="s">
        <v>50</v>
      </c>
      <c r="V3" s="29" t="s">
        <v>51</v>
      </c>
      <c r="W3" s="29" t="s">
        <v>52</v>
      </c>
      <c r="X3" s="29" t="s">
        <v>53</v>
      </c>
      <c r="Y3" s="29" t="s">
        <v>54</v>
      </c>
      <c r="Z3" s="29" t="s">
        <v>55</v>
      </c>
      <c r="AA3" s="29" t="s">
        <v>56</v>
      </c>
      <c r="AB3" s="29" t="s">
        <v>57</v>
      </c>
      <c r="AC3" s="29" t="s">
        <v>58</v>
      </c>
      <c r="AD3" s="29" t="s">
        <v>59</v>
      </c>
      <c r="AE3" s="29" t="s">
        <v>60</v>
      </c>
      <c r="AF3" s="29" t="s">
        <v>61</v>
      </c>
      <c r="AG3" s="113"/>
    </row>
    <row r="4" spans="1:33">
      <c r="A4" s="30">
        <v>243739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31"/>
    </row>
    <row r="5" spans="1:33">
      <c r="A5" s="30">
        <v>243740</v>
      </c>
      <c r="B5" s="6">
        <v>54</v>
      </c>
      <c r="C5" s="6"/>
      <c r="D5" s="6">
        <v>5</v>
      </c>
      <c r="E5" s="6">
        <v>3</v>
      </c>
      <c r="F5" s="6">
        <v>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>
        <v>22</v>
      </c>
      <c r="AG5" s="31">
        <v>22</v>
      </c>
    </row>
    <row r="6" spans="1:33">
      <c r="A6" s="30">
        <v>243741</v>
      </c>
      <c r="B6" s="6"/>
      <c r="C6" s="6"/>
      <c r="D6" s="6"/>
      <c r="E6" s="6"/>
      <c r="F6" s="6"/>
      <c r="G6" s="6"/>
      <c r="H6" s="6">
        <v>3</v>
      </c>
      <c r="I6" s="6"/>
      <c r="J6" s="6">
        <v>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4</v>
      </c>
      <c r="Z6" s="6"/>
      <c r="AA6" s="6"/>
      <c r="AB6" s="6"/>
      <c r="AC6" s="6"/>
      <c r="AD6" s="6"/>
      <c r="AE6" s="6"/>
      <c r="AF6" s="6"/>
      <c r="AG6" s="31"/>
    </row>
    <row r="7" spans="1:33">
      <c r="A7" s="30">
        <v>243742</v>
      </c>
      <c r="B7" s="6"/>
      <c r="C7" s="6">
        <v>2</v>
      </c>
      <c r="D7" s="6"/>
      <c r="E7" s="6">
        <v>2</v>
      </c>
      <c r="F7" s="6">
        <v>2</v>
      </c>
      <c r="G7" s="6"/>
      <c r="H7" s="6"/>
      <c r="I7" s="6"/>
      <c r="J7" s="6">
        <v>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6</v>
      </c>
      <c r="AG7" s="31">
        <v>6</v>
      </c>
    </row>
    <row r="8" spans="1:33">
      <c r="A8" s="30">
        <v>243743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31"/>
    </row>
    <row r="9" spans="1:33">
      <c r="A9" s="30">
        <v>243744</v>
      </c>
      <c r="B9" s="6">
        <v>22</v>
      </c>
      <c r="C9" s="6">
        <v>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1</v>
      </c>
      <c r="R9" s="6"/>
      <c r="S9" s="6"/>
      <c r="T9" s="6"/>
      <c r="U9" s="6"/>
      <c r="V9" s="6"/>
      <c r="W9" s="6"/>
      <c r="X9" s="6"/>
      <c r="Y9" s="6">
        <v>8</v>
      </c>
      <c r="Z9" s="6"/>
      <c r="AA9" s="6"/>
      <c r="AB9" s="6"/>
      <c r="AC9" s="6"/>
      <c r="AD9" s="6"/>
      <c r="AE9" s="6"/>
      <c r="AF9" s="6">
        <v>8</v>
      </c>
      <c r="AG9" s="31">
        <v>8</v>
      </c>
    </row>
    <row r="10" spans="1:33">
      <c r="A10" s="30">
        <v>243745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31"/>
    </row>
    <row r="11" spans="1:33">
      <c r="A11" s="30">
        <v>243746</v>
      </c>
      <c r="B11" s="6">
        <v>1</v>
      </c>
      <c r="C11" s="6">
        <v>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18</v>
      </c>
      <c r="AG11" s="31">
        <v>18</v>
      </c>
    </row>
    <row r="12" spans="1:33">
      <c r="A12" s="30">
        <v>243747</v>
      </c>
      <c r="B12" s="6"/>
      <c r="C12" s="6">
        <v>2</v>
      </c>
      <c r="D12" s="6"/>
      <c r="E12" s="6">
        <v>1</v>
      </c>
      <c r="F12" s="6"/>
      <c r="G12" s="6">
        <v>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11</v>
      </c>
      <c r="AG12" s="31">
        <v>11</v>
      </c>
    </row>
    <row r="13" spans="1:33">
      <c r="A13" s="30">
        <v>243748</v>
      </c>
      <c r="B13" s="6">
        <v>4</v>
      </c>
      <c r="C13" s="6"/>
      <c r="D13" s="6"/>
      <c r="E13" s="6"/>
      <c r="F13" s="6"/>
      <c r="G13" s="6">
        <v>4</v>
      </c>
      <c r="H13" s="6">
        <v>2</v>
      </c>
      <c r="I13" s="6"/>
      <c r="J13" s="6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18</v>
      </c>
      <c r="AG13" s="31">
        <v>18</v>
      </c>
    </row>
    <row r="14" spans="1:33">
      <c r="A14" s="30">
        <v>243749</v>
      </c>
      <c r="B14" s="6">
        <v>4</v>
      </c>
      <c r="C14" s="6">
        <v>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6</v>
      </c>
      <c r="AG14" s="31">
        <v>6</v>
      </c>
    </row>
    <row r="15" spans="1:33">
      <c r="A15" s="30">
        <v>243750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31"/>
    </row>
    <row r="16" spans="1:33">
      <c r="A16" s="30">
        <v>243751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31"/>
    </row>
    <row r="17" spans="1:33">
      <c r="A17" s="30">
        <v>243752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20</v>
      </c>
      <c r="Z17" s="6"/>
      <c r="AA17" s="6"/>
      <c r="AB17" s="6"/>
      <c r="AC17" s="6"/>
      <c r="AD17" s="6"/>
      <c r="AE17" s="6"/>
      <c r="AF17" s="6">
        <v>3</v>
      </c>
      <c r="AG17" s="31">
        <v>3</v>
      </c>
    </row>
    <row r="18" spans="1:33">
      <c r="A18" s="30">
        <v>243753</v>
      </c>
      <c r="B18" s="6"/>
      <c r="C18" s="6">
        <v>6</v>
      </c>
      <c r="D18" s="6">
        <v>10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6</v>
      </c>
      <c r="AG18" s="31">
        <v>6</v>
      </c>
    </row>
    <row r="19" spans="1:33">
      <c r="A19" s="30">
        <v>243754</v>
      </c>
      <c r="B19" s="6">
        <v>14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2</v>
      </c>
      <c r="Z19" s="6"/>
      <c r="AA19" s="6"/>
      <c r="AB19" s="6"/>
      <c r="AC19" s="6"/>
      <c r="AD19" s="6"/>
      <c r="AE19" s="6"/>
      <c r="AF19" s="6">
        <v>2</v>
      </c>
      <c r="AG19" s="31">
        <v>2</v>
      </c>
    </row>
    <row r="20" spans="1:33">
      <c r="A20" s="30">
        <v>243755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31"/>
    </row>
    <row r="21" spans="1:33">
      <c r="A21" s="30">
        <v>243756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31"/>
    </row>
    <row r="22" spans="1:33">
      <c r="A22" s="30">
        <v>243757</v>
      </c>
      <c r="B22" s="6">
        <v>85</v>
      </c>
      <c r="C22" s="6">
        <v>1</v>
      </c>
      <c r="D22" s="6"/>
      <c r="E22" s="6"/>
      <c r="F22" s="6"/>
      <c r="G22" s="6">
        <v>5</v>
      </c>
      <c r="H22" s="6">
        <v>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8</v>
      </c>
      <c r="AG22" s="31">
        <v>8</v>
      </c>
    </row>
    <row r="23" spans="1:33">
      <c r="A23" s="30">
        <v>243758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31"/>
    </row>
    <row r="24" spans="1:33">
      <c r="A24" s="30">
        <v>243759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31"/>
    </row>
    <row r="25" spans="1:33">
      <c r="A25" s="30">
        <v>243760</v>
      </c>
      <c r="B25" s="6"/>
      <c r="C25" s="6">
        <v>1</v>
      </c>
      <c r="D25" s="6"/>
      <c r="E25" s="6"/>
      <c r="F25" s="6"/>
      <c r="G25" s="6">
        <v>1</v>
      </c>
      <c r="H25" s="6"/>
      <c r="I25" s="6"/>
      <c r="J25" s="6">
        <v>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</v>
      </c>
      <c r="Z25" s="6"/>
      <c r="AA25" s="6"/>
      <c r="AB25" s="6"/>
      <c r="AC25" s="6"/>
      <c r="AD25" s="6"/>
      <c r="AE25" s="6"/>
      <c r="AF25" s="6">
        <v>14</v>
      </c>
      <c r="AG25" s="31">
        <v>14</v>
      </c>
    </row>
    <row r="26" spans="1:33">
      <c r="A26" s="30">
        <v>243761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31"/>
    </row>
    <row r="27" spans="1:33">
      <c r="A27" s="30">
        <v>243762</v>
      </c>
      <c r="B27" s="6"/>
      <c r="C27" s="6"/>
      <c r="D27" s="6"/>
      <c r="E27" s="6"/>
      <c r="F27" s="6"/>
      <c r="G27" s="6">
        <v>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12</v>
      </c>
      <c r="AG27" s="31">
        <v>12</v>
      </c>
    </row>
    <row r="28" spans="1:33">
      <c r="A28" s="30">
        <v>243763</v>
      </c>
      <c r="B28" s="6"/>
      <c r="C28" s="6">
        <v>2</v>
      </c>
      <c r="D28" s="6"/>
      <c r="E28" s="6">
        <v>1</v>
      </c>
      <c r="F28" s="6"/>
      <c r="G28" s="6">
        <v>10</v>
      </c>
      <c r="H28" s="6">
        <v>2</v>
      </c>
      <c r="I28" s="6">
        <v>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9</v>
      </c>
      <c r="AG28" s="31">
        <v>9</v>
      </c>
    </row>
    <row r="29" spans="1:33">
      <c r="A29" s="30">
        <v>243764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31"/>
    </row>
    <row r="30" spans="1:33">
      <c r="A30" s="30">
        <v>243765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31"/>
    </row>
    <row r="31" spans="1:33">
      <c r="A31" s="30">
        <v>243766</v>
      </c>
      <c r="B31" s="6"/>
      <c r="C31" s="6">
        <v>3</v>
      </c>
      <c r="D31" s="6"/>
      <c r="E31" s="6">
        <v>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5</v>
      </c>
      <c r="AG31" s="31">
        <v>5</v>
      </c>
    </row>
    <row r="32" spans="1:33">
      <c r="A32" s="30">
        <v>243767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1"/>
    </row>
    <row r="33" spans="1:33">
      <c r="A33" s="30">
        <v>243768</v>
      </c>
      <c r="B33" s="6">
        <v>1</v>
      </c>
      <c r="C33" s="6"/>
      <c r="D33" s="6">
        <v>4</v>
      </c>
      <c r="E33" s="6">
        <v>2</v>
      </c>
      <c r="F33" s="6"/>
      <c r="G33" s="6"/>
      <c r="H33" s="6"/>
      <c r="I33" s="6">
        <v>10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>
        <v>21</v>
      </c>
      <c r="AG33" s="31">
        <v>21</v>
      </c>
    </row>
    <row r="34" spans="1:33">
      <c r="A34" s="30">
        <v>243769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31">
        <f t="shared" ref="AG34" si="0">SUM(B34:AF34)</f>
        <v>0</v>
      </c>
    </row>
    <row r="35" spans="1:33">
      <c r="A35" s="31" t="s">
        <v>65</v>
      </c>
      <c r="B35" s="31">
        <f>SUM(B4:B34)</f>
        <v>185</v>
      </c>
      <c r="C35" s="31">
        <f t="shared" ref="C35:AF35" si="1">SUM(C4:C34)</f>
        <v>25</v>
      </c>
      <c r="D35" s="31">
        <f t="shared" si="1"/>
        <v>19</v>
      </c>
      <c r="E35" s="31">
        <f t="shared" si="1"/>
        <v>10</v>
      </c>
      <c r="F35" s="31">
        <f t="shared" si="1"/>
        <v>4</v>
      </c>
      <c r="G35" s="31">
        <f t="shared" si="1"/>
        <v>25</v>
      </c>
      <c r="H35" s="31">
        <f t="shared" si="1"/>
        <v>12</v>
      </c>
      <c r="I35" s="31">
        <f t="shared" si="1"/>
        <v>11</v>
      </c>
      <c r="J35" s="31">
        <f t="shared" si="1"/>
        <v>7</v>
      </c>
      <c r="K35" s="31">
        <f t="shared" si="1"/>
        <v>0</v>
      </c>
      <c r="L35" s="31">
        <f t="shared" si="1"/>
        <v>0</v>
      </c>
      <c r="M35" s="31">
        <f t="shared" si="1"/>
        <v>0</v>
      </c>
      <c r="N35" s="31">
        <f t="shared" si="1"/>
        <v>0</v>
      </c>
      <c r="O35" s="31">
        <f t="shared" si="1"/>
        <v>0</v>
      </c>
      <c r="P35" s="31">
        <f t="shared" si="1"/>
        <v>0</v>
      </c>
      <c r="Q35" s="31">
        <f t="shared" si="1"/>
        <v>1</v>
      </c>
      <c r="R35" s="31">
        <f t="shared" si="1"/>
        <v>0</v>
      </c>
      <c r="S35" s="31">
        <f t="shared" si="1"/>
        <v>0</v>
      </c>
      <c r="T35" s="31">
        <f t="shared" si="1"/>
        <v>0</v>
      </c>
      <c r="U35" s="31">
        <f t="shared" si="1"/>
        <v>0</v>
      </c>
      <c r="V35" s="31">
        <f t="shared" si="1"/>
        <v>0</v>
      </c>
      <c r="W35" s="31">
        <f t="shared" si="1"/>
        <v>0</v>
      </c>
      <c r="X35" s="31">
        <f t="shared" si="1"/>
        <v>0</v>
      </c>
      <c r="Y35" s="31">
        <f t="shared" si="1"/>
        <v>36</v>
      </c>
      <c r="Z35" s="31">
        <f t="shared" si="1"/>
        <v>0</v>
      </c>
      <c r="AA35" s="31">
        <f t="shared" si="1"/>
        <v>0</v>
      </c>
      <c r="AB35" s="31">
        <f t="shared" si="1"/>
        <v>0</v>
      </c>
      <c r="AC35" s="31">
        <f t="shared" si="1"/>
        <v>0</v>
      </c>
      <c r="AD35" s="31">
        <f t="shared" si="1"/>
        <v>0</v>
      </c>
      <c r="AE35" s="31">
        <f t="shared" si="1"/>
        <v>0</v>
      </c>
      <c r="AF35" s="31">
        <f t="shared" si="1"/>
        <v>169</v>
      </c>
      <c r="AG35" s="32">
        <f>SUM(B35:AF35)</f>
        <v>504</v>
      </c>
    </row>
  </sheetData>
  <mergeCells count="3">
    <mergeCell ref="A2:A3"/>
    <mergeCell ref="B2:AF2"/>
    <mergeCell ref="AG2:AG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2024-11-25T17:15:52Z</cp:lastPrinted>
  <dcterms:created xsi:type="dcterms:W3CDTF">2024-02-13T02:39:23Z</dcterms:created>
  <dcterms:modified xsi:type="dcterms:W3CDTF">2024-11-25T17:17:35Z</dcterms:modified>
</cp:coreProperties>
</file>