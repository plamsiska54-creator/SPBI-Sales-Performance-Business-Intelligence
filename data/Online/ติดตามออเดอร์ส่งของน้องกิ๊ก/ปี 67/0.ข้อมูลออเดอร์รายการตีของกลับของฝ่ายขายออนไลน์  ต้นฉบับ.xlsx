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รวมออนไลน์\ติดตามออเดอร์ส่งของน้องกิ๊ก\"/>
    </mc:Choice>
  </mc:AlternateContent>
  <xr:revisionPtr revIDLastSave="0" documentId="13_ncr:1_{1A39B8AF-47CA-4FBF-BFAC-E3D4EABDAB7E}" xr6:coauthVersionLast="47" xr6:coauthVersionMax="47" xr10:uidLastSave="{00000000-0000-0000-0000-000000000000}"/>
  <bookViews>
    <workbookView xWindow="-120" yWindow="-120" windowWidth="29040" windowHeight="15720" tabRatio="882" activeTab="6" xr2:uid="{13EF2253-7BD7-4442-9B9C-0A72170BE943}"/>
  </bookViews>
  <sheets>
    <sheet name="สรุป" sheetId="4" r:id="rId1"/>
    <sheet name="สรุปรายการสินค้า" sheetId="7" r:id="rId2"/>
    <sheet name="Lazada" sheetId="1" r:id="rId3"/>
    <sheet name="Shopee" sheetId="2" r:id="rId4"/>
    <sheet name="TikTok" sheetId="3" r:id="rId5"/>
    <sheet name="ไปรษณีย์" sheetId="5" r:id="rId6"/>
    <sheet name="รายการสินค้าตีกลับ" sheetId="6" r:id="rId7"/>
  </sheets>
  <definedNames>
    <definedName name="_xlnm._FilterDatabase" localSheetId="2" hidden="1">Lazada!$A$3:$AM$30</definedName>
    <definedName name="_xlnm._FilterDatabase" localSheetId="3" hidden="1">Shopee!$A$3:$N$3</definedName>
    <definedName name="_xlnm._FilterDatabase" localSheetId="4" hidden="1">TikTok!$A$3:$N$3</definedName>
    <definedName name="_xlnm._FilterDatabase" localSheetId="5" hidden="1">ไปรษณีย์!$A$3:$W$82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5" i="6" l="1"/>
  <c r="AG32" i="6"/>
  <c r="AG33" i="6"/>
  <c r="AG5" i="6" l="1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4" i="6"/>
  <c r="AG4" i="6"/>
  <c r="B35" i="6"/>
  <c r="C3" i="7" s="1"/>
  <c r="C35" i="6"/>
  <c r="C4" i="7" s="1"/>
  <c r="D35" i="6"/>
  <c r="C5" i="7" s="1"/>
  <c r="E35" i="6"/>
  <c r="C6" i="7" s="1"/>
  <c r="F35" i="6"/>
  <c r="C7" i="7" s="1"/>
  <c r="G35" i="6"/>
  <c r="C8" i="7" s="1"/>
  <c r="H35" i="6"/>
  <c r="C9" i="7" s="1"/>
  <c r="I35" i="6"/>
  <c r="C10" i="7" s="1"/>
  <c r="J35" i="6"/>
  <c r="C11" i="7" s="1"/>
  <c r="K35" i="6"/>
  <c r="C12" i="7" s="1"/>
  <c r="L35" i="6"/>
  <c r="C13" i="7" s="1"/>
  <c r="M35" i="6"/>
  <c r="C14" i="7" s="1"/>
  <c r="N35" i="6"/>
  <c r="C15" i="7" s="1"/>
  <c r="O35" i="6"/>
  <c r="C16" i="7" s="1"/>
  <c r="P35" i="6"/>
  <c r="C17" i="7" s="1"/>
  <c r="Q35" i="6"/>
  <c r="C18" i="7" s="1"/>
  <c r="R35" i="6"/>
  <c r="C19" i="7" s="1"/>
  <c r="S35" i="6"/>
  <c r="C20" i="7" s="1"/>
  <c r="T35" i="6"/>
  <c r="C21" i="7" s="1"/>
  <c r="U35" i="6"/>
  <c r="C22" i="7" s="1"/>
  <c r="V35" i="6"/>
  <c r="C23" i="7" s="1"/>
  <c r="W35" i="6"/>
  <c r="C24" i="7" s="1"/>
  <c r="X35" i="6"/>
  <c r="C25" i="7" s="1"/>
  <c r="Y35" i="6"/>
  <c r="C26" i="7" s="1"/>
  <c r="Z35" i="6"/>
  <c r="C27" i="7" s="1"/>
  <c r="AA35" i="6"/>
  <c r="C28" i="7" s="1"/>
  <c r="AB35" i="6"/>
  <c r="C29" i="7" s="1"/>
  <c r="AC35" i="6"/>
  <c r="C30" i="7" s="1"/>
  <c r="AD35" i="6"/>
  <c r="C31" i="7" s="1"/>
  <c r="AE35" i="6"/>
  <c r="C32" i="7" s="1"/>
  <c r="AF35" i="6"/>
  <c r="C33" i="7" s="1"/>
  <c r="C34" i="7" l="1"/>
  <c r="F5" i="4"/>
  <c r="F6" i="4"/>
  <c r="F7" i="4"/>
  <c r="F4" i="4"/>
  <c r="F8" i="4" l="1"/>
</calcChain>
</file>

<file path=xl/sharedStrings.xml><?xml version="1.0" encoding="utf-8"?>
<sst xmlns="http://schemas.openxmlformats.org/spreadsheetml/2006/main" count="205" uniqueCount="102">
  <si>
    <t>ลำดับ</t>
  </si>
  <si>
    <t>ช่องทางออนไลน์</t>
  </si>
  <si>
    <t>ชื่อลูกค้า</t>
  </si>
  <si>
    <t>เลขที่พัสดุ</t>
  </si>
  <si>
    <t xml:space="preserve">สาเหตุการตีกลับ </t>
  </si>
  <si>
    <t>วันที่ตีกลับ</t>
  </si>
  <si>
    <t>เลขที่ออเดอร์</t>
  </si>
  <si>
    <t>ชื่อ</t>
  </si>
  <si>
    <t>นามสกุล</t>
  </si>
  <si>
    <t>หัวข้อการสาเหตุตีของกลับ</t>
  </si>
  <si>
    <t>ติดต่อไม่ได้ , ไม่รับโทรศัพท์</t>
  </si>
  <si>
    <t>ปฏิเสธ , ยกเลิก</t>
  </si>
  <si>
    <t>ส่งของไปซ้ำ</t>
  </si>
  <si>
    <t>Lazada</t>
  </si>
  <si>
    <t>Shopee</t>
  </si>
  <si>
    <t>TikTok</t>
  </si>
  <si>
    <t>สาเหตุการตีกลับ</t>
  </si>
  <si>
    <t>รวม</t>
  </si>
  <si>
    <t>Facebook , Facebook Live , Line , Line OA (ไปรษณีย์)</t>
  </si>
  <si>
    <t>ลูกค้าแจ้งว่าไม่ได้สั่ง</t>
  </si>
  <si>
    <t>ยอมรวมทั้งหมด</t>
  </si>
  <si>
    <t>หมายเหตุ</t>
  </si>
  <si>
    <t>ร้านค้า</t>
  </si>
  <si>
    <t>Flash Express Thailand</t>
  </si>
  <si>
    <t>ผู้ให้บริการจัดส่ง</t>
  </si>
  <si>
    <t>LEX TH</t>
  </si>
  <si>
    <t>Facebook</t>
  </si>
  <si>
    <t>Facebook Live</t>
  </si>
  <si>
    <t>Line OA</t>
  </si>
  <si>
    <t>Line</t>
  </si>
  <si>
    <t>Phone</t>
  </si>
  <si>
    <t>Kerry_dropoff</t>
  </si>
  <si>
    <t>วันที่</t>
  </si>
  <si>
    <t>ชิฟฟอนแยกชิ้น</t>
  </si>
  <si>
    <t>ชิฟฟอน 8 ชิ้น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</si>
  <si>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</si>
  <si>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</si>
  <si>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</si>
  <si>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</si>
  <si>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เบาหวิว ญ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</si>
  <si>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</si>
  <si>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</si>
  <si>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</si>
  <si>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</si>
  <si>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</si>
  <si>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</si>
  <si>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</si>
  <si>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</si>
  <si>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</si>
  <si>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</si>
  <si>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</si>
  <si>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</si>
  <si>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</si>
  <si>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</si>
  <si>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</si>
  <si>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เปี๊ยะลาวา</t>
  </si>
  <si>
    <t>คอนเฟล็ก</t>
  </si>
  <si>
    <t>ไดฟูกุ</t>
  </si>
  <si>
    <t>ปังเลเยอร์</t>
  </si>
  <si>
    <t>เมอแรงค์</t>
  </si>
  <si>
    <t>DIY</t>
  </si>
  <si>
    <t>ครีมฮอนร์จัมโบ้</t>
  </si>
  <si>
    <t>ครีมฮอร์น</t>
  </si>
  <si>
    <t>ยอดรวม</t>
  </si>
  <si>
    <t>รายการ</t>
  </si>
  <si>
    <t>ชิ้น</t>
  </si>
  <si>
    <t>ยอดรวมทั้งเดือน</t>
  </si>
  <si>
    <t>ยอดรวม/วัน (ทุกรายการ)</t>
  </si>
  <si>
    <t>จำนวน</t>
  </si>
  <si>
    <t>พายสัปปะรด</t>
  </si>
  <si>
    <t>ออเดอร์</t>
  </si>
  <si>
    <t xml:space="preserve">** NOTE </t>
  </si>
  <si>
    <t>ชื่อลูกค้า ไม่มีในข้อมูล TikTok</t>
  </si>
  <si>
    <t>ชื่อลูกค้า ไม่มีในข้อมูล Shopee</t>
  </si>
  <si>
    <t>ชื่อร้าน</t>
  </si>
  <si>
    <t>วรรณวนัช เบเกอรี่ (ร้านที่ 1 ร้านหลัก)</t>
  </si>
  <si>
    <t>ของฝากวรรณวนัช (cakewanwanach.lzd)</t>
  </si>
  <si>
    <t>วรรณวนัช ชิฟฟ่อน (chiffonlazada)</t>
  </si>
  <si>
    <t>วรรณวนัช (0944831646)</t>
  </si>
  <si>
    <t>ชิฟฟ่อน กำแพงแสน (chiffonk.kps)</t>
  </si>
  <si>
    <t>วรรณวนัช ของอร่อย (cakewanwanach.kps)</t>
  </si>
  <si>
    <t>วรรณวนัช ไทยแลนด์ (chiffon.kps)</t>
  </si>
  <si>
    <t>ของฝาก นครปฐม (khongfhak.kps)</t>
  </si>
  <si>
    <t>ของอร่อยกำแพงแสน (kahnomcake.lzd)</t>
  </si>
  <si>
    <t>ชิฟฟ่อน เบเกอรี่ (wanwanachcake)</t>
  </si>
  <si>
    <t>ชื่อขนส่ง</t>
  </si>
  <si>
    <t>ร้านที่ 1</t>
  </si>
  <si>
    <t>ร้านที่ 2</t>
  </si>
  <si>
    <t>วรรณวนัชเบเกอรี่ (พี่กุ๊ก)</t>
  </si>
  <si>
    <t>วรรณวนัช เบเกอรี่ (แอม)</t>
  </si>
  <si>
    <t>วรรณวนัช โรงงานจำหน่ายโดยตรง (นุ่น)</t>
  </si>
  <si>
    <t>ของฝากวรรณวนัช By:แอดอั้ม (อั้ม)</t>
  </si>
  <si>
    <t>ชิฟฟ่อนเค้กวรรณวนัช (พี่เอฟ)</t>
  </si>
  <si>
    <t>J&amp;T Express</t>
  </si>
  <si>
    <t>ไปรษณีย์ไทย</t>
  </si>
  <si>
    <t>รายการสินค้าที่ตีกลับมารวมทุกช่องทางขายออนไลน์ เดือนมีนาคม 2567</t>
  </si>
  <si>
    <t>รายการของตีกลับช่องทาง Facebook , Facebook Live , Line , Line OA (ไปรษณีย์) เดือนมกราคม 2567</t>
  </si>
  <si>
    <t>รายการของตีกลับช่องทาง TikTok เดือนมกราคม 2567</t>
  </si>
  <si>
    <t>รายการของตีกลับช่องทาง SHOPEE เดือนมกราคม 2567</t>
  </si>
  <si>
    <t>รายการของตีกลับช่องทาง LAZADA เดือนมกราคม 2567</t>
  </si>
  <si>
    <t>สรุปรายการสินค้าที่ตีกลับมารวมทุกช่องทางขายออนไลน์ เดือนมกราคม 2567</t>
  </si>
  <si>
    <t>สรุปรายการของตีกลับของช่องทางออนไลน์ เดือนมกราคม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</si>
</sst>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22"/>
      <color theme="1"/>
      <name val="Angsana New"/>
      <family val="1"/>
    </font>
    <font>
      <b/>
      <sz val="16"/>
      <color rgb="FFFF0000"/>
      <name val="Angsana New"/>
      <family val="1"/>
    </font>
    <font>
      <b/>
      <sz val="18"/>
      <color rgb="FF0000FF"/>
      <name val="Angsana New"/>
      <family val="1"/>
    </font>
    <font>
      <b/>
      <sz val="20"/>
      <color rgb="FF0000FF"/>
      <name val="Angsana New"/>
      <family val="1"/>
    </font>
    <font>
      <sz val="16"/>
      <color rgb="FFFF0000"/>
      <name val="Angsana New"/>
      <family val="1"/>
    </font>
  </fonts>
  <fills count="12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1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13" fillId="0" borderId="7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14" fillId="11" borderId="0" xfId="0" applyFont="1" applyFill="1" applyAlignment="1">
      <alignment horizontal="center" vertical="center"/>
    </xf>
    <xf numFmtId="14" fontId="14" fillId="11" borderId="0" xfId="0" applyNumberFormat="1" applyFont="1" applyFill="1" applyAlignment="1">
      <alignment horizontal="center" vertical="center"/>
    </xf>
    <xf numFmtId="49" fontId="14" fillId="11" borderId="0" xfId="0" applyNumberFormat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9" borderId="1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49" fontId="1" fillId="8" borderId="4" xfId="0" applyNumberFormat="1" applyFont="1" applyFill="1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0000FF"/>
      <color rgb="FFCCFF99"/>
      <color rgb="FFCCCCFF"/>
      <color rgb="FF00FF99"/>
      <color rgb="FFFF6600"/>
      <color rgb="FFCCFFFF"/>
      <color rgb="FFFF0066"/>
      <color rgb="FFFFCCFF"/>
      <color rgb="FFFF7C8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F6CC-213B-4386-8F38-9B7EE24BA8A6}">
  <sheetPr>
    <tabColor rgb="FF92D050"/>
  </sheetPr>
  <dimension ref="A1:G9"/>
  <sheetViews>
    <sheetView workbookViewId="0">
      <selection activeCell="K7" sqref="K7"/>
    </sheetView>
  </sheetViews>
  <sheetFormatPr defaultRowHeight="23.25"/>
  <cols>
    <col min="1" max="1" width="17.5703125" style="3" customWidth="1"/>
    <col min="2" max="5" width="14.28515625" style="6" customWidth="1"/>
    <col min="6" max="6" width="11.7109375" style="3" customWidth="1"/>
    <col min="7" max="16384" width="9.140625" style="3"/>
  </cols>
  <sheetData>
    <row r="1" spans="1:7" ht="31.5">
      <c r="A1" s="54" t="s">
        <v>101</v>
      </c>
      <c r="B1" s="54"/>
      <c r="C1" s="54"/>
      <c r="D1" s="54"/>
      <c r="E1" s="54"/>
      <c r="F1" s="54"/>
    </row>
    <row r="2" spans="1:7" ht="26.25">
      <c r="A2" s="50" t="s">
        <v>1</v>
      </c>
      <c r="B2" s="51" t="s">
        <v>16</v>
      </c>
      <c r="C2" s="52"/>
      <c r="D2" s="52"/>
      <c r="E2" s="53"/>
      <c r="F2" s="50" t="s">
        <v>17</v>
      </c>
    </row>
    <row r="3" spans="1:7" ht="78.75">
      <c r="A3" s="50"/>
      <c r="B3" s="17" t="s">
        <v>11</v>
      </c>
      <c r="C3" s="18" t="s">
        <v>10</v>
      </c>
      <c r="D3" s="19" t="s">
        <v>12</v>
      </c>
      <c r="E3" s="20" t="s">
        <v>19</v>
      </c>
      <c r="F3" s="50"/>
    </row>
    <row r="4" spans="1:7">
      <c r="A4" s="13" t="s">
        <v>13</v>
      </c>
      <c r="B4" s="21"/>
      <c r="C4" s="22"/>
      <c r="D4" s="23"/>
      <c r="E4" s="23"/>
      <c r="F4" s="16">
        <f>SUM(B4:E4)</f>
        <v>0</v>
      </c>
    </row>
    <row r="5" spans="1:7">
      <c r="A5" s="13" t="s">
        <v>14</v>
      </c>
      <c r="B5" s="21"/>
      <c r="C5" s="22"/>
      <c r="D5" s="23"/>
      <c r="E5" s="23"/>
      <c r="F5" s="16">
        <f t="shared" ref="F5:F7" si="0">SUM(B5:E5)</f>
        <v>0</v>
      </c>
    </row>
    <row r="6" spans="1:7">
      <c r="A6" s="13" t="s">
        <v>15</v>
      </c>
      <c r="B6" s="21"/>
      <c r="C6" s="22"/>
      <c r="D6" s="23"/>
      <c r="E6" s="23"/>
      <c r="F6" s="16">
        <f t="shared" si="0"/>
        <v>0</v>
      </c>
    </row>
    <row r="7" spans="1:7" ht="93">
      <c r="A7" s="14" t="s">
        <v>18</v>
      </c>
      <c r="B7" s="21"/>
      <c r="C7" s="22"/>
      <c r="D7" s="23"/>
      <c r="E7" s="23"/>
      <c r="F7" s="16">
        <f t="shared" si="0"/>
        <v>0</v>
      </c>
    </row>
    <row r="8" spans="1:7" ht="27" thickBot="1">
      <c r="D8" s="3"/>
      <c r="E8" s="41" t="s">
        <v>20</v>
      </c>
      <c r="F8" s="42">
        <f>SUM(F4:F7)</f>
        <v>0</v>
      </c>
      <c r="G8" s="43" t="s">
        <v>70</v>
      </c>
    </row>
    <row r="9" spans="1:7" ht="24" thickTop="1"/>
  </sheetData>
  <mergeCells count="4">
    <mergeCell ref="F2:F3"/>
    <mergeCell ref="A2:A3"/>
    <mergeCell ref="B2:E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D6AF-97B7-49CD-B729-429D78B9E28D}">
  <sheetPr>
    <tabColor rgb="FF92D050"/>
  </sheetPr>
  <dimension ref="A1:D35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6" sqref="J16"/>
    </sheetView>
  </sheetViews>
  <sheetFormatPr defaultRowHeight="23.25"/>
  <cols>
    <col min="1" max="1" width="10.85546875" style="1" customWidth="1"/>
    <col min="2" max="2" width="21.42578125" style="1" bestFit="1" customWidth="1"/>
    <col min="3" max="4" width="14.28515625" style="1" customWidth="1"/>
    <col min="5" max="16384" width="9.140625" style="1"/>
  </cols>
  <sheetData>
    <row r="1" spans="1:4" ht="31.5">
      <c r="A1" s="26" t="s">
        <v>100</v>
      </c>
    </row>
    <row r="2" spans="1:4" ht="26.25">
      <c r="A2" s="33" t="s">
        <v>0</v>
      </c>
      <c r="B2" s="33" t="s">
        <v>64</v>
      </c>
      <c r="C2" s="33" t="s">
        <v>68</v>
      </c>
      <c r="D2" s="33" t="s">
        <v>21</v>
      </c>
    </row>
    <row r="3" spans="1:4">
      <c r="A3" s="36">
        <v>1</v>
      </c>
      <c r="B3" s="37" t="s">
        <v>33</v>
      </c>
      <c r="C3" s="37">
        <f>+รายการสินค้าตีกลับ!B35</f>
        <v>0</v>
      </c>
      <c r="D3" s="34"/>
    </row>
    <row r="4" spans="1:4">
      <c r="A4" s="36">
        <v>2</v>
      </c>
      <c r="B4" s="37" t="s">
        <v>34</v>
      </c>
      <c r="C4" s="37">
        <f>+รายการสินค้าตีกลับ!C35</f>
        <v>0</v>
      </c>
      <c r="D4" s="35"/>
    </row>
    <row r="5" spans="1:4">
      <c r="A5" s="36">
        <v>3</v>
      </c>
      <c r="B5" s="37" t="s">
        <v>35</v>
      </c>
      <c r="C5" s="37">
        <f>+รายการสินค้าตีกลับ!D35</f>
        <v>0</v>
      </c>
      <c r="D5" s="35"/>
    </row>
    <row r="6" spans="1:4">
      <c r="A6" s="36">
        <v>4</v>
      </c>
      <c r="B6" s="37" t="s">
        <v>36</v>
      </c>
      <c r="C6" s="37">
        <f>+รายการสินค้าตีกลับ!E35</f>
        <v>0</v>
      </c>
      <c r="D6" s="35"/>
    </row>
    <row r="7" spans="1:4">
      <c r="A7" s="36">
        <v>5</v>
      </c>
      <c r="B7" s="37" t="s">
        <v>37</v>
      </c>
      <c r="C7" s="37">
        <f>+รายการสินค้าตีกลับ!F35</f>
        <v>0</v>
      </c>
      <c r="D7" s="37"/>
    </row>
    <row r="8" spans="1:4">
      <c r="A8" s="36">
        <v>6</v>
      </c>
      <c r="B8" s="37" t="s">
        <v>38</v>
      </c>
      <c r="C8" s="37">
        <f>+รายการสินค้าตีกลับ!G35</f>
        <v>0</v>
      </c>
      <c r="D8" s="37"/>
    </row>
    <row r="9" spans="1:4">
      <c r="A9" s="36">
        <v>7</v>
      </c>
      <c r="B9" s="37" t="s">
        <v>39</v>
      </c>
      <c r="C9" s="37">
        <f>+รายการสินค้าตีกลับ!H35</f>
        <v>0</v>
      </c>
      <c r="D9" s="37"/>
    </row>
    <row r="10" spans="1:4">
      <c r="A10" s="36">
        <v>8</v>
      </c>
      <c r="B10" s="37" t="s">
        <v>40</v>
      </c>
      <c r="C10" s="37">
        <f>+รายการสินค้าตีกลับ!I35</f>
        <v>0</v>
      </c>
      <c r="D10" s="37"/>
    </row>
    <row r="11" spans="1:4">
      <c r="A11" s="36">
        <v>9</v>
      </c>
      <c r="B11" s="37" t="s">
        <v>41</v>
      </c>
      <c r="C11" s="37">
        <f>+รายการสินค้าตีกลับ!J35</f>
        <v>0</v>
      </c>
      <c r="D11" s="37"/>
    </row>
    <row r="12" spans="1:4">
      <c r="A12" s="36">
        <v>10</v>
      </c>
      <c r="B12" s="37" t="s">
        <v>42</v>
      </c>
      <c r="C12" s="37">
        <f>+รายการสินค้าตีกลับ!K35</f>
        <v>0</v>
      </c>
      <c r="D12" s="37"/>
    </row>
    <row r="13" spans="1:4">
      <c r="A13" s="36">
        <v>11</v>
      </c>
      <c r="B13" s="37" t="s">
        <v>43</v>
      </c>
      <c r="C13" s="37">
        <f>+รายการสินค้าตีกลับ!L35</f>
        <v>0</v>
      </c>
      <c r="D13" s="37"/>
    </row>
    <row r="14" spans="1:4">
      <c r="A14" s="36">
        <v>12</v>
      </c>
      <c r="B14" s="37" t="s">
        <v>69</v>
      </c>
      <c r="C14" s="37">
        <f>+รายการสินค้าตีกลับ!M35</f>
        <v>0</v>
      </c>
      <c r="D14" s="37"/>
    </row>
    <row r="15" spans="1:4">
      <c r="A15" s="36">
        <v>13</v>
      </c>
      <c r="B15" s="37" t="s">
        <v>44</v>
      </c>
      <c r="C15" s="37">
        <f>+รายการสินค้าตีกลับ!N35</f>
        <v>0</v>
      </c>
      <c r="D15" s="37"/>
    </row>
    <row r="16" spans="1:4">
      <c r="A16" s="36">
        <v>14</v>
      </c>
      <c r="B16" s="37" t="s">
        <v>45</v>
      </c>
      <c r="C16" s="37">
        <f>+รายการสินค้าตีกลับ!O35</f>
        <v>0</v>
      </c>
      <c r="D16" s="37"/>
    </row>
    <row r="17" spans="1:4">
      <c r="A17" s="36">
        <v>15</v>
      </c>
      <c r="B17" s="37" t="s">
        <v>46</v>
      </c>
      <c r="C17" s="37">
        <f>+รายการสินค้าตีกลับ!P35</f>
        <v>0</v>
      </c>
      <c r="D17" s="37"/>
    </row>
    <row r="18" spans="1:4">
      <c r="A18" s="36">
        <v>16</v>
      </c>
      <c r="B18" s="37" t="s">
        <v>47</v>
      </c>
      <c r="C18" s="37">
        <f>+รายการสินค้าตีกลับ!Q35</f>
        <v>0</v>
      </c>
      <c r="D18" s="37"/>
    </row>
    <row r="19" spans="1:4">
      <c r="A19" s="36">
        <v>17</v>
      </c>
      <c r="B19" s="37" t="s">
        <v>48</v>
      </c>
      <c r="C19" s="37">
        <f>+รายการสินค้าตีกลับ!R35</f>
        <v>0</v>
      </c>
      <c r="D19" s="37"/>
    </row>
    <row r="20" spans="1:4">
      <c r="A20" s="36">
        <v>18</v>
      </c>
      <c r="B20" s="37" t="s">
        <v>49</v>
      </c>
      <c r="C20" s="37">
        <f>+รายการสินค้าตีกลับ!S35</f>
        <v>0</v>
      </c>
      <c r="D20" s="37"/>
    </row>
    <row r="21" spans="1:4">
      <c r="A21" s="36">
        <v>19</v>
      </c>
      <c r="B21" s="37" t="s">
        <v>50</v>
      </c>
      <c r="C21" s="37">
        <f>+รายการสินค้าตีกลับ!T35</f>
        <v>0</v>
      </c>
      <c r="D21" s="37"/>
    </row>
    <row r="22" spans="1:4">
      <c r="A22" s="36">
        <v>20</v>
      </c>
      <c r="B22" s="37" t="s">
        <v>51</v>
      </c>
      <c r="C22" s="37">
        <f>+รายการสินค้าตีกลับ!U35</f>
        <v>0</v>
      </c>
      <c r="D22" s="37"/>
    </row>
    <row r="23" spans="1:4">
      <c r="A23" s="36">
        <v>21</v>
      </c>
      <c r="B23" s="37" t="s">
        <v>52</v>
      </c>
      <c r="C23" s="37">
        <f>+รายการสินค้าตีกลับ!V35</f>
        <v>0</v>
      </c>
      <c r="D23" s="37"/>
    </row>
    <row r="24" spans="1:4">
      <c r="A24" s="36">
        <v>22</v>
      </c>
      <c r="B24" s="37" t="s">
        <v>53</v>
      </c>
      <c r="C24" s="37">
        <f>+รายการสินค้าตีกลับ!W35</f>
        <v>0</v>
      </c>
      <c r="D24" s="37"/>
    </row>
    <row r="25" spans="1:4">
      <c r="A25" s="36">
        <v>23</v>
      </c>
      <c r="B25" s="37" t="s">
        <v>54</v>
      </c>
      <c r="C25" s="37">
        <f>+รายการสินค้าตีกลับ!X35</f>
        <v>0</v>
      </c>
      <c r="D25" s="37"/>
    </row>
    <row r="26" spans="1:4">
      <c r="A26" s="36">
        <v>24</v>
      </c>
      <c r="B26" s="37" t="s">
        <v>55</v>
      </c>
      <c r="C26" s="37">
        <f>+รายการสินค้าตีกลับ!Y35</f>
        <v>0</v>
      </c>
      <c r="D26" s="37"/>
    </row>
    <row r="27" spans="1:4">
      <c r="A27" s="36">
        <v>25</v>
      </c>
      <c r="B27" s="37" t="s">
        <v>56</v>
      </c>
      <c r="C27" s="37">
        <f>+รายการสินค้าตีกลับ!Z35</f>
        <v>0</v>
      </c>
      <c r="D27" s="37"/>
    </row>
    <row r="28" spans="1:4">
      <c r="A28" s="36">
        <v>26</v>
      </c>
      <c r="B28" s="37" t="s">
        <v>57</v>
      </c>
      <c r="C28" s="37">
        <f>+รายการสินค้าตีกลับ!AA35</f>
        <v>0</v>
      </c>
      <c r="D28" s="37"/>
    </row>
    <row r="29" spans="1:4">
      <c r="A29" s="36">
        <v>27</v>
      </c>
      <c r="B29" s="37" t="s">
        <v>58</v>
      </c>
      <c r="C29" s="37">
        <f>+รายการสินค้าตีกลับ!AB35</f>
        <v>0</v>
      </c>
      <c r="D29" s="37"/>
    </row>
    <row r="30" spans="1:4">
      <c r="A30" s="36">
        <v>28</v>
      </c>
      <c r="B30" s="37" t="s">
        <v>59</v>
      </c>
      <c r="C30" s="37">
        <f>+รายการสินค้าตีกลับ!AC35</f>
        <v>0</v>
      </c>
      <c r="D30" s="37"/>
    </row>
    <row r="31" spans="1:4">
      <c r="A31" s="36">
        <v>29</v>
      </c>
      <c r="B31" s="37" t="s">
        <v>60</v>
      </c>
      <c r="C31" s="37">
        <f>+รายการสินค้าตีกลับ!AD35</f>
        <v>0</v>
      </c>
      <c r="D31" s="37"/>
    </row>
    <row r="32" spans="1:4">
      <c r="A32" s="36">
        <v>30</v>
      </c>
      <c r="B32" s="37" t="s">
        <v>61</v>
      </c>
      <c r="C32" s="37">
        <f>+รายการสินค้าตีกลับ!AE35</f>
        <v>0</v>
      </c>
      <c r="D32" s="37"/>
    </row>
    <row r="33" spans="1:4">
      <c r="A33" s="36">
        <v>31</v>
      </c>
      <c r="B33" s="37" t="s">
        <v>62</v>
      </c>
      <c r="C33" s="37">
        <f>+รายการสินค้าตีกลับ!AF35</f>
        <v>0</v>
      </c>
      <c r="D33" s="37"/>
    </row>
    <row r="34" spans="1:4" ht="30" thickBot="1">
      <c r="B34" s="38" t="s">
        <v>63</v>
      </c>
      <c r="C34" s="39">
        <f>SUM(C3:C33)</f>
        <v>0</v>
      </c>
      <c r="D34" s="40" t="s">
        <v>65</v>
      </c>
    </row>
    <row r="35" spans="1:4" ht="24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82-3BE8-43A3-822B-826BDED3B85D}">
  <sheetPr>
    <tabColor rgb="FF00B0F0"/>
  </sheetPr>
  <dimension ref="A1:O30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9" sqref="E9"/>
    </sheetView>
  </sheetViews>
  <sheetFormatPr defaultRowHeight="23.25"/>
  <cols>
    <col min="1" max="1" width="13.42578125" style="3" customWidth="1"/>
    <col min="2" max="2" width="10.7109375" style="3" bestFit="1" customWidth="1"/>
    <col min="3" max="3" width="17" style="4" bestFit="1" customWidth="1"/>
    <col min="4" max="4" width="33.42578125" style="4" bestFit="1" customWidth="1"/>
    <col min="5" max="5" width="25.5703125" style="4" customWidth="1"/>
    <col min="6" max="6" width="38.28515625" style="4" customWidth="1"/>
    <col min="7" max="7" width="12.140625" style="3" bestFit="1" customWidth="1"/>
    <col min="8" max="8" width="14.5703125" style="3" bestFit="1" customWidth="1"/>
    <col min="9" max="9" width="24.85546875" style="3" bestFit="1" customWidth="1"/>
    <col min="10" max="10" width="45.7109375" style="3" bestFit="1" customWidth="1"/>
    <col min="11" max="11" width="9" style="3" customWidth="1"/>
    <col min="12" max="12" width="9.140625" style="3"/>
    <col min="13" max="13" width="24.85546875" style="3" bestFit="1" customWidth="1"/>
    <col min="14" max="14" width="36" style="3" bestFit="1" customWidth="1"/>
    <col min="15" max="15" width="26.42578125" style="3" customWidth="1"/>
    <col min="16" max="16384" width="9.140625" style="3"/>
  </cols>
  <sheetData>
    <row r="1" spans="1:15" ht="31.5">
      <c r="A1" s="7" t="s">
        <v>99</v>
      </c>
    </row>
    <row r="2" spans="1:15" s="2" customFormat="1">
      <c r="A2" s="60" t="s">
        <v>0</v>
      </c>
      <c r="B2" s="60" t="s">
        <v>5</v>
      </c>
      <c r="C2" s="61" t="s">
        <v>6</v>
      </c>
      <c r="D2" s="61" t="s">
        <v>3</v>
      </c>
      <c r="E2" s="57" t="s">
        <v>24</v>
      </c>
      <c r="F2" s="57" t="s">
        <v>22</v>
      </c>
      <c r="G2" s="61" t="s">
        <v>2</v>
      </c>
      <c r="H2" s="60"/>
      <c r="I2" s="60" t="s">
        <v>4</v>
      </c>
      <c r="J2" s="59" t="s">
        <v>21</v>
      </c>
      <c r="M2" s="55" t="s">
        <v>9</v>
      </c>
      <c r="N2" s="55" t="s">
        <v>74</v>
      </c>
      <c r="O2" s="55" t="s">
        <v>85</v>
      </c>
    </row>
    <row r="3" spans="1:15" s="2" customFormat="1">
      <c r="A3" s="60"/>
      <c r="B3" s="60"/>
      <c r="C3" s="61"/>
      <c r="D3" s="61"/>
      <c r="E3" s="58"/>
      <c r="F3" s="58"/>
      <c r="G3" s="25" t="s">
        <v>7</v>
      </c>
      <c r="H3" s="10" t="s">
        <v>8</v>
      </c>
      <c r="I3" s="60"/>
      <c r="J3" s="59"/>
      <c r="M3" s="56"/>
      <c r="N3" s="56"/>
      <c r="O3" s="56"/>
    </row>
    <row r="4" spans="1:15">
      <c r="A4" s="3">
        <v>1</v>
      </c>
      <c r="B4" s="8"/>
      <c r="D4" s="5"/>
      <c r="E4" s="5"/>
      <c r="F4" s="5"/>
      <c r="G4" s="4"/>
      <c r="H4" s="4"/>
      <c r="M4" s="9" t="s">
        <v>11</v>
      </c>
      <c r="N4" s="9" t="s">
        <v>75</v>
      </c>
      <c r="O4" s="47" t="s">
        <v>25</v>
      </c>
    </row>
    <row r="5" spans="1:15">
      <c r="A5" s="3">
        <v>2</v>
      </c>
      <c r="B5" s="8"/>
      <c r="D5" s="5"/>
      <c r="E5" s="5"/>
      <c r="F5" s="5"/>
      <c r="G5" s="4"/>
      <c r="H5" s="4"/>
      <c r="M5" s="9" t="s">
        <v>10</v>
      </c>
      <c r="N5" s="9" t="s">
        <v>76</v>
      </c>
      <c r="O5" s="48" t="s">
        <v>23</v>
      </c>
    </row>
    <row r="6" spans="1:15">
      <c r="A6" s="3">
        <v>3</v>
      </c>
      <c r="B6" s="8"/>
      <c r="E6" s="5"/>
      <c r="F6" s="5"/>
      <c r="G6" s="4"/>
      <c r="H6" s="4"/>
      <c r="M6" s="9" t="s">
        <v>12</v>
      </c>
      <c r="N6" s="9" t="s">
        <v>77</v>
      </c>
      <c r="O6" s="47" t="s">
        <v>31</v>
      </c>
    </row>
    <row r="7" spans="1:15">
      <c r="A7" s="3">
        <v>4</v>
      </c>
      <c r="B7" s="8"/>
      <c r="E7" s="5"/>
      <c r="F7" s="5"/>
      <c r="G7" s="4"/>
      <c r="H7" s="4"/>
      <c r="M7" s="9" t="s">
        <v>19</v>
      </c>
      <c r="N7" s="9" t="s">
        <v>78</v>
      </c>
      <c r="O7" s="9"/>
    </row>
    <row r="8" spans="1:15">
      <c r="A8" s="3">
        <v>5</v>
      </c>
      <c r="B8" s="8"/>
      <c r="D8" s="5"/>
      <c r="E8" s="5"/>
      <c r="F8" s="5"/>
      <c r="G8" s="4"/>
      <c r="H8" s="4"/>
      <c r="M8" s="9"/>
      <c r="N8" s="9" t="s">
        <v>79</v>
      </c>
      <c r="O8" s="9"/>
    </row>
    <row r="9" spans="1:15">
      <c r="A9" s="3">
        <v>6</v>
      </c>
      <c r="B9" s="8"/>
      <c r="D9" s="5"/>
      <c r="E9" s="5"/>
      <c r="F9" s="5"/>
      <c r="G9" s="4"/>
      <c r="H9" s="4"/>
      <c r="M9" s="9"/>
      <c r="N9" s="9" t="s">
        <v>80</v>
      </c>
      <c r="O9" s="9"/>
    </row>
    <row r="10" spans="1:15">
      <c r="A10" s="3">
        <v>7</v>
      </c>
      <c r="B10" s="8"/>
      <c r="E10" s="5"/>
      <c r="F10" s="5"/>
      <c r="G10" s="4"/>
      <c r="H10" s="4"/>
      <c r="M10" s="9"/>
      <c r="N10" s="9" t="s">
        <v>82</v>
      </c>
      <c r="O10" s="9"/>
    </row>
    <row r="11" spans="1:15">
      <c r="A11" s="3">
        <v>8</v>
      </c>
      <c r="B11" s="8"/>
      <c r="D11" s="5"/>
      <c r="E11" s="5"/>
      <c r="F11" s="5"/>
      <c r="G11" s="4"/>
      <c r="H11" s="4"/>
      <c r="M11" s="9"/>
      <c r="N11" s="9" t="s">
        <v>81</v>
      </c>
      <c r="O11" s="9"/>
    </row>
    <row r="12" spans="1:15">
      <c r="A12" s="3">
        <v>9</v>
      </c>
      <c r="B12" s="8"/>
      <c r="D12" s="5"/>
      <c r="E12" s="5"/>
      <c r="F12" s="5"/>
      <c r="G12" s="4"/>
      <c r="M12" s="9"/>
      <c r="N12" s="9" t="s">
        <v>83</v>
      </c>
      <c r="O12" s="9"/>
    </row>
    <row r="13" spans="1:15">
      <c r="A13" s="3">
        <v>10</v>
      </c>
      <c r="B13" s="8"/>
      <c r="E13" s="5"/>
      <c r="F13" s="5"/>
      <c r="G13" s="4"/>
      <c r="H13" s="4"/>
      <c r="M13" s="9"/>
      <c r="N13" s="9" t="s">
        <v>84</v>
      </c>
      <c r="O13" s="9"/>
    </row>
    <row r="14" spans="1:15">
      <c r="A14" s="3">
        <v>11</v>
      </c>
      <c r="B14" s="8"/>
      <c r="E14" s="5"/>
      <c r="F14" s="3"/>
      <c r="H14" s="4"/>
      <c r="J14" s="4"/>
    </row>
    <row r="15" spans="1:15">
      <c r="A15" s="3">
        <v>12</v>
      </c>
      <c r="B15" s="8"/>
      <c r="E15" s="3"/>
      <c r="F15" s="3"/>
      <c r="H15" s="4"/>
    </row>
    <row r="16" spans="1:15">
      <c r="A16" s="3">
        <v>13</v>
      </c>
      <c r="B16" s="8"/>
      <c r="E16" s="3"/>
      <c r="F16" s="3"/>
      <c r="G16" s="4"/>
      <c r="H16" s="4"/>
    </row>
    <row r="17" spans="1:10">
      <c r="A17" s="3">
        <v>14</v>
      </c>
      <c r="B17" s="8"/>
      <c r="E17" s="3"/>
      <c r="F17" s="3"/>
      <c r="H17" s="4"/>
    </row>
    <row r="18" spans="1:10">
      <c r="A18" s="3">
        <v>15</v>
      </c>
      <c r="B18" s="8"/>
      <c r="C18" s="5"/>
      <c r="E18" s="3"/>
      <c r="F18" s="3"/>
      <c r="H18" s="4"/>
    </row>
    <row r="19" spans="1:10">
      <c r="A19" s="3">
        <v>16</v>
      </c>
      <c r="B19" s="8"/>
      <c r="E19" s="3"/>
      <c r="F19" s="6"/>
      <c r="H19" s="4"/>
    </row>
    <row r="20" spans="1:10">
      <c r="A20" s="3">
        <v>17</v>
      </c>
      <c r="B20" s="8"/>
      <c r="E20" s="3"/>
      <c r="F20" s="6"/>
      <c r="H20" s="4"/>
    </row>
    <row r="21" spans="1:10">
      <c r="A21" s="3">
        <v>18</v>
      </c>
      <c r="B21" s="8"/>
      <c r="E21" s="3"/>
      <c r="F21" s="3"/>
    </row>
    <row r="22" spans="1:10">
      <c r="A22" s="3">
        <v>19</v>
      </c>
      <c r="B22" s="8"/>
      <c r="E22" s="3"/>
      <c r="F22" s="3"/>
      <c r="G22" s="4"/>
    </row>
    <row r="23" spans="1:10">
      <c r="A23" s="3">
        <v>20</v>
      </c>
      <c r="B23" s="8"/>
      <c r="E23" s="3"/>
      <c r="F23" s="3"/>
      <c r="H23" s="4"/>
      <c r="J23" s="4"/>
    </row>
    <row r="24" spans="1:10">
      <c r="A24" s="3">
        <v>21</v>
      </c>
      <c r="B24" s="8"/>
      <c r="F24" s="5"/>
      <c r="H24" s="4"/>
    </row>
    <row r="25" spans="1:10">
      <c r="A25" s="3">
        <v>22</v>
      </c>
      <c r="B25" s="8"/>
      <c r="F25" s="5"/>
      <c r="H25" s="4"/>
    </row>
    <row r="26" spans="1:10">
      <c r="A26" s="3">
        <v>23</v>
      </c>
      <c r="B26" s="8"/>
      <c r="C26" s="5"/>
      <c r="D26" s="5"/>
      <c r="E26" s="5"/>
      <c r="F26" s="5"/>
      <c r="H26" s="4"/>
    </row>
    <row r="27" spans="1:10">
      <c r="A27" s="3">
        <v>24</v>
      </c>
      <c r="B27" s="8"/>
      <c r="H27" s="4"/>
    </row>
    <row r="28" spans="1:10">
      <c r="A28" s="3">
        <v>25</v>
      </c>
      <c r="B28" s="8"/>
      <c r="F28" s="5"/>
      <c r="H28" s="4"/>
    </row>
    <row r="29" spans="1:10">
      <c r="A29" s="3">
        <v>26</v>
      </c>
      <c r="B29" s="8"/>
      <c r="C29" s="5"/>
      <c r="D29" s="5"/>
      <c r="F29" s="5"/>
      <c r="H29" s="4"/>
    </row>
    <row r="30" spans="1:10">
      <c r="A30" s="3">
        <v>27</v>
      </c>
      <c r="B30" s="8"/>
      <c r="F30" s="5"/>
      <c r="H30" s="4"/>
    </row>
  </sheetData>
  <autoFilter ref="A3:AM30" xr:uid="{1679A882-3BE8-43A3-822B-826BDED3B85D}"/>
  <mergeCells count="12">
    <mergeCell ref="A2:A3"/>
    <mergeCell ref="C2:C3"/>
    <mergeCell ref="D2:D3"/>
    <mergeCell ref="I2:I3"/>
    <mergeCell ref="B2:B3"/>
    <mergeCell ref="G2:H2"/>
    <mergeCell ref="N2:N3"/>
    <mergeCell ref="O2:O3"/>
    <mergeCell ref="M2:M3"/>
    <mergeCell ref="E2:E3"/>
    <mergeCell ref="F2:F3"/>
    <mergeCell ref="J2:J3"/>
  </mergeCells>
  <dataValidations count="3">
    <dataValidation type="list" allowBlank="1" showInputMessage="1" showErrorMessage="1" sqref="I1:I1048576" xr:uid="{150B485C-0F1F-4EAC-A79B-B7098D1663FC}">
      <formula1>$M$4:$M$14</formula1>
    </dataValidation>
    <dataValidation type="list" allowBlank="1" showInputMessage="1" showErrorMessage="1" sqref="F1:F1048576" xr:uid="{4C3755F8-DCB1-4274-90F6-F88BDA74BCE2}">
      <formula1>$N$4:$N$13</formula1>
    </dataValidation>
    <dataValidation type="list" allowBlank="1" showInputMessage="1" showErrorMessage="1" sqref="E1:E1048576" xr:uid="{481C2C86-495E-4F80-AFBC-5A41CF787B0E}">
      <formula1>$O$4:$O$13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75CA-9FA4-4B32-AC0E-075BEAD46C3C}">
  <sheetPr>
    <tabColor rgb="FFFF6600"/>
  </sheetPr>
  <dimension ref="A1:N30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4" sqref="B4:J10"/>
    </sheetView>
  </sheetViews>
  <sheetFormatPr defaultRowHeight="23.25"/>
  <cols>
    <col min="1" max="1" width="12.5703125" style="3" customWidth="1"/>
    <col min="2" max="2" width="10" style="3" bestFit="1" customWidth="1"/>
    <col min="3" max="3" width="18" style="4" bestFit="1" customWidth="1"/>
    <col min="4" max="4" width="21.42578125" style="4" bestFit="1" customWidth="1"/>
    <col min="5" max="5" width="20.28515625" style="4" customWidth="1"/>
    <col min="6" max="6" width="17.5703125" style="4" customWidth="1"/>
    <col min="7" max="8" width="15.28515625" style="3" customWidth="1"/>
    <col min="9" max="9" width="24.28515625" style="3" bestFit="1" customWidth="1"/>
    <col min="10" max="10" width="13.42578125" style="3" bestFit="1" customWidth="1"/>
    <col min="11" max="11" width="9" style="3" customWidth="1"/>
    <col min="12" max="12" width="26" style="3" customWidth="1"/>
    <col min="13" max="13" width="16.85546875" style="3" customWidth="1"/>
    <col min="14" max="14" width="22" style="3" customWidth="1"/>
    <col min="15" max="16384" width="9.140625" style="3"/>
  </cols>
  <sheetData>
    <row r="1" spans="1:14" ht="31.5">
      <c r="A1" s="7" t="s">
        <v>98</v>
      </c>
    </row>
    <row r="2" spans="1:14" s="2" customFormat="1">
      <c r="A2" s="64" t="s">
        <v>0</v>
      </c>
      <c r="B2" s="64" t="s">
        <v>5</v>
      </c>
      <c r="C2" s="65" t="s">
        <v>6</v>
      </c>
      <c r="D2" s="65" t="s">
        <v>3</v>
      </c>
      <c r="E2" s="62" t="s">
        <v>24</v>
      </c>
      <c r="F2" s="62" t="s">
        <v>22</v>
      </c>
      <c r="G2" s="64" t="s">
        <v>2</v>
      </c>
      <c r="H2" s="64"/>
      <c r="I2" s="64" t="s">
        <v>4</v>
      </c>
      <c r="J2" s="59" t="s">
        <v>21</v>
      </c>
      <c r="L2" s="55" t="s">
        <v>9</v>
      </c>
      <c r="M2" s="55" t="s">
        <v>74</v>
      </c>
      <c r="N2" s="55" t="s">
        <v>85</v>
      </c>
    </row>
    <row r="3" spans="1:14" s="2" customFormat="1">
      <c r="A3" s="64"/>
      <c r="B3" s="64"/>
      <c r="C3" s="65"/>
      <c r="D3" s="65"/>
      <c r="E3" s="63"/>
      <c r="F3" s="63"/>
      <c r="G3" s="11" t="s">
        <v>7</v>
      </c>
      <c r="H3" s="11" t="s">
        <v>8</v>
      </c>
      <c r="I3" s="64"/>
      <c r="J3" s="59"/>
      <c r="L3" s="56"/>
      <c r="M3" s="56"/>
      <c r="N3" s="56"/>
    </row>
    <row r="4" spans="1:14">
      <c r="A4" s="3">
        <v>1</v>
      </c>
      <c r="B4" s="8"/>
      <c r="C4" s="5"/>
      <c r="D4" s="24"/>
      <c r="E4" s="5"/>
      <c r="F4" s="5"/>
      <c r="G4" s="6"/>
      <c r="H4" s="4"/>
      <c r="L4" s="9" t="s">
        <v>11</v>
      </c>
      <c r="M4" s="9" t="s">
        <v>86</v>
      </c>
      <c r="N4" s="47" t="s">
        <v>25</v>
      </c>
    </row>
    <row r="5" spans="1:14">
      <c r="A5" s="3">
        <v>2</v>
      </c>
      <c r="B5" s="8"/>
      <c r="C5" s="5"/>
      <c r="D5" s="3"/>
      <c r="E5" s="5"/>
      <c r="F5" s="5"/>
      <c r="G5" s="6"/>
      <c r="H5" s="4"/>
      <c r="L5" s="9" t="s">
        <v>10</v>
      </c>
      <c r="M5" s="9" t="s">
        <v>87</v>
      </c>
      <c r="N5" s="48" t="s">
        <v>23</v>
      </c>
    </row>
    <row r="6" spans="1:14">
      <c r="A6" s="3">
        <v>3</v>
      </c>
      <c r="B6" s="8"/>
      <c r="D6" s="1"/>
      <c r="E6" s="5"/>
      <c r="F6" s="5"/>
      <c r="H6" s="4"/>
      <c r="L6" s="9" t="s">
        <v>12</v>
      </c>
      <c r="M6" s="9"/>
      <c r="N6" s="47" t="s">
        <v>31</v>
      </c>
    </row>
    <row r="7" spans="1:14">
      <c r="A7" s="3">
        <v>4</v>
      </c>
      <c r="B7" s="8"/>
      <c r="D7" s="24"/>
      <c r="E7" s="5"/>
      <c r="F7" s="5"/>
      <c r="H7" s="4"/>
      <c r="L7" s="9" t="s">
        <v>19</v>
      </c>
      <c r="M7" s="9"/>
      <c r="N7" s="9"/>
    </row>
    <row r="8" spans="1:14">
      <c r="A8" s="3">
        <v>5</v>
      </c>
      <c r="B8" s="8"/>
      <c r="C8" s="5"/>
      <c r="D8" s="24"/>
      <c r="E8" s="5"/>
      <c r="F8" s="5"/>
      <c r="G8" s="6"/>
      <c r="H8" s="4"/>
    </row>
    <row r="9" spans="1:14">
      <c r="A9" s="3">
        <v>6</v>
      </c>
      <c r="B9" s="8"/>
      <c r="C9" s="5"/>
      <c r="D9" s="1"/>
      <c r="E9" s="5"/>
      <c r="F9" s="5"/>
      <c r="H9" s="4"/>
    </row>
    <row r="10" spans="1:14">
      <c r="A10" s="3">
        <v>7</v>
      </c>
      <c r="B10" s="8"/>
      <c r="D10" s="24"/>
      <c r="E10" s="5"/>
      <c r="F10" s="5"/>
      <c r="H10" s="4"/>
    </row>
    <row r="11" spans="1:14">
      <c r="A11" s="3">
        <v>8</v>
      </c>
      <c r="B11" s="8"/>
      <c r="C11" s="5"/>
      <c r="D11" s="1"/>
      <c r="E11" s="5"/>
      <c r="F11" s="5"/>
      <c r="G11" s="6"/>
      <c r="H11" s="4"/>
    </row>
    <row r="12" spans="1:14">
      <c r="A12" s="3">
        <v>9</v>
      </c>
      <c r="B12" s="8"/>
      <c r="C12" s="5"/>
      <c r="D12" s="1"/>
      <c r="E12" s="5"/>
      <c r="F12" s="5"/>
      <c r="G12" s="4"/>
    </row>
    <row r="13" spans="1:14">
      <c r="A13" s="3">
        <v>10</v>
      </c>
      <c r="B13" s="8"/>
      <c r="D13" s="1"/>
      <c r="E13" s="5"/>
      <c r="F13" s="5"/>
      <c r="G13" s="6"/>
      <c r="H13" s="4"/>
    </row>
    <row r="14" spans="1:14">
      <c r="A14" s="3">
        <v>11</v>
      </c>
      <c r="B14" s="8"/>
      <c r="E14" s="5"/>
      <c r="F14" s="5"/>
      <c r="H14" s="4"/>
    </row>
    <row r="15" spans="1:14">
      <c r="B15" s="8"/>
      <c r="H15" s="4"/>
    </row>
    <row r="16" spans="1:14">
      <c r="H16" s="4"/>
    </row>
    <row r="17" spans="1:8">
      <c r="A17" s="44" t="s">
        <v>71</v>
      </c>
      <c r="B17" s="45" t="s">
        <v>73</v>
      </c>
      <c r="C17" s="46"/>
      <c r="H17" s="4"/>
    </row>
    <row r="18" spans="1:8">
      <c r="B18" s="8"/>
      <c r="C18" s="5"/>
      <c r="D18" s="5"/>
      <c r="E18" s="5"/>
      <c r="F18" s="5"/>
      <c r="H18" s="4"/>
    </row>
    <row r="19" spans="1:8">
      <c r="B19" s="8"/>
      <c r="H19" s="4"/>
    </row>
    <row r="20" spans="1:8">
      <c r="B20" s="8"/>
      <c r="H20" s="4"/>
    </row>
    <row r="21" spans="1:8">
      <c r="B21" s="8"/>
    </row>
    <row r="22" spans="1:8">
      <c r="B22" s="8"/>
      <c r="G22" s="4"/>
    </row>
    <row r="23" spans="1:8">
      <c r="B23" s="8"/>
      <c r="C23" s="5"/>
      <c r="D23" s="5"/>
      <c r="E23" s="5"/>
      <c r="F23" s="5"/>
      <c r="H23" s="4"/>
    </row>
    <row r="24" spans="1:8">
      <c r="B24" s="8"/>
      <c r="H24" s="4"/>
    </row>
    <row r="25" spans="1:8">
      <c r="B25" s="8"/>
      <c r="H25" s="4"/>
    </row>
    <row r="26" spans="1:8">
      <c r="B26" s="8"/>
      <c r="C26" s="5"/>
      <c r="D26" s="5"/>
      <c r="E26" s="5"/>
      <c r="F26" s="5"/>
      <c r="H26" s="4"/>
    </row>
    <row r="27" spans="1:8">
      <c r="B27" s="8"/>
      <c r="H27" s="4"/>
    </row>
    <row r="28" spans="1:8">
      <c r="B28" s="8"/>
      <c r="H28" s="4"/>
    </row>
    <row r="29" spans="1:8">
      <c r="B29" s="8"/>
      <c r="C29" s="5"/>
      <c r="D29" s="5"/>
      <c r="E29" s="5"/>
      <c r="F29" s="5"/>
      <c r="H29" s="4"/>
    </row>
    <row r="30" spans="1:8">
      <c r="B30" s="8"/>
      <c r="H30" s="4"/>
    </row>
  </sheetData>
  <autoFilter ref="A3:N3" xr:uid="{F57E75CA-9FA4-4B32-AC0E-075BEAD46C3C}"/>
  <mergeCells count="12">
    <mergeCell ref="A2:A3"/>
    <mergeCell ref="B2:B3"/>
    <mergeCell ref="C2:C3"/>
    <mergeCell ref="D2:D3"/>
    <mergeCell ref="G2:H2"/>
    <mergeCell ref="M2:M3"/>
    <mergeCell ref="N2:N3"/>
    <mergeCell ref="J2:J3"/>
    <mergeCell ref="L2:L3"/>
    <mergeCell ref="E2:E3"/>
    <mergeCell ref="F2:F3"/>
    <mergeCell ref="I2:I3"/>
  </mergeCells>
  <dataValidations count="3">
    <dataValidation type="list" allowBlank="1" showInputMessage="1" showErrorMessage="1" sqref="I1:I1048576" xr:uid="{209C7868-8AD4-441B-84AE-CCBF623D54AB}">
      <formula1>$L$4:$L$26</formula1>
    </dataValidation>
    <dataValidation type="list" allowBlank="1" showInputMessage="1" showErrorMessage="1" sqref="F1:F1048576" xr:uid="{F8BF9A11-7A30-4122-982D-45BFBB75E7BF}">
      <formula1>$M$4:$M$5</formula1>
    </dataValidation>
    <dataValidation type="list" allowBlank="1" showInputMessage="1" showErrorMessage="1" sqref="E1:E1048576" xr:uid="{F6BEA62E-B817-44C3-AEE6-CDADF3E493E9}">
      <formula1>$N$4:$N$7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E908-8DE2-4FD6-BB7A-1DA67190C67A}">
  <sheetPr>
    <tabColor rgb="FFFF0066"/>
  </sheetPr>
  <dimension ref="A1:N31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14" sqref="B4:J14"/>
    </sheetView>
  </sheetViews>
  <sheetFormatPr defaultRowHeight="23.25"/>
  <cols>
    <col min="1" max="1" width="15.5703125" style="3" customWidth="1"/>
    <col min="2" max="2" width="10.28515625" style="3" bestFit="1" customWidth="1"/>
    <col min="3" max="3" width="19.5703125" style="4" customWidth="1"/>
    <col min="4" max="4" width="20" style="4" customWidth="1"/>
    <col min="5" max="5" width="23.85546875" style="4" customWidth="1"/>
    <col min="6" max="6" width="35.28515625" style="4" customWidth="1"/>
    <col min="7" max="8" width="12.140625" style="3" customWidth="1"/>
    <col min="9" max="9" width="26" style="3" customWidth="1"/>
    <col min="10" max="10" width="13.42578125" style="3" bestFit="1" customWidth="1"/>
    <col min="11" max="12" width="26" style="3" customWidth="1"/>
    <col min="13" max="13" width="36" style="3" bestFit="1" customWidth="1"/>
    <col min="14" max="14" width="29.5703125" style="3" customWidth="1"/>
    <col min="15" max="16384" width="9.140625" style="3"/>
  </cols>
  <sheetData>
    <row r="1" spans="1:14" ht="31.5">
      <c r="A1" s="7" t="s">
        <v>97</v>
      </c>
    </row>
    <row r="2" spans="1:14" s="2" customFormat="1">
      <c r="A2" s="69" t="s">
        <v>0</v>
      </c>
      <c r="B2" s="69" t="s">
        <v>5</v>
      </c>
      <c r="C2" s="70" t="s">
        <v>6</v>
      </c>
      <c r="D2" s="70" t="s">
        <v>3</v>
      </c>
      <c r="E2" s="67" t="s">
        <v>24</v>
      </c>
      <c r="F2" s="67" t="s">
        <v>22</v>
      </c>
      <c r="G2" s="69" t="s">
        <v>2</v>
      </c>
      <c r="H2" s="69"/>
      <c r="I2" s="69" t="s">
        <v>4</v>
      </c>
      <c r="J2" s="59" t="s">
        <v>21</v>
      </c>
      <c r="L2" s="55" t="s">
        <v>9</v>
      </c>
      <c r="M2" s="55" t="s">
        <v>74</v>
      </c>
      <c r="N2" s="55" t="s">
        <v>85</v>
      </c>
    </row>
    <row r="3" spans="1:14" s="2" customFormat="1">
      <c r="A3" s="69"/>
      <c r="B3" s="69"/>
      <c r="C3" s="70"/>
      <c r="D3" s="70"/>
      <c r="E3" s="68"/>
      <c r="F3" s="68"/>
      <c r="G3" s="12" t="s">
        <v>7</v>
      </c>
      <c r="H3" s="12" t="s">
        <v>8</v>
      </c>
      <c r="I3" s="69"/>
      <c r="J3" s="59"/>
      <c r="L3" s="66"/>
      <c r="M3" s="66"/>
      <c r="N3" s="66"/>
    </row>
    <row r="4" spans="1:14">
      <c r="A4" s="3">
        <v>1</v>
      </c>
      <c r="B4" s="8"/>
      <c r="C4" s="5"/>
      <c r="D4" s="5"/>
      <c r="E4" s="5"/>
      <c r="F4" s="5"/>
      <c r="G4" s="6"/>
      <c r="H4" s="4"/>
      <c r="L4" s="9" t="s">
        <v>11</v>
      </c>
      <c r="M4" s="9" t="s">
        <v>88</v>
      </c>
      <c r="N4" s="47" t="s">
        <v>25</v>
      </c>
    </row>
    <row r="5" spans="1:14">
      <c r="A5" s="3">
        <v>2</v>
      </c>
      <c r="B5" s="8"/>
      <c r="C5" s="5"/>
      <c r="D5" s="5"/>
      <c r="E5" s="5"/>
      <c r="F5" s="5"/>
      <c r="G5" s="6"/>
      <c r="H5" s="4"/>
      <c r="L5" s="9" t="s">
        <v>10</v>
      </c>
      <c r="M5" s="9" t="s">
        <v>89</v>
      </c>
      <c r="N5" s="48" t="s">
        <v>23</v>
      </c>
    </row>
    <row r="6" spans="1:14">
      <c r="A6" s="3">
        <v>3</v>
      </c>
      <c r="B6" s="8"/>
      <c r="C6" s="5"/>
      <c r="D6" s="5"/>
      <c r="E6" s="5"/>
      <c r="F6" s="5"/>
      <c r="H6" s="4"/>
      <c r="L6" s="9" t="s">
        <v>12</v>
      </c>
      <c r="M6" s="9" t="s">
        <v>90</v>
      </c>
      <c r="N6" s="47" t="s">
        <v>31</v>
      </c>
    </row>
    <row r="7" spans="1:14">
      <c r="A7" s="3">
        <v>4</v>
      </c>
      <c r="B7" s="8"/>
      <c r="C7" s="5"/>
      <c r="D7" s="5"/>
      <c r="E7" s="5"/>
      <c r="F7" s="5"/>
      <c r="H7" s="4"/>
      <c r="L7" s="9" t="s">
        <v>19</v>
      </c>
      <c r="M7" s="9" t="s">
        <v>91</v>
      </c>
      <c r="N7" s="9" t="s">
        <v>93</v>
      </c>
    </row>
    <row r="8" spans="1:14">
      <c r="A8" s="3">
        <v>5</v>
      </c>
      <c r="B8" s="8"/>
      <c r="E8" s="5"/>
      <c r="F8" s="5"/>
      <c r="H8" s="4"/>
      <c r="L8" s="9"/>
      <c r="M8" s="9" t="s">
        <v>92</v>
      </c>
      <c r="N8" s="9"/>
    </row>
    <row r="9" spans="1:14">
      <c r="A9" s="3">
        <v>6</v>
      </c>
      <c r="B9" s="8"/>
      <c r="D9" s="5"/>
      <c r="E9" s="5"/>
      <c r="F9" s="5"/>
      <c r="H9" s="4"/>
    </row>
    <row r="10" spans="1:14">
      <c r="A10" s="3">
        <v>7</v>
      </c>
      <c r="B10" s="8"/>
      <c r="D10" s="5"/>
      <c r="E10" s="5"/>
      <c r="F10" s="5"/>
      <c r="H10" s="4"/>
    </row>
    <row r="11" spans="1:14">
      <c r="A11" s="3">
        <v>8</v>
      </c>
      <c r="B11" s="8"/>
      <c r="C11" s="5"/>
      <c r="D11" s="5"/>
      <c r="E11" s="5"/>
      <c r="F11" s="5"/>
      <c r="G11" s="6"/>
      <c r="H11" s="4"/>
    </row>
    <row r="12" spans="1:14">
      <c r="A12" s="3">
        <v>9</v>
      </c>
      <c r="B12" s="8"/>
      <c r="C12" s="5"/>
      <c r="D12" s="5"/>
      <c r="E12" s="5"/>
      <c r="F12" s="5"/>
      <c r="G12" s="4"/>
    </row>
    <row r="13" spans="1:14">
      <c r="A13" s="3">
        <v>10</v>
      </c>
      <c r="B13" s="8"/>
      <c r="C13" s="5"/>
      <c r="D13" s="5"/>
      <c r="E13" s="5"/>
      <c r="F13" s="5"/>
      <c r="G13" s="6"/>
      <c r="H13" s="4"/>
    </row>
    <row r="14" spans="1:14">
      <c r="A14" s="3">
        <v>11</v>
      </c>
      <c r="B14" s="8"/>
      <c r="C14" s="5"/>
      <c r="D14" s="5"/>
      <c r="E14" s="5"/>
      <c r="F14" s="5"/>
      <c r="H14" s="4"/>
    </row>
    <row r="15" spans="1:14">
      <c r="A15" s="3">
        <v>12</v>
      </c>
      <c r="B15" s="8"/>
      <c r="C15" s="5"/>
      <c r="D15" s="5"/>
      <c r="E15" s="5"/>
      <c r="F15" s="5"/>
      <c r="H15" s="4"/>
    </row>
    <row r="16" spans="1:14">
      <c r="A16" s="3">
        <v>13</v>
      </c>
      <c r="B16" s="8"/>
      <c r="C16" s="5"/>
      <c r="D16" s="5"/>
      <c r="E16" s="5"/>
      <c r="F16" s="5"/>
      <c r="H16" s="4"/>
    </row>
    <row r="17" spans="1:11" ht="24.75" customHeight="1">
      <c r="A17" s="3">
        <v>14</v>
      </c>
      <c r="B17" s="8"/>
      <c r="C17" s="5"/>
      <c r="D17" s="5"/>
      <c r="E17" s="5"/>
      <c r="F17" s="5"/>
      <c r="H17" s="4"/>
    </row>
    <row r="18" spans="1:11">
      <c r="B18" s="8"/>
      <c r="C18" s="5"/>
      <c r="D18" s="5"/>
      <c r="E18" s="5"/>
      <c r="F18" s="5"/>
      <c r="H18" s="4"/>
    </row>
    <row r="19" spans="1:11">
      <c r="B19" s="8"/>
      <c r="H19" s="4"/>
    </row>
    <row r="20" spans="1:11">
      <c r="A20" s="44" t="s">
        <v>71</v>
      </c>
      <c r="B20" s="45" t="s">
        <v>72</v>
      </c>
      <c r="C20" s="46"/>
      <c r="H20" s="4"/>
    </row>
    <row r="21" spans="1:11">
      <c r="B21" s="8"/>
    </row>
    <row r="22" spans="1:11">
      <c r="B22" s="8"/>
      <c r="G22" s="4"/>
    </row>
    <row r="23" spans="1:11">
      <c r="B23" s="8"/>
      <c r="C23" s="5"/>
      <c r="D23" s="5"/>
      <c r="E23" s="5"/>
      <c r="F23" s="5"/>
      <c r="H23" s="4"/>
    </row>
    <row r="24" spans="1:11">
      <c r="B24" s="8"/>
      <c r="H24" s="4"/>
    </row>
    <row r="25" spans="1:11">
      <c r="B25" s="8"/>
      <c r="H25" s="8"/>
      <c r="I25" s="4"/>
      <c r="J25" s="4"/>
      <c r="K25" s="4"/>
    </row>
    <row r="26" spans="1:11">
      <c r="B26" s="8"/>
      <c r="F26" s="5"/>
      <c r="H26" s="4"/>
    </row>
    <row r="27" spans="1:11">
      <c r="B27" s="8"/>
      <c r="H27" s="4"/>
    </row>
    <row r="28" spans="1:11">
      <c r="B28" s="8"/>
      <c r="H28" s="4"/>
    </row>
    <row r="29" spans="1:11">
      <c r="B29" s="8"/>
      <c r="F29" s="5"/>
      <c r="H29" s="4"/>
    </row>
    <row r="30" spans="1:11">
      <c r="B30" s="8"/>
      <c r="H30" s="4"/>
    </row>
    <row r="31" spans="1:11">
      <c r="B31" s="8"/>
    </row>
  </sheetData>
  <autoFilter ref="A3:N3" xr:uid="{2EE7E908-8DE2-4FD6-BB7A-1DA67190C67A}"/>
  <mergeCells count="12">
    <mergeCell ref="A2:A3"/>
    <mergeCell ref="B2:B3"/>
    <mergeCell ref="C2:C3"/>
    <mergeCell ref="D2:D3"/>
    <mergeCell ref="G2:H2"/>
    <mergeCell ref="M2:M3"/>
    <mergeCell ref="N2:N3"/>
    <mergeCell ref="L2:L3"/>
    <mergeCell ref="F2:F3"/>
    <mergeCell ref="E2:E3"/>
    <mergeCell ref="J2:J3"/>
    <mergeCell ref="I2:I3"/>
  </mergeCells>
  <dataValidations count="3">
    <dataValidation type="list" allowBlank="1" showInputMessage="1" showErrorMessage="1" sqref="I26:I1048576 I1:I24" xr:uid="{19676AA6-3E83-4AA3-B902-B140BCCFDBF8}">
      <formula1>$L$4:$L$27</formula1>
    </dataValidation>
    <dataValidation type="list" allowBlank="1" showInputMessage="1" showErrorMessage="1" sqref="F1:F1048576" xr:uid="{3D84178C-9B6E-44F9-B7C4-88E6DBE1C413}">
      <formula1>$M$4:$M$8</formula1>
    </dataValidation>
    <dataValidation type="list" allowBlank="1" showInputMessage="1" showErrorMessage="1" sqref="K25 E1:E1048576" xr:uid="{C876B902-3CDF-4B09-8F5D-F790F4B7B977}">
      <formula1>$N$4:$N$8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BCA-1D2A-4602-883D-0120B5DC9240}">
  <sheetPr>
    <tabColor rgb="FF00FF99"/>
  </sheetPr>
  <dimension ref="A1:Q82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23.25"/>
  <cols>
    <col min="1" max="1" width="12.5703125" style="3" customWidth="1"/>
    <col min="2" max="2" width="11.28515625" style="3" bestFit="1" customWidth="1"/>
    <col min="3" max="4" width="19.7109375" style="4" customWidth="1"/>
    <col min="5" max="5" width="23.85546875" style="4" customWidth="1"/>
    <col min="6" max="6" width="24.28515625" style="4" customWidth="1"/>
    <col min="7" max="8" width="15.28515625" style="3" customWidth="1"/>
    <col min="9" max="9" width="25.28515625" style="3" bestFit="1" customWidth="1"/>
    <col min="10" max="10" width="20.140625" style="3" bestFit="1" customWidth="1"/>
    <col min="11" max="11" width="12" style="3" customWidth="1"/>
    <col min="12" max="12" width="26" style="3" customWidth="1"/>
    <col min="13" max="13" width="29.28515625" style="3" customWidth="1"/>
    <col min="14" max="14" width="29.42578125" style="3" customWidth="1"/>
    <col min="15" max="17" width="36.140625" style="3" customWidth="1"/>
    <col min="18" max="16384" width="9.140625" style="3"/>
  </cols>
  <sheetData>
    <row r="1" spans="1:17" ht="31.5">
      <c r="A1" s="7" t="s">
        <v>96</v>
      </c>
    </row>
    <row r="2" spans="1:17" s="2" customFormat="1" ht="26.25">
      <c r="A2" s="71" t="s">
        <v>0</v>
      </c>
      <c r="B2" s="71" t="s">
        <v>5</v>
      </c>
      <c r="C2" s="74" t="s">
        <v>6</v>
      </c>
      <c r="D2" s="74" t="s">
        <v>3</v>
      </c>
      <c r="E2" s="72" t="s">
        <v>24</v>
      </c>
      <c r="F2" s="72" t="s">
        <v>22</v>
      </c>
      <c r="G2" s="71" t="s">
        <v>2</v>
      </c>
      <c r="H2" s="71"/>
      <c r="I2" s="71" t="s">
        <v>4</v>
      </c>
      <c r="J2" s="59" t="s">
        <v>21</v>
      </c>
      <c r="L2" s="55" t="s">
        <v>9</v>
      </c>
      <c r="M2" s="55" t="s">
        <v>22</v>
      </c>
      <c r="N2" s="55" t="s">
        <v>85</v>
      </c>
    </row>
    <row r="3" spans="1:17" s="2" customFormat="1" ht="26.25">
      <c r="A3" s="71"/>
      <c r="B3" s="71"/>
      <c r="C3" s="74"/>
      <c r="D3" s="74"/>
      <c r="E3" s="73"/>
      <c r="F3" s="73"/>
      <c r="G3" s="15" t="s">
        <v>7</v>
      </c>
      <c r="H3" s="15" t="s">
        <v>8</v>
      </c>
      <c r="I3" s="71"/>
      <c r="J3" s="59"/>
      <c r="L3" s="66"/>
      <c r="M3" s="66"/>
      <c r="N3" s="66"/>
    </row>
    <row r="4" spans="1:17">
      <c r="A4" s="3">
        <v>1</v>
      </c>
      <c r="B4" s="8"/>
      <c r="C4" s="1"/>
      <c r="D4" s="1"/>
      <c r="E4" s="5"/>
      <c r="F4" s="5"/>
      <c r="G4" s="1"/>
      <c r="H4" s="1"/>
      <c r="J4"/>
      <c r="L4" s="9" t="s">
        <v>11</v>
      </c>
      <c r="M4" s="9" t="s">
        <v>26</v>
      </c>
      <c r="N4" s="47" t="s">
        <v>25</v>
      </c>
      <c r="O4" s="2"/>
      <c r="P4" s="2"/>
      <c r="Q4" s="2"/>
    </row>
    <row r="5" spans="1:17">
      <c r="A5" s="3">
        <v>2</v>
      </c>
      <c r="B5" s="8"/>
      <c r="C5" s="1"/>
      <c r="D5" s="1"/>
      <c r="E5" s="5"/>
      <c r="F5" s="5"/>
      <c r="G5" s="1"/>
      <c r="H5" s="1"/>
      <c r="J5"/>
      <c r="L5" s="9" t="s">
        <v>10</v>
      </c>
      <c r="M5" s="9" t="s">
        <v>27</v>
      </c>
      <c r="N5" s="48" t="s">
        <v>23</v>
      </c>
      <c r="O5" s="2"/>
      <c r="P5" s="2"/>
      <c r="Q5" s="2"/>
    </row>
    <row r="6" spans="1:17">
      <c r="A6" s="3">
        <v>3</v>
      </c>
      <c r="B6" s="8"/>
      <c r="C6" s="1"/>
      <c r="D6" s="1"/>
      <c r="E6" s="5"/>
      <c r="F6" s="5"/>
      <c r="G6" s="1"/>
      <c r="H6" s="1"/>
      <c r="J6"/>
      <c r="L6" s="9" t="s">
        <v>12</v>
      </c>
      <c r="M6" s="9" t="s">
        <v>29</v>
      </c>
      <c r="N6" s="47" t="s">
        <v>31</v>
      </c>
      <c r="O6" s="2"/>
      <c r="P6" s="2"/>
      <c r="Q6" s="2"/>
    </row>
    <row r="7" spans="1:17">
      <c r="A7" s="3">
        <v>4</v>
      </c>
      <c r="B7" s="8"/>
      <c r="C7" s="1"/>
      <c r="D7" s="1"/>
      <c r="E7" s="5"/>
      <c r="F7" s="5"/>
      <c r="G7" s="1"/>
      <c r="H7" s="1"/>
      <c r="J7"/>
      <c r="L7" s="9" t="s">
        <v>19</v>
      </c>
      <c r="M7" s="9" t="s">
        <v>28</v>
      </c>
      <c r="N7" s="9" t="s">
        <v>93</v>
      </c>
      <c r="O7" s="2"/>
      <c r="P7" s="2"/>
      <c r="Q7" s="2"/>
    </row>
    <row r="8" spans="1:17">
      <c r="A8" s="3">
        <v>5</v>
      </c>
      <c r="B8" s="8"/>
      <c r="C8" s="1"/>
      <c r="D8" s="1"/>
      <c r="E8" s="5"/>
      <c r="F8" s="5"/>
      <c r="G8" s="1"/>
      <c r="H8" s="1"/>
      <c r="J8"/>
      <c r="L8" s="9"/>
      <c r="M8" s="9" t="s">
        <v>30</v>
      </c>
      <c r="N8" s="9" t="s">
        <v>94</v>
      </c>
      <c r="O8" s="2"/>
      <c r="P8" s="2"/>
      <c r="Q8" s="2"/>
    </row>
    <row r="9" spans="1:17">
      <c r="A9" s="3">
        <v>6</v>
      </c>
      <c r="B9" s="8"/>
      <c r="C9" s="1"/>
      <c r="D9" s="1"/>
      <c r="E9" s="5"/>
      <c r="F9" s="5"/>
      <c r="G9" s="1"/>
      <c r="H9" s="1"/>
      <c r="J9"/>
      <c r="O9" s="2"/>
      <c r="P9" s="2"/>
      <c r="Q9" s="2"/>
    </row>
    <row r="10" spans="1:17">
      <c r="A10" s="3">
        <v>7</v>
      </c>
      <c r="B10" s="8"/>
      <c r="C10" s="1"/>
      <c r="D10" s="1"/>
      <c r="E10" s="5"/>
      <c r="F10" s="5"/>
      <c r="G10" s="1"/>
      <c r="H10" s="1"/>
      <c r="J10"/>
      <c r="O10" s="2"/>
      <c r="P10" s="2"/>
      <c r="Q10" s="2"/>
    </row>
    <row r="11" spans="1:17">
      <c r="A11" s="3">
        <v>8</v>
      </c>
      <c r="B11" s="8"/>
      <c r="C11" s="1"/>
      <c r="D11" s="1"/>
      <c r="E11" s="5"/>
      <c r="F11" s="5"/>
      <c r="G11" s="1"/>
      <c r="H11" s="1"/>
      <c r="J11"/>
      <c r="O11" s="2"/>
      <c r="P11" s="2"/>
      <c r="Q11" s="2"/>
    </row>
    <row r="12" spans="1:17">
      <c r="A12" s="3">
        <v>9</v>
      </c>
      <c r="B12" s="8"/>
      <c r="C12" s="1"/>
      <c r="D12" s="1"/>
      <c r="E12" s="5"/>
      <c r="F12" s="5"/>
      <c r="G12" s="1"/>
      <c r="H12" s="1"/>
      <c r="J12"/>
      <c r="O12" s="2"/>
      <c r="P12" s="2"/>
      <c r="Q12" s="2"/>
    </row>
    <row r="13" spans="1:17">
      <c r="A13" s="3">
        <v>10</v>
      </c>
      <c r="B13" s="8"/>
      <c r="C13" s="1"/>
      <c r="D13" s="1"/>
      <c r="E13" s="5"/>
      <c r="F13" s="5"/>
      <c r="G13" s="1"/>
      <c r="H13" s="1"/>
      <c r="J13"/>
      <c r="O13" s="2"/>
      <c r="P13" s="2"/>
      <c r="Q13" s="2"/>
    </row>
    <row r="14" spans="1:17">
      <c r="A14" s="3">
        <v>11</v>
      </c>
      <c r="B14" s="8"/>
      <c r="C14" s="1"/>
      <c r="D14" s="1"/>
      <c r="E14" s="5"/>
      <c r="F14" s="5"/>
      <c r="G14" s="1"/>
      <c r="H14" s="1"/>
      <c r="O14" s="2"/>
      <c r="P14" s="2"/>
      <c r="Q14" s="2"/>
    </row>
    <row r="15" spans="1:17">
      <c r="A15" s="3">
        <v>12</v>
      </c>
      <c r="B15" s="8"/>
      <c r="C15" s="1"/>
      <c r="D15" s="1"/>
      <c r="E15" s="5"/>
      <c r="F15" s="5"/>
      <c r="G15" s="6"/>
      <c r="H15" s="1"/>
      <c r="O15" s="2"/>
      <c r="P15" s="2"/>
      <c r="Q15" s="2"/>
    </row>
    <row r="16" spans="1:17">
      <c r="A16" s="3">
        <v>13</v>
      </c>
      <c r="B16" s="8"/>
      <c r="C16" s="1"/>
      <c r="D16" s="1"/>
      <c r="E16" s="5"/>
      <c r="F16" s="5"/>
      <c r="H16" s="1"/>
      <c r="O16" s="2"/>
      <c r="P16" s="2"/>
      <c r="Q16" s="2"/>
    </row>
    <row r="17" spans="1:17">
      <c r="A17" s="3">
        <v>14</v>
      </c>
      <c r="B17" s="8"/>
      <c r="C17" s="1"/>
      <c r="D17" s="1"/>
      <c r="E17" s="5"/>
      <c r="F17" s="5"/>
      <c r="H17" s="1"/>
      <c r="O17" s="2"/>
      <c r="P17" s="2"/>
      <c r="Q17" s="2"/>
    </row>
    <row r="18" spans="1:17">
      <c r="A18" s="3">
        <v>15</v>
      </c>
      <c r="B18" s="8"/>
      <c r="C18" s="1"/>
      <c r="D18" s="1"/>
      <c r="E18" s="5"/>
      <c r="F18" s="5"/>
      <c r="G18" s="1"/>
      <c r="H18" s="1"/>
      <c r="O18" s="2"/>
      <c r="P18" s="2"/>
      <c r="Q18" s="2"/>
    </row>
    <row r="19" spans="1:17">
      <c r="A19" s="3">
        <v>16</v>
      </c>
      <c r="B19" s="8"/>
      <c r="C19" s="1"/>
      <c r="D19" s="1"/>
      <c r="E19" s="5"/>
      <c r="F19" s="5"/>
      <c r="G19" s="1"/>
      <c r="H19" s="1"/>
      <c r="O19" s="2"/>
      <c r="P19" s="2"/>
      <c r="Q19" s="2"/>
    </row>
    <row r="20" spans="1:17">
      <c r="A20" s="3">
        <v>17</v>
      </c>
      <c r="B20" s="8"/>
      <c r="C20" s="1"/>
      <c r="D20" s="1"/>
      <c r="E20" s="5"/>
      <c r="F20" s="5"/>
      <c r="G20" s="1"/>
      <c r="H20" s="1"/>
      <c r="O20" s="2"/>
      <c r="P20" s="2"/>
      <c r="Q20" s="2"/>
    </row>
    <row r="21" spans="1:17">
      <c r="A21" s="3">
        <v>18</v>
      </c>
      <c r="B21" s="8"/>
      <c r="C21" s="1"/>
      <c r="D21" s="49"/>
      <c r="E21" s="5"/>
      <c r="F21" s="5"/>
      <c r="G21" s="1"/>
      <c r="H21" s="1"/>
      <c r="O21" s="2"/>
      <c r="P21" s="2"/>
      <c r="Q21" s="2"/>
    </row>
    <row r="22" spans="1:17">
      <c r="A22" s="3">
        <v>19</v>
      </c>
      <c r="B22" s="8"/>
      <c r="C22" s="1"/>
      <c r="D22" s="1"/>
      <c r="E22" s="5"/>
      <c r="G22" s="1"/>
      <c r="H22" s="1"/>
      <c r="O22" s="2"/>
      <c r="P22" s="2"/>
      <c r="Q22" s="2"/>
    </row>
    <row r="23" spans="1:17">
      <c r="A23" s="3">
        <v>20</v>
      </c>
      <c r="B23" s="8"/>
      <c r="C23" s="1"/>
      <c r="D23" s="1"/>
      <c r="E23" s="5"/>
      <c r="F23" s="5"/>
      <c r="G23" s="1"/>
      <c r="H23" s="1"/>
      <c r="O23" s="2"/>
      <c r="P23" s="2"/>
      <c r="Q23" s="2"/>
    </row>
    <row r="24" spans="1:17">
      <c r="A24" s="3">
        <v>21</v>
      </c>
      <c r="B24" s="8"/>
      <c r="C24" s="1"/>
      <c r="D24" s="1"/>
      <c r="E24" s="5"/>
      <c r="G24" s="1"/>
      <c r="H24" s="1"/>
      <c r="I24" s="1"/>
      <c r="O24" s="2"/>
      <c r="P24" s="2"/>
      <c r="Q24" s="2"/>
    </row>
    <row r="25" spans="1:17">
      <c r="A25" s="3">
        <v>22</v>
      </c>
      <c r="B25" s="8"/>
      <c r="C25" s="1"/>
      <c r="D25" s="1"/>
      <c r="E25" s="5"/>
      <c r="G25" s="1"/>
      <c r="H25" s="1"/>
      <c r="O25" s="2"/>
      <c r="P25" s="2"/>
      <c r="Q25" s="2"/>
    </row>
    <row r="26" spans="1:17">
      <c r="A26" s="3">
        <v>23</v>
      </c>
      <c r="B26" s="8"/>
      <c r="C26" s="1"/>
      <c r="D26" s="1"/>
      <c r="E26" s="5"/>
      <c r="F26" s="5"/>
      <c r="G26" s="1"/>
      <c r="H26" s="1"/>
      <c r="O26" s="2"/>
      <c r="P26" s="2"/>
      <c r="Q26" s="2"/>
    </row>
    <row r="27" spans="1:17">
      <c r="A27" s="3">
        <v>24</v>
      </c>
      <c r="B27" s="8"/>
      <c r="C27" s="1"/>
      <c r="D27" s="1"/>
      <c r="E27" s="5"/>
      <c r="G27" s="1"/>
      <c r="H27" s="1"/>
      <c r="I27" s="1"/>
      <c r="O27" s="2"/>
      <c r="P27" s="2"/>
      <c r="Q27" s="2"/>
    </row>
    <row r="28" spans="1:17">
      <c r="A28" s="3">
        <v>25</v>
      </c>
      <c r="B28" s="8"/>
      <c r="C28" s="1"/>
      <c r="D28" s="1"/>
      <c r="E28" s="5"/>
      <c r="G28" s="1"/>
      <c r="H28" s="1"/>
      <c r="O28" s="2"/>
      <c r="P28" s="2"/>
      <c r="Q28" s="2"/>
    </row>
    <row r="29" spans="1:17">
      <c r="A29" s="3">
        <v>26</v>
      </c>
      <c r="B29" s="8"/>
      <c r="C29" s="1"/>
      <c r="D29" s="1"/>
      <c r="E29" s="5"/>
      <c r="F29" s="5"/>
      <c r="G29" s="1"/>
      <c r="H29" s="1"/>
      <c r="O29" s="2"/>
      <c r="P29" s="2"/>
      <c r="Q29" s="2"/>
    </row>
    <row r="30" spans="1:17">
      <c r="A30" s="3">
        <v>27</v>
      </c>
      <c r="B30" s="8"/>
      <c r="C30" s="1"/>
      <c r="D30" s="1"/>
      <c r="E30" s="5"/>
      <c r="G30" s="1"/>
      <c r="H30" s="1"/>
      <c r="I30" s="1"/>
    </row>
    <row r="31" spans="1:17">
      <c r="A31" s="3">
        <v>28</v>
      </c>
      <c r="B31" s="8"/>
      <c r="C31" s="1"/>
      <c r="D31" s="1"/>
      <c r="E31" s="5"/>
      <c r="G31" s="1"/>
      <c r="H31" s="1"/>
    </row>
    <row r="32" spans="1:17">
      <c r="A32" s="3">
        <v>29</v>
      </c>
      <c r="B32" s="8"/>
      <c r="C32" s="1"/>
      <c r="D32" s="1"/>
      <c r="E32" s="5"/>
      <c r="G32" s="1"/>
      <c r="H32" s="1"/>
    </row>
    <row r="33" spans="1:9">
      <c r="A33" s="3">
        <v>30</v>
      </c>
      <c r="B33" s="8"/>
      <c r="C33" s="1"/>
      <c r="D33" s="1"/>
      <c r="E33" s="5"/>
      <c r="G33" s="1"/>
      <c r="H33" s="1"/>
      <c r="I33" s="1"/>
    </row>
    <row r="34" spans="1:9">
      <c r="A34" s="3">
        <v>31</v>
      </c>
      <c r="B34" s="8"/>
      <c r="C34" s="1"/>
      <c r="D34" s="1"/>
      <c r="E34" s="5"/>
      <c r="G34" s="1"/>
      <c r="H34" s="1"/>
    </row>
    <row r="35" spans="1:9">
      <c r="A35" s="3">
        <v>32</v>
      </c>
      <c r="B35" s="8"/>
      <c r="C35" s="1"/>
      <c r="D35" s="1"/>
      <c r="E35" s="5"/>
      <c r="G35" s="1"/>
      <c r="H35" s="1"/>
    </row>
    <row r="36" spans="1:9">
      <c r="A36" s="3">
        <v>33</v>
      </c>
      <c r="B36" s="8"/>
      <c r="C36" s="1"/>
      <c r="D36" s="1"/>
      <c r="E36" s="5"/>
      <c r="G36" s="1"/>
      <c r="H36" s="1"/>
      <c r="I36" s="1"/>
    </row>
    <row r="37" spans="1:9">
      <c r="A37" s="3">
        <v>34</v>
      </c>
      <c r="B37" s="8"/>
      <c r="C37" s="1"/>
      <c r="D37" s="1"/>
      <c r="E37" s="5"/>
      <c r="G37" s="1"/>
      <c r="H37" s="1"/>
    </row>
    <row r="38" spans="1:9">
      <c r="A38" s="3">
        <v>35</v>
      </c>
      <c r="B38" s="8"/>
      <c r="C38" s="1"/>
      <c r="D38" s="1"/>
      <c r="E38" s="5"/>
      <c r="G38" s="1"/>
      <c r="H38" s="1"/>
    </row>
    <row r="39" spans="1:9">
      <c r="A39" s="3">
        <v>36</v>
      </c>
      <c r="B39" s="8"/>
      <c r="C39" s="1"/>
      <c r="D39" s="1"/>
      <c r="E39" s="5"/>
      <c r="G39" s="1"/>
      <c r="H39" s="1"/>
      <c r="I39" s="1"/>
    </row>
    <row r="40" spans="1:9">
      <c r="A40" s="3">
        <v>37</v>
      </c>
      <c r="B40" s="8"/>
      <c r="C40" s="1"/>
      <c r="D40" s="1"/>
      <c r="E40" s="5"/>
      <c r="G40" s="1"/>
      <c r="H40" s="1"/>
    </row>
    <row r="41" spans="1:9">
      <c r="A41" s="3">
        <v>38</v>
      </c>
      <c r="B41" s="8"/>
      <c r="C41" s="1"/>
      <c r="D41" s="1"/>
      <c r="E41" s="5"/>
      <c r="G41" s="1"/>
      <c r="H41" s="1"/>
    </row>
    <row r="42" spans="1:9">
      <c r="A42" s="3">
        <v>39</v>
      </c>
      <c r="B42" s="8"/>
      <c r="C42" s="1"/>
      <c r="D42" s="1"/>
      <c r="E42" s="5"/>
      <c r="G42" s="1"/>
      <c r="H42" s="1"/>
      <c r="I42" s="1"/>
    </row>
    <row r="43" spans="1:9">
      <c r="A43" s="3">
        <v>40</v>
      </c>
      <c r="B43" s="8"/>
      <c r="C43" s="1"/>
      <c r="D43" s="1"/>
      <c r="E43" s="5"/>
      <c r="G43" s="1"/>
      <c r="H43" s="1"/>
    </row>
    <row r="44" spans="1:9">
      <c r="A44" s="3">
        <v>41</v>
      </c>
      <c r="B44" s="8"/>
      <c r="D44" s="1"/>
      <c r="E44" s="5"/>
      <c r="G44" s="1"/>
      <c r="H44" s="1"/>
    </row>
    <row r="45" spans="1:9">
      <c r="A45" s="3">
        <v>42</v>
      </c>
      <c r="B45" s="8"/>
      <c r="C45" s="1"/>
      <c r="D45" s="1"/>
      <c r="E45" s="5"/>
      <c r="G45" s="1"/>
      <c r="H45" s="1"/>
      <c r="I45" s="1"/>
    </row>
    <row r="46" spans="1:9">
      <c r="A46" s="3">
        <v>43</v>
      </c>
      <c r="B46" s="8"/>
      <c r="C46" s="1"/>
      <c r="D46" s="1"/>
      <c r="E46" s="5"/>
      <c r="G46" s="1"/>
      <c r="H46" s="1"/>
    </row>
    <row r="47" spans="1:9">
      <c r="A47" s="3">
        <v>44</v>
      </c>
      <c r="B47" s="8"/>
      <c r="C47" s="1"/>
      <c r="D47" s="1"/>
      <c r="E47" s="5"/>
      <c r="G47" s="1"/>
      <c r="H47" s="1"/>
    </row>
    <row r="48" spans="1:9">
      <c r="A48" s="3">
        <v>45</v>
      </c>
      <c r="B48" s="8"/>
      <c r="C48" s="1"/>
      <c r="D48" s="1"/>
      <c r="E48" s="5"/>
      <c r="G48" s="1"/>
      <c r="H48" s="1"/>
      <c r="I48" s="1"/>
    </row>
    <row r="49" spans="1:9">
      <c r="A49" s="3">
        <v>46</v>
      </c>
      <c r="B49" s="8"/>
      <c r="C49" s="1"/>
      <c r="D49" s="1"/>
      <c r="E49" s="5"/>
      <c r="G49" s="1"/>
      <c r="H49" s="1"/>
    </row>
    <row r="50" spans="1:9">
      <c r="A50" s="3">
        <v>47</v>
      </c>
      <c r="B50" s="8"/>
      <c r="C50" s="1"/>
      <c r="D50" s="1"/>
      <c r="E50" s="5"/>
      <c r="G50" s="1"/>
      <c r="H50" s="1"/>
    </row>
    <row r="51" spans="1:9">
      <c r="A51" s="3">
        <v>48</v>
      </c>
      <c r="B51" s="8"/>
      <c r="C51" s="1"/>
      <c r="D51" s="1"/>
      <c r="E51" s="5"/>
      <c r="G51" s="1"/>
      <c r="H51" s="1"/>
      <c r="I51" s="1"/>
    </row>
    <row r="52" spans="1:9">
      <c r="A52" s="3">
        <v>49</v>
      </c>
      <c r="B52" s="8"/>
      <c r="C52" s="1"/>
      <c r="D52" s="1"/>
      <c r="E52" s="5"/>
      <c r="G52" s="1"/>
      <c r="H52" s="1"/>
    </row>
    <row r="53" spans="1:9">
      <c r="A53" s="3">
        <v>50</v>
      </c>
      <c r="B53" s="8"/>
      <c r="C53" s="1"/>
      <c r="D53" s="1"/>
      <c r="E53" s="5"/>
      <c r="G53" s="1"/>
      <c r="H53" s="1"/>
    </row>
    <row r="54" spans="1:9">
      <c r="A54" s="3">
        <v>51</v>
      </c>
      <c r="B54" s="8"/>
      <c r="C54" s="1"/>
      <c r="D54" s="1"/>
      <c r="E54" s="5"/>
      <c r="G54" s="1"/>
      <c r="H54" s="1"/>
      <c r="I54" s="1"/>
    </row>
    <row r="55" spans="1:9">
      <c r="A55" s="3">
        <v>52</v>
      </c>
      <c r="B55" s="8"/>
      <c r="C55" s="1"/>
      <c r="D55" s="1"/>
      <c r="E55" s="5"/>
      <c r="G55" s="1"/>
      <c r="H55" s="1"/>
    </row>
    <row r="56" spans="1:9">
      <c r="A56" s="3">
        <v>53</v>
      </c>
      <c r="B56" s="8"/>
      <c r="C56" s="1"/>
      <c r="D56" s="1"/>
      <c r="E56" s="5"/>
      <c r="G56" s="1"/>
      <c r="H56" s="1"/>
    </row>
    <row r="57" spans="1:9">
      <c r="A57" s="3">
        <v>54</v>
      </c>
      <c r="B57" s="8"/>
      <c r="C57" s="1"/>
      <c r="D57" s="1"/>
      <c r="E57" s="5"/>
      <c r="G57" s="1"/>
      <c r="H57" s="1"/>
      <c r="I57" s="1"/>
    </row>
    <row r="58" spans="1:9">
      <c r="A58" s="3">
        <v>55</v>
      </c>
      <c r="B58" s="8"/>
      <c r="C58" s="1"/>
      <c r="D58" s="1"/>
      <c r="E58" s="5"/>
      <c r="G58" s="1"/>
      <c r="H58" s="1"/>
    </row>
    <row r="59" spans="1:9">
      <c r="A59" s="3">
        <v>56</v>
      </c>
      <c r="B59" s="8"/>
      <c r="D59" s="1"/>
      <c r="E59" s="5"/>
      <c r="G59" s="1"/>
      <c r="H59" s="1"/>
    </row>
    <row r="60" spans="1:9">
      <c r="A60" s="3">
        <v>57</v>
      </c>
      <c r="B60" s="8"/>
      <c r="D60" s="1"/>
      <c r="E60" s="5"/>
      <c r="G60" s="1"/>
      <c r="H60" s="1"/>
      <c r="I60" s="1"/>
    </row>
    <row r="61" spans="1:9">
      <c r="A61" s="3">
        <v>58</v>
      </c>
      <c r="B61" s="8"/>
      <c r="C61" s="1"/>
      <c r="D61" s="1"/>
      <c r="E61" s="5"/>
      <c r="G61" s="1"/>
      <c r="H61" s="1"/>
    </row>
    <row r="62" spans="1:9">
      <c r="A62" s="3">
        <v>59</v>
      </c>
      <c r="B62" s="8"/>
      <c r="C62" s="1"/>
      <c r="D62" s="1"/>
      <c r="E62" s="5"/>
      <c r="G62" s="1"/>
      <c r="H62" s="1"/>
    </row>
    <row r="63" spans="1:9">
      <c r="A63" s="3">
        <v>60</v>
      </c>
      <c r="B63" s="8"/>
      <c r="C63" s="1"/>
      <c r="D63" s="1"/>
      <c r="E63" s="5"/>
      <c r="G63" s="1"/>
      <c r="H63" s="1"/>
      <c r="I63" s="1"/>
    </row>
    <row r="64" spans="1:9">
      <c r="A64" s="3">
        <v>61</v>
      </c>
      <c r="B64" s="8"/>
      <c r="C64" s="1"/>
      <c r="D64" s="1"/>
      <c r="E64" s="5"/>
      <c r="G64" s="1"/>
      <c r="H64" s="1"/>
    </row>
    <row r="65" spans="1:9">
      <c r="A65" s="3">
        <v>62</v>
      </c>
      <c r="B65" s="8"/>
      <c r="C65" s="1"/>
      <c r="D65" s="1"/>
      <c r="E65" s="5"/>
      <c r="G65" s="1"/>
      <c r="H65" s="1"/>
    </row>
    <row r="66" spans="1:9">
      <c r="A66" s="3">
        <v>63</v>
      </c>
      <c r="B66" s="8"/>
      <c r="C66" s="1"/>
      <c r="D66" s="1"/>
      <c r="E66" s="5"/>
      <c r="G66" s="1"/>
      <c r="H66" s="1"/>
      <c r="I66" s="1"/>
    </row>
    <row r="67" spans="1:9">
      <c r="A67" s="3">
        <v>64</v>
      </c>
      <c r="B67" s="8"/>
      <c r="C67" s="1"/>
      <c r="D67" s="1"/>
      <c r="E67" s="5"/>
      <c r="G67" s="1"/>
      <c r="H67" s="1"/>
    </row>
    <row r="68" spans="1:9">
      <c r="A68" s="3">
        <v>65</v>
      </c>
      <c r="B68" s="8"/>
      <c r="C68" s="1"/>
      <c r="D68" s="1"/>
      <c r="E68" s="5"/>
      <c r="G68" s="1"/>
      <c r="H68" s="1"/>
    </row>
    <row r="69" spans="1:9">
      <c r="A69" s="3">
        <v>66</v>
      </c>
      <c r="B69" s="8"/>
      <c r="C69" s="1"/>
      <c r="D69" s="1"/>
      <c r="E69" s="5"/>
      <c r="G69" s="1"/>
      <c r="H69" s="1"/>
      <c r="I69" s="1"/>
    </row>
    <row r="70" spans="1:9">
      <c r="A70" s="3">
        <v>67</v>
      </c>
      <c r="B70" s="8"/>
      <c r="C70" s="1"/>
      <c r="D70" s="1"/>
      <c r="E70" s="5"/>
      <c r="G70" s="1"/>
      <c r="H70" s="1"/>
    </row>
    <row r="71" spans="1:9">
      <c r="A71" s="3">
        <v>68</v>
      </c>
      <c r="B71" s="8"/>
      <c r="C71" s="1"/>
      <c r="D71" s="1"/>
      <c r="E71" s="5"/>
      <c r="G71" s="1"/>
      <c r="H71" s="1"/>
    </row>
    <row r="72" spans="1:9">
      <c r="A72" s="3">
        <v>69</v>
      </c>
      <c r="B72" s="8"/>
      <c r="C72" s="1"/>
      <c r="D72" s="1"/>
      <c r="E72" s="5"/>
      <c r="G72" s="1"/>
      <c r="H72" s="1"/>
      <c r="I72" s="1"/>
    </row>
    <row r="73" spans="1:9">
      <c r="A73" s="3">
        <v>70</v>
      </c>
      <c r="B73" s="8"/>
      <c r="C73" s="1"/>
      <c r="D73" s="1"/>
      <c r="E73" s="5"/>
      <c r="G73" s="1"/>
      <c r="H73" s="1"/>
    </row>
    <row r="74" spans="1:9">
      <c r="A74" s="3">
        <v>71</v>
      </c>
      <c r="B74" s="8"/>
      <c r="C74" s="1"/>
      <c r="D74" s="1"/>
      <c r="E74" s="5"/>
      <c r="G74" s="1"/>
      <c r="H74" s="1"/>
    </row>
    <row r="75" spans="1:9">
      <c r="A75" s="3">
        <v>72</v>
      </c>
      <c r="B75" s="8"/>
      <c r="C75" s="1"/>
      <c r="D75" s="1"/>
      <c r="E75" s="5"/>
      <c r="G75" s="1"/>
      <c r="H75" s="1"/>
      <c r="I75" s="1"/>
    </row>
    <row r="76" spans="1:9">
      <c r="A76" s="3">
        <v>73</v>
      </c>
      <c r="B76" s="8"/>
      <c r="C76" s="1"/>
      <c r="D76" s="1"/>
      <c r="E76" s="5"/>
      <c r="G76" s="1"/>
      <c r="H76" s="1"/>
    </row>
    <row r="77" spans="1:9">
      <c r="A77" s="3">
        <v>74</v>
      </c>
      <c r="B77" s="8"/>
      <c r="C77" s="1"/>
      <c r="D77" s="1"/>
      <c r="E77" s="5"/>
      <c r="G77" s="1"/>
      <c r="H77" s="1"/>
    </row>
    <row r="78" spans="1:9">
      <c r="A78" s="3">
        <v>75</v>
      </c>
      <c r="B78" s="8"/>
      <c r="C78" s="1"/>
      <c r="D78" s="1"/>
      <c r="E78" s="5"/>
      <c r="G78" s="1"/>
      <c r="H78" s="1"/>
      <c r="I78" s="1"/>
    </row>
    <row r="79" spans="1:9">
      <c r="A79" s="3">
        <v>76</v>
      </c>
      <c r="B79" s="8"/>
      <c r="C79" s="1"/>
      <c r="D79" s="1"/>
      <c r="E79" s="5"/>
      <c r="G79" s="1"/>
      <c r="H79" s="1"/>
    </row>
    <row r="80" spans="1:9">
      <c r="A80" s="3">
        <v>77</v>
      </c>
      <c r="B80" s="8"/>
      <c r="C80" s="1"/>
      <c r="D80" s="1"/>
      <c r="E80" s="5"/>
      <c r="G80" s="1"/>
      <c r="H80" s="1"/>
    </row>
    <row r="81" spans="1:9">
      <c r="A81" s="3">
        <v>78</v>
      </c>
      <c r="B81" s="8"/>
      <c r="C81" s="1"/>
      <c r="D81" s="1"/>
      <c r="E81" s="5"/>
      <c r="G81" s="1"/>
      <c r="H81" s="1"/>
      <c r="I81" s="1"/>
    </row>
    <row r="82" spans="1:9">
      <c r="A82" s="3">
        <v>79</v>
      </c>
      <c r="B82" s="8"/>
      <c r="C82" s="1"/>
      <c r="D82" s="1"/>
      <c r="E82" s="5"/>
      <c r="G82" s="1"/>
      <c r="H82" s="1"/>
    </row>
  </sheetData>
  <autoFilter ref="A3:W82" xr:uid="{5D80EBCA-1D2A-4602-883D-0120B5DC9240}"/>
  <dataConsolidate/>
  <mergeCells count="12">
    <mergeCell ref="A2:A3"/>
    <mergeCell ref="B2:B3"/>
    <mergeCell ref="C2:C3"/>
    <mergeCell ref="D2:D3"/>
    <mergeCell ref="G2:H2"/>
    <mergeCell ref="J2:J3"/>
    <mergeCell ref="L2:L3"/>
    <mergeCell ref="N2:N3"/>
    <mergeCell ref="I2:I3"/>
    <mergeCell ref="E2:E3"/>
    <mergeCell ref="F2:F3"/>
    <mergeCell ref="M2:M3"/>
  </mergeCells>
  <dataValidations count="3">
    <dataValidation type="list" allowBlank="1" showInputMessage="1" showErrorMessage="1" sqref="I1:I1048576" xr:uid="{2736945C-7942-4DEE-A17E-B5B71DE7D63A}">
      <formula1>$L$4:$L$25</formula1>
    </dataValidation>
    <dataValidation type="list" allowBlank="1" showInputMessage="1" showErrorMessage="1" sqref="F1:F1048576" xr:uid="{55F7DB15-91F3-41AA-B28C-C90A1171C47B}">
      <formula1>$M$2:$M$27</formula1>
    </dataValidation>
    <dataValidation type="list" allowBlank="1" showInputMessage="1" showErrorMessage="1" sqref="E1:E1048576" xr:uid="{D2FC0E2E-1651-4C21-9903-7CD645E6E4FF}">
      <formula1>$N$4:$N$8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AF43-78FF-485F-A91A-10BC19B0F29A}">
  <sheetPr>
    <tabColor rgb="FF7030A0"/>
  </sheetPr>
  <dimension ref="A1:AG35"/>
  <sheetViews>
    <sheetView tabSelected="1" zoomScaleNormal="100" workbookViewId="0">
      <pane xSplit="5" ySplit="3" topLeftCell="T4" activePane="bottomRight" state="frozen"/>
      <selection pane="topRight" activeCell="F1" sqref="F1"/>
      <selection pane="bottomLeft" activeCell="A4" sqref="A4"/>
      <selection pane="bottomRight" activeCell="V20" sqref="V19:V20"/>
    </sheetView>
  </sheetViews>
  <sheetFormatPr defaultRowHeight="23.25"/>
  <cols>
    <col min="1" max="1" width="16.140625" style="3" customWidth="1"/>
    <col min="2" max="2" width="16.85546875" style="3" bestFit="1" customWidth="1"/>
    <col min="3" max="4" width="15.28515625" style="3" bestFit="1" customWidth="1"/>
    <col min="5" max="6" width="22.42578125" style="3" bestFit="1" customWidth="1"/>
    <col min="7" max="7" width="11" style="3" bestFit="1" customWidth="1"/>
    <col min="8" max="8" width="11.140625" style="3" bestFit="1" customWidth="1"/>
    <col min="9" max="9" width="8.5703125" style="3" bestFit="1" customWidth="1"/>
    <col min="10" max="10" width="12" style="3" bestFit="1" customWidth="1"/>
    <col min="11" max="11" width="8.7109375" style="3" bestFit="1" customWidth="1"/>
    <col min="12" max="12" width="12.140625" style="3" bestFit="1" customWidth="1"/>
    <col min="13" max="13" width="14.5703125" style="3" bestFit="1" customWidth="1"/>
    <col min="14" max="14" width="9.28515625" style="3" bestFit="1" customWidth="1"/>
    <col min="15" max="15" width="21.5703125" style="3" bestFit="1" customWidth="1"/>
    <col min="16" max="16" width="18.7109375" style="3" bestFit="1" customWidth="1"/>
    <col min="17" max="17" width="14.85546875" style="3" bestFit="1" customWidth="1"/>
    <col min="18" max="19" width="23.42578125" style="3" bestFit="1" customWidth="1"/>
    <col min="20" max="20" width="18.5703125" style="3" bestFit="1" customWidth="1"/>
    <col min="21" max="21" width="13.140625" style="3" bestFit="1" customWidth="1"/>
    <col min="22" max="22" width="12.42578125" style="3" bestFit="1" customWidth="1"/>
    <col min="23" max="23" width="8.5703125" style="3" bestFit="1" customWidth="1"/>
    <col min="24" max="24" width="8.28515625" style="3" bestFit="1" customWidth="1"/>
    <col min="25" max="25" width="11.140625" style="3" bestFit="1" customWidth="1"/>
    <col min="26" max="26" width="11.42578125" style="3" bestFit="1" customWidth="1"/>
    <col min="27" max="27" width="7.140625" style="3" bestFit="1" customWidth="1"/>
    <col min="28" max="28" width="11.140625" style="3" bestFit="1" customWidth="1"/>
    <col min="29" max="29" width="10" style="3" bestFit="1" customWidth="1"/>
    <col min="30" max="30" width="5.42578125" style="3" bestFit="1" customWidth="1"/>
    <col min="31" max="31" width="16.42578125" style="3" bestFit="1" customWidth="1"/>
    <col min="32" max="32" width="11.140625" style="3" bestFit="1" customWidth="1"/>
    <col min="33" max="33" width="26.28515625" style="3" bestFit="1" customWidth="1"/>
    <col min="34" max="16384" width="9.140625" style="3"/>
  </cols>
  <sheetData>
    <row r="1" spans="1:33" s="28" customFormat="1" ht="31.5">
      <c r="A1" s="7" t="s">
        <v>95</v>
      </c>
    </row>
    <row r="2" spans="1:33" s="27" customFormat="1" ht="26.25" customHeight="1">
      <c r="A2" s="75" t="s">
        <v>32</v>
      </c>
      <c r="B2" s="77" t="s">
        <v>64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9"/>
      <c r="AG2" s="80" t="s">
        <v>67</v>
      </c>
    </row>
    <row r="3" spans="1:33" s="27" customFormat="1" ht="26.25">
      <c r="A3" s="76"/>
      <c r="B3" s="29" t="s">
        <v>33</v>
      </c>
      <c r="C3" s="29" t="s">
        <v>34</v>
      </c>
      <c r="D3" s="29" t="s">
        <v>35</v>
      </c>
      <c r="E3" s="29" t="s">
        <v>36</v>
      </c>
      <c r="F3" s="29" t="s">
        <v>37</v>
      </c>
      <c r="G3" s="29" t="s">
        <v>38</v>
      </c>
      <c r="H3" s="29" t="s">
        <v>39</v>
      </c>
      <c r="I3" s="29" t="s">
        <v>40</v>
      </c>
      <c r="J3" s="29" t="s">
        <v>41</v>
      </c>
      <c r="K3" s="29" t="s">
        <v>42</v>
      </c>
      <c r="L3" s="29" t="s">
        <v>43</v>
      </c>
      <c r="M3" s="29" t="s">
        <v>69</v>
      </c>
      <c r="N3" s="29" t="s">
        <v>44</v>
      </c>
      <c r="O3" s="29" t="s">
        <v>45</v>
      </c>
      <c r="P3" s="29" t="s">
        <v>46</v>
      </c>
      <c r="Q3" s="29" t="s">
        <v>47</v>
      </c>
      <c r="R3" s="29" t="s">
        <v>48</v>
      </c>
      <c r="S3" s="29" t="s">
        <v>49</v>
      </c>
      <c r="T3" s="29" t="s">
        <v>50</v>
      </c>
      <c r="U3" s="29" t="s">
        <v>51</v>
      </c>
      <c r="V3" s="29" t="s">
        <v>52</v>
      </c>
      <c r="W3" s="29" t="s">
        <v>53</v>
      </c>
      <c r="X3" s="29" t="s">
        <v>54</v>
      </c>
      <c r="Y3" s="29" t="s">
        <v>55</v>
      </c>
      <c r="Z3" s="29" t="s">
        <v>56</v>
      </c>
      <c r="AA3" s="29" t="s">
        <v>57</v>
      </c>
      <c r="AB3" s="29" t="s">
        <v>58</v>
      </c>
      <c r="AC3" s="29" t="s">
        <v>59</v>
      </c>
      <c r="AD3" s="29" t="s">
        <v>60</v>
      </c>
      <c r="AE3" s="29" t="s">
        <v>61</v>
      </c>
      <c r="AF3" s="29" t="s">
        <v>62</v>
      </c>
      <c r="AG3" s="80"/>
    </row>
    <row r="4" spans="1:33">
      <c r="A4" s="30">
        <v>243678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31">
        <f>SUM(B4:AF4)</f>
        <v>0</v>
      </c>
    </row>
    <row r="5" spans="1:33">
      <c r="A5" s="30">
        <v>243679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31">
        <f t="shared" ref="AG5:AG34" si="0">SUM(B5:AF5)</f>
        <v>0</v>
      </c>
    </row>
    <row r="6" spans="1:33">
      <c r="A6" s="30">
        <v>243680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31">
        <f t="shared" si="0"/>
        <v>0</v>
      </c>
    </row>
    <row r="7" spans="1:33">
      <c r="A7" s="30">
        <v>243681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31">
        <f t="shared" si="0"/>
        <v>0</v>
      </c>
    </row>
    <row r="8" spans="1:33">
      <c r="A8" s="30">
        <v>243682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31">
        <f t="shared" si="0"/>
        <v>0</v>
      </c>
    </row>
    <row r="9" spans="1:33">
      <c r="A9" s="30">
        <v>243683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31">
        <f t="shared" si="0"/>
        <v>0</v>
      </c>
    </row>
    <row r="10" spans="1:33">
      <c r="A10" s="30">
        <v>243684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31">
        <f t="shared" si="0"/>
        <v>0</v>
      </c>
    </row>
    <row r="11" spans="1:33">
      <c r="A11" s="30">
        <v>243685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31">
        <f t="shared" si="0"/>
        <v>0</v>
      </c>
    </row>
    <row r="12" spans="1:33">
      <c r="A12" s="30">
        <v>243686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31">
        <f t="shared" si="0"/>
        <v>0</v>
      </c>
    </row>
    <row r="13" spans="1:33">
      <c r="A13" s="30">
        <v>243687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31">
        <f t="shared" si="0"/>
        <v>0</v>
      </c>
    </row>
    <row r="14" spans="1:33">
      <c r="A14" s="30">
        <v>243688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31">
        <f t="shared" si="0"/>
        <v>0</v>
      </c>
    </row>
    <row r="15" spans="1:33">
      <c r="A15" s="30">
        <v>243689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31">
        <f t="shared" si="0"/>
        <v>0</v>
      </c>
    </row>
    <row r="16" spans="1:33">
      <c r="A16" s="30">
        <v>243690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31">
        <f t="shared" si="0"/>
        <v>0</v>
      </c>
    </row>
    <row r="17" spans="1:33">
      <c r="A17" s="30">
        <v>243691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31">
        <f t="shared" si="0"/>
        <v>0</v>
      </c>
    </row>
    <row r="18" spans="1:33">
      <c r="A18" s="30">
        <v>243692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31">
        <f t="shared" si="0"/>
        <v>0</v>
      </c>
    </row>
    <row r="19" spans="1:33">
      <c r="A19" s="30">
        <v>243693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31">
        <f t="shared" si="0"/>
        <v>0</v>
      </c>
    </row>
    <row r="20" spans="1:33">
      <c r="A20" s="30">
        <v>243694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31">
        <f t="shared" si="0"/>
        <v>0</v>
      </c>
    </row>
    <row r="21" spans="1:33">
      <c r="A21" s="30">
        <v>243695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31">
        <f t="shared" si="0"/>
        <v>0</v>
      </c>
    </row>
    <row r="22" spans="1:33">
      <c r="A22" s="30">
        <v>243696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31">
        <f t="shared" si="0"/>
        <v>0</v>
      </c>
    </row>
    <row r="23" spans="1:33">
      <c r="A23" s="30">
        <v>243697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31">
        <f t="shared" si="0"/>
        <v>0</v>
      </c>
    </row>
    <row r="24" spans="1:33">
      <c r="A24" s="30">
        <v>243698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31">
        <f t="shared" si="0"/>
        <v>0</v>
      </c>
    </row>
    <row r="25" spans="1:33">
      <c r="A25" s="30">
        <v>243699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31">
        <f t="shared" si="0"/>
        <v>0</v>
      </c>
    </row>
    <row r="26" spans="1:33">
      <c r="A26" s="30">
        <v>243700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31">
        <f t="shared" si="0"/>
        <v>0</v>
      </c>
    </row>
    <row r="27" spans="1:33">
      <c r="A27" s="30">
        <v>243701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31">
        <f t="shared" si="0"/>
        <v>0</v>
      </c>
    </row>
    <row r="28" spans="1:33">
      <c r="A28" s="30">
        <v>243702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31">
        <f t="shared" si="0"/>
        <v>0</v>
      </c>
    </row>
    <row r="29" spans="1:33">
      <c r="A29" s="30">
        <v>243703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31">
        <f t="shared" si="0"/>
        <v>0</v>
      </c>
    </row>
    <row r="30" spans="1:33">
      <c r="A30" s="30">
        <v>243704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31">
        <f t="shared" si="0"/>
        <v>0</v>
      </c>
    </row>
    <row r="31" spans="1:33">
      <c r="A31" s="30">
        <v>243705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31">
        <f t="shared" si="0"/>
        <v>0</v>
      </c>
    </row>
    <row r="32" spans="1:33">
      <c r="A32" s="30">
        <v>243706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31">
        <f t="shared" si="0"/>
        <v>0</v>
      </c>
    </row>
    <row r="33" spans="1:33">
      <c r="A33" s="30">
        <v>243707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31">
        <f t="shared" si="0"/>
        <v>0</v>
      </c>
    </row>
    <row r="34" spans="1:33">
      <c r="A34" s="30">
        <v>243708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31">
        <f t="shared" si="0"/>
        <v>0</v>
      </c>
    </row>
    <row r="35" spans="1:33">
      <c r="A35" s="31" t="s">
        <v>66</v>
      </c>
      <c r="B35" s="31">
        <f t="shared" ref="B35:AF35" si="1">SUM(B4:B34)</f>
        <v>0</v>
      </c>
      <c r="C35" s="31">
        <f t="shared" si="1"/>
        <v>0</v>
      </c>
      <c r="D35" s="31">
        <f t="shared" si="1"/>
        <v>0</v>
      </c>
      <c r="E35" s="31">
        <f t="shared" si="1"/>
        <v>0</v>
      </c>
      <c r="F35" s="31">
        <f t="shared" si="1"/>
        <v>0</v>
      </c>
      <c r="G35" s="31">
        <f t="shared" si="1"/>
        <v>0</v>
      </c>
      <c r="H35" s="31">
        <f t="shared" si="1"/>
        <v>0</v>
      </c>
      <c r="I35" s="31">
        <f t="shared" si="1"/>
        <v>0</v>
      </c>
      <c r="J35" s="31">
        <f t="shared" si="1"/>
        <v>0</v>
      </c>
      <c r="K35" s="31">
        <f t="shared" si="1"/>
        <v>0</v>
      </c>
      <c r="L35" s="31">
        <f t="shared" si="1"/>
        <v>0</v>
      </c>
      <c r="M35" s="31">
        <f t="shared" si="1"/>
        <v>0</v>
      </c>
      <c r="N35" s="31">
        <f t="shared" si="1"/>
        <v>0</v>
      </c>
      <c r="O35" s="31">
        <f t="shared" si="1"/>
        <v>0</v>
      </c>
      <c r="P35" s="31">
        <f t="shared" si="1"/>
        <v>0</v>
      </c>
      <c r="Q35" s="31">
        <f t="shared" si="1"/>
        <v>0</v>
      </c>
      <c r="R35" s="31">
        <f t="shared" si="1"/>
        <v>0</v>
      </c>
      <c r="S35" s="31">
        <f t="shared" si="1"/>
        <v>0</v>
      </c>
      <c r="T35" s="31">
        <f t="shared" si="1"/>
        <v>0</v>
      </c>
      <c r="U35" s="31">
        <f t="shared" si="1"/>
        <v>0</v>
      </c>
      <c r="V35" s="31">
        <f t="shared" si="1"/>
        <v>0</v>
      </c>
      <c r="W35" s="31">
        <f t="shared" si="1"/>
        <v>0</v>
      </c>
      <c r="X35" s="31">
        <f t="shared" si="1"/>
        <v>0</v>
      </c>
      <c r="Y35" s="31">
        <f t="shared" si="1"/>
        <v>0</v>
      </c>
      <c r="Z35" s="31">
        <f t="shared" si="1"/>
        <v>0</v>
      </c>
      <c r="AA35" s="31">
        <f t="shared" si="1"/>
        <v>0</v>
      </c>
      <c r="AB35" s="31">
        <f t="shared" si="1"/>
        <v>0</v>
      </c>
      <c r="AC35" s="31">
        <f t="shared" si="1"/>
        <v>0</v>
      </c>
      <c r="AD35" s="31">
        <f t="shared" si="1"/>
        <v>0</v>
      </c>
      <c r="AE35" s="31">
        <f t="shared" si="1"/>
        <v>0</v>
      </c>
      <c r="AF35" s="31">
        <f t="shared" si="1"/>
        <v>0</v>
      </c>
      <c r="AG35" s="32">
        <f>SUM(B35:AF35)</f>
        <v>0</v>
      </c>
    </row>
  </sheetData>
  <mergeCells count="3">
    <mergeCell ref="A2:A3"/>
    <mergeCell ref="B2:AF2"/>
    <mergeCell ref="AG2:A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B04F8-918B-4168-9C8A-F8D1148EE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สรุป</vt:lpstr>
      <vt:lpstr>สรุปรายการสินค้า</vt:lpstr>
      <vt:lpstr>Lazada</vt:lpstr>
      <vt:lpstr>Shopee</vt:lpstr>
      <vt:lpstr>TikTok</vt:lpstr>
      <vt:lpstr>ไปรษณีย์</vt:lpstr>
      <vt:lpstr>รายการสินค้าตีกลับ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กนกอร พุ่มนิล</cp:lastModifiedBy>
  <dcterms:created xsi:type="dcterms:W3CDTF">2024-02-13T02:39:23Z</dcterms:created>
  <dcterms:modified xsi:type="dcterms:W3CDTF">2024-02-29T06:38:37Z</dcterms:modified>
</cp:coreProperties>
</file>