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ปี 67\"/>
    </mc:Choice>
  </mc:AlternateContent>
  <xr:revisionPtr revIDLastSave="0" documentId="13_ncr:1_{F8315875-2AFB-4FF8-847F-319A9DB988BC}" xr6:coauthVersionLast="47" xr6:coauthVersionMax="47" xr10:uidLastSave="{00000000-0000-0000-0000-000000000000}"/>
  <bookViews>
    <workbookView xWindow="-108" yWindow="-108" windowWidth="23256" windowHeight="12456" xr2:uid="{99DC648D-87FC-4FD6-BB54-1DF8AF78220C}"/>
  </bookViews>
  <sheets>
    <sheet name="ปี 67" sheetId="1" r:id="rId1"/>
    <sheet name="จำนวนชิ้นขนม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" i="2"/>
  <c r="P8" i="2" l="1"/>
  <c r="P7" i="2"/>
  <c r="P6" i="2"/>
  <c r="P5" i="2"/>
  <c r="P4" i="2"/>
  <c r="P3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G32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" i="2"/>
  <c r="G3" i="2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3" i="2"/>
  <c r="G34" i="2"/>
  <c r="G35" i="2"/>
  <c r="G36" i="2"/>
  <c r="G37" i="2"/>
  <c r="G38" i="2"/>
  <c r="H3" i="2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I3" i="2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J3" i="2"/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K3" i="2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N3" i="2"/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" i="2"/>
  <c r="P9" i="2" l="1"/>
  <c r="P10" i="2"/>
  <c r="P11" i="2"/>
  <c r="C11" i="2" s="1"/>
  <c r="E11" i="2" s="1"/>
  <c r="P12" i="2"/>
  <c r="P13" i="2"/>
  <c r="C13" i="2" s="1"/>
  <c r="E13" i="2" s="1"/>
  <c r="P14" i="2"/>
  <c r="C14" i="2" s="1"/>
  <c r="E14" i="2" s="1"/>
  <c r="P15" i="2"/>
  <c r="C15" i="2" s="1"/>
  <c r="E15" i="2" s="1"/>
  <c r="P16" i="2"/>
  <c r="C16" i="2" s="1"/>
  <c r="E16" i="2" s="1"/>
  <c r="P17" i="2"/>
  <c r="C17" i="2" s="1"/>
  <c r="E17" i="2" s="1"/>
  <c r="P18" i="2"/>
  <c r="C18" i="2" s="1"/>
  <c r="E18" i="2" s="1"/>
  <c r="P19" i="2"/>
  <c r="C19" i="2" s="1"/>
  <c r="E19" i="2" s="1"/>
  <c r="P20" i="2"/>
  <c r="C20" i="2" s="1"/>
  <c r="E20" i="2" s="1"/>
  <c r="C24" i="2"/>
  <c r="E24" i="2" s="1"/>
  <c r="C27" i="2"/>
  <c r="E27" i="2" s="1"/>
  <c r="C28" i="2"/>
  <c r="E28" i="2" s="1"/>
  <c r="C29" i="2"/>
  <c r="E29" i="2" s="1"/>
  <c r="C30" i="2"/>
  <c r="E30" i="2" s="1"/>
  <c r="C31" i="2"/>
  <c r="E31" i="2" s="1"/>
  <c r="C32" i="2"/>
  <c r="E32" i="2" s="1"/>
  <c r="C33" i="2"/>
  <c r="E33" i="2" s="1"/>
  <c r="C34" i="2"/>
  <c r="E34" i="2" s="1"/>
  <c r="C35" i="2"/>
  <c r="E35" i="2" s="1"/>
  <c r="C36" i="2"/>
  <c r="E36" i="2" s="1"/>
  <c r="C37" i="2"/>
  <c r="E37" i="2" s="1"/>
  <c r="C38" i="2"/>
  <c r="E38" i="2" s="1"/>
  <c r="C3" i="2"/>
  <c r="E3" i="2" s="1"/>
  <c r="C4" i="2"/>
  <c r="E4" i="2" s="1"/>
  <c r="C5" i="2"/>
  <c r="E5" i="2" s="1"/>
  <c r="C6" i="2"/>
  <c r="E6" i="2" s="1"/>
  <c r="C7" i="2"/>
  <c r="E7" i="2" s="1"/>
  <c r="C8" i="2"/>
  <c r="E8" i="2" s="1"/>
  <c r="C9" i="2"/>
  <c r="E9" i="2" s="1"/>
  <c r="C10" i="2"/>
  <c r="E10" i="2" s="1"/>
  <c r="C12" i="2"/>
  <c r="E12" i="2" s="1"/>
  <c r="C21" i="2"/>
  <c r="E21" i="2" s="1"/>
  <c r="C22" i="2"/>
  <c r="E22" i="2" s="1"/>
  <c r="C23" i="2"/>
  <c r="E23" i="2" s="1"/>
  <c r="C25" i="2"/>
  <c r="E25" i="2" s="1"/>
  <c r="C26" i="2"/>
  <c r="E26" i="2" s="1"/>
  <c r="G39" i="2"/>
  <c r="H39" i="2"/>
  <c r="I39" i="2"/>
  <c r="J39" i="2"/>
  <c r="K39" i="2"/>
  <c r="L39" i="2"/>
  <c r="M39" i="2"/>
  <c r="N39" i="2"/>
  <c r="O39" i="2"/>
  <c r="Q39" i="2"/>
  <c r="F39" i="2"/>
  <c r="P39" i="2" l="1"/>
  <c r="E39" i="2"/>
  <c r="C39" i="2"/>
  <c r="AW18" i="1" l="1"/>
  <c r="AV18" i="1"/>
  <c r="AU18" i="1"/>
  <c r="AT18" i="1"/>
  <c r="AS18" i="1"/>
  <c r="AR18" i="1"/>
  <c r="AQ18" i="1"/>
  <c r="AP18" i="1"/>
  <c r="AM18" i="1"/>
  <c r="AL18" i="1"/>
  <c r="AK18" i="1"/>
  <c r="AJ18" i="1"/>
  <c r="AI18" i="1"/>
  <c r="AH18" i="1"/>
  <c r="AG18" i="1"/>
  <c r="AF18" i="1"/>
  <c r="AC18" i="1"/>
  <c r="AB18" i="1"/>
  <c r="AA18" i="1"/>
  <c r="Z18" i="1"/>
  <c r="Y18" i="1"/>
  <c r="X18" i="1"/>
  <c r="W18" i="1"/>
  <c r="V18" i="1"/>
  <c r="S18" i="1"/>
  <c r="R18" i="1"/>
  <c r="Q18" i="1"/>
  <c r="P18" i="1"/>
  <c r="O18" i="1"/>
  <c r="N18" i="1"/>
  <c r="M18" i="1"/>
  <c r="L18" i="1"/>
  <c r="I18" i="1"/>
  <c r="H18" i="1"/>
  <c r="G18" i="1"/>
  <c r="F18" i="1"/>
  <c r="E18" i="1"/>
  <c r="D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O17" i="1"/>
  <c r="AN17" i="1"/>
  <c r="AO16" i="1"/>
  <c r="AN16" i="1"/>
  <c r="AO15" i="1"/>
  <c r="AN15" i="1"/>
  <c r="AO14" i="1"/>
  <c r="AN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E10" i="1"/>
  <c r="AD10" i="1"/>
  <c r="AE9" i="1"/>
  <c r="AD9" i="1"/>
  <c r="AE8" i="1"/>
  <c r="AD8" i="1"/>
  <c r="AE7" i="1"/>
  <c r="AD7" i="1"/>
  <c r="AE6" i="1"/>
  <c r="AD6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T18" i="1" l="1"/>
  <c r="AD18" i="1"/>
  <c r="AN18" i="1"/>
  <c r="AX18" i="1"/>
  <c r="AO18" i="1"/>
  <c r="U18" i="1"/>
  <c r="AE18" i="1"/>
  <c r="AY18" i="1"/>
  <c r="AZ6" i="1"/>
  <c r="B18" i="1"/>
  <c r="C18" i="1"/>
  <c r="AZ12" i="1"/>
  <c r="K7" i="1"/>
  <c r="BA7" i="1" s="1"/>
  <c r="K8" i="1"/>
  <c r="BA8" i="1" s="1"/>
  <c r="K9" i="1"/>
  <c r="BA9" i="1" s="1"/>
  <c r="K10" i="1"/>
  <c r="K11" i="1"/>
  <c r="K12" i="1"/>
  <c r="K13" i="1"/>
  <c r="K14" i="1"/>
  <c r="K15" i="1"/>
  <c r="K16" i="1"/>
  <c r="K17" i="1"/>
  <c r="BA17" i="1" s="1"/>
  <c r="K6" i="1"/>
  <c r="BA6" i="1" s="1"/>
  <c r="J7" i="1"/>
  <c r="AZ7" i="1" s="1"/>
  <c r="J8" i="1"/>
  <c r="AZ8" i="1" s="1"/>
  <c r="J9" i="1"/>
  <c r="AZ9" i="1" s="1"/>
  <c r="J10" i="1"/>
  <c r="AZ10" i="1" s="1"/>
  <c r="J11" i="1"/>
  <c r="AZ11" i="1" s="1"/>
  <c r="J12" i="1"/>
  <c r="J13" i="1"/>
  <c r="AZ13" i="1" s="1"/>
  <c r="J14" i="1"/>
  <c r="AZ14" i="1" s="1"/>
  <c r="J15" i="1"/>
  <c r="AZ15" i="1" s="1"/>
  <c r="J16" i="1"/>
  <c r="J17" i="1"/>
  <c r="AZ17" i="1" s="1"/>
  <c r="J6" i="1"/>
  <c r="K18" i="1" l="1"/>
  <c r="AZ16" i="1"/>
  <c r="AZ18" i="1" s="1"/>
  <c r="J18" i="1"/>
  <c r="BA16" i="1"/>
  <c r="BA15" i="1"/>
  <c r="BA14" i="1"/>
  <c r="BA13" i="1"/>
  <c r="BA12" i="1"/>
  <c r="BA11" i="1"/>
  <c r="BA10" i="1"/>
  <c r="BA18" i="1" l="1"/>
</calcChain>
</file>

<file path=xl/sharedStrings.xml><?xml version="1.0" encoding="utf-8"?>
<sst xmlns="http://schemas.openxmlformats.org/spreadsheetml/2006/main" count="167" uniqueCount="75">
  <si>
    <t>สรุปรายการของตีกลับของช่องทางออนไลน์ ปี 2567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</si>
  <si>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</si>
  <si>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</si>
  <si>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</si>
  <si>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</si>
  <si>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</si>
  <si>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</si>
  <si>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</si>
  <si>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</si>
  <si>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</si>
  <si>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</si>
  <si>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</si>
  <si>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</si>
  <si>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</si>
  <si>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ปฏิเสธ , ยกเลิก</t>
  </si>
  <si>
    <t>ติดต่อไม่ได้ , ไม่รับโทรศัพท์</t>
  </si>
  <si>
    <t>สาเหตุการตีกลับ</t>
  </si>
  <si>
    <t>รวมจำนวน</t>
  </si>
  <si>
    <t>ลูกค้าตีกลับ เนื่องจาก มดขึ้นขนม ขนมมีรสฟาดเฟื่อน</t>
  </si>
  <si>
    <t>ลูกค้าแจ้งว่าไม่ได้สั่ง / เกินเวลานัดส่งพัสดุ</t>
  </si>
  <si>
    <t>บาท</t>
  </si>
  <si>
    <t>จำนวน</t>
  </si>
  <si>
    <t>ยอด</t>
  </si>
  <si>
    <t>Lazada</t>
  </si>
  <si>
    <t>Shopee</t>
  </si>
  <si>
    <t>Tiktok</t>
  </si>
  <si>
    <t>Facebook , นัดรับ</t>
  </si>
  <si>
    <t>รวมยอด</t>
  </si>
  <si>
    <t>Total</t>
  </si>
  <si>
    <t>ส่งของไปซ้ำ</t>
  </si>
  <si>
    <t>รวมจำนวนทั้งหมด</t>
  </si>
  <si>
    <t>รวมยอดทั้งหมด</t>
  </si>
  <si>
    <t>ลำดับ</t>
  </si>
  <si>
    <t>รายการ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</si>
  <si>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</si>
  <si>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</si>
  <si>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</si>
  <si>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</si>
  <si>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</si>
  <si>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</si>
  <si>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</si>
  <si>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</si>
  <si>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</si>
  <si>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</si>
  <si>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</si>
  <si>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</si>
  <si>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พายสัปปะรด (กล่อง)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</si>
  <si>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</si>
  <si>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</si>
  <si>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</si>
  <si>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</si>
  <si>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</si>
  <si>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</si>
  <si>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</si>
  <si>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</si>
  <si>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</si>
  <si>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</si>
  <si>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</si>
  <si>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</si>
  <si>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</si>
  <si>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</si>
  <si>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</si>
  <si>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</si>
  <si>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ท๊อฟฟี่ถั่ว กล่อง</t>
  </si>
  <si>
    <t>ปังปลา กก.</t>
  </si>
  <si>
    <t>ครีมฮอนร์จัมโบ้</t>
  </si>
  <si>
    <t>ครีมฮอร์น</t>
  </si>
  <si>
    <t>พายสัปปะรด (ชิ้น)</t>
  </si>
  <si>
    <t>เค้กไข่ใต้หวัน</t>
  </si>
  <si>
    <t>แซนด์วิช</t>
  </si>
  <si>
    <t>ยอดรวม</t>
  </si>
  <si>
    <t>ชิ้น</t>
  </si>
  <si>
    <t>สรุปรายการสินค้าที่ตีกลับมารวมทุกช่องทางขายออนไลน์ ปี 2567</t>
  </si>
  <si>
    <t>ต้นทุนสินค้า</t>
  </si>
  <si>
    <t>เป็นเงิน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</si>
</sst>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rgb="FF0000FF"/>
      <name val="Angsana New"/>
      <family val="1"/>
    </font>
    <font>
      <b/>
      <sz val="16"/>
      <color rgb="FF0000FF"/>
      <name val="Angsana New"/>
      <family val="1"/>
    </font>
    <font>
      <sz val="16"/>
      <color rgb="FF0000FF"/>
      <name val="Angsana New"/>
      <family val="1"/>
    </font>
    <font>
      <sz val="18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4" fillId="0" borderId="1" xfId="0" applyFont="1" applyBorder="1" applyAlignment="1">
      <alignment horizontal="center"/>
    </xf>
    <xf numFmtId="43" fontId="6" fillId="0" borderId="0" xfId="1" applyFont="1" applyAlignment="1">
      <alignment horizontal="lef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43" fontId="5" fillId="0" borderId="0" xfId="1" applyFont="1" applyAlignment="1"/>
    <xf numFmtId="187" fontId="5" fillId="0" borderId="0" xfId="1" applyNumberFormat="1" applyFont="1" applyAlignment="1"/>
    <xf numFmtId="0" fontId="4" fillId="0" borderId="0" xfId="0" applyFont="1"/>
    <xf numFmtId="43" fontId="8" fillId="0" borderId="3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43" fontId="3" fillId="4" borderId="11" xfId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43" fontId="3" fillId="5" borderId="11" xfId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43" fontId="3" fillId="6" borderId="11" xfId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43" fontId="3" fillId="7" borderId="11" xfId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43" fontId="8" fillId="8" borderId="4" xfId="1" applyFont="1" applyFill="1" applyBorder="1" applyAlignment="1">
      <alignment horizontal="center"/>
    </xf>
    <xf numFmtId="43" fontId="8" fillId="8" borderId="1" xfId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9" fillId="0" borderId="4" xfId="1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43" fontId="8" fillId="8" borderId="3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9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1" fontId="5" fillId="0" borderId="0" xfId="0" applyNumberFormat="1" applyFont="1" applyAlignment="1">
      <alignment horizontal="right"/>
    </xf>
    <xf numFmtId="0" fontId="3" fillId="9" borderId="0" xfId="0" applyFont="1" applyFill="1" applyAlignment="1">
      <alignment horizontal="right"/>
    </xf>
    <xf numFmtId="43" fontId="0" fillId="0" borderId="0" xfId="1" applyFont="1" applyBorder="1"/>
    <xf numFmtId="0" fontId="0" fillId="0" borderId="0" xfId="0" applyAlignment="1">
      <alignment horizontal="right"/>
    </xf>
    <xf numFmtId="43" fontId="0" fillId="0" borderId="0" xfId="1" applyFont="1" applyBorder="1" applyAlignment="1">
      <alignment horizontal="right"/>
    </xf>
    <xf numFmtId="43" fontId="3" fillId="9" borderId="0" xfId="1" applyFont="1" applyFill="1" applyBorder="1" applyAlignment="1">
      <alignment horizontal="right"/>
    </xf>
    <xf numFmtId="187" fontId="5" fillId="3" borderId="0" xfId="1" applyNumberFormat="1" applyFont="1" applyFill="1" applyBorder="1" applyAlignment="1">
      <alignment horizontal="right"/>
    </xf>
    <xf numFmtId="43" fontId="5" fillId="3" borderId="0" xfId="1" applyFont="1" applyFill="1" applyBorder="1" applyAlignment="1">
      <alignment horizontal="right"/>
    </xf>
    <xf numFmtId="187" fontId="7" fillId="3" borderId="3" xfId="1" applyNumberFormat="1" applyFont="1" applyFill="1" applyBorder="1" applyAlignment="1">
      <alignment horizontal="right"/>
    </xf>
    <xf numFmtId="43" fontId="7" fillId="3" borderId="3" xfId="1" applyFont="1" applyFill="1" applyBorder="1" applyAlignment="1">
      <alignment horizontal="right"/>
    </xf>
    <xf numFmtId="187" fontId="7" fillId="0" borderId="3" xfId="1" applyNumberFormat="1" applyFont="1" applyBorder="1" applyAlignment="1">
      <alignment horizontal="right"/>
    </xf>
    <xf numFmtId="0" fontId="5" fillId="10" borderId="0" xfId="0" applyFont="1" applyFill="1" applyAlignment="1">
      <alignment horizontal="left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43" fontId="3" fillId="2" borderId="1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43" fontId="7" fillId="3" borderId="9" xfId="1" applyFont="1" applyFill="1" applyBorder="1" applyAlignment="1">
      <alignment horizontal="center" vertical="center"/>
    </xf>
    <xf numFmtId="43" fontId="7" fillId="3" borderId="12" xfId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  <color rgb="FF99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%20&#3617;.&#3588;.%20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%20&#3585;.&#3614;.%206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%20&#3617;&#3637;.&#3588;.%206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%20&#3648;&#3617;.&#3618;.%206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5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%20&#3614;.&#3588;.%206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6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%20&#3617;&#3636;.&#3618;.%206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7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585;.&#3588;.%206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8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26;.&#3588;.%206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9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585;.&#3618;.%206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0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05;.&#3588;.%2067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605;&#3636;&#3604;&#3605;&#3634;&#3617;&#3629;&#3629;&#3648;&#3604;&#3629;&#3619;&#3660;&#3626;&#3656;&#3591;&#3586;&#3629;&#3591;&#3609;&#3657;&#3629;&#3591;&#3585;&#3636;&#3658;&#3585;\11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14;.&#3618;.%2067.xlsx" TargetMode="External"/><Relationship Id="rId1" Type="http://schemas.openxmlformats.org/officeDocument/2006/relationships/externalLinkPath" Target="11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14;.&#3618;.%2067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605;&#3636;&#3604;&#3605;&#3634;&#3617;&#3629;&#3629;&#3648;&#3604;&#3629;&#3619;&#3660;&#3626;&#3656;&#3591;&#3586;&#3629;&#3591;&#3609;&#3657;&#3629;&#3591;&#3585;&#3636;&#3658;&#3585;\&#3611;&#3637;%2067\12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08;.&#3588;.%2067.xlsx" TargetMode="External"/><Relationship Id="rId1" Type="http://schemas.openxmlformats.org/officeDocument/2006/relationships/externalLinkPath" Target="12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08;.&#3588;.%20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 refreshError="1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306</v>
          </cell>
        </row>
        <row r="4">
          <cell r="B4" t="str">
            <v>ชิฟฟอน 8 ชิ้น</v>
          </cell>
          <cell r="C4">
            <v>232</v>
          </cell>
        </row>
        <row r="5">
          <cell r="B5" t="str">
            <v>ชิฟฟอน 4 ชิ้น</v>
          </cell>
          <cell r="C5">
            <v>18</v>
          </cell>
        </row>
        <row r="6">
          <cell r="B6" t="str">
            <v>ชิฟฟอนไส้แยม 6 ชิ้น</v>
          </cell>
          <cell r="C6">
            <v>23</v>
          </cell>
        </row>
        <row r="7">
          <cell r="B7" t="str">
            <v>ชิฟฟอนไส้แยม 3 ชิ้น</v>
          </cell>
          <cell r="C7">
            <v>0</v>
          </cell>
        </row>
        <row r="8">
          <cell r="B8" t="str">
            <v>เบาหวิว ล</v>
          </cell>
          <cell r="C8">
            <v>43</v>
          </cell>
        </row>
        <row r="9">
          <cell r="B9" t="str">
            <v>เบาหวิว ญ</v>
          </cell>
          <cell r="C9">
            <v>23</v>
          </cell>
        </row>
        <row r="10">
          <cell r="B10" t="str">
            <v>เปี๊ยะ ล</v>
          </cell>
          <cell r="C10">
            <v>55</v>
          </cell>
        </row>
        <row r="11">
          <cell r="B11" t="str">
            <v>เปี๊ยะโมจิ ล</v>
          </cell>
          <cell r="C11">
            <v>0</v>
          </cell>
        </row>
        <row r="12">
          <cell r="B12" t="str">
            <v>เปี๊ยะ ญ</v>
          </cell>
          <cell r="C12">
            <v>2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10</v>
          </cell>
        </row>
        <row r="15">
          <cell r="B15" t="str">
            <v>คุกกี้เนย</v>
          </cell>
          <cell r="C15">
            <v>0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0</v>
          </cell>
        </row>
        <row r="18">
          <cell r="B18" t="str">
            <v>ปังเนยน้ำตาล</v>
          </cell>
          <cell r="C18">
            <v>0</v>
          </cell>
        </row>
        <row r="19">
          <cell r="B19" t="str">
            <v>ปังเนยนิ่ม กล่อง 2 ชิ้น</v>
          </cell>
          <cell r="C19">
            <v>0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30</v>
          </cell>
        </row>
        <row r="26">
          <cell r="B26" t="str">
            <v>เปี๊ยะลาวา</v>
          </cell>
          <cell r="C26">
            <v>0</v>
          </cell>
        </row>
        <row r="27">
          <cell r="B27" t="str">
            <v>คอนเฟล็ก</v>
          </cell>
          <cell r="C27">
            <v>0</v>
          </cell>
        </row>
        <row r="28">
          <cell r="B28" t="str">
            <v>ไดฟูกุ</v>
          </cell>
          <cell r="C28">
            <v>2</v>
          </cell>
        </row>
        <row r="29">
          <cell r="B29" t="str">
            <v>ปังเลเยอร์</v>
          </cell>
          <cell r="C29">
            <v>1</v>
          </cell>
        </row>
        <row r="30">
          <cell r="B30" t="str">
            <v>เมอแรงค์</v>
          </cell>
          <cell r="C30">
            <v>0</v>
          </cell>
        </row>
        <row r="31">
          <cell r="B31" t="str">
            <v>DIY</v>
          </cell>
          <cell r="C31">
            <v>0</v>
          </cell>
        </row>
        <row r="32">
          <cell r="B32" t="str">
            <v>ครีมฮอนร์จัมโบ้</v>
          </cell>
          <cell r="C32">
            <v>56</v>
          </cell>
        </row>
        <row r="33">
          <cell r="B33" t="str">
            <v>ครีมฮอร์น</v>
          </cell>
          <cell r="C33">
            <v>95</v>
          </cell>
        </row>
        <row r="34">
          <cell r="B34" t="str">
            <v>ยอดรวม</v>
          </cell>
          <cell r="C34">
            <v>896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188</v>
          </cell>
        </row>
        <row r="4">
          <cell r="B4" t="str">
            <v>ชิฟฟอน 8 ชิ้น</v>
          </cell>
          <cell r="C4">
            <v>55</v>
          </cell>
        </row>
        <row r="5">
          <cell r="B5" t="str">
            <v>ชิฟฟอน 4 ชิ้น</v>
          </cell>
          <cell r="C5">
            <v>18</v>
          </cell>
        </row>
        <row r="6">
          <cell r="B6" t="str">
            <v>ชิฟฟอนไส้แยม 6 ชิ้น</v>
          </cell>
          <cell r="C6">
            <v>7</v>
          </cell>
        </row>
        <row r="7">
          <cell r="B7" t="str">
            <v>ชิฟฟอนไส้แยม 3 ชิ้น</v>
          </cell>
          <cell r="C7">
            <v>1</v>
          </cell>
        </row>
        <row r="8">
          <cell r="B8" t="str">
            <v>เบาหวิว ล</v>
          </cell>
          <cell r="C8">
            <v>17</v>
          </cell>
        </row>
        <row r="9">
          <cell r="B9" t="str">
            <v>เบาหวิว ญ</v>
          </cell>
          <cell r="C9">
            <v>2</v>
          </cell>
        </row>
        <row r="10">
          <cell r="B10" t="str">
            <v>เปี๊ยะ ล</v>
          </cell>
          <cell r="C10">
            <v>84</v>
          </cell>
        </row>
        <row r="11">
          <cell r="B11" t="str">
            <v>เปี๊ยะโมจิ ล</v>
          </cell>
          <cell r="C11">
            <v>0</v>
          </cell>
        </row>
        <row r="12">
          <cell r="B12" t="str">
            <v>เปี๊ยะ ญ</v>
          </cell>
          <cell r="C12">
            <v>0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0</v>
          </cell>
        </row>
        <row r="15">
          <cell r="B15" t="str">
            <v>คุกกี้เนย</v>
          </cell>
          <cell r="C15">
            <v>0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0</v>
          </cell>
        </row>
        <row r="18">
          <cell r="B18" t="str">
            <v>ปังเนยน้ำตาล</v>
          </cell>
          <cell r="C18">
            <v>0</v>
          </cell>
        </row>
        <row r="19">
          <cell r="B19" t="str">
            <v>ปังเนยนิ่ม กล่อง 2 ชิ้น</v>
          </cell>
          <cell r="C19">
            <v>0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11</v>
          </cell>
        </row>
        <row r="26">
          <cell r="B26" t="str">
            <v>เปี๊ยะลาวา</v>
          </cell>
          <cell r="C26">
            <v>0</v>
          </cell>
        </row>
        <row r="27">
          <cell r="B27" t="str">
            <v>คอนเฟล็ก</v>
          </cell>
          <cell r="C27">
            <v>0</v>
          </cell>
        </row>
        <row r="28">
          <cell r="B28" t="str">
            <v>ไดฟูกุ</v>
          </cell>
          <cell r="C28">
            <v>0</v>
          </cell>
        </row>
        <row r="29">
          <cell r="B29" t="str">
            <v>ปังเลเยอร์</v>
          </cell>
          <cell r="C29">
            <v>0</v>
          </cell>
        </row>
        <row r="30">
          <cell r="B30" t="str">
            <v>เมอแรงค์</v>
          </cell>
          <cell r="C30">
            <v>3</v>
          </cell>
        </row>
        <row r="31">
          <cell r="B31" t="str">
            <v>DIY</v>
          </cell>
          <cell r="C31">
            <v>8</v>
          </cell>
        </row>
        <row r="32">
          <cell r="B32" t="str">
            <v>ครีมฮอนร์จัมโบ้</v>
          </cell>
          <cell r="C32">
            <v>0</v>
          </cell>
        </row>
        <row r="33">
          <cell r="B33" t="str">
            <v>ครีมฮอร์น</v>
          </cell>
          <cell r="C33">
            <v>43</v>
          </cell>
        </row>
        <row r="34">
          <cell r="B34" t="str">
            <v>ยอดรวม</v>
          </cell>
          <cell r="C34">
            <v>437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185</v>
          </cell>
        </row>
        <row r="4">
          <cell r="B4" t="str">
            <v>ชิฟฟอน 8 ชิ้น</v>
          </cell>
          <cell r="C4">
            <v>25</v>
          </cell>
        </row>
        <row r="5">
          <cell r="B5" t="str">
            <v>ชิฟฟอน 4 ชิ้น</v>
          </cell>
          <cell r="C5">
            <v>0</v>
          </cell>
        </row>
        <row r="6">
          <cell r="B6" t="str">
            <v>ชิฟฟอนไส้แยม 6 ชิ้น</v>
          </cell>
          <cell r="C6">
            <v>3</v>
          </cell>
        </row>
        <row r="7">
          <cell r="B7" t="str">
            <v>ชิฟฟอนไส้แยม 3 ชิ้น</v>
          </cell>
          <cell r="C7">
            <v>0</v>
          </cell>
        </row>
        <row r="8">
          <cell r="B8" t="str">
            <v>เบาหวิว ล</v>
          </cell>
          <cell r="C8">
            <v>13</v>
          </cell>
        </row>
        <row r="9">
          <cell r="B9" t="str">
            <v>เบาหวิว ญ</v>
          </cell>
          <cell r="C9">
            <v>3</v>
          </cell>
        </row>
        <row r="10">
          <cell r="B10" t="str">
            <v>เปี๊ยะ ล</v>
          </cell>
          <cell r="C10">
            <v>37</v>
          </cell>
        </row>
        <row r="11">
          <cell r="B11" t="str">
            <v>เปี๊ยะโมจิ ล</v>
          </cell>
          <cell r="C11">
            <v>0</v>
          </cell>
        </row>
        <row r="12">
          <cell r="B12" t="str">
            <v>เปี๊ยะ ญ</v>
          </cell>
          <cell r="C12">
            <v>1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0</v>
          </cell>
        </row>
        <row r="15">
          <cell r="B15" t="str">
            <v>คุกกี้เนย</v>
          </cell>
          <cell r="C15">
            <v>0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1</v>
          </cell>
        </row>
        <row r="18">
          <cell r="B18" t="str">
            <v>ปังเนยน้ำตาล</v>
          </cell>
          <cell r="C18">
            <v>0</v>
          </cell>
        </row>
        <row r="19">
          <cell r="B19" t="str">
            <v>ปังเนยนิ่ม กล่อง 2 ชิ้น</v>
          </cell>
          <cell r="C19">
            <v>0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35</v>
          </cell>
        </row>
        <row r="26">
          <cell r="B26" t="str">
            <v>เปี๊ยะลาวา</v>
          </cell>
          <cell r="C26">
            <v>0</v>
          </cell>
        </row>
        <row r="27">
          <cell r="B27" t="str">
            <v>คอนเฟล็ก</v>
          </cell>
          <cell r="C27">
            <v>0</v>
          </cell>
        </row>
        <row r="28">
          <cell r="B28" t="str">
            <v>ไดฟูกุ</v>
          </cell>
          <cell r="C28">
            <v>0</v>
          </cell>
        </row>
        <row r="29">
          <cell r="B29" t="str">
            <v>ปังเลเยอร์</v>
          </cell>
          <cell r="C29">
            <v>0</v>
          </cell>
        </row>
        <row r="30">
          <cell r="B30" t="str">
            <v>เมอแรงค์</v>
          </cell>
          <cell r="C30">
            <v>0</v>
          </cell>
        </row>
        <row r="31">
          <cell r="B31" t="str">
            <v>DIY</v>
          </cell>
          <cell r="C31">
            <v>1</v>
          </cell>
        </row>
        <row r="32">
          <cell r="B32" t="str">
            <v>ครีมฮอนร์จัมโบ้</v>
          </cell>
          <cell r="C32">
            <v>0</v>
          </cell>
        </row>
        <row r="33">
          <cell r="B33" t="str">
            <v>ครีมฮอร์น</v>
          </cell>
          <cell r="C33">
            <v>139</v>
          </cell>
        </row>
        <row r="34">
          <cell r="B34" t="str">
            <v>ยอดรวม</v>
          </cell>
          <cell r="C34">
            <v>443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999</v>
          </cell>
        </row>
        <row r="4">
          <cell r="B4" t="str">
            <v>ชิฟฟอน 8 ชิ้น</v>
          </cell>
          <cell r="C4">
            <v>14</v>
          </cell>
        </row>
        <row r="5">
          <cell r="B5" t="str">
            <v>ชิฟฟอน 4 ชิ้น</v>
          </cell>
          <cell r="C5">
            <v>0</v>
          </cell>
        </row>
        <row r="6">
          <cell r="B6" t="str">
            <v>ชิฟฟอนไส้แยม 6 ชิ้น</v>
          </cell>
          <cell r="C6">
            <v>14</v>
          </cell>
        </row>
        <row r="7">
          <cell r="B7" t="str">
            <v>ชิฟฟอนไส้แยม 3 ชิ้น</v>
          </cell>
          <cell r="C7">
            <v>2</v>
          </cell>
        </row>
        <row r="8">
          <cell r="B8" t="str">
            <v>เบาหวิว ล</v>
          </cell>
          <cell r="C8">
            <v>38</v>
          </cell>
        </row>
        <row r="9">
          <cell r="B9" t="str">
            <v>เบาหวิว ญ</v>
          </cell>
          <cell r="C9">
            <v>0</v>
          </cell>
        </row>
        <row r="10">
          <cell r="B10" t="str">
            <v>เปี๊ยะ ล</v>
          </cell>
          <cell r="C10">
            <v>16</v>
          </cell>
        </row>
        <row r="11">
          <cell r="B11" t="str">
            <v>เปี๊ยะโมจิ ล</v>
          </cell>
          <cell r="C11">
            <v>0</v>
          </cell>
        </row>
        <row r="12">
          <cell r="B12" t="str">
            <v>เปี๊ยะ ญ</v>
          </cell>
          <cell r="C12">
            <v>0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0</v>
          </cell>
        </row>
        <row r="15">
          <cell r="B15" t="str">
            <v>คุกกี้เนย</v>
          </cell>
          <cell r="C15">
            <v>0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2</v>
          </cell>
        </row>
        <row r="18">
          <cell r="B18" t="str">
            <v>ปังเนยน้ำตาล</v>
          </cell>
          <cell r="C18">
            <v>0</v>
          </cell>
        </row>
        <row r="19">
          <cell r="B19" t="str">
            <v>ปังเนยนิ่ม กล่อง 2 ชิ้น</v>
          </cell>
          <cell r="C19">
            <v>1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38</v>
          </cell>
        </row>
        <row r="26">
          <cell r="B26" t="str">
            <v>เปี๊ยะลาวา</v>
          </cell>
          <cell r="C26">
            <v>0</v>
          </cell>
        </row>
        <row r="27">
          <cell r="B27" t="str">
            <v>คอนเฟล็ก</v>
          </cell>
          <cell r="C27">
            <v>0</v>
          </cell>
        </row>
        <row r="28">
          <cell r="B28" t="str">
            <v>ไดฟูกุ</v>
          </cell>
          <cell r="C28">
            <v>0</v>
          </cell>
        </row>
        <row r="29">
          <cell r="B29" t="str">
            <v>ปังเลเยอร์</v>
          </cell>
          <cell r="C29">
            <v>0</v>
          </cell>
        </row>
        <row r="30">
          <cell r="B30" t="str">
            <v>เมอแรงค์</v>
          </cell>
          <cell r="C30">
            <v>0</v>
          </cell>
        </row>
        <row r="31">
          <cell r="B31" t="str">
            <v>DIY</v>
          </cell>
          <cell r="C31">
            <v>0</v>
          </cell>
        </row>
        <row r="32">
          <cell r="B32" t="str">
            <v>ครีมฮอนร์จัมโบ้</v>
          </cell>
          <cell r="C32">
            <v>0</v>
          </cell>
        </row>
        <row r="33">
          <cell r="B33" t="str">
            <v>ครีมฮอร์น</v>
          </cell>
          <cell r="C33">
            <v>164</v>
          </cell>
        </row>
        <row r="34">
          <cell r="B34" t="str">
            <v>ยอดรวม</v>
          </cell>
          <cell r="C34">
            <v>1288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185</v>
          </cell>
        </row>
        <row r="4">
          <cell r="B4" t="str">
            <v>ชิฟฟอน 8 ชิ้น</v>
          </cell>
          <cell r="C4">
            <v>25</v>
          </cell>
        </row>
        <row r="5">
          <cell r="B5" t="str">
            <v>ชิฟฟอน 4 ชิ้น</v>
          </cell>
          <cell r="C5">
            <v>19</v>
          </cell>
        </row>
        <row r="6">
          <cell r="B6" t="str">
            <v>ชิฟฟอนไส้แยม 6 ชิ้น</v>
          </cell>
          <cell r="C6">
            <v>10</v>
          </cell>
        </row>
        <row r="7">
          <cell r="B7" t="str">
            <v>ชิฟฟอนไส้แยม 3 ชิ้น</v>
          </cell>
          <cell r="C7">
            <v>4</v>
          </cell>
        </row>
        <row r="8">
          <cell r="B8" t="str">
            <v>เบาหวิว ล</v>
          </cell>
          <cell r="C8">
            <v>25</v>
          </cell>
        </row>
        <row r="9">
          <cell r="B9" t="str">
            <v>เบาหวิว ญ</v>
          </cell>
          <cell r="C9">
            <v>12</v>
          </cell>
        </row>
        <row r="10">
          <cell r="B10" t="str">
            <v>เปี๊ยะ ล</v>
          </cell>
          <cell r="C10">
            <v>11</v>
          </cell>
        </row>
        <row r="11">
          <cell r="B11" t="str">
            <v>เปี๊ยะโมจิ ล</v>
          </cell>
          <cell r="C11">
            <v>7</v>
          </cell>
        </row>
        <row r="12">
          <cell r="B12" t="str">
            <v>เปี๊ยะ ญ</v>
          </cell>
          <cell r="C12">
            <v>0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0</v>
          </cell>
        </row>
        <row r="15">
          <cell r="B15" t="str">
            <v>คุกกี้เนย</v>
          </cell>
          <cell r="C15">
            <v>0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0</v>
          </cell>
        </row>
        <row r="18">
          <cell r="B18" t="str">
            <v>ปังเนยน้ำตาล</v>
          </cell>
          <cell r="C18">
            <v>1</v>
          </cell>
        </row>
        <row r="19">
          <cell r="B19" t="str">
            <v>ปังเนยนิ่ม กล่อง 2 ชิ้น</v>
          </cell>
          <cell r="C19">
            <v>0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0</v>
          </cell>
        </row>
        <row r="26">
          <cell r="B26" t="str">
            <v>เปี๊ยะลาวา</v>
          </cell>
          <cell r="C26">
            <v>36</v>
          </cell>
        </row>
        <row r="27">
          <cell r="B27" t="str">
            <v>คอนเฟล็ก</v>
          </cell>
          <cell r="C27">
            <v>0</v>
          </cell>
        </row>
        <row r="28">
          <cell r="B28" t="str">
            <v>ไดฟูกุ</v>
          </cell>
          <cell r="C28">
            <v>0</v>
          </cell>
        </row>
        <row r="29">
          <cell r="B29" t="str">
            <v>ปังเลเยอร์</v>
          </cell>
          <cell r="C29">
            <v>0</v>
          </cell>
        </row>
        <row r="30">
          <cell r="B30" t="str">
            <v>เมอแรงค์</v>
          </cell>
          <cell r="C30">
            <v>0</v>
          </cell>
        </row>
        <row r="31">
          <cell r="B31" t="str">
            <v>DIY</v>
          </cell>
          <cell r="C31">
            <v>0</v>
          </cell>
        </row>
        <row r="32">
          <cell r="B32" t="str">
            <v>ครีมฮอนร์จัมโบ้</v>
          </cell>
          <cell r="C32">
            <v>0</v>
          </cell>
        </row>
        <row r="33">
          <cell r="B33" t="str">
            <v>ครีมฮอร์น</v>
          </cell>
          <cell r="C33">
            <v>169</v>
          </cell>
        </row>
        <row r="34">
          <cell r="B34" t="str">
            <v>ยอดรวม</v>
          </cell>
          <cell r="C34">
            <v>504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130</v>
          </cell>
        </row>
        <row r="4">
          <cell r="B4" t="str">
            <v>ชิฟฟอน 8 ชิ้น</v>
          </cell>
          <cell r="C4">
            <v>18</v>
          </cell>
        </row>
        <row r="5">
          <cell r="B5" t="str">
            <v>ชิฟฟอน 4 ชิ้น</v>
          </cell>
          <cell r="C5">
            <v>2</v>
          </cell>
        </row>
        <row r="6">
          <cell r="B6" t="str">
            <v>ชิฟฟอนไส้แยม 6 ชิ้น</v>
          </cell>
          <cell r="C6">
            <v>2</v>
          </cell>
        </row>
        <row r="7">
          <cell r="B7" t="str">
            <v>ชิฟฟอนไส้แยม 3 ชิ้น</v>
          </cell>
          <cell r="C7">
            <v>0</v>
          </cell>
        </row>
        <row r="8">
          <cell r="B8" t="str">
            <v>เบาหวิว ล</v>
          </cell>
          <cell r="C8">
            <v>41</v>
          </cell>
        </row>
        <row r="9">
          <cell r="B9" t="str">
            <v>เบาหวิว ญ</v>
          </cell>
          <cell r="C9">
            <v>9</v>
          </cell>
        </row>
        <row r="10">
          <cell r="B10" t="str">
            <v>เปี๊ยะ ล</v>
          </cell>
          <cell r="C10">
            <v>253</v>
          </cell>
        </row>
        <row r="11">
          <cell r="B11" t="str">
            <v>เปี๊ยะโมจิ ล</v>
          </cell>
          <cell r="C11">
            <v>0</v>
          </cell>
        </row>
        <row r="12">
          <cell r="B12" t="str">
            <v>เปี๊ยะ ญ</v>
          </cell>
          <cell r="C12">
            <v>0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0</v>
          </cell>
        </row>
        <row r="15">
          <cell r="B15" t="str">
            <v>คุกกี้เนย</v>
          </cell>
          <cell r="C15">
            <v>4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0</v>
          </cell>
        </row>
        <row r="18">
          <cell r="B18" t="str">
            <v>ปังเนยน้ำตาล</v>
          </cell>
          <cell r="C18">
            <v>0</v>
          </cell>
        </row>
        <row r="19">
          <cell r="B19" t="str">
            <v>ปังเนยนิ่ม กล่อง 2 ชิ้น</v>
          </cell>
          <cell r="C19">
            <v>0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29</v>
          </cell>
        </row>
        <row r="26">
          <cell r="B26" t="str">
            <v>เปี๊ยะลาวา</v>
          </cell>
          <cell r="C26">
            <v>0</v>
          </cell>
        </row>
        <row r="27">
          <cell r="B27" t="str">
            <v>คอนเฟล็ก</v>
          </cell>
          <cell r="C27">
            <v>0</v>
          </cell>
        </row>
        <row r="28">
          <cell r="B28" t="str">
            <v>ไดฟูกุ</v>
          </cell>
          <cell r="C28">
            <v>0</v>
          </cell>
        </row>
        <row r="29">
          <cell r="B29" t="str">
            <v>ปังเลเยอร์</v>
          </cell>
          <cell r="C29">
            <v>0</v>
          </cell>
        </row>
        <row r="30">
          <cell r="B30" t="str">
            <v>เมอแรงค์</v>
          </cell>
          <cell r="C30">
            <v>0</v>
          </cell>
        </row>
        <row r="31">
          <cell r="B31" t="str">
            <v>ท๊อฟฟี่ถั่ว กล่อง</v>
          </cell>
          <cell r="C31">
            <v>3</v>
          </cell>
        </row>
        <row r="32">
          <cell r="B32" t="str">
            <v>ครีมฮอนร์จัมโบ้</v>
          </cell>
          <cell r="C32">
            <v>0</v>
          </cell>
        </row>
        <row r="33">
          <cell r="B33" t="str">
            <v>ครีมฮอร์น</v>
          </cell>
          <cell r="C33">
            <v>138</v>
          </cell>
        </row>
        <row r="34">
          <cell r="B34" t="str">
            <v>ยอดรวม</v>
          </cell>
          <cell r="C34">
            <v>629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  <sheetName val="ชินิตี้ ก.ค."/>
    </sheetNames>
    <sheetDataSet>
      <sheetData sheetId="0" refreshError="1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246</v>
          </cell>
        </row>
        <row r="4">
          <cell r="B4" t="str">
            <v>ชิฟฟอน 8 ชิ้น</v>
          </cell>
          <cell r="C4">
            <v>13</v>
          </cell>
        </row>
        <row r="5">
          <cell r="B5" t="str">
            <v>ชิฟฟอน 4 ชิ้น</v>
          </cell>
          <cell r="C5">
            <v>134</v>
          </cell>
        </row>
        <row r="6">
          <cell r="B6" t="str">
            <v>ชิฟฟอนไส้แยม 6 ชิ้น</v>
          </cell>
          <cell r="C6">
            <v>2</v>
          </cell>
        </row>
        <row r="7">
          <cell r="B7" t="str">
            <v>ชิฟฟอนไส้แยม 3 ชิ้น</v>
          </cell>
          <cell r="C7">
            <v>222</v>
          </cell>
        </row>
        <row r="8">
          <cell r="B8" t="str">
            <v>เบาหวิว ล</v>
          </cell>
          <cell r="C8">
            <v>123</v>
          </cell>
        </row>
        <row r="9">
          <cell r="B9" t="str">
            <v>เบาหวิว ญ</v>
          </cell>
          <cell r="C9">
            <v>0</v>
          </cell>
        </row>
        <row r="10">
          <cell r="B10" t="str">
            <v>เปี๊ยะ ล</v>
          </cell>
          <cell r="C10">
            <v>35</v>
          </cell>
        </row>
        <row r="11">
          <cell r="B11" t="str">
            <v>เปี๊ยะโมจิ ล</v>
          </cell>
          <cell r="C11">
            <v>0</v>
          </cell>
        </row>
        <row r="12">
          <cell r="B12" t="str">
            <v>เปี๊ยะ ญ</v>
          </cell>
          <cell r="C12">
            <v>0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0</v>
          </cell>
        </row>
        <row r="15">
          <cell r="B15" t="str">
            <v>คุกกี้เนย</v>
          </cell>
          <cell r="C15">
            <v>1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0</v>
          </cell>
        </row>
        <row r="18">
          <cell r="B18" t="str">
            <v>ปังเนยน้ำตาล</v>
          </cell>
          <cell r="C18">
            <v>6</v>
          </cell>
        </row>
        <row r="19">
          <cell r="B19" t="str">
            <v>ปังเนยนิ่ม กล่อง 2 ชิ้น</v>
          </cell>
          <cell r="C19">
            <v>0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27</v>
          </cell>
        </row>
        <row r="26">
          <cell r="B26" t="str">
            <v>เปี๊ยะลาวา</v>
          </cell>
          <cell r="C26">
            <v>0</v>
          </cell>
        </row>
        <row r="27">
          <cell r="B27" t="str">
            <v>คอนเฟล็ก</v>
          </cell>
          <cell r="C27">
            <v>1</v>
          </cell>
        </row>
        <row r="28">
          <cell r="B28" t="str">
            <v>ไดฟูกุ</v>
          </cell>
          <cell r="C28">
            <v>0</v>
          </cell>
        </row>
        <row r="29">
          <cell r="B29" t="str">
            <v>ปังเลเยอร์</v>
          </cell>
          <cell r="C29">
            <v>0</v>
          </cell>
        </row>
        <row r="30">
          <cell r="B30" t="str">
            <v>เมอแรงค์</v>
          </cell>
          <cell r="C30">
            <v>1</v>
          </cell>
        </row>
        <row r="31">
          <cell r="B31" t="str">
            <v>ท๊อฟฟี่ถั่ว กล่อง</v>
          </cell>
          <cell r="C31">
            <v>8</v>
          </cell>
        </row>
        <row r="32">
          <cell r="B32" t="str">
            <v>ครีมฮอนร์จัมโบ้</v>
          </cell>
          <cell r="C32">
            <v>0</v>
          </cell>
        </row>
        <row r="33">
          <cell r="B33" t="str">
            <v>ครีมฮอร์น</v>
          </cell>
          <cell r="C33">
            <v>177</v>
          </cell>
        </row>
        <row r="34">
          <cell r="B34" t="str">
            <v>ยอดรวม</v>
          </cell>
          <cell r="C34">
            <v>996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  <sheetName val="ชินิตี้ ส.ค."/>
      <sheetName val="ชินิตี้ ก.ค."/>
      <sheetName val="ชินิตี้ มิ.ย."/>
    </sheetNames>
    <sheetDataSet>
      <sheetData sheetId="0" refreshError="1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51</v>
          </cell>
        </row>
        <row r="4">
          <cell r="B4" t="str">
            <v>ชิฟฟอน 8 ชิ้น</v>
          </cell>
          <cell r="C4">
            <v>71</v>
          </cell>
        </row>
        <row r="5">
          <cell r="B5" t="str">
            <v>ชิฟฟอน 4 ชิ้น</v>
          </cell>
          <cell r="C5">
            <v>122</v>
          </cell>
        </row>
        <row r="6">
          <cell r="B6" t="str">
            <v>ชิฟฟอนไส้แยม 6 ชิ้น</v>
          </cell>
          <cell r="C6">
            <v>3</v>
          </cell>
        </row>
        <row r="7">
          <cell r="B7" t="str">
            <v>ชิฟฟอนไส้แยม 3 ชิ้น</v>
          </cell>
          <cell r="C7">
            <v>228</v>
          </cell>
        </row>
        <row r="8">
          <cell r="B8" t="str">
            <v>เบาหวิว ล</v>
          </cell>
          <cell r="C8">
            <v>358</v>
          </cell>
        </row>
        <row r="9">
          <cell r="B9" t="str">
            <v>เบาหวิว ญ</v>
          </cell>
          <cell r="C9">
            <v>0</v>
          </cell>
        </row>
        <row r="10">
          <cell r="B10" t="str">
            <v>เปี๊ยะ ล</v>
          </cell>
          <cell r="C10">
            <v>0</v>
          </cell>
        </row>
        <row r="11">
          <cell r="B11" t="str">
            <v>เปี๊ยะโมจิ ล</v>
          </cell>
          <cell r="C11">
            <v>1</v>
          </cell>
        </row>
        <row r="12">
          <cell r="B12" t="str">
            <v>เปี๊ยะ ญ</v>
          </cell>
          <cell r="C12">
            <v>0</v>
          </cell>
        </row>
        <row r="13">
          <cell r="B13" t="str">
            <v>เปี๊ยะโมจิ ญ</v>
          </cell>
          <cell r="C13">
            <v>0</v>
          </cell>
        </row>
        <row r="14">
          <cell r="B14" t="str">
            <v>พายสัปปะรด</v>
          </cell>
          <cell r="C14">
            <v>0</v>
          </cell>
        </row>
        <row r="15">
          <cell r="B15" t="str">
            <v>คุกกี้เนย</v>
          </cell>
          <cell r="C15">
            <v>0</v>
          </cell>
        </row>
        <row r="16">
          <cell r="B16" t="str">
            <v>คุกกี้เนย 4 ชิ้น/กล่อง</v>
          </cell>
          <cell r="C16">
            <v>0</v>
          </cell>
        </row>
        <row r="17">
          <cell r="B17" t="str">
            <v>ปังกรอบคาราเมล</v>
          </cell>
          <cell r="C17">
            <v>0</v>
          </cell>
        </row>
        <row r="18">
          <cell r="B18" t="str">
            <v>ปังเนยน้ำตาล</v>
          </cell>
          <cell r="C18">
            <v>0</v>
          </cell>
        </row>
        <row r="19">
          <cell r="B19" t="str">
            <v>ปังเนยนิ่ม กล่อง 2 ชิ้น</v>
          </cell>
          <cell r="C19">
            <v>0</v>
          </cell>
        </row>
        <row r="20">
          <cell r="B20" t="str">
            <v>ปังเนยนิ่ม กล่อง 3 ชิ้น</v>
          </cell>
          <cell r="C20">
            <v>0</v>
          </cell>
        </row>
        <row r="21">
          <cell r="B21" t="str">
            <v>ปังเนยนิ่มถุง5ชิ้น</v>
          </cell>
          <cell r="C21">
            <v>0</v>
          </cell>
        </row>
        <row r="22">
          <cell r="B22" t="str">
            <v>ปังสตรอบูล</v>
          </cell>
          <cell r="C22">
            <v>0</v>
          </cell>
        </row>
        <row r="23">
          <cell r="B23" t="str">
            <v>ปังไก่หยอง</v>
          </cell>
          <cell r="C23">
            <v>0</v>
          </cell>
        </row>
        <row r="24">
          <cell r="B24" t="str">
            <v>ปังทวิต</v>
          </cell>
          <cell r="C24">
            <v>0</v>
          </cell>
        </row>
        <row r="25">
          <cell r="B25" t="str">
            <v>ปังแถว</v>
          </cell>
          <cell r="C25">
            <v>65</v>
          </cell>
        </row>
        <row r="26">
          <cell r="B26" t="str">
            <v>เปี๊ยะลาวา</v>
          </cell>
          <cell r="C26">
            <v>0</v>
          </cell>
        </row>
        <row r="27">
          <cell r="B27" t="str">
            <v>คอนเฟล็ก</v>
          </cell>
          <cell r="C27">
            <v>0</v>
          </cell>
        </row>
        <row r="28">
          <cell r="B28" t="str">
            <v>ไดฟูกุ</v>
          </cell>
          <cell r="C28">
            <v>0</v>
          </cell>
        </row>
        <row r="29">
          <cell r="B29" t="str">
            <v>ปังเลเยอร์</v>
          </cell>
          <cell r="C29">
            <v>0</v>
          </cell>
        </row>
        <row r="30">
          <cell r="B30" t="str">
            <v>เมอแรงค์</v>
          </cell>
          <cell r="C30">
            <v>2</v>
          </cell>
        </row>
        <row r="31">
          <cell r="B31" t="str">
            <v>ท๊อฟฟี่ถั่ว กล่อง</v>
          </cell>
          <cell r="C31">
            <v>0</v>
          </cell>
        </row>
        <row r="32">
          <cell r="B32" t="str">
            <v>ครีมฮอนร์จัมโบ้</v>
          </cell>
          <cell r="C32">
            <v>4</v>
          </cell>
        </row>
        <row r="33">
          <cell r="B33" t="str">
            <v>ครีมฮอร์น</v>
          </cell>
          <cell r="C33">
            <v>56</v>
          </cell>
        </row>
        <row r="34">
          <cell r="B34" t="str">
            <v>ยอดรวม</v>
          </cell>
          <cell r="C34">
            <v>961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  <sheetName val="ชินิตี้ ก.ย."/>
      <sheetName val="ชินิตี้ ส.ค."/>
      <sheetName val="ชินิตี้ ก.ค."/>
      <sheetName val="ชินิตี้ มิ.ย."/>
    </sheetNames>
    <sheetDataSet>
      <sheetData sheetId="0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29</v>
          </cell>
        </row>
        <row r="4">
          <cell r="B4" t="str">
            <v>ชิฟฟอน 8 ชิ้น</v>
          </cell>
          <cell r="C4">
            <v>5</v>
          </cell>
        </row>
        <row r="5">
          <cell r="B5" t="str">
            <v>ชิฟฟอน 4 ชิ้น</v>
          </cell>
          <cell r="C5">
            <v>102</v>
          </cell>
        </row>
        <row r="6">
          <cell r="B6" t="str">
            <v>ชิฟฟอนไส้แยม 6 ชิ้น</v>
          </cell>
          <cell r="C6">
            <v>6</v>
          </cell>
        </row>
        <row r="7">
          <cell r="B7" t="str">
            <v>ชิฟฟอนไส้แยม 3 ชิ้น</v>
          </cell>
          <cell r="C7">
            <v>213</v>
          </cell>
        </row>
        <row r="8">
          <cell r="B8" t="str">
            <v>เบาหวิว ล</v>
          </cell>
          <cell r="C8">
            <v>140</v>
          </cell>
        </row>
        <row r="9">
          <cell r="B9" t="str">
            <v>เบาหวิว ญ</v>
          </cell>
          <cell r="C9">
            <v>0</v>
          </cell>
        </row>
        <row r="10">
          <cell r="B10" t="str">
            <v>เค้กหวิวถาด</v>
          </cell>
          <cell r="C10">
            <v>0</v>
          </cell>
        </row>
        <row r="11">
          <cell r="B11" t="str">
            <v>เปี๊ยะ ล</v>
          </cell>
          <cell r="C11">
            <v>0</v>
          </cell>
        </row>
        <row r="12">
          <cell r="B12" t="str">
            <v>เปี๊ยะโมจิ ล</v>
          </cell>
          <cell r="C12">
            <v>0</v>
          </cell>
        </row>
        <row r="13">
          <cell r="B13" t="str">
            <v>เปี๊ยะ ญ</v>
          </cell>
          <cell r="C13">
            <v>0</v>
          </cell>
        </row>
        <row r="14">
          <cell r="B14" t="str">
            <v>เปี๊ยะโมจิ ญ</v>
          </cell>
          <cell r="C14">
            <v>0</v>
          </cell>
        </row>
        <row r="15">
          <cell r="B15" t="str">
            <v>พายสัปปะรด (กล่อง)</v>
          </cell>
          <cell r="C15">
            <v>0</v>
          </cell>
        </row>
        <row r="16">
          <cell r="B16" t="str">
            <v>คุกกี้เนย</v>
          </cell>
          <cell r="C16">
            <v>0</v>
          </cell>
        </row>
        <row r="17">
          <cell r="B17" t="str">
            <v>คุกกี้เนย 4 ชิ้น/กล่อง</v>
          </cell>
          <cell r="C17">
            <v>0</v>
          </cell>
        </row>
        <row r="18">
          <cell r="B18" t="str">
            <v>ปังกรอบคาราเมล</v>
          </cell>
          <cell r="C18">
            <v>3</v>
          </cell>
        </row>
        <row r="19">
          <cell r="B19" t="str">
            <v>ปังเนยน้ำตาล</v>
          </cell>
          <cell r="C19">
            <v>0</v>
          </cell>
        </row>
        <row r="20">
          <cell r="B20" t="str">
            <v>ปังเนยนิ่ม กล่อง 2 ชิ้น</v>
          </cell>
          <cell r="C20">
            <v>0</v>
          </cell>
        </row>
        <row r="21">
          <cell r="B21" t="str">
            <v>ปังเนยนิ่ม กล่อง 3 ชิ้น</v>
          </cell>
          <cell r="C21">
            <v>0</v>
          </cell>
        </row>
        <row r="22">
          <cell r="B22" t="str">
            <v>ปังเนยนิ่มถุง5ชิ้น</v>
          </cell>
          <cell r="C22">
            <v>0</v>
          </cell>
        </row>
        <row r="23">
          <cell r="B23" t="str">
            <v>ปังสตรอบูล</v>
          </cell>
          <cell r="C23">
            <v>0</v>
          </cell>
        </row>
        <row r="24">
          <cell r="B24" t="str">
            <v>ปังไก่หยอง</v>
          </cell>
          <cell r="C24">
            <v>0</v>
          </cell>
        </row>
        <row r="25">
          <cell r="B25" t="str">
            <v>ปังทวิต</v>
          </cell>
          <cell r="C25">
            <v>0</v>
          </cell>
        </row>
        <row r="26">
          <cell r="B26" t="str">
            <v>ปังแถว</v>
          </cell>
          <cell r="C26">
            <v>50</v>
          </cell>
        </row>
        <row r="27">
          <cell r="B27" t="str">
            <v>เปี๊ยะลาวา</v>
          </cell>
          <cell r="C27">
            <v>0</v>
          </cell>
        </row>
        <row r="28">
          <cell r="B28" t="str">
            <v>คอนเฟล็ก</v>
          </cell>
          <cell r="C28">
            <v>0</v>
          </cell>
        </row>
        <row r="29">
          <cell r="B29" t="str">
            <v>ไดฟูกุ</v>
          </cell>
          <cell r="C29">
            <v>0</v>
          </cell>
        </row>
        <row r="30">
          <cell r="B30" t="str">
            <v>ปังเลเยอร์</v>
          </cell>
          <cell r="C30">
            <v>0</v>
          </cell>
        </row>
        <row r="31">
          <cell r="B31" t="str">
            <v>เมอแรงค์</v>
          </cell>
          <cell r="C31">
            <v>4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ปังปลา กก.</v>
          </cell>
          <cell r="C33">
            <v>0</v>
          </cell>
        </row>
        <row r="34">
          <cell r="B34" t="str">
            <v>ครีมฮอนร์จัมโบ้</v>
          </cell>
          <cell r="C34">
            <v>4</v>
          </cell>
        </row>
        <row r="35">
          <cell r="B35" t="str">
            <v>ครีมฮอร์น</v>
          </cell>
          <cell r="C35">
            <v>491</v>
          </cell>
        </row>
        <row r="36">
          <cell r="B36" t="str">
            <v>พายสัปปะรด (ชิ้น)</v>
          </cell>
          <cell r="C36">
            <v>11</v>
          </cell>
        </row>
        <row r="37">
          <cell r="B37" t="str">
            <v>ยอดรวม</v>
          </cell>
          <cell r="C37">
            <v>1058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  <sheetName val="มิ.ย."/>
      <sheetName val="ก.ค."/>
      <sheetName val="ส.ค."/>
      <sheetName val="ก.ย."/>
      <sheetName val="ต.ค."/>
    </sheetNames>
    <sheetDataSet>
      <sheetData sheetId="0" refreshError="1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81</v>
          </cell>
        </row>
        <row r="4">
          <cell r="B4" t="str">
            <v>ชิฟฟอน 8 ชิ้น</v>
          </cell>
          <cell r="C4">
            <v>15</v>
          </cell>
        </row>
        <row r="5">
          <cell r="B5" t="str">
            <v>ชิฟฟอน 4 ชิ้น</v>
          </cell>
          <cell r="C5">
            <v>21</v>
          </cell>
        </row>
        <row r="6">
          <cell r="B6" t="str">
            <v>ชิฟฟอนไส้แยม 6 ชิ้น</v>
          </cell>
          <cell r="C6">
            <v>2</v>
          </cell>
        </row>
        <row r="7">
          <cell r="B7" t="str">
            <v>ชิฟฟอนไส้แยม 3 ชิ้น</v>
          </cell>
          <cell r="C7">
            <v>43</v>
          </cell>
        </row>
        <row r="8">
          <cell r="B8" t="str">
            <v>เบาหวิว ล</v>
          </cell>
          <cell r="C8">
            <v>99</v>
          </cell>
        </row>
        <row r="9">
          <cell r="B9" t="str">
            <v>เบาหวิว ญ</v>
          </cell>
          <cell r="C9">
            <v>6</v>
          </cell>
        </row>
        <row r="10">
          <cell r="B10" t="str">
            <v>เค้กหวิวถาด</v>
          </cell>
          <cell r="C10">
            <v>4</v>
          </cell>
        </row>
        <row r="11">
          <cell r="B11" t="str">
            <v>เปี๊ยะ ล</v>
          </cell>
          <cell r="C11">
            <v>0</v>
          </cell>
        </row>
        <row r="12">
          <cell r="B12" t="str">
            <v>เปี๊ยะโมจิ ล</v>
          </cell>
          <cell r="C12">
            <v>2</v>
          </cell>
        </row>
        <row r="13">
          <cell r="B13" t="str">
            <v>เปี๊ยะ ญ</v>
          </cell>
          <cell r="C13">
            <v>0</v>
          </cell>
        </row>
        <row r="14">
          <cell r="B14" t="str">
            <v>เปี๊ยะโมจิ ญ</v>
          </cell>
          <cell r="C14">
            <v>0</v>
          </cell>
        </row>
        <row r="15">
          <cell r="B15" t="str">
            <v>พายสัปปะรด (กล่อง)</v>
          </cell>
          <cell r="C15">
            <v>0</v>
          </cell>
        </row>
        <row r="16">
          <cell r="B16" t="str">
            <v>คุกกี้เนย</v>
          </cell>
          <cell r="C16">
            <v>0</v>
          </cell>
        </row>
        <row r="17">
          <cell r="B17" t="str">
            <v>คุกกี้เนย 4 ชิ้น/กล่อง</v>
          </cell>
          <cell r="C17">
            <v>0</v>
          </cell>
        </row>
        <row r="18">
          <cell r="B18" t="str">
            <v>ปังกรอบคาราเมล</v>
          </cell>
          <cell r="C18">
            <v>0</v>
          </cell>
        </row>
        <row r="19">
          <cell r="B19" t="str">
            <v>ปังเนยน้ำตาล</v>
          </cell>
          <cell r="C19">
            <v>0</v>
          </cell>
        </row>
        <row r="20">
          <cell r="B20" t="str">
            <v>ปังเนยนิ่ม กล่อง 2 ชิ้น</v>
          </cell>
          <cell r="C20">
            <v>0</v>
          </cell>
        </row>
        <row r="21">
          <cell r="B21" t="str">
            <v>ปังเนยนิ่ม กล่อง 3 ชิ้น</v>
          </cell>
          <cell r="C21">
            <v>0</v>
          </cell>
        </row>
        <row r="22">
          <cell r="B22" t="str">
            <v>ปังเนยนิ่มถุง5ชิ้น</v>
          </cell>
          <cell r="C22">
            <v>0</v>
          </cell>
        </row>
        <row r="23">
          <cell r="B23" t="str">
            <v>ปังสตรอบูล</v>
          </cell>
          <cell r="C23">
            <v>0</v>
          </cell>
        </row>
        <row r="24">
          <cell r="B24" t="str">
            <v>ปังไก่หยอง</v>
          </cell>
          <cell r="C24">
            <v>0</v>
          </cell>
        </row>
        <row r="25">
          <cell r="B25" t="str">
            <v>ปังทวิต</v>
          </cell>
          <cell r="C25">
            <v>0</v>
          </cell>
        </row>
        <row r="26">
          <cell r="B26" t="str">
            <v>ปังแถว</v>
          </cell>
          <cell r="C26">
            <v>12</v>
          </cell>
        </row>
        <row r="27">
          <cell r="B27" t="str">
            <v>เปี๊ยะลาวา</v>
          </cell>
          <cell r="C27">
            <v>23</v>
          </cell>
        </row>
        <row r="28">
          <cell r="B28" t="str">
            <v>คอนเฟล็ก</v>
          </cell>
          <cell r="C28">
            <v>0</v>
          </cell>
        </row>
        <row r="29">
          <cell r="B29" t="str">
            <v>ไดฟูกุ</v>
          </cell>
          <cell r="C29">
            <v>0</v>
          </cell>
        </row>
        <row r="30">
          <cell r="B30" t="str">
            <v>ปังเลเยอร์</v>
          </cell>
          <cell r="C30">
            <v>0</v>
          </cell>
        </row>
        <row r="31">
          <cell r="B31" t="str">
            <v>เมอแรงค์</v>
          </cell>
          <cell r="C31">
            <v>0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ปังปลา กก.</v>
          </cell>
          <cell r="C33">
            <v>0</v>
          </cell>
        </row>
        <row r="34">
          <cell r="B34" t="str">
            <v>ครีมฮอนร์จัมโบ้</v>
          </cell>
          <cell r="C34">
            <v>1</v>
          </cell>
        </row>
        <row r="35">
          <cell r="B35" t="str">
            <v>ครีมฮอร์น</v>
          </cell>
          <cell r="C35">
            <v>12</v>
          </cell>
        </row>
        <row r="36">
          <cell r="B36" t="str">
            <v>พายสัปปะรด (ชิ้น)</v>
          </cell>
          <cell r="C36">
            <v>0</v>
          </cell>
        </row>
        <row r="37">
          <cell r="B37" t="str">
            <v>เค้กไข่ใต้หวัน</v>
          </cell>
          <cell r="C37">
            <v>6</v>
          </cell>
        </row>
        <row r="38">
          <cell r="B38" t="str">
            <v>แซนด์วิช</v>
          </cell>
          <cell r="C38">
            <v>266</v>
          </cell>
        </row>
        <row r="39">
          <cell r="B39" t="str">
            <v>ยอดรวม</v>
          </cell>
          <cell r="C39">
            <v>593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  <sheetName val="มิ.ย."/>
      <sheetName val="ก.ค."/>
      <sheetName val="ส.ค."/>
      <sheetName val="ก.ย."/>
      <sheetName val="ต.ค."/>
    </sheetNames>
    <sheetDataSet>
      <sheetData sheetId="0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111</v>
          </cell>
        </row>
        <row r="4">
          <cell r="B4" t="str">
            <v>ชิฟฟอน 8 ชิ้น</v>
          </cell>
          <cell r="C4">
            <v>12</v>
          </cell>
        </row>
        <row r="5">
          <cell r="B5" t="str">
            <v>ชิฟฟอน 4 ชิ้น</v>
          </cell>
          <cell r="C5">
            <v>9</v>
          </cell>
        </row>
        <row r="6">
          <cell r="B6" t="str">
            <v>ชิฟฟอนไส้แยม 6 ชิ้น</v>
          </cell>
          <cell r="C6">
            <v>3</v>
          </cell>
        </row>
        <row r="7">
          <cell r="B7" t="str">
            <v>ชิฟฟอนไส้แยม 3 ชิ้น</v>
          </cell>
          <cell r="C7">
            <v>33</v>
          </cell>
        </row>
        <row r="8">
          <cell r="B8" t="str">
            <v>เบาหวิว ล</v>
          </cell>
          <cell r="C8">
            <v>100</v>
          </cell>
        </row>
        <row r="9">
          <cell r="B9" t="str">
            <v>เบาหวิว ญ</v>
          </cell>
          <cell r="C9">
            <v>0</v>
          </cell>
        </row>
        <row r="10">
          <cell r="B10" t="str">
            <v>เค้กหวิวถาด</v>
          </cell>
          <cell r="C10">
            <v>0</v>
          </cell>
        </row>
        <row r="11">
          <cell r="B11" t="str">
            <v>เปี๊ยะ ล</v>
          </cell>
          <cell r="C11">
            <v>0</v>
          </cell>
        </row>
        <row r="12">
          <cell r="B12" t="str">
            <v>เปี๊ยะโมจิ ล</v>
          </cell>
          <cell r="C12">
            <v>0</v>
          </cell>
        </row>
        <row r="13">
          <cell r="B13" t="str">
            <v>เปี๊ยะ ญ</v>
          </cell>
          <cell r="C13">
            <v>0</v>
          </cell>
        </row>
        <row r="14">
          <cell r="B14" t="str">
            <v>เปี๊ยะโมจิ ญ</v>
          </cell>
          <cell r="C14">
            <v>0</v>
          </cell>
        </row>
        <row r="15">
          <cell r="B15" t="str">
            <v>พายสัปปะรด (กล่อง)</v>
          </cell>
          <cell r="C15">
            <v>0</v>
          </cell>
        </row>
        <row r="16">
          <cell r="B16" t="str">
            <v>คุกกี้เนย</v>
          </cell>
          <cell r="C16">
            <v>0</v>
          </cell>
        </row>
        <row r="17">
          <cell r="B17" t="str">
            <v>คุกกี้เนย 4 ชิ้น/กล่อง</v>
          </cell>
          <cell r="C17">
            <v>0</v>
          </cell>
        </row>
        <row r="18">
          <cell r="B18" t="str">
            <v>ปังกรอบคาราเมล</v>
          </cell>
          <cell r="C18">
            <v>0</v>
          </cell>
        </row>
        <row r="19">
          <cell r="B19" t="str">
            <v>ปังเนยน้ำตาล</v>
          </cell>
          <cell r="C19">
            <v>0</v>
          </cell>
        </row>
        <row r="20">
          <cell r="B20" t="str">
            <v>ปังเนยนิ่ม กล่อง 2 ชิ้น</v>
          </cell>
          <cell r="C20">
            <v>0</v>
          </cell>
        </row>
        <row r="21">
          <cell r="B21" t="str">
            <v>ปังเนยนิ่ม กล่อง 3 ชิ้น</v>
          </cell>
          <cell r="C21">
            <v>0</v>
          </cell>
        </row>
        <row r="22">
          <cell r="B22" t="str">
            <v>ปังเนยนิ่มถุง5ชิ้น</v>
          </cell>
          <cell r="C22">
            <v>0</v>
          </cell>
        </row>
        <row r="23">
          <cell r="B23" t="str">
            <v>ปังสตรอบูล</v>
          </cell>
          <cell r="C23">
            <v>0</v>
          </cell>
        </row>
        <row r="24">
          <cell r="B24" t="str">
            <v>ปังไก่หยอง</v>
          </cell>
          <cell r="C24">
            <v>0</v>
          </cell>
        </row>
        <row r="25">
          <cell r="B25" t="str">
            <v>ปังทวิต</v>
          </cell>
          <cell r="C25">
            <v>0</v>
          </cell>
        </row>
        <row r="26">
          <cell r="B26" t="str">
            <v>ปังแถว</v>
          </cell>
          <cell r="C26">
            <v>0</v>
          </cell>
        </row>
        <row r="27">
          <cell r="B27" t="str">
            <v>เปี๊ยะลาวา</v>
          </cell>
          <cell r="C27">
            <v>38</v>
          </cell>
        </row>
        <row r="28">
          <cell r="B28" t="str">
            <v>คอนเฟล็ก</v>
          </cell>
          <cell r="C28">
            <v>144</v>
          </cell>
        </row>
        <row r="29">
          <cell r="B29" t="str">
            <v>ไดฟูกุ</v>
          </cell>
          <cell r="C29">
            <v>0</v>
          </cell>
        </row>
        <row r="30">
          <cell r="B30" t="str">
            <v>ปังเลเยอร์</v>
          </cell>
          <cell r="C30">
            <v>0</v>
          </cell>
        </row>
        <row r="31">
          <cell r="B31" t="str">
            <v>เมอแรงค์</v>
          </cell>
          <cell r="C31">
            <v>1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ปังปลา กก.</v>
          </cell>
          <cell r="C33">
            <v>0</v>
          </cell>
        </row>
        <row r="34">
          <cell r="B34" t="str">
            <v>ครีมฮอนร์จัมโบ้</v>
          </cell>
          <cell r="C34">
            <v>0</v>
          </cell>
        </row>
        <row r="35">
          <cell r="B35" t="str">
            <v>ครีมฮอร์น</v>
          </cell>
          <cell r="C35">
            <v>439</v>
          </cell>
        </row>
        <row r="36">
          <cell r="B36" t="str">
            <v>พายสัปปะรด (ชิ้น)</v>
          </cell>
          <cell r="C36">
            <v>0</v>
          </cell>
        </row>
        <row r="37">
          <cell r="B37" t="str">
            <v>เค้กไข่ใต้หวัน</v>
          </cell>
          <cell r="C37">
            <v>0</v>
          </cell>
        </row>
        <row r="38">
          <cell r="B38" t="str">
            <v>แซนด์วิช</v>
          </cell>
          <cell r="C38">
            <v>0</v>
          </cell>
        </row>
        <row r="39">
          <cell r="B39" t="str">
            <v>ยอดรวม</v>
          </cell>
          <cell r="C39">
            <v>890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สรุปรายการสินค้า"/>
      <sheetName val="Lazada"/>
      <sheetName val="Shopee"/>
      <sheetName val="TikTok"/>
      <sheetName val="ไปรษณีย์"/>
      <sheetName val="รายการสินค้าตีกลับ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 refreshError="1"/>
      <sheetData sheetId="1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</v>
          </cell>
          <cell r="C3">
            <v>55</v>
          </cell>
        </row>
        <row r="4">
          <cell r="B4" t="str">
            <v>ชิฟฟอน 8 ชิ้น</v>
          </cell>
          <cell r="C4">
            <v>151</v>
          </cell>
        </row>
        <row r="5">
          <cell r="B5" t="str">
            <v>ชิฟฟอน 4 ชิ้น</v>
          </cell>
          <cell r="C5">
            <v>72</v>
          </cell>
        </row>
        <row r="6">
          <cell r="B6" t="str">
            <v>ชิฟฟอนไส้แยม 6 ชิ้น</v>
          </cell>
          <cell r="C6">
            <v>9</v>
          </cell>
        </row>
        <row r="7">
          <cell r="B7" t="str">
            <v>ชิฟฟอนไส้แยม 3 ชิ้น</v>
          </cell>
          <cell r="C7">
            <v>89</v>
          </cell>
        </row>
        <row r="8">
          <cell r="B8" t="str">
            <v>เบาหวิว ล</v>
          </cell>
          <cell r="C8">
            <v>455</v>
          </cell>
        </row>
        <row r="9">
          <cell r="B9" t="str">
            <v>เบาหวิว ญ</v>
          </cell>
          <cell r="C9">
            <v>0</v>
          </cell>
        </row>
        <row r="10">
          <cell r="B10" t="str">
            <v>เค้กหวิวถาด</v>
          </cell>
          <cell r="C10">
            <v>0</v>
          </cell>
        </row>
        <row r="11">
          <cell r="B11" t="str">
            <v>เปี๊ยะ ล</v>
          </cell>
          <cell r="C11">
            <v>0</v>
          </cell>
        </row>
        <row r="12">
          <cell r="B12" t="str">
            <v>เปี๊ยะโมจิ ล</v>
          </cell>
          <cell r="C12">
            <v>0</v>
          </cell>
        </row>
        <row r="13">
          <cell r="B13" t="str">
            <v>เปี๊ยะ ญ</v>
          </cell>
          <cell r="C13">
            <v>0</v>
          </cell>
        </row>
        <row r="14">
          <cell r="B14" t="str">
            <v>เปี๊ยะโมจิ ญ</v>
          </cell>
          <cell r="C14">
            <v>0</v>
          </cell>
        </row>
        <row r="15">
          <cell r="B15" t="str">
            <v>พายสัปปะรด (กล่อง)</v>
          </cell>
          <cell r="C15">
            <v>0</v>
          </cell>
        </row>
        <row r="16">
          <cell r="B16" t="str">
            <v>คุกกี้เนย</v>
          </cell>
          <cell r="C16">
            <v>0</v>
          </cell>
        </row>
        <row r="17">
          <cell r="B17" t="str">
            <v>คุกกี้เนย 4 ชิ้น/กล่อง</v>
          </cell>
          <cell r="C17">
            <v>1</v>
          </cell>
        </row>
        <row r="18">
          <cell r="B18" t="str">
            <v>ปังกรอบคาราเมล</v>
          </cell>
          <cell r="C18">
            <v>0</v>
          </cell>
        </row>
        <row r="19">
          <cell r="B19" t="str">
            <v>ปังเนยน้ำตาล</v>
          </cell>
          <cell r="C19">
            <v>0</v>
          </cell>
        </row>
        <row r="20">
          <cell r="B20" t="str">
            <v>ปังเนยนิ่ม กล่อง 2 ชิ้น</v>
          </cell>
          <cell r="C20">
            <v>0</v>
          </cell>
        </row>
        <row r="21">
          <cell r="B21" t="str">
            <v>ปังเนยนิ่ม กล่อง 3 ชิ้น</v>
          </cell>
          <cell r="C21">
            <v>0</v>
          </cell>
        </row>
        <row r="22">
          <cell r="B22" t="str">
            <v>ปังเนยนิ่มถุง5ชิ้น</v>
          </cell>
          <cell r="C22">
            <v>0</v>
          </cell>
        </row>
        <row r="23">
          <cell r="B23" t="str">
            <v>ปังสตรอบูล</v>
          </cell>
          <cell r="C23">
            <v>0</v>
          </cell>
        </row>
        <row r="24">
          <cell r="B24" t="str">
            <v>ปังไก่หยอง</v>
          </cell>
          <cell r="C24">
            <v>0</v>
          </cell>
        </row>
        <row r="25">
          <cell r="B25" t="str">
            <v>ปังทวิต</v>
          </cell>
          <cell r="C25">
            <v>0</v>
          </cell>
        </row>
        <row r="26">
          <cell r="B26" t="str">
            <v>ปังแถว</v>
          </cell>
          <cell r="C26">
            <v>98</v>
          </cell>
        </row>
        <row r="27">
          <cell r="B27" t="str">
            <v>เปี๊ยะลาวา</v>
          </cell>
          <cell r="C27">
            <v>0</v>
          </cell>
        </row>
        <row r="28">
          <cell r="B28" t="str">
            <v>คอนเฟล็ก</v>
          </cell>
          <cell r="C28">
            <v>0</v>
          </cell>
        </row>
        <row r="29">
          <cell r="B29" t="str">
            <v>ไดฟูกุ</v>
          </cell>
          <cell r="C29">
            <v>0</v>
          </cell>
        </row>
        <row r="30">
          <cell r="B30" t="str">
            <v>ปังเลเยอร์</v>
          </cell>
          <cell r="C30">
            <v>0</v>
          </cell>
        </row>
        <row r="31">
          <cell r="B31" t="str">
            <v>เมอแรงค์</v>
          </cell>
          <cell r="C31">
            <v>0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ปังปลา กก.</v>
          </cell>
          <cell r="C33">
            <v>0</v>
          </cell>
        </row>
        <row r="34">
          <cell r="B34" t="str">
            <v>ครีมฮอนร์จัมโบ้</v>
          </cell>
          <cell r="C34">
            <v>0</v>
          </cell>
        </row>
        <row r="35">
          <cell r="B35" t="str">
            <v>ครีมฮอร์น</v>
          </cell>
          <cell r="C35">
            <v>374</v>
          </cell>
        </row>
        <row r="36">
          <cell r="B36" t="str">
            <v>พายสัปปะรด (ชิ้น)</v>
          </cell>
          <cell r="C36">
            <v>0</v>
          </cell>
        </row>
        <row r="37">
          <cell r="B37" t="str">
            <v>เค้กไข่ใต้หวัน</v>
          </cell>
          <cell r="C37">
            <v>0</v>
          </cell>
        </row>
        <row r="38">
          <cell r="B38" t="str">
            <v>แซนด์วิช</v>
          </cell>
          <cell r="C38">
            <v>0</v>
          </cell>
        </row>
        <row r="39">
          <cell r="B39" t="str">
            <v>ยอดรวม</v>
          </cell>
          <cell r="C39">
            <v>1304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634A-0A7E-4A81-B98A-4720FD65B7BA}">
  <sheetPr>
    <tabColor rgb="FFFF99FF"/>
  </sheetPr>
  <dimension ref="A1:BB19"/>
  <sheetViews>
    <sheetView tabSelected="1" zoomScale="85" zoomScaleNormal="85" workbookViewId="0">
      <pane xSplit="11" ySplit="5" topLeftCell="L12" activePane="bottomRight" state="frozen"/>
      <selection pane="topRight" activeCell="L1" sqref="L1"/>
      <selection pane="bottomLeft" activeCell="A6" sqref="A6"/>
      <selection pane="bottomRight" activeCell="C14" sqref="C14:Q16"/>
    </sheetView>
  </sheetViews>
  <sheetFormatPr defaultColWidth="6.8984375" defaultRowHeight="23.4" x14ac:dyDescent="0.6"/>
  <cols>
    <col min="1" max="1" width="10.69921875" style="5" bestFit="1" customWidth="1"/>
    <col min="2" max="2" width="12.19921875" style="5" customWidth="1"/>
    <col min="3" max="3" width="12.19921875" style="6" customWidth="1"/>
    <col min="4" max="4" width="12.19921875" style="5" customWidth="1"/>
    <col min="5" max="5" width="12.19921875" style="6" customWidth="1"/>
    <col min="6" max="6" width="12.19921875" style="5" customWidth="1"/>
    <col min="7" max="7" width="12.19921875" style="6" customWidth="1"/>
    <col min="8" max="8" width="12.19921875" style="5" customWidth="1"/>
    <col min="9" max="9" width="12.19921875" style="6" customWidth="1"/>
    <col min="10" max="10" width="12.19921875" style="5" customWidth="1"/>
    <col min="11" max="11" width="12.19921875" style="6" customWidth="1"/>
    <col min="12" max="12" width="12.19921875" style="5" customWidth="1"/>
    <col min="13" max="13" width="12.19921875" style="6" customWidth="1"/>
    <col min="14" max="14" width="12.19921875" style="5" customWidth="1"/>
    <col min="15" max="15" width="12.19921875" style="6" customWidth="1"/>
    <col min="16" max="16" width="12.19921875" style="5" customWidth="1"/>
    <col min="17" max="17" width="12.19921875" style="6" customWidth="1"/>
    <col min="18" max="18" width="12.19921875" style="5" customWidth="1"/>
    <col min="19" max="19" width="12.19921875" style="6" customWidth="1"/>
    <col min="20" max="20" width="12.19921875" style="5" customWidth="1"/>
    <col min="21" max="21" width="12.19921875" style="6" customWidth="1"/>
    <col min="22" max="22" width="12.19921875" style="5" customWidth="1"/>
    <col min="23" max="23" width="12.19921875" style="6" customWidth="1"/>
    <col min="24" max="24" width="12.19921875" style="5" customWidth="1"/>
    <col min="25" max="25" width="12.19921875" style="6" customWidth="1"/>
    <col min="26" max="26" width="12.19921875" style="5" customWidth="1"/>
    <col min="27" max="27" width="12.19921875" style="6" customWidth="1"/>
    <col min="28" max="28" width="12.19921875" style="5" customWidth="1"/>
    <col min="29" max="29" width="12.19921875" style="6" customWidth="1"/>
    <col min="30" max="30" width="12.19921875" style="5" customWidth="1"/>
    <col min="31" max="31" width="12.19921875" style="6" customWidth="1"/>
    <col min="32" max="32" width="12.19921875" style="5" customWidth="1"/>
    <col min="33" max="33" width="12.19921875" style="6" customWidth="1"/>
    <col min="34" max="34" width="12.19921875" style="5" customWidth="1"/>
    <col min="35" max="35" width="12.19921875" style="6" customWidth="1"/>
    <col min="36" max="36" width="12.19921875" style="5" customWidth="1"/>
    <col min="37" max="37" width="12.19921875" style="6" customWidth="1"/>
    <col min="38" max="38" width="12.19921875" style="5" customWidth="1"/>
    <col min="39" max="39" width="12.19921875" style="6" customWidth="1"/>
    <col min="40" max="40" width="12.19921875" style="5" customWidth="1"/>
    <col min="41" max="41" width="12.19921875" style="6" customWidth="1"/>
    <col min="42" max="42" width="12.19921875" style="5" customWidth="1"/>
    <col min="43" max="43" width="12.19921875" style="6" customWidth="1"/>
    <col min="44" max="44" width="12.19921875" style="5" customWidth="1"/>
    <col min="45" max="45" width="12.19921875" style="6" customWidth="1"/>
    <col min="46" max="46" width="12.19921875" style="5" customWidth="1"/>
    <col min="47" max="47" width="12.19921875" style="6" customWidth="1"/>
    <col min="48" max="48" width="12.19921875" style="5" customWidth="1"/>
    <col min="49" max="49" width="12.19921875" style="6" customWidth="1"/>
    <col min="50" max="50" width="12.19921875" style="5" customWidth="1"/>
    <col min="51" max="51" width="12.19921875" style="6" customWidth="1"/>
    <col min="52" max="52" width="12.19921875" style="5" customWidth="1"/>
    <col min="53" max="53" width="12.19921875" style="6" customWidth="1"/>
    <col min="54" max="54" width="4.59765625" style="5" bestFit="1" customWidth="1"/>
    <col min="55" max="16384" width="6.8984375" style="5"/>
  </cols>
  <sheetData>
    <row r="1" spans="1:54" ht="29.4" thickBot="1" x14ac:dyDescent="0.6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2"/>
      <c r="AN1" s="7"/>
    </row>
    <row r="2" spans="1:54" ht="31.5" customHeight="1" thickBot="1" x14ac:dyDescent="0.65">
      <c r="A2" s="67" t="s">
        <v>1</v>
      </c>
      <c r="B2" s="54" t="s">
        <v>16</v>
      </c>
      <c r="C2" s="55"/>
      <c r="D2" s="55"/>
      <c r="E2" s="55"/>
      <c r="F2" s="55"/>
      <c r="G2" s="55"/>
      <c r="H2" s="55"/>
      <c r="I2" s="55"/>
      <c r="J2" s="55"/>
      <c r="K2" s="55"/>
      <c r="L2" s="54" t="s">
        <v>16</v>
      </c>
      <c r="M2" s="55"/>
      <c r="N2" s="55"/>
      <c r="O2" s="55"/>
      <c r="P2" s="55"/>
      <c r="Q2" s="55"/>
      <c r="R2" s="55"/>
      <c r="S2" s="55"/>
      <c r="T2" s="55"/>
      <c r="U2" s="55"/>
      <c r="V2" s="54" t="s">
        <v>16</v>
      </c>
      <c r="W2" s="55"/>
      <c r="X2" s="55"/>
      <c r="Y2" s="55"/>
      <c r="Z2" s="55"/>
      <c r="AA2" s="55"/>
      <c r="AB2" s="55"/>
      <c r="AC2" s="55"/>
      <c r="AD2" s="55"/>
      <c r="AE2" s="55"/>
      <c r="AF2" s="54" t="s">
        <v>16</v>
      </c>
      <c r="AG2" s="55"/>
      <c r="AH2" s="55"/>
      <c r="AI2" s="55"/>
      <c r="AJ2" s="55"/>
      <c r="AK2" s="55"/>
      <c r="AL2" s="55"/>
      <c r="AM2" s="55"/>
      <c r="AN2" s="55"/>
      <c r="AO2" s="55"/>
      <c r="AP2" s="54" t="s">
        <v>16</v>
      </c>
      <c r="AQ2" s="55"/>
      <c r="AR2" s="55"/>
      <c r="AS2" s="55"/>
      <c r="AT2" s="55"/>
      <c r="AU2" s="55"/>
      <c r="AV2" s="55"/>
      <c r="AW2" s="55"/>
      <c r="AX2" s="55"/>
      <c r="AY2" s="56"/>
      <c r="AZ2" s="74" t="s">
        <v>30</v>
      </c>
      <c r="BA2" s="57" t="s">
        <v>31</v>
      </c>
    </row>
    <row r="3" spans="1:54" ht="26.4" customHeight="1" x14ac:dyDescent="0.6">
      <c r="A3" s="72"/>
      <c r="B3" s="77" t="s">
        <v>14</v>
      </c>
      <c r="C3" s="78"/>
      <c r="D3" s="78"/>
      <c r="E3" s="78"/>
      <c r="F3" s="78"/>
      <c r="G3" s="78"/>
      <c r="H3" s="78"/>
      <c r="I3" s="78"/>
      <c r="J3" s="78"/>
      <c r="K3" s="79"/>
      <c r="L3" s="81" t="s">
        <v>15</v>
      </c>
      <c r="M3" s="82"/>
      <c r="N3" s="82"/>
      <c r="O3" s="82"/>
      <c r="P3" s="82"/>
      <c r="Q3" s="82"/>
      <c r="R3" s="82"/>
      <c r="S3" s="82"/>
      <c r="T3" s="82"/>
      <c r="U3" s="83"/>
      <c r="V3" s="78" t="s">
        <v>29</v>
      </c>
      <c r="W3" s="78"/>
      <c r="X3" s="78"/>
      <c r="Y3" s="78"/>
      <c r="Z3" s="78"/>
      <c r="AA3" s="78"/>
      <c r="AB3" s="78"/>
      <c r="AC3" s="78"/>
      <c r="AD3" s="78"/>
      <c r="AE3" s="78"/>
      <c r="AF3" s="67" t="s">
        <v>19</v>
      </c>
      <c r="AG3" s="68"/>
      <c r="AH3" s="68"/>
      <c r="AI3" s="68"/>
      <c r="AJ3" s="68"/>
      <c r="AK3" s="68"/>
      <c r="AL3" s="68"/>
      <c r="AM3" s="68"/>
      <c r="AN3" s="68"/>
      <c r="AO3" s="69"/>
      <c r="AP3" s="67" t="s">
        <v>18</v>
      </c>
      <c r="AQ3" s="68"/>
      <c r="AR3" s="68"/>
      <c r="AS3" s="68"/>
      <c r="AT3" s="68"/>
      <c r="AU3" s="68"/>
      <c r="AV3" s="68"/>
      <c r="AW3" s="68"/>
      <c r="AX3" s="68"/>
      <c r="AY3" s="69"/>
      <c r="AZ3" s="75"/>
      <c r="BA3" s="58"/>
    </row>
    <row r="4" spans="1:54" ht="26.4" customHeight="1" x14ac:dyDescent="0.6">
      <c r="A4" s="72"/>
      <c r="B4" s="70" t="s">
        <v>23</v>
      </c>
      <c r="C4" s="71"/>
      <c r="D4" s="60" t="s">
        <v>24</v>
      </c>
      <c r="E4" s="60"/>
      <c r="F4" s="61" t="s">
        <v>25</v>
      </c>
      <c r="G4" s="61"/>
      <c r="H4" s="62" t="s">
        <v>26</v>
      </c>
      <c r="I4" s="62"/>
      <c r="J4" s="63" t="s">
        <v>17</v>
      </c>
      <c r="K4" s="65" t="s">
        <v>27</v>
      </c>
      <c r="L4" s="70" t="s">
        <v>23</v>
      </c>
      <c r="M4" s="71"/>
      <c r="N4" s="60" t="s">
        <v>24</v>
      </c>
      <c r="O4" s="60"/>
      <c r="P4" s="61" t="s">
        <v>25</v>
      </c>
      <c r="Q4" s="61"/>
      <c r="R4" s="62" t="s">
        <v>26</v>
      </c>
      <c r="S4" s="62"/>
      <c r="T4" s="63" t="s">
        <v>17</v>
      </c>
      <c r="U4" s="65" t="s">
        <v>27</v>
      </c>
      <c r="V4" s="70" t="s">
        <v>23</v>
      </c>
      <c r="W4" s="71"/>
      <c r="X4" s="60" t="s">
        <v>24</v>
      </c>
      <c r="Y4" s="60"/>
      <c r="Z4" s="61" t="s">
        <v>25</v>
      </c>
      <c r="AA4" s="61"/>
      <c r="AB4" s="62" t="s">
        <v>26</v>
      </c>
      <c r="AC4" s="62"/>
      <c r="AD4" s="63" t="s">
        <v>17</v>
      </c>
      <c r="AE4" s="65" t="s">
        <v>27</v>
      </c>
      <c r="AF4" s="70" t="s">
        <v>23</v>
      </c>
      <c r="AG4" s="71"/>
      <c r="AH4" s="60" t="s">
        <v>24</v>
      </c>
      <c r="AI4" s="60"/>
      <c r="AJ4" s="61" t="s">
        <v>25</v>
      </c>
      <c r="AK4" s="61"/>
      <c r="AL4" s="62" t="s">
        <v>26</v>
      </c>
      <c r="AM4" s="62"/>
      <c r="AN4" s="63" t="s">
        <v>17</v>
      </c>
      <c r="AO4" s="65" t="s">
        <v>27</v>
      </c>
      <c r="AP4" s="70" t="s">
        <v>23</v>
      </c>
      <c r="AQ4" s="71"/>
      <c r="AR4" s="60" t="s">
        <v>24</v>
      </c>
      <c r="AS4" s="60"/>
      <c r="AT4" s="61" t="s">
        <v>25</v>
      </c>
      <c r="AU4" s="61"/>
      <c r="AV4" s="62" t="s">
        <v>26</v>
      </c>
      <c r="AW4" s="62"/>
      <c r="AX4" s="63" t="s">
        <v>17</v>
      </c>
      <c r="AY4" s="65" t="s">
        <v>27</v>
      </c>
      <c r="AZ4" s="75"/>
      <c r="BA4" s="58"/>
    </row>
    <row r="5" spans="1:54" ht="27" thickBot="1" x14ac:dyDescent="0.65">
      <c r="A5" s="73"/>
      <c r="B5" s="24" t="s">
        <v>21</v>
      </c>
      <c r="C5" s="17" t="s">
        <v>22</v>
      </c>
      <c r="D5" s="18" t="s">
        <v>21</v>
      </c>
      <c r="E5" s="19" t="s">
        <v>22</v>
      </c>
      <c r="F5" s="20" t="s">
        <v>21</v>
      </c>
      <c r="G5" s="21" t="s">
        <v>22</v>
      </c>
      <c r="H5" s="22" t="s">
        <v>21</v>
      </c>
      <c r="I5" s="23" t="s">
        <v>22</v>
      </c>
      <c r="J5" s="64"/>
      <c r="K5" s="66"/>
      <c r="L5" s="24" t="s">
        <v>21</v>
      </c>
      <c r="M5" s="17" t="s">
        <v>22</v>
      </c>
      <c r="N5" s="18" t="s">
        <v>21</v>
      </c>
      <c r="O5" s="19" t="s">
        <v>22</v>
      </c>
      <c r="P5" s="20" t="s">
        <v>21</v>
      </c>
      <c r="Q5" s="21" t="s">
        <v>22</v>
      </c>
      <c r="R5" s="22" t="s">
        <v>21</v>
      </c>
      <c r="S5" s="23" t="s">
        <v>22</v>
      </c>
      <c r="T5" s="64"/>
      <c r="U5" s="66"/>
      <c r="V5" s="24" t="s">
        <v>21</v>
      </c>
      <c r="W5" s="17" t="s">
        <v>22</v>
      </c>
      <c r="X5" s="18" t="s">
        <v>21</v>
      </c>
      <c r="Y5" s="19" t="s">
        <v>22</v>
      </c>
      <c r="Z5" s="20" t="s">
        <v>21</v>
      </c>
      <c r="AA5" s="21" t="s">
        <v>22</v>
      </c>
      <c r="AB5" s="22" t="s">
        <v>21</v>
      </c>
      <c r="AC5" s="23" t="s">
        <v>22</v>
      </c>
      <c r="AD5" s="64"/>
      <c r="AE5" s="66"/>
      <c r="AF5" s="24" t="s">
        <v>21</v>
      </c>
      <c r="AG5" s="17" t="s">
        <v>22</v>
      </c>
      <c r="AH5" s="18" t="s">
        <v>21</v>
      </c>
      <c r="AI5" s="19" t="s">
        <v>22</v>
      </c>
      <c r="AJ5" s="20" t="s">
        <v>21</v>
      </c>
      <c r="AK5" s="21" t="s">
        <v>22</v>
      </c>
      <c r="AL5" s="22" t="s">
        <v>21</v>
      </c>
      <c r="AM5" s="23" t="s">
        <v>22</v>
      </c>
      <c r="AN5" s="64"/>
      <c r="AO5" s="66"/>
      <c r="AP5" s="24" t="s">
        <v>21</v>
      </c>
      <c r="AQ5" s="17" t="s">
        <v>22</v>
      </c>
      <c r="AR5" s="18" t="s">
        <v>21</v>
      </c>
      <c r="AS5" s="19" t="s">
        <v>22</v>
      </c>
      <c r="AT5" s="20" t="s">
        <v>21</v>
      </c>
      <c r="AU5" s="21" t="s">
        <v>22</v>
      </c>
      <c r="AV5" s="22" t="s">
        <v>21</v>
      </c>
      <c r="AW5" s="23" t="s">
        <v>22</v>
      </c>
      <c r="AX5" s="64"/>
      <c r="AY5" s="66"/>
      <c r="AZ5" s="76"/>
      <c r="BA5" s="59"/>
    </row>
    <row r="6" spans="1:54" ht="23.4" customHeight="1" x14ac:dyDescent="0.6">
      <c r="A6" s="13" t="s">
        <v>2</v>
      </c>
      <c r="B6" s="14">
        <v>20</v>
      </c>
      <c r="C6" s="31">
        <v>5679.25</v>
      </c>
      <c r="D6" s="14">
        <v>7</v>
      </c>
      <c r="E6" s="15">
        <v>1194</v>
      </c>
      <c r="F6" s="14">
        <v>6</v>
      </c>
      <c r="G6" s="15">
        <v>1379.5</v>
      </c>
      <c r="H6" s="14">
        <v>37</v>
      </c>
      <c r="I6" s="15">
        <v>19049</v>
      </c>
      <c r="J6" s="16">
        <f>+B6+D6+F6+H6</f>
        <v>70</v>
      </c>
      <c r="K6" s="25">
        <f>+C6+E6+G6+I6</f>
        <v>27301.75</v>
      </c>
      <c r="L6" s="14">
        <v>5</v>
      </c>
      <c r="M6" s="15">
        <v>1044.46</v>
      </c>
      <c r="N6" s="14">
        <v>4</v>
      </c>
      <c r="O6" s="15">
        <v>1058</v>
      </c>
      <c r="P6" s="14">
        <v>8</v>
      </c>
      <c r="Q6" s="15">
        <v>2051</v>
      </c>
      <c r="R6" s="14">
        <v>35</v>
      </c>
      <c r="S6" s="15">
        <v>13647</v>
      </c>
      <c r="T6" s="16">
        <f>+L6+N6+P6+R6</f>
        <v>52</v>
      </c>
      <c r="U6" s="25">
        <f>+M6+O6+Q6+S6</f>
        <v>17800.46</v>
      </c>
      <c r="V6" s="14">
        <v>2</v>
      </c>
      <c r="W6" s="15">
        <v>520.84</v>
      </c>
      <c r="X6" s="14">
        <v>0</v>
      </c>
      <c r="Y6" s="15">
        <v>0</v>
      </c>
      <c r="Z6" s="14">
        <v>0</v>
      </c>
      <c r="AA6" s="15">
        <v>0</v>
      </c>
      <c r="AB6" s="14">
        <v>0</v>
      </c>
      <c r="AC6" s="15">
        <v>0</v>
      </c>
      <c r="AD6" s="16">
        <f>+V6+X6+Z6+AB6</f>
        <v>2</v>
      </c>
      <c r="AE6" s="25">
        <f>+W6+Y6+AA6+AC6</f>
        <v>520.84</v>
      </c>
      <c r="AF6" s="14">
        <v>0</v>
      </c>
      <c r="AG6" s="15">
        <v>0</v>
      </c>
      <c r="AH6" s="14">
        <v>0</v>
      </c>
      <c r="AI6" s="15">
        <v>0</v>
      </c>
      <c r="AJ6" s="14">
        <v>0</v>
      </c>
      <c r="AK6" s="15">
        <v>0</v>
      </c>
      <c r="AL6" s="14">
        <v>0</v>
      </c>
      <c r="AM6" s="15">
        <v>0</v>
      </c>
      <c r="AN6" s="16">
        <f>+AF6+AH6+AJ6+AL6</f>
        <v>0</v>
      </c>
      <c r="AO6" s="25">
        <f>+AG6+AI6+AK6+AM6</f>
        <v>0</v>
      </c>
      <c r="AP6" s="14">
        <v>0</v>
      </c>
      <c r="AQ6" s="15">
        <v>0</v>
      </c>
      <c r="AR6" s="14">
        <v>0</v>
      </c>
      <c r="AS6" s="15">
        <v>0</v>
      </c>
      <c r="AT6" s="14">
        <v>0</v>
      </c>
      <c r="AU6" s="15">
        <v>0</v>
      </c>
      <c r="AV6" s="14">
        <v>7</v>
      </c>
      <c r="AW6" s="15">
        <v>1580</v>
      </c>
      <c r="AX6" s="16">
        <f>+AP6+AR6+AT6+AV6</f>
        <v>7</v>
      </c>
      <c r="AY6" s="25">
        <f>+AQ6+AS6+AU6+AW6</f>
        <v>1580</v>
      </c>
      <c r="AZ6" s="27">
        <f>+J6+T6+AD6+AN6+AX6</f>
        <v>131</v>
      </c>
      <c r="BA6" s="28">
        <f>+K6+U6+AE6+AO6+AY6</f>
        <v>47203.049999999996</v>
      </c>
      <c r="BB6" s="8" t="s">
        <v>20</v>
      </c>
    </row>
    <row r="7" spans="1:54" x14ac:dyDescent="0.6">
      <c r="A7" s="1" t="s">
        <v>3</v>
      </c>
      <c r="B7" s="10">
        <v>8</v>
      </c>
      <c r="C7" s="32">
        <v>1552.38</v>
      </c>
      <c r="D7" s="10">
        <v>5</v>
      </c>
      <c r="E7" s="11">
        <v>1131</v>
      </c>
      <c r="F7" s="10">
        <v>3</v>
      </c>
      <c r="G7" s="11">
        <v>1211</v>
      </c>
      <c r="H7" s="10">
        <v>7</v>
      </c>
      <c r="I7" s="11">
        <v>2298</v>
      </c>
      <c r="J7" s="12">
        <f t="shared" ref="J7:J17" si="0">+B7+D7+F7+H7</f>
        <v>23</v>
      </c>
      <c r="K7" s="26">
        <f t="shared" ref="K7:K17" si="1">+C7+E7+G7+I7</f>
        <v>6192.38</v>
      </c>
      <c r="L7" s="10">
        <v>10</v>
      </c>
      <c r="M7" s="11">
        <v>2922.84</v>
      </c>
      <c r="N7" s="10">
        <v>3</v>
      </c>
      <c r="O7" s="11">
        <v>1540</v>
      </c>
      <c r="P7" s="10">
        <v>7</v>
      </c>
      <c r="Q7" s="11">
        <v>1268</v>
      </c>
      <c r="R7" s="10">
        <v>22</v>
      </c>
      <c r="S7" s="11">
        <v>11995</v>
      </c>
      <c r="T7" s="12">
        <f t="shared" ref="T7:T17" si="2">+L7+N7+P7+R7</f>
        <v>42</v>
      </c>
      <c r="U7" s="26">
        <f t="shared" ref="U7:U17" si="3">+M7+O7+Q7+S7</f>
        <v>17725.84</v>
      </c>
      <c r="V7" s="10">
        <v>1</v>
      </c>
      <c r="W7" s="11">
        <v>431.39</v>
      </c>
      <c r="X7" s="10">
        <v>0</v>
      </c>
      <c r="Y7" s="11">
        <v>0</v>
      </c>
      <c r="Z7" s="10">
        <v>0</v>
      </c>
      <c r="AA7" s="11">
        <v>0</v>
      </c>
      <c r="AB7" s="10">
        <v>0</v>
      </c>
      <c r="AC7" s="11">
        <v>0</v>
      </c>
      <c r="AD7" s="12">
        <f t="shared" ref="AD7:AD17" si="4">+V7+X7+Z7+AB7</f>
        <v>1</v>
      </c>
      <c r="AE7" s="26">
        <f t="shared" ref="AE7:AE17" si="5">+W7+Y7+AA7+AC7</f>
        <v>431.39</v>
      </c>
      <c r="AF7" s="10">
        <v>0</v>
      </c>
      <c r="AG7" s="11">
        <v>0</v>
      </c>
      <c r="AH7" s="10">
        <v>0</v>
      </c>
      <c r="AI7" s="11">
        <v>0</v>
      </c>
      <c r="AJ7" s="10">
        <v>0</v>
      </c>
      <c r="AK7" s="11">
        <v>0</v>
      </c>
      <c r="AL7" s="10">
        <v>0</v>
      </c>
      <c r="AM7" s="11">
        <v>0</v>
      </c>
      <c r="AN7" s="12">
        <f t="shared" ref="AN7:AN17" si="6">+AF7+AH7+AJ7+AL7</f>
        <v>0</v>
      </c>
      <c r="AO7" s="26">
        <f t="shared" ref="AO7:AO17" si="7">+AG7+AI7+AK7+AM7</f>
        <v>0</v>
      </c>
      <c r="AP7" s="10">
        <v>0</v>
      </c>
      <c r="AQ7" s="11">
        <v>0</v>
      </c>
      <c r="AR7" s="10">
        <v>0</v>
      </c>
      <c r="AS7" s="11">
        <v>0</v>
      </c>
      <c r="AT7" s="10">
        <v>0</v>
      </c>
      <c r="AU7" s="11">
        <v>0</v>
      </c>
      <c r="AV7" s="10">
        <v>0</v>
      </c>
      <c r="AW7" s="11">
        <v>0</v>
      </c>
      <c r="AX7" s="12">
        <f t="shared" ref="AX7:AX17" si="8">+AP7+AR7+AT7+AV7</f>
        <v>0</v>
      </c>
      <c r="AY7" s="26">
        <f t="shared" ref="AY7:AY17" si="9">+AQ7+AS7+AU7+AW7</f>
        <v>0</v>
      </c>
      <c r="AZ7" s="29">
        <f t="shared" ref="AZ7:AZ17" si="10">+J7+T7+AD7+AN7+AX7</f>
        <v>66</v>
      </c>
      <c r="BA7" s="30">
        <f t="shared" ref="BA7:BA17" si="11">+K7+U7+AE7+AO7+AY7</f>
        <v>24349.61</v>
      </c>
      <c r="BB7" s="8" t="s">
        <v>20</v>
      </c>
    </row>
    <row r="8" spans="1:54" x14ac:dyDescent="0.6">
      <c r="A8" s="1" t="s">
        <v>4</v>
      </c>
      <c r="B8" s="10">
        <v>11</v>
      </c>
      <c r="C8" s="32">
        <v>2806.79</v>
      </c>
      <c r="D8" s="10">
        <v>6</v>
      </c>
      <c r="E8" s="11">
        <v>2035</v>
      </c>
      <c r="F8" s="10">
        <v>3</v>
      </c>
      <c r="G8" s="11">
        <v>563</v>
      </c>
      <c r="H8" s="10">
        <v>4</v>
      </c>
      <c r="I8" s="11">
        <v>997</v>
      </c>
      <c r="J8" s="12">
        <f t="shared" si="0"/>
        <v>24</v>
      </c>
      <c r="K8" s="26">
        <f t="shared" si="1"/>
        <v>6401.79</v>
      </c>
      <c r="L8" s="10">
        <v>4</v>
      </c>
      <c r="M8" s="11">
        <v>342.3</v>
      </c>
      <c r="N8" s="10">
        <v>3</v>
      </c>
      <c r="O8" s="11">
        <v>495</v>
      </c>
      <c r="P8" s="10">
        <v>0</v>
      </c>
      <c r="Q8" s="11">
        <v>0</v>
      </c>
      <c r="R8" s="10">
        <v>10</v>
      </c>
      <c r="S8" s="11">
        <v>2239</v>
      </c>
      <c r="T8" s="12">
        <f t="shared" si="2"/>
        <v>17</v>
      </c>
      <c r="U8" s="26">
        <f t="shared" si="3"/>
        <v>3076.3</v>
      </c>
      <c r="V8" s="10">
        <v>0</v>
      </c>
      <c r="W8" s="11">
        <v>0</v>
      </c>
      <c r="X8" s="10">
        <v>0</v>
      </c>
      <c r="Y8" s="11">
        <v>0</v>
      </c>
      <c r="Z8" s="10">
        <v>0</v>
      </c>
      <c r="AA8" s="11">
        <v>0</v>
      </c>
      <c r="AB8" s="10">
        <v>0</v>
      </c>
      <c r="AC8" s="11">
        <v>0</v>
      </c>
      <c r="AD8" s="12">
        <f t="shared" si="4"/>
        <v>0</v>
      </c>
      <c r="AE8" s="26">
        <f t="shared" si="5"/>
        <v>0</v>
      </c>
      <c r="AF8" s="10">
        <v>0</v>
      </c>
      <c r="AG8" s="11">
        <v>0</v>
      </c>
      <c r="AH8" s="10">
        <v>0</v>
      </c>
      <c r="AI8" s="11">
        <v>0</v>
      </c>
      <c r="AJ8" s="10">
        <v>0</v>
      </c>
      <c r="AK8" s="11">
        <v>0</v>
      </c>
      <c r="AL8" s="10">
        <v>0</v>
      </c>
      <c r="AM8" s="11">
        <v>0</v>
      </c>
      <c r="AN8" s="12">
        <f t="shared" si="6"/>
        <v>0</v>
      </c>
      <c r="AO8" s="26">
        <f t="shared" si="7"/>
        <v>0</v>
      </c>
      <c r="AP8" s="10">
        <v>0</v>
      </c>
      <c r="AQ8" s="11">
        <v>0</v>
      </c>
      <c r="AR8" s="10">
        <v>0</v>
      </c>
      <c r="AS8" s="11">
        <v>0</v>
      </c>
      <c r="AT8" s="10">
        <v>0</v>
      </c>
      <c r="AU8" s="11">
        <v>0</v>
      </c>
      <c r="AV8" s="10">
        <v>0</v>
      </c>
      <c r="AW8" s="11">
        <v>0</v>
      </c>
      <c r="AX8" s="12">
        <f t="shared" si="8"/>
        <v>0</v>
      </c>
      <c r="AY8" s="26">
        <f t="shared" si="9"/>
        <v>0</v>
      </c>
      <c r="AZ8" s="29">
        <f t="shared" si="10"/>
        <v>41</v>
      </c>
      <c r="BA8" s="30">
        <f t="shared" si="11"/>
        <v>9478.09</v>
      </c>
      <c r="BB8" s="8" t="s">
        <v>20</v>
      </c>
    </row>
    <row r="9" spans="1:54" x14ac:dyDescent="0.6">
      <c r="A9" s="1" t="s">
        <v>5</v>
      </c>
      <c r="B9" s="10">
        <v>14</v>
      </c>
      <c r="C9" s="32">
        <v>2829.95</v>
      </c>
      <c r="D9" s="10">
        <v>2</v>
      </c>
      <c r="E9" s="11">
        <v>309</v>
      </c>
      <c r="F9" s="10">
        <v>20</v>
      </c>
      <c r="G9" s="11">
        <v>2890.39</v>
      </c>
      <c r="H9" s="10">
        <v>7</v>
      </c>
      <c r="I9" s="11">
        <v>1370</v>
      </c>
      <c r="J9" s="12">
        <f t="shared" si="0"/>
        <v>43</v>
      </c>
      <c r="K9" s="26">
        <f t="shared" si="1"/>
        <v>7399.34</v>
      </c>
      <c r="L9" s="10">
        <v>7</v>
      </c>
      <c r="M9" s="11">
        <v>878.56</v>
      </c>
      <c r="N9" s="10">
        <v>2</v>
      </c>
      <c r="O9" s="11">
        <v>626</v>
      </c>
      <c r="P9" s="10">
        <v>35</v>
      </c>
      <c r="Q9" s="11">
        <v>4713</v>
      </c>
      <c r="R9" s="10">
        <v>17</v>
      </c>
      <c r="S9" s="11">
        <v>4041</v>
      </c>
      <c r="T9" s="12">
        <f t="shared" si="2"/>
        <v>61</v>
      </c>
      <c r="U9" s="26">
        <f t="shared" si="3"/>
        <v>10258.56</v>
      </c>
      <c r="V9" s="10">
        <v>0</v>
      </c>
      <c r="W9" s="11">
        <v>0</v>
      </c>
      <c r="X9" s="10">
        <v>0</v>
      </c>
      <c r="Y9" s="11">
        <v>0</v>
      </c>
      <c r="Z9" s="10">
        <v>0</v>
      </c>
      <c r="AA9" s="11">
        <v>0</v>
      </c>
      <c r="AB9" s="10">
        <v>0</v>
      </c>
      <c r="AC9" s="11">
        <v>0</v>
      </c>
      <c r="AD9" s="12">
        <f t="shared" si="4"/>
        <v>0</v>
      </c>
      <c r="AE9" s="26">
        <f t="shared" si="5"/>
        <v>0</v>
      </c>
      <c r="AF9" s="10">
        <v>0</v>
      </c>
      <c r="AG9" s="11">
        <v>0</v>
      </c>
      <c r="AH9" s="10">
        <v>0</v>
      </c>
      <c r="AI9" s="11">
        <v>0</v>
      </c>
      <c r="AJ9" s="10">
        <v>0</v>
      </c>
      <c r="AK9" s="11">
        <v>0</v>
      </c>
      <c r="AL9" s="10">
        <v>0</v>
      </c>
      <c r="AM9" s="11">
        <v>0</v>
      </c>
      <c r="AN9" s="12">
        <f t="shared" si="6"/>
        <v>0</v>
      </c>
      <c r="AO9" s="26">
        <f t="shared" si="7"/>
        <v>0</v>
      </c>
      <c r="AP9" s="10">
        <v>0</v>
      </c>
      <c r="AQ9" s="11">
        <v>0</v>
      </c>
      <c r="AR9" s="10">
        <v>0</v>
      </c>
      <c r="AS9" s="11">
        <v>0</v>
      </c>
      <c r="AT9" s="10">
        <v>0</v>
      </c>
      <c r="AU9" s="11">
        <v>0</v>
      </c>
      <c r="AV9" s="10">
        <v>0</v>
      </c>
      <c r="AW9" s="11">
        <v>0</v>
      </c>
      <c r="AX9" s="12">
        <f t="shared" si="8"/>
        <v>0</v>
      </c>
      <c r="AY9" s="26">
        <f t="shared" si="9"/>
        <v>0</v>
      </c>
      <c r="AZ9" s="29">
        <f t="shared" si="10"/>
        <v>104</v>
      </c>
      <c r="BA9" s="30">
        <f t="shared" si="11"/>
        <v>17657.900000000001</v>
      </c>
      <c r="BB9" s="8" t="s">
        <v>20</v>
      </c>
    </row>
    <row r="10" spans="1:54" x14ac:dyDescent="0.6">
      <c r="A10" s="1" t="s">
        <v>6</v>
      </c>
      <c r="B10" s="10">
        <v>17</v>
      </c>
      <c r="C10" s="32">
        <v>2229.62</v>
      </c>
      <c r="D10" s="10">
        <v>12</v>
      </c>
      <c r="E10" s="11">
        <v>2777</v>
      </c>
      <c r="F10" s="10">
        <v>46</v>
      </c>
      <c r="G10" s="11">
        <v>6547.46</v>
      </c>
      <c r="H10" s="10">
        <v>5</v>
      </c>
      <c r="I10" s="11">
        <v>1428</v>
      </c>
      <c r="J10" s="12">
        <f t="shared" si="0"/>
        <v>80</v>
      </c>
      <c r="K10" s="26">
        <f t="shared" si="1"/>
        <v>12982.08</v>
      </c>
      <c r="L10" s="10">
        <v>7</v>
      </c>
      <c r="M10" s="11">
        <v>574.38</v>
      </c>
      <c r="N10" s="10">
        <v>0</v>
      </c>
      <c r="O10" s="11">
        <v>0</v>
      </c>
      <c r="P10" s="10">
        <v>5</v>
      </c>
      <c r="Q10" s="11">
        <v>524</v>
      </c>
      <c r="R10" s="10">
        <v>7</v>
      </c>
      <c r="S10" s="11">
        <v>1509</v>
      </c>
      <c r="T10" s="12">
        <f t="shared" si="2"/>
        <v>19</v>
      </c>
      <c r="U10" s="26">
        <f t="shared" si="3"/>
        <v>2607.38</v>
      </c>
      <c r="V10" s="10">
        <v>1</v>
      </c>
      <c r="W10" s="11">
        <v>62.65</v>
      </c>
      <c r="X10" s="10">
        <v>0</v>
      </c>
      <c r="Y10" s="11">
        <v>0</v>
      </c>
      <c r="Z10" s="10">
        <v>1</v>
      </c>
      <c r="AA10" s="11">
        <v>240</v>
      </c>
      <c r="AB10" s="10">
        <v>0</v>
      </c>
      <c r="AC10" s="11">
        <v>0</v>
      </c>
      <c r="AD10" s="12">
        <f t="shared" si="4"/>
        <v>2</v>
      </c>
      <c r="AE10" s="26">
        <f t="shared" si="5"/>
        <v>302.64999999999998</v>
      </c>
      <c r="AF10" s="10">
        <v>0</v>
      </c>
      <c r="AG10" s="11">
        <v>0</v>
      </c>
      <c r="AH10" s="10">
        <v>0</v>
      </c>
      <c r="AI10" s="11">
        <v>0</v>
      </c>
      <c r="AJ10" s="10">
        <v>9</v>
      </c>
      <c r="AK10" s="11">
        <v>1513</v>
      </c>
      <c r="AL10" s="10">
        <v>0</v>
      </c>
      <c r="AM10" s="11">
        <v>0</v>
      </c>
      <c r="AN10" s="12">
        <f t="shared" si="6"/>
        <v>9</v>
      </c>
      <c r="AO10" s="26">
        <f t="shared" si="7"/>
        <v>1513</v>
      </c>
      <c r="AP10" s="10">
        <v>0</v>
      </c>
      <c r="AQ10" s="11">
        <v>0</v>
      </c>
      <c r="AR10" s="10">
        <v>0</v>
      </c>
      <c r="AS10" s="11">
        <v>0</v>
      </c>
      <c r="AT10" s="10">
        <v>0</v>
      </c>
      <c r="AU10" s="11">
        <v>0</v>
      </c>
      <c r="AV10" s="10">
        <v>0</v>
      </c>
      <c r="AW10" s="11">
        <v>0</v>
      </c>
      <c r="AX10" s="12">
        <f t="shared" si="8"/>
        <v>0</v>
      </c>
      <c r="AY10" s="26">
        <f t="shared" si="9"/>
        <v>0</v>
      </c>
      <c r="AZ10" s="29">
        <f t="shared" si="10"/>
        <v>110</v>
      </c>
      <c r="BA10" s="30">
        <f t="shared" si="11"/>
        <v>17405.11</v>
      </c>
      <c r="BB10" s="8" t="s">
        <v>20</v>
      </c>
    </row>
    <row r="11" spans="1:54" x14ac:dyDescent="0.6">
      <c r="A11" s="1" t="s">
        <v>7</v>
      </c>
      <c r="B11" s="10">
        <v>12</v>
      </c>
      <c r="C11" s="32">
        <v>1422.97</v>
      </c>
      <c r="D11" s="10">
        <v>4</v>
      </c>
      <c r="E11" s="11">
        <v>309</v>
      </c>
      <c r="F11" s="10">
        <v>32</v>
      </c>
      <c r="G11" s="11">
        <v>7071</v>
      </c>
      <c r="H11" s="10">
        <v>14</v>
      </c>
      <c r="I11" s="11">
        <v>2984</v>
      </c>
      <c r="J11" s="12">
        <f t="shared" si="0"/>
        <v>62</v>
      </c>
      <c r="K11" s="26">
        <f t="shared" si="1"/>
        <v>11786.97</v>
      </c>
      <c r="L11" s="10">
        <v>3</v>
      </c>
      <c r="M11" s="11">
        <v>315.33</v>
      </c>
      <c r="N11" s="10">
        <v>1</v>
      </c>
      <c r="O11" s="11">
        <v>100</v>
      </c>
      <c r="P11" s="10">
        <v>7</v>
      </c>
      <c r="Q11" s="11">
        <v>1435</v>
      </c>
      <c r="R11" s="10">
        <v>9</v>
      </c>
      <c r="S11" s="11">
        <v>3973</v>
      </c>
      <c r="T11" s="12">
        <f t="shared" si="2"/>
        <v>20</v>
      </c>
      <c r="U11" s="26">
        <f t="shared" si="3"/>
        <v>5823.33</v>
      </c>
      <c r="V11" s="10">
        <v>4</v>
      </c>
      <c r="W11" s="11">
        <v>557.71</v>
      </c>
      <c r="X11" s="10">
        <v>0</v>
      </c>
      <c r="Y11" s="11">
        <v>0</v>
      </c>
      <c r="Z11" s="10">
        <v>0</v>
      </c>
      <c r="AA11" s="11">
        <v>0</v>
      </c>
      <c r="AB11" s="10">
        <v>3</v>
      </c>
      <c r="AC11" s="11">
        <v>687</v>
      </c>
      <c r="AD11" s="12">
        <f t="shared" si="4"/>
        <v>7</v>
      </c>
      <c r="AE11" s="26">
        <f t="shared" si="5"/>
        <v>1244.71</v>
      </c>
      <c r="AF11" s="10">
        <v>0</v>
      </c>
      <c r="AG11" s="11">
        <v>0</v>
      </c>
      <c r="AH11" s="10">
        <v>0</v>
      </c>
      <c r="AI11" s="11">
        <v>0</v>
      </c>
      <c r="AJ11" s="10">
        <v>4</v>
      </c>
      <c r="AK11" s="11">
        <v>586</v>
      </c>
      <c r="AL11" s="10">
        <v>0</v>
      </c>
      <c r="AM11" s="11">
        <v>0</v>
      </c>
      <c r="AN11" s="12">
        <f t="shared" si="6"/>
        <v>4</v>
      </c>
      <c r="AO11" s="26">
        <f t="shared" si="7"/>
        <v>586</v>
      </c>
      <c r="AP11" s="10">
        <v>0</v>
      </c>
      <c r="AQ11" s="11">
        <v>0</v>
      </c>
      <c r="AR11" s="10">
        <v>0</v>
      </c>
      <c r="AS11" s="11">
        <v>0</v>
      </c>
      <c r="AT11" s="10">
        <v>0</v>
      </c>
      <c r="AU11" s="11">
        <v>0</v>
      </c>
      <c r="AV11" s="10">
        <v>0</v>
      </c>
      <c r="AW11" s="11">
        <v>0</v>
      </c>
      <c r="AX11" s="12">
        <f t="shared" si="8"/>
        <v>0</v>
      </c>
      <c r="AY11" s="26">
        <f t="shared" si="9"/>
        <v>0</v>
      </c>
      <c r="AZ11" s="29">
        <f t="shared" si="10"/>
        <v>93</v>
      </c>
      <c r="BA11" s="30">
        <f t="shared" si="11"/>
        <v>19441.009999999998</v>
      </c>
      <c r="BB11" s="8" t="s">
        <v>20</v>
      </c>
    </row>
    <row r="12" spans="1:54" x14ac:dyDescent="0.6">
      <c r="A12" s="1" t="s">
        <v>8</v>
      </c>
      <c r="B12" s="10">
        <v>6</v>
      </c>
      <c r="C12" s="32">
        <v>669.19</v>
      </c>
      <c r="D12" s="10">
        <v>9</v>
      </c>
      <c r="E12" s="11">
        <v>1745</v>
      </c>
      <c r="F12" s="10">
        <v>106</v>
      </c>
      <c r="G12" s="11">
        <v>19011</v>
      </c>
      <c r="H12" s="10">
        <v>16</v>
      </c>
      <c r="I12" s="11">
        <v>2868</v>
      </c>
      <c r="J12" s="12">
        <f t="shared" si="0"/>
        <v>137</v>
      </c>
      <c r="K12" s="26">
        <f t="shared" si="1"/>
        <v>24293.19</v>
      </c>
      <c r="L12" s="10">
        <v>1</v>
      </c>
      <c r="M12" s="11">
        <v>129.35</v>
      </c>
      <c r="N12" s="10">
        <v>1</v>
      </c>
      <c r="O12" s="11">
        <v>39</v>
      </c>
      <c r="P12" s="10">
        <v>6</v>
      </c>
      <c r="Q12" s="11">
        <v>950</v>
      </c>
      <c r="R12" s="10">
        <v>22</v>
      </c>
      <c r="S12" s="11">
        <v>4024</v>
      </c>
      <c r="T12" s="12">
        <f t="shared" si="2"/>
        <v>30</v>
      </c>
      <c r="U12" s="26">
        <f t="shared" si="3"/>
        <v>5142.3500000000004</v>
      </c>
      <c r="V12" s="10">
        <v>1</v>
      </c>
      <c r="W12" s="11">
        <v>95.97</v>
      </c>
      <c r="X12" s="10">
        <v>0</v>
      </c>
      <c r="Y12" s="11">
        <v>0</v>
      </c>
      <c r="Z12" s="10">
        <v>0</v>
      </c>
      <c r="AA12" s="11">
        <v>0</v>
      </c>
      <c r="AB12" s="10">
        <v>5</v>
      </c>
      <c r="AC12" s="11">
        <v>1000</v>
      </c>
      <c r="AD12" s="12">
        <f t="shared" si="4"/>
        <v>6</v>
      </c>
      <c r="AE12" s="26">
        <f t="shared" si="5"/>
        <v>1095.97</v>
      </c>
      <c r="AF12" s="10">
        <v>0</v>
      </c>
      <c r="AG12" s="11">
        <v>0</v>
      </c>
      <c r="AH12" s="10">
        <v>0</v>
      </c>
      <c r="AI12" s="11">
        <v>0</v>
      </c>
      <c r="AJ12" s="10">
        <v>4</v>
      </c>
      <c r="AK12" s="11">
        <v>1302</v>
      </c>
      <c r="AL12" s="10">
        <v>0</v>
      </c>
      <c r="AM12" s="11">
        <v>0</v>
      </c>
      <c r="AN12" s="12">
        <f t="shared" si="6"/>
        <v>4</v>
      </c>
      <c r="AO12" s="26">
        <f t="shared" si="7"/>
        <v>1302</v>
      </c>
      <c r="AP12" s="10">
        <v>0</v>
      </c>
      <c r="AQ12" s="11">
        <v>0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2">
        <f t="shared" si="8"/>
        <v>0</v>
      </c>
      <c r="AY12" s="26">
        <f t="shared" si="9"/>
        <v>0</v>
      </c>
      <c r="AZ12" s="29">
        <f t="shared" si="10"/>
        <v>177</v>
      </c>
      <c r="BA12" s="30">
        <f t="shared" si="11"/>
        <v>31833.510000000002</v>
      </c>
      <c r="BB12" s="8" t="s">
        <v>20</v>
      </c>
    </row>
    <row r="13" spans="1:54" x14ac:dyDescent="0.6">
      <c r="A13" s="1" t="s">
        <v>9</v>
      </c>
      <c r="B13" s="10">
        <v>13</v>
      </c>
      <c r="C13" s="32">
        <v>5416.21</v>
      </c>
      <c r="D13" s="10">
        <v>8</v>
      </c>
      <c r="E13" s="11">
        <v>863</v>
      </c>
      <c r="F13" s="10">
        <v>58</v>
      </c>
      <c r="G13" s="11">
        <v>9711</v>
      </c>
      <c r="H13" s="10">
        <v>121</v>
      </c>
      <c r="I13" s="11">
        <v>21550</v>
      </c>
      <c r="J13" s="12">
        <f t="shared" si="0"/>
        <v>200</v>
      </c>
      <c r="K13" s="26">
        <f t="shared" si="1"/>
        <v>37540.21</v>
      </c>
      <c r="L13" s="10">
        <v>1</v>
      </c>
      <c r="M13" s="11">
        <v>11893</v>
      </c>
      <c r="N13" s="10">
        <v>0</v>
      </c>
      <c r="O13" s="11">
        <v>0</v>
      </c>
      <c r="P13" s="10">
        <v>2</v>
      </c>
      <c r="Q13" s="11">
        <v>212</v>
      </c>
      <c r="R13" s="10">
        <v>2</v>
      </c>
      <c r="S13" s="11">
        <v>260</v>
      </c>
      <c r="T13" s="12">
        <f t="shared" si="2"/>
        <v>5</v>
      </c>
      <c r="U13" s="26">
        <f t="shared" si="3"/>
        <v>12365</v>
      </c>
      <c r="V13" s="10">
        <v>0</v>
      </c>
      <c r="W13" s="11">
        <v>0</v>
      </c>
      <c r="X13" s="10">
        <v>0</v>
      </c>
      <c r="Y13" s="11">
        <v>0</v>
      </c>
      <c r="Z13" s="10">
        <v>0</v>
      </c>
      <c r="AA13" s="11">
        <v>0</v>
      </c>
      <c r="AB13" s="10">
        <v>1</v>
      </c>
      <c r="AC13" s="11">
        <v>230</v>
      </c>
      <c r="AD13" s="12">
        <f t="shared" si="4"/>
        <v>1</v>
      </c>
      <c r="AE13" s="26">
        <f t="shared" si="5"/>
        <v>230</v>
      </c>
      <c r="AF13" s="10">
        <v>0</v>
      </c>
      <c r="AG13" s="11">
        <v>0</v>
      </c>
      <c r="AH13" s="10">
        <v>0</v>
      </c>
      <c r="AI13" s="11">
        <v>0</v>
      </c>
      <c r="AJ13" s="10">
        <v>0</v>
      </c>
      <c r="AK13" s="11">
        <v>0</v>
      </c>
      <c r="AL13" s="10">
        <v>0</v>
      </c>
      <c r="AM13" s="11">
        <v>0</v>
      </c>
      <c r="AN13" s="12">
        <f t="shared" si="6"/>
        <v>0</v>
      </c>
      <c r="AO13" s="26">
        <f t="shared" si="7"/>
        <v>0</v>
      </c>
      <c r="AP13" s="10">
        <v>0</v>
      </c>
      <c r="AQ13" s="11">
        <v>0</v>
      </c>
      <c r="AR13" s="10">
        <v>0</v>
      </c>
      <c r="AS13" s="11">
        <v>0</v>
      </c>
      <c r="AT13" s="10">
        <v>0</v>
      </c>
      <c r="AU13" s="11">
        <v>0</v>
      </c>
      <c r="AV13" s="10">
        <v>0</v>
      </c>
      <c r="AW13" s="11">
        <v>0</v>
      </c>
      <c r="AX13" s="12">
        <f t="shared" si="8"/>
        <v>0</v>
      </c>
      <c r="AY13" s="26">
        <f t="shared" si="9"/>
        <v>0</v>
      </c>
      <c r="AZ13" s="29">
        <f t="shared" si="10"/>
        <v>206</v>
      </c>
      <c r="BA13" s="30">
        <f t="shared" si="11"/>
        <v>50135.21</v>
      </c>
      <c r="BB13" s="8" t="s">
        <v>20</v>
      </c>
    </row>
    <row r="14" spans="1:54" x14ac:dyDescent="0.6">
      <c r="A14" s="1" t="s">
        <v>10</v>
      </c>
      <c r="B14" s="10">
        <v>18</v>
      </c>
      <c r="C14" s="32">
        <v>4824.0200000000004</v>
      </c>
      <c r="D14" s="10">
        <v>4</v>
      </c>
      <c r="E14" s="11">
        <v>892</v>
      </c>
      <c r="F14" s="10">
        <v>129</v>
      </c>
      <c r="G14" s="11">
        <v>5805</v>
      </c>
      <c r="H14" s="10">
        <v>59</v>
      </c>
      <c r="I14" s="11">
        <v>1298</v>
      </c>
      <c r="J14" s="12">
        <f t="shared" si="0"/>
        <v>210</v>
      </c>
      <c r="K14" s="26">
        <f t="shared" si="1"/>
        <v>12819.02</v>
      </c>
      <c r="L14" s="10">
        <v>1</v>
      </c>
      <c r="M14" s="11">
        <v>112.28</v>
      </c>
      <c r="N14" s="10">
        <v>0</v>
      </c>
      <c r="O14" s="11">
        <v>0</v>
      </c>
      <c r="P14" s="10">
        <v>10</v>
      </c>
      <c r="Q14" s="11">
        <v>450</v>
      </c>
      <c r="R14" s="10">
        <v>21</v>
      </c>
      <c r="S14" s="11">
        <v>462</v>
      </c>
      <c r="T14" s="12">
        <f t="shared" si="2"/>
        <v>32</v>
      </c>
      <c r="U14" s="26">
        <f t="shared" si="3"/>
        <v>1024.28</v>
      </c>
      <c r="V14" s="10">
        <v>0</v>
      </c>
      <c r="W14" s="11">
        <v>0</v>
      </c>
      <c r="X14" s="10">
        <v>0</v>
      </c>
      <c r="Y14" s="11">
        <v>0</v>
      </c>
      <c r="Z14" s="10">
        <v>0</v>
      </c>
      <c r="AA14" s="11">
        <v>0</v>
      </c>
      <c r="AB14" s="10">
        <v>0</v>
      </c>
      <c r="AC14" s="11">
        <v>0</v>
      </c>
      <c r="AD14" s="12">
        <f t="shared" si="4"/>
        <v>0</v>
      </c>
      <c r="AE14" s="26">
        <f t="shared" si="5"/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10</v>
      </c>
      <c r="AK14" s="11">
        <v>450</v>
      </c>
      <c r="AL14" s="10">
        <v>0</v>
      </c>
      <c r="AM14" s="11">
        <v>0</v>
      </c>
      <c r="AN14" s="12">
        <f t="shared" si="6"/>
        <v>10</v>
      </c>
      <c r="AO14" s="26">
        <f t="shared" si="7"/>
        <v>450</v>
      </c>
      <c r="AP14" s="10">
        <v>0</v>
      </c>
      <c r="AQ14" s="11">
        <v>0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2">
        <f t="shared" si="8"/>
        <v>0</v>
      </c>
      <c r="AY14" s="26">
        <f t="shared" si="9"/>
        <v>0</v>
      </c>
      <c r="AZ14" s="29">
        <f t="shared" si="10"/>
        <v>252</v>
      </c>
      <c r="BA14" s="30">
        <f t="shared" si="11"/>
        <v>14293.300000000001</v>
      </c>
      <c r="BB14" s="8" t="s">
        <v>20</v>
      </c>
    </row>
    <row r="15" spans="1:54" x14ac:dyDescent="0.6">
      <c r="A15" s="1" t="s">
        <v>11</v>
      </c>
      <c r="B15" s="10">
        <v>7</v>
      </c>
      <c r="C15" s="32">
        <v>1554.99</v>
      </c>
      <c r="D15" s="10">
        <v>6</v>
      </c>
      <c r="E15" s="11">
        <v>993</v>
      </c>
      <c r="F15" s="10">
        <v>57</v>
      </c>
      <c r="G15" s="11">
        <v>8705</v>
      </c>
      <c r="H15" s="10">
        <v>31</v>
      </c>
      <c r="I15" s="11">
        <v>4740</v>
      </c>
      <c r="J15" s="12">
        <f t="shared" si="0"/>
        <v>101</v>
      </c>
      <c r="K15" s="26">
        <f t="shared" si="1"/>
        <v>15992.99</v>
      </c>
      <c r="L15" s="10">
        <v>0</v>
      </c>
      <c r="M15" s="11">
        <v>0</v>
      </c>
      <c r="N15" s="10">
        <v>1</v>
      </c>
      <c r="O15" s="11">
        <v>399</v>
      </c>
      <c r="P15" s="10">
        <v>10</v>
      </c>
      <c r="Q15" s="11">
        <v>2079</v>
      </c>
      <c r="R15" s="10">
        <v>19</v>
      </c>
      <c r="S15" s="11">
        <v>3185</v>
      </c>
      <c r="T15" s="12">
        <f t="shared" si="2"/>
        <v>30</v>
      </c>
      <c r="U15" s="26">
        <f t="shared" si="3"/>
        <v>5663</v>
      </c>
      <c r="V15" s="10">
        <v>1</v>
      </c>
      <c r="W15" s="11">
        <v>127</v>
      </c>
      <c r="X15" s="10">
        <v>0</v>
      </c>
      <c r="Y15" s="11">
        <v>0</v>
      </c>
      <c r="Z15" s="10">
        <v>0</v>
      </c>
      <c r="AA15" s="11">
        <v>0</v>
      </c>
      <c r="AB15" s="10">
        <v>2</v>
      </c>
      <c r="AC15" s="11">
        <v>270</v>
      </c>
      <c r="AD15" s="12">
        <f t="shared" si="4"/>
        <v>3</v>
      </c>
      <c r="AE15" s="26">
        <f t="shared" si="5"/>
        <v>397</v>
      </c>
      <c r="AF15" s="10">
        <v>0</v>
      </c>
      <c r="AG15" s="11">
        <v>0</v>
      </c>
      <c r="AH15" s="10">
        <v>0</v>
      </c>
      <c r="AI15" s="11">
        <v>0</v>
      </c>
      <c r="AJ15" s="10">
        <v>0</v>
      </c>
      <c r="AK15" s="11">
        <v>0</v>
      </c>
      <c r="AL15" s="10">
        <v>1</v>
      </c>
      <c r="AM15" s="11">
        <v>130</v>
      </c>
      <c r="AN15" s="12">
        <f t="shared" si="6"/>
        <v>1</v>
      </c>
      <c r="AO15" s="26">
        <f t="shared" si="7"/>
        <v>130</v>
      </c>
      <c r="AP15" s="10">
        <v>0</v>
      </c>
      <c r="AQ15" s="11">
        <v>0</v>
      </c>
      <c r="AR15" s="10">
        <v>0</v>
      </c>
      <c r="AS15" s="11">
        <v>0</v>
      </c>
      <c r="AT15" s="10">
        <v>0</v>
      </c>
      <c r="AU15" s="11">
        <v>0</v>
      </c>
      <c r="AV15" s="10">
        <v>0</v>
      </c>
      <c r="AW15" s="11">
        <v>0</v>
      </c>
      <c r="AX15" s="12">
        <f t="shared" si="8"/>
        <v>0</v>
      </c>
      <c r="AY15" s="26">
        <f t="shared" si="9"/>
        <v>0</v>
      </c>
      <c r="AZ15" s="29">
        <f t="shared" si="10"/>
        <v>135</v>
      </c>
      <c r="BA15" s="30">
        <f t="shared" si="11"/>
        <v>22182.989999999998</v>
      </c>
      <c r="BB15" s="8" t="s">
        <v>20</v>
      </c>
    </row>
    <row r="16" spans="1:54" x14ac:dyDescent="0.6">
      <c r="A16" s="1" t="s">
        <v>12</v>
      </c>
      <c r="B16" s="10">
        <v>22</v>
      </c>
      <c r="C16" s="32">
        <v>5121.9799999999996</v>
      </c>
      <c r="D16" s="10">
        <v>4</v>
      </c>
      <c r="E16" s="11">
        <v>1089</v>
      </c>
      <c r="F16" s="10">
        <v>124</v>
      </c>
      <c r="G16" s="11">
        <v>18258</v>
      </c>
      <c r="H16" s="10">
        <v>5</v>
      </c>
      <c r="I16" s="11">
        <v>800</v>
      </c>
      <c r="J16" s="12">
        <f t="shared" si="0"/>
        <v>155</v>
      </c>
      <c r="K16" s="26">
        <f t="shared" si="1"/>
        <v>25268.98</v>
      </c>
      <c r="L16" s="10">
        <v>3</v>
      </c>
      <c r="M16" s="11">
        <v>466.86</v>
      </c>
      <c r="N16" s="10">
        <v>0</v>
      </c>
      <c r="O16" s="11">
        <v>0</v>
      </c>
      <c r="P16" s="10">
        <v>9</v>
      </c>
      <c r="Q16" s="11">
        <v>1242</v>
      </c>
      <c r="R16" s="10">
        <v>4</v>
      </c>
      <c r="S16" s="11">
        <v>1320</v>
      </c>
      <c r="T16" s="12">
        <f t="shared" si="2"/>
        <v>16</v>
      </c>
      <c r="U16" s="26">
        <f t="shared" si="3"/>
        <v>3028.86</v>
      </c>
      <c r="V16" s="10">
        <v>0</v>
      </c>
      <c r="W16" s="11">
        <v>0</v>
      </c>
      <c r="X16" s="10">
        <v>0</v>
      </c>
      <c r="Y16" s="11">
        <v>0</v>
      </c>
      <c r="Z16" s="10">
        <v>0</v>
      </c>
      <c r="AA16" s="11">
        <v>0</v>
      </c>
      <c r="AB16" s="10">
        <v>0</v>
      </c>
      <c r="AC16" s="11">
        <v>0</v>
      </c>
      <c r="AD16" s="12">
        <f t="shared" si="4"/>
        <v>0</v>
      </c>
      <c r="AE16" s="26">
        <f t="shared" si="5"/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5</v>
      </c>
      <c r="AK16" s="11">
        <v>524</v>
      </c>
      <c r="AL16" s="10">
        <v>0</v>
      </c>
      <c r="AM16" s="11">
        <v>0</v>
      </c>
      <c r="AN16" s="12">
        <f t="shared" si="6"/>
        <v>5</v>
      </c>
      <c r="AO16" s="26">
        <f t="shared" si="7"/>
        <v>524</v>
      </c>
      <c r="AP16" s="10">
        <v>0</v>
      </c>
      <c r="AQ16" s="11">
        <v>0</v>
      </c>
      <c r="AR16" s="10">
        <v>0</v>
      </c>
      <c r="AS16" s="11">
        <v>0</v>
      </c>
      <c r="AT16" s="10">
        <v>0</v>
      </c>
      <c r="AU16" s="11">
        <v>0</v>
      </c>
      <c r="AV16" s="10">
        <v>0</v>
      </c>
      <c r="AW16" s="11">
        <v>0</v>
      </c>
      <c r="AX16" s="12">
        <f t="shared" si="8"/>
        <v>0</v>
      </c>
      <c r="AY16" s="26">
        <f t="shared" si="9"/>
        <v>0</v>
      </c>
      <c r="AZ16" s="29">
        <f t="shared" si="10"/>
        <v>176</v>
      </c>
      <c r="BA16" s="30">
        <f t="shared" si="11"/>
        <v>28821.84</v>
      </c>
      <c r="BB16" s="8" t="s">
        <v>20</v>
      </c>
    </row>
    <row r="17" spans="1:54" x14ac:dyDescent="0.6">
      <c r="A17" s="1" t="s">
        <v>13</v>
      </c>
      <c r="B17" s="10">
        <v>14</v>
      </c>
      <c r="C17" s="32">
        <v>10445.02</v>
      </c>
      <c r="D17" s="10">
        <v>7</v>
      </c>
      <c r="E17" s="11">
        <v>2016</v>
      </c>
      <c r="F17" s="10">
        <v>131</v>
      </c>
      <c r="G17" s="11">
        <v>28070</v>
      </c>
      <c r="H17" s="10">
        <v>16</v>
      </c>
      <c r="I17" s="11">
        <v>2910</v>
      </c>
      <c r="J17" s="12">
        <f t="shared" si="0"/>
        <v>168</v>
      </c>
      <c r="K17" s="26">
        <f t="shared" si="1"/>
        <v>43441.020000000004</v>
      </c>
      <c r="L17" s="10">
        <v>0</v>
      </c>
      <c r="M17" s="11">
        <v>0</v>
      </c>
      <c r="N17" s="10">
        <v>0</v>
      </c>
      <c r="O17" s="11">
        <v>0</v>
      </c>
      <c r="P17" s="10">
        <v>6</v>
      </c>
      <c r="Q17" s="11">
        <v>1726</v>
      </c>
      <c r="R17" s="10">
        <v>3</v>
      </c>
      <c r="S17" s="11">
        <v>540</v>
      </c>
      <c r="T17" s="12">
        <f t="shared" si="2"/>
        <v>9</v>
      </c>
      <c r="U17" s="26">
        <f t="shared" si="3"/>
        <v>2266</v>
      </c>
      <c r="V17" s="10">
        <v>0</v>
      </c>
      <c r="W17" s="11">
        <v>0</v>
      </c>
      <c r="X17" s="10">
        <v>0</v>
      </c>
      <c r="Y17" s="11">
        <v>0</v>
      </c>
      <c r="Z17" s="10">
        <v>0</v>
      </c>
      <c r="AA17" s="11">
        <v>0</v>
      </c>
      <c r="AB17" s="10">
        <v>0</v>
      </c>
      <c r="AC17" s="11">
        <v>0</v>
      </c>
      <c r="AD17" s="12">
        <f t="shared" si="4"/>
        <v>0</v>
      </c>
      <c r="AE17" s="26">
        <f t="shared" si="5"/>
        <v>0</v>
      </c>
      <c r="AF17" s="10">
        <v>0</v>
      </c>
      <c r="AG17" s="11">
        <v>0</v>
      </c>
      <c r="AH17" s="10">
        <v>0</v>
      </c>
      <c r="AI17" s="11">
        <v>0</v>
      </c>
      <c r="AJ17" s="10">
        <v>5</v>
      </c>
      <c r="AK17" s="11">
        <v>886</v>
      </c>
      <c r="AL17" s="10">
        <v>0</v>
      </c>
      <c r="AM17" s="11">
        <v>0</v>
      </c>
      <c r="AN17" s="12">
        <f t="shared" si="6"/>
        <v>5</v>
      </c>
      <c r="AO17" s="26">
        <f t="shared" si="7"/>
        <v>886</v>
      </c>
      <c r="AP17" s="10">
        <v>0</v>
      </c>
      <c r="AQ17" s="11">
        <v>0</v>
      </c>
      <c r="AR17" s="10">
        <v>0</v>
      </c>
      <c r="AS17" s="11">
        <v>0</v>
      </c>
      <c r="AT17" s="10">
        <v>0</v>
      </c>
      <c r="AU17" s="11">
        <v>0</v>
      </c>
      <c r="AV17" s="10">
        <v>0</v>
      </c>
      <c r="AW17" s="11">
        <v>0</v>
      </c>
      <c r="AX17" s="12">
        <f t="shared" si="8"/>
        <v>0</v>
      </c>
      <c r="AY17" s="26">
        <f t="shared" si="9"/>
        <v>0</v>
      </c>
      <c r="AZ17" s="29">
        <f t="shared" si="10"/>
        <v>182</v>
      </c>
      <c r="BA17" s="30">
        <f t="shared" si="11"/>
        <v>46593.020000000004</v>
      </c>
      <c r="BB17" s="8" t="s">
        <v>20</v>
      </c>
    </row>
    <row r="18" spans="1:54" ht="27" thickBot="1" x14ac:dyDescent="0.75">
      <c r="A18" s="3" t="s">
        <v>28</v>
      </c>
      <c r="B18" s="33">
        <f t="shared" ref="B18:C18" si="12">SUM(B6:B17)</f>
        <v>162</v>
      </c>
      <c r="C18" s="9">
        <f t="shared" si="12"/>
        <v>44552.369999999995</v>
      </c>
      <c r="D18" s="33">
        <f t="shared" ref="D18" si="13">SUM(D6:D17)</f>
        <v>74</v>
      </c>
      <c r="E18" s="9">
        <f t="shared" ref="E18" si="14">SUM(E6:E17)</f>
        <v>15353</v>
      </c>
      <c r="F18" s="33">
        <f t="shared" ref="F18" si="15">SUM(F6:F17)</f>
        <v>715</v>
      </c>
      <c r="G18" s="9">
        <f t="shared" ref="G18" si="16">SUM(G6:G17)</f>
        <v>109222.35</v>
      </c>
      <c r="H18" s="33">
        <f t="shared" ref="H18" si="17">SUM(H6:H17)</f>
        <v>322</v>
      </c>
      <c r="I18" s="9">
        <f t="shared" ref="I18" si="18">SUM(I6:I17)</f>
        <v>62292</v>
      </c>
      <c r="J18" s="34">
        <f t="shared" ref="J18" si="19">SUM(J6:J17)</f>
        <v>1273</v>
      </c>
      <c r="K18" s="35">
        <f t="shared" ref="K18" si="20">SUM(K6:K17)</f>
        <v>231419.71999999997</v>
      </c>
      <c r="L18" s="33">
        <f t="shared" ref="L18" si="21">SUM(L6:L17)</f>
        <v>42</v>
      </c>
      <c r="M18" s="9">
        <f t="shared" ref="M18" si="22">SUM(M6:M17)</f>
        <v>18679.36</v>
      </c>
      <c r="N18" s="33">
        <f t="shared" ref="N18" si="23">SUM(N6:N17)</f>
        <v>15</v>
      </c>
      <c r="O18" s="9">
        <f t="shared" ref="O18" si="24">SUM(O6:O17)</f>
        <v>4257</v>
      </c>
      <c r="P18" s="33">
        <f t="shared" ref="P18" si="25">SUM(P6:P17)</f>
        <v>105</v>
      </c>
      <c r="Q18" s="9">
        <f t="shared" ref="Q18" si="26">SUM(Q6:Q17)</f>
        <v>16650</v>
      </c>
      <c r="R18" s="33">
        <f t="shared" ref="R18" si="27">SUM(R6:R17)</f>
        <v>171</v>
      </c>
      <c r="S18" s="9">
        <f t="shared" ref="S18" si="28">SUM(S6:S17)</f>
        <v>47195</v>
      </c>
      <c r="T18" s="34">
        <f t="shared" ref="T18" si="29">SUM(T6:T17)</f>
        <v>333</v>
      </c>
      <c r="U18" s="35">
        <f t="shared" ref="U18" si="30">SUM(U6:U17)</f>
        <v>86781.36</v>
      </c>
      <c r="V18" s="33">
        <f t="shared" ref="V18" si="31">SUM(V6:V17)</f>
        <v>10</v>
      </c>
      <c r="W18" s="9">
        <f t="shared" ref="W18" si="32">SUM(W6:W17)</f>
        <v>1795.5600000000002</v>
      </c>
      <c r="X18" s="33">
        <f t="shared" ref="X18" si="33">SUM(X6:X17)</f>
        <v>0</v>
      </c>
      <c r="Y18" s="9">
        <f t="shared" ref="Y18" si="34">SUM(Y6:Y17)</f>
        <v>0</v>
      </c>
      <c r="Z18" s="33">
        <f t="shared" ref="Z18" si="35">SUM(Z6:Z17)</f>
        <v>1</v>
      </c>
      <c r="AA18" s="9">
        <f t="shared" ref="AA18" si="36">SUM(AA6:AA17)</f>
        <v>240</v>
      </c>
      <c r="AB18" s="33">
        <f t="shared" ref="AB18" si="37">SUM(AB6:AB17)</f>
        <v>11</v>
      </c>
      <c r="AC18" s="9">
        <f t="shared" ref="AC18" si="38">SUM(AC6:AC17)</f>
        <v>2187</v>
      </c>
      <c r="AD18" s="34">
        <f t="shared" ref="AD18" si="39">SUM(AD6:AD17)</f>
        <v>22</v>
      </c>
      <c r="AE18" s="35">
        <f t="shared" ref="AE18" si="40">SUM(AE6:AE17)</f>
        <v>4222.5600000000004</v>
      </c>
      <c r="AF18" s="33">
        <f t="shared" ref="AF18" si="41">SUM(AF6:AF17)</f>
        <v>0</v>
      </c>
      <c r="AG18" s="9">
        <f t="shared" ref="AG18" si="42">SUM(AG6:AG17)</f>
        <v>0</v>
      </c>
      <c r="AH18" s="33">
        <f t="shared" ref="AH18" si="43">SUM(AH6:AH17)</f>
        <v>0</v>
      </c>
      <c r="AI18" s="9">
        <f t="shared" ref="AI18" si="44">SUM(AI6:AI17)</f>
        <v>0</v>
      </c>
      <c r="AJ18" s="33">
        <f t="shared" ref="AJ18" si="45">SUM(AJ6:AJ17)</f>
        <v>37</v>
      </c>
      <c r="AK18" s="9">
        <f t="shared" ref="AK18" si="46">SUM(AK6:AK17)</f>
        <v>5261</v>
      </c>
      <c r="AL18" s="33">
        <f t="shared" ref="AL18" si="47">SUM(AL6:AL17)</f>
        <v>1</v>
      </c>
      <c r="AM18" s="9">
        <f t="shared" ref="AM18" si="48">SUM(AM6:AM17)</f>
        <v>130</v>
      </c>
      <c r="AN18" s="34">
        <f t="shared" ref="AN18" si="49">SUM(AN6:AN17)</f>
        <v>38</v>
      </c>
      <c r="AO18" s="35">
        <f t="shared" ref="AO18" si="50">SUM(AO6:AO17)</f>
        <v>5391</v>
      </c>
      <c r="AP18" s="33">
        <f t="shared" ref="AP18" si="51">SUM(AP6:AP17)</f>
        <v>0</v>
      </c>
      <c r="AQ18" s="9">
        <f t="shared" ref="AQ18" si="52">SUM(AQ6:AQ17)</f>
        <v>0</v>
      </c>
      <c r="AR18" s="33">
        <f t="shared" ref="AR18" si="53">SUM(AR6:AR17)</f>
        <v>0</v>
      </c>
      <c r="AS18" s="9">
        <f t="shared" ref="AS18" si="54">SUM(AS6:AS17)</f>
        <v>0</v>
      </c>
      <c r="AT18" s="33">
        <f t="shared" ref="AT18" si="55">SUM(AT6:AT17)</f>
        <v>0</v>
      </c>
      <c r="AU18" s="9">
        <f t="shared" ref="AU18" si="56">SUM(AU6:AU17)</f>
        <v>0</v>
      </c>
      <c r="AV18" s="33">
        <f t="shared" ref="AV18" si="57">SUM(AV6:AV17)</f>
        <v>7</v>
      </c>
      <c r="AW18" s="9">
        <f t="shared" ref="AW18" si="58">SUM(AW6:AW17)</f>
        <v>1580</v>
      </c>
      <c r="AX18" s="34">
        <f t="shared" ref="AX18" si="59">SUM(AX6:AX17)</f>
        <v>7</v>
      </c>
      <c r="AY18" s="35">
        <f t="shared" ref="AY18" si="60">SUM(AY6:AY17)</f>
        <v>1580</v>
      </c>
      <c r="AZ18" s="33">
        <f>SUM(AZ6:AZ17)</f>
        <v>1673</v>
      </c>
      <c r="BA18" s="9">
        <f t="shared" ref="BA18" si="61">SUM(BA6:BA17)</f>
        <v>329394.64</v>
      </c>
      <c r="BB18" s="8" t="s">
        <v>20</v>
      </c>
    </row>
    <row r="19" spans="1:54" ht="24" thickTop="1" x14ac:dyDescent="0.6"/>
  </sheetData>
  <mergeCells count="44">
    <mergeCell ref="A1:AJ1"/>
    <mergeCell ref="L3:U3"/>
    <mergeCell ref="B4:C4"/>
    <mergeCell ref="D4:E4"/>
    <mergeCell ref="F4:G4"/>
    <mergeCell ref="H4:I4"/>
    <mergeCell ref="J4:J5"/>
    <mergeCell ref="K4:K5"/>
    <mergeCell ref="L4:M4"/>
    <mergeCell ref="N4:O4"/>
    <mergeCell ref="P4:Q4"/>
    <mergeCell ref="R4:S4"/>
    <mergeCell ref="AF4:AG4"/>
    <mergeCell ref="AH4:AI4"/>
    <mergeCell ref="T4:T5"/>
    <mergeCell ref="U4:U5"/>
    <mergeCell ref="V4:W4"/>
    <mergeCell ref="X4:Y4"/>
    <mergeCell ref="Z4:AA4"/>
    <mergeCell ref="A2:A5"/>
    <mergeCell ref="AZ2:AZ5"/>
    <mergeCell ref="AJ4:AK4"/>
    <mergeCell ref="AL4:AM4"/>
    <mergeCell ref="AN4:AN5"/>
    <mergeCell ref="AO4:AO5"/>
    <mergeCell ref="AP4:AQ4"/>
    <mergeCell ref="AB4:AC4"/>
    <mergeCell ref="AD4:AD5"/>
    <mergeCell ref="AE4:AE5"/>
    <mergeCell ref="B3:K3"/>
    <mergeCell ref="V3:AE3"/>
    <mergeCell ref="AF3:AO3"/>
    <mergeCell ref="BA2:BA5"/>
    <mergeCell ref="AR4:AS4"/>
    <mergeCell ref="AT4:AU4"/>
    <mergeCell ref="AV4:AW4"/>
    <mergeCell ref="AX4:AX5"/>
    <mergeCell ref="AY4:AY5"/>
    <mergeCell ref="AP3:AY3"/>
    <mergeCell ref="B2:K2"/>
    <mergeCell ref="L2:U2"/>
    <mergeCell ref="V2:AE2"/>
    <mergeCell ref="AF2:AO2"/>
    <mergeCell ref="AP2:AY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CBA2-80B9-4A3F-900E-132A33243D7F}">
  <sheetPr>
    <tabColor rgb="FFFFFF00"/>
  </sheetPr>
  <dimension ref="A1:R40"/>
  <sheetViews>
    <sheetView workbookViewId="0">
      <pane xSplit="2" ySplit="2" topLeftCell="C30" activePane="bottomRight" state="frozen"/>
      <selection pane="topRight" activeCell="C1" sqref="C1"/>
      <selection pane="bottomLeft" activeCell="A2" sqref="A2"/>
      <selection pane="bottomRight" activeCell="F8" sqref="F8"/>
    </sheetView>
  </sheetViews>
  <sheetFormatPr defaultColWidth="8.8984375" defaultRowHeight="13.8" x14ac:dyDescent="0.25"/>
  <cols>
    <col min="1" max="1" width="6" style="40" bestFit="1" customWidth="1"/>
    <col min="2" max="2" width="18.59765625" style="38" bestFit="1" customWidth="1"/>
    <col min="3" max="3" width="10.296875" bestFit="1" customWidth="1"/>
    <col min="4" max="4" width="12.296875" style="44" bestFit="1" customWidth="1"/>
    <col min="5" max="5" width="13.796875" style="44" bestFit="1" customWidth="1"/>
    <col min="6" max="6" width="8.69921875" bestFit="1" customWidth="1"/>
    <col min="7" max="7" width="10.69921875" bestFit="1" customWidth="1"/>
    <col min="8" max="8" width="8.69921875" bestFit="1" customWidth="1"/>
    <col min="9" max="9" width="10.296875" bestFit="1" customWidth="1"/>
    <col min="10" max="10" width="10.796875" bestFit="1" customWidth="1"/>
    <col min="11" max="11" width="9.19921875" bestFit="1" customWidth="1"/>
    <col min="12" max="12" width="9.8984375" bestFit="1" customWidth="1"/>
    <col min="13" max="13" width="9" bestFit="1" customWidth="1"/>
    <col min="14" max="14" width="10.296875" bestFit="1" customWidth="1"/>
    <col min="15" max="15" width="8.69921875" bestFit="1" customWidth="1"/>
    <col min="16" max="16" width="11.796875" bestFit="1" customWidth="1"/>
    <col min="17" max="17" width="8.8984375" bestFit="1" customWidth="1"/>
  </cols>
  <sheetData>
    <row r="1" spans="1:18" ht="28.8" x14ac:dyDescent="0.75">
      <c r="A1" s="36" t="s">
        <v>72</v>
      </c>
      <c r="C1" s="45"/>
      <c r="D1" s="46"/>
      <c r="E1" s="46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26.4" x14ac:dyDescent="0.7">
      <c r="A2" s="37" t="s">
        <v>32</v>
      </c>
      <c r="B2" s="37" t="s">
        <v>33</v>
      </c>
      <c r="C2" s="43" t="s">
        <v>28</v>
      </c>
      <c r="D2" s="47" t="s">
        <v>73</v>
      </c>
      <c r="E2" s="47" t="s">
        <v>74</v>
      </c>
      <c r="F2" s="43" t="s">
        <v>2</v>
      </c>
      <c r="G2" s="43" t="s">
        <v>3</v>
      </c>
      <c r="H2" s="43" t="s">
        <v>4</v>
      </c>
      <c r="I2" s="43" t="s">
        <v>5</v>
      </c>
      <c r="J2" s="43" t="s">
        <v>6</v>
      </c>
      <c r="K2" s="43" t="s">
        <v>7</v>
      </c>
      <c r="L2" s="43" t="s">
        <v>8</v>
      </c>
      <c r="M2" s="43" t="s">
        <v>9</v>
      </c>
      <c r="N2" s="43" t="s">
        <v>10</v>
      </c>
      <c r="O2" s="43" t="s">
        <v>11</v>
      </c>
      <c r="P2" s="43" t="s">
        <v>12</v>
      </c>
      <c r="Q2" s="43" t="s">
        <v>13</v>
      </c>
      <c r="R2" s="45"/>
    </row>
    <row r="3" spans="1:18" ht="23.4" x14ac:dyDescent="0.6">
      <c r="A3" s="4">
        <v>1</v>
      </c>
      <c r="B3" s="39" t="s">
        <v>34</v>
      </c>
      <c r="C3" s="48">
        <f>SUM(F3:Q3)</f>
        <v>2566</v>
      </c>
      <c r="D3" s="49">
        <v>4.5</v>
      </c>
      <c r="E3" s="49">
        <f>+C3*D3</f>
        <v>11547</v>
      </c>
      <c r="F3" s="42">
        <f>IFERROR(VLOOKUP(B3,[1]สรุปรายการสินค้า!$B:$C,2,0),"0")</f>
        <v>306</v>
      </c>
      <c r="G3" s="42">
        <f>IFERROR(VLOOKUP(B3,[2]สรุปรายการสินค้า!$B:$C,2,0),"0")</f>
        <v>188</v>
      </c>
      <c r="H3" s="42">
        <f>IFERROR(VLOOKUP(B3,[3]สรุปรายการสินค้า!$B:$C,2,0),"0")</f>
        <v>185</v>
      </c>
      <c r="I3" s="42">
        <f>IFERROR(VLOOKUP(B3,[4]สรุปรายการสินค้า!$B:$C,2,0),"0")</f>
        <v>999</v>
      </c>
      <c r="J3" s="42">
        <f>IFERROR(VLOOKUP(B3,[5]สรุปรายการสินค้า!$B:$C,2,0),"0")</f>
        <v>185</v>
      </c>
      <c r="K3" s="42">
        <f>IFERROR(VLOOKUP(B3,[6]สรุปรายการสินค้า!$B:$C,2,0),"0")</f>
        <v>130</v>
      </c>
      <c r="L3" s="42">
        <f>IFERROR(VLOOKUP(B3,[7]สรุปรายการสินค้า!$B:$C,2,0),"0")</f>
        <v>246</v>
      </c>
      <c r="M3" s="42">
        <f>IFERROR(VLOOKUP(B3,[8]สรุปรายการสินค้า!$B:$C,2,0),"0")</f>
        <v>51</v>
      </c>
      <c r="N3" s="42">
        <f>IFERROR(VLOOKUP(B3,[9]สรุปรายการสินค้า!$B:$C,2,0),"0")</f>
        <v>29</v>
      </c>
      <c r="O3" s="42">
        <f>VLOOKUP(B3,[10]สรุปรายการสินค้า!$B:$C,2,0)</f>
        <v>81</v>
      </c>
      <c r="P3" s="42">
        <f>VLOOKUP(B3,[11]สรุปรายการสินค้า!$B:$C,2,0)</f>
        <v>111</v>
      </c>
      <c r="Q3" s="42">
        <f>VLOOKUP(B3,[12]สรุปรายการสินค้า!$B:$C,2,0)</f>
        <v>55</v>
      </c>
      <c r="R3" s="45"/>
    </row>
    <row r="4" spans="1:18" ht="23.4" x14ac:dyDescent="0.6">
      <c r="A4" s="4">
        <v>2</v>
      </c>
      <c r="B4" s="39" t="s">
        <v>35</v>
      </c>
      <c r="C4" s="48">
        <f t="shared" ref="C4:C38" si="0">SUM(F4:Q4)</f>
        <v>636</v>
      </c>
      <c r="D4" s="49">
        <v>37.17</v>
      </c>
      <c r="E4" s="49">
        <f t="shared" ref="E4:E38" si="1">+C4*D4</f>
        <v>23640.120000000003</v>
      </c>
      <c r="F4" s="42">
        <f>IFERROR(VLOOKUP(B4,[1]สรุปรายการสินค้า!$B:$C,2,0),"0")</f>
        <v>232</v>
      </c>
      <c r="G4" s="42">
        <f>IFERROR(VLOOKUP(B4,[2]สรุปรายการสินค้า!$B:$C,2,0),"0")</f>
        <v>55</v>
      </c>
      <c r="H4" s="42">
        <f>IFERROR(VLOOKUP(B4,[3]สรุปรายการสินค้า!$B:$C,2,0),"0")</f>
        <v>25</v>
      </c>
      <c r="I4" s="42">
        <f>IFERROR(VLOOKUP(B4,[4]สรุปรายการสินค้า!$B:$C,2,0),"0")</f>
        <v>14</v>
      </c>
      <c r="J4" s="42">
        <f>IFERROR(VLOOKUP(B4,[5]สรุปรายการสินค้า!$B:$C,2,0),"0")</f>
        <v>25</v>
      </c>
      <c r="K4" s="42">
        <f>IFERROR(VLOOKUP(B4,[6]สรุปรายการสินค้า!$B:$C,2,0),"0")</f>
        <v>18</v>
      </c>
      <c r="L4" s="42">
        <f>IFERROR(VLOOKUP(B4,[7]สรุปรายการสินค้า!$B:$C,2,0),"0")</f>
        <v>13</v>
      </c>
      <c r="M4" s="42">
        <f>IFERROR(VLOOKUP(B4,[8]สรุปรายการสินค้า!$B:$C,2,0),"0")</f>
        <v>71</v>
      </c>
      <c r="N4" s="42">
        <f>IFERROR(VLOOKUP(B4,[9]สรุปรายการสินค้า!$B:$C,2,0),"0")</f>
        <v>5</v>
      </c>
      <c r="O4" s="42">
        <f>VLOOKUP(B4,[10]สรุปรายการสินค้า!$B:$C,2,0)</f>
        <v>15</v>
      </c>
      <c r="P4" s="42">
        <f>VLOOKUP(B4,[11]สรุปรายการสินค้า!$B:$C,2,0)</f>
        <v>12</v>
      </c>
      <c r="Q4" s="42">
        <f>VLOOKUP(B4,[12]สรุปรายการสินค้า!$B:$C,2,0)</f>
        <v>151</v>
      </c>
      <c r="R4" s="45"/>
    </row>
    <row r="5" spans="1:18" ht="23.4" x14ac:dyDescent="0.6">
      <c r="A5" s="4">
        <v>3</v>
      </c>
      <c r="B5" s="39" t="s">
        <v>36</v>
      </c>
      <c r="C5" s="48">
        <f t="shared" si="0"/>
        <v>517</v>
      </c>
      <c r="D5" s="49">
        <v>19.579999999999998</v>
      </c>
      <c r="E5" s="49">
        <f t="shared" si="1"/>
        <v>10122.859999999999</v>
      </c>
      <c r="F5" s="42">
        <f>IFERROR(VLOOKUP(B5,[1]สรุปรายการสินค้า!$B:$C,2,0),"0")</f>
        <v>18</v>
      </c>
      <c r="G5" s="42">
        <f>IFERROR(VLOOKUP(B5,[2]สรุปรายการสินค้า!$B:$C,2,0),"0")</f>
        <v>18</v>
      </c>
      <c r="H5" s="42">
        <f>IFERROR(VLOOKUP(B5,[3]สรุปรายการสินค้า!$B:$C,2,0),"0")</f>
        <v>0</v>
      </c>
      <c r="I5" s="42">
        <f>IFERROR(VLOOKUP(B5,[4]สรุปรายการสินค้า!$B:$C,2,0),"0")</f>
        <v>0</v>
      </c>
      <c r="J5" s="42">
        <f>IFERROR(VLOOKUP(B5,[5]สรุปรายการสินค้า!$B:$C,2,0),"0")</f>
        <v>19</v>
      </c>
      <c r="K5" s="42">
        <f>IFERROR(VLOOKUP(B5,[6]สรุปรายการสินค้า!$B:$C,2,0),"0")</f>
        <v>2</v>
      </c>
      <c r="L5" s="42">
        <f>IFERROR(VLOOKUP(B5,[7]สรุปรายการสินค้า!$B:$C,2,0),"0")</f>
        <v>134</v>
      </c>
      <c r="M5" s="42">
        <f>IFERROR(VLOOKUP(B5,[8]สรุปรายการสินค้า!$B:$C,2,0),"0")</f>
        <v>122</v>
      </c>
      <c r="N5" s="42">
        <f>IFERROR(VLOOKUP(B5,[9]สรุปรายการสินค้า!$B:$C,2,0),"0")</f>
        <v>102</v>
      </c>
      <c r="O5" s="42">
        <f>VLOOKUP(B5,[10]สรุปรายการสินค้า!$B:$C,2,0)</f>
        <v>21</v>
      </c>
      <c r="P5" s="42">
        <f>VLOOKUP(B5,[11]สรุปรายการสินค้า!$B:$C,2,0)</f>
        <v>9</v>
      </c>
      <c r="Q5" s="42">
        <f>VLOOKUP(B5,[12]สรุปรายการสินค้า!$B:$C,2,0)</f>
        <v>72</v>
      </c>
      <c r="R5" s="45"/>
    </row>
    <row r="6" spans="1:18" ht="23.4" x14ac:dyDescent="0.6">
      <c r="A6" s="4">
        <v>4</v>
      </c>
      <c r="B6" s="39" t="s">
        <v>37</v>
      </c>
      <c r="C6" s="48">
        <f t="shared" si="0"/>
        <v>84</v>
      </c>
      <c r="D6" s="49">
        <v>24.8</v>
      </c>
      <c r="E6" s="49">
        <f t="shared" si="1"/>
        <v>2083.2000000000003</v>
      </c>
      <c r="F6" s="42">
        <f>IFERROR(VLOOKUP(B6,[1]สรุปรายการสินค้า!$B:$C,2,0),"0")</f>
        <v>23</v>
      </c>
      <c r="G6" s="42">
        <f>IFERROR(VLOOKUP(B6,[2]สรุปรายการสินค้า!$B:$C,2,0),"0")</f>
        <v>7</v>
      </c>
      <c r="H6" s="42">
        <f>IFERROR(VLOOKUP(B6,[3]สรุปรายการสินค้า!$B:$C,2,0),"0")</f>
        <v>3</v>
      </c>
      <c r="I6" s="42">
        <f>IFERROR(VLOOKUP(B6,[4]สรุปรายการสินค้า!$B:$C,2,0),"0")</f>
        <v>14</v>
      </c>
      <c r="J6" s="42">
        <f>IFERROR(VLOOKUP(B6,[5]สรุปรายการสินค้า!$B:$C,2,0),"0")</f>
        <v>10</v>
      </c>
      <c r="K6" s="42">
        <f>IFERROR(VLOOKUP(B6,[6]สรุปรายการสินค้า!$B:$C,2,0),"0")</f>
        <v>2</v>
      </c>
      <c r="L6" s="42">
        <f>IFERROR(VLOOKUP(B6,[7]สรุปรายการสินค้า!$B:$C,2,0),"0")</f>
        <v>2</v>
      </c>
      <c r="M6" s="42">
        <f>IFERROR(VLOOKUP(B6,[8]สรุปรายการสินค้า!$B:$C,2,0),"0")</f>
        <v>3</v>
      </c>
      <c r="N6" s="42">
        <f>IFERROR(VLOOKUP(B6,[9]สรุปรายการสินค้า!$B:$C,2,0),"0")</f>
        <v>6</v>
      </c>
      <c r="O6" s="42">
        <f>VLOOKUP(B6,[10]สรุปรายการสินค้า!$B:$C,2,0)</f>
        <v>2</v>
      </c>
      <c r="P6" s="42">
        <f>VLOOKUP(B6,[11]สรุปรายการสินค้า!$B:$C,2,0)</f>
        <v>3</v>
      </c>
      <c r="Q6" s="42">
        <f>VLOOKUP(B6,[12]สรุปรายการสินค้า!$B:$C,2,0)</f>
        <v>9</v>
      </c>
      <c r="R6" s="45"/>
    </row>
    <row r="7" spans="1:18" ht="23.4" x14ac:dyDescent="0.6">
      <c r="A7" s="4">
        <v>5</v>
      </c>
      <c r="B7" s="39" t="s">
        <v>38</v>
      </c>
      <c r="C7" s="48">
        <f t="shared" si="0"/>
        <v>835</v>
      </c>
      <c r="D7" s="49">
        <v>11.38</v>
      </c>
      <c r="E7" s="49">
        <f t="shared" si="1"/>
        <v>9502.3000000000011</v>
      </c>
      <c r="F7" s="42">
        <f>IFERROR(VLOOKUP(B7,[1]สรุปรายการสินค้า!$B:$C,2,0),"0")</f>
        <v>0</v>
      </c>
      <c r="G7" s="42">
        <f>IFERROR(VLOOKUP(B7,[2]สรุปรายการสินค้า!$B:$C,2,0),"0")</f>
        <v>1</v>
      </c>
      <c r="H7" s="42">
        <f>IFERROR(VLOOKUP(B7,[3]สรุปรายการสินค้า!$B:$C,2,0),"0")</f>
        <v>0</v>
      </c>
      <c r="I7" s="42">
        <f>IFERROR(VLOOKUP(B7,[4]สรุปรายการสินค้า!$B:$C,2,0),"0")</f>
        <v>2</v>
      </c>
      <c r="J7" s="42">
        <f>IFERROR(VLOOKUP(B7,[5]สรุปรายการสินค้า!$B:$C,2,0),"0")</f>
        <v>4</v>
      </c>
      <c r="K7" s="42">
        <f>IFERROR(VLOOKUP(B7,[6]สรุปรายการสินค้า!$B:$C,2,0),"0")</f>
        <v>0</v>
      </c>
      <c r="L7" s="42">
        <f>IFERROR(VLOOKUP(B7,[7]สรุปรายการสินค้า!$B:$C,2,0),"0")</f>
        <v>222</v>
      </c>
      <c r="M7" s="42">
        <f>IFERROR(VLOOKUP(B7,[8]สรุปรายการสินค้า!$B:$C,2,0),"0")</f>
        <v>228</v>
      </c>
      <c r="N7" s="42">
        <f>IFERROR(VLOOKUP(B7,[9]สรุปรายการสินค้า!$B:$C,2,0),"0")</f>
        <v>213</v>
      </c>
      <c r="O7" s="42">
        <f>VLOOKUP(B7,[10]สรุปรายการสินค้า!$B:$C,2,0)</f>
        <v>43</v>
      </c>
      <c r="P7" s="42">
        <f>VLOOKUP(B7,[11]สรุปรายการสินค้า!$B:$C,2,0)</f>
        <v>33</v>
      </c>
      <c r="Q7" s="42">
        <f>VLOOKUP(B7,[12]สรุปรายการสินค้า!$B:$C,2,0)</f>
        <v>89</v>
      </c>
      <c r="R7" s="45"/>
    </row>
    <row r="8" spans="1:18" ht="23.4" x14ac:dyDescent="0.6">
      <c r="A8" s="4">
        <v>6</v>
      </c>
      <c r="B8" s="39" t="s">
        <v>39</v>
      </c>
      <c r="C8" s="48">
        <f t="shared" si="0"/>
        <v>1452</v>
      </c>
      <c r="D8" s="49">
        <v>15.01</v>
      </c>
      <c r="E8" s="49">
        <f t="shared" si="1"/>
        <v>21794.52</v>
      </c>
      <c r="F8" s="42">
        <f>IFERROR(VLOOKUP(B8,[1]สรุปรายการสินค้า!$B:$C,2,0),"0")</f>
        <v>43</v>
      </c>
      <c r="G8" s="42">
        <f>IFERROR(VLOOKUP(B8,[2]สรุปรายการสินค้า!$B:$C,2,0),"0")</f>
        <v>17</v>
      </c>
      <c r="H8" s="42">
        <f>IFERROR(VLOOKUP(B8,[3]สรุปรายการสินค้า!$B:$C,2,0),"0")</f>
        <v>13</v>
      </c>
      <c r="I8" s="42">
        <f>IFERROR(VLOOKUP(B8,[4]สรุปรายการสินค้า!$B:$C,2,0),"0")</f>
        <v>38</v>
      </c>
      <c r="J8" s="42">
        <f>IFERROR(VLOOKUP(B8,[5]สรุปรายการสินค้า!$B:$C,2,0),"0")</f>
        <v>25</v>
      </c>
      <c r="K8" s="42">
        <f>IFERROR(VLOOKUP(B8,[6]สรุปรายการสินค้า!$B:$C,2,0),"0")</f>
        <v>41</v>
      </c>
      <c r="L8" s="42">
        <f>IFERROR(VLOOKUP(B8,[7]สรุปรายการสินค้า!$B:$C,2,0),"0")</f>
        <v>123</v>
      </c>
      <c r="M8" s="42">
        <f>IFERROR(VLOOKUP(B8,[8]สรุปรายการสินค้า!$B:$C,2,0),"0")</f>
        <v>358</v>
      </c>
      <c r="N8" s="42">
        <f>IFERROR(VLOOKUP(B8,[9]สรุปรายการสินค้า!$B:$C,2,0),"0")</f>
        <v>140</v>
      </c>
      <c r="O8" s="42">
        <f>VLOOKUP(B8,[10]สรุปรายการสินค้า!$B:$C,2,0)</f>
        <v>99</v>
      </c>
      <c r="P8" s="42">
        <f>VLOOKUP(B8,[11]สรุปรายการสินค้า!$B:$C,2,0)</f>
        <v>100</v>
      </c>
      <c r="Q8" s="42">
        <f>VLOOKUP(B8,[12]สรุปรายการสินค้า!$B:$C,2,0)</f>
        <v>455</v>
      </c>
      <c r="R8" s="45"/>
    </row>
    <row r="9" spans="1:18" ht="23.4" x14ac:dyDescent="0.6">
      <c r="A9" s="4">
        <v>7</v>
      </c>
      <c r="B9" s="39" t="s">
        <v>40</v>
      </c>
      <c r="C9" s="48">
        <f t="shared" si="0"/>
        <v>55</v>
      </c>
      <c r="D9" s="49">
        <v>26.81</v>
      </c>
      <c r="E9" s="49">
        <f t="shared" si="1"/>
        <v>1474.55</v>
      </c>
      <c r="F9" s="42">
        <f>IFERROR(VLOOKUP(B9,[1]สรุปรายการสินค้า!$B:$C,2,0),"0")</f>
        <v>23</v>
      </c>
      <c r="G9" s="42">
        <f>IFERROR(VLOOKUP(B9,[2]สรุปรายการสินค้า!$B:$C,2,0),"0")</f>
        <v>2</v>
      </c>
      <c r="H9" s="42">
        <f>IFERROR(VLOOKUP(B9,[3]สรุปรายการสินค้า!$B:$C,2,0),"0")</f>
        <v>3</v>
      </c>
      <c r="I9" s="42">
        <f>IFERROR(VLOOKUP(B9,[4]สรุปรายการสินค้า!$B:$C,2,0),"0")</f>
        <v>0</v>
      </c>
      <c r="J9" s="42">
        <f>IFERROR(VLOOKUP(B9,[5]สรุปรายการสินค้า!$B:$C,2,0),"0")</f>
        <v>12</v>
      </c>
      <c r="K9" s="42">
        <f>IFERROR(VLOOKUP(B9,[6]สรุปรายการสินค้า!$B:$C,2,0),"0")</f>
        <v>9</v>
      </c>
      <c r="L9" s="42">
        <f>IFERROR(VLOOKUP(B9,[7]สรุปรายการสินค้า!$B:$C,2,0),"0")</f>
        <v>0</v>
      </c>
      <c r="M9" s="42">
        <f>IFERROR(VLOOKUP(B9,[8]สรุปรายการสินค้า!$B:$C,2,0),"0")</f>
        <v>0</v>
      </c>
      <c r="N9" s="42">
        <f>IFERROR(VLOOKUP(B9,[9]สรุปรายการสินค้า!$B:$C,2,0),"0")</f>
        <v>0</v>
      </c>
      <c r="O9" s="42">
        <f>VLOOKUP(B9,[10]สรุปรายการสินค้า!$B:$C,2,0)</f>
        <v>6</v>
      </c>
      <c r="P9" s="42">
        <f>VLOOKUP(B9,[11]สรุปรายการสินค้า!$B:$C,2,0)</f>
        <v>0</v>
      </c>
      <c r="Q9" s="42">
        <f>VLOOKUP(B9,[12]สรุปรายการสินค้า!$B:$C,2,0)</f>
        <v>0</v>
      </c>
      <c r="R9" s="45"/>
    </row>
    <row r="10" spans="1:18" ht="23.4" x14ac:dyDescent="0.6">
      <c r="A10" s="4">
        <v>8</v>
      </c>
      <c r="B10" s="39" t="s">
        <v>41</v>
      </c>
      <c r="C10" s="48">
        <f t="shared" si="0"/>
        <v>4</v>
      </c>
      <c r="D10" s="49">
        <v>13.15</v>
      </c>
      <c r="E10" s="49">
        <f t="shared" si="1"/>
        <v>52.6</v>
      </c>
      <c r="F10" s="42" t="str">
        <f>IFERROR(VLOOKUP(B10,[1]สรุปรายการสินค้า!$B:$C,2,0),"0")</f>
        <v>0</v>
      </c>
      <c r="G10" s="42" t="str">
        <f>IFERROR(VLOOKUP(B10,[2]สรุปรายการสินค้า!$B:$C,2,0),"0")</f>
        <v>0</v>
      </c>
      <c r="H10" s="42" t="str">
        <f>IFERROR(VLOOKUP(B10,[3]สรุปรายการสินค้า!$B:$C,2,0),"0")</f>
        <v>0</v>
      </c>
      <c r="I10" s="42" t="str">
        <f>IFERROR(VLOOKUP(B10,[4]สรุปรายการสินค้า!$B:$C,2,0),"0")</f>
        <v>0</v>
      </c>
      <c r="J10" s="42" t="str">
        <f>IFERROR(VLOOKUP(B10,[5]สรุปรายการสินค้า!$B:$C,2,0),"0")</f>
        <v>0</v>
      </c>
      <c r="K10" s="42" t="str">
        <f>IFERROR(VLOOKUP(B10,[6]สรุปรายการสินค้า!$B:$C,2,0),"0")</f>
        <v>0</v>
      </c>
      <c r="L10" s="42" t="str">
        <f>IFERROR(VLOOKUP(B10,[7]สรุปรายการสินค้า!$B:$C,2,0),"0")</f>
        <v>0</v>
      </c>
      <c r="M10" s="42" t="str">
        <f>IFERROR(VLOOKUP(B10,[8]สรุปรายการสินค้า!$B:$C,2,0),"0")</f>
        <v>0</v>
      </c>
      <c r="N10" s="42">
        <f>IFERROR(VLOOKUP(B10,[9]สรุปรายการสินค้า!$B:$C,2,0),"0")</f>
        <v>0</v>
      </c>
      <c r="O10" s="42">
        <f>VLOOKUP(B10,[10]สรุปรายการสินค้า!$B:$C,2,0)</f>
        <v>4</v>
      </c>
      <c r="P10" s="42">
        <f>VLOOKUP(B10,[11]สรุปรายการสินค้า!$B:$C,2,0)</f>
        <v>0</v>
      </c>
      <c r="Q10" s="42">
        <f>VLOOKUP(B10,[12]สรุปรายการสินค้า!$B:$C,2,0)</f>
        <v>0</v>
      </c>
      <c r="R10" s="45"/>
    </row>
    <row r="11" spans="1:18" ht="23.4" x14ac:dyDescent="0.6">
      <c r="A11" s="4">
        <v>9</v>
      </c>
      <c r="B11" s="39" t="s">
        <v>42</v>
      </c>
      <c r="C11" s="48">
        <f t="shared" si="0"/>
        <v>491</v>
      </c>
      <c r="D11" s="49">
        <v>47.22</v>
      </c>
      <c r="E11" s="49">
        <f t="shared" si="1"/>
        <v>23185.02</v>
      </c>
      <c r="F11" s="42">
        <f>IFERROR(VLOOKUP(B11,[1]สรุปรายการสินค้า!$B:$C,2,0),"0")</f>
        <v>55</v>
      </c>
      <c r="G11" s="42">
        <f>IFERROR(VLOOKUP(B11,[2]สรุปรายการสินค้า!$B:$C,2,0),"0")</f>
        <v>84</v>
      </c>
      <c r="H11" s="42">
        <f>IFERROR(VLOOKUP(B11,[3]สรุปรายการสินค้า!$B:$C,2,0),"0")</f>
        <v>37</v>
      </c>
      <c r="I11" s="42">
        <f>IFERROR(VLOOKUP(B11,[4]สรุปรายการสินค้า!$B:$C,2,0),"0")</f>
        <v>16</v>
      </c>
      <c r="J11" s="42">
        <f>IFERROR(VLOOKUP(B11,[5]สรุปรายการสินค้า!$B:$C,2,0),"0")</f>
        <v>11</v>
      </c>
      <c r="K11" s="42">
        <f>IFERROR(VLOOKUP(B11,[6]สรุปรายการสินค้า!$B:$C,2,0),"0")</f>
        <v>253</v>
      </c>
      <c r="L11" s="42">
        <f>IFERROR(VLOOKUP(B11,[7]สรุปรายการสินค้า!$B:$C,2,0),"0")</f>
        <v>35</v>
      </c>
      <c r="M11" s="42">
        <f>IFERROR(VLOOKUP(B11,[8]สรุปรายการสินค้า!$B:$C,2,0),"0")</f>
        <v>0</v>
      </c>
      <c r="N11" s="42">
        <f>IFERROR(VLOOKUP(B11,[9]สรุปรายการสินค้า!$B:$C,2,0),"0")</f>
        <v>0</v>
      </c>
      <c r="O11" s="42">
        <f>VLOOKUP(B11,[10]สรุปรายการสินค้า!$B:$C,2,0)</f>
        <v>0</v>
      </c>
      <c r="P11" s="42">
        <f>VLOOKUP(B11,[11]สรุปรายการสินค้า!$B:$C,2,0)</f>
        <v>0</v>
      </c>
      <c r="Q11" s="42">
        <f>VLOOKUP(B11,[12]สรุปรายการสินค้า!$B:$C,2,0)</f>
        <v>0</v>
      </c>
      <c r="R11" s="45"/>
    </row>
    <row r="12" spans="1:18" ht="23.4" x14ac:dyDescent="0.6">
      <c r="A12" s="4">
        <v>10</v>
      </c>
      <c r="B12" s="39" t="s">
        <v>43</v>
      </c>
      <c r="C12" s="48">
        <f t="shared" si="0"/>
        <v>10</v>
      </c>
      <c r="D12" s="49">
        <v>48.75</v>
      </c>
      <c r="E12" s="49">
        <f t="shared" si="1"/>
        <v>487.5</v>
      </c>
      <c r="F12" s="42">
        <f>IFERROR(VLOOKUP(B12,[1]สรุปรายการสินค้า!$B:$C,2,0),"0")</f>
        <v>0</v>
      </c>
      <c r="G12" s="42">
        <f>IFERROR(VLOOKUP(B12,[2]สรุปรายการสินค้า!$B:$C,2,0),"0")</f>
        <v>0</v>
      </c>
      <c r="H12" s="42">
        <f>IFERROR(VLOOKUP(B12,[3]สรุปรายการสินค้า!$B:$C,2,0),"0")</f>
        <v>0</v>
      </c>
      <c r="I12" s="42">
        <f>IFERROR(VLOOKUP(B12,[4]สรุปรายการสินค้า!$B:$C,2,0),"0")</f>
        <v>0</v>
      </c>
      <c r="J12" s="42">
        <f>IFERROR(VLOOKUP(B12,[5]สรุปรายการสินค้า!$B:$C,2,0),"0")</f>
        <v>7</v>
      </c>
      <c r="K12" s="42">
        <f>IFERROR(VLOOKUP(B12,[6]สรุปรายการสินค้า!$B:$C,2,0),"0")</f>
        <v>0</v>
      </c>
      <c r="L12" s="42">
        <f>IFERROR(VLOOKUP(B12,[7]สรุปรายการสินค้า!$B:$C,2,0),"0")</f>
        <v>0</v>
      </c>
      <c r="M12" s="42">
        <f>IFERROR(VLOOKUP(B12,[8]สรุปรายการสินค้า!$B:$C,2,0),"0")</f>
        <v>1</v>
      </c>
      <c r="N12" s="42">
        <f>IFERROR(VLOOKUP(B12,[9]สรุปรายการสินค้า!$B:$C,2,0),"0")</f>
        <v>0</v>
      </c>
      <c r="O12" s="42">
        <f>VLOOKUP(B12,[10]สรุปรายการสินค้า!$B:$C,2,0)</f>
        <v>2</v>
      </c>
      <c r="P12" s="42">
        <f>VLOOKUP(B12,[11]สรุปรายการสินค้า!$B:$C,2,0)</f>
        <v>0</v>
      </c>
      <c r="Q12" s="42">
        <f>VLOOKUP(B12,[12]สรุปรายการสินค้า!$B:$C,2,0)</f>
        <v>0</v>
      </c>
      <c r="R12" s="45"/>
    </row>
    <row r="13" spans="1:18" ht="23.4" x14ac:dyDescent="0.6">
      <c r="A13" s="4">
        <v>11</v>
      </c>
      <c r="B13" s="39" t="s">
        <v>44</v>
      </c>
      <c r="C13" s="48">
        <f t="shared" si="0"/>
        <v>3</v>
      </c>
      <c r="D13" s="49">
        <v>77.75</v>
      </c>
      <c r="E13" s="49">
        <f t="shared" si="1"/>
        <v>233.25</v>
      </c>
      <c r="F13" s="42">
        <f>IFERROR(VLOOKUP(B13,[1]สรุปรายการสินค้า!$B:$C,2,0),"0")</f>
        <v>2</v>
      </c>
      <c r="G13" s="42">
        <f>IFERROR(VLOOKUP(B13,[2]สรุปรายการสินค้า!$B:$C,2,0),"0")</f>
        <v>0</v>
      </c>
      <c r="H13" s="42">
        <f>IFERROR(VLOOKUP(B13,[3]สรุปรายการสินค้า!$B:$C,2,0),"0")</f>
        <v>1</v>
      </c>
      <c r="I13" s="42">
        <f>IFERROR(VLOOKUP(B13,[4]สรุปรายการสินค้า!$B:$C,2,0),"0")</f>
        <v>0</v>
      </c>
      <c r="J13" s="42">
        <f>IFERROR(VLOOKUP(B13,[5]สรุปรายการสินค้า!$B:$C,2,0),"0")</f>
        <v>0</v>
      </c>
      <c r="K13" s="42">
        <f>IFERROR(VLOOKUP(B13,[6]สรุปรายการสินค้า!$B:$C,2,0),"0")</f>
        <v>0</v>
      </c>
      <c r="L13" s="42">
        <f>IFERROR(VLOOKUP(B13,[7]สรุปรายการสินค้า!$B:$C,2,0),"0")</f>
        <v>0</v>
      </c>
      <c r="M13" s="42">
        <f>IFERROR(VLOOKUP(B13,[8]สรุปรายการสินค้า!$B:$C,2,0),"0")</f>
        <v>0</v>
      </c>
      <c r="N13" s="42">
        <f>IFERROR(VLOOKUP(B13,[9]สรุปรายการสินค้า!$B:$C,2,0),"0")</f>
        <v>0</v>
      </c>
      <c r="O13" s="42">
        <f>VLOOKUP(B13,[10]สรุปรายการสินค้า!$B:$C,2,0)</f>
        <v>0</v>
      </c>
      <c r="P13" s="42">
        <f>VLOOKUP(B13,[11]สรุปรายการสินค้า!$B:$C,2,0)</f>
        <v>0</v>
      </c>
      <c r="Q13" s="42">
        <f>VLOOKUP(B13,[12]สรุปรายการสินค้า!$B:$C,2,0)</f>
        <v>0</v>
      </c>
      <c r="R13" s="45"/>
    </row>
    <row r="14" spans="1:18" ht="23.4" x14ac:dyDescent="0.6">
      <c r="A14" s="4">
        <v>12</v>
      </c>
      <c r="B14" s="39" t="s">
        <v>45</v>
      </c>
      <c r="C14" s="48">
        <f t="shared" si="0"/>
        <v>0</v>
      </c>
      <c r="D14" s="49">
        <v>85.53</v>
      </c>
      <c r="E14" s="49">
        <f t="shared" si="1"/>
        <v>0</v>
      </c>
      <c r="F14" s="42">
        <f>IFERROR(VLOOKUP(B14,[1]สรุปรายการสินค้า!$B:$C,2,0),"0")</f>
        <v>0</v>
      </c>
      <c r="G14" s="42">
        <f>IFERROR(VLOOKUP(B14,[2]สรุปรายการสินค้า!$B:$C,2,0),"0")</f>
        <v>0</v>
      </c>
      <c r="H14" s="42">
        <f>IFERROR(VLOOKUP(B14,[3]สรุปรายการสินค้า!$B:$C,2,0),"0")</f>
        <v>0</v>
      </c>
      <c r="I14" s="42">
        <f>IFERROR(VLOOKUP(B14,[4]สรุปรายการสินค้า!$B:$C,2,0),"0")</f>
        <v>0</v>
      </c>
      <c r="J14" s="42">
        <f>IFERROR(VLOOKUP(B14,[5]สรุปรายการสินค้า!$B:$C,2,0),"0")</f>
        <v>0</v>
      </c>
      <c r="K14" s="42">
        <f>IFERROR(VLOOKUP(B14,[6]สรุปรายการสินค้า!$B:$C,2,0),"0")</f>
        <v>0</v>
      </c>
      <c r="L14" s="42">
        <f>IFERROR(VLOOKUP(B14,[7]สรุปรายการสินค้า!$B:$C,2,0),"0")</f>
        <v>0</v>
      </c>
      <c r="M14" s="42">
        <f>IFERROR(VLOOKUP(B14,[8]สรุปรายการสินค้า!$B:$C,2,0),"0")</f>
        <v>0</v>
      </c>
      <c r="N14" s="42">
        <f>IFERROR(VLOOKUP(B14,[9]สรุปรายการสินค้า!$B:$C,2,0),"0")</f>
        <v>0</v>
      </c>
      <c r="O14" s="42">
        <f>VLOOKUP(B14,[10]สรุปรายการสินค้า!$B:$C,2,0)</f>
        <v>0</v>
      </c>
      <c r="P14" s="42">
        <f>VLOOKUP(B14,[11]สรุปรายการสินค้า!$B:$C,2,0)</f>
        <v>0</v>
      </c>
      <c r="Q14" s="42">
        <f>VLOOKUP(B14,[12]สรุปรายการสินค้า!$B:$C,2,0)</f>
        <v>0</v>
      </c>
      <c r="R14" s="45"/>
    </row>
    <row r="15" spans="1:18" ht="23.4" x14ac:dyDescent="0.6">
      <c r="A15" s="4">
        <v>13</v>
      </c>
      <c r="B15" s="39" t="s">
        <v>46</v>
      </c>
      <c r="C15" s="48">
        <f t="shared" si="0"/>
        <v>0</v>
      </c>
      <c r="D15" s="49">
        <v>22.02</v>
      </c>
      <c r="E15" s="49">
        <f t="shared" si="1"/>
        <v>0</v>
      </c>
      <c r="F15" s="42" t="str">
        <f>IFERROR(VLOOKUP(B15,[1]สรุปรายการสินค้า!$B:$C,2,0),"0")</f>
        <v>0</v>
      </c>
      <c r="G15" s="42" t="str">
        <f>IFERROR(VLOOKUP(B15,[2]สรุปรายการสินค้า!$B:$C,2,0),"0")</f>
        <v>0</v>
      </c>
      <c r="H15" s="42" t="str">
        <f>IFERROR(VLOOKUP(B15,[3]สรุปรายการสินค้า!$B:$C,2,0),"0")</f>
        <v>0</v>
      </c>
      <c r="I15" s="42" t="str">
        <f>IFERROR(VLOOKUP(B15,[4]สรุปรายการสินค้า!$B:$C,2,0),"0")</f>
        <v>0</v>
      </c>
      <c r="J15" s="42" t="str">
        <f>IFERROR(VLOOKUP(B15,[5]สรุปรายการสินค้า!$B:$C,2,0),"0")</f>
        <v>0</v>
      </c>
      <c r="K15" s="42" t="str">
        <f>IFERROR(VLOOKUP(B15,[6]สรุปรายการสินค้า!$B:$C,2,0),"0")</f>
        <v>0</v>
      </c>
      <c r="L15" s="42" t="str">
        <f>IFERROR(VLOOKUP(B15,[7]สรุปรายการสินค้า!$B:$C,2,0),"0")</f>
        <v>0</v>
      </c>
      <c r="M15" s="42" t="str">
        <f>IFERROR(VLOOKUP(B15,[8]สรุปรายการสินค้า!$B:$C,2,0),"0")</f>
        <v>0</v>
      </c>
      <c r="N15" s="42">
        <f>IFERROR(VLOOKUP(B15,[9]สรุปรายการสินค้า!$B:$C,2,0),"0")</f>
        <v>0</v>
      </c>
      <c r="O15" s="42">
        <f>VLOOKUP(B15,[10]สรุปรายการสินค้า!$B:$C,2,0)</f>
        <v>0</v>
      </c>
      <c r="P15" s="42">
        <f>VLOOKUP(B15,[11]สรุปรายการสินค้า!$B:$C,2,0)</f>
        <v>0</v>
      </c>
      <c r="Q15" s="42">
        <f>VLOOKUP(B15,[12]สรุปรายการสินค้า!$B:$C,2,0)</f>
        <v>0</v>
      </c>
      <c r="R15" s="45"/>
    </row>
    <row r="16" spans="1:18" ht="23.4" x14ac:dyDescent="0.6">
      <c r="A16" s="4">
        <v>14</v>
      </c>
      <c r="B16" s="39" t="s">
        <v>47</v>
      </c>
      <c r="C16" s="48">
        <f t="shared" si="0"/>
        <v>5</v>
      </c>
      <c r="D16" s="49">
        <v>24.99</v>
      </c>
      <c r="E16" s="49">
        <f t="shared" si="1"/>
        <v>124.94999999999999</v>
      </c>
      <c r="F16" s="42">
        <f>IFERROR(VLOOKUP(B16,[1]สรุปรายการสินค้า!$B:$C,2,0),"0")</f>
        <v>0</v>
      </c>
      <c r="G16" s="42">
        <f>IFERROR(VLOOKUP(B16,[2]สรุปรายการสินค้า!$B:$C,2,0),"0")</f>
        <v>0</v>
      </c>
      <c r="H16" s="42">
        <f>IFERROR(VLOOKUP(B16,[3]สรุปรายการสินค้า!$B:$C,2,0),"0")</f>
        <v>0</v>
      </c>
      <c r="I16" s="42">
        <f>IFERROR(VLOOKUP(B16,[4]สรุปรายการสินค้า!$B:$C,2,0),"0")</f>
        <v>0</v>
      </c>
      <c r="J16" s="42">
        <f>IFERROR(VLOOKUP(B16,[5]สรุปรายการสินค้า!$B:$C,2,0),"0")</f>
        <v>0</v>
      </c>
      <c r="K16" s="42">
        <f>IFERROR(VLOOKUP(B16,[6]สรุปรายการสินค้า!$B:$C,2,0),"0")</f>
        <v>4</v>
      </c>
      <c r="L16" s="42">
        <f>IFERROR(VLOOKUP(B16,[7]สรุปรายการสินค้า!$B:$C,2,0),"0")</f>
        <v>1</v>
      </c>
      <c r="M16" s="42">
        <f>IFERROR(VLOOKUP(B16,[8]สรุปรายการสินค้า!$B:$C,2,0),"0")</f>
        <v>0</v>
      </c>
      <c r="N16" s="42">
        <f>IFERROR(VLOOKUP(B16,[9]สรุปรายการสินค้า!$B:$C,2,0),"0")</f>
        <v>0</v>
      </c>
      <c r="O16" s="42">
        <f>VLOOKUP(B16,[10]สรุปรายการสินค้า!$B:$C,2,0)</f>
        <v>0</v>
      </c>
      <c r="P16" s="42">
        <f>VLOOKUP(B16,[11]สรุปรายการสินค้า!$B:$C,2,0)</f>
        <v>0</v>
      </c>
      <c r="Q16" s="42">
        <f>VLOOKUP(B16,[12]สรุปรายการสินค้า!$B:$C,2,0)</f>
        <v>0</v>
      </c>
      <c r="R16" s="45"/>
    </row>
    <row r="17" spans="1:18" ht="23.4" x14ac:dyDescent="0.6">
      <c r="A17" s="4">
        <v>15</v>
      </c>
      <c r="B17" s="39" t="s">
        <v>48</v>
      </c>
      <c r="C17" s="48">
        <f t="shared" si="0"/>
        <v>1</v>
      </c>
      <c r="D17" s="49">
        <v>24.99</v>
      </c>
      <c r="E17" s="49">
        <f t="shared" si="1"/>
        <v>24.99</v>
      </c>
      <c r="F17" s="42">
        <f>IFERROR(VLOOKUP(B17,[1]สรุปรายการสินค้า!$B:$C,2,0),"0")</f>
        <v>0</v>
      </c>
      <c r="G17" s="42">
        <f>IFERROR(VLOOKUP(B17,[2]สรุปรายการสินค้า!$B:$C,2,0),"0")</f>
        <v>0</v>
      </c>
      <c r="H17" s="42">
        <f>IFERROR(VLOOKUP(B17,[3]สรุปรายการสินค้า!$B:$C,2,0),"0")</f>
        <v>0</v>
      </c>
      <c r="I17" s="42">
        <f>IFERROR(VLOOKUP(B17,[4]สรุปรายการสินค้า!$B:$C,2,0),"0")</f>
        <v>0</v>
      </c>
      <c r="J17" s="42">
        <f>IFERROR(VLOOKUP(B17,[5]สรุปรายการสินค้า!$B:$C,2,0),"0")</f>
        <v>0</v>
      </c>
      <c r="K17" s="42">
        <f>IFERROR(VLOOKUP(B17,[6]สรุปรายการสินค้า!$B:$C,2,0),"0")</f>
        <v>0</v>
      </c>
      <c r="L17" s="42">
        <f>IFERROR(VLOOKUP(B17,[7]สรุปรายการสินค้า!$B:$C,2,0),"0")</f>
        <v>0</v>
      </c>
      <c r="M17" s="42">
        <f>IFERROR(VLOOKUP(B17,[8]สรุปรายการสินค้า!$B:$C,2,0),"0")</f>
        <v>0</v>
      </c>
      <c r="N17" s="42">
        <f>IFERROR(VLOOKUP(B17,[9]สรุปรายการสินค้า!$B:$C,2,0),"0")</f>
        <v>0</v>
      </c>
      <c r="O17" s="42">
        <f>VLOOKUP(B17,[10]สรุปรายการสินค้า!$B:$C,2,0)</f>
        <v>0</v>
      </c>
      <c r="P17" s="42">
        <f>VLOOKUP(B17,[11]สรุปรายการสินค้า!$B:$C,2,0)</f>
        <v>0</v>
      </c>
      <c r="Q17" s="42">
        <f>VLOOKUP(B17,[12]สรุปรายการสินค้า!$B:$C,2,0)</f>
        <v>1</v>
      </c>
      <c r="R17" s="45"/>
    </row>
    <row r="18" spans="1:18" ht="23.4" x14ac:dyDescent="0.6">
      <c r="A18" s="4">
        <v>16</v>
      </c>
      <c r="B18" s="39" t="s">
        <v>49</v>
      </c>
      <c r="C18" s="48">
        <f t="shared" si="0"/>
        <v>6</v>
      </c>
      <c r="D18" s="49">
        <v>17.5</v>
      </c>
      <c r="E18" s="49">
        <f t="shared" si="1"/>
        <v>105</v>
      </c>
      <c r="F18" s="42">
        <f>IFERROR(VLOOKUP(B18,[1]สรุปรายการสินค้า!$B:$C,2,0),"0")</f>
        <v>0</v>
      </c>
      <c r="G18" s="42">
        <f>IFERROR(VLOOKUP(B18,[2]สรุปรายการสินค้า!$B:$C,2,0),"0")</f>
        <v>0</v>
      </c>
      <c r="H18" s="42">
        <f>IFERROR(VLOOKUP(B18,[3]สรุปรายการสินค้า!$B:$C,2,0),"0")</f>
        <v>1</v>
      </c>
      <c r="I18" s="42">
        <f>IFERROR(VLOOKUP(B18,[4]สรุปรายการสินค้า!$B:$C,2,0),"0")</f>
        <v>2</v>
      </c>
      <c r="J18" s="42">
        <f>IFERROR(VLOOKUP(B18,[5]สรุปรายการสินค้า!$B:$C,2,0),"0")</f>
        <v>0</v>
      </c>
      <c r="K18" s="42">
        <f>IFERROR(VLOOKUP(B18,[6]สรุปรายการสินค้า!$B:$C,2,0),"0")</f>
        <v>0</v>
      </c>
      <c r="L18" s="42">
        <f>IFERROR(VLOOKUP(B18,[7]สรุปรายการสินค้า!$B:$C,2,0),"0")</f>
        <v>0</v>
      </c>
      <c r="M18" s="42">
        <f>IFERROR(VLOOKUP(B18,[8]สรุปรายการสินค้า!$B:$C,2,0),"0")</f>
        <v>0</v>
      </c>
      <c r="N18" s="42">
        <f>IFERROR(VLOOKUP(B18,[9]สรุปรายการสินค้า!$B:$C,2,0),"0")</f>
        <v>3</v>
      </c>
      <c r="O18" s="42">
        <f>VLOOKUP(B18,[10]สรุปรายการสินค้า!$B:$C,2,0)</f>
        <v>0</v>
      </c>
      <c r="P18" s="42">
        <f>VLOOKUP(B18,[11]สรุปรายการสินค้า!$B:$C,2,0)</f>
        <v>0</v>
      </c>
      <c r="Q18" s="42">
        <f>VLOOKUP(B18,[12]สรุปรายการสินค้า!$B:$C,2,0)</f>
        <v>0</v>
      </c>
      <c r="R18" s="45"/>
    </row>
    <row r="19" spans="1:18" ht="23.4" x14ac:dyDescent="0.6">
      <c r="A19" s="4">
        <v>17</v>
      </c>
      <c r="B19" s="39" t="s">
        <v>50</v>
      </c>
      <c r="C19" s="48">
        <f t="shared" si="0"/>
        <v>7</v>
      </c>
      <c r="D19" s="49">
        <v>6.82</v>
      </c>
      <c r="E19" s="49">
        <f t="shared" si="1"/>
        <v>47.74</v>
      </c>
      <c r="F19" s="42">
        <f>IFERROR(VLOOKUP(B19,[1]สรุปรายการสินค้า!$B:$C,2,0),"0")</f>
        <v>0</v>
      </c>
      <c r="G19" s="42">
        <f>IFERROR(VLOOKUP(B19,[2]สรุปรายการสินค้า!$B:$C,2,0),"0")</f>
        <v>0</v>
      </c>
      <c r="H19" s="42">
        <f>IFERROR(VLOOKUP(B19,[3]สรุปรายการสินค้า!$B:$C,2,0),"0")</f>
        <v>0</v>
      </c>
      <c r="I19" s="42">
        <f>IFERROR(VLOOKUP(B19,[4]สรุปรายการสินค้า!$B:$C,2,0),"0")</f>
        <v>0</v>
      </c>
      <c r="J19" s="42">
        <f>IFERROR(VLOOKUP(B19,[5]สรุปรายการสินค้า!$B:$C,2,0),"0")</f>
        <v>1</v>
      </c>
      <c r="K19" s="42">
        <f>IFERROR(VLOOKUP(B19,[6]สรุปรายการสินค้า!$B:$C,2,0),"0")</f>
        <v>0</v>
      </c>
      <c r="L19" s="42">
        <f>IFERROR(VLOOKUP(B19,[7]สรุปรายการสินค้า!$B:$C,2,0),"0")</f>
        <v>6</v>
      </c>
      <c r="M19" s="42">
        <f>IFERROR(VLOOKUP(B19,[8]สรุปรายการสินค้า!$B:$C,2,0),"0")</f>
        <v>0</v>
      </c>
      <c r="N19" s="42">
        <f>IFERROR(VLOOKUP(B19,[9]สรุปรายการสินค้า!$B:$C,2,0),"0")</f>
        <v>0</v>
      </c>
      <c r="O19" s="42">
        <f>VLOOKUP(B19,[10]สรุปรายการสินค้า!$B:$C,2,0)</f>
        <v>0</v>
      </c>
      <c r="P19" s="42">
        <f>VLOOKUP(B19,[11]สรุปรายการสินค้า!$B:$C,2,0)</f>
        <v>0</v>
      </c>
      <c r="Q19" s="42">
        <f>VLOOKUP(B19,[12]สรุปรายการสินค้า!$B:$C,2,0)</f>
        <v>0</v>
      </c>
      <c r="R19" s="45"/>
    </row>
    <row r="20" spans="1:18" ht="23.4" x14ac:dyDescent="0.6">
      <c r="A20" s="4">
        <v>18</v>
      </c>
      <c r="B20" s="39" t="s">
        <v>51</v>
      </c>
      <c r="C20" s="48">
        <f t="shared" si="0"/>
        <v>1</v>
      </c>
      <c r="D20" s="49">
        <v>5.9</v>
      </c>
      <c r="E20" s="49">
        <f t="shared" si="1"/>
        <v>5.9</v>
      </c>
      <c r="F20" s="42">
        <f>IFERROR(VLOOKUP(B20,[1]สรุปรายการสินค้า!$B:$C,2,0),"0")</f>
        <v>0</v>
      </c>
      <c r="G20" s="42">
        <f>IFERROR(VLOOKUP(B20,[2]สรุปรายการสินค้า!$B:$C,2,0),"0")</f>
        <v>0</v>
      </c>
      <c r="H20" s="42">
        <f>IFERROR(VLOOKUP(B20,[3]สรุปรายการสินค้า!$B:$C,2,0),"0")</f>
        <v>0</v>
      </c>
      <c r="I20" s="42">
        <f>IFERROR(VLOOKUP(B20,[4]สรุปรายการสินค้า!$B:$C,2,0),"0")</f>
        <v>1</v>
      </c>
      <c r="J20" s="42">
        <f>IFERROR(VLOOKUP(B20,[5]สรุปรายการสินค้า!$B:$C,2,0),"0")</f>
        <v>0</v>
      </c>
      <c r="K20" s="42">
        <f>IFERROR(VLOOKUP(B20,[6]สรุปรายการสินค้า!$B:$C,2,0),"0")</f>
        <v>0</v>
      </c>
      <c r="L20" s="42">
        <f>IFERROR(VLOOKUP(B20,[7]สรุปรายการสินค้า!$B:$C,2,0),"0")</f>
        <v>0</v>
      </c>
      <c r="M20" s="42">
        <f>IFERROR(VLOOKUP(B20,[8]สรุปรายการสินค้า!$B:$C,2,0),"0")</f>
        <v>0</v>
      </c>
      <c r="N20" s="42">
        <f>IFERROR(VLOOKUP(B20,[9]สรุปรายการสินค้า!$B:$C,2,0),"0")</f>
        <v>0</v>
      </c>
      <c r="O20" s="42">
        <f>VLOOKUP(B20,[10]สรุปรายการสินค้า!$B:$C,2,0)</f>
        <v>0</v>
      </c>
      <c r="P20" s="42">
        <f>VLOOKUP(B20,[11]สรุปรายการสินค้า!$B:$C,2,0)</f>
        <v>0</v>
      </c>
      <c r="Q20" s="42">
        <f>VLOOKUP(B20,[12]สรุปรายการสินค้า!$B:$C,2,0)</f>
        <v>0</v>
      </c>
      <c r="R20" s="45"/>
    </row>
    <row r="21" spans="1:18" ht="23.4" x14ac:dyDescent="0.6">
      <c r="A21" s="4">
        <v>19</v>
      </c>
      <c r="B21" s="39" t="s">
        <v>52</v>
      </c>
      <c r="C21" s="48">
        <f t="shared" si="0"/>
        <v>0</v>
      </c>
      <c r="D21" s="49">
        <v>8.43</v>
      </c>
      <c r="E21" s="49">
        <f t="shared" si="1"/>
        <v>0</v>
      </c>
      <c r="F21" s="42">
        <f>IFERROR(VLOOKUP(B21,[1]สรุปรายการสินค้า!$B:$C,2,0),"0")</f>
        <v>0</v>
      </c>
      <c r="G21" s="42">
        <f>IFERROR(VLOOKUP(B21,[2]สรุปรายการสินค้า!$B:$C,2,0),"0")</f>
        <v>0</v>
      </c>
      <c r="H21" s="42">
        <f>IFERROR(VLOOKUP(B21,[3]สรุปรายการสินค้า!$B:$C,2,0),"0")</f>
        <v>0</v>
      </c>
      <c r="I21" s="42">
        <f>IFERROR(VLOOKUP(B21,[4]สรุปรายการสินค้า!$B:$C,2,0),"0")</f>
        <v>0</v>
      </c>
      <c r="J21" s="42">
        <f>IFERROR(VLOOKUP(B21,[5]สรุปรายการสินค้า!$B:$C,2,0),"0")</f>
        <v>0</v>
      </c>
      <c r="K21" s="42">
        <f>IFERROR(VLOOKUP(B21,[6]สรุปรายการสินค้า!$B:$C,2,0),"0")</f>
        <v>0</v>
      </c>
      <c r="L21" s="42">
        <f>IFERROR(VLOOKUP(B21,[7]สรุปรายการสินค้า!$B:$C,2,0),"0")</f>
        <v>0</v>
      </c>
      <c r="M21" s="42">
        <f>IFERROR(VLOOKUP(B21,[8]สรุปรายการสินค้า!$B:$C,2,0),"0")</f>
        <v>0</v>
      </c>
      <c r="N21" s="42">
        <f>IFERROR(VLOOKUP(B21,[9]สรุปรายการสินค้า!$B:$C,2,0),"0")</f>
        <v>0</v>
      </c>
      <c r="O21" s="42">
        <f>VLOOKUP(B21,[10]สรุปรายการสินค้า!$B:$C,2,0)</f>
        <v>0</v>
      </c>
      <c r="P21" s="42">
        <f>VLOOKUP(B21,[11]สรุปรายการสินค้า!$B:$C,2,0)</f>
        <v>0</v>
      </c>
      <c r="Q21" s="42">
        <f>VLOOKUP(B21,[12]สรุปรายการสินค้า!$B:$C,2,0)</f>
        <v>0</v>
      </c>
      <c r="R21" s="45"/>
    </row>
    <row r="22" spans="1:18" ht="23.4" x14ac:dyDescent="0.6">
      <c r="A22" s="4">
        <v>20</v>
      </c>
      <c r="B22" s="39" t="s">
        <v>53</v>
      </c>
      <c r="C22" s="48">
        <f t="shared" si="0"/>
        <v>0</v>
      </c>
      <c r="D22" s="49">
        <v>9.91</v>
      </c>
      <c r="E22" s="49">
        <f t="shared" si="1"/>
        <v>0</v>
      </c>
      <c r="F22" s="42">
        <f>IFERROR(VLOOKUP(B22,[1]สรุปรายการสินค้า!$B:$C,2,0),"0")</f>
        <v>0</v>
      </c>
      <c r="G22" s="42">
        <f>IFERROR(VLOOKUP(B22,[2]สรุปรายการสินค้า!$B:$C,2,0),"0")</f>
        <v>0</v>
      </c>
      <c r="H22" s="42">
        <f>IFERROR(VLOOKUP(B22,[3]สรุปรายการสินค้า!$B:$C,2,0),"0")</f>
        <v>0</v>
      </c>
      <c r="I22" s="42">
        <f>IFERROR(VLOOKUP(B22,[4]สรุปรายการสินค้า!$B:$C,2,0),"0")</f>
        <v>0</v>
      </c>
      <c r="J22" s="42">
        <f>IFERROR(VLOOKUP(B22,[5]สรุปรายการสินค้า!$B:$C,2,0),"0")</f>
        <v>0</v>
      </c>
      <c r="K22" s="42">
        <f>IFERROR(VLOOKUP(B22,[6]สรุปรายการสินค้า!$B:$C,2,0),"0")</f>
        <v>0</v>
      </c>
      <c r="L22" s="42">
        <f>IFERROR(VLOOKUP(B22,[7]สรุปรายการสินค้า!$B:$C,2,0),"0")</f>
        <v>0</v>
      </c>
      <c r="M22" s="42">
        <f>IFERROR(VLOOKUP(B22,[8]สรุปรายการสินค้า!$B:$C,2,0),"0")</f>
        <v>0</v>
      </c>
      <c r="N22" s="42">
        <f>IFERROR(VLOOKUP(B22,[9]สรุปรายการสินค้า!$B:$C,2,0),"0")</f>
        <v>0</v>
      </c>
      <c r="O22" s="42">
        <f>VLOOKUP(B22,[10]สรุปรายการสินค้า!$B:$C,2,0)</f>
        <v>0</v>
      </c>
      <c r="P22" s="42">
        <f>VLOOKUP(B22,[11]สรุปรายการสินค้า!$B:$C,2,0)</f>
        <v>0</v>
      </c>
      <c r="Q22" s="42">
        <f>VLOOKUP(B22,[12]สรุปรายการสินค้า!$B:$C,2,0)</f>
        <v>0</v>
      </c>
      <c r="R22" s="45"/>
    </row>
    <row r="23" spans="1:18" ht="23.4" x14ac:dyDescent="0.6">
      <c r="A23" s="4">
        <v>21</v>
      </c>
      <c r="B23" s="39" t="s">
        <v>54</v>
      </c>
      <c r="C23" s="48">
        <f t="shared" si="0"/>
        <v>0</v>
      </c>
      <c r="D23" s="49">
        <v>2.2200000000000002</v>
      </c>
      <c r="E23" s="49">
        <f t="shared" si="1"/>
        <v>0</v>
      </c>
      <c r="F23" s="42">
        <f>IFERROR(VLOOKUP(B23,[1]สรุปรายการสินค้า!$B:$C,2,0),"0")</f>
        <v>0</v>
      </c>
      <c r="G23" s="42">
        <f>IFERROR(VLOOKUP(B23,[2]สรุปรายการสินค้า!$B:$C,2,0),"0")</f>
        <v>0</v>
      </c>
      <c r="H23" s="42">
        <f>IFERROR(VLOOKUP(B23,[3]สรุปรายการสินค้า!$B:$C,2,0),"0")</f>
        <v>0</v>
      </c>
      <c r="I23" s="42">
        <f>IFERROR(VLOOKUP(B23,[4]สรุปรายการสินค้า!$B:$C,2,0),"0")</f>
        <v>0</v>
      </c>
      <c r="J23" s="42">
        <f>IFERROR(VLOOKUP(B23,[5]สรุปรายการสินค้า!$B:$C,2,0),"0")</f>
        <v>0</v>
      </c>
      <c r="K23" s="42">
        <f>IFERROR(VLOOKUP(B23,[6]สรุปรายการสินค้า!$B:$C,2,0),"0")</f>
        <v>0</v>
      </c>
      <c r="L23" s="42">
        <f>IFERROR(VLOOKUP(B23,[7]สรุปรายการสินค้า!$B:$C,2,0),"0")</f>
        <v>0</v>
      </c>
      <c r="M23" s="42">
        <f>IFERROR(VLOOKUP(B23,[8]สรุปรายการสินค้า!$B:$C,2,0),"0")</f>
        <v>0</v>
      </c>
      <c r="N23" s="42">
        <f>IFERROR(VLOOKUP(B23,[9]สรุปรายการสินค้า!$B:$C,2,0),"0")</f>
        <v>0</v>
      </c>
      <c r="O23" s="42">
        <f>VLOOKUP(B23,[10]สรุปรายการสินค้า!$B:$C,2,0)</f>
        <v>0</v>
      </c>
      <c r="P23" s="42">
        <f>VLOOKUP(B23,[11]สรุปรายการสินค้า!$B:$C,2,0)</f>
        <v>0</v>
      </c>
      <c r="Q23" s="42">
        <f>VLOOKUP(B23,[12]สรุปรายการสินค้า!$B:$C,2,0)</f>
        <v>0</v>
      </c>
      <c r="R23" s="45"/>
    </row>
    <row r="24" spans="1:18" ht="23.4" x14ac:dyDescent="0.6">
      <c r="A24" s="4">
        <v>22</v>
      </c>
      <c r="B24" s="39" t="s">
        <v>55</v>
      </c>
      <c r="C24" s="48">
        <f t="shared" si="0"/>
        <v>0</v>
      </c>
      <c r="D24" s="49">
        <v>3.08</v>
      </c>
      <c r="E24" s="49">
        <f t="shared" si="1"/>
        <v>0</v>
      </c>
      <c r="F24" s="42">
        <f>IFERROR(VLOOKUP(B24,[1]สรุปรายการสินค้า!$B:$C,2,0),"0")</f>
        <v>0</v>
      </c>
      <c r="G24" s="42">
        <f>IFERROR(VLOOKUP(B24,[2]สรุปรายการสินค้า!$B:$C,2,0),"0")</f>
        <v>0</v>
      </c>
      <c r="H24" s="42">
        <f>IFERROR(VLOOKUP(B24,[3]สรุปรายการสินค้า!$B:$C,2,0),"0")</f>
        <v>0</v>
      </c>
      <c r="I24" s="42">
        <f>IFERROR(VLOOKUP(B24,[4]สรุปรายการสินค้า!$B:$C,2,0),"0")</f>
        <v>0</v>
      </c>
      <c r="J24" s="42">
        <f>IFERROR(VLOOKUP(B24,[5]สรุปรายการสินค้า!$B:$C,2,0),"0")</f>
        <v>0</v>
      </c>
      <c r="K24" s="42">
        <f>IFERROR(VLOOKUP(B24,[6]สรุปรายการสินค้า!$B:$C,2,0),"0")</f>
        <v>0</v>
      </c>
      <c r="L24" s="42">
        <f>IFERROR(VLOOKUP(B24,[7]สรุปรายการสินค้า!$B:$C,2,0),"0")</f>
        <v>0</v>
      </c>
      <c r="M24" s="42">
        <f>IFERROR(VLOOKUP(B24,[8]สรุปรายการสินค้า!$B:$C,2,0),"0")</f>
        <v>0</v>
      </c>
      <c r="N24" s="42">
        <f>IFERROR(VLOOKUP(B24,[9]สรุปรายการสินค้า!$B:$C,2,0),"0")</f>
        <v>0</v>
      </c>
      <c r="O24" s="42">
        <f>VLOOKUP(B24,[10]สรุปรายการสินค้า!$B:$C,2,0)</f>
        <v>0</v>
      </c>
      <c r="P24" s="42">
        <f>VLOOKUP(B24,[11]สรุปรายการสินค้า!$B:$C,2,0)</f>
        <v>0</v>
      </c>
      <c r="Q24" s="42">
        <f>VLOOKUP(B24,[12]สรุปรายการสินค้า!$B:$C,2,0)</f>
        <v>0</v>
      </c>
      <c r="R24" s="45"/>
    </row>
    <row r="25" spans="1:18" ht="23.4" x14ac:dyDescent="0.6">
      <c r="A25" s="4">
        <v>23</v>
      </c>
      <c r="B25" s="53" t="s">
        <v>56</v>
      </c>
      <c r="C25" s="48">
        <f t="shared" si="0"/>
        <v>0</v>
      </c>
      <c r="D25" s="49">
        <v>0</v>
      </c>
      <c r="E25" s="49">
        <f t="shared" si="1"/>
        <v>0</v>
      </c>
      <c r="F25" s="42">
        <f>IFERROR(VLOOKUP(B25,[1]สรุปรายการสินค้า!$B:$C,2,0),"0")</f>
        <v>0</v>
      </c>
      <c r="G25" s="42">
        <f>IFERROR(VLOOKUP(B25,[2]สรุปรายการสินค้า!$B:$C,2,0),"0")</f>
        <v>0</v>
      </c>
      <c r="H25" s="42">
        <f>IFERROR(VLOOKUP(B25,[3]สรุปรายการสินค้า!$B:$C,2,0),"0")</f>
        <v>0</v>
      </c>
      <c r="I25" s="42">
        <f>IFERROR(VLOOKUP(B25,[4]สรุปรายการสินค้า!$B:$C,2,0),"0")</f>
        <v>0</v>
      </c>
      <c r="J25" s="42">
        <f>IFERROR(VLOOKUP(B25,[5]สรุปรายการสินค้า!$B:$C,2,0),"0")</f>
        <v>0</v>
      </c>
      <c r="K25" s="42">
        <f>IFERROR(VLOOKUP(B25,[6]สรุปรายการสินค้า!$B:$C,2,0),"0")</f>
        <v>0</v>
      </c>
      <c r="L25" s="42">
        <f>IFERROR(VLOOKUP(B25,[7]สรุปรายการสินค้า!$B:$C,2,0),"0")</f>
        <v>0</v>
      </c>
      <c r="M25" s="42">
        <f>IFERROR(VLOOKUP(B25,[8]สรุปรายการสินค้า!$B:$C,2,0),"0")</f>
        <v>0</v>
      </c>
      <c r="N25" s="42">
        <f>IFERROR(VLOOKUP(B25,[9]สรุปรายการสินค้า!$B:$C,2,0),"0")</f>
        <v>0</v>
      </c>
      <c r="O25" s="42">
        <f>VLOOKUP(B25,[10]สรุปรายการสินค้า!$B:$C,2,0)</f>
        <v>0</v>
      </c>
      <c r="P25" s="42">
        <f>VLOOKUP(B25,[11]สรุปรายการสินค้า!$B:$C,2,0)</f>
        <v>0</v>
      </c>
      <c r="Q25" s="42">
        <f>VLOOKUP(B25,[12]สรุปรายการสินค้า!$B:$C,2,0)</f>
        <v>0</v>
      </c>
      <c r="R25" s="45"/>
    </row>
    <row r="26" spans="1:18" ht="23.4" x14ac:dyDescent="0.6">
      <c r="A26" s="4">
        <v>24</v>
      </c>
      <c r="B26" s="39" t="s">
        <v>57</v>
      </c>
      <c r="C26" s="48">
        <f t="shared" si="0"/>
        <v>395</v>
      </c>
      <c r="D26" s="49">
        <v>16.010000000000002</v>
      </c>
      <c r="E26" s="49">
        <f t="shared" si="1"/>
        <v>6323.9500000000007</v>
      </c>
      <c r="F26" s="42">
        <f>IFERROR(VLOOKUP(B26,[1]สรุปรายการสินค้า!$B:$C,2,0),"0")</f>
        <v>30</v>
      </c>
      <c r="G26" s="42">
        <f>IFERROR(VLOOKUP(B26,[2]สรุปรายการสินค้า!$B:$C,2,0),"0")</f>
        <v>11</v>
      </c>
      <c r="H26" s="42">
        <f>IFERROR(VLOOKUP(B26,[3]สรุปรายการสินค้า!$B:$C,2,0),"0")</f>
        <v>35</v>
      </c>
      <c r="I26" s="42">
        <f>IFERROR(VLOOKUP(B26,[4]สรุปรายการสินค้า!$B:$C,2,0),"0")</f>
        <v>38</v>
      </c>
      <c r="J26" s="42">
        <f>IFERROR(VLOOKUP(B26,[5]สรุปรายการสินค้า!$B:$C,2,0),"0")</f>
        <v>0</v>
      </c>
      <c r="K26" s="42">
        <f>IFERROR(VLOOKUP(B26,[6]สรุปรายการสินค้า!$B:$C,2,0),"0")</f>
        <v>29</v>
      </c>
      <c r="L26" s="42">
        <f>IFERROR(VLOOKUP(B26,[7]สรุปรายการสินค้า!$B:$C,2,0),"0")</f>
        <v>27</v>
      </c>
      <c r="M26" s="42">
        <f>IFERROR(VLOOKUP(B26,[8]สรุปรายการสินค้า!$B:$C,2,0),"0")</f>
        <v>65</v>
      </c>
      <c r="N26" s="42">
        <f>IFERROR(VLOOKUP(B26,[9]สรุปรายการสินค้า!$B:$C,2,0),"0")</f>
        <v>50</v>
      </c>
      <c r="O26" s="42">
        <f>VLOOKUP(B26,[10]สรุปรายการสินค้า!$B:$C,2,0)</f>
        <v>12</v>
      </c>
      <c r="P26" s="42">
        <f>VLOOKUP(B26,[11]สรุปรายการสินค้า!$B:$C,2,0)</f>
        <v>0</v>
      </c>
      <c r="Q26" s="42">
        <f>VLOOKUP(B26,[12]สรุปรายการสินค้า!$B:$C,2,0)</f>
        <v>98</v>
      </c>
      <c r="R26" s="45"/>
    </row>
    <row r="27" spans="1:18" ht="23.4" x14ac:dyDescent="0.6">
      <c r="A27" s="4">
        <v>25</v>
      </c>
      <c r="B27" s="39" t="s">
        <v>58</v>
      </c>
      <c r="C27" s="48">
        <f t="shared" si="0"/>
        <v>97</v>
      </c>
      <c r="D27" s="49">
        <v>12.36</v>
      </c>
      <c r="E27" s="49">
        <f t="shared" si="1"/>
        <v>1198.9199999999998</v>
      </c>
      <c r="F27" s="42">
        <f>IFERROR(VLOOKUP(B27,[1]สรุปรายการสินค้า!$B:$C,2,0),"0")</f>
        <v>0</v>
      </c>
      <c r="G27" s="42">
        <f>IFERROR(VLOOKUP(B27,[2]สรุปรายการสินค้า!$B:$C,2,0),"0")</f>
        <v>0</v>
      </c>
      <c r="H27" s="42">
        <f>IFERROR(VLOOKUP(B27,[3]สรุปรายการสินค้า!$B:$C,2,0),"0")</f>
        <v>0</v>
      </c>
      <c r="I27" s="42">
        <f>IFERROR(VLOOKUP(B27,[4]สรุปรายการสินค้า!$B:$C,2,0),"0")</f>
        <v>0</v>
      </c>
      <c r="J27" s="42">
        <f>IFERROR(VLOOKUP(B27,[5]สรุปรายการสินค้า!$B:$C,2,0),"0")</f>
        <v>36</v>
      </c>
      <c r="K27" s="42">
        <f>IFERROR(VLOOKUP(B27,[6]สรุปรายการสินค้า!$B:$C,2,0),"0")</f>
        <v>0</v>
      </c>
      <c r="L27" s="42">
        <f>IFERROR(VLOOKUP(B27,[7]สรุปรายการสินค้า!$B:$C,2,0),"0")</f>
        <v>0</v>
      </c>
      <c r="M27" s="42">
        <f>IFERROR(VLOOKUP(B27,[8]สรุปรายการสินค้า!$B:$C,2,0),"0")</f>
        <v>0</v>
      </c>
      <c r="N27" s="42">
        <f>IFERROR(VLOOKUP(B27,[9]สรุปรายการสินค้า!$B:$C,2,0),"0")</f>
        <v>0</v>
      </c>
      <c r="O27" s="42">
        <f>VLOOKUP(B27,[10]สรุปรายการสินค้า!$B:$C,2,0)</f>
        <v>23</v>
      </c>
      <c r="P27" s="42">
        <f>VLOOKUP(B27,[11]สรุปรายการสินค้า!$B:$C,2,0)</f>
        <v>38</v>
      </c>
      <c r="Q27" s="42">
        <f>VLOOKUP(B27,[12]สรุปรายการสินค้า!$B:$C,2,0)</f>
        <v>0</v>
      </c>
      <c r="R27" s="45"/>
    </row>
    <row r="28" spans="1:18" ht="23.4" x14ac:dyDescent="0.6">
      <c r="A28" s="4">
        <v>26</v>
      </c>
      <c r="B28" s="39" t="s">
        <v>59</v>
      </c>
      <c r="C28" s="48">
        <f t="shared" si="0"/>
        <v>145</v>
      </c>
      <c r="D28" s="49">
        <v>30.96</v>
      </c>
      <c r="E28" s="49">
        <f t="shared" si="1"/>
        <v>4489.2</v>
      </c>
      <c r="F28" s="42">
        <f>IFERROR(VLOOKUP(B28,[1]สรุปรายการสินค้า!$B:$C,2,0),"0")</f>
        <v>0</v>
      </c>
      <c r="G28" s="42">
        <f>IFERROR(VLOOKUP(B28,[2]สรุปรายการสินค้า!$B:$C,2,0),"0")</f>
        <v>0</v>
      </c>
      <c r="H28" s="42">
        <f>IFERROR(VLOOKUP(B28,[3]สรุปรายการสินค้า!$B:$C,2,0),"0")</f>
        <v>0</v>
      </c>
      <c r="I28" s="42">
        <f>IFERROR(VLOOKUP(B28,[4]สรุปรายการสินค้า!$B:$C,2,0),"0")</f>
        <v>0</v>
      </c>
      <c r="J28" s="42">
        <f>IFERROR(VLOOKUP(B28,[5]สรุปรายการสินค้า!$B:$C,2,0),"0")</f>
        <v>0</v>
      </c>
      <c r="K28" s="42">
        <f>IFERROR(VLOOKUP(B28,[6]สรุปรายการสินค้า!$B:$C,2,0),"0")</f>
        <v>0</v>
      </c>
      <c r="L28" s="42">
        <f>IFERROR(VLOOKUP(B28,[7]สรุปรายการสินค้า!$B:$C,2,0),"0")</f>
        <v>1</v>
      </c>
      <c r="M28" s="42">
        <f>IFERROR(VLOOKUP(B28,[8]สรุปรายการสินค้า!$B:$C,2,0),"0")</f>
        <v>0</v>
      </c>
      <c r="N28" s="42">
        <f>IFERROR(VLOOKUP(B28,[9]สรุปรายการสินค้า!$B:$C,2,0),"0")</f>
        <v>0</v>
      </c>
      <c r="O28" s="42">
        <f>VLOOKUP(B28,[10]สรุปรายการสินค้า!$B:$C,2,0)</f>
        <v>0</v>
      </c>
      <c r="P28" s="42">
        <f>VLOOKUP(B28,[11]สรุปรายการสินค้า!$B:$C,2,0)</f>
        <v>144</v>
      </c>
      <c r="Q28" s="42">
        <f>VLOOKUP(B28,[12]สรุปรายการสินค้า!$B:$C,2,0)</f>
        <v>0</v>
      </c>
      <c r="R28" s="45"/>
    </row>
    <row r="29" spans="1:18" ht="23.4" x14ac:dyDescent="0.6">
      <c r="A29" s="4">
        <v>27</v>
      </c>
      <c r="B29" s="39" t="s">
        <v>60</v>
      </c>
      <c r="C29" s="48">
        <f t="shared" si="0"/>
        <v>2</v>
      </c>
      <c r="D29" s="49">
        <v>65</v>
      </c>
      <c r="E29" s="49">
        <f t="shared" si="1"/>
        <v>130</v>
      </c>
      <c r="F29" s="42">
        <f>IFERROR(VLOOKUP(B29,[1]สรุปรายการสินค้า!$B:$C,2,0),"0")</f>
        <v>2</v>
      </c>
      <c r="G29" s="42">
        <f>IFERROR(VLOOKUP(B29,[2]สรุปรายการสินค้า!$B:$C,2,0),"0")</f>
        <v>0</v>
      </c>
      <c r="H29" s="42">
        <f>IFERROR(VLOOKUP(B29,[3]สรุปรายการสินค้า!$B:$C,2,0),"0")</f>
        <v>0</v>
      </c>
      <c r="I29" s="42">
        <f>IFERROR(VLOOKUP(B29,[4]สรุปรายการสินค้า!$B:$C,2,0),"0")</f>
        <v>0</v>
      </c>
      <c r="J29" s="42">
        <f>IFERROR(VLOOKUP(B29,[5]สรุปรายการสินค้า!$B:$C,2,0),"0")</f>
        <v>0</v>
      </c>
      <c r="K29" s="42">
        <f>IFERROR(VLOOKUP(B29,[6]สรุปรายการสินค้า!$B:$C,2,0),"0")</f>
        <v>0</v>
      </c>
      <c r="L29" s="42">
        <f>IFERROR(VLOOKUP(B29,[7]สรุปรายการสินค้า!$B:$C,2,0),"0")</f>
        <v>0</v>
      </c>
      <c r="M29" s="42">
        <f>IFERROR(VLOOKUP(B29,[8]สรุปรายการสินค้า!$B:$C,2,0),"0")</f>
        <v>0</v>
      </c>
      <c r="N29" s="42">
        <f>IFERROR(VLOOKUP(B29,[9]สรุปรายการสินค้า!$B:$C,2,0),"0")</f>
        <v>0</v>
      </c>
      <c r="O29" s="42">
        <f>VLOOKUP(B29,[10]สรุปรายการสินค้า!$B:$C,2,0)</f>
        <v>0</v>
      </c>
      <c r="P29" s="42">
        <f>VLOOKUP(B29,[11]สรุปรายการสินค้า!$B:$C,2,0)</f>
        <v>0</v>
      </c>
      <c r="Q29" s="42">
        <f>VLOOKUP(B29,[12]สรุปรายการสินค้า!$B:$C,2,0)</f>
        <v>0</v>
      </c>
      <c r="R29" s="45"/>
    </row>
    <row r="30" spans="1:18" ht="23.4" x14ac:dyDescent="0.6">
      <c r="A30" s="4">
        <v>28</v>
      </c>
      <c r="B30" s="39" t="s">
        <v>61</v>
      </c>
      <c r="C30" s="48">
        <f t="shared" si="0"/>
        <v>1</v>
      </c>
      <c r="D30" s="49">
        <v>23.53</v>
      </c>
      <c r="E30" s="49">
        <f t="shared" si="1"/>
        <v>23.53</v>
      </c>
      <c r="F30" s="42">
        <f>IFERROR(VLOOKUP(B30,[1]สรุปรายการสินค้า!$B:$C,2,0),"0")</f>
        <v>1</v>
      </c>
      <c r="G30" s="42">
        <f>IFERROR(VLOOKUP(B30,[2]สรุปรายการสินค้า!$B:$C,2,0),"0")</f>
        <v>0</v>
      </c>
      <c r="H30" s="42">
        <f>IFERROR(VLOOKUP(B30,[3]สรุปรายการสินค้า!$B:$C,2,0),"0")</f>
        <v>0</v>
      </c>
      <c r="I30" s="42">
        <f>IFERROR(VLOOKUP(B30,[4]สรุปรายการสินค้า!$B:$C,2,0),"0")</f>
        <v>0</v>
      </c>
      <c r="J30" s="42">
        <f>IFERROR(VLOOKUP(B30,[5]สรุปรายการสินค้า!$B:$C,2,0),"0")</f>
        <v>0</v>
      </c>
      <c r="K30" s="42">
        <f>IFERROR(VLOOKUP(B30,[6]สรุปรายการสินค้า!$B:$C,2,0),"0")</f>
        <v>0</v>
      </c>
      <c r="L30" s="42">
        <f>IFERROR(VLOOKUP(B30,[7]สรุปรายการสินค้า!$B:$C,2,0),"0")</f>
        <v>0</v>
      </c>
      <c r="M30" s="42">
        <f>IFERROR(VLOOKUP(B30,[8]สรุปรายการสินค้า!$B:$C,2,0),"0")</f>
        <v>0</v>
      </c>
      <c r="N30" s="42">
        <f>IFERROR(VLOOKUP(B30,[9]สรุปรายการสินค้า!$B:$C,2,0),"0")</f>
        <v>0</v>
      </c>
      <c r="O30" s="42">
        <f>VLOOKUP(B30,[10]สรุปรายการสินค้า!$B:$C,2,0)</f>
        <v>0</v>
      </c>
      <c r="P30" s="42">
        <f>VLOOKUP(B30,[11]สรุปรายการสินค้า!$B:$C,2,0)</f>
        <v>0</v>
      </c>
      <c r="Q30" s="42">
        <f>VLOOKUP(B30,[12]สรุปรายการสินค้า!$B:$C,2,0)</f>
        <v>0</v>
      </c>
      <c r="R30" s="45"/>
    </row>
    <row r="31" spans="1:18" ht="23.4" x14ac:dyDescent="0.6">
      <c r="A31" s="4">
        <v>29</v>
      </c>
      <c r="B31" s="39" t="s">
        <v>62</v>
      </c>
      <c r="C31" s="48">
        <f t="shared" si="0"/>
        <v>11</v>
      </c>
      <c r="D31" s="49">
        <v>11.91</v>
      </c>
      <c r="E31" s="49">
        <f t="shared" si="1"/>
        <v>131.01</v>
      </c>
      <c r="F31" s="42">
        <f>IFERROR(VLOOKUP(B31,[1]สรุปรายการสินค้า!$B:$C,2,0),"0")</f>
        <v>0</v>
      </c>
      <c r="G31" s="42">
        <f>IFERROR(VLOOKUP(B31,[2]สรุปรายการสินค้า!$B:$C,2,0),"0")</f>
        <v>3</v>
      </c>
      <c r="H31" s="42">
        <f>IFERROR(VLOOKUP(B31,[3]สรุปรายการสินค้า!$B:$C,2,0),"0")</f>
        <v>0</v>
      </c>
      <c r="I31" s="42">
        <f>IFERROR(VLOOKUP(B31,[4]สรุปรายการสินค้า!$B:$C,2,0),"0")</f>
        <v>0</v>
      </c>
      <c r="J31" s="42">
        <f>IFERROR(VLOOKUP(B31,[5]สรุปรายการสินค้า!$B:$C,2,0),"0")</f>
        <v>0</v>
      </c>
      <c r="K31" s="42">
        <f>IFERROR(VLOOKUP(B31,[6]สรุปรายการสินค้า!$B:$C,2,0),"0")</f>
        <v>0</v>
      </c>
      <c r="L31" s="42">
        <f>IFERROR(VLOOKUP(B31,[7]สรุปรายการสินค้า!$B:$C,2,0),"0")</f>
        <v>1</v>
      </c>
      <c r="M31" s="42">
        <f>IFERROR(VLOOKUP(B31,[8]สรุปรายการสินค้า!$B:$C,2,0),"0")</f>
        <v>2</v>
      </c>
      <c r="N31" s="42">
        <f>IFERROR(VLOOKUP(B31,[9]สรุปรายการสินค้า!$B:$C,2,0),"0")</f>
        <v>4</v>
      </c>
      <c r="O31" s="42">
        <f>VLOOKUP(B31,[10]สรุปรายการสินค้า!$B:$C,2,0)</f>
        <v>0</v>
      </c>
      <c r="P31" s="42">
        <f>VLOOKUP(B31,[11]สรุปรายการสินค้า!$B:$C,2,0)</f>
        <v>1</v>
      </c>
      <c r="Q31" s="42">
        <f>VLOOKUP(B31,[12]สรุปรายการสินค้า!$B:$C,2,0)</f>
        <v>0</v>
      </c>
      <c r="R31" s="45"/>
    </row>
    <row r="32" spans="1:18" ht="23.4" x14ac:dyDescent="0.6">
      <c r="A32" s="4">
        <v>30</v>
      </c>
      <c r="B32" s="39" t="s">
        <v>63</v>
      </c>
      <c r="C32" s="48">
        <f t="shared" si="0"/>
        <v>11</v>
      </c>
      <c r="D32" s="49">
        <v>20.58</v>
      </c>
      <c r="E32" s="49">
        <f t="shared" si="1"/>
        <v>226.38</v>
      </c>
      <c r="F32" s="42" t="str">
        <f>IFERROR(VLOOKUP(B32,[1]สรุปรายการสินค้า!$B:$C,2,0),"0")</f>
        <v>0</v>
      </c>
      <c r="G32" s="42" t="str">
        <f>IFERROR(VLOOKUP(B32,[2]สรุปรายการสินค้า!$B:$C,2,0),"0")</f>
        <v>0</v>
      </c>
      <c r="H32" s="42" t="str">
        <f>IFERROR(VLOOKUP(B32,[3]สรุปรายการสินค้า!$B:$C,2,0),"0")</f>
        <v>0</v>
      </c>
      <c r="I32" s="42" t="str">
        <f>IFERROR(VLOOKUP(B32,[4]สรุปรายการสินค้า!$B:$C,2,0),"0")</f>
        <v>0</v>
      </c>
      <c r="J32" s="42" t="str">
        <f>IFERROR(VLOOKUP(B32,[5]สรุปรายการสินค้า!$B:$C,2,0),"0")</f>
        <v>0</v>
      </c>
      <c r="K32" s="42">
        <f>IFERROR(VLOOKUP(B32,[6]สรุปรายการสินค้า!$B:$C,2,0),"0")</f>
        <v>3</v>
      </c>
      <c r="L32" s="42">
        <f>IFERROR(VLOOKUP(B32,[7]สรุปรายการสินค้า!$B:$C,2,0),"0")</f>
        <v>8</v>
      </c>
      <c r="M32" s="42">
        <f>IFERROR(VLOOKUP(B32,[8]สรุปรายการสินค้า!$B:$C,2,0),"0")</f>
        <v>0</v>
      </c>
      <c r="N32" s="42">
        <f>IFERROR(VLOOKUP(B32,[9]สรุปรายการสินค้า!$B:$C,2,0),"0")</f>
        <v>0</v>
      </c>
      <c r="O32" s="42">
        <f>VLOOKUP(B32,[10]สรุปรายการสินค้า!$B:$C,2,0)</f>
        <v>0</v>
      </c>
      <c r="P32" s="42">
        <f>VLOOKUP(B32,[11]สรุปรายการสินค้า!$B:$C,2,0)</f>
        <v>0</v>
      </c>
      <c r="Q32" s="42">
        <f>VLOOKUP(B32,[12]สรุปรายการสินค้า!$B:$C,2,0)</f>
        <v>0</v>
      </c>
      <c r="R32" s="45"/>
    </row>
    <row r="33" spans="1:18" ht="23.4" x14ac:dyDescent="0.6">
      <c r="A33" s="4">
        <v>31</v>
      </c>
      <c r="B33" s="39" t="s">
        <v>64</v>
      </c>
      <c r="C33" s="48">
        <f t="shared" si="0"/>
        <v>0</v>
      </c>
      <c r="D33" s="49">
        <v>7.5</v>
      </c>
      <c r="E33" s="49">
        <f t="shared" si="1"/>
        <v>0</v>
      </c>
      <c r="F33" s="42" t="str">
        <f>IFERROR(VLOOKUP(B33,[1]สรุปรายการสินค้า!$B:$C,2,0),"0")</f>
        <v>0</v>
      </c>
      <c r="G33" s="42" t="str">
        <f>IFERROR(VLOOKUP(B33,[2]สรุปรายการสินค้า!$B:$C,2,0),"0")</f>
        <v>0</v>
      </c>
      <c r="H33" s="42" t="str">
        <f>IFERROR(VLOOKUP(B33,[3]สรุปรายการสินค้า!$B:$C,2,0),"0")</f>
        <v>0</v>
      </c>
      <c r="I33" s="42" t="str">
        <f>IFERROR(VLOOKUP(B33,[4]สรุปรายการสินค้า!$B:$C,2,0),"0")</f>
        <v>0</v>
      </c>
      <c r="J33" s="42" t="str">
        <f>IFERROR(VLOOKUP(B33,[5]สรุปรายการสินค้า!$B:$C,2,0),"0")</f>
        <v>0</v>
      </c>
      <c r="K33" s="42" t="str">
        <f>IFERROR(VLOOKUP(B33,[6]สรุปรายการสินค้า!$B:$C,2,0),"0")</f>
        <v>0</v>
      </c>
      <c r="L33" s="42" t="str">
        <f>IFERROR(VLOOKUP(B33,[7]สรุปรายการสินค้า!$B:$C,2,0),"0")</f>
        <v>0</v>
      </c>
      <c r="M33" s="42" t="str">
        <f>IFERROR(VLOOKUP(B33,[8]สรุปรายการสินค้า!$B:$C,2,0),"0")</f>
        <v>0</v>
      </c>
      <c r="N33" s="42">
        <f>IFERROR(VLOOKUP(B33,[9]สรุปรายการสินค้า!$B:$C,2,0),"0")</f>
        <v>0</v>
      </c>
      <c r="O33" s="42">
        <f>VLOOKUP(B33,[10]สรุปรายการสินค้า!$B:$C,2,0)</f>
        <v>0</v>
      </c>
      <c r="P33" s="42">
        <f>VLOOKUP(B33,[11]สรุปรายการสินค้า!$B:$C,2,0)</f>
        <v>0</v>
      </c>
      <c r="Q33" s="42">
        <f>VLOOKUP(B33,[12]สรุปรายการสินค้า!$B:$C,2,0)</f>
        <v>0</v>
      </c>
      <c r="R33" s="45"/>
    </row>
    <row r="34" spans="1:18" ht="23.4" x14ac:dyDescent="0.6">
      <c r="A34" s="4">
        <v>32</v>
      </c>
      <c r="B34" s="39" t="s">
        <v>65</v>
      </c>
      <c r="C34" s="48">
        <f t="shared" si="0"/>
        <v>65</v>
      </c>
      <c r="D34" s="49">
        <v>14.9</v>
      </c>
      <c r="E34" s="49">
        <f t="shared" si="1"/>
        <v>968.5</v>
      </c>
      <c r="F34" s="42">
        <f>IFERROR(VLOOKUP(B34,[1]สรุปรายการสินค้า!$B:$C,2,0),"0")</f>
        <v>56</v>
      </c>
      <c r="G34" s="42">
        <f>IFERROR(VLOOKUP(B34,[2]สรุปรายการสินค้า!$B:$C,2,0),"0")</f>
        <v>0</v>
      </c>
      <c r="H34" s="42">
        <f>IFERROR(VLOOKUP(B34,[3]สรุปรายการสินค้า!$B:$C,2,0),"0")</f>
        <v>0</v>
      </c>
      <c r="I34" s="42">
        <f>IFERROR(VLOOKUP(B34,[4]สรุปรายการสินค้า!$B:$C,2,0),"0")</f>
        <v>0</v>
      </c>
      <c r="J34" s="42">
        <f>IFERROR(VLOOKUP(B34,[5]สรุปรายการสินค้า!$B:$C,2,0),"0")</f>
        <v>0</v>
      </c>
      <c r="K34" s="42">
        <f>IFERROR(VLOOKUP(B34,[6]สรุปรายการสินค้า!$B:$C,2,0),"0")</f>
        <v>0</v>
      </c>
      <c r="L34" s="42">
        <f>IFERROR(VLOOKUP(B34,[7]สรุปรายการสินค้า!$B:$C,2,0),"0")</f>
        <v>0</v>
      </c>
      <c r="M34" s="42">
        <f>IFERROR(VLOOKUP(B34,[8]สรุปรายการสินค้า!$B:$C,2,0),"0")</f>
        <v>4</v>
      </c>
      <c r="N34" s="42">
        <f>IFERROR(VLOOKUP(B34,[9]สรุปรายการสินค้า!$B:$C,2,0),"0")</f>
        <v>4</v>
      </c>
      <c r="O34" s="42">
        <f>VLOOKUP(B34,[10]สรุปรายการสินค้า!$B:$C,2,0)</f>
        <v>1</v>
      </c>
      <c r="P34" s="42">
        <f>VLOOKUP(B34,[11]สรุปรายการสินค้า!$B:$C,2,0)</f>
        <v>0</v>
      </c>
      <c r="Q34" s="42">
        <f>VLOOKUP(B34,[12]สรุปรายการสินค้า!$B:$C,2,0)</f>
        <v>0</v>
      </c>
      <c r="R34" s="45"/>
    </row>
    <row r="35" spans="1:18" ht="23.4" x14ac:dyDescent="0.6">
      <c r="A35" s="4">
        <v>33</v>
      </c>
      <c r="B35" s="39" t="s">
        <v>66</v>
      </c>
      <c r="C35" s="48">
        <f t="shared" si="0"/>
        <v>2297</v>
      </c>
      <c r="D35" s="49">
        <v>12.5</v>
      </c>
      <c r="E35" s="49">
        <f t="shared" si="1"/>
        <v>28712.5</v>
      </c>
      <c r="F35" s="42">
        <f>IFERROR(VLOOKUP(B35,[1]สรุปรายการสินค้า!$B:$C,2,0),"0")</f>
        <v>95</v>
      </c>
      <c r="G35" s="42">
        <f>IFERROR(VLOOKUP(B35,[2]สรุปรายการสินค้า!$B:$C,2,0),"0")</f>
        <v>43</v>
      </c>
      <c r="H35" s="42">
        <f>IFERROR(VLOOKUP(B35,[3]สรุปรายการสินค้า!$B:$C,2,0),"0")</f>
        <v>139</v>
      </c>
      <c r="I35" s="42">
        <f>IFERROR(VLOOKUP(B35,[4]สรุปรายการสินค้า!$B:$C,2,0),"0")</f>
        <v>164</v>
      </c>
      <c r="J35" s="42">
        <f>IFERROR(VLOOKUP(B35,[5]สรุปรายการสินค้า!$B:$C,2,0),"0")</f>
        <v>169</v>
      </c>
      <c r="K35" s="42">
        <f>IFERROR(VLOOKUP(B35,[6]สรุปรายการสินค้า!$B:$C,2,0),"0")</f>
        <v>138</v>
      </c>
      <c r="L35" s="42">
        <f>IFERROR(VLOOKUP(B35,[7]สรุปรายการสินค้า!$B:$C,2,0),"0")</f>
        <v>177</v>
      </c>
      <c r="M35" s="42">
        <f>IFERROR(VLOOKUP(B35,[8]สรุปรายการสินค้า!$B:$C,2,0),"0")</f>
        <v>56</v>
      </c>
      <c r="N35" s="42">
        <f>IFERROR(VLOOKUP(B35,[9]สรุปรายการสินค้า!$B:$C,2,0),"0")</f>
        <v>491</v>
      </c>
      <c r="O35" s="42">
        <f>VLOOKUP(B35,[10]สรุปรายการสินค้า!$B:$C,2,0)</f>
        <v>12</v>
      </c>
      <c r="P35" s="42">
        <f>VLOOKUP(B35,[11]สรุปรายการสินค้า!$B:$C,2,0)</f>
        <v>439</v>
      </c>
      <c r="Q35" s="42">
        <f>VLOOKUP(B35,[12]สรุปรายการสินค้า!$B:$C,2,0)</f>
        <v>374</v>
      </c>
      <c r="R35" s="45"/>
    </row>
    <row r="36" spans="1:18" ht="23.4" x14ac:dyDescent="0.6">
      <c r="A36" s="4">
        <v>34</v>
      </c>
      <c r="B36" s="39" t="s">
        <v>67</v>
      </c>
      <c r="C36" s="48">
        <f t="shared" si="0"/>
        <v>11</v>
      </c>
      <c r="D36" s="49">
        <v>4.43</v>
      </c>
      <c r="E36" s="49">
        <f t="shared" si="1"/>
        <v>48.73</v>
      </c>
      <c r="F36" s="42" t="str">
        <f>IFERROR(VLOOKUP(B36,[1]สรุปรายการสินค้า!$B:$C,2,0),"0")</f>
        <v>0</v>
      </c>
      <c r="G36" s="42" t="str">
        <f>IFERROR(VLOOKUP(B36,[2]สรุปรายการสินค้า!$B:$C,2,0),"0")</f>
        <v>0</v>
      </c>
      <c r="H36" s="42" t="str">
        <f>IFERROR(VLOOKUP(B36,[3]สรุปรายการสินค้า!$B:$C,2,0),"0")</f>
        <v>0</v>
      </c>
      <c r="I36" s="42" t="str">
        <f>IFERROR(VLOOKUP(B36,[4]สรุปรายการสินค้า!$B:$C,2,0),"0")</f>
        <v>0</v>
      </c>
      <c r="J36" s="42" t="str">
        <f>IFERROR(VLOOKUP(B36,[5]สรุปรายการสินค้า!$B:$C,2,0),"0")</f>
        <v>0</v>
      </c>
      <c r="K36" s="42" t="str">
        <f>IFERROR(VLOOKUP(B36,[6]สรุปรายการสินค้า!$B:$C,2,0),"0")</f>
        <v>0</v>
      </c>
      <c r="L36" s="42" t="str">
        <f>IFERROR(VLOOKUP(B36,[7]สรุปรายการสินค้า!$B:$C,2,0),"0")</f>
        <v>0</v>
      </c>
      <c r="M36" s="42" t="str">
        <f>IFERROR(VLOOKUP(B36,[8]สรุปรายการสินค้า!$B:$C,2,0),"0")</f>
        <v>0</v>
      </c>
      <c r="N36" s="42">
        <f>IFERROR(VLOOKUP(B36,[9]สรุปรายการสินค้า!$B:$C,2,0),"0")</f>
        <v>11</v>
      </c>
      <c r="O36" s="42">
        <f>VLOOKUP(B36,[10]สรุปรายการสินค้า!$B:$C,2,0)</f>
        <v>0</v>
      </c>
      <c r="P36" s="42">
        <f>VLOOKUP(B36,[11]สรุปรายการสินค้า!$B:$C,2,0)</f>
        <v>0</v>
      </c>
      <c r="Q36" s="42">
        <f>VLOOKUP(B36,[12]สรุปรายการสินค้า!$B:$C,2,0)</f>
        <v>0</v>
      </c>
      <c r="R36" s="45"/>
    </row>
    <row r="37" spans="1:18" ht="23.4" x14ac:dyDescent="0.6">
      <c r="A37" s="4">
        <v>35</v>
      </c>
      <c r="B37" s="53" t="s">
        <v>68</v>
      </c>
      <c r="C37" s="48">
        <f t="shared" si="0"/>
        <v>6</v>
      </c>
      <c r="D37" s="49">
        <v>0</v>
      </c>
      <c r="E37" s="49">
        <f t="shared" si="1"/>
        <v>0</v>
      </c>
      <c r="F37" s="42" t="str">
        <f>IFERROR(VLOOKUP(B37,[1]สรุปรายการสินค้า!$B:$C,2,0),"0")</f>
        <v>0</v>
      </c>
      <c r="G37" s="42" t="str">
        <f>IFERROR(VLOOKUP(B37,[2]สรุปรายการสินค้า!$B:$C,2,0),"0")</f>
        <v>0</v>
      </c>
      <c r="H37" s="42" t="str">
        <f>IFERROR(VLOOKUP(B37,[3]สรุปรายการสินค้า!$B:$C,2,0),"0")</f>
        <v>0</v>
      </c>
      <c r="I37" s="42" t="str">
        <f>IFERROR(VLOOKUP(B37,[4]สรุปรายการสินค้า!$B:$C,2,0),"0")</f>
        <v>0</v>
      </c>
      <c r="J37" s="42" t="str">
        <f>IFERROR(VLOOKUP(B37,[5]สรุปรายการสินค้า!$B:$C,2,0),"0")</f>
        <v>0</v>
      </c>
      <c r="K37" s="42" t="str">
        <f>IFERROR(VLOOKUP(B37,[6]สรุปรายการสินค้า!$B:$C,2,0),"0")</f>
        <v>0</v>
      </c>
      <c r="L37" s="42" t="str">
        <f>IFERROR(VLOOKUP(B37,[7]สรุปรายการสินค้า!$B:$C,2,0),"0")</f>
        <v>0</v>
      </c>
      <c r="M37" s="42" t="str">
        <f>IFERROR(VLOOKUP(B37,[8]สรุปรายการสินค้า!$B:$C,2,0),"0")</f>
        <v>0</v>
      </c>
      <c r="N37" s="42" t="str">
        <f>IFERROR(VLOOKUP(B37,[9]สรุปรายการสินค้า!$B:$C,2,0),"0")</f>
        <v>0</v>
      </c>
      <c r="O37" s="42">
        <f>VLOOKUP(B37,[10]สรุปรายการสินค้า!$B:$C,2,0)</f>
        <v>6</v>
      </c>
      <c r="P37" s="42">
        <f>VLOOKUP(B37,[11]สรุปรายการสินค้า!$B:$C,2,0)</f>
        <v>0</v>
      </c>
      <c r="Q37" s="42">
        <f>VLOOKUP(B37,[12]สรุปรายการสินค้า!$B:$C,2,0)</f>
        <v>0</v>
      </c>
      <c r="R37" s="45"/>
    </row>
    <row r="38" spans="1:18" ht="23.4" x14ac:dyDescent="0.6">
      <c r="A38" s="4">
        <v>36</v>
      </c>
      <c r="B38" s="39" t="s">
        <v>69</v>
      </c>
      <c r="C38" s="48">
        <f t="shared" si="0"/>
        <v>266</v>
      </c>
      <c r="D38" s="49">
        <v>19.62</v>
      </c>
      <c r="E38" s="49">
        <f t="shared" si="1"/>
        <v>5218.92</v>
      </c>
      <c r="F38" s="42" t="str">
        <f>IFERROR(VLOOKUP(B38,[1]สรุปรายการสินค้า!$B:$C,2,0),"0")</f>
        <v>0</v>
      </c>
      <c r="G38" s="42" t="str">
        <f>IFERROR(VLOOKUP(B38,[2]สรุปรายการสินค้า!$B:$C,2,0),"0")</f>
        <v>0</v>
      </c>
      <c r="H38" s="42" t="str">
        <f>IFERROR(VLOOKUP(B38,[3]สรุปรายการสินค้า!$B:$C,2,0),"0")</f>
        <v>0</v>
      </c>
      <c r="I38" s="42" t="str">
        <f>IFERROR(VLOOKUP(B38,[4]สรุปรายการสินค้า!$B:$C,2,0),"0")</f>
        <v>0</v>
      </c>
      <c r="J38" s="42" t="str">
        <f>IFERROR(VLOOKUP(B38,[5]สรุปรายการสินค้า!$B:$C,2,0),"0")</f>
        <v>0</v>
      </c>
      <c r="K38" s="42" t="str">
        <f>IFERROR(VLOOKUP(B38,[6]สรุปรายการสินค้า!$B:$C,2,0),"0")</f>
        <v>0</v>
      </c>
      <c r="L38" s="42" t="str">
        <f>IFERROR(VLOOKUP(B38,[7]สรุปรายการสินค้า!$B:$C,2,0),"0")</f>
        <v>0</v>
      </c>
      <c r="M38" s="42" t="str">
        <f>IFERROR(VLOOKUP(B38,[8]สรุปรายการสินค้า!$B:$C,2,0),"0")</f>
        <v>0</v>
      </c>
      <c r="N38" s="42" t="str">
        <f>IFERROR(VLOOKUP(B38,[9]สรุปรายการสินค้า!$B:$C,2,0),"0")</f>
        <v>0</v>
      </c>
      <c r="O38" s="42">
        <f>VLOOKUP(B38,[10]สรุปรายการสินค้า!$B:$C,2,0)</f>
        <v>266</v>
      </c>
      <c r="P38" s="42">
        <f>VLOOKUP(B38,[11]สรุปรายการสินค้า!$B:$C,2,0)</f>
        <v>0</v>
      </c>
      <c r="Q38" s="42">
        <f>VLOOKUP(B38,[12]สรุปรายการสินค้า!$B:$C,2,0)</f>
        <v>0</v>
      </c>
      <c r="R38" s="45"/>
    </row>
    <row r="39" spans="1:18" s="41" customFormat="1" ht="28.2" customHeight="1" thickBot="1" x14ac:dyDescent="0.75">
      <c r="A39" s="84" t="s">
        <v>70</v>
      </c>
      <c r="B39" s="84"/>
      <c r="C39" s="50">
        <f>SUM(C3:C38)</f>
        <v>9980</v>
      </c>
      <c r="D39" s="51" t="s">
        <v>71</v>
      </c>
      <c r="E39" s="51">
        <f t="shared" ref="E39" si="2">SUM(E3:E38)</f>
        <v>151903.14000000001</v>
      </c>
      <c r="F39" s="52">
        <f>SUM(F3:F38)</f>
        <v>886</v>
      </c>
      <c r="G39" s="52">
        <f t="shared" ref="G39:Q39" si="3">SUM(G3:G38)</f>
        <v>429</v>
      </c>
      <c r="H39" s="52">
        <f t="shared" si="3"/>
        <v>442</v>
      </c>
      <c r="I39" s="52">
        <f t="shared" si="3"/>
        <v>1288</v>
      </c>
      <c r="J39" s="52">
        <f t="shared" si="3"/>
        <v>504</v>
      </c>
      <c r="K39" s="52">
        <f t="shared" si="3"/>
        <v>629</v>
      </c>
      <c r="L39" s="52">
        <f t="shared" si="3"/>
        <v>996</v>
      </c>
      <c r="M39" s="52">
        <f t="shared" si="3"/>
        <v>961</v>
      </c>
      <c r="N39" s="52">
        <f t="shared" si="3"/>
        <v>1058</v>
      </c>
      <c r="O39" s="52">
        <f t="shared" si="3"/>
        <v>593</v>
      </c>
      <c r="P39" s="52">
        <f>SUM(P3:P38)</f>
        <v>890</v>
      </c>
      <c r="Q39" s="52">
        <f t="shared" si="3"/>
        <v>1304</v>
      </c>
      <c r="R39" s="3" t="s">
        <v>71</v>
      </c>
    </row>
    <row r="40" spans="1:18" ht="14.4" thickTop="1" x14ac:dyDescent="0.25"/>
  </sheetData>
  <mergeCells count="1"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ปี 67</vt:lpstr>
      <vt:lpstr>จำนวนชิ้นขนม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Admin</cp:lastModifiedBy>
  <dcterms:created xsi:type="dcterms:W3CDTF">2024-04-19T07:34:16Z</dcterms:created>
  <dcterms:modified xsi:type="dcterms:W3CDTF">2025-04-23T04:26:04Z</dcterms:modified>
</cp:coreProperties>
</file>