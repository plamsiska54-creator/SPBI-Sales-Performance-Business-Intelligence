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รวมออนไลน์\ติดตามออเดอร์ส่งของน้องกิ๊ก\"/>
    </mc:Choice>
  </mc:AlternateContent>
  <xr:revisionPtr revIDLastSave="0" documentId="13_ncr:1_{664BA02D-5D41-41A0-81B0-715FF1C015A0}" xr6:coauthVersionLast="36" xr6:coauthVersionMax="47" xr10:uidLastSave="{00000000-0000-0000-0000-000000000000}"/>
  <bookViews>
    <workbookView xWindow="-120" yWindow="-120" windowWidth="29040" windowHeight="15720" tabRatio="882" activeTab="1" xr2:uid="{13EF2253-7BD7-4442-9B9C-0A72170BE943}"/>
  </bookViews>
  <sheets>
    <sheet name="สรุป" sheetId="4" r:id="rId1"/>
    <sheet name="สรุปรายการสินค้า" sheetId="7" r:id="rId2"/>
    <sheet name="Lazada" sheetId="1" r:id="rId3"/>
    <sheet name="Shopee" sheetId="2" r:id="rId4"/>
    <sheet name="TikTok" sheetId="3" r:id="rId5"/>
    <sheet name="ไปรษณีย์" sheetId="5" r:id="rId6"/>
    <sheet name="รายการสินค้าตีกลับ" sheetId="6" r:id="rId7"/>
  </sheets>
  <definedNames>
    <definedName name="_xlnm._FilterDatabase" localSheetId="2" hidden="1">Lazada!$A$3:$AN$23</definedName>
    <definedName name="_xlnm._FilterDatabase" localSheetId="3" hidden="1">Shopee!$A$3:$O$3</definedName>
    <definedName name="_xlnm._FilterDatabase" localSheetId="4" hidden="1">TikTok!$A$3:$O$47</definedName>
    <definedName name="_xlnm._FilterDatabase" localSheetId="5" hidden="1">ไปรษณีย์!$A$3:$X$31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4" l="1"/>
  <c r="J9" i="4"/>
  <c r="I9" i="4"/>
  <c r="H9" i="4"/>
  <c r="G9" i="4"/>
  <c r="F9" i="4"/>
  <c r="E9" i="4"/>
  <c r="D9" i="4"/>
  <c r="C9" i="4"/>
  <c r="B9" i="4"/>
  <c r="M8" i="4"/>
  <c r="L8" i="4"/>
  <c r="M7" i="4"/>
  <c r="L7" i="4"/>
  <c r="M6" i="4"/>
  <c r="L6" i="4"/>
  <c r="M5" i="4"/>
  <c r="L5" i="4"/>
  <c r="M9" i="4" l="1"/>
  <c r="L9" i="4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AH35" i="6"/>
  <c r="C34" i="7" l="1"/>
  <c r="I47" i="3"/>
  <c r="I31" i="5"/>
  <c r="I23" i="1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4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B35" i="6"/>
  <c r="I9" i="2"/>
  <c r="C3" i="7" l="1"/>
</calcChain>
</file>

<file path=xl/sharedStrings.xml><?xml version="1.0" encoding="utf-8"?>
<sst xmlns="http://schemas.openxmlformats.org/spreadsheetml/2006/main" count="805" uniqueCount="390">
  <si>
    <t>ลำดับ</t>
  </si>
  <si>
    <t>ชื่อลูกค้า</t>
  </si>
  <si>
    <t>เลขที่พัสดุ</t>
  </si>
  <si>
    <t xml:space="preserve">สาเหตุการตีกลับ </t>
  </si>
  <si>
    <t>วันที่ตีกลับ</t>
  </si>
  <si>
    <t>เลขที่ออเดอร์</t>
  </si>
  <si>
    <t>ชื่อ</t>
  </si>
  <si>
    <t>นามสกุล</t>
  </si>
  <si>
    <t>หัวข้อการสาเหตุตีของกลับ</t>
  </si>
  <si>
    <t>ติดต่อไม่ได้ , ไม่รับโทรศัพท์</t>
  </si>
  <si>
    <t>ปฏิเสธ , ยกเลิก</t>
  </si>
  <si>
    <t>ส่งของไปซ้ำ</t>
  </si>
  <si>
    <t>Lazada</t>
  </si>
  <si>
    <t>Shopee</t>
  </si>
  <si>
    <t>TikTok</t>
  </si>
  <si>
    <t>สาเหตุการตีกลับ</t>
  </si>
  <si>
    <t>รวม</t>
  </si>
  <si>
    <t>Facebook , Facebook Live , Line , Line OA (ไปรษณีย์)</t>
  </si>
  <si>
    <t>ลูกค้าแจ้งว่าไม่ได้สั่ง</t>
  </si>
  <si>
    <t>ยอมรวมทั้งหมด</t>
  </si>
  <si>
    <t>หมายเหตุ</t>
  </si>
  <si>
    <t>ร้านค้า</t>
  </si>
  <si>
    <t>Flash Express Thailand</t>
  </si>
  <si>
    <t>ผู้ให้บริการจัดส่ง</t>
  </si>
  <si>
    <t>LEX TH</t>
  </si>
  <si>
    <t>Facebook</t>
  </si>
  <si>
    <t>Facebook Live</t>
  </si>
  <si>
    <t>Line OA</t>
  </si>
  <si>
    <t>Line</t>
  </si>
  <si>
    <t>Phone</t>
  </si>
  <si>
    <t>Kerry_dropoff</t>
  </si>
  <si>
    <t>วันที่</t>
  </si>
  <si>
    <t>ชิฟฟอนแยกชิ้น</t>
  </si>
  <si>
    <t>ชิฟฟอน 8 ชิ้น</t>
  </si>
  <si>
    <t>ชิฟฟอน 4 ชิ้น</t>
  </si>
  <si>
    <t>ชิฟฟอนไส้แยม 6 ชิ้น</t>
  </si>
  <si>
    <t>ชิฟฟอนไส้แยม 3 ชิ้น</t>
  </si>
  <si>
    <t>เบาหวิว ล</t>
  </si>
  <si>
    <t>เบาหวิว ญ</t>
  </si>
  <si>
    <t>เปี๊ยะ ล</t>
  </si>
  <si>
    <t>เปี๊ยะโมจิ ล</t>
  </si>
  <si>
    <t>เปี๊ยะ ญ</t>
  </si>
  <si>
    <t>เปี๊ยะโมจิ ญ</t>
  </si>
  <si>
    <t>คุกกี้เนย</t>
  </si>
  <si>
    <t>คุกกี้เนย 4 ชิ้น/กล่อง</t>
  </si>
  <si>
    <t>ปังกรอบคาราเมล</t>
  </si>
  <si>
    <t>ปังเนยน้ำตาล</t>
  </si>
  <si>
    <t>ปังเนยนิ่ม กล่อง 2 ชิ้น</t>
  </si>
  <si>
    <t>ปังเนยนิ่ม กล่อง 3 ชิ้น</t>
  </si>
  <si>
    <t>ปังเนยนิ่มถุง5ชิ้น</t>
  </si>
  <si>
    <t>ปังสตรอบูล</t>
  </si>
  <si>
    <t>ปังไก่หยอง</t>
  </si>
  <si>
    <t>ปังทวิต</t>
  </si>
  <si>
    <t>ปังแถว</t>
  </si>
  <si>
    <t>เปี๊ยะลาวา</t>
  </si>
  <si>
    <t>คอนเฟล็ก</t>
  </si>
  <si>
    <t>ไดฟูกุ</t>
  </si>
  <si>
    <t>ปังเลเยอร์</t>
  </si>
  <si>
    <t>เมอแรงค์</t>
  </si>
  <si>
    <t>ครีมฮอนร์จัมโบ้</t>
  </si>
  <si>
    <t>ครีมฮอร์น</t>
  </si>
  <si>
    <t>ยอดรวม</t>
  </si>
  <si>
    <t>รายการ</t>
  </si>
  <si>
    <t>ชิ้น</t>
  </si>
  <si>
    <t>ยอดรวมทั้งเดือน</t>
  </si>
  <si>
    <t>ยอดรวม/วัน (ทุกรายการ)</t>
  </si>
  <si>
    <t>จำนวน</t>
  </si>
  <si>
    <t>พายสัปปะรด</t>
  </si>
  <si>
    <t xml:space="preserve">** NOTE </t>
  </si>
  <si>
    <t>ชื่อลูกค้า ไม่มีในข้อมูล TikTok</t>
  </si>
  <si>
    <t>ชื่อลูกค้า ไม่มีในข้อมูล Shopee</t>
  </si>
  <si>
    <t>ชื่อร้าน</t>
  </si>
  <si>
    <t>วรรณวนัช เบเกอรี่ (ร้านที่ 1 ร้านหลัก)</t>
  </si>
  <si>
    <t>ของฝากวรรณวนัช (cakewanwanach.lzd)</t>
  </si>
  <si>
    <t>วรรณวนัช ชิฟฟ่อน (chiffonlazada)</t>
  </si>
  <si>
    <t>วรรณวนัช (0944831646)</t>
  </si>
  <si>
    <t>ชิฟฟ่อน กำแพงแสน (chiffonk.kps)</t>
  </si>
  <si>
    <t>วรรณวนัช ของอร่อย (cakewanwanach.kps)</t>
  </si>
  <si>
    <t>วรรณวนัช ไทยแลนด์ (chiffon.kps)</t>
  </si>
  <si>
    <t>ของฝาก นครปฐม (khongfhak.kps)</t>
  </si>
  <si>
    <t>ของอร่อยกำแพงแสน (kahnomcake.lzd)</t>
  </si>
  <si>
    <t>ชิฟฟ่อน เบเกอรี่ (wanwanachcake)</t>
  </si>
  <si>
    <t>ชื่อขนส่ง</t>
  </si>
  <si>
    <t>ร้านที่ 1</t>
  </si>
  <si>
    <t>ร้านที่ 2</t>
  </si>
  <si>
    <t>วรรณวนัชเบเกอรี่ (พี่กุ๊ก)</t>
  </si>
  <si>
    <t>วรรณวนัช เบเกอรี่ (แอม)</t>
  </si>
  <si>
    <t>วรรณวนัช โรงงานจำหน่ายโดยตรง (นุ่น)</t>
  </si>
  <si>
    <t>ของฝากวรรณวนัช By:แอดอั้ม (อั้ม)</t>
  </si>
  <si>
    <t>ชิฟฟ่อนเค้กวรรณวนัช (พี่เอฟ)</t>
  </si>
  <si>
    <t>J&amp;T Express</t>
  </si>
  <si>
    <t>ไปรษณีย์ไทย</t>
  </si>
  <si>
    <t>J&amp;T</t>
  </si>
  <si>
    <t>ยอดคำสั่งซื้อ</t>
  </si>
  <si>
    <t>บาท</t>
  </si>
  <si>
    <t>ยอดเงิน</t>
  </si>
  <si>
    <t>แพลตฟอร์ม</t>
  </si>
  <si>
    <t>ลูกค้าตีกลับ เนื่องจาก มดขึ้นขนม ขนมมีรสฟาดเฟื่อน</t>
  </si>
  <si>
    <t>เกินเวลานัดรับพัสดุ</t>
  </si>
  <si>
    <t>เกินเวลานัดส่งพัสดุ</t>
  </si>
  <si>
    <t>SPX Express</t>
  </si>
  <si>
    <t>สรุปรายการของตีกลับของช่องทางออนไลน์ เดือนมิถุนายน 2567</t>
  </si>
  <si>
    <t>สรุปรายการสินค้าที่ตีกลับมารวมทุกช่องทางขายออนไลน์ เดือนมิถุนายน 2567</t>
  </si>
  <si>
    <t>รายการของตีกลับช่องทาง LAZADA เดือนมิถุนายน 2567</t>
  </si>
  <si>
    <t>รายการของตีกลับช่องทาง SHOPEEเดือนมิถุนายน 2567</t>
  </si>
  <si>
    <t>รายการของตีกลับช่องทาง TikTok เดือนมิถุนายน 2567</t>
  </si>
  <si>
    <t>รายการของตีกลับช่องทาง Facebook , Facebook Live , Line , Line OA (ไปรษณีย์) เดือนมิถุนายน 2567</t>
  </si>
  <si>
    <t>รายการสินค้าที่ตีกลับมารวมทุกช่องทางขายออนไลน์ เดือนมิถุนายน 2567</t>
  </si>
  <si>
    <t>เค้กหวิวถาด</t>
  </si>
  <si>
    <t>พายสัปรด</t>
  </si>
  <si>
    <t>ท๊อฟฟี่ถั่ว กล่อง</t>
  </si>
  <si>
    <t>240520RXB5VXGF</t>
  </si>
  <si>
    <t>240529KGCFVGG1</t>
  </si>
  <si>
    <t>863960395870100</t>
  </si>
  <si>
    <t>866659792948262</t>
  </si>
  <si>
    <t>863265731164319</t>
  </si>
  <si>
    <t>867132103839447</t>
  </si>
  <si>
    <t>867890317500310</t>
  </si>
  <si>
    <t>867877157000310</t>
  </si>
  <si>
    <t>863585037880605</t>
  </si>
  <si>
    <t>865646789488273</t>
  </si>
  <si>
    <t>869604542719234</t>
  </si>
  <si>
    <t>865636669778685</t>
  </si>
  <si>
    <t>ใบเตย</t>
  </si>
  <si>
    <t>สุฑามาศ</t>
  </si>
  <si>
    <t>578871564368185944</t>
  </si>
  <si>
    <t>578848838073420205</t>
  </si>
  <si>
    <t>578872343416375896</t>
  </si>
  <si>
    <t>578866804019071616</t>
  </si>
  <si>
    <t>578891165023832341</t>
  </si>
  <si>
    <t>864862202660561</t>
  </si>
  <si>
    <t>578831361005882114</t>
  </si>
  <si>
    <t>578894801628334272</t>
  </si>
  <si>
    <t>578820577371523717</t>
  </si>
  <si>
    <t>578900255229643498</t>
  </si>
  <si>
    <t>578895848002456331</t>
  </si>
  <si>
    <t>578886461907176149</t>
  </si>
  <si>
    <t>578880963929540978</t>
  </si>
  <si>
    <t>578872530858838502</t>
  </si>
  <si>
    <t>578882139569621583</t>
  </si>
  <si>
    <t>578873987392506024</t>
  </si>
  <si>
    <t>578902814509664832</t>
  </si>
  <si>
    <t>578875303219661710</t>
  </si>
  <si>
    <t>578865516522212015</t>
  </si>
  <si>
    <t>578889841143679774</t>
  </si>
  <si>
    <t>578889652208896469</t>
  </si>
  <si>
    <t>578878697474328722</t>
  </si>
  <si>
    <t>578889804747278968</t>
  </si>
  <si>
    <t>578898379457596063</t>
  </si>
  <si>
    <t>578907468588616001</t>
  </si>
  <si>
    <t>578888797620112325</t>
  </si>
  <si>
    <t>578898106958711290</t>
  </si>
  <si>
    <t>EA981401876TH</t>
  </si>
  <si>
    <t>EB691835281TH</t>
  </si>
  <si>
    <t>5/06/2567</t>
  </si>
  <si>
    <t>ภูวณัฏฐ์</t>
  </si>
  <si>
    <t>EA985080783TH</t>
  </si>
  <si>
    <t>EA985081885TH</t>
  </si>
  <si>
    <t>EA985080770TH</t>
  </si>
  <si>
    <t>ปาริชาต</t>
  </si>
  <si>
    <t>นุชเทียน</t>
  </si>
  <si>
    <t>สมจิตร</t>
  </si>
  <si>
    <t>เป็กธนู</t>
  </si>
  <si>
    <t>อัสมาภรณ์</t>
  </si>
  <si>
    <t>ศรีวิชัย</t>
  </si>
  <si>
    <t>กัณฐิกา</t>
  </si>
  <si>
    <t>จันทร์เพชร</t>
  </si>
  <si>
    <t>นางธีระนุช</t>
  </si>
  <si>
    <t>กันทะอุุโมงค์</t>
  </si>
  <si>
    <t>วรมน</t>
  </si>
  <si>
    <t>สุขะเทศักดิ์</t>
  </si>
  <si>
    <t>13/06/2567</t>
  </si>
  <si>
    <t>14/06/2567</t>
  </si>
  <si>
    <t>เดชา</t>
  </si>
  <si>
    <t>ช่วงโชติ</t>
  </si>
  <si>
    <t>สำรวย</t>
  </si>
  <si>
    <t>ครองบุญ</t>
  </si>
  <si>
    <t>อรนุชา</t>
  </si>
  <si>
    <t>จันทรจุลเจิม</t>
  </si>
  <si>
    <t>วณีภรณ์</t>
  </si>
  <si>
    <t>งามพจนวงศ์</t>
  </si>
  <si>
    <t>รัชดาถร</t>
  </si>
  <si>
    <t>วุฒิชัยธนากร</t>
  </si>
  <si>
    <t>จรรยวรรน์</t>
  </si>
  <si>
    <t>เทียมจันทึก</t>
  </si>
  <si>
    <t>ดวงจันทร์</t>
  </si>
  <si>
    <t>วงศ์สองสัตย์</t>
  </si>
  <si>
    <t>สุพรรณี</t>
  </si>
  <si>
    <t>นาคสุทธิ์</t>
  </si>
  <si>
    <t>871321133797550</t>
  </si>
  <si>
    <t>868828093200214</t>
  </si>
  <si>
    <t>เบลชู</t>
  </si>
  <si>
    <t>นภพร</t>
  </si>
  <si>
    <t>ทองอ่อม</t>
  </si>
  <si>
    <t>famiwn</t>
  </si>
  <si>
    <t>akmsx</t>
  </si>
  <si>
    <t>2406057BQ21H7S</t>
  </si>
  <si>
    <t>240607BECYHQMM</t>
  </si>
  <si>
    <t>578873831592659043</t>
  </si>
  <si>
    <t>578922965183138597</t>
  </si>
  <si>
    <t>578924419975318112</t>
  </si>
  <si>
    <t>EA985081894TH</t>
  </si>
  <si>
    <t>EA985081599TH</t>
  </si>
  <si>
    <t>กุสุมา</t>
  </si>
  <si>
    <t>มาร์ติน</t>
  </si>
  <si>
    <t>อัมภาวรรณ</t>
  </si>
  <si>
    <t>ดำริกล้า</t>
  </si>
  <si>
    <t>17/06/2567</t>
  </si>
  <si>
    <t>LEXPU0344454098</t>
  </si>
  <si>
    <t>KERDO0126378837</t>
  </si>
  <si>
    <t>LEXPU0347314941</t>
  </si>
  <si>
    <t>LEXPU0347913995</t>
  </si>
  <si>
    <t>LEXPU0347836905</t>
  </si>
  <si>
    <t>KERDO0127346733</t>
  </si>
  <si>
    <t>LEXPU0350629166</t>
  </si>
  <si>
    <t>LEXPU0350116831</t>
  </si>
  <si>
    <t>LEXDO0102839109</t>
  </si>
  <si>
    <t>LEXDO0103721349</t>
  </si>
  <si>
    <t>LEXPU0349816026</t>
  </si>
  <si>
    <t>LEXPU0347011239</t>
  </si>
  <si>
    <t>LEXPU0346331092</t>
  </si>
  <si>
    <t>877409511896861</t>
  </si>
  <si>
    <t>LEXPU0356547139</t>
  </si>
  <si>
    <t>TH42155NPY6X8C</t>
  </si>
  <si>
    <t>Flash Express</t>
  </si>
  <si>
    <t>TH2468815725527</t>
  </si>
  <si>
    <t>TH244640212720Y</t>
  </si>
  <si>
    <t>TH2412634882239</t>
  </si>
  <si>
    <t>THT7303Y5Z3Q9Z</t>
  </si>
  <si>
    <t>THT3101XPJ2M2Z</t>
  </si>
  <si>
    <t>THT7303Y5Z067Z</t>
  </si>
  <si>
    <t>748138755722</t>
  </si>
  <si>
    <t>THT4105YH3S42Z</t>
  </si>
  <si>
    <t>748010148023</t>
  </si>
  <si>
    <t>748385700171</t>
  </si>
  <si>
    <t>747960668582</t>
  </si>
  <si>
    <t>748388878495</t>
  </si>
  <si>
    <t>748389164121</t>
  </si>
  <si>
    <t>748276500786</t>
  </si>
  <si>
    <t>748278626524</t>
  </si>
  <si>
    <t>748242537011</t>
  </si>
  <si>
    <t>748240795433</t>
  </si>
  <si>
    <t>748260797071</t>
  </si>
  <si>
    <t>750046018035</t>
  </si>
  <si>
    <t>748258957176</t>
  </si>
  <si>
    <t>748123192622</t>
  </si>
  <si>
    <t>748294254971</t>
  </si>
  <si>
    <t>748247963816</t>
  </si>
  <si>
    <t>748278522316</t>
  </si>
  <si>
    <t>748288054953</t>
  </si>
  <si>
    <t>748336484361</t>
  </si>
  <si>
    <t>750099309260</t>
  </si>
  <si>
    <t>THT4504YFB3J8Z</t>
  </si>
  <si>
    <t>THT3801YNTWD5Z</t>
  </si>
  <si>
    <t>748245182090</t>
  </si>
  <si>
    <t>THT0140Z56R01Z</t>
  </si>
  <si>
    <t>THT1904Z6D6A6Z</t>
  </si>
  <si>
    <t>DAA53</t>
  </si>
  <si>
    <t>DAD32</t>
  </si>
  <si>
    <t>CZX51</t>
  </si>
  <si>
    <t>DAD23</t>
  </si>
  <si>
    <t>CZX52</t>
  </si>
  <si>
    <t>CZI2</t>
  </si>
  <si>
    <t>DAT34</t>
  </si>
  <si>
    <t>CZM32</t>
  </si>
  <si>
    <t>EA984333680TH</t>
  </si>
  <si>
    <t>EA984334040TH</t>
  </si>
  <si>
    <t>CZP75</t>
  </si>
  <si>
    <t>EA983714364TH</t>
  </si>
  <si>
    <t>หาข้อมูลในระบบไม่พบ</t>
  </si>
  <si>
    <t>861460868886158</t>
  </si>
  <si>
    <t>วิชชุเมธาลักษณ์</t>
  </si>
  <si>
    <t>สถาพร</t>
  </si>
  <si>
    <t>EA985741019TH</t>
  </si>
  <si>
    <t>EA983714316TH</t>
  </si>
  <si>
    <t>EA983725870TH</t>
  </si>
  <si>
    <t>EA986321185TH</t>
  </si>
  <si>
    <t>EA984614036TH</t>
  </si>
  <si>
    <t>EA984892508TH</t>
  </si>
  <si>
    <t>ธมนวรรณ</t>
  </si>
  <si>
    <t>วรรณา</t>
  </si>
  <si>
    <t>พิมพ์ใหม่</t>
  </si>
  <si>
    <t>นริศรา</t>
  </si>
  <si>
    <t>มรรคหาผล</t>
  </si>
  <si>
    <t>นางสาวจารุกัญญ์</t>
  </si>
  <si>
    <t>กำลังศิลป์</t>
  </si>
  <si>
    <t>ปารีณา</t>
  </si>
  <si>
    <t>มัชฐารักษ์</t>
  </si>
  <si>
    <t>นิภาพร</t>
  </si>
  <si>
    <t>เกษแสนสี</t>
  </si>
  <si>
    <t>ภัทราภรณ์</t>
  </si>
  <si>
    <t>ทินาทิน</t>
  </si>
  <si>
    <t>20/06/2567</t>
  </si>
  <si>
    <t>877223505522201</t>
  </si>
  <si>
    <t>สุธินี</t>
  </si>
  <si>
    <t>ดอนสม</t>
  </si>
  <si>
    <t>578926749101623886</t>
  </si>
  <si>
    <t>578941525139491045</t>
  </si>
  <si>
    <t>578941098286680704</t>
  </si>
  <si>
    <t>578937432506010233</t>
  </si>
  <si>
    <t>578927968270977595</t>
  </si>
  <si>
    <t>578934052477569523</t>
  </si>
  <si>
    <t>578911233588890101</t>
  </si>
  <si>
    <t>578934326687074452</t>
  </si>
  <si>
    <t>578949393810492178</t>
  </si>
  <si>
    <t>578911403544250560</t>
  </si>
  <si>
    <t>578931854746749586</t>
  </si>
  <si>
    <t>578932427693001277</t>
  </si>
  <si>
    <t>EA987228181TH</t>
  </si>
  <si>
    <t>EA986845593TH</t>
  </si>
  <si>
    <t>EA985385309TH</t>
  </si>
  <si>
    <t>JB004157539TH</t>
  </si>
  <si>
    <t>บุญเชิด</t>
  </si>
  <si>
    <t>วงศ์อว่ม</t>
  </si>
  <si>
    <t>อังสุมา</t>
  </si>
  <si>
    <t>สมตัว</t>
  </si>
  <si>
    <t>จันทร์แดง</t>
  </si>
  <si>
    <t>เกวลี</t>
  </si>
  <si>
    <t>ฤทธิ์สีบุญ</t>
  </si>
  <si>
    <t>น.ส. อัจฉรา</t>
  </si>
  <si>
    <t>871376047768937</t>
  </si>
  <si>
    <t>876151195456497</t>
  </si>
  <si>
    <t>อดิเทพ</t>
  </si>
  <si>
    <t>ศรีวิเวก</t>
  </si>
  <si>
    <t>ฐิติพ้ฒน์</t>
  </si>
  <si>
    <t>สุจิตธรรม</t>
  </si>
  <si>
    <t>578953011857427255</t>
  </si>
  <si>
    <t>578934072346773799</t>
  </si>
  <si>
    <t>EA988104492TH</t>
  </si>
  <si>
    <t>EA987545839TH</t>
  </si>
  <si>
    <t>EA986547793TH</t>
  </si>
  <si>
    <t>สุรินทร์</t>
  </si>
  <si>
    <t>ไพรจิต</t>
  </si>
  <si>
    <t>สุทธิเมฆ</t>
  </si>
  <si>
    <t>กระแสโสม</t>
  </si>
  <si>
    <t>นายสมศักดิ์</t>
  </si>
  <si>
    <t>คงเดช</t>
  </si>
  <si>
    <t>DAK78</t>
  </si>
  <si>
    <t>CZG82</t>
  </si>
  <si>
    <t>CZG17</t>
  </si>
  <si>
    <t>DAV96</t>
  </si>
  <si>
    <t>CZR81</t>
  </si>
  <si>
    <t>CZX75</t>
  </si>
  <si>
    <t>DBM71</t>
  </si>
  <si>
    <t>DBF43</t>
  </si>
  <si>
    <t>DAF90</t>
  </si>
  <si>
    <t>DBV28</t>
  </si>
  <si>
    <t>DBO70</t>
  </si>
  <si>
    <t>DBC6</t>
  </si>
  <si>
    <t>EA984892542TH</t>
  </si>
  <si>
    <t>CZX78</t>
  </si>
  <si>
    <t>750090441995</t>
  </si>
  <si>
    <t>750142179581</t>
  </si>
  <si>
    <t>750101062513</t>
  </si>
  <si>
    <t>750131803492</t>
  </si>
  <si>
    <t>750064597984</t>
  </si>
  <si>
    <t>750187556263</t>
  </si>
  <si>
    <t>750089068330</t>
  </si>
  <si>
    <t>750162271213</t>
  </si>
  <si>
    <t>750118498846</t>
  </si>
  <si>
    <t>750092368362</t>
  </si>
  <si>
    <t>750102159166</t>
  </si>
  <si>
    <t>750150988101</t>
  </si>
  <si>
    <t>THT3701ZUQ5S0Z</t>
  </si>
  <si>
    <t>THT6703ZDEJ69Z</t>
  </si>
  <si>
    <t>LEXPU0347893713</t>
  </si>
  <si>
    <t>LEXPU0356540000</t>
  </si>
  <si>
    <t>KERDO0128498182</t>
  </si>
  <si>
    <t>KERDO0128362720</t>
  </si>
  <si>
    <t>240624TQXR7863</t>
  </si>
  <si>
    <t>879637193304237</t>
  </si>
  <si>
    <t>LEXPU0358951265</t>
  </si>
  <si>
    <t>ขวัญยุภา</t>
  </si>
  <si>
    <t>พรมวงศ์</t>
  </si>
  <si>
    <t>TH240210442994E</t>
  </si>
  <si>
    <t>EA985726232TH</t>
  </si>
  <si>
    <t>EA986972172TH</t>
  </si>
  <si>
    <t>EA987545581TH</t>
  </si>
  <si>
    <t>DAK80</t>
  </si>
  <si>
    <t>DBI72</t>
  </si>
  <si>
    <t>DBP90</t>
  </si>
  <si>
    <t>ระเบียบ</t>
  </si>
  <si>
    <t>พันดุไลย์</t>
  </si>
  <si>
    <t>นิลรัตน์</t>
  </si>
  <si>
    <t>รุ่งแจ้ง</t>
  </si>
  <si>
    <t>กรนิกา</t>
  </si>
  <si>
    <t>สุวรรณโสภา</t>
  </si>
  <si>
    <t>จำนวนออเดอร์</t>
  </si>
  <si>
    <t>ยอดขาย</t>
  </si>
  <si>
    <t>DAF947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</si>
</sst>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>
    <font>
      <sz val="11"/>
      <color theme="1"/>
      <name val="Calibri"/>
      <family val="2"/>
      <charset val="22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22"/>
      <color theme="1"/>
      <name val="Angsana New"/>
      <family val="1"/>
    </font>
    <font>
      <b/>
      <sz val="16"/>
      <color rgb="FF00B050"/>
      <name val="Angsana New"/>
      <family val="1"/>
    </font>
    <font>
      <b/>
      <sz val="16"/>
      <color rgb="FFFF0066"/>
      <name val="Angsana New"/>
      <family val="1"/>
    </font>
    <font>
      <b/>
      <sz val="16"/>
      <color rgb="FF0000FF"/>
      <name val="Angsana New"/>
      <family val="1"/>
    </font>
    <font>
      <sz val="18"/>
      <color theme="1"/>
      <name val="Angsana New"/>
      <family val="1"/>
    </font>
    <font>
      <b/>
      <sz val="20"/>
      <color theme="1"/>
      <name val="Angsana New"/>
      <family val="1"/>
    </font>
    <font>
      <sz val="22"/>
      <color theme="1"/>
      <name val="Angsana New"/>
      <family val="1"/>
    </font>
    <font>
      <b/>
      <sz val="16"/>
      <color rgb="FFFF0000"/>
      <name val="Angsana New"/>
      <family val="1"/>
    </font>
    <font>
      <b/>
      <sz val="18"/>
      <color rgb="FF0000FF"/>
      <name val="Angsana New"/>
      <family val="1"/>
    </font>
    <font>
      <b/>
      <sz val="20"/>
      <color rgb="FF0000FF"/>
      <name val="Angsana New"/>
      <family val="1"/>
    </font>
    <font>
      <sz val="16"/>
      <color rgb="FFFF0000"/>
      <name val="Angsana New"/>
      <family val="1"/>
    </font>
    <font>
      <sz val="11"/>
      <color theme="1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b/>
      <sz val="16"/>
      <color rgb="FF6600CC"/>
      <name val="Angsana New"/>
      <family val="1"/>
    </font>
  </fonts>
  <fills count="1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rgb="FFFF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117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49" fontId="1" fillId="6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13" fillId="0" borderId="7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center"/>
    </xf>
    <xf numFmtId="0" fontId="14" fillId="11" borderId="0" xfId="0" applyFont="1" applyFill="1" applyAlignment="1">
      <alignment horizontal="center" vertical="center"/>
    </xf>
    <xf numFmtId="14" fontId="14" fillId="11" borderId="0" xfId="0" applyNumberFormat="1" applyFont="1" applyFill="1" applyAlignment="1">
      <alignment horizontal="center" vertical="center"/>
    </xf>
    <xf numFmtId="49" fontId="14" fillId="11" borderId="0" xfId="0" applyNumberFormat="1" applyFont="1" applyFill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43" fontId="2" fillId="0" borderId="0" xfId="1" applyFont="1" applyAlignment="1">
      <alignment horizontal="center" vertical="center"/>
    </xf>
    <xf numFmtId="43" fontId="2" fillId="0" borderId="0" xfId="1" applyFont="1" applyAlignment="1">
      <alignment horizontal="center"/>
    </xf>
    <xf numFmtId="43" fontId="3" fillId="0" borderId="10" xfId="1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43" fontId="1" fillId="0" borderId="1" xfId="1" applyFont="1" applyBorder="1" applyAlignment="1">
      <alignment horizontal="center" vertical="center"/>
    </xf>
    <xf numFmtId="43" fontId="3" fillId="0" borderId="7" xfId="1" applyFont="1" applyBorder="1" applyAlignment="1">
      <alignment horizontal="center"/>
    </xf>
    <xf numFmtId="0" fontId="3" fillId="12" borderId="1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14" fontId="14" fillId="11" borderId="0" xfId="0" applyNumberFormat="1" applyFont="1" applyFill="1" applyAlignment="1">
      <alignment horizontal="left" vertical="center"/>
    </xf>
    <xf numFmtId="43" fontId="5" fillId="0" borderId="1" xfId="1" applyFont="1" applyBorder="1" applyAlignment="1">
      <alignment horizontal="center" vertical="center" wrapText="1"/>
    </xf>
    <xf numFmtId="43" fontId="6" fillId="0" borderId="1" xfId="1" applyFont="1" applyBorder="1" applyAlignment="1">
      <alignment horizontal="center" vertical="center" wrapText="1"/>
    </xf>
    <xf numFmtId="43" fontId="7" fillId="0" borderId="1" xfId="1" applyFont="1" applyBorder="1" applyAlignment="1">
      <alignment horizontal="center" vertical="center" wrapText="1"/>
    </xf>
    <xf numFmtId="43" fontId="3" fillId="0" borderId="7" xfId="0" applyNumberFormat="1" applyFont="1" applyBorder="1" applyAlignment="1">
      <alignment horizontal="center"/>
    </xf>
    <xf numFmtId="43" fontId="2" fillId="0" borderId="0" xfId="0" applyNumberFormat="1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43" fontId="17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3" fontId="11" fillId="0" borderId="1" xfId="1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43" fontId="3" fillId="9" borderId="4" xfId="1" applyFont="1" applyFill="1" applyBorder="1" applyAlignment="1">
      <alignment horizontal="center" vertical="center"/>
    </xf>
    <xf numFmtId="43" fontId="3" fillId="9" borderId="8" xfId="1" applyFont="1" applyFill="1" applyBorder="1" applyAlignment="1">
      <alignment horizontal="center" vertical="center"/>
    </xf>
    <xf numFmtId="43" fontId="3" fillId="9" borderId="5" xfId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49" fontId="1" fillId="6" borderId="4" xfId="0" applyNumberFormat="1" applyFont="1" applyFill="1" applyBorder="1" applyAlignment="1">
      <alignment horizontal="center" vertical="center"/>
    </xf>
    <xf numFmtId="49" fontId="1" fillId="6" borderId="5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3" fontId="3" fillId="6" borderId="4" xfId="1" applyFont="1" applyFill="1" applyBorder="1" applyAlignment="1">
      <alignment horizontal="center" vertical="center"/>
    </xf>
    <xf numFmtId="43" fontId="3" fillId="6" borderId="5" xfId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4" xfId="0" applyNumberFormat="1" applyFont="1" applyFill="1" applyBorder="1" applyAlignment="1">
      <alignment horizontal="center" vertical="center"/>
    </xf>
    <xf numFmtId="49" fontId="1" fillId="7" borderId="5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3" fontId="3" fillId="7" borderId="4" xfId="1" applyFont="1" applyFill="1" applyBorder="1" applyAlignment="1">
      <alignment horizontal="center" vertical="center"/>
    </xf>
    <xf numFmtId="43" fontId="3" fillId="7" borderId="5" xfId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3" fontId="3" fillId="8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1" fillId="5" borderId="4" xfId="0" applyNumberFormat="1" applyFont="1" applyFill="1" applyBorder="1" applyAlignment="1">
      <alignment horizontal="center" vertical="center"/>
    </xf>
    <xf numFmtId="49" fontId="1" fillId="5" borderId="5" xfId="0" applyNumberFormat="1" applyFont="1" applyFill="1" applyBorder="1" applyAlignment="1">
      <alignment horizontal="center" vertical="center"/>
    </xf>
    <xf numFmtId="43" fontId="3" fillId="5" borderId="4" xfId="1" applyFont="1" applyFill="1" applyBorder="1" applyAlignment="1">
      <alignment horizontal="center" vertical="center"/>
    </xf>
    <xf numFmtId="43" fontId="3" fillId="5" borderId="5" xfId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6600CC"/>
      <color rgb="FFFF6600"/>
      <color rgb="FFFF0066"/>
      <color rgb="FF0000FF"/>
      <color rgb="FFCCFF99"/>
      <color rgb="FFCCCCFF"/>
      <color rgb="FF00FF99"/>
      <color rgb="FFCCFFFF"/>
      <color rgb="FFFFCC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F6CC-213B-4386-8F38-9B7EE24BA8A6}">
  <sheetPr>
    <tabColor rgb="FF92D050"/>
    <pageSetUpPr fitToPage="1"/>
  </sheetPr>
  <dimension ref="A1:N10"/>
  <sheetViews>
    <sheetView workbookViewId="0">
      <selection activeCell="A9" sqref="A1:N9"/>
    </sheetView>
  </sheetViews>
  <sheetFormatPr defaultColWidth="9.109375" defaultRowHeight="23.4"/>
  <cols>
    <col min="1" max="1" width="23.77734375" style="3" customWidth="1"/>
    <col min="2" max="11" width="14.21875" style="6" customWidth="1"/>
    <col min="12" max="12" width="11.77734375" style="3" customWidth="1"/>
    <col min="13" max="13" width="11.6640625" style="48" bestFit="1" customWidth="1"/>
    <col min="14" max="16384" width="9.109375" style="3"/>
  </cols>
  <sheetData>
    <row r="1" spans="1:14" ht="32.4">
      <c r="A1" s="67" t="s">
        <v>101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1:14" ht="26.25" customHeight="1">
      <c r="A2" s="68" t="s">
        <v>96</v>
      </c>
      <c r="B2" s="71" t="s">
        <v>15</v>
      </c>
      <c r="C2" s="72"/>
      <c r="D2" s="72"/>
      <c r="E2" s="72"/>
      <c r="F2" s="72"/>
      <c r="G2" s="72"/>
      <c r="H2" s="72"/>
      <c r="I2" s="72"/>
      <c r="J2" s="72"/>
      <c r="K2" s="73"/>
      <c r="L2" s="68" t="s">
        <v>16</v>
      </c>
      <c r="M2" s="83" t="s">
        <v>95</v>
      </c>
    </row>
    <row r="3" spans="1:14" ht="26.4">
      <c r="A3" s="69"/>
      <c r="B3" s="74" t="s">
        <v>10</v>
      </c>
      <c r="C3" s="75"/>
      <c r="D3" s="76" t="s">
        <v>9</v>
      </c>
      <c r="E3" s="77"/>
      <c r="F3" s="78" t="s">
        <v>11</v>
      </c>
      <c r="G3" s="79"/>
      <c r="H3" s="80" t="s">
        <v>99</v>
      </c>
      <c r="I3" s="81"/>
      <c r="J3" s="82" t="s">
        <v>97</v>
      </c>
      <c r="K3" s="82"/>
      <c r="L3" s="69"/>
      <c r="M3" s="84"/>
    </row>
    <row r="4" spans="1:14" ht="52.8">
      <c r="A4" s="70"/>
      <c r="B4" s="17" t="s">
        <v>387</v>
      </c>
      <c r="C4" s="17" t="s">
        <v>388</v>
      </c>
      <c r="D4" s="18" t="s">
        <v>387</v>
      </c>
      <c r="E4" s="18" t="s">
        <v>388</v>
      </c>
      <c r="F4" s="19" t="s">
        <v>387</v>
      </c>
      <c r="G4" s="19" t="s">
        <v>388</v>
      </c>
      <c r="H4" s="20" t="s">
        <v>387</v>
      </c>
      <c r="I4" s="20" t="s">
        <v>388</v>
      </c>
      <c r="J4" s="55" t="s">
        <v>387</v>
      </c>
      <c r="K4" s="55" t="s">
        <v>388</v>
      </c>
      <c r="L4" s="70"/>
      <c r="M4" s="85"/>
    </row>
    <row r="5" spans="1:14">
      <c r="A5" s="13" t="s">
        <v>12</v>
      </c>
      <c r="B5" s="21">
        <v>12</v>
      </c>
      <c r="C5" s="58">
        <v>1422.97</v>
      </c>
      <c r="D5" s="22">
        <v>3</v>
      </c>
      <c r="E5" s="59">
        <v>315.33</v>
      </c>
      <c r="F5" s="23">
        <v>4</v>
      </c>
      <c r="G5" s="60">
        <v>557.71</v>
      </c>
      <c r="H5" s="63">
        <v>0</v>
      </c>
      <c r="I5" s="64">
        <v>0</v>
      </c>
      <c r="J5" s="65">
        <v>0</v>
      </c>
      <c r="K5" s="66">
        <v>0</v>
      </c>
      <c r="L5" s="16">
        <f>+B5+D5+F5+H5+J5</f>
        <v>19</v>
      </c>
      <c r="M5" s="53">
        <f>+C5+E5+G5+I5+K5</f>
        <v>2296.0100000000002</v>
      </c>
    </row>
    <row r="6" spans="1:14">
      <c r="A6" s="13" t="s">
        <v>13</v>
      </c>
      <c r="B6" s="21">
        <v>4</v>
      </c>
      <c r="C6" s="58">
        <v>309</v>
      </c>
      <c r="D6" s="22">
        <v>1</v>
      </c>
      <c r="E6" s="59">
        <v>100</v>
      </c>
      <c r="F6" s="23">
        <v>0</v>
      </c>
      <c r="G6" s="60">
        <v>0</v>
      </c>
      <c r="H6" s="63">
        <v>0</v>
      </c>
      <c r="I6" s="64">
        <v>0</v>
      </c>
      <c r="J6" s="65">
        <v>0</v>
      </c>
      <c r="K6" s="66">
        <v>0</v>
      </c>
      <c r="L6" s="16">
        <f t="shared" ref="L6:M8" si="0">+B6+D6+F6+H6+J6</f>
        <v>5</v>
      </c>
      <c r="M6" s="53">
        <f t="shared" si="0"/>
        <v>409</v>
      </c>
    </row>
    <row r="7" spans="1:14">
      <c r="A7" s="13" t="s">
        <v>14</v>
      </c>
      <c r="B7" s="21">
        <v>32</v>
      </c>
      <c r="C7" s="58">
        <v>7071</v>
      </c>
      <c r="D7" s="22">
        <v>7</v>
      </c>
      <c r="E7" s="59">
        <v>1435</v>
      </c>
      <c r="F7" s="23">
        <v>0</v>
      </c>
      <c r="G7" s="60">
        <v>0</v>
      </c>
      <c r="H7" s="63">
        <v>4</v>
      </c>
      <c r="I7" s="64">
        <v>586</v>
      </c>
      <c r="J7" s="65">
        <v>0</v>
      </c>
      <c r="K7" s="66">
        <v>0</v>
      </c>
      <c r="L7" s="16">
        <f t="shared" si="0"/>
        <v>43</v>
      </c>
      <c r="M7" s="53">
        <f t="shared" si="0"/>
        <v>9092</v>
      </c>
    </row>
    <row r="8" spans="1:14" ht="70.2">
      <c r="A8" s="14" t="s">
        <v>17</v>
      </c>
      <c r="B8" s="21">
        <v>14</v>
      </c>
      <c r="C8" s="58">
        <v>2984</v>
      </c>
      <c r="D8" s="22">
        <v>9</v>
      </c>
      <c r="E8" s="59">
        <v>3973</v>
      </c>
      <c r="F8" s="23">
        <v>3</v>
      </c>
      <c r="G8" s="60">
        <v>687</v>
      </c>
      <c r="H8" s="63">
        <v>0</v>
      </c>
      <c r="I8" s="64">
        <v>0</v>
      </c>
      <c r="J8" s="65">
        <v>0</v>
      </c>
      <c r="K8" s="66">
        <v>0</v>
      </c>
      <c r="L8" s="16">
        <f t="shared" si="0"/>
        <v>26</v>
      </c>
      <c r="M8" s="53">
        <f t="shared" si="0"/>
        <v>7644</v>
      </c>
    </row>
    <row r="9" spans="1:14" ht="27" thickBot="1">
      <c r="A9" s="40" t="s">
        <v>19</v>
      </c>
      <c r="B9" s="41">
        <f t="shared" ref="B9:J9" si="1">SUM(B5:B8)</f>
        <v>62</v>
      </c>
      <c r="C9" s="61">
        <f>SUM(C5:C8)</f>
        <v>11786.97</v>
      </c>
      <c r="D9" s="41">
        <f t="shared" si="1"/>
        <v>20</v>
      </c>
      <c r="E9" s="61">
        <f>SUM(E5:E8)</f>
        <v>5823.33</v>
      </c>
      <c r="F9" s="41">
        <f t="shared" si="1"/>
        <v>7</v>
      </c>
      <c r="G9" s="61">
        <f>SUM(G5:G8)</f>
        <v>1244.71</v>
      </c>
      <c r="H9" s="41">
        <f t="shared" si="1"/>
        <v>4</v>
      </c>
      <c r="I9" s="61">
        <f>SUM(I5:I8)</f>
        <v>586</v>
      </c>
      <c r="J9" s="41">
        <f t="shared" si="1"/>
        <v>0</v>
      </c>
      <c r="K9" s="61">
        <f>SUM(K5:K8)</f>
        <v>0</v>
      </c>
      <c r="L9" s="41">
        <f>SUM(L5:L8)</f>
        <v>93</v>
      </c>
      <c r="M9" s="54">
        <f>SUM(M5:M8)</f>
        <v>19441.010000000002</v>
      </c>
      <c r="N9" s="2" t="s">
        <v>94</v>
      </c>
    </row>
    <row r="10" spans="1:14" ht="27" thickTop="1">
      <c r="F10" s="3"/>
      <c r="G10" s="3"/>
      <c r="J10" s="40"/>
      <c r="K10" s="40"/>
      <c r="M10" s="62"/>
    </row>
  </sheetData>
  <mergeCells count="10">
    <mergeCell ref="M2:M4"/>
    <mergeCell ref="A1:L1"/>
    <mergeCell ref="A2:A4"/>
    <mergeCell ref="B2:K2"/>
    <mergeCell ref="B3:C3"/>
    <mergeCell ref="D3:E3"/>
    <mergeCell ref="F3:G3"/>
    <mergeCell ref="H3:I3"/>
    <mergeCell ref="J3:K3"/>
    <mergeCell ref="L2:L4"/>
  </mergeCells>
  <pageMargins left="0.25" right="0.25" top="0.75" bottom="0.75" header="0.3" footer="0.3"/>
  <pageSetup paperSize="9" scale="72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D6AF-97B7-49CD-B729-429D78B9E28D}">
  <sheetPr>
    <tabColor rgb="FF92D050"/>
    <pageSetUpPr fitToPage="1"/>
  </sheetPr>
  <dimension ref="A1:D35"/>
  <sheetViews>
    <sheetView tabSelected="1" zoomScaleNormal="100" workbookViewId="0">
      <pane xSplit="2" ySplit="2" topLeftCell="C27" activePane="bottomRight" state="frozen"/>
      <selection pane="topRight" activeCell="C1" sqref="C1"/>
      <selection pane="bottomLeft" activeCell="A3" sqref="A3"/>
      <selection pane="bottomRight" sqref="A1:F34"/>
    </sheetView>
  </sheetViews>
  <sheetFormatPr defaultColWidth="9.109375" defaultRowHeight="23.4"/>
  <cols>
    <col min="1" max="1" width="10.88671875" style="1" customWidth="1"/>
    <col min="2" max="2" width="21.44140625" style="1" bestFit="1" customWidth="1"/>
    <col min="3" max="4" width="14.33203125" style="1" customWidth="1"/>
    <col min="5" max="16384" width="9.109375" style="1"/>
  </cols>
  <sheetData>
    <row r="1" spans="1:4" ht="32.4">
      <c r="A1" s="26" t="s">
        <v>102</v>
      </c>
    </row>
    <row r="2" spans="1:4" ht="26.4">
      <c r="A2" s="32" t="s">
        <v>0</v>
      </c>
      <c r="B2" s="32" t="s">
        <v>62</v>
      </c>
      <c r="C2" s="32" t="s">
        <v>66</v>
      </c>
      <c r="D2" s="32" t="s">
        <v>20</v>
      </c>
    </row>
    <row r="3" spans="1:4">
      <c r="A3" s="35">
        <v>1</v>
      </c>
      <c r="B3" s="36" t="s">
        <v>32</v>
      </c>
      <c r="C3" s="36">
        <f>+รายการสินค้าตีกลับ!B35</f>
        <v>130</v>
      </c>
      <c r="D3" s="33"/>
    </row>
    <row r="4" spans="1:4">
      <c r="A4" s="35">
        <v>2</v>
      </c>
      <c r="B4" s="36" t="s">
        <v>33</v>
      </c>
      <c r="C4" s="36">
        <f>+รายการสินค้าตีกลับ!C35</f>
        <v>18</v>
      </c>
      <c r="D4" s="34"/>
    </row>
    <row r="5" spans="1:4">
      <c r="A5" s="35">
        <v>3</v>
      </c>
      <c r="B5" s="36" t="s">
        <v>34</v>
      </c>
      <c r="C5" s="36">
        <f>+รายการสินค้าตีกลับ!D35</f>
        <v>2</v>
      </c>
      <c r="D5" s="34"/>
    </row>
    <row r="6" spans="1:4">
      <c r="A6" s="35">
        <v>4</v>
      </c>
      <c r="B6" s="36" t="s">
        <v>35</v>
      </c>
      <c r="C6" s="36">
        <f>+รายการสินค้าตีกลับ!E35</f>
        <v>2</v>
      </c>
      <c r="D6" s="34"/>
    </row>
    <row r="7" spans="1:4">
      <c r="A7" s="35">
        <v>5</v>
      </c>
      <c r="B7" s="36" t="s">
        <v>36</v>
      </c>
      <c r="C7" s="36">
        <f>+รายการสินค้าตีกลับ!F35</f>
        <v>0</v>
      </c>
      <c r="D7" s="36"/>
    </row>
    <row r="8" spans="1:4">
      <c r="A8" s="35">
        <v>6</v>
      </c>
      <c r="B8" s="36" t="s">
        <v>37</v>
      </c>
      <c r="C8" s="36">
        <f>+รายการสินค้าตีกลับ!G35</f>
        <v>41</v>
      </c>
      <c r="D8" s="36"/>
    </row>
    <row r="9" spans="1:4">
      <c r="A9" s="35">
        <v>7</v>
      </c>
      <c r="B9" s="36" t="s">
        <v>38</v>
      </c>
      <c r="C9" s="36">
        <f>+รายการสินค้าตีกลับ!H35</f>
        <v>9</v>
      </c>
      <c r="D9" s="36"/>
    </row>
    <row r="10" spans="1:4">
      <c r="A10" s="35">
        <v>8</v>
      </c>
      <c r="B10" s="36" t="s">
        <v>39</v>
      </c>
      <c r="C10" s="36">
        <f>+รายการสินค้าตีกลับ!I35</f>
        <v>253</v>
      </c>
      <c r="D10" s="36"/>
    </row>
    <row r="11" spans="1:4">
      <c r="A11" s="35">
        <v>9</v>
      </c>
      <c r="B11" s="36" t="s">
        <v>40</v>
      </c>
      <c r="C11" s="36">
        <f>+รายการสินค้าตีกลับ!J35</f>
        <v>0</v>
      </c>
      <c r="D11" s="36"/>
    </row>
    <row r="12" spans="1:4">
      <c r="A12" s="35">
        <v>10</v>
      </c>
      <c r="B12" s="36" t="s">
        <v>41</v>
      </c>
      <c r="C12" s="36">
        <f>+รายการสินค้าตีกลับ!K35</f>
        <v>0</v>
      </c>
      <c r="D12" s="36"/>
    </row>
    <row r="13" spans="1:4">
      <c r="A13" s="35">
        <v>11</v>
      </c>
      <c r="B13" s="36" t="s">
        <v>42</v>
      </c>
      <c r="C13" s="36">
        <f>+รายการสินค้าตีกลับ!L35</f>
        <v>0</v>
      </c>
      <c r="D13" s="36"/>
    </row>
    <row r="14" spans="1:4">
      <c r="A14" s="35">
        <v>12</v>
      </c>
      <c r="B14" s="36" t="s">
        <v>67</v>
      </c>
      <c r="C14" s="36">
        <f>+รายการสินค้าตีกลับ!M35</f>
        <v>0</v>
      </c>
      <c r="D14" s="36"/>
    </row>
    <row r="15" spans="1:4">
      <c r="A15" s="35">
        <v>13</v>
      </c>
      <c r="B15" s="36" t="s">
        <v>43</v>
      </c>
      <c r="C15" s="36">
        <f>+รายการสินค้าตีกลับ!N35</f>
        <v>4</v>
      </c>
      <c r="D15" s="36"/>
    </row>
    <row r="16" spans="1:4">
      <c r="A16" s="35">
        <v>14</v>
      </c>
      <c r="B16" s="36" t="s">
        <v>44</v>
      </c>
      <c r="C16" s="36">
        <f>+รายการสินค้าตีกลับ!O35</f>
        <v>0</v>
      </c>
      <c r="D16" s="36"/>
    </row>
    <row r="17" spans="1:4">
      <c r="A17" s="35">
        <v>15</v>
      </c>
      <c r="B17" s="36" t="s">
        <v>45</v>
      </c>
      <c r="C17" s="36">
        <f>+รายการสินค้าตีกลับ!P35</f>
        <v>0</v>
      </c>
      <c r="D17" s="36"/>
    </row>
    <row r="18" spans="1:4">
      <c r="A18" s="35">
        <v>16</v>
      </c>
      <c r="B18" s="36" t="s">
        <v>46</v>
      </c>
      <c r="C18" s="36">
        <f>+รายการสินค้าตีกลับ!Q35</f>
        <v>0</v>
      </c>
      <c r="D18" s="36"/>
    </row>
    <row r="19" spans="1:4">
      <c r="A19" s="35">
        <v>17</v>
      </c>
      <c r="B19" s="36" t="s">
        <v>47</v>
      </c>
      <c r="C19" s="36">
        <f>+รายการสินค้าตีกลับ!R35</f>
        <v>0</v>
      </c>
      <c r="D19" s="36"/>
    </row>
    <row r="20" spans="1:4">
      <c r="A20" s="35">
        <v>18</v>
      </c>
      <c r="B20" s="36" t="s">
        <v>48</v>
      </c>
      <c r="C20" s="36">
        <f>+รายการสินค้าตีกลับ!S35</f>
        <v>0</v>
      </c>
      <c r="D20" s="36"/>
    </row>
    <row r="21" spans="1:4">
      <c r="A21" s="35">
        <v>19</v>
      </c>
      <c r="B21" s="36" t="s">
        <v>49</v>
      </c>
      <c r="C21" s="36">
        <f>+รายการสินค้าตีกลับ!T35</f>
        <v>0</v>
      </c>
      <c r="D21" s="36"/>
    </row>
    <row r="22" spans="1:4">
      <c r="A22" s="35">
        <v>20</v>
      </c>
      <c r="B22" s="36" t="s">
        <v>50</v>
      </c>
      <c r="C22" s="36">
        <f>+รายการสินค้าตีกลับ!U35</f>
        <v>0</v>
      </c>
      <c r="D22" s="36"/>
    </row>
    <row r="23" spans="1:4">
      <c r="A23" s="35">
        <v>21</v>
      </c>
      <c r="B23" s="36" t="s">
        <v>51</v>
      </c>
      <c r="C23" s="36">
        <f>+รายการสินค้าตีกลับ!V35</f>
        <v>0</v>
      </c>
      <c r="D23" s="36"/>
    </row>
    <row r="24" spans="1:4">
      <c r="A24" s="35">
        <v>22</v>
      </c>
      <c r="B24" s="36" t="s">
        <v>52</v>
      </c>
      <c r="C24" s="36">
        <f>+รายการสินค้าตีกลับ!W35</f>
        <v>0</v>
      </c>
      <c r="D24" s="36"/>
    </row>
    <row r="25" spans="1:4">
      <c r="A25" s="35">
        <v>23</v>
      </c>
      <c r="B25" s="36" t="s">
        <v>53</v>
      </c>
      <c r="C25" s="36">
        <f>+รายการสินค้าตีกลับ!Y35</f>
        <v>29</v>
      </c>
      <c r="D25" s="36"/>
    </row>
    <row r="26" spans="1:4">
      <c r="A26" s="35">
        <v>24</v>
      </c>
      <c r="B26" s="36" t="s">
        <v>54</v>
      </c>
      <c r="C26" s="36">
        <f>+รายการสินค้าตีกลับ!Z35</f>
        <v>0</v>
      </c>
      <c r="D26" s="36"/>
    </row>
    <row r="27" spans="1:4">
      <c r="A27" s="35">
        <v>25</v>
      </c>
      <c r="B27" s="36" t="s">
        <v>55</v>
      </c>
      <c r="C27" s="36">
        <f>+รายการสินค้าตีกลับ!AA35</f>
        <v>0</v>
      </c>
      <c r="D27" s="36"/>
    </row>
    <row r="28" spans="1:4">
      <c r="A28" s="35">
        <v>26</v>
      </c>
      <c r="B28" s="36" t="s">
        <v>56</v>
      </c>
      <c r="C28" s="36">
        <f>+รายการสินค้าตีกลับ!AB35</f>
        <v>0</v>
      </c>
      <c r="D28" s="36"/>
    </row>
    <row r="29" spans="1:4">
      <c r="A29" s="35">
        <v>27</v>
      </c>
      <c r="B29" s="36" t="s">
        <v>57</v>
      </c>
      <c r="C29" s="36">
        <f>+รายการสินค้าตีกลับ!AC35</f>
        <v>0</v>
      </c>
      <c r="D29" s="36"/>
    </row>
    <row r="30" spans="1:4">
      <c r="A30" s="35">
        <v>28</v>
      </c>
      <c r="B30" s="36" t="s">
        <v>58</v>
      </c>
      <c r="C30" s="36">
        <f>+รายการสินค้าตีกลับ!AD35</f>
        <v>0</v>
      </c>
      <c r="D30" s="36"/>
    </row>
    <row r="31" spans="1:4">
      <c r="A31" s="35">
        <v>29</v>
      </c>
      <c r="B31" s="36" t="s">
        <v>110</v>
      </c>
      <c r="C31" s="36">
        <f>+รายการสินค้าตีกลับ!AE35</f>
        <v>3</v>
      </c>
      <c r="D31" s="36"/>
    </row>
    <row r="32" spans="1:4">
      <c r="A32" s="35">
        <v>30</v>
      </c>
      <c r="B32" s="36" t="s">
        <v>59</v>
      </c>
      <c r="C32" s="36">
        <f>+รายการสินค้าตีกลับ!AF35</f>
        <v>0</v>
      </c>
      <c r="D32" s="36"/>
    </row>
    <row r="33" spans="1:4">
      <c r="A33" s="35">
        <v>31</v>
      </c>
      <c r="B33" s="36" t="s">
        <v>60</v>
      </c>
      <c r="C33" s="36">
        <f>+รายการสินค้าตีกลับ!AG35</f>
        <v>138</v>
      </c>
      <c r="D33" s="36"/>
    </row>
    <row r="34" spans="1:4" ht="29.4" thickBot="1">
      <c r="B34" s="37" t="s">
        <v>61</v>
      </c>
      <c r="C34" s="38">
        <f>SUM(C3:C33)</f>
        <v>629</v>
      </c>
      <c r="D34" s="39" t="s">
        <v>63</v>
      </c>
    </row>
    <row r="35" spans="1:4" ht="24" thickTop="1"/>
  </sheetData>
  <pageMargins left="0.25" right="0.25" top="0.75" bottom="0.75" header="0.3" footer="0.3"/>
  <pageSetup paperSize="9" scale="90" fitToWidth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A882-3BE8-43A3-822B-826BDED3B85D}">
  <sheetPr filterMode="1">
    <tabColor rgb="FF00B0F0"/>
  </sheetPr>
  <dimension ref="A1:P23"/>
  <sheetViews>
    <sheetView zoomScale="7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22" sqref="I4:I22"/>
    </sheetView>
  </sheetViews>
  <sheetFormatPr defaultColWidth="9.109375" defaultRowHeight="23.4"/>
  <cols>
    <col min="1" max="1" width="13.44140625" style="3" customWidth="1"/>
    <col min="2" max="2" width="10.6640625" style="3" bestFit="1" customWidth="1"/>
    <col min="3" max="3" width="18.109375" style="4" bestFit="1" customWidth="1"/>
    <col min="4" max="4" width="33.44140625" style="4" bestFit="1" customWidth="1"/>
    <col min="5" max="5" width="25.5546875" style="4" customWidth="1"/>
    <col min="6" max="6" width="38.33203125" style="4" customWidth="1"/>
    <col min="7" max="7" width="14.33203125" style="3" bestFit="1" customWidth="1"/>
    <col min="8" max="8" width="16.5546875" style="3" bestFit="1" customWidth="1"/>
    <col min="9" max="9" width="14.5546875" style="48" customWidth="1"/>
    <col min="10" max="10" width="24.88671875" style="3" bestFit="1" customWidth="1"/>
    <col min="11" max="11" width="45.6640625" style="3" bestFit="1" customWidth="1"/>
    <col min="12" max="12" width="9" style="3" customWidth="1"/>
    <col min="13" max="13" width="9.109375" style="3"/>
    <col min="14" max="14" width="24.88671875" style="3" bestFit="1" customWidth="1"/>
    <col min="15" max="15" width="38.33203125" style="3" bestFit="1" customWidth="1"/>
    <col min="16" max="16" width="26.44140625" style="3" customWidth="1"/>
    <col min="17" max="16384" width="9.109375" style="3"/>
  </cols>
  <sheetData>
    <row r="1" spans="1:16" ht="32.4">
      <c r="A1" s="7" t="s">
        <v>103</v>
      </c>
    </row>
    <row r="2" spans="1:16" s="2" customFormat="1">
      <c r="A2" s="93" t="s">
        <v>0</v>
      </c>
      <c r="B2" s="93" t="s">
        <v>4</v>
      </c>
      <c r="C2" s="94" t="s">
        <v>5</v>
      </c>
      <c r="D2" s="94" t="s">
        <v>2</v>
      </c>
      <c r="E2" s="88" t="s">
        <v>23</v>
      </c>
      <c r="F2" s="88" t="s">
        <v>21</v>
      </c>
      <c r="G2" s="94" t="s">
        <v>1</v>
      </c>
      <c r="H2" s="93"/>
      <c r="I2" s="91" t="s">
        <v>93</v>
      </c>
      <c r="J2" s="93" t="s">
        <v>3</v>
      </c>
      <c r="K2" s="90" t="s">
        <v>20</v>
      </c>
      <c r="N2" s="86" t="s">
        <v>8</v>
      </c>
      <c r="O2" s="86" t="s">
        <v>71</v>
      </c>
      <c r="P2" s="86" t="s">
        <v>82</v>
      </c>
    </row>
    <row r="3" spans="1:16" s="2" customFormat="1">
      <c r="A3" s="93"/>
      <c r="B3" s="93"/>
      <c r="C3" s="94"/>
      <c r="D3" s="94"/>
      <c r="E3" s="89"/>
      <c r="F3" s="89"/>
      <c r="G3" s="25" t="s">
        <v>6</v>
      </c>
      <c r="H3" s="10"/>
      <c r="I3" s="92"/>
      <c r="J3" s="93"/>
      <c r="K3" s="90"/>
      <c r="N3" s="87"/>
      <c r="O3" s="87"/>
      <c r="P3" s="87"/>
    </row>
    <row r="4" spans="1:16">
      <c r="A4" s="3">
        <v>1</v>
      </c>
      <c r="B4" s="8">
        <v>243773</v>
      </c>
      <c r="C4" s="4" t="s">
        <v>113</v>
      </c>
      <c r="D4" s="4" t="s">
        <v>208</v>
      </c>
      <c r="E4" s="5" t="s">
        <v>24</v>
      </c>
      <c r="F4" s="5" t="s">
        <v>72</v>
      </c>
      <c r="G4" s="5" t="s">
        <v>173</v>
      </c>
      <c r="H4" s="4" t="s">
        <v>174</v>
      </c>
      <c r="I4" s="49">
        <v>78.3</v>
      </c>
      <c r="J4" s="3" t="s">
        <v>10</v>
      </c>
      <c r="N4" s="9" t="s">
        <v>10</v>
      </c>
      <c r="O4" s="9" t="s">
        <v>72</v>
      </c>
      <c r="P4" s="45" t="s">
        <v>24</v>
      </c>
    </row>
    <row r="5" spans="1:16" hidden="1">
      <c r="A5" s="3">
        <v>2</v>
      </c>
      <c r="B5" s="8">
        <v>243773</v>
      </c>
      <c r="C5" s="4" t="s">
        <v>114</v>
      </c>
      <c r="D5" s="5" t="s">
        <v>219</v>
      </c>
      <c r="E5" s="5" t="s">
        <v>24</v>
      </c>
      <c r="F5" s="5" t="s">
        <v>72</v>
      </c>
      <c r="G5" s="5" t="s">
        <v>123</v>
      </c>
      <c r="H5" s="5"/>
      <c r="I5" s="49">
        <v>89.7</v>
      </c>
      <c r="J5" s="3" t="s">
        <v>11</v>
      </c>
      <c r="N5" s="9" t="s">
        <v>9</v>
      </c>
      <c r="O5" s="9" t="s">
        <v>73</v>
      </c>
      <c r="P5" s="46" t="s">
        <v>22</v>
      </c>
    </row>
    <row r="6" spans="1:16" hidden="1">
      <c r="A6" s="3">
        <v>3</v>
      </c>
      <c r="B6" s="8">
        <v>243773</v>
      </c>
      <c r="C6" s="4" t="s">
        <v>115</v>
      </c>
      <c r="D6" s="4" t="s">
        <v>209</v>
      </c>
      <c r="E6" s="5" t="s">
        <v>24</v>
      </c>
      <c r="F6" s="5" t="s">
        <v>76</v>
      </c>
      <c r="G6" s="5" t="s">
        <v>175</v>
      </c>
      <c r="H6" s="49" t="s">
        <v>176</v>
      </c>
      <c r="I6" s="49">
        <v>84.07</v>
      </c>
      <c r="J6" s="3" t="s">
        <v>9</v>
      </c>
      <c r="N6" s="9" t="s">
        <v>11</v>
      </c>
      <c r="O6" s="9" t="s">
        <v>74</v>
      </c>
      <c r="P6" s="45" t="s">
        <v>30</v>
      </c>
    </row>
    <row r="7" spans="1:16">
      <c r="A7" s="3">
        <v>4</v>
      </c>
      <c r="B7" s="8">
        <v>243773</v>
      </c>
      <c r="C7" s="4" t="s">
        <v>116</v>
      </c>
      <c r="D7" s="4" t="s">
        <v>210</v>
      </c>
      <c r="E7" s="5" t="s">
        <v>24</v>
      </c>
      <c r="F7" s="5" t="s">
        <v>72</v>
      </c>
      <c r="G7" s="4" t="s">
        <v>177</v>
      </c>
      <c r="H7" s="4" t="s">
        <v>178</v>
      </c>
      <c r="I7" s="49">
        <v>234.89</v>
      </c>
      <c r="J7" s="3" t="s">
        <v>10</v>
      </c>
      <c r="N7" s="9" t="s">
        <v>18</v>
      </c>
      <c r="O7" s="9" t="s">
        <v>75</v>
      </c>
      <c r="P7" s="9"/>
    </row>
    <row r="8" spans="1:16">
      <c r="A8" s="3">
        <v>5</v>
      </c>
      <c r="B8" s="8">
        <v>243774</v>
      </c>
      <c r="C8" s="4" t="s">
        <v>117</v>
      </c>
      <c r="D8" s="4" t="s">
        <v>211</v>
      </c>
      <c r="E8" s="5" t="s">
        <v>24</v>
      </c>
      <c r="F8" s="5" t="s">
        <v>72</v>
      </c>
      <c r="G8" s="4" t="s">
        <v>179</v>
      </c>
      <c r="H8" s="4" t="s">
        <v>180</v>
      </c>
      <c r="I8" s="49">
        <v>16.510000000000002</v>
      </c>
      <c r="J8" s="3" t="s">
        <v>10</v>
      </c>
      <c r="N8" s="9"/>
      <c r="O8" s="9" t="s">
        <v>76</v>
      </c>
      <c r="P8" s="9"/>
    </row>
    <row r="9" spans="1:16" hidden="1">
      <c r="A9" s="3">
        <v>6</v>
      </c>
      <c r="B9" s="8">
        <v>243774</v>
      </c>
      <c r="C9" s="4" t="s">
        <v>118</v>
      </c>
      <c r="D9" s="4" t="s">
        <v>212</v>
      </c>
      <c r="E9" s="5" t="s">
        <v>24</v>
      </c>
      <c r="F9" s="5" t="s">
        <v>72</v>
      </c>
      <c r="G9" s="4" t="s">
        <v>179</v>
      </c>
      <c r="H9" s="4" t="s">
        <v>180</v>
      </c>
      <c r="I9" s="49">
        <v>81.86</v>
      </c>
      <c r="J9" s="3" t="s">
        <v>11</v>
      </c>
      <c r="N9" s="9"/>
      <c r="O9" s="9" t="s">
        <v>77</v>
      </c>
      <c r="P9" s="9"/>
    </row>
    <row r="10" spans="1:16">
      <c r="A10" s="3">
        <v>7</v>
      </c>
      <c r="B10" s="8">
        <v>243774</v>
      </c>
      <c r="C10" s="4" t="s">
        <v>119</v>
      </c>
      <c r="D10" s="4" t="s">
        <v>213</v>
      </c>
      <c r="E10" s="5" t="s">
        <v>24</v>
      </c>
      <c r="F10" s="5" t="s">
        <v>76</v>
      </c>
      <c r="G10" s="4" t="s">
        <v>181</v>
      </c>
      <c r="H10" s="3" t="s">
        <v>182</v>
      </c>
      <c r="I10" s="49">
        <v>129.56</v>
      </c>
      <c r="J10" s="3" t="s">
        <v>10</v>
      </c>
      <c r="N10" s="9"/>
      <c r="O10" s="9" t="s">
        <v>79</v>
      </c>
      <c r="P10" s="9"/>
    </row>
    <row r="11" spans="1:16" hidden="1">
      <c r="A11" s="3">
        <v>8</v>
      </c>
      <c r="B11" s="8">
        <v>243774</v>
      </c>
      <c r="C11" s="4" t="s">
        <v>120</v>
      </c>
      <c r="D11" s="5" t="s">
        <v>220</v>
      </c>
      <c r="E11" s="5" t="s">
        <v>24</v>
      </c>
      <c r="F11" s="5" t="s">
        <v>72</v>
      </c>
      <c r="G11" s="4" t="s">
        <v>124</v>
      </c>
      <c r="H11" s="4"/>
      <c r="I11" s="49">
        <v>241.34</v>
      </c>
      <c r="J11" s="3" t="s">
        <v>11</v>
      </c>
      <c r="N11" s="9"/>
      <c r="O11" s="9" t="s">
        <v>78</v>
      </c>
      <c r="P11" s="9"/>
    </row>
    <row r="12" spans="1:16" hidden="1">
      <c r="A12" s="3">
        <v>9</v>
      </c>
      <c r="B12" s="8">
        <v>243775</v>
      </c>
      <c r="C12" s="4" t="s">
        <v>121</v>
      </c>
      <c r="D12" s="5" t="s">
        <v>218</v>
      </c>
      <c r="E12" s="5" t="s">
        <v>24</v>
      </c>
      <c r="F12" s="5" t="s">
        <v>72</v>
      </c>
      <c r="G12" s="4" t="s">
        <v>183</v>
      </c>
      <c r="H12" s="3" t="s">
        <v>184</v>
      </c>
      <c r="I12" s="49">
        <v>144.81</v>
      </c>
      <c r="J12" s="3" t="s">
        <v>11</v>
      </c>
      <c r="N12" s="9"/>
      <c r="O12" s="9" t="s">
        <v>80</v>
      </c>
      <c r="P12" s="9"/>
    </row>
    <row r="13" spans="1:16">
      <c r="A13" s="3">
        <v>10</v>
      </c>
      <c r="B13" s="8">
        <v>243775</v>
      </c>
      <c r="C13" s="4" t="s">
        <v>122</v>
      </c>
      <c r="D13" s="4" t="s">
        <v>214</v>
      </c>
      <c r="E13" s="5" t="s">
        <v>24</v>
      </c>
      <c r="F13" s="5" t="s">
        <v>72</v>
      </c>
      <c r="G13" s="4" t="s">
        <v>185</v>
      </c>
      <c r="H13" s="3" t="s">
        <v>186</v>
      </c>
      <c r="I13" s="48">
        <v>110.8</v>
      </c>
      <c r="J13" s="3" t="s">
        <v>10</v>
      </c>
      <c r="N13" s="9"/>
      <c r="O13" s="9" t="s">
        <v>81</v>
      </c>
      <c r="P13" s="9"/>
    </row>
    <row r="14" spans="1:16">
      <c r="A14" s="3">
        <v>11</v>
      </c>
      <c r="B14" s="8">
        <v>243782</v>
      </c>
      <c r="C14" s="4" t="s">
        <v>130</v>
      </c>
      <c r="D14" s="4" t="s">
        <v>215</v>
      </c>
      <c r="E14" s="5" t="s">
        <v>24</v>
      </c>
      <c r="F14" s="5" t="s">
        <v>72</v>
      </c>
      <c r="G14" s="3" t="s">
        <v>187</v>
      </c>
      <c r="H14" s="3" t="s">
        <v>188</v>
      </c>
      <c r="I14" s="48">
        <v>133.6</v>
      </c>
      <c r="J14" s="3" t="s">
        <v>10</v>
      </c>
      <c r="K14" s="4"/>
    </row>
    <row r="15" spans="1:16">
      <c r="A15" s="3">
        <v>12</v>
      </c>
      <c r="B15" s="8">
        <v>243786</v>
      </c>
      <c r="C15" s="4" t="s">
        <v>189</v>
      </c>
      <c r="D15" s="4" t="s">
        <v>216</v>
      </c>
      <c r="E15" s="5" t="s">
        <v>24</v>
      </c>
      <c r="F15" s="5" t="s">
        <v>76</v>
      </c>
      <c r="G15" s="3" t="s">
        <v>192</v>
      </c>
      <c r="H15" s="4" t="s">
        <v>193</v>
      </c>
      <c r="I15" s="48">
        <v>44</v>
      </c>
      <c r="J15" s="3" t="s">
        <v>10</v>
      </c>
    </row>
    <row r="16" spans="1:16" hidden="1">
      <c r="A16" s="3">
        <v>13</v>
      </c>
      <c r="B16" s="8">
        <v>243786</v>
      </c>
      <c r="C16" s="4" t="s">
        <v>190</v>
      </c>
      <c r="D16" s="4" t="s">
        <v>217</v>
      </c>
      <c r="E16" s="5" t="s">
        <v>24</v>
      </c>
      <c r="F16" s="5" t="s">
        <v>77</v>
      </c>
      <c r="G16" s="4" t="s">
        <v>191</v>
      </c>
      <c r="H16" s="4"/>
      <c r="I16" s="48">
        <v>164.29</v>
      </c>
      <c r="J16" s="3" t="s">
        <v>9</v>
      </c>
    </row>
    <row r="17" spans="1:10" hidden="1">
      <c r="A17" s="3">
        <v>14</v>
      </c>
      <c r="B17" s="8">
        <v>243786</v>
      </c>
      <c r="C17" s="4" t="s">
        <v>221</v>
      </c>
      <c r="D17" s="5" t="s">
        <v>222</v>
      </c>
      <c r="E17" s="5" t="s">
        <v>24</v>
      </c>
      <c r="F17" s="5" t="s">
        <v>72</v>
      </c>
      <c r="G17" s="3" t="s">
        <v>194</v>
      </c>
      <c r="H17" s="4" t="s">
        <v>195</v>
      </c>
      <c r="I17" s="48">
        <v>66.97</v>
      </c>
      <c r="J17" s="3" t="s">
        <v>9</v>
      </c>
    </row>
    <row r="18" spans="1:10">
      <c r="A18" s="3">
        <v>15</v>
      </c>
      <c r="B18" s="8">
        <v>243789</v>
      </c>
      <c r="C18" s="4" t="s">
        <v>270</v>
      </c>
      <c r="D18" s="4" t="s">
        <v>365</v>
      </c>
      <c r="E18" s="5" t="s">
        <v>24</v>
      </c>
      <c r="F18" s="5" t="s">
        <v>72</v>
      </c>
      <c r="G18" s="3" t="s">
        <v>272</v>
      </c>
      <c r="H18" s="4" t="s">
        <v>271</v>
      </c>
      <c r="I18" s="48">
        <v>48.37</v>
      </c>
      <c r="J18" s="3" t="s">
        <v>10</v>
      </c>
    </row>
    <row r="19" spans="1:10">
      <c r="A19" s="3">
        <v>16</v>
      </c>
      <c r="B19" s="8">
        <v>243793</v>
      </c>
      <c r="C19" s="4" t="s">
        <v>293</v>
      </c>
      <c r="D19" s="4" t="s">
        <v>366</v>
      </c>
      <c r="E19" s="5" t="s">
        <v>24</v>
      </c>
      <c r="F19" s="5" t="s">
        <v>72</v>
      </c>
      <c r="G19" s="3" t="s">
        <v>294</v>
      </c>
      <c r="H19" s="3" t="s">
        <v>295</v>
      </c>
      <c r="I19" s="48">
        <v>113.56</v>
      </c>
      <c r="J19" s="3" t="s">
        <v>10</v>
      </c>
    </row>
    <row r="20" spans="1:10">
      <c r="A20" s="3">
        <v>17</v>
      </c>
      <c r="B20" s="8">
        <v>243794</v>
      </c>
      <c r="C20" s="4" t="s">
        <v>320</v>
      </c>
      <c r="D20" s="4" t="s">
        <v>367</v>
      </c>
      <c r="E20" s="5" t="s">
        <v>24</v>
      </c>
      <c r="F20" s="5" t="s">
        <v>77</v>
      </c>
      <c r="G20" s="3" t="s">
        <v>322</v>
      </c>
      <c r="H20" s="3" t="s">
        <v>323</v>
      </c>
      <c r="I20" s="48">
        <v>105.28</v>
      </c>
      <c r="J20" s="3" t="s">
        <v>10</v>
      </c>
    </row>
    <row r="21" spans="1:10">
      <c r="A21" s="3">
        <v>18</v>
      </c>
      <c r="B21" s="8">
        <v>243794</v>
      </c>
      <c r="C21" s="4" t="s">
        <v>321</v>
      </c>
      <c r="D21" s="4" t="s">
        <v>368</v>
      </c>
      <c r="E21" s="5" t="s">
        <v>24</v>
      </c>
      <c r="F21" s="5" t="s">
        <v>77</v>
      </c>
      <c r="G21" s="3" t="s">
        <v>324</v>
      </c>
      <c r="H21" s="3" t="s">
        <v>325</v>
      </c>
      <c r="I21" s="48">
        <v>264.5</v>
      </c>
      <c r="J21" s="3" t="s">
        <v>10</v>
      </c>
    </row>
    <row r="22" spans="1:10">
      <c r="A22" s="3">
        <v>19</v>
      </c>
      <c r="B22" s="8">
        <v>243799</v>
      </c>
      <c r="C22" s="4" t="s">
        <v>370</v>
      </c>
      <c r="D22" s="4" t="s">
        <v>371</v>
      </c>
      <c r="E22" s="5" t="s">
        <v>24</v>
      </c>
      <c r="F22" s="5" t="s">
        <v>72</v>
      </c>
      <c r="G22" s="3" t="s">
        <v>372</v>
      </c>
      <c r="H22" s="3" t="s">
        <v>373</v>
      </c>
      <c r="I22" s="48">
        <v>143.6</v>
      </c>
      <c r="J22" s="3" t="s">
        <v>10</v>
      </c>
    </row>
    <row r="23" spans="1:10" ht="29.4" hidden="1" thickBot="1">
      <c r="H23" s="51" t="s">
        <v>16</v>
      </c>
      <c r="I23" s="50">
        <f>SUM(I4:I22)</f>
        <v>2296.0099999999998</v>
      </c>
      <c r="J23" s="52" t="s">
        <v>94</v>
      </c>
    </row>
  </sheetData>
  <autoFilter ref="A3:AN23" xr:uid="{1679A882-3BE8-43A3-822B-826BDED3B85D}">
    <filterColumn colId="9">
      <filters>
        <filter val="ปฏิเสธ , ยกเลิก"/>
      </filters>
    </filterColumn>
  </autoFilter>
  <mergeCells count="13">
    <mergeCell ref="A2:A3"/>
    <mergeCell ref="C2:C3"/>
    <mergeCell ref="D2:D3"/>
    <mergeCell ref="J2:J3"/>
    <mergeCell ref="B2:B3"/>
    <mergeCell ref="G2:H2"/>
    <mergeCell ref="O2:O3"/>
    <mergeCell ref="P2:P3"/>
    <mergeCell ref="N2:N3"/>
    <mergeCell ref="E2:E3"/>
    <mergeCell ref="F2:F3"/>
    <mergeCell ref="K2:K3"/>
    <mergeCell ref="I2:I3"/>
  </mergeCells>
  <dataValidations count="4">
    <dataValidation type="list" allowBlank="1" showInputMessage="1" showErrorMessage="1" sqref="J1:J3 J23:J1048576" xr:uid="{150B485C-0F1F-4EAC-A79B-B7098D1663FC}">
      <formula1>$N$4:$N$14</formula1>
    </dataValidation>
    <dataValidation type="list" allowBlank="1" showInputMessage="1" showErrorMessage="1" sqref="J4:J22" xr:uid="{046EE0EB-4651-4033-81CC-FF38BF8979A2}">
      <formula1>$N$4:$N$13</formula1>
    </dataValidation>
    <dataValidation type="list" allowBlank="1" showInputMessage="1" showErrorMessage="1" sqref="F1:F1048576" xr:uid="{4C3755F8-DCB1-4274-90F6-F88BDA74BCE2}">
      <formula1>$O$4:$O$13</formula1>
    </dataValidation>
    <dataValidation type="list" allowBlank="1" showInputMessage="1" showErrorMessage="1" sqref="E1:E1048576" xr:uid="{481C2C86-495E-4F80-AFBC-5A41CF787B0E}">
      <formula1>$P$4:$P$13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E75CA-9FA4-4B32-AC0E-075BEAD46C3C}">
  <sheetPr>
    <tabColor rgb="FFFF6600"/>
  </sheetPr>
  <dimension ref="A1:V23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4" sqref="I4"/>
    </sheetView>
  </sheetViews>
  <sheetFormatPr defaultColWidth="9.109375" defaultRowHeight="23.4"/>
  <cols>
    <col min="1" max="1" width="11" style="3" customWidth="1"/>
    <col min="2" max="2" width="25.109375" style="3" bestFit="1" customWidth="1"/>
    <col min="3" max="3" width="21.88671875" style="4" customWidth="1"/>
    <col min="4" max="4" width="17.6640625" style="4" bestFit="1" customWidth="1"/>
    <col min="5" max="5" width="20.33203125" style="4" customWidth="1"/>
    <col min="6" max="6" width="7" style="4" bestFit="1" customWidth="1"/>
    <col min="7" max="7" width="7.88671875" style="3" bestFit="1" customWidth="1"/>
    <col min="8" max="8" width="12.88671875" style="3" bestFit="1" customWidth="1"/>
    <col min="9" max="9" width="12.88671875" style="3" customWidth="1"/>
    <col min="10" max="10" width="23.109375" style="3" bestFit="1" customWidth="1"/>
    <col min="11" max="11" width="9" style="3" bestFit="1" customWidth="1"/>
    <col min="12" max="12" width="9" style="3" customWidth="1"/>
    <col min="13" max="13" width="23.33203125" style="3" bestFit="1" customWidth="1"/>
    <col min="14" max="14" width="7" style="3" bestFit="1" customWidth="1"/>
    <col min="15" max="15" width="19.109375" style="3" bestFit="1" customWidth="1"/>
    <col min="16" max="16384" width="9.109375" style="3"/>
  </cols>
  <sheetData>
    <row r="1" spans="1:22" ht="32.4">
      <c r="A1" s="7" t="s">
        <v>104</v>
      </c>
    </row>
    <row r="2" spans="1:22" s="2" customFormat="1" ht="23.25" customHeight="1">
      <c r="A2" s="97" t="s">
        <v>0</v>
      </c>
      <c r="B2" s="97" t="s">
        <v>4</v>
      </c>
      <c r="C2" s="100" t="s">
        <v>5</v>
      </c>
      <c r="D2" s="100" t="s">
        <v>2</v>
      </c>
      <c r="E2" s="95" t="s">
        <v>23</v>
      </c>
      <c r="F2" s="95" t="s">
        <v>21</v>
      </c>
      <c r="G2" s="97" t="s">
        <v>1</v>
      </c>
      <c r="H2" s="97"/>
      <c r="I2" s="98" t="s">
        <v>93</v>
      </c>
      <c r="J2" s="97" t="s">
        <v>3</v>
      </c>
      <c r="K2" s="90" t="s">
        <v>20</v>
      </c>
      <c r="M2" s="86" t="s">
        <v>8</v>
      </c>
      <c r="N2" s="86" t="s">
        <v>71</v>
      </c>
      <c r="O2" s="86" t="s">
        <v>82</v>
      </c>
    </row>
    <row r="3" spans="1:22" s="2" customFormat="1" ht="23.25" customHeight="1">
      <c r="A3" s="97"/>
      <c r="B3" s="97"/>
      <c r="C3" s="100"/>
      <c r="D3" s="100"/>
      <c r="E3" s="96"/>
      <c r="F3" s="96"/>
      <c r="G3" s="11" t="s">
        <v>6</v>
      </c>
      <c r="H3" s="11" t="s">
        <v>7</v>
      </c>
      <c r="I3" s="99"/>
      <c r="J3" s="97"/>
      <c r="K3" s="90"/>
      <c r="M3" s="87"/>
      <c r="N3" s="87"/>
      <c r="O3" s="87"/>
    </row>
    <row r="4" spans="1:22">
      <c r="A4" s="3">
        <v>1</v>
      </c>
      <c r="B4" s="8">
        <v>243773</v>
      </c>
      <c r="C4" s="24" t="s">
        <v>111</v>
      </c>
      <c r="D4" s="3" t="s">
        <v>223</v>
      </c>
      <c r="E4" s="5" t="s">
        <v>224</v>
      </c>
      <c r="F4" s="5" t="s">
        <v>83</v>
      </c>
      <c r="G4" s="6"/>
      <c r="H4" s="4"/>
      <c r="I4" s="49">
        <v>100</v>
      </c>
      <c r="J4" s="3" t="s">
        <v>9</v>
      </c>
      <c r="M4" s="9" t="s">
        <v>10</v>
      </c>
      <c r="N4" s="9" t="s">
        <v>83</v>
      </c>
      <c r="O4" s="45" t="s">
        <v>24</v>
      </c>
    </row>
    <row r="5" spans="1:22" ht="23.25" customHeight="1">
      <c r="A5" s="3">
        <v>2</v>
      </c>
      <c r="B5" s="8">
        <v>243782</v>
      </c>
      <c r="C5" s="5" t="s">
        <v>112</v>
      </c>
      <c r="D5" s="4" t="s">
        <v>225</v>
      </c>
      <c r="E5" s="5" t="s">
        <v>100</v>
      </c>
      <c r="F5" s="5" t="s">
        <v>83</v>
      </c>
      <c r="G5" s="6"/>
      <c r="H5" s="4"/>
      <c r="I5" s="49">
        <v>80</v>
      </c>
      <c r="J5" s="3" t="s">
        <v>10</v>
      </c>
      <c r="M5" s="9" t="s">
        <v>9</v>
      </c>
      <c r="N5" s="9" t="s">
        <v>84</v>
      </c>
      <c r="O5" s="46" t="s">
        <v>22</v>
      </c>
    </row>
    <row r="6" spans="1:22" ht="23.25" customHeight="1">
      <c r="A6" s="3">
        <v>3</v>
      </c>
      <c r="B6" s="8">
        <v>243786</v>
      </c>
      <c r="C6" s="4" t="s">
        <v>196</v>
      </c>
      <c r="D6" s="1" t="s">
        <v>226</v>
      </c>
      <c r="E6" s="5" t="s">
        <v>100</v>
      </c>
      <c r="F6" s="5" t="s">
        <v>83</v>
      </c>
      <c r="H6" s="4"/>
      <c r="I6" s="49">
        <v>105</v>
      </c>
      <c r="J6" s="3" t="s">
        <v>10</v>
      </c>
      <c r="M6" s="9" t="s">
        <v>11</v>
      </c>
      <c r="N6" s="9"/>
      <c r="O6" s="45" t="s">
        <v>30</v>
      </c>
    </row>
    <row r="7" spans="1:22">
      <c r="A7" s="3">
        <v>4</v>
      </c>
      <c r="B7" s="8">
        <v>243786</v>
      </c>
      <c r="C7" s="4" t="s">
        <v>197</v>
      </c>
      <c r="D7" s="24" t="s">
        <v>227</v>
      </c>
      <c r="E7" s="5" t="s">
        <v>100</v>
      </c>
      <c r="F7" s="5" t="s">
        <v>83</v>
      </c>
      <c r="H7" s="4"/>
      <c r="I7" s="49">
        <v>51</v>
      </c>
      <c r="J7" s="3" t="s">
        <v>10</v>
      </c>
      <c r="M7" s="9" t="s">
        <v>18</v>
      </c>
      <c r="N7" s="9"/>
      <c r="O7" s="9" t="s">
        <v>92</v>
      </c>
    </row>
    <row r="8" spans="1:22">
      <c r="A8" s="3">
        <v>5</v>
      </c>
      <c r="B8" s="8">
        <v>243799</v>
      </c>
      <c r="C8" s="4" t="s">
        <v>369</v>
      </c>
      <c r="D8" s="24" t="s">
        <v>374</v>
      </c>
      <c r="E8" s="5" t="s">
        <v>100</v>
      </c>
      <c r="F8" s="5" t="s">
        <v>83</v>
      </c>
      <c r="H8" s="4"/>
      <c r="I8" s="49">
        <v>73</v>
      </c>
      <c r="J8" s="3" t="s">
        <v>10</v>
      </c>
      <c r="M8" s="9"/>
      <c r="N8" s="9"/>
      <c r="O8" s="9" t="s">
        <v>100</v>
      </c>
    </row>
    <row r="9" spans="1:22" ht="29.4" thickBot="1">
      <c r="H9" s="51" t="s">
        <v>16</v>
      </c>
      <c r="I9" s="50">
        <f>SUM(I4:I8)</f>
        <v>409</v>
      </c>
      <c r="J9" s="52" t="s">
        <v>94</v>
      </c>
    </row>
    <row r="10" spans="1:22" ht="24" thickTop="1">
      <c r="A10" s="42" t="s">
        <v>68</v>
      </c>
      <c r="B10" s="43" t="s">
        <v>70</v>
      </c>
      <c r="C10" s="44"/>
      <c r="H10" s="4"/>
      <c r="I10" s="4"/>
    </row>
    <row r="11" spans="1:22">
      <c r="B11" s="8"/>
      <c r="C11" s="5"/>
      <c r="D11" s="5"/>
      <c r="E11" s="5"/>
      <c r="F11" s="5"/>
      <c r="H11" s="4"/>
      <c r="I11" s="4"/>
    </row>
    <row r="12" spans="1:22">
      <c r="B12" s="8"/>
      <c r="H12" s="4"/>
      <c r="I12" s="4"/>
    </row>
    <row r="13" spans="1:22">
      <c r="B13" s="8"/>
      <c r="H13" s="4"/>
      <c r="I13" s="4"/>
    </row>
    <row r="14" spans="1:22">
      <c r="B14" s="8"/>
    </row>
    <row r="15" spans="1:22">
      <c r="B15" s="8"/>
      <c r="G15" s="4"/>
    </row>
    <row r="16" spans="1:22">
      <c r="B16" s="8"/>
      <c r="C16" s="5"/>
      <c r="I16" s="4"/>
      <c r="R16" s="5"/>
      <c r="S16" s="5"/>
      <c r="T16" s="5"/>
      <c r="V16" s="4"/>
    </row>
    <row r="17" spans="2:9">
      <c r="B17" s="8"/>
      <c r="H17" s="4"/>
      <c r="I17" s="4"/>
    </row>
    <row r="18" spans="2:9">
      <c r="B18" s="8"/>
      <c r="H18" s="4"/>
      <c r="I18" s="4"/>
    </row>
    <row r="19" spans="2:9">
      <c r="B19" s="8"/>
      <c r="C19" s="5"/>
      <c r="D19" s="5"/>
      <c r="E19" s="5"/>
      <c r="F19" s="5"/>
      <c r="H19" s="4"/>
      <c r="I19" s="4"/>
    </row>
    <row r="20" spans="2:9">
      <c r="B20" s="8"/>
      <c r="H20" s="4"/>
      <c r="I20" s="4"/>
    </row>
    <row r="21" spans="2:9">
      <c r="B21" s="8"/>
      <c r="H21" s="4"/>
      <c r="I21" s="4"/>
    </row>
    <row r="22" spans="2:9">
      <c r="B22" s="8"/>
      <c r="C22" s="5"/>
      <c r="D22" s="5"/>
      <c r="E22" s="5"/>
      <c r="F22" s="5"/>
      <c r="H22" s="4"/>
      <c r="I22" s="4"/>
    </row>
    <row r="23" spans="2:9">
      <c r="B23" s="8"/>
      <c r="H23" s="4"/>
      <c r="I23" s="4"/>
    </row>
  </sheetData>
  <autoFilter ref="A3:O3" xr:uid="{F57E75CA-9FA4-4B32-AC0E-075BEAD46C3C}"/>
  <mergeCells count="13">
    <mergeCell ref="A2:A3"/>
    <mergeCell ref="B2:B3"/>
    <mergeCell ref="C2:C3"/>
    <mergeCell ref="D2:D3"/>
    <mergeCell ref="G2:H2"/>
    <mergeCell ref="N2:N3"/>
    <mergeCell ref="O2:O3"/>
    <mergeCell ref="K2:K3"/>
    <mergeCell ref="M2:M3"/>
    <mergeCell ref="E2:E3"/>
    <mergeCell ref="F2:F3"/>
    <mergeCell ref="J2:J3"/>
    <mergeCell ref="I2:I3"/>
  </mergeCells>
  <dataValidations count="3">
    <dataValidation type="list" allowBlank="1" showInputMessage="1" showErrorMessage="1" sqref="J10:J1048576 J1:J8" xr:uid="{209C7868-8AD4-441B-84AE-CCBF623D54AB}">
      <formula1>$M$4:$M$19</formula1>
    </dataValidation>
    <dataValidation type="list" allowBlank="1" showInputMessage="1" showErrorMessage="1" sqref="T16 F17:F1048576 F1:F15" xr:uid="{F8BF9A11-7A30-4122-982D-45BFBB75E7BF}">
      <formula1>$N$4:$N$5</formula1>
    </dataValidation>
    <dataValidation type="list" allowBlank="1" showInputMessage="1" showErrorMessage="1" sqref="S16 E17:E1048576 E1:E15" xr:uid="{F6BEA62E-B817-44C3-AEE6-CDADF3E493E9}">
      <formula1>$O$4:$O$7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E908-8DE2-4FD6-BB7A-1DA67190C67A}">
  <sheetPr>
    <tabColor rgb="FFFF0066"/>
  </sheetPr>
  <dimension ref="A1:O54"/>
  <sheetViews>
    <sheetView zoomScale="70" zoomScaleNormal="70" workbookViewId="0">
      <pane xSplit="4" ySplit="3" topLeftCell="E32" activePane="bottomRight" state="frozen"/>
      <selection pane="topRight" activeCell="E1" sqref="E1"/>
      <selection pane="bottomLeft" activeCell="A4" sqref="A4"/>
      <selection pane="bottomRight" activeCell="I4" sqref="I4:I46"/>
    </sheetView>
  </sheetViews>
  <sheetFormatPr defaultColWidth="9.109375" defaultRowHeight="23.4"/>
  <cols>
    <col min="1" max="1" width="15.5546875" style="3" customWidth="1"/>
    <col min="2" max="2" width="14.109375" style="3" customWidth="1"/>
    <col min="3" max="3" width="19.5546875" style="4" customWidth="1"/>
    <col min="4" max="4" width="20" style="4" customWidth="1"/>
    <col min="5" max="5" width="23.88671875" style="4" customWidth="1"/>
    <col min="6" max="6" width="35.33203125" style="4" customWidth="1"/>
    <col min="7" max="8" width="12.109375" style="3" hidden="1" customWidth="1"/>
    <col min="9" max="9" width="12.109375" style="48" customWidth="1"/>
    <col min="10" max="10" width="26" style="3" customWidth="1"/>
    <col min="11" max="11" width="13.44140625" style="3" bestFit="1" customWidth="1"/>
    <col min="12" max="13" width="26" style="3" customWidth="1"/>
    <col min="14" max="14" width="36" style="3" bestFit="1" customWidth="1"/>
    <col min="15" max="15" width="29.5546875" style="3" customWidth="1"/>
    <col min="16" max="16384" width="9.109375" style="3"/>
  </cols>
  <sheetData>
    <row r="1" spans="1:15" ht="32.4">
      <c r="A1" s="7" t="s">
        <v>105</v>
      </c>
    </row>
    <row r="2" spans="1:15" s="2" customFormat="1" ht="23.25" customHeight="1">
      <c r="A2" s="103" t="s">
        <v>0</v>
      </c>
      <c r="B2" s="103" t="s">
        <v>4</v>
      </c>
      <c r="C2" s="102" t="s">
        <v>5</v>
      </c>
      <c r="D2" s="102" t="s">
        <v>2</v>
      </c>
      <c r="E2" s="102" t="s">
        <v>23</v>
      </c>
      <c r="F2" s="102" t="s">
        <v>21</v>
      </c>
      <c r="G2" s="103" t="s">
        <v>1</v>
      </c>
      <c r="H2" s="103"/>
      <c r="I2" s="104" t="s">
        <v>93</v>
      </c>
      <c r="J2" s="103" t="s">
        <v>3</v>
      </c>
      <c r="K2" s="90" t="s">
        <v>20</v>
      </c>
      <c r="M2" s="86" t="s">
        <v>8</v>
      </c>
      <c r="N2" s="86" t="s">
        <v>71</v>
      </c>
      <c r="O2" s="86" t="s">
        <v>82</v>
      </c>
    </row>
    <row r="3" spans="1:15" s="2" customFormat="1" ht="23.25" customHeight="1">
      <c r="A3" s="103"/>
      <c r="B3" s="103"/>
      <c r="C3" s="102"/>
      <c r="D3" s="102"/>
      <c r="E3" s="102"/>
      <c r="F3" s="102"/>
      <c r="G3" s="12" t="s">
        <v>6</v>
      </c>
      <c r="H3" s="12" t="s">
        <v>7</v>
      </c>
      <c r="I3" s="104"/>
      <c r="J3" s="103"/>
      <c r="K3" s="90"/>
      <c r="M3" s="101"/>
      <c r="N3" s="101"/>
      <c r="O3" s="101"/>
    </row>
    <row r="4" spans="1:15">
      <c r="A4" s="3">
        <v>1</v>
      </c>
      <c r="B4" s="8">
        <v>243773</v>
      </c>
      <c r="C4" s="5" t="s">
        <v>125</v>
      </c>
      <c r="D4" s="4" t="s">
        <v>228</v>
      </c>
      <c r="E4" s="5" t="s">
        <v>22</v>
      </c>
      <c r="F4" s="5" t="s">
        <v>85</v>
      </c>
      <c r="G4" s="6"/>
      <c r="H4" s="4"/>
      <c r="I4" s="49">
        <v>216</v>
      </c>
      <c r="J4" s="3" t="s">
        <v>10</v>
      </c>
      <c r="M4" s="9" t="s">
        <v>10</v>
      </c>
      <c r="N4" s="9" t="s">
        <v>85</v>
      </c>
      <c r="O4" s="45" t="s">
        <v>24</v>
      </c>
    </row>
    <row r="5" spans="1:15">
      <c r="A5" s="3">
        <v>2</v>
      </c>
      <c r="B5" s="8">
        <v>243773</v>
      </c>
      <c r="C5" s="5" t="s">
        <v>126</v>
      </c>
      <c r="D5" s="4" t="s">
        <v>229</v>
      </c>
      <c r="E5" s="5" t="s">
        <v>22</v>
      </c>
      <c r="F5" s="5" t="s">
        <v>85</v>
      </c>
      <c r="G5" s="6"/>
      <c r="H5" s="4"/>
      <c r="I5" s="48">
        <v>174</v>
      </c>
      <c r="J5" s="3" t="s">
        <v>10</v>
      </c>
      <c r="M5" s="9" t="s">
        <v>9</v>
      </c>
      <c r="N5" s="9" t="s">
        <v>86</v>
      </c>
      <c r="O5" s="46" t="s">
        <v>22</v>
      </c>
    </row>
    <row r="6" spans="1:15">
      <c r="A6" s="3">
        <v>3</v>
      </c>
      <c r="B6" s="8">
        <v>243773</v>
      </c>
      <c r="C6" s="5" t="s">
        <v>127</v>
      </c>
      <c r="D6" s="4" t="s">
        <v>230</v>
      </c>
      <c r="E6" s="5" t="s">
        <v>22</v>
      </c>
      <c r="F6" s="5" t="s">
        <v>85</v>
      </c>
      <c r="H6" s="4"/>
      <c r="I6" s="48">
        <v>217</v>
      </c>
      <c r="J6" s="3" t="s">
        <v>10</v>
      </c>
      <c r="M6" s="9" t="s">
        <v>11</v>
      </c>
      <c r="N6" s="9" t="s">
        <v>87</v>
      </c>
      <c r="O6" s="45" t="s">
        <v>30</v>
      </c>
    </row>
    <row r="7" spans="1:15">
      <c r="A7" s="3">
        <v>4</v>
      </c>
      <c r="B7" s="8">
        <v>243774</v>
      </c>
      <c r="C7" s="5" t="s">
        <v>128</v>
      </c>
      <c r="D7" s="4" t="s">
        <v>231</v>
      </c>
      <c r="E7" s="5" t="s">
        <v>90</v>
      </c>
      <c r="F7" s="5" t="s">
        <v>85</v>
      </c>
      <c r="H7" s="4"/>
      <c r="I7" s="48">
        <v>500</v>
      </c>
      <c r="J7" s="3" t="s">
        <v>10</v>
      </c>
      <c r="M7" s="9" t="s">
        <v>18</v>
      </c>
      <c r="N7" s="9" t="s">
        <v>88</v>
      </c>
      <c r="O7" s="9" t="s">
        <v>90</v>
      </c>
    </row>
    <row r="8" spans="1:15">
      <c r="A8" s="3">
        <v>5</v>
      </c>
      <c r="B8" s="8">
        <v>243774</v>
      </c>
      <c r="C8" s="4" t="s">
        <v>129</v>
      </c>
      <c r="D8" s="4" t="s">
        <v>232</v>
      </c>
      <c r="E8" s="5" t="s">
        <v>22</v>
      </c>
      <c r="F8" s="5" t="s">
        <v>85</v>
      </c>
      <c r="H8" s="4"/>
      <c r="I8" s="48">
        <v>116</v>
      </c>
      <c r="J8" s="3" t="s">
        <v>10</v>
      </c>
      <c r="M8" s="9" t="s">
        <v>98</v>
      </c>
      <c r="N8" s="9" t="s">
        <v>89</v>
      </c>
      <c r="O8" s="9"/>
    </row>
    <row r="9" spans="1:15">
      <c r="A9" s="3">
        <v>6</v>
      </c>
      <c r="B9" s="8">
        <v>243779</v>
      </c>
      <c r="C9" s="5" t="s">
        <v>131</v>
      </c>
      <c r="D9" s="4" t="s">
        <v>233</v>
      </c>
      <c r="E9" s="5" t="s">
        <v>90</v>
      </c>
      <c r="F9" s="5" t="s">
        <v>85</v>
      </c>
      <c r="H9" s="4"/>
      <c r="I9" s="48">
        <v>58</v>
      </c>
      <c r="J9" s="3" t="s">
        <v>10</v>
      </c>
    </row>
    <row r="10" spans="1:15">
      <c r="A10" s="3">
        <v>7</v>
      </c>
      <c r="B10" s="8">
        <v>243779</v>
      </c>
      <c r="C10" s="5" t="s">
        <v>132</v>
      </c>
      <c r="D10" s="4" t="s">
        <v>234</v>
      </c>
      <c r="E10" s="5" t="s">
        <v>90</v>
      </c>
      <c r="F10" s="5" t="s">
        <v>85</v>
      </c>
      <c r="H10" s="4"/>
      <c r="I10" s="48">
        <v>201</v>
      </c>
      <c r="J10" s="3" t="s">
        <v>10</v>
      </c>
    </row>
    <row r="11" spans="1:15">
      <c r="A11" s="3">
        <v>8</v>
      </c>
      <c r="B11" s="8">
        <v>243779</v>
      </c>
      <c r="C11" s="5" t="s">
        <v>133</v>
      </c>
      <c r="D11" s="4" t="s">
        <v>235</v>
      </c>
      <c r="E11" s="5" t="s">
        <v>90</v>
      </c>
      <c r="F11" s="5" t="s">
        <v>85</v>
      </c>
      <c r="H11" s="4"/>
      <c r="I11" s="48">
        <v>66</v>
      </c>
      <c r="J11" s="3" t="s">
        <v>10</v>
      </c>
    </row>
    <row r="12" spans="1:15">
      <c r="A12" s="3">
        <v>9</v>
      </c>
      <c r="B12" s="8">
        <v>243779</v>
      </c>
      <c r="C12" s="5" t="s">
        <v>134</v>
      </c>
      <c r="D12" s="4" t="s">
        <v>236</v>
      </c>
      <c r="E12" s="5" t="s">
        <v>90</v>
      </c>
      <c r="F12" s="5" t="s">
        <v>85</v>
      </c>
      <c r="G12" s="4"/>
      <c r="I12" s="48">
        <v>154</v>
      </c>
      <c r="J12" s="3" t="s">
        <v>10</v>
      </c>
    </row>
    <row r="13" spans="1:15">
      <c r="A13" s="3">
        <v>10</v>
      </c>
      <c r="B13" s="8">
        <v>243779</v>
      </c>
      <c r="C13" s="5" t="s">
        <v>135</v>
      </c>
      <c r="D13" s="4" t="s">
        <v>237</v>
      </c>
      <c r="E13" s="5" t="s">
        <v>90</v>
      </c>
      <c r="F13" s="5" t="s">
        <v>85</v>
      </c>
      <c r="G13" s="4"/>
      <c r="I13" s="48">
        <v>207</v>
      </c>
      <c r="J13" s="3" t="s">
        <v>9</v>
      </c>
    </row>
    <row r="14" spans="1:15">
      <c r="A14" s="3">
        <v>11</v>
      </c>
      <c r="B14" s="8">
        <v>243779</v>
      </c>
      <c r="C14" s="5" t="s">
        <v>136</v>
      </c>
      <c r="D14" s="4" t="s">
        <v>238</v>
      </c>
      <c r="E14" s="5" t="s">
        <v>90</v>
      </c>
      <c r="F14" s="5" t="s">
        <v>85</v>
      </c>
      <c r="G14" s="4"/>
      <c r="I14" s="48">
        <v>150</v>
      </c>
      <c r="J14" s="3" t="s">
        <v>98</v>
      </c>
    </row>
    <row r="15" spans="1:15">
      <c r="A15" s="3">
        <v>12</v>
      </c>
      <c r="B15" s="8">
        <v>243779</v>
      </c>
      <c r="C15" s="5" t="s">
        <v>137</v>
      </c>
      <c r="D15" s="4" t="s">
        <v>239</v>
      </c>
      <c r="E15" s="5" t="s">
        <v>90</v>
      </c>
      <c r="F15" s="5" t="s">
        <v>85</v>
      </c>
      <c r="G15" s="4"/>
      <c r="I15" s="48">
        <v>366</v>
      </c>
      <c r="J15" s="3" t="s">
        <v>10</v>
      </c>
    </row>
    <row r="16" spans="1:15">
      <c r="A16" s="3">
        <v>13</v>
      </c>
      <c r="B16" s="8">
        <v>243779</v>
      </c>
      <c r="C16" s="5" t="s">
        <v>138</v>
      </c>
      <c r="D16" s="4" t="s">
        <v>240</v>
      </c>
      <c r="E16" s="5" t="s">
        <v>90</v>
      </c>
      <c r="F16" s="5" t="s">
        <v>85</v>
      </c>
      <c r="G16" s="4"/>
      <c r="I16" s="48">
        <v>106</v>
      </c>
      <c r="J16" s="3" t="s">
        <v>9</v>
      </c>
    </row>
    <row r="17" spans="1:10" ht="24.75" customHeight="1">
      <c r="A17" s="3">
        <v>14</v>
      </c>
      <c r="B17" s="8">
        <v>243779</v>
      </c>
      <c r="C17" s="5" t="s">
        <v>139</v>
      </c>
      <c r="D17" s="4" t="s">
        <v>241</v>
      </c>
      <c r="E17" s="5" t="s">
        <v>90</v>
      </c>
      <c r="F17" s="5" t="s">
        <v>85</v>
      </c>
      <c r="H17" s="4"/>
      <c r="I17" s="48">
        <v>200</v>
      </c>
      <c r="J17" s="3" t="s">
        <v>10</v>
      </c>
    </row>
    <row r="18" spans="1:10">
      <c r="A18" s="3">
        <v>15</v>
      </c>
      <c r="B18" s="8">
        <v>243779</v>
      </c>
      <c r="C18" s="5" t="s">
        <v>140</v>
      </c>
      <c r="D18" s="4" t="s">
        <v>242</v>
      </c>
      <c r="E18" s="5" t="s">
        <v>90</v>
      </c>
      <c r="F18" s="5" t="s">
        <v>85</v>
      </c>
      <c r="H18" s="4"/>
      <c r="I18" s="48">
        <v>480</v>
      </c>
      <c r="J18" s="3" t="s">
        <v>10</v>
      </c>
    </row>
    <row r="19" spans="1:10">
      <c r="A19" s="3">
        <v>16</v>
      </c>
      <c r="B19" s="8">
        <v>243779</v>
      </c>
      <c r="C19" s="5" t="s">
        <v>141</v>
      </c>
      <c r="D19" s="5" t="s">
        <v>243</v>
      </c>
      <c r="E19" s="5" t="s">
        <v>90</v>
      </c>
      <c r="F19" s="5" t="s">
        <v>85</v>
      </c>
      <c r="H19" s="4"/>
      <c r="I19" s="48">
        <v>475</v>
      </c>
      <c r="J19" s="3" t="s">
        <v>10</v>
      </c>
    </row>
    <row r="20" spans="1:10">
      <c r="A20" s="3">
        <v>17</v>
      </c>
      <c r="B20" s="8">
        <v>243779</v>
      </c>
      <c r="C20" s="5" t="s">
        <v>142</v>
      </c>
      <c r="D20" s="5" t="s">
        <v>244</v>
      </c>
      <c r="E20" s="5" t="s">
        <v>90</v>
      </c>
      <c r="F20" s="5" t="s">
        <v>85</v>
      </c>
      <c r="H20" s="4"/>
      <c r="I20" s="48">
        <v>235</v>
      </c>
      <c r="J20" s="3" t="s">
        <v>9</v>
      </c>
    </row>
    <row r="21" spans="1:10">
      <c r="A21" s="3">
        <v>18</v>
      </c>
      <c r="B21" s="8">
        <v>243779</v>
      </c>
      <c r="C21" s="5" t="s">
        <v>143</v>
      </c>
      <c r="D21" s="5" t="s">
        <v>245</v>
      </c>
      <c r="E21" s="5" t="s">
        <v>90</v>
      </c>
      <c r="F21" s="5" t="s">
        <v>85</v>
      </c>
      <c r="H21" s="4"/>
      <c r="I21" s="48">
        <v>400</v>
      </c>
      <c r="J21" s="3" t="s">
        <v>9</v>
      </c>
    </row>
    <row r="22" spans="1:10">
      <c r="A22" s="3">
        <v>19</v>
      </c>
      <c r="B22" s="8">
        <v>243779</v>
      </c>
      <c r="C22" s="5" t="s">
        <v>144</v>
      </c>
      <c r="D22" s="5" t="s">
        <v>246</v>
      </c>
      <c r="E22" s="5" t="s">
        <v>90</v>
      </c>
      <c r="F22" s="5" t="s">
        <v>85</v>
      </c>
      <c r="H22" s="4"/>
      <c r="I22" s="48">
        <v>200</v>
      </c>
      <c r="J22" s="3" t="s">
        <v>10</v>
      </c>
    </row>
    <row r="23" spans="1:10">
      <c r="A23" s="3">
        <v>20</v>
      </c>
      <c r="B23" s="8">
        <v>243779</v>
      </c>
      <c r="C23" s="5" t="s">
        <v>145</v>
      </c>
      <c r="D23" s="4" t="s">
        <v>247</v>
      </c>
      <c r="E23" s="5" t="s">
        <v>90</v>
      </c>
      <c r="F23" s="5" t="s">
        <v>85</v>
      </c>
      <c r="I23" s="48">
        <v>180</v>
      </c>
      <c r="J23" s="3" t="s">
        <v>10</v>
      </c>
    </row>
    <row r="24" spans="1:10">
      <c r="A24" s="3">
        <v>21</v>
      </c>
      <c r="B24" s="8">
        <v>243779</v>
      </c>
      <c r="C24" s="5" t="s">
        <v>146</v>
      </c>
      <c r="D24" s="5" t="s">
        <v>248</v>
      </c>
      <c r="E24" s="5" t="s">
        <v>90</v>
      </c>
      <c r="F24" s="5" t="s">
        <v>85</v>
      </c>
      <c r="H24" s="4"/>
      <c r="I24" s="48">
        <v>200</v>
      </c>
      <c r="J24" s="3" t="s">
        <v>10</v>
      </c>
    </row>
    <row r="25" spans="1:10">
      <c r="A25" s="3">
        <v>22</v>
      </c>
      <c r="B25" s="8">
        <v>243779</v>
      </c>
      <c r="C25" s="5" t="s">
        <v>147</v>
      </c>
      <c r="D25" s="5" t="s">
        <v>249</v>
      </c>
      <c r="E25" s="5" t="s">
        <v>90</v>
      </c>
      <c r="F25" s="5" t="s">
        <v>85</v>
      </c>
      <c r="H25" s="4"/>
      <c r="I25" s="48">
        <v>200</v>
      </c>
      <c r="J25" s="3" t="s">
        <v>10</v>
      </c>
    </row>
    <row r="26" spans="1:10">
      <c r="A26" s="3">
        <v>23</v>
      </c>
      <c r="B26" s="8">
        <v>243782</v>
      </c>
      <c r="C26" s="5" t="s">
        <v>148</v>
      </c>
      <c r="D26" s="5" t="s">
        <v>250</v>
      </c>
      <c r="E26" s="5" t="s">
        <v>90</v>
      </c>
      <c r="F26" s="5" t="s">
        <v>85</v>
      </c>
      <c r="H26" s="4"/>
      <c r="I26" s="48">
        <v>106</v>
      </c>
      <c r="J26" s="3" t="s">
        <v>10</v>
      </c>
    </row>
    <row r="27" spans="1:10">
      <c r="A27" s="3">
        <v>24</v>
      </c>
      <c r="B27" s="8">
        <v>243782</v>
      </c>
      <c r="C27" s="5" t="s">
        <v>149</v>
      </c>
      <c r="D27" s="5" t="s">
        <v>251</v>
      </c>
      <c r="E27" s="5" t="s">
        <v>90</v>
      </c>
      <c r="F27" s="5" t="s">
        <v>85</v>
      </c>
      <c r="H27" s="4"/>
      <c r="I27" s="48">
        <v>146</v>
      </c>
      <c r="J27" s="3" t="s">
        <v>9</v>
      </c>
    </row>
    <row r="28" spans="1:10">
      <c r="A28" s="3">
        <v>25</v>
      </c>
      <c r="B28" s="8">
        <v>243782</v>
      </c>
      <c r="C28" s="5" t="s">
        <v>150</v>
      </c>
      <c r="D28" s="5" t="s">
        <v>252</v>
      </c>
      <c r="E28" s="5" t="s">
        <v>22</v>
      </c>
      <c r="F28" s="5" t="s">
        <v>85</v>
      </c>
      <c r="H28" s="4"/>
      <c r="I28" s="48">
        <v>145</v>
      </c>
      <c r="J28" s="3" t="s">
        <v>10</v>
      </c>
    </row>
    <row r="29" spans="1:10">
      <c r="A29" s="3">
        <v>26</v>
      </c>
      <c r="B29" s="8">
        <v>243782</v>
      </c>
      <c r="C29" s="5" t="s">
        <v>151</v>
      </c>
      <c r="D29" s="5" t="s">
        <v>253</v>
      </c>
      <c r="E29" s="5" t="s">
        <v>22</v>
      </c>
      <c r="F29" s="5" t="s">
        <v>85</v>
      </c>
      <c r="H29" s="4"/>
      <c r="I29" s="48">
        <v>165</v>
      </c>
      <c r="J29" s="3" t="s">
        <v>10</v>
      </c>
    </row>
    <row r="30" spans="1:10">
      <c r="A30" s="3">
        <v>27</v>
      </c>
      <c r="B30" s="8">
        <v>243786</v>
      </c>
      <c r="C30" s="5" t="s">
        <v>198</v>
      </c>
      <c r="D30" s="5" t="s">
        <v>254</v>
      </c>
      <c r="E30" s="5" t="s">
        <v>90</v>
      </c>
      <c r="F30" s="5" t="s">
        <v>85</v>
      </c>
      <c r="H30" s="4"/>
      <c r="I30" s="48">
        <v>380</v>
      </c>
      <c r="J30" s="3" t="s">
        <v>10</v>
      </c>
    </row>
    <row r="31" spans="1:10">
      <c r="A31" s="3">
        <v>28</v>
      </c>
      <c r="B31" s="8">
        <v>243786</v>
      </c>
      <c r="C31" s="5" t="s">
        <v>199</v>
      </c>
      <c r="D31" s="5" t="s">
        <v>255</v>
      </c>
      <c r="E31" s="5" t="s">
        <v>22</v>
      </c>
      <c r="F31" s="5" t="s">
        <v>85</v>
      </c>
      <c r="H31" s="4"/>
      <c r="I31" s="48">
        <v>200</v>
      </c>
      <c r="J31" s="3" t="s">
        <v>9</v>
      </c>
    </row>
    <row r="32" spans="1:10">
      <c r="A32" s="3">
        <v>29</v>
      </c>
      <c r="B32" s="8">
        <v>243786</v>
      </c>
      <c r="C32" s="5" t="s">
        <v>200</v>
      </c>
      <c r="D32" s="5" t="s">
        <v>256</v>
      </c>
      <c r="E32" s="5" t="s">
        <v>22</v>
      </c>
      <c r="F32" s="5" t="s">
        <v>85</v>
      </c>
      <c r="H32" s="4"/>
      <c r="I32" s="48">
        <v>200</v>
      </c>
      <c r="J32" s="3" t="s">
        <v>98</v>
      </c>
    </row>
    <row r="33" spans="1:10">
      <c r="A33" s="3">
        <v>30</v>
      </c>
      <c r="B33" s="8">
        <v>243793</v>
      </c>
      <c r="C33" s="5" t="s">
        <v>296</v>
      </c>
      <c r="D33" s="5" t="s">
        <v>351</v>
      </c>
      <c r="E33" s="5" t="s">
        <v>90</v>
      </c>
      <c r="F33" s="5" t="s">
        <v>85</v>
      </c>
      <c r="H33" s="4"/>
      <c r="I33" s="48">
        <v>86</v>
      </c>
      <c r="J33" s="3" t="s">
        <v>98</v>
      </c>
    </row>
    <row r="34" spans="1:10">
      <c r="A34" s="3">
        <v>31</v>
      </c>
      <c r="B34" s="8">
        <v>243793</v>
      </c>
      <c r="C34" s="5" t="s">
        <v>297</v>
      </c>
      <c r="D34" s="5" t="s">
        <v>352</v>
      </c>
      <c r="E34" s="5" t="s">
        <v>90</v>
      </c>
      <c r="F34" s="5" t="s">
        <v>85</v>
      </c>
      <c r="H34" s="4"/>
      <c r="I34" s="48">
        <v>150</v>
      </c>
      <c r="J34" s="3" t="s">
        <v>10</v>
      </c>
    </row>
    <row r="35" spans="1:10">
      <c r="A35" s="3">
        <v>32</v>
      </c>
      <c r="B35" s="8">
        <v>243793</v>
      </c>
      <c r="C35" s="5" t="s">
        <v>298</v>
      </c>
      <c r="D35" s="5" t="s">
        <v>353</v>
      </c>
      <c r="E35" s="5" t="s">
        <v>90</v>
      </c>
      <c r="F35" s="5" t="s">
        <v>85</v>
      </c>
      <c r="H35" s="4"/>
      <c r="I35" s="48">
        <v>141</v>
      </c>
      <c r="J35" s="3" t="s">
        <v>9</v>
      </c>
    </row>
    <row r="36" spans="1:10">
      <c r="A36" s="3">
        <v>33</v>
      </c>
      <c r="B36" s="8">
        <v>243793</v>
      </c>
      <c r="C36" s="5" t="s">
        <v>299</v>
      </c>
      <c r="D36" s="5" t="s">
        <v>354</v>
      </c>
      <c r="E36" s="5" t="s">
        <v>90</v>
      </c>
      <c r="F36" s="5" t="s">
        <v>85</v>
      </c>
      <c r="H36" s="4"/>
      <c r="I36" s="48">
        <v>150</v>
      </c>
      <c r="J36" s="3" t="s">
        <v>98</v>
      </c>
    </row>
    <row r="37" spans="1:10">
      <c r="A37" s="3">
        <v>34</v>
      </c>
      <c r="B37" s="8">
        <v>243793</v>
      </c>
      <c r="C37" s="5" t="s">
        <v>300</v>
      </c>
      <c r="D37" s="5" t="s">
        <v>355</v>
      </c>
      <c r="E37" s="5" t="s">
        <v>90</v>
      </c>
      <c r="F37" s="5" t="s">
        <v>85</v>
      </c>
      <c r="H37" s="4"/>
      <c r="I37" s="48">
        <v>180</v>
      </c>
      <c r="J37" s="3" t="s">
        <v>10</v>
      </c>
    </row>
    <row r="38" spans="1:10">
      <c r="A38" s="3">
        <v>35</v>
      </c>
      <c r="B38" s="8">
        <v>243793</v>
      </c>
      <c r="C38" s="5" t="s">
        <v>301</v>
      </c>
      <c r="D38" s="5" t="s">
        <v>356</v>
      </c>
      <c r="E38" s="5" t="s">
        <v>90</v>
      </c>
      <c r="F38" s="5" t="s">
        <v>85</v>
      </c>
      <c r="H38" s="4"/>
      <c r="I38" s="48">
        <v>400</v>
      </c>
      <c r="J38" s="3" t="s">
        <v>10</v>
      </c>
    </row>
    <row r="39" spans="1:10">
      <c r="A39" s="3">
        <v>36</v>
      </c>
      <c r="B39" s="8">
        <v>243793</v>
      </c>
      <c r="C39" s="5" t="s">
        <v>302</v>
      </c>
      <c r="D39" s="5" t="s">
        <v>357</v>
      </c>
      <c r="E39" s="5" t="s">
        <v>90</v>
      </c>
      <c r="F39" s="5" t="s">
        <v>85</v>
      </c>
      <c r="H39" s="4"/>
      <c r="I39" s="48">
        <v>101</v>
      </c>
      <c r="J39" s="3" t="s">
        <v>10</v>
      </c>
    </row>
    <row r="40" spans="1:10">
      <c r="A40" s="3">
        <v>37</v>
      </c>
      <c r="B40" s="8">
        <v>243793</v>
      </c>
      <c r="C40" s="5" t="s">
        <v>303</v>
      </c>
      <c r="D40" s="5" t="s">
        <v>358</v>
      </c>
      <c r="E40" s="5" t="s">
        <v>90</v>
      </c>
      <c r="F40" s="5" t="s">
        <v>85</v>
      </c>
      <c r="H40" s="4"/>
      <c r="I40" s="48">
        <v>209</v>
      </c>
      <c r="J40" s="3" t="s">
        <v>10</v>
      </c>
    </row>
    <row r="41" spans="1:10">
      <c r="A41" s="3">
        <v>38</v>
      </c>
      <c r="B41" s="8">
        <v>243793</v>
      </c>
      <c r="C41" s="5" t="s">
        <v>304</v>
      </c>
      <c r="D41" s="5" t="s">
        <v>359</v>
      </c>
      <c r="E41" s="5" t="s">
        <v>90</v>
      </c>
      <c r="F41" s="5" t="s">
        <v>85</v>
      </c>
      <c r="H41" s="4"/>
      <c r="I41" s="48">
        <v>345</v>
      </c>
      <c r="J41" s="3" t="s">
        <v>10</v>
      </c>
    </row>
    <row r="42" spans="1:10">
      <c r="A42" s="3">
        <v>39</v>
      </c>
      <c r="B42" s="8">
        <v>243793</v>
      </c>
      <c r="C42" s="5" t="s">
        <v>305</v>
      </c>
      <c r="D42" s="5" t="s">
        <v>360</v>
      </c>
      <c r="E42" s="5" t="s">
        <v>90</v>
      </c>
      <c r="F42" s="5" t="s">
        <v>85</v>
      </c>
      <c r="H42" s="4"/>
      <c r="I42" s="48">
        <v>240</v>
      </c>
      <c r="J42" s="3" t="s">
        <v>10</v>
      </c>
    </row>
    <row r="43" spans="1:10" ht="23.25" customHeight="1">
      <c r="A43" s="3">
        <v>40</v>
      </c>
      <c r="B43" s="8">
        <v>243793</v>
      </c>
      <c r="C43" s="5" t="s">
        <v>306</v>
      </c>
      <c r="D43" s="5" t="s">
        <v>361</v>
      </c>
      <c r="E43" s="5" t="s">
        <v>90</v>
      </c>
      <c r="F43" s="5" t="s">
        <v>85</v>
      </c>
      <c r="H43" s="4"/>
      <c r="I43" s="48">
        <v>145</v>
      </c>
      <c r="J43" s="3" t="s">
        <v>10</v>
      </c>
    </row>
    <row r="44" spans="1:10">
      <c r="A44" s="3">
        <v>41</v>
      </c>
      <c r="B44" s="8">
        <v>243793</v>
      </c>
      <c r="C44" s="5" t="s">
        <v>307</v>
      </c>
      <c r="D44" s="5" t="s">
        <v>362</v>
      </c>
      <c r="E44" s="5" t="s">
        <v>90</v>
      </c>
      <c r="F44" s="5" t="s">
        <v>85</v>
      </c>
      <c r="H44" s="4"/>
      <c r="I44" s="48">
        <v>190</v>
      </c>
      <c r="J44" s="3" t="s">
        <v>10</v>
      </c>
    </row>
    <row r="45" spans="1:10">
      <c r="A45" s="3">
        <v>42</v>
      </c>
      <c r="B45" s="8">
        <v>243794</v>
      </c>
      <c r="C45" s="5" t="s">
        <v>326</v>
      </c>
      <c r="D45" s="5" t="s">
        <v>363</v>
      </c>
      <c r="E45" s="5" t="s">
        <v>22</v>
      </c>
      <c r="F45" s="5" t="s">
        <v>85</v>
      </c>
      <c r="H45" s="4"/>
      <c r="I45" s="48">
        <v>106</v>
      </c>
      <c r="J45" s="3" t="s">
        <v>10</v>
      </c>
    </row>
    <row r="46" spans="1:10">
      <c r="A46" s="3">
        <v>43</v>
      </c>
      <c r="B46" s="8">
        <v>243794</v>
      </c>
      <c r="C46" s="5" t="s">
        <v>327</v>
      </c>
      <c r="D46" s="5" t="s">
        <v>364</v>
      </c>
      <c r="E46" s="5" t="s">
        <v>22</v>
      </c>
      <c r="F46" s="5" t="s">
        <v>85</v>
      </c>
      <c r="H46" s="4"/>
      <c r="I46" s="48">
        <v>206</v>
      </c>
      <c r="J46" s="3" t="s">
        <v>10</v>
      </c>
    </row>
    <row r="47" spans="1:10" ht="29.4" thickBot="1">
      <c r="B47" s="8"/>
      <c r="H47" s="51" t="s">
        <v>16</v>
      </c>
      <c r="I47" s="50">
        <f>SUM(I4:I46)</f>
        <v>9092</v>
      </c>
      <c r="J47" s="52" t="s">
        <v>94</v>
      </c>
    </row>
    <row r="48" spans="1:10" ht="24" thickTop="1">
      <c r="B48" s="8"/>
      <c r="F48" s="5"/>
      <c r="H48" s="4"/>
    </row>
    <row r="49" spans="1:8">
      <c r="B49" s="8"/>
      <c r="H49" s="4"/>
    </row>
    <row r="50" spans="1:8">
      <c r="B50" s="8"/>
    </row>
    <row r="54" spans="1:8">
      <c r="A54" s="42" t="s">
        <v>68</v>
      </c>
      <c r="B54" s="57" t="s">
        <v>69</v>
      </c>
      <c r="C54" s="44"/>
    </row>
  </sheetData>
  <autoFilter ref="A3:O47" xr:uid="{2EE7E908-8DE2-4FD6-BB7A-1DA67190C67A}"/>
  <mergeCells count="13">
    <mergeCell ref="A2:A3"/>
    <mergeCell ref="B2:B3"/>
    <mergeCell ref="C2:C3"/>
    <mergeCell ref="D2:D3"/>
    <mergeCell ref="G2:H2"/>
    <mergeCell ref="N2:N3"/>
    <mergeCell ref="O2:O3"/>
    <mergeCell ref="M2:M3"/>
    <mergeCell ref="F2:F3"/>
    <mergeCell ref="E2:E3"/>
    <mergeCell ref="K2:K3"/>
    <mergeCell ref="J2:J3"/>
    <mergeCell ref="I2:I3"/>
  </mergeCells>
  <dataValidations count="3">
    <dataValidation type="list" allowBlank="1" showInputMessage="1" showErrorMessage="1" sqref="J47:J1048576 J1:J3" xr:uid="{19676AA6-3E83-4AA3-B902-B140BCCFDBF8}">
      <formula1>$M$4:$M$46</formula1>
    </dataValidation>
    <dataValidation type="list" allowBlank="1" showInputMessage="1" showErrorMessage="1" sqref="E1:E1048576" xr:uid="{C876B902-3CDF-4B09-8F5D-F790F4B7B977}">
      <formula1>$O$4:$O$8</formula1>
    </dataValidation>
    <dataValidation type="list" allowBlank="1" showInputMessage="1" showErrorMessage="1" sqref="F1:F1048576" xr:uid="{3D84178C-9B6E-44F9-B7C4-88E6DBE1C413}">
      <formula1>$N$4:$N$8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EBCA-1D2A-4602-883D-0120B5DC9240}">
  <sheetPr>
    <tabColor rgb="FF00FF99"/>
  </sheetPr>
  <dimension ref="A1:R32"/>
  <sheetViews>
    <sheetView zoomScale="85" zoomScaleNormal="85" workbookViewId="0">
      <pane xSplit="3" ySplit="3" topLeftCell="D31" activePane="bottomRight" state="frozen"/>
      <selection pane="topRight" activeCell="D1" sqref="D1"/>
      <selection pane="bottomLeft" activeCell="A4" sqref="A4"/>
      <selection pane="bottomRight" activeCell="I29" sqref="I4:I29"/>
    </sheetView>
  </sheetViews>
  <sheetFormatPr defaultColWidth="9.109375" defaultRowHeight="23.4"/>
  <cols>
    <col min="1" max="1" width="12.5546875" style="3" customWidth="1"/>
    <col min="2" max="2" width="11.33203125" style="3" bestFit="1" customWidth="1"/>
    <col min="3" max="3" width="19.6640625" style="4" customWidth="1"/>
    <col min="4" max="4" width="21.109375" style="4" bestFit="1" customWidth="1"/>
    <col min="5" max="5" width="23.88671875" style="4" customWidth="1"/>
    <col min="6" max="6" width="24.33203125" style="4" customWidth="1"/>
    <col min="7" max="8" width="15.33203125" style="3" customWidth="1"/>
    <col min="9" max="9" width="15.33203125" style="48" customWidth="1"/>
    <col min="10" max="10" width="45.88671875" style="3" bestFit="1" customWidth="1"/>
    <col min="11" max="11" width="20.109375" style="3" bestFit="1" customWidth="1"/>
    <col min="12" max="12" width="12" style="3" customWidth="1"/>
    <col min="13" max="13" width="45.88671875" style="3" bestFit="1" customWidth="1"/>
    <col min="14" max="14" width="29.33203125" style="3" customWidth="1"/>
    <col min="15" max="15" width="29.44140625" style="3" customWidth="1"/>
    <col min="16" max="18" width="36.109375" style="3" customWidth="1"/>
    <col min="19" max="16384" width="9.109375" style="3"/>
  </cols>
  <sheetData>
    <row r="1" spans="1:18" ht="32.4">
      <c r="A1" s="7" t="s">
        <v>106</v>
      </c>
    </row>
    <row r="2" spans="1:18" s="2" customFormat="1" ht="26.4">
      <c r="A2" s="105" t="s">
        <v>0</v>
      </c>
      <c r="B2" s="105" t="s">
        <v>4</v>
      </c>
      <c r="C2" s="110" t="s">
        <v>5</v>
      </c>
      <c r="D2" s="110" t="s">
        <v>2</v>
      </c>
      <c r="E2" s="106" t="s">
        <v>23</v>
      </c>
      <c r="F2" s="106" t="s">
        <v>21</v>
      </c>
      <c r="G2" s="105" t="s">
        <v>1</v>
      </c>
      <c r="H2" s="105"/>
      <c r="I2" s="108" t="s">
        <v>93</v>
      </c>
      <c r="J2" s="105" t="s">
        <v>3</v>
      </c>
      <c r="K2" s="90" t="s">
        <v>20</v>
      </c>
      <c r="M2" s="86" t="s">
        <v>8</v>
      </c>
      <c r="N2" s="86" t="s">
        <v>21</v>
      </c>
      <c r="O2" s="86" t="s">
        <v>82</v>
      </c>
    </row>
    <row r="3" spans="1:18" s="2" customFormat="1" ht="26.4">
      <c r="A3" s="105"/>
      <c r="B3" s="105"/>
      <c r="C3" s="110"/>
      <c r="D3" s="110"/>
      <c r="E3" s="107"/>
      <c r="F3" s="107"/>
      <c r="G3" s="15" t="s">
        <v>6</v>
      </c>
      <c r="H3" s="15"/>
      <c r="I3" s="109"/>
      <c r="J3" s="105"/>
      <c r="K3" s="90"/>
      <c r="M3" s="101"/>
      <c r="N3" s="101"/>
      <c r="O3" s="101"/>
    </row>
    <row r="4" spans="1:18">
      <c r="A4" s="3">
        <v>1</v>
      </c>
      <c r="B4" s="4" t="s">
        <v>154</v>
      </c>
      <c r="C4" s="4" t="s">
        <v>262</v>
      </c>
      <c r="D4" s="4" t="s">
        <v>152</v>
      </c>
      <c r="E4" s="5" t="s">
        <v>91</v>
      </c>
      <c r="F4" s="5" t="s">
        <v>25</v>
      </c>
      <c r="G4" s="1" t="s">
        <v>155</v>
      </c>
      <c r="H4" s="1"/>
      <c r="I4" s="49">
        <v>130</v>
      </c>
      <c r="J4" s="3" t="s">
        <v>10</v>
      </c>
      <c r="K4"/>
      <c r="M4" s="9" t="s">
        <v>10</v>
      </c>
      <c r="N4" s="9" t="s">
        <v>25</v>
      </c>
      <c r="O4" s="45" t="s">
        <v>24</v>
      </c>
      <c r="P4" s="2"/>
      <c r="Q4" s="2"/>
      <c r="R4" s="2"/>
    </row>
    <row r="5" spans="1:18">
      <c r="A5" s="3">
        <v>2</v>
      </c>
      <c r="B5" s="4" t="s">
        <v>154</v>
      </c>
      <c r="C5" s="44" t="s">
        <v>269</v>
      </c>
      <c r="D5" s="1" t="s">
        <v>153</v>
      </c>
      <c r="E5" s="5" t="s">
        <v>91</v>
      </c>
      <c r="F5" s="5" t="s">
        <v>25</v>
      </c>
      <c r="G5" s="1" t="s">
        <v>159</v>
      </c>
      <c r="H5" s="1" t="s">
        <v>160</v>
      </c>
      <c r="I5" s="49"/>
      <c r="J5" s="3" t="s">
        <v>9</v>
      </c>
      <c r="K5"/>
      <c r="M5" s="9" t="s">
        <v>9</v>
      </c>
      <c r="N5" s="9" t="s">
        <v>26</v>
      </c>
      <c r="O5" s="46" t="s">
        <v>22</v>
      </c>
      <c r="P5" s="2"/>
      <c r="Q5" s="2"/>
      <c r="R5" s="2"/>
    </row>
    <row r="6" spans="1:18">
      <c r="A6" s="3">
        <v>3</v>
      </c>
      <c r="B6" s="4" t="s">
        <v>171</v>
      </c>
      <c r="C6" s="4" t="s">
        <v>263</v>
      </c>
      <c r="D6" s="1" t="s">
        <v>268</v>
      </c>
      <c r="E6" s="5" t="s">
        <v>91</v>
      </c>
      <c r="F6" s="5" t="s">
        <v>25</v>
      </c>
      <c r="G6" s="1" t="s">
        <v>155</v>
      </c>
      <c r="H6" s="1"/>
      <c r="I6" s="49">
        <v>2155</v>
      </c>
      <c r="J6" s="3" t="s">
        <v>9</v>
      </c>
      <c r="K6"/>
      <c r="M6" s="9" t="s">
        <v>11</v>
      </c>
      <c r="N6" s="9" t="s">
        <v>28</v>
      </c>
      <c r="O6" s="45" t="s">
        <v>30</v>
      </c>
      <c r="P6" s="2"/>
      <c r="Q6" s="2"/>
      <c r="R6" s="2"/>
    </row>
    <row r="7" spans="1:18">
      <c r="A7" s="3">
        <v>4</v>
      </c>
      <c r="B7" s="4" t="s">
        <v>171</v>
      </c>
      <c r="C7" s="4" t="s">
        <v>264</v>
      </c>
      <c r="D7" s="1" t="s">
        <v>265</v>
      </c>
      <c r="E7" s="5" t="s">
        <v>91</v>
      </c>
      <c r="F7" s="5" t="s">
        <v>25</v>
      </c>
      <c r="G7" s="1" t="s">
        <v>161</v>
      </c>
      <c r="H7" s="1" t="s">
        <v>162</v>
      </c>
      <c r="I7" s="49">
        <v>300</v>
      </c>
      <c r="J7" s="3" t="s">
        <v>9</v>
      </c>
      <c r="K7"/>
      <c r="M7" s="9" t="s">
        <v>18</v>
      </c>
      <c r="N7" s="9" t="s">
        <v>27</v>
      </c>
      <c r="O7" s="9" t="s">
        <v>90</v>
      </c>
      <c r="P7" s="2"/>
      <c r="Q7" s="2"/>
      <c r="R7" s="2"/>
    </row>
    <row r="8" spans="1:18">
      <c r="A8" s="3">
        <v>5</v>
      </c>
      <c r="B8" s="4" t="s">
        <v>171</v>
      </c>
      <c r="C8" s="4" t="s">
        <v>267</v>
      </c>
      <c r="D8" s="1" t="s">
        <v>266</v>
      </c>
      <c r="E8" s="5" t="s">
        <v>91</v>
      </c>
      <c r="F8" s="5" t="s">
        <v>25</v>
      </c>
      <c r="G8" s="1" t="s">
        <v>163</v>
      </c>
      <c r="H8" s="1" t="s">
        <v>164</v>
      </c>
      <c r="I8" s="49">
        <v>130</v>
      </c>
      <c r="J8" s="3" t="s">
        <v>10</v>
      </c>
      <c r="K8"/>
      <c r="M8" s="9" t="s">
        <v>97</v>
      </c>
      <c r="N8" s="9" t="s">
        <v>29</v>
      </c>
      <c r="O8" s="9" t="s">
        <v>91</v>
      </c>
      <c r="P8" s="2"/>
      <c r="Q8" s="2"/>
      <c r="R8" s="2"/>
    </row>
    <row r="9" spans="1:18">
      <c r="A9" s="3">
        <v>6</v>
      </c>
      <c r="B9" s="4" t="s">
        <v>172</v>
      </c>
      <c r="C9" s="4" t="s">
        <v>261</v>
      </c>
      <c r="D9" s="1" t="s">
        <v>156</v>
      </c>
      <c r="E9" s="5" t="s">
        <v>91</v>
      </c>
      <c r="F9" s="5" t="s">
        <v>25</v>
      </c>
      <c r="G9" s="1" t="s">
        <v>165</v>
      </c>
      <c r="H9" s="1" t="s">
        <v>166</v>
      </c>
      <c r="I9" s="49">
        <v>229</v>
      </c>
      <c r="J9" s="3" t="s">
        <v>11</v>
      </c>
      <c r="K9"/>
      <c r="P9" s="2"/>
      <c r="Q9" s="2"/>
      <c r="R9" s="2"/>
    </row>
    <row r="10" spans="1:18">
      <c r="A10" s="3">
        <v>7</v>
      </c>
      <c r="B10" s="4" t="s">
        <v>172</v>
      </c>
      <c r="C10" s="4" t="s">
        <v>260</v>
      </c>
      <c r="D10" s="1" t="s">
        <v>157</v>
      </c>
      <c r="E10" s="5" t="s">
        <v>91</v>
      </c>
      <c r="F10" s="5" t="s">
        <v>25</v>
      </c>
      <c r="G10" s="1" t="s">
        <v>167</v>
      </c>
      <c r="H10" s="1" t="s">
        <v>168</v>
      </c>
      <c r="I10" s="49">
        <v>229</v>
      </c>
      <c r="J10" s="3" t="s">
        <v>11</v>
      </c>
      <c r="K10" s="1"/>
      <c r="L10" s="1"/>
      <c r="P10" s="2"/>
      <c r="Q10" s="2"/>
      <c r="R10" s="2"/>
    </row>
    <row r="11" spans="1:18">
      <c r="A11" s="3">
        <v>8</v>
      </c>
      <c r="B11" s="4" t="s">
        <v>172</v>
      </c>
      <c r="C11" s="4" t="s">
        <v>259</v>
      </c>
      <c r="D11" s="1" t="s">
        <v>158</v>
      </c>
      <c r="E11" s="5" t="s">
        <v>91</v>
      </c>
      <c r="F11" s="5" t="s">
        <v>25</v>
      </c>
      <c r="G11" s="1" t="s">
        <v>169</v>
      </c>
      <c r="H11" s="1" t="s">
        <v>170</v>
      </c>
      <c r="I11" s="49">
        <v>229</v>
      </c>
      <c r="J11" s="3" t="s">
        <v>11</v>
      </c>
      <c r="K11" s="1"/>
      <c r="L11" s="1"/>
      <c r="P11" s="2"/>
      <c r="Q11" s="2"/>
      <c r="R11" s="2"/>
    </row>
    <row r="12" spans="1:18">
      <c r="A12" s="3">
        <v>9</v>
      </c>
      <c r="B12" s="4" t="s">
        <v>207</v>
      </c>
      <c r="C12" s="4" t="s">
        <v>258</v>
      </c>
      <c r="D12" s="1" t="s">
        <v>201</v>
      </c>
      <c r="E12" s="5" t="s">
        <v>91</v>
      </c>
      <c r="F12" s="5" t="s">
        <v>25</v>
      </c>
      <c r="G12" s="1" t="s">
        <v>203</v>
      </c>
      <c r="H12" s="1" t="s">
        <v>204</v>
      </c>
      <c r="I12" s="49">
        <v>229</v>
      </c>
      <c r="J12" s="3" t="s">
        <v>9</v>
      </c>
      <c r="K12" s="1"/>
      <c r="L12" s="1"/>
      <c r="P12" s="2"/>
      <c r="Q12" s="2"/>
      <c r="R12" s="2"/>
    </row>
    <row r="13" spans="1:18">
      <c r="A13" s="3">
        <v>10</v>
      </c>
      <c r="B13" s="4" t="s">
        <v>207</v>
      </c>
      <c r="C13" s="4" t="s">
        <v>257</v>
      </c>
      <c r="D13" s="1" t="s">
        <v>202</v>
      </c>
      <c r="E13" s="5" t="s">
        <v>91</v>
      </c>
      <c r="F13" s="5" t="s">
        <v>25</v>
      </c>
      <c r="G13" s="1" t="s">
        <v>205</v>
      </c>
      <c r="H13" s="1" t="s">
        <v>206</v>
      </c>
      <c r="I13" s="49">
        <v>180</v>
      </c>
      <c r="J13" s="3" t="s">
        <v>10</v>
      </c>
      <c r="K13" s="1"/>
      <c r="L13" s="1"/>
      <c r="P13" s="2"/>
      <c r="Q13" s="2"/>
      <c r="R13" s="2"/>
    </row>
    <row r="14" spans="1:18">
      <c r="A14" s="3">
        <v>11</v>
      </c>
      <c r="B14" s="4" t="s">
        <v>292</v>
      </c>
      <c r="C14" s="4" t="s">
        <v>337</v>
      </c>
      <c r="D14" s="1" t="s">
        <v>273</v>
      </c>
      <c r="E14" s="5" t="s">
        <v>91</v>
      </c>
      <c r="F14" s="5" t="s">
        <v>25</v>
      </c>
      <c r="G14" s="1" t="s">
        <v>280</v>
      </c>
      <c r="H14" s="49" t="s">
        <v>281</v>
      </c>
      <c r="I14" s="49">
        <v>280</v>
      </c>
      <c r="J14" s="3" t="s">
        <v>10</v>
      </c>
      <c r="K14" s="1"/>
      <c r="O14" s="2"/>
      <c r="P14" s="2"/>
      <c r="Q14" s="2"/>
    </row>
    <row r="15" spans="1:18">
      <c r="A15" s="3">
        <v>12</v>
      </c>
      <c r="B15" s="4" t="s">
        <v>292</v>
      </c>
      <c r="C15" s="1" t="s">
        <v>338</v>
      </c>
      <c r="D15" s="1" t="s">
        <v>274</v>
      </c>
      <c r="E15" s="5" t="s">
        <v>91</v>
      </c>
      <c r="F15" s="5" t="s">
        <v>25</v>
      </c>
      <c r="G15" s="3" t="s">
        <v>282</v>
      </c>
      <c r="H15" s="1" t="s">
        <v>283</v>
      </c>
      <c r="I15" s="49">
        <v>180</v>
      </c>
      <c r="J15" s="3" t="s">
        <v>9</v>
      </c>
      <c r="K15" s="1"/>
      <c r="L15" s="1"/>
      <c r="P15" s="2"/>
      <c r="Q15" s="2"/>
      <c r="R15" s="2"/>
    </row>
    <row r="16" spans="1:18">
      <c r="A16" s="3">
        <v>13</v>
      </c>
      <c r="B16" s="4" t="s">
        <v>292</v>
      </c>
      <c r="C16" s="1" t="s">
        <v>339</v>
      </c>
      <c r="D16" s="1" t="s">
        <v>275</v>
      </c>
      <c r="E16" s="5" t="s">
        <v>91</v>
      </c>
      <c r="F16" s="5" t="s">
        <v>25</v>
      </c>
      <c r="G16" s="6" t="s">
        <v>284</v>
      </c>
      <c r="H16" s="1" t="s">
        <v>285</v>
      </c>
      <c r="I16" s="49">
        <v>180</v>
      </c>
      <c r="J16" s="3" t="s">
        <v>10</v>
      </c>
      <c r="K16" s="1"/>
      <c r="L16" s="1"/>
      <c r="P16" s="2"/>
      <c r="Q16" s="2"/>
      <c r="R16" s="2"/>
    </row>
    <row r="17" spans="1:18">
      <c r="A17" s="3">
        <v>14</v>
      </c>
      <c r="B17" s="4" t="s">
        <v>292</v>
      </c>
      <c r="C17" s="1" t="s">
        <v>340</v>
      </c>
      <c r="D17" s="1" t="s">
        <v>276</v>
      </c>
      <c r="E17" s="5" t="s">
        <v>91</v>
      </c>
      <c r="F17" s="5" t="s">
        <v>25</v>
      </c>
      <c r="G17" s="6" t="s">
        <v>279</v>
      </c>
      <c r="H17" s="1"/>
      <c r="I17" s="48">
        <v>130</v>
      </c>
      <c r="J17" s="3" t="s">
        <v>10</v>
      </c>
      <c r="K17" s="1"/>
      <c r="L17" s="1"/>
      <c r="P17" s="2"/>
      <c r="Q17" s="2"/>
      <c r="R17" s="2"/>
    </row>
    <row r="18" spans="1:18">
      <c r="A18" s="3">
        <v>15</v>
      </c>
      <c r="B18" s="4" t="s">
        <v>292</v>
      </c>
      <c r="C18" s="1" t="s">
        <v>350</v>
      </c>
      <c r="D18" s="1" t="s">
        <v>349</v>
      </c>
      <c r="E18" s="5" t="s">
        <v>91</v>
      </c>
      <c r="F18" s="5" t="s">
        <v>25</v>
      </c>
      <c r="G18" s="6" t="s">
        <v>286</v>
      </c>
      <c r="H18" s="1" t="s">
        <v>287</v>
      </c>
      <c r="I18" s="49">
        <v>260</v>
      </c>
      <c r="J18" s="3" t="s">
        <v>9</v>
      </c>
      <c r="K18" s="1"/>
      <c r="L18" s="1"/>
      <c r="P18" s="2"/>
      <c r="Q18" s="2"/>
      <c r="R18" s="2"/>
    </row>
    <row r="19" spans="1:18">
      <c r="A19" s="3">
        <v>16</v>
      </c>
      <c r="B19" s="4" t="s">
        <v>292</v>
      </c>
      <c r="C19" s="1" t="s">
        <v>341</v>
      </c>
      <c r="D19" s="1" t="s">
        <v>277</v>
      </c>
      <c r="E19" s="5" t="s">
        <v>91</v>
      </c>
      <c r="F19" s="5" t="s">
        <v>25</v>
      </c>
      <c r="G19" s="1" t="s">
        <v>288</v>
      </c>
      <c r="H19" s="1" t="s">
        <v>289</v>
      </c>
      <c r="I19" s="49">
        <v>200</v>
      </c>
      <c r="J19" s="3" t="s">
        <v>10</v>
      </c>
      <c r="K19" s="1"/>
      <c r="L19" s="1"/>
      <c r="P19" s="2"/>
      <c r="Q19" s="2"/>
      <c r="R19" s="2"/>
    </row>
    <row r="20" spans="1:18">
      <c r="A20" s="3">
        <v>17</v>
      </c>
      <c r="B20" s="4" t="s">
        <v>292</v>
      </c>
      <c r="C20" s="1" t="s">
        <v>342</v>
      </c>
      <c r="D20" s="1" t="s">
        <v>278</v>
      </c>
      <c r="E20" s="5" t="s">
        <v>91</v>
      </c>
      <c r="F20" s="5" t="s">
        <v>25</v>
      </c>
      <c r="G20" s="1" t="s">
        <v>290</v>
      </c>
      <c r="H20" s="1" t="s">
        <v>291</v>
      </c>
      <c r="I20" s="49">
        <v>430</v>
      </c>
      <c r="J20" s="3" t="s">
        <v>10</v>
      </c>
      <c r="K20" s="1"/>
      <c r="L20" s="1"/>
      <c r="P20" s="2"/>
      <c r="Q20" s="2"/>
      <c r="R20" s="2"/>
    </row>
    <row r="21" spans="1:18">
      <c r="A21" s="3">
        <v>18</v>
      </c>
      <c r="B21" s="8">
        <v>243793</v>
      </c>
      <c r="C21" s="1" t="s">
        <v>343</v>
      </c>
      <c r="D21" s="47" t="s">
        <v>308</v>
      </c>
      <c r="E21" s="5" t="s">
        <v>91</v>
      </c>
      <c r="F21" s="5" t="s">
        <v>25</v>
      </c>
      <c r="G21" s="1" t="s">
        <v>312</v>
      </c>
      <c r="H21" s="1" t="s">
        <v>313</v>
      </c>
      <c r="I21" s="49">
        <v>200</v>
      </c>
      <c r="J21" s="3" t="s">
        <v>10</v>
      </c>
      <c r="L21" s="1"/>
      <c r="P21" s="2"/>
      <c r="Q21" s="2"/>
      <c r="R21" s="2"/>
    </row>
    <row r="22" spans="1:18">
      <c r="A22" s="3">
        <v>19</v>
      </c>
      <c r="B22" s="8">
        <v>243793</v>
      </c>
      <c r="C22" s="1" t="s">
        <v>344</v>
      </c>
      <c r="D22" s="1" t="s">
        <v>309</v>
      </c>
      <c r="E22" s="5" t="s">
        <v>91</v>
      </c>
      <c r="F22" s="5" t="s">
        <v>25</v>
      </c>
      <c r="G22" s="1" t="s">
        <v>314</v>
      </c>
      <c r="H22" s="1" t="s">
        <v>315</v>
      </c>
      <c r="I22" s="49">
        <v>180</v>
      </c>
      <c r="J22" s="3" t="s">
        <v>9</v>
      </c>
      <c r="K22" s="6"/>
      <c r="L22" s="1"/>
      <c r="P22" s="2"/>
      <c r="Q22" s="2"/>
      <c r="R22" s="2"/>
    </row>
    <row r="23" spans="1:18">
      <c r="A23" s="3">
        <v>20</v>
      </c>
      <c r="B23" s="8">
        <v>243793</v>
      </c>
      <c r="C23" s="1" t="s">
        <v>345</v>
      </c>
      <c r="D23" s="1" t="s">
        <v>310</v>
      </c>
      <c r="E23" s="5" t="s">
        <v>91</v>
      </c>
      <c r="F23" s="5" t="s">
        <v>25</v>
      </c>
      <c r="G23" s="1" t="s">
        <v>319</v>
      </c>
      <c r="H23" s="49" t="s">
        <v>316</v>
      </c>
      <c r="I23" s="48">
        <v>130</v>
      </c>
      <c r="J23" s="3" t="s">
        <v>10</v>
      </c>
      <c r="L23" s="1"/>
      <c r="P23" s="2"/>
      <c r="Q23" s="2"/>
      <c r="R23" s="2"/>
    </row>
    <row r="24" spans="1:18">
      <c r="A24" s="3">
        <v>21</v>
      </c>
      <c r="B24" s="8">
        <v>243793</v>
      </c>
      <c r="C24" s="1" t="s">
        <v>389</v>
      </c>
      <c r="D24" s="1" t="s">
        <v>311</v>
      </c>
      <c r="E24" s="5" t="s">
        <v>91</v>
      </c>
      <c r="F24" s="5" t="s">
        <v>25</v>
      </c>
      <c r="G24" s="1" t="s">
        <v>317</v>
      </c>
      <c r="H24" s="1" t="s">
        <v>318</v>
      </c>
      <c r="I24" s="49">
        <v>559</v>
      </c>
      <c r="J24" s="3" t="s">
        <v>10</v>
      </c>
      <c r="P24" s="2"/>
      <c r="Q24" s="2"/>
      <c r="R24" s="2"/>
    </row>
    <row r="25" spans="1:18">
      <c r="A25" s="3">
        <v>22</v>
      </c>
      <c r="B25" s="8">
        <v>243794</v>
      </c>
      <c r="C25" s="1" t="s">
        <v>346</v>
      </c>
      <c r="D25" s="1" t="s">
        <v>328</v>
      </c>
      <c r="E25" s="5" t="s">
        <v>91</v>
      </c>
      <c r="F25" s="5" t="s">
        <v>25</v>
      </c>
      <c r="G25" s="1" t="s">
        <v>331</v>
      </c>
      <c r="H25" s="1" t="s">
        <v>332</v>
      </c>
      <c r="I25" s="49">
        <v>309</v>
      </c>
      <c r="J25" s="3" t="s">
        <v>9</v>
      </c>
      <c r="P25" s="2"/>
      <c r="Q25" s="2"/>
      <c r="R25" s="2"/>
    </row>
    <row r="26" spans="1:18">
      <c r="A26" s="3">
        <v>23</v>
      </c>
      <c r="B26" s="8">
        <v>243794</v>
      </c>
      <c r="C26" s="1" t="s">
        <v>347</v>
      </c>
      <c r="D26" s="1" t="s">
        <v>329</v>
      </c>
      <c r="E26" s="5" t="s">
        <v>91</v>
      </c>
      <c r="F26" s="5" t="s">
        <v>25</v>
      </c>
      <c r="G26" s="1" t="s">
        <v>335</v>
      </c>
      <c r="H26" s="1" t="s">
        <v>336</v>
      </c>
      <c r="I26" s="49">
        <v>75</v>
      </c>
      <c r="J26" s="3" t="s">
        <v>10</v>
      </c>
      <c r="P26" s="2"/>
      <c r="Q26" s="2"/>
      <c r="R26" s="2"/>
    </row>
    <row r="27" spans="1:18">
      <c r="A27" s="3">
        <v>24</v>
      </c>
      <c r="B27" s="8">
        <v>243794</v>
      </c>
      <c r="C27" s="1" t="s">
        <v>348</v>
      </c>
      <c r="D27" s="1" t="s">
        <v>330</v>
      </c>
      <c r="E27" s="5" t="s">
        <v>91</v>
      </c>
      <c r="F27" s="5" t="s">
        <v>25</v>
      </c>
      <c r="G27" s="1" t="s">
        <v>333</v>
      </c>
      <c r="H27" s="1" t="s">
        <v>334</v>
      </c>
      <c r="I27" s="49">
        <v>180</v>
      </c>
      <c r="J27" s="3" t="s">
        <v>9</v>
      </c>
      <c r="P27" s="2"/>
      <c r="Q27" s="2"/>
      <c r="R27" s="2"/>
    </row>
    <row r="28" spans="1:18">
      <c r="A28" s="3">
        <v>25</v>
      </c>
      <c r="B28" s="8">
        <v>243799</v>
      </c>
      <c r="C28" s="5" t="s">
        <v>378</v>
      </c>
      <c r="D28" s="5" t="s">
        <v>375</v>
      </c>
      <c r="E28" s="5" t="s">
        <v>91</v>
      </c>
      <c r="F28" s="5" t="s">
        <v>25</v>
      </c>
      <c r="G28" s="1" t="s">
        <v>381</v>
      </c>
      <c r="H28" s="1" t="s">
        <v>382</v>
      </c>
      <c r="I28" s="49">
        <v>180</v>
      </c>
      <c r="J28" s="3" t="s">
        <v>10</v>
      </c>
      <c r="P28" s="2"/>
      <c r="Q28" s="2"/>
      <c r="R28" s="2"/>
    </row>
    <row r="29" spans="1:18">
      <c r="A29" s="3">
        <v>26</v>
      </c>
      <c r="B29" s="8">
        <v>243799</v>
      </c>
      <c r="C29" s="4" t="s">
        <v>379</v>
      </c>
      <c r="D29" s="4" t="s">
        <v>376</v>
      </c>
      <c r="E29" s="5" t="s">
        <v>91</v>
      </c>
      <c r="F29" s="5" t="s">
        <v>25</v>
      </c>
      <c r="G29" s="1" t="s">
        <v>383</v>
      </c>
      <c r="H29" s="1" t="s">
        <v>384</v>
      </c>
      <c r="I29" s="49">
        <v>180</v>
      </c>
      <c r="J29" s="3" t="s">
        <v>10</v>
      </c>
      <c r="P29" s="2"/>
      <c r="Q29" s="2"/>
      <c r="R29" s="2"/>
    </row>
    <row r="30" spans="1:18">
      <c r="A30" s="3">
        <v>27</v>
      </c>
      <c r="B30" s="8">
        <v>243799</v>
      </c>
      <c r="C30" s="4" t="s">
        <v>380</v>
      </c>
      <c r="D30" s="4" t="s">
        <v>377</v>
      </c>
      <c r="E30" s="5" t="s">
        <v>91</v>
      </c>
      <c r="F30" s="5" t="s">
        <v>25</v>
      </c>
      <c r="G30" s="3" t="s">
        <v>385</v>
      </c>
      <c r="H30" s="1" t="s">
        <v>386</v>
      </c>
      <c r="I30" s="49">
        <v>180</v>
      </c>
      <c r="J30" s="3" t="s">
        <v>9</v>
      </c>
      <c r="P30" s="2"/>
    </row>
    <row r="31" spans="1:18" ht="29.4" thickBot="1">
      <c r="H31" s="51" t="s">
        <v>16</v>
      </c>
      <c r="I31" s="50">
        <f>SUM(I4:I30)</f>
        <v>7644</v>
      </c>
      <c r="J31" s="52" t="s">
        <v>94</v>
      </c>
    </row>
    <row r="32" spans="1:18" ht="24" thickTop="1"/>
  </sheetData>
  <autoFilter ref="A3:X31" xr:uid="{5D80EBCA-1D2A-4602-883D-0120B5DC9240}"/>
  <dataConsolidate/>
  <mergeCells count="13">
    <mergeCell ref="A2:A3"/>
    <mergeCell ref="B2:B3"/>
    <mergeCell ref="C2:C3"/>
    <mergeCell ref="D2:D3"/>
    <mergeCell ref="G2:H2"/>
    <mergeCell ref="K2:K3"/>
    <mergeCell ref="M2:M3"/>
    <mergeCell ref="O2:O3"/>
    <mergeCell ref="J2:J3"/>
    <mergeCell ref="E2:E3"/>
    <mergeCell ref="F2:F3"/>
    <mergeCell ref="N2:N3"/>
    <mergeCell ref="I2:I3"/>
  </mergeCells>
  <phoneticPr fontId="16" type="noConversion"/>
  <dataValidations count="3">
    <dataValidation type="list" allowBlank="1" showInputMessage="1" showErrorMessage="1" sqref="J32:J1048576 J1:J30" xr:uid="{2736945C-7942-4DEE-A17E-B5B71DE7D63A}">
      <formula1>$M$4:$M$25</formula1>
    </dataValidation>
    <dataValidation type="list" allowBlank="1" showInputMessage="1" showErrorMessage="1" sqref="E1:E1048576" xr:uid="{D2FC0E2E-1651-4C21-9903-7CD645E6E4FF}">
      <formula1>$O$4:$O$8</formula1>
    </dataValidation>
    <dataValidation type="list" allowBlank="1" showInputMessage="1" showErrorMessage="1" sqref="F1:F1048576" xr:uid="{55F7DB15-91F3-41AA-B28C-C90A1171C47B}">
      <formula1>$N$2:$N$27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AF43-78FF-485F-A91A-10BC19B0F29A}">
  <sheetPr>
    <tabColor rgb="FF7030A0"/>
  </sheetPr>
  <dimension ref="A1:AH35"/>
  <sheetViews>
    <sheetView zoomScaleNormal="100" workbookViewId="0">
      <pane xSplit="5" ySplit="3" topLeftCell="U22" activePane="bottomRight" state="frozen"/>
      <selection pane="topRight" activeCell="F1" sqref="F1"/>
      <selection pane="bottomLeft" activeCell="A4" sqref="A4"/>
      <selection pane="bottomRight" activeCell="AE3" sqref="AE3"/>
    </sheetView>
  </sheetViews>
  <sheetFormatPr defaultColWidth="9.109375" defaultRowHeight="23.4"/>
  <cols>
    <col min="1" max="1" width="16.109375" style="3" customWidth="1"/>
    <col min="2" max="2" width="15.6640625" style="3" bestFit="1" customWidth="1"/>
    <col min="3" max="4" width="14.109375" style="3" bestFit="1" customWidth="1"/>
    <col min="5" max="6" width="20.6640625" style="3" bestFit="1" customWidth="1"/>
    <col min="7" max="7" width="10.109375" style="3" bestFit="1" customWidth="1"/>
    <col min="8" max="8" width="10.6640625" style="3" bestFit="1" customWidth="1"/>
    <col min="9" max="9" width="12.33203125" style="3" bestFit="1" customWidth="1"/>
    <col min="10" max="10" width="7.44140625" style="3" bestFit="1" customWidth="1"/>
    <col min="11" max="11" width="11" style="3" bestFit="1" customWidth="1"/>
    <col min="12" max="12" width="8" style="3" bestFit="1" customWidth="1"/>
    <col min="13" max="13" width="11.5546875" style="3" bestFit="1" customWidth="1"/>
    <col min="14" max="14" width="10.5546875" style="3" bestFit="1" customWidth="1"/>
    <col min="15" max="15" width="8.44140625" style="3" bestFit="1" customWidth="1"/>
    <col min="16" max="16" width="19.5546875" style="3" bestFit="1" customWidth="1"/>
    <col min="17" max="17" width="17" style="3" bestFit="1" customWidth="1"/>
    <col min="18" max="18" width="13.5546875" style="3" bestFit="1" customWidth="1"/>
    <col min="19" max="20" width="21.44140625" style="3" bestFit="1" customWidth="1"/>
    <col min="21" max="21" width="17" style="3" bestFit="1" customWidth="1"/>
    <col min="22" max="22" width="11.88671875" style="3" bestFit="1" customWidth="1"/>
    <col min="23" max="23" width="11.33203125" style="3" bestFit="1" customWidth="1"/>
    <col min="24" max="24" width="8" style="3" bestFit="1" customWidth="1"/>
    <col min="25" max="25" width="7.6640625" style="3" bestFit="1" customWidth="1"/>
    <col min="26" max="27" width="10.109375" style="3" bestFit="1" customWidth="1"/>
    <col min="28" max="28" width="6.44140625" style="3" bestFit="1" customWidth="1"/>
    <col min="29" max="29" width="9.88671875" style="3" bestFit="1" customWidth="1"/>
    <col min="30" max="30" width="9.33203125" style="3" bestFit="1" customWidth="1"/>
    <col min="31" max="31" width="15.6640625" style="3" bestFit="1" customWidth="1"/>
    <col min="32" max="32" width="15.5546875" style="3" bestFit="1" customWidth="1"/>
    <col min="33" max="33" width="10.33203125" style="3" bestFit="1" customWidth="1"/>
    <col min="34" max="34" width="26.33203125" style="3" bestFit="1" customWidth="1"/>
    <col min="35" max="16384" width="9.109375" style="3"/>
  </cols>
  <sheetData>
    <row r="1" spans="1:34" s="28" customFormat="1" ht="32.4">
      <c r="A1" s="7" t="s">
        <v>107</v>
      </c>
    </row>
    <row r="2" spans="1:34" s="27" customFormat="1" ht="26.25" customHeight="1">
      <c r="A2" s="111" t="s">
        <v>31</v>
      </c>
      <c r="B2" s="114" t="s">
        <v>62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6"/>
      <c r="AH2" s="113" t="s">
        <v>65</v>
      </c>
    </row>
    <row r="3" spans="1:34" s="27" customFormat="1" ht="26.4">
      <c r="A3" s="112"/>
      <c r="B3" s="56" t="s">
        <v>32</v>
      </c>
      <c r="C3" s="56" t="s">
        <v>33</v>
      </c>
      <c r="D3" s="56" t="s">
        <v>34</v>
      </c>
      <c r="E3" s="56" t="s">
        <v>35</v>
      </c>
      <c r="F3" s="56" t="s">
        <v>36</v>
      </c>
      <c r="G3" s="56" t="s">
        <v>37</v>
      </c>
      <c r="H3" s="56" t="s">
        <v>38</v>
      </c>
      <c r="I3" s="56" t="s">
        <v>108</v>
      </c>
      <c r="J3" s="56" t="s">
        <v>39</v>
      </c>
      <c r="K3" s="56" t="s">
        <v>40</v>
      </c>
      <c r="L3" s="56" t="s">
        <v>41</v>
      </c>
      <c r="M3" s="56" t="s">
        <v>42</v>
      </c>
      <c r="N3" s="56" t="s">
        <v>109</v>
      </c>
      <c r="O3" s="56" t="s">
        <v>43</v>
      </c>
      <c r="P3" s="56" t="s">
        <v>44</v>
      </c>
      <c r="Q3" s="56" t="s">
        <v>45</v>
      </c>
      <c r="R3" s="56" t="s">
        <v>46</v>
      </c>
      <c r="S3" s="56" t="s">
        <v>47</v>
      </c>
      <c r="T3" s="56" t="s">
        <v>48</v>
      </c>
      <c r="U3" s="56" t="s">
        <v>49</v>
      </c>
      <c r="V3" s="56" t="s">
        <v>50</v>
      </c>
      <c r="W3" s="56" t="s">
        <v>51</v>
      </c>
      <c r="X3" s="56" t="s">
        <v>52</v>
      </c>
      <c r="Y3" s="56" t="s">
        <v>53</v>
      </c>
      <c r="Z3" s="56" t="s">
        <v>54</v>
      </c>
      <c r="AA3" s="56" t="s">
        <v>55</v>
      </c>
      <c r="AB3" s="56" t="s">
        <v>56</v>
      </c>
      <c r="AC3" s="56" t="s">
        <v>57</v>
      </c>
      <c r="AD3" s="56" t="s">
        <v>58</v>
      </c>
      <c r="AE3" s="56" t="s">
        <v>110</v>
      </c>
      <c r="AF3" s="56" t="s">
        <v>59</v>
      </c>
      <c r="AG3" s="56" t="s">
        <v>60</v>
      </c>
      <c r="AH3" s="113"/>
    </row>
    <row r="4" spans="1:34">
      <c r="A4" s="29">
        <v>243770</v>
      </c>
      <c r="AH4" s="30">
        <f>SUM(B4:AG4)</f>
        <v>0</v>
      </c>
    </row>
    <row r="5" spans="1:34">
      <c r="A5" s="29">
        <v>243771</v>
      </c>
      <c r="AH5" s="30">
        <f t="shared" ref="AH5:AH34" si="0">SUM(B5:AG5)</f>
        <v>0</v>
      </c>
    </row>
    <row r="6" spans="1:34">
      <c r="A6" s="29">
        <v>243772</v>
      </c>
      <c r="AH6" s="30">
        <f t="shared" si="0"/>
        <v>0</v>
      </c>
    </row>
    <row r="7" spans="1:34">
      <c r="A7" s="29">
        <v>243773</v>
      </c>
      <c r="B7" s="3">
        <v>59</v>
      </c>
      <c r="D7" s="3">
        <v>2</v>
      </c>
      <c r="G7" s="3">
        <v>5</v>
      </c>
      <c r="AG7" s="3">
        <v>10</v>
      </c>
      <c r="AH7" s="30">
        <f t="shared" si="0"/>
        <v>76</v>
      </c>
    </row>
    <row r="8" spans="1:34">
      <c r="A8" s="29">
        <v>243774</v>
      </c>
      <c r="B8" s="3">
        <v>8</v>
      </c>
      <c r="C8" s="3">
        <v>6</v>
      </c>
      <c r="G8" s="3">
        <v>5</v>
      </c>
      <c r="H8" s="3">
        <v>2</v>
      </c>
      <c r="AG8" s="3">
        <v>18</v>
      </c>
      <c r="AH8" s="30">
        <f t="shared" si="0"/>
        <v>39</v>
      </c>
    </row>
    <row r="9" spans="1:34">
      <c r="A9" s="29">
        <v>243775</v>
      </c>
      <c r="C9" s="3">
        <v>3</v>
      </c>
      <c r="AG9" s="3">
        <v>3</v>
      </c>
      <c r="AH9" s="30">
        <f t="shared" si="0"/>
        <v>6</v>
      </c>
    </row>
    <row r="10" spans="1:34">
      <c r="A10" s="29">
        <v>243776</v>
      </c>
      <c r="AH10" s="30">
        <f t="shared" si="0"/>
        <v>0</v>
      </c>
    </row>
    <row r="11" spans="1:34">
      <c r="A11" s="29">
        <v>243777</v>
      </c>
      <c r="AH11" s="30">
        <f t="shared" si="0"/>
        <v>0</v>
      </c>
    </row>
    <row r="12" spans="1:34">
      <c r="A12" s="29">
        <v>243778</v>
      </c>
      <c r="AH12" s="30">
        <f t="shared" si="0"/>
        <v>0</v>
      </c>
    </row>
    <row r="13" spans="1:34">
      <c r="A13" s="29">
        <v>243779</v>
      </c>
      <c r="B13" s="3">
        <v>20</v>
      </c>
      <c r="H13" s="3">
        <v>3</v>
      </c>
      <c r="I13" s="3">
        <v>85</v>
      </c>
      <c r="AE13" s="3">
        <v>3</v>
      </c>
      <c r="AG13" s="3">
        <v>44</v>
      </c>
      <c r="AH13" s="30">
        <f t="shared" si="0"/>
        <v>155</v>
      </c>
    </row>
    <row r="14" spans="1:34">
      <c r="A14" s="29">
        <v>243780</v>
      </c>
      <c r="AH14" s="30">
        <f t="shared" si="0"/>
        <v>0</v>
      </c>
    </row>
    <row r="15" spans="1:34">
      <c r="A15" s="29">
        <v>243781</v>
      </c>
      <c r="AH15" s="30">
        <f t="shared" si="0"/>
        <v>0</v>
      </c>
    </row>
    <row r="16" spans="1:34">
      <c r="A16" s="29">
        <v>243782</v>
      </c>
      <c r="C16" s="3">
        <v>3</v>
      </c>
      <c r="E16" s="3">
        <v>1</v>
      </c>
      <c r="G16" s="3">
        <v>6</v>
      </c>
      <c r="I16" s="3">
        <v>15</v>
      </c>
      <c r="AG16" s="3">
        <v>9</v>
      </c>
      <c r="AH16" s="30">
        <f t="shared" si="0"/>
        <v>34</v>
      </c>
    </row>
    <row r="17" spans="1:34">
      <c r="A17" s="29">
        <v>243783</v>
      </c>
      <c r="I17" s="3">
        <v>30</v>
      </c>
      <c r="AH17" s="30">
        <f t="shared" si="0"/>
        <v>30</v>
      </c>
    </row>
    <row r="18" spans="1:34">
      <c r="A18" s="29">
        <v>243784</v>
      </c>
      <c r="AH18" s="30">
        <f t="shared" si="0"/>
        <v>0</v>
      </c>
    </row>
    <row r="19" spans="1:34">
      <c r="A19" s="29">
        <v>243785</v>
      </c>
      <c r="AH19" s="30">
        <f t="shared" si="0"/>
        <v>0</v>
      </c>
    </row>
    <row r="20" spans="1:34">
      <c r="A20" s="29">
        <v>243786</v>
      </c>
      <c r="B20" s="3">
        <v>1</v>
      </c>
      <c r="C20" s="3">
        <v>1</v>
      </c>
      <c r="G20" s="3">
        <v>4</v>
      </c>
      <c r="I20" s="3">
        <v>40</v>
      </c>
      <c r="N20" s="3">
        <v>4</v>
      </c>
      <c r="Y20" s="3">
        <v>14</v>
      </c>
      <c r="AG20" s="3">
        <v>4</v>
      </c>
      <c r="AH20" s="30">
        <f t="shared" si="0"/>
        <v>68</v>
      </c>
    </row>
    <row r="21" spans="1:34">
      <c r="A21" s="29">
        <v>243787</v>
      </c>
      <c r="AH21" s="30">
        <f t="shared" si="0"/>
        <v>0</v>
      </c>
    </row>
    <row r="22" spans="1:34">
      <c r="A22" s="29">
        <v>243788</v>
      </c>
      <c r="AH22" s="30">
        <f t="shared" si="0"/>
        <v>0</v>
      </c>
    </row>
    <row r="23" spans="1:34">
      <c r="A23" s="29">
        <v>243789</v>
      </c>
      <c r="C23" s="3">
        <v>3</v>
      </c>
      <c r="E23" s="3">
        <v>1</v>
      </c>
      <c r="G23" s="3">
        <v>2</v>
      </c>
      <c r="H23" s="3">
        <v>2</v>
      </c>
      <c r="I23" s="3">
        <v>15</v>
      </c>
      <c r="AG23" s="3">
        <v>12</v>
      </c>
      <c r="AH23" s="30">
        <f t="shared" si="0"/>
        <v>35</v>
      </c>
    </row>
    <row r="24" spans="1:34">
      <c r="A24" s="29">
        <v>243790</v>
      </c>
      <c r="AH24" s="30">
        <f t="shared" si="0"/>
        <v>0</v>
      </c>
    </row>
    <row r="25" spans="1:34">
      <c r="A25" s="29">
        <v>243791</v>
      </c>
      <c r="AH25" s="30">
        <f t="shared" si="0"/>
        <v>0</v>
      </c>
    </row>
    <row r="26" spans="1:34">
      <c r="A26" s="29">
        <v>243792</v>
      </c>
      <c r="AH26" s="30">
        <f t="shared" si="0"/>
        <v>0</v>
      </c>
    </row>
    <row r="27" spans="1:34">
      <c r="A27" s="29">
        <v>243793</v>
      </c>
      <c r="B27" s="3">
        <v>22</v>
      </c>
      <c r="G27" s="3">
        <v>15</v>
      </c>
      <c r="H27" s="3">
        <v>2</v>
      </c>
      <c r="I27" s="3">
        <v>53</v>
      </c>
      <c r="AG27" s="3">
        <v>25</v>
      </c>
      <c r="AH27" s="30">
        <f t="shared" si="0"/>
        <v>117</v>
      </c>
    </row>
    <row r="28" spans="1:34">
      <c r="A28" s="29">
        <v>243794</v>
      </c>
      <c r="B28" s="3">
        <v>20</v>
      </c>
      <c r="C28" s="3">
        <v>1</v>
      </c>
      <c r="I28" s="3">
        <v>15</v>
      </c>
      <c r="Y28" s="3">
        <v>15</v>
      </c>
      <c r="AG28" s="3">
        <v>4</v>
      </c>
      <c r="AH28" s="30">
        <f t="shared" si="0"/>
        <v>55</v>
      </c>
    </row>
    <row r="29" spans="1:34">
      <c r="A29" s="29">
        <v>243795</v>
      </c>
      <c r="AH29" s="30">
        <f t="shared" si="0"/>
        <v>0</v>
      </c>
    </row>
    <row r="30" spans="1:34">
      <c r="A30" s="29">
        <v>243796</v>
      </c>
      <c r="AH30" s="30">
        <f t="shared" si="0"/>
        <v>0</v>
      </c>
    </row>
    <row r="31" spans="1:34">
      <c r="A31" s="29">
        <v>243797</v>
      </c>
      <c r="AH31" s="30">
        <f t="shared" si="0"/>
        <v>0</v>
      </c>
    </row>
    <row r="32" spans="1:34">
      <c r="A32" s="29">
        <v>243798</v>
      </c>
      <c r="AH32" s="30">
        <f t="shared" si="0"/>
        <v>0</v>
      </c>
    </row>
    <row r="33" spans="1:34">
      <c r="A33" s="29">
        <v>243799</v>
      </c>
      <c r="C33" s="3">
        <v>1</v>
      </c>
      <c r="G33" s="3">
        <v>4</v>
      </c>
      <c r="AG33" s="3">
        <v>9</v>
      </c>
      <c r="AH33" s="30">
        <f t="shared" si="0"/>
        <v>14</v>
      </c>
    </row>
    <row r="34" spans="1:34" hidden="1">
      <c r="A34" s="29"/>
      <c r="AH34" s="30">
        <f t="shared" si="0"/>
        <v>0</v>
      </c>
    </row>
    <row r="35" spans="1:34">
      <c r="A35" s="30" t="s">
        <v>64</v>
      </c>
      <c r="B35" s="30">
        <f>SUM(B4:B34)</f>
        <v>130</v>
      </c>
      <c r="C35" s="30">
        <f t="shared" ref="C35:AG35" si="1">SUM(C4:C34)</f>
        <v>18</v>
      </c>
      <c r="D35" s="30">
        <f t="shared" si="1"/>
        <v>2</v>
      </c>
      <c r="E35" s="30">
        <f t="shared" si="1"/>
        <v>2</v>
      </c>
      <c r="F35" s="30">
        <f t="shared" si="1"/>
        <v>0</v>
      </c>
      <c r="G35" s="30">
        <f t="shared" si="1"/>
        <v>41</v>
      </c>
      <c r="H35" s="30">
        <f t="shared" si="1"/>
        <v>9</v>
      </c>
      <c r="I35" s="30">
        <f t="shared" si="1"/>
        <v>253</v>
      </c>
      <c r="J35" s="30">
        <f t="shared" si="1"/>
        <v>0</v>
      </c>
      <c r="K35" s="30">
        <f t="shared" si="1"/>
        <v>0</v>
      </c>
      <c r="L35" s="30">
        <f t="shared" si="1"/>
        <v>0</v>
      </c>
      <c r="M35" s="30">
        <f t="shared" si="1"/>
        <v>0</v>
      </c>
      <c r="N35" s="30">
        <f t="shared" si="1"/>
        <v>4</v>
      </c>
      <c r="O35" s="30">
        <f t="shared" si="1"/>
        <v>0</v>
      </c>
      <c r="P35" s="30">
        <f t="shared" si="1"/>
        <v>0</v>
      </c>
      <c r="Q35" s="30">
        <f t="shared" si="1"/>
        <v>0</v>
      </c>
      <c r="R35" s="30">
        <f t="shared" si="1"/>
        <v>0</v>
      </c>
      <c r="S35" s="30">
        <f t="shared" si="1"/>
        <v>0</v>
      </c>
      <c r="T35" s="30">
        <f t="shared" si="1"/>
        <v>0</v>
      </c>
      <c r="U35" s="30">
        <f t="shared" si="1"/>
        <v>0</v>
      </c>
      <c r="V35" s="30">
        <f t="shared" si="1"/>
        <v>0</v>
      </c>
      <c r="W35" s="30">
        <f t="shared" si="1"/>
        <v>0</v>
      </c>
      <c r="X35" s="30">
        <f t="shared" si="1"/>
        <v>0</v>
      </c>
      <c r="Y35" s="30">
        <f t="shared" si="1"/>
        <v>29</v>
      </c>
      <c r="Z35" s="30">
        <f t="shared" si="1"/>
        <v>0</v>
      </c>
      <c r="AA35" s="30">
        <f t="shared" si="1"/>
        <v>0</v>
      </c>
      <c r="AB35" s="30">
        <f t="shared" si="1"/>
        <v>0</v>
      </c>
      <c r="AC35" s="30">
        <f t="shared" si="1"/>
        <v>0</v>
      </c>
      <c r="AD35" s="30">
        <f t="shared" si="1"/>
        <v>0</v>
      </c>
      <c r="AE35" s="30">
        <f t="shared" si="1"/>
        <v>3</v>
      </c>
      <c r="AF35" s="30">
        <f t="shared" si="1"/>
        <v>0</v>
      </c>
      <c r="AG35" s="30">
        <f t="shared" si="1"/>
        <v>138</v>
      </c>
      <c r="AH35" s="31">
        <f>SUM(B35:AG35)</f>
        <v>629</v>
      </c>
    </row>
  </sheetData>
  <mergeCells count="3">
    <mergeCell ref="A2:A3"/>
    <mergeCell ref="AH2:AH3"/>
    <mergeCell ref="B2:AG2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FB04F8-918B-4168-9C8A-F8D1148EEB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7</vt:i4>
      </vt:variant>
    </vt:vector>
  </HeadingPairs>
  <TitlesOfParts>
    <vt:vector size="7" baseType="lpstr">
      <vt:lpstr>สรุป</vt:lpstr>
      <vt:lpstr>สรุปรายการสินค้า</vt:lpstr>
      <vt:lpstr>Lazada</vt:lpstr>
      <vt:lpstr>Shopee</vt:lpstr>
      <vt:lpstr>TikTok</vt:lpstr>
      <vt:lpstr>ไปรษณีย์</vt:lpstr>
      <vt:lpstr>รายการสินค้าตีกลับ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user</cp:lastModifiedBy>
  <cp:lastPrinted>2024-11-25T17:16:27Z</cp:lastPrinted>
  <dcterms:created xsi:type="dcterms:W3CDTF">2024-02-13T02:39:23Z</dcterms:created>
  <dcterms:modified xsi:type="dcterms:W3CDTF">2024-11-25T17:16:28Z</dcterms:modified>
</cp:coreProperties>
</file>