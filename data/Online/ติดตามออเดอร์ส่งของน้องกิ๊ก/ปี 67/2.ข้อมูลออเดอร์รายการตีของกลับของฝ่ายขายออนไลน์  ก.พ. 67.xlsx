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8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E:\งานต้นปาล์ม\รวมออนไลน์\ติดตามออเดอร์ส่งของน้องกิ๊ก\"/>
    </mc:Choice>
  </mc:AlternateContent>
  <xr:revisionPtr revIDLastSave="0" documentId="13_ncr:1_{CD9B0813-DEDC-4BBB-98D1-A1F19035500C}" xr6:coauthVersionLast="36" xr6:coauthVersionMax="47" xr10:uidLastSave="{00000000-0000-0000-0000-000000000000}"/>
  <bookViews>
    <workbookView xWindow="-120" yWindow="-120" windowWidth="29040" windowHeight="15720" tabRatio="882" activeTab="1" xr2:uid="{13EF2253-7BD7-4442-9B9C-0A72170BE943}"/>
  </bookViews>
  <sheets>
    <sheet name="สรุป" sheetId="4" r:id="rId1"/>
    <sheet name="สรุปรายการสินค้า" sheetId="7" r:id="rId2"/>
    <sheet name="Lazada" sheetId="1" r:id="rId3"/>
    <sheet name="Shopee" sheetId="2" r:id="rId4"/>
    <sheet name="TikTok" sheetId="3" r:id="rId5"/>
    <sheet name="ไปรษณีย์" sheetId="5" r:id="rId6"/>
    <sheet name="รายการสินค้าตีกลับ" sheetId="6" r:id="rId7"/>
  </sheets>
  <definedNames>
    <definedName name="_xlnm._FilterDatabase" localSheetId="2" hidden="1">Lazada!$A$3:$AN$22</definedName>
    <definedName name="_xlnm._FilterDatabase" localSheetId="3" hidden="1">Shopee!$A$3:$O$11</definedName>
    <definedName name="_xlnm._FilterDatabase" localSheetId="4" hidden="1">TikTok!$A$3:$O$3</definedName>
    <definedName name="_xlnm._FilterDatabase" localSheetId="5" hidden="1">ไปรษณีย์!$A$3:$X$33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" i="3" l="1"/>
  <c r="I1" i="2"/>
  <c r="I1" i="1"/>
  <c r="K9" i="4"/>
  <c r="J9" i="4"/>
  <c r="I9" i="4"/>
  <c r="H9" i="4"/>
  <c r="G9" i="4"/>
  <c r="F9" i="4"/>
  <c r="E9" i="4"/>
  <c r="D9" i="4"/>
  <c r="C9" i="4"/>
  <c r="B9" i="4"/>
  <c r="M8" i="4"/>
  <c r="L8" i="4"/>
  <c r="M7" i="4"/>
  <c r="L7" i="4"/>
  <c r="M6" i="4"/>
  <c r="L6" i="4"/>
  <c r="M5" i="4"/>
  <c r="L5" i="4"/>
  <c r="L9" i="4" l="1"/>
  <c r="M9" i="4"/>
  <c r="I1" i="5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4" i="6"/>
  <c r="B33" i="6"/>
  <c r="C3" i="7" s="1"/>
  <c r="C33" i="6"/>
  <c r="C4" i="7" s="1"/>
  <c r="D33" i="6"/>
  <c r="C5" i="7" s="1"/>
  <c r="E33" i="6"/>
  <c r="C6" i="7" s="1"/>
  <c r="F33" i="6"/>
  <c r="C7" i="7" s="1"/>
  <c r="G33" i="6"/>
  <c r="C8" i="7" s="1"/>
  <c r="H33" i="6"/>
  <c r="C9" i="7" s="1"/>
  <c r="I33" i="6"/>
  <c r="C10" i="7" s="1"/>
  <c r="J33" i="6"/>
  <c r="C11" i="7" s="1"/>
  <c r="K33" i="6"/>
  <c r="C12" i="7" s="1"/>
  <c r="L33" i="6"/>
  <c r="C13" i="7" s="1"/>
  <c r="M33" i="6"/>
  <c r="C14" i="7" s="1"/>
  <c r="N33" i="6"/>
  <c r="C15" i="7" s="1"/>
  <c r="O33" i="6"/>
  <c r="C16" i="7" s="1"/>
  <c r="P33" i="6"/>
  <c r="C17" i="7" s="1"/>
  <c r="Q33" i="6"/>
  <c r="C18" i="7" s="1"/>
  <c r="R33" i="6"/>
  <c r="C19" i="7" s="1"/>
  <c r="S33" i="6"/>
  <c r="C20" i="7" s="1"/>
  <c r="T33" i="6"/>
  <c r="C21" i="7" s="1"/>
  <c r="U33" i="6"/>
  <c r="C22" i="7" s="1"/>
  <c r="V33" i="6"/>
  <c r="C23" i="7" s="1"/>
  <c r="W33" i="6"/>
  <c r="C24" i="7" s="1"/>
  <c r="X33" i="6"/>
  <c r="C25" i="7" s="1"/>
  <c r="Y33" i="6"/>
  <c r="C26" i="7" s="1"/>
  <c r="Z33" i="6"/>
  <c r="C27" i="7" s="1"/>
  <c r="AA33" i="6"/>
  <c r="C28" i="7" s="1"/>
  <c r="AB33" i="6"/>
  <c r="C29" i="7" s="1"/>
  <c r="AC33" i="6"/>
  <c r="C30" i="7" s="1"/>
  <c r="AD33" i="6"/>
  <c r="C31" i="7" s="1"/>
  <c r="AE33" i="6"/>
  <c r="C32" i="7" s="1"/>
  <c r="AF33" i="6"/>
  <c r="C33" i="7" s="1"/>
  <c r="C34" i="7" l="1"/>
  <c r="AG33" i="6"/>
</calcChain>
</file>

<file path=xl/sharedStrings.xml><?xml version="1.0" encoding="utf-8"?>
<sst xmlns="http://schemas.openxmlformats.org/spreadsheetml/2006/main" count="661" uniqueCount="324">
  <si>
    <t>ลำดับ</t>
  </si>
  <si>
    <t>ชื่อลูกค้า</t>
  </si>
  <si>
    <t>เลขที่พัสดุ</t>
  </si>
  <si>
    <t xml:space="preserve">สาเหตุการตีกลับ </t>
  </si>
  <si>
    <t>วันที่ตีกลับ</t>
  </si>
  <si>
    <t>เลขที่ออเดอร์</t>
  </si>
  <si>
    <t>ชื่อ</t>
  </si>
  <si>
    <t>นามสกุล</t>
  </si>
  <si>
    <t>หัวข้อการสาเหตุตีของกลับ</t>
  </si>
  <si>
    <t>ติดต่อไม่ได้ , ไม่รับโทรศัพท์</t>
  </si>
  <si>
    <t>ปฏิเสธ , ยกเลิก</t>
  </si>
  <si>
    <t>ส่งของไปซ้ำ</t>
  </si>
  <si>
    <t>Lazada</t>
  </si>
  <si>
    <t>Shopee</t>
  </si>
  <si>
    <t>TikTok</t>
  </si>
  <si>
    <t>สาเหตุการตีกลับ</t>
  </si>
  <si>
    <t>รวม</t>
  </si>
  <si>
    <t>Facebook , Facebook Live , Line , Line OA (ไปรษณีย์)</t>
  </si>
  <si>
    <t>ลูกค้าแจ้งว่าไม่ได้สั่ง</t>
  </si>
  <si>
    <t>กาญจนา</t>
  </si>
  <si>
    <t>ยอมรวมทั้งหมด</t>
  </si>
  <si>
    <t>หมายเหตุ</t>
  </si>
  <si>
    <t>ร้านค้า</t>
  </si>
  <si>
    <t>Flash Express Thailand</t>
  </si>
  <si>
    <t>ผู้ให้บริการจัดส่ง</t>
  </si>
  <si>
    <t>LEX TH</t>
  </si>
  <si>
    <t>Facebook</t>
  </si>
  <si>
    <t>Facebook Live</t>
  </si>
  <si>
    <t>Line OA</t>
  </si>
  <si>
    <t>Line</t>
  </si>
  <si>
    <t>Phone</t>
  </si>
  <si>
    <t>Kerry_dropoff</t>
  </si>
  <si>
    <t>วันที่</t>
  </si>
  <si>
    <t>ชิฟฟอนแยกชิ้น</t>
  </si>
  <si>
    <t>ชิฟฟอน 8 ชิ้น</t>
  </si>
  <si>
    <t>ชิฟฟอน 4 ชิ้น</t>
  </si>
  <si>
    <t>ชิฟฟอนไส้แยม 6 ชิ้น</t>
  </si>
  <si>
    <t>ชิฟฟอนไส้แยม 3 ชิ้น</t>
  </si>
  <si>
    <t>เบาหวิว ล</t>
  </si>
  <si>
    <t>เบาหวิว ญ</t>
  </si>
  <si>
    <t>เปี๊ยะ ล</t>
  </si>
  <si>
    <t>เปี๊ยะโมจิ ล</t>
  </si>
  <si>
    <t>เปี๊ยะ ญ</t>
  </si>
  <si>
    <t>เปี๊ยะโมจิ ญ</t>
  </si>
  <si>
    <t>คุกกี้เนย</t>
  </si>
  <si>
    <t>คุกกี้เนย 4 ชิ้น/กล่อง</t>
  </si>
  <si>
    <t>ปังกรอบคาราเมล</t>
  </si>
  <si>
    <t>ปังเนยน้ำตาล</t>
  </si>
  <si>
    <t>ปังเนยนิ่ม กล่อง 2 ชิ้น</t>
  </si>
  <si>
    <t>ปังเนยนิ่ม กล่อง 3 ชิ้น</t>
  </si>
  <si>
    <t>ปังเนยนิ่มถุง5ชิ้น</t>
  </si>
  <si>
    <t>ปังสตรอบูล</t>
  </si>
  <si>
    <t>ปังไก่หยอง</t>
  </si>
  <si>
    <t>ปังทวิต</t>
  </si>
  <si>
    <t>ปังแถว</t>
  </si>
  <si>
    <t>เปี๊ยะลาวา</t>
  </si>
  <si>
    <t>คอนเฟล็ก</t>
  </si>
  <si>
    <t>ไดฟูกุ</t>
  </si>
  <si>
    <t>ปังเลเยอร์</t>
  </si>
  <si>
    <t>เมอแรงค์</t>
  </si>
  <si>
    <t>DIY</t>
  </si>
  <si>
    <t>ครีมฮอนร์จัมโบ้</t>
  </si>
  <si>
    <t>ครีมฮอร์น</t>
  </si>
  <si>
    <t>ยอดรวม</t>
  </si>
  <si>
    <t>รายการ</t>
  </si>
  <si>
    <t>ชิ้น</t>
  </si>
  <si>
    <t>ยอดรวมทั้งเดือน</t>
  </si>
  <si>
    <t>ยอดรวม/วัน (ทุกรายการ)</t>
  </si>
  <si>
    <t>จำนวน</t>
  </si>
  <si>
    <t>พายสัปปะรด</t>
  </si>
  <si>
    <t xml:space="preserve">** NOTE </t>
  </si>
  <si>
    <t>ชื่อลูกค้า ไม่มีในข้อมูล TikTok</t>
  </si>
  <si>
    <t>ชื่อลูกค้า ไม่มีในข้อมูล Shopee</t>
  </si>
  <si>
    <t>สรุปรายการของตีกลับของช่องทางออนไลน์ เดือนกุมภาพันธ์ 67</t>
  </si>
  <si>
    <t>สรุปรายการสินค้าที่ตีกลับมารวมทุกช่องทางขายออนไลน์ เดือนกุมภาพันธ์ 2567</t>
  </si>
  <si>
    <t>รายการของตีกลับช่องทาง LAZADA เดือนกุมภาพันธ์ 2567</t>
  </si>
  <si>
    <t>รายการของตีกลับช่องทาง SHOPEE เดือนกุมภาพันธ์ 2567</t>
  </si>
  <si>
    <t>รายการของตีกลับช่องทาง TikTok เดือนกุมภาพันธ์ 2567</t>
  </si>
  <si>
    <t>รายการของตีกลับช่องทาง Facebook , Facebook Live , Line , Line OA (ไปรษณีย์) เดือนกุมภาพันธ์ 2567</t>
  </si>
  <si>
    <t>29/02/2567</t>
  </si>
  <si>
    <t>รายการสินค้าที่ตีกลับมารวมทุกช่องทางขายออนไลน์ เดือนกุมภาพันธ์ 2567</t>
  </si>
  <si>
    <t>EA924336732TH</t>
  </si>
  <si>
    <t>2401309CUY649V</t>
  </si>
  <si>
    <t>810805024936277</t>
  </si>
  <si>
    <t>816810788113850</t>
  </si>
  <si>
    <t>815287163636874</t>
  </si>
  <si>
    <t>808939660647481</t>
  </si>
  <si>
    <t>810375408360054</t>
  </si>
  <si>
    <t>ปราโมทย์</t>
  </si>
  <si>
    <t>ฐานิตา</t>
  </si>
  <si>
    <t>819484128404713</t>
  </si>
  <si>
    <t>819962123918051</t>
  </si>
  <si>
    <t>815363615784790</t>
  </si>
  <si>
    <t>815279834072640</t>
  </si>
  <si>
    <t>820231594103120</t>
  </si>
  <si>
    <t>อ้อยทิพย์</t>
  </si>
  <si>
    <t>มะลัยทอง</t>
  </si>
  <si>
    <t>ยานะ</t>
  </si>
  <si>
    <t>นวพล</t>
  </si>
  <si>
    <t>ก้องเวหา</t>
  </si>
  <si>
    <t>สมคิด</t>
  </si>
  <si>
    <t>บุญสวัสดิ์</t>
  </si>
  <si>
    <t>ศิริวรรณ</t>
  </si>
  <si>
    <t>กอเกษตรทรัพย์</t>
  </si>
  <si>
    <t>ธนวันต์</t>
  </si>
  <si>
    <t>ขวามาตย์</t>
  </si>
  <si>
    <t>สราวุฒิ</t>
  </si>
  <si>
    <t>แซ่อึ้ง</t>
  </si>
  <si>
    <t>อนงค์</t>
  </si>
  <si>
    <t>คุ้มเขต</t>
  </si>
  <si>
    <t>24012715Y1JQG8</t>
  </si>
  <si>
    <t>240127164UETAK</t>
  </si>
  <si>
    <t>รตี</t>
  </si>
  <si>
    <t>โคตร์วงษ์สาลี</t>
  </si>
  <si>
    <t>EA926244146TH</t>
  </si>
  <si>
    <t>EA923807421TH</t>
  </si>
  <si>
    <t>สุวรรณชื่น</t>
  </si>
  <si>
    <t>ภูวนารถ</t>
  </si>
  <si>
    <t>หล่อเหลี่ยม</t>
  </si>
  <si>
    <t>วิษณุ</t>
  </si>
  <si>
    <t>วาจิตรดล</t>
  </si>
  <si>
    <t>คุณอุ๊</t>
  </si>
  <si>
    <t>พรนรินทร์</t>
  </si>
  <si>
    <t>จุติพงษ์รักษา</t>
  </si>
  <si>
    <t>สุนิสา</t>
  </si>
  <si>
    <t>จันทร์เปรม</t>
  </si>
  <si>
    <t>คุณเยาวมาลย์</t>
  </si>
  <si>
    <t>กุลเลียบ</t>
  </si>
  <si>
    <t>EA926635354TH</t>
  </si>
  <si>
    <t>EA928241862TH</t>
  </si>
  <si>
    <t>EA928242046TH</t>
  </si>
  <si>
    <t>EA928242240TH</t>
  </si>
  <si>
    <t>EA928703471TH</t>
  </si>
  <si>
    <t>EA926635535TH</t>
  </si>
  <si>
    <t>ภาฤดี</t>
  </si>
  <si>
    <t>เชดวงษา</t>
  </si>
  <si>
    <t>พัชรี</t>
  </si>
  <si>
    <t>ป้องกา</t>
  </si>
  <si>
    <t>LEXPU0301129173</t>
  </si>
  <si>
    <t>ชื่อร้าน</t>
  </si>
  <si>
    <t>วรรณวนัช เบเกอรี่ (ร้านที่ 1 ร้านหลัก)</t>
  </si>
  <si>
    <t>ของฝากวรรณวนัช (cakewanwanach.lzd)</t>
  </si>
  <si>
    <t>วรรณวนัช ชิฟฟ่อน (chiffonlazada)</t>
  </si>
  <si>
    <t>วรรณวนัช (0944831646)</t>
  </si>
  <si>
    <t>ชิฟฟ่อน กำแพงแสน (chiffonk.kps)</t>
  </si>
  <si>
    <t>วรรณวนัช ของอร่อย (cakewanwanach.kps)</t>
  </si>
  <si>
    <t>วรรณวนัช ไทยแลนด์ (chiffon.kps)</t>
  </si>
  <si>
    <t>ของฝาก นครปฐม (khongfhak.kps)</t>
  </si>
  <si>
    <t>ของอร่อยกำแพงแสน (kahnomcake.lzd)</t>
  </si>
  <si>
    <t>ชิฟฟ่อน เบเกอรี่ (wanwanachcake)</t>
  </si>
  <si>
    <t>TH650356A22B0C</t>
  </si>
  <si>
    <t>ชื่อขนส่ง</t>
  </si>
  <si>
    <t>LEXPU0299959319</t>
  </si>
  <si>
    <t>TH491256ESD61D</t>
  </si>
  <si>
    <t>TH140556W1G50I</t>
  </si>
  <si>
    <t>TH570257WXHM9A</t>
  </si>
  <si>
    <t>LEXPU0305139104</t>
  </si>
  <si>
    <t>LEXPU0305146084</t>
  </si>
  <si>
    <t>LEXPU0304888461</t>
  </si>
  <si>
    <t>KERDO0118877501</t>
  </si>
  <si>
    <t>TH014356ENGB8B</t>
  </si>
  <si>
    <t>ร้านที่ 1</t>
  </si>
  <si>
    <t>ร้านที่ 2</t>
  </si>
  <si>
    <t>TH014356EDH61B</t>
  </si>
  <si>
    <t>TH310556QU6Y5E</t>
  </si>
  <si>
    <t>วรรณวนัชเบเกอรี่ (พี่กุ๊ก)</t>
  </si>
  <si>
    <t>วรรณวนัช เบเกอรี่ (แอม)</t>
  </si>
  <si>
    <t>วรรณวนัช โรงงานจำหน่ายโดยตรง (นุ่น)</t>
  </si>
  <si>
    <t>ของฝากวรรณวนัช By:แอดอั้ม (อั้ม)</t>
  </si>
  <si>
    <t>ชิฟฟ่อนเค้กวรรณวนัช (พี่เอฟ)</t>
  </si>
  <si>
    <t>578448689600367327</t>
  </si>
  <si>
    <t>578484174027525113</t>
  </si>
  <si>
    <t>578483217214572703</t>
  </si>
  <si>
    <t>THT2909R698R9Z</t>
  </si>
  <si>
    <t>746441347772</t>
  </si>
  <si>
    <t>J&amp;T Express</t>
  </si>
  <si>
    <t>746460297741</t>
  </si>
  <si>
    <t>CHF67</t>
  </si>
  <si>
    <t>ไปรษณีย์ไทย</t>
  </si>
  <si>
    <t>CHU6</t>
  </si>
  <si>
    <t>CHB45</t>
  </si>
  <si>
    <t>CHW19</t>
  </si>
  <si>
    <t>CIJ15</t>
  </si>
  <si>
    <t>CIK13</t>
  </si>
  <si>
    <t>CIJ56</t>
  </si>
  <si>
    <t>CIO3</t>
  </si>
  <si>
    <t>CHW34</t>
  </si>
  <si>
    <t>อัจฉรา</t>
  </si>
  <si>
    <t>CHY56</t>
  </si>
  <si>
    <t>EA927275666TH</t>
  </si>
  <si>
    <t>240125QXMDA5D3</t>
  </si>
  <si>
    <t>EA928894325TH</t>
  </si>
  <si>
    <t>819628575908216</t>
  </si>
  <si>
    <t>ธนภรณ์</t>
  </si>
  <si>
    <t>ชูสกุลรัตน์</t>
  </si>
  <si>
    <t>ทิพวัลย์</t>
  </si>
  <si>
    <t>อติสัทธากุล</t>
  </si>
  <si>
    <t>LEXPU0304763939</t>
  </si>
  <si>
    <t>CIQ58</t>
  </si>
  <si>
    <t>578506063501691116</t>
  </si>
  <si>
    <t>578483587064825924</t>
  </si>
  <si>
    <t>578483593582708804</t>
  </si>
  <si>
    <t xml:space="preserve">EA937838596TH </t>
  </si>
  <si>
    <t xml:space="preserve">EA927747785TH </t>
  </si>
  <si>
    <t>EA927748321TH</t>
  </si>
  <si>
    <t>ลภัสกรณ์ ลัง1</t>
  </si>
  <si>
    <t>ลภัสกรณ์ ลัง 2</t>
  </si>
  <si>
    <t>บรรจง</t>
  </si>
  <si>
    <t>ชนิตา</t>
  </si>
  <si>
    <t>CIS44</t>
  </si>
  <si>
    <t>CIE89</t>
  </si>
  <si>
    <t>คล่องเชิงศร</t>
  </si>
  <si>
    <t>746540290451</t>
  </si>
  <si>
    <t>746472205872</t>
  </si>
  <si>
    <t>746491008874</t>
  </si>
  <si>
    <t>814919814412786</t>
  </si>
  <si>
    <t>สุวิชาโณ</t>
  </si>
  <si>
    <t>เจริจสุช</t>
  </si>
  <si>
    <t>2402094EX24FWA</t>
  </si>
  <si>
    <t>578506613570832452</t>
  </si>
  <si>
    <t>KERDO0119045991</t>
  </si>
  <si>
    <t>TH530158DDWN1E</t>
  </si>
  <si>
    <t>THT3701RWWT92Z</t>
  </si>
  <si>
    <t>814329890773969</t>
  </si>
  <si>
    <t>จีรารักษ์</t>
  </si>
  <si>
    <t>EA938539324TH</t>
  </si>
  <si>
    <t>EA928703454TH</t>
  </si>
  <si>
    <t>EA928242426TH</t>
  </si>
  <si>
    <t>ชุมพล</t>
  </si>
  <si>
    <t>บัวลอย</t>
  </si>
  <si>
    <t>พึ่งเพ็ชร์</t>
  </si>
  <si>
    <t>พิมพ์</t>
  </si>
  <si>
    <t>CIX9</t>
  </si>
  <si>
    <t>CIO10</t>
  </si>
  <si>
    <t>CIH99</t>
  </si>
  <si>
    <t>LEXPU0304487404</t>
  </si>
  <si>
    <t>ขวัญสุธาวี</t>
  </si>
  <si>
    <t>817999644072192</t>
  </si>
  <si>
    <t>LEXPU0307580973</t>
  </si>
  <si>
    <t>สุจิตตรา</t>
  </si>
  <si>
    <t>809906687820008</t>
  </si>
  <si>
    <t>578480400424143257</t>
  </si>
  <si>
    <t>578526546905762272</t>
  </si>
  <si>
    <t>EA940310138TH</t>
  </si>
  <si>
    <t>ลภัสกรณ์</t>
  </si>
  <si>
    <t>CJI43</t>
  </si>
  <si>
    <t xml:space="preserve">578523767570598228 </t>
  </si>
  <si>
    <t>746419696665</t>
  </si>
  <si>
    <t>746624840113</t>
  </si>
  <si>
    <t>746578370985</t>
  </si>
  <si>
    <t>LEXPU0300186261</t>
  </si>
  <si>
    <t>สุวรรณศรี</t>
  </si>
  <si>
    <t>819946092877123</t>
  </si>
  <si>
    <t>ตวงพร</t>
  </si>
  <si>
    <t>สระทองหลาง</t>
  </si>
  <si>
    <t>240218UAJKWPSP</t>
  </si>
  <si>
    <t>240214H8V41RXA</t>
  </si>
  <si>
    <t>2402203C78UCWX</t>
  </si>
  <si>
    <t>821268473132064</t>
  </si>
  <si>
    <t>824537732384283</t>
  </si>
  <si>
    <t>821776425018790</t>
  </si>
  <si>
    <t>Bศรัณญา</t>
  </si>
  <si>
    <t>มะยมหิน</t>
  </si>
  <si>
    <t>ธัชรินทร์</t>
  </si>
  <si>
    <t xml:space="preserve">ศรีมันตะ </t>
  </si>
  <si>
    <t>วิภาพร</t>
  </si>
  <si>
    <t>EA940002653TH</t>
  </si>
  <si>
    <t>EA941183064TH</t>
  </si>
  <si>
    <t>EA941738311TH</t>
  </si>
  <si>
    <t>EA939680082TH</t>
  </si>
  <si>
    <t>EA941186145TH</t>
  </si>
  <si>
    <t>EA940650318TH</t>
  </si>
  <si>
    <t>EA942013747TH</t>
  </si>
  <si>
    <t>EA941367933TH</t>
  </si>
  <si>
    <t>EA941739008TH</t>
  </si>
  <si>
    <t>EA941186264TH</t>
  </si>
  <si>
    <t>อะตอม</t>
  </si>
  <si>
    <t>วันเพ็ญ</t>
  </si>
  <si>
    <t>ทับทิมทอง</t>
  </si>
  <si>
    <t>วนิชา</t>
  </si>
  <si>
    <t>หรั่งฤทธิ์</t>
  </si>
  <si>
    <t>ชณิศรณ์</t>
  </si>
  <si>
    <t>สุทธิ์ประภาพันธ์</t>
  </si>
  <si>
    <t>วงษ์ศกร</t>
  </si>
  <si>
    <t>เมืองวงษ์</t>
  </si>
  <si>
    <t>สุปรียา</t>
  </si>
  <si>
    <t>ศรีสันเทียะ</t>
  </si>
  <si>
    <t>ปนิดา</t>
  </si>
  <si>
    <t>โทวิรัตน์</t>
  </si>
  <si>
    <t>Sukunrat</t>
  </si>
  <si>
    <t>Maliwan</t>
  </si>
  <si>
    <t>น.ส.ตะวันรัตน์</t>
  </si>
  <si>
    <t>พรมพินิจ</t>
  </si>
  <si>
    <t>ปราถนา</t>
  </si>
  <si>
    <t>ใจสันทัด</t>
  </si>
  <si>
    <t>พรพนา</t>
  </si>
  <si>
    <t>ชุ่มชาติ</t>
  </si>
  <si>
    <t>LEXPU0310506452</t>
  </si>
  <si>
    <t>LEXDO0092535951</t>
  </si>
  <si>
    <t>KERDO0119836743</t>
  </si>
  <si>
    <t>KERDO0120039397</t>
  </si>
  <si>
    <t>TH071059HJQK4C</t>
  </si>
  <si>
    <t> TH030158Z05Z8B1</t>
  </si>
  <si>
    <t>TH630359UET82B</t>
  </si>
  <si>
    <t>CJG18</t>
  </si>
  <si>
    <t>EA941738705TH</t>
  </si>
  <si>
    <t>CJX27</t>
  </si>
  <si>
    <t>CJR77</t>
  </si>
  <si>
    <t>CJV2</t>
  </si>
  <si>
    <t>CJF38</t>
  </si>
  <si>
    <t>CJS97</t>
  </si>
  <si>
    <t>CJM76</t>
  </si>
  <si>
    <t>CJY13</t>
  </si>
  <si>
    <t>CJU66</t>
  </si>
  <si>
    <t>CJW85</t>
  </si>
  <si>
    <t>CJS90</t>
  </si>
  <si>
    <t>ยอดคำสั่งซื้อ</t>
  </si>
  <si>
    <t>บาท</t>
  </si>
  <si>
    <t>ยอดเงิน</t>
  </si>
  <si>
    <t>แพลตฟอร์ม</t>
  </si>
  <si>
    <t>เกินเวลานัดส่งพัสดุ</t>
  </si>
  <si>
    <t>ลูกค้าตีกลับ เนื่องจาก มดขึ้นขนม ขนมมีรสฟาดเฟื่อน</t>
  </si>
  <si>
    <t>จำนวนออเดอร์</t>
  </si>
  <si>
    <t>ยอดขาย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</si>
</sst>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>
    <font>
      <sz val="11"/>
      <color theme="1"/>
      <name val="Calibri"/>
      <family val="2"/>
      <charset val="222"/>
      <scheme val="minor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22"/>
      <color theme="1"/>
      <name val="Angsana New"/>
      <family val="1"/>
    </font>
    <font>
      <b/>
      <sz val="16"/>
      <color rgb="FF00B050"/>
      <name val="Angsana New"/>
      <family val="1"/>
    </font>
    <font>
      <b/>
      <sz val="16"/>
      <color rgb="FFFF0066"/>
      <name val="Angsana New"/>
      <family val="1"/>
    </font>
    <font>
      <b/>
      <sz val="16"/>
      <color rgb="FF0000FF"/>
      <name val="Angsana New"/>
      <family val="1"/>
    </font>
    <font>
      <sz val="18"/>
      <color theme="1"/>
      <name val="Angsana New"/>
      <family val="1"/>
    </font>
    <font>
      <b/>
      <sz val="20"/>
      <color theme="1"/>
      <name val="Angsana New"/>
      <family val="1"/>
    </font>
    <font>
      <sz val="22"/>
      <color theme="1"/>
      <name val="Angsana New"/>
      <family val="1"/>
    </font>
    <font>
      <b/>
      <sz val="16"/>
      <color rgb="FFFF0000"/>
      <name val="Angsana New"/>
      <family val="1"/>
    </font>
    <font>
      <b/>
      <sz val="18"/>
      <color rgb="FF0000FF"/>
      <name val="Angsana New"/>
      <family val="1"/>
    </font>
    <font>
      <b/>
      <sz val="20"/>
      <color rgb="FF0000FF"/>
      <name val="Angsana New"/>
      <family val="1"/>
    </font>
    <font>
      <sz val="16"/>
      <color rgb="FFFF0000"/>
      <name val="Angsana New"/>
      <family val="1"/>
    </font>
    <font>
      <sz val="11"/>
      <color theme="1"/>
      <name val="Calibri"/>
      <family val="2"/>
      <charset val="222"/>
      <scheme val="minor"/>
    </font>
    <font>
      <b/>
      <sz val="16"/>
      <color rgb="FF6600CC"/>
      <name val="Angsana New"/>
      <family val="1"/>
    </font>
  </fonts>
  <fills count="1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rgb="FFFF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5" fillId="0" borderId="0" applyFont="0" applyFill="0" applyBorder="0" applyAlignment="0" applyProtection="0"/>
  </cellStyleXfs>
  <cellXfs count="118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/>
    </xf>
    <xf numFmtId="49" fontId="1" fillId="6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3" fillId="9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9" fillId="0" borderId="0" xfId="0" applyFont="1" applyAlignment="1">
      <alignment horizontal="right"/>
    </xf>
    <xf numFmtId="0" fontId="13" fillId="0" borderId="7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center"/>
    </xf>
    <xf numFmtId="0" fontId="14" fillId="11" borderId="0" xfId="0" applyFont="1" applyFill="1" applyAlignment="1">
      <alignment horizontal="center" vertical="center"/>
    </xf>
    <xf numFmtId="14" fontId="14" fillId="11" borderId="0" xfId="0" applyNumberFormat="1" applyFont="1" applyFill="1" applyAlignment="1">
      <alignment horizontal="center" vertical="center"/>
    </xf>
    <xf numFmtId="49" fontId="14" fillId="11" borderId="0" xfId="0" applyNumberFormat="1" applyFont="1" applyFill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43" fontId="2" fillId="0" borderId="0" xfId="1" applyFont="1" applyAlignment="1">
      <alignment horizontal="center"/>
    </xf>
    <xf numFmtId="0" fontId="9" fillId="0" borderId="0" xfId="0" applyFont="1" applyAlignment="1">
      <alignment horizontal="right" vertical="center"/>
    </xf>
    <xf numFmtId="43" fontId="3" fillId="0" borderId="10" xfId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43" fontId="2" fillId="0" borderId="0" xfId="1" applyFont="1" applyAlignment="1">
      <alignment horizontal="center" vertical="center"/>
    </xf>
    <xf numFmtId="43" fontId="1" fillId="0" borderId="1" xfId="1" applyFont="1" applyBorder="1" applyAlignment="1">
      <alignment horizontal="center" vertical="center"/>
    </xf>
    <xf numFmtId="43" fontId="3" fillId="0" borderId="7" xfId="1" applyFont="1" applyBorder="1" applyAlignment="1">
      <alignment horizontal="center"/>
    </xf>
    <xf numFmtId="0" fontId="4" fillId="0" borderId="9" xfId="0" applyFont="1" applyBorder="1" applyAlignment="1">
      <alignment horizontal="left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49" fontId="1" fillId="6" borderId="4" xfId="0" applyNumberFormat="1" applyFont="1" applyFill="1" applyBorder="1" applyAlignment="1">
      <alignment horizontal="center" vertical="center"/>
    </xf>
    <xf numFmtId="49" fontId="1" fillId="6" borderId="5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3" fontId="3" fillId="6" borderId="4" xfId="1" applyFont="1" applyFill="1" applyBorder="1" applyAlignment="1">
      <alignment horizontal="center" vertical="center"/>
    </xf>
    <xf numFmtId="43" fontId="3" fillId="6" borderId="5" xfId="1" applyFont="1" applyFill="1" applyBorder="1" applyAlignment="1">
      <alignment horizontal="center" vertical="center"/>
    </xf>
    <xf numFmtId="49" fontId="1" fillId="7" borderId="4" xfId="0" applyNumberFormat="1" applyFont="1" applyFill="1" applyBorder="1" applyAlignment="1">
      <alignment horizontal="center" vertical="center"/>
    </xf>
    <xf numFmtId="49" fontId="1" fillId="7" borderId="5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3" fontId="3" fillId="7" borderId="4" xfId="1" applyFont="1" applyFill="1" applyBorder="1" applyAlignment="1">
      <alignment horizontal="center" vertical="center"/>
    </xf>
    <xf numFmtId="43" fontId="3" fillId="7" borderId="5" xfId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49" fontId="1" fillId="8" borderId="4" xfId="0" applyNumberFormat="1" applyFont="1" applyFill="1" applyBorder="1" applyAlignment="1">
      <alignment horizontal="center" vertical="center"/>
    </xf>
    <xf numFmtId="49" fontId="1" fillId="8" borderId="5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3" fontId="3" fillId="8" borderId="4" xfId="1" applyFont="1" applyFill="1" applyBorder="1" applyAlignment="1">
      <alignment horizontal="center" vertical="center"/>
    </xf>
    <xf numFmtId="43" fontId="3" fillId="8" borderId="5" xfId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1" fillId="5" borderId="4" xfId="0" applyNumberFormat="1" applyFont="1" applyFill="1" applyBorder="1" applyAlignment="1">
      <alignment horizontal="center" vertical="center"/>
    </xf>
    <xf numFmtId="49" fontId="1" fillId="5" borderId="5" xfId="0" applyNumberFormat="1" applyFont="1" applyFill="1" applyBorder="1" applyAlignment="1">
      <alignment horizontal="center" vertical="center"/>
    </xf>
    <xf numFmtId="43" fontId="3" fillId="5" borderId="4" xfId="1" applyFont="1" applyFill="1" applyBorder="1" applyAlignment="1">
      <alignment horizontal="center" vertical="center"/>
    </xf>
    <xf numFmtId="43" fontId="3" fillId="5" borderId="5" xfId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 wrapText="1"/>
    </xf>
    <xf numFmtId="0" fontId="3" fillId="9" borderId="12" xfId="0" applyFont="1" applyFill="1" applyBorder="1" applyAlignment="1">
      <alignment horizontal="center" vertical="center" wrapText="1"/>
    </xf>
    <xf numFmtId="0" fontId="3" fillId="9" borderId="13" xfId="0" applyFont="1" applyFill="1" applyBorder="1" applyAlignment="1">
      <alignment horizontal="center" vertical="center" wrapText="1"/>
    </xf>
    <xf numFmtId="43" fontId="3" fillId="9" borderId="4" xfId="1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43" fontId="3" fillId="9" borderId="8" xfId="1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 wrapText="1"/>
    </xf>
    <xf numFmtId="43" fontId="3" fillId="9" borderId="5" xfId="1" applyFont="1" applyFill="1" applyBorder="1" applyAlignment="1">
      <alignment horizontal="center" vertical="center"/>
    </xf>
    <xf numFmtId="43" fontId="5" fillId="0" borderId="1" xfId="1" applyFont="1" applyBorder="1" applyAlignment="1">
      <alignment horizontal="center" vertical="center" wrapText="1"/>
    </xf>
    <xf numFmtId="43" fontId="6" fillId="0" borderId="1" xfId="1" applyFont="1" applyBorder="1" applyAlignment="1">
      <alignment horizontal="center" vertical="center" wrapText="1"/>
    </xf>
    <xf numFmtId="43" fontId="7" fillId="0" borderId="1" xfId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43" fontId="16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3" fontId="11" fillId="0" borderId="1" xfId="1" applyFont="1" applyBorder="1" applyAlignment="1">
      <alignment horizontal="center" vertical="center" wrapText="1"/>
    </xf>
    <xf numFmtId="43" fontId="3" fillId="0" borderId="7" xfId="0" applyNumberFormat="1" applyFont="1" applyBorder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0000FF"/>
      <color rgb="FFCCFF99"/>
      <color rgb="FFCCCCFF"/>
      <color rgb="FF00FF99"/>
      <color rgb="FFFF6600"/>
      <color rgb="FFCCFFFF"/>
      <color rgb="FFFF0066"/>
      <color rgb="FFFFCCFF"/>
      <color rgb="FFFF7C80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F6CC-213B-4386-8F38-9B7EE24BA8A6}">
  <sheetPr codeName="Sheet1">
    <tabColor rgb="FF92D050"/>
    <pageSetUpPr fitToPage="1"/>
  </sheetPr>
  <dimension ref="A1:N10"/>
  <sheetViews>
    <sheetView workbookViewId="0">
      <selection activeCell="N9" sqref="A1:N9"/>
    </sheetView>
  </sheetViews>
  <sheetFormatPr defaultColWidth="9.109375" defaultRowHeight="23.4"/>
  <cols>
    <col min="1" max="1" width="17.5546875" style="3" customWidth="1"/>
    <col min="2" max="5" width="14.33203125" style="6" customWidth="1"/>
    <col min="6" max="6" width="11.6640625" style="3" customWidth="1"/>
    <col min="7" max="7" width="11.5546875" style="3" bestFit="1" customWidth="1"/>
    <col min="8" max="12" width="9.109375" style="3"/>
    <col min="13" max="13" width="11.44140625" style="3" bestFit="1" customWidth="1"/>
    <col min="14" max="16384" width="9.109375" style="3"/>
  </cols>
  <sheetData>
    <row r="1" spans="1:14" ht="32.4">
      <c r="A1" s="56" t="s">
        <v>73</v>
      </c>
      <c r="B1" s="56"/>
      <c r="C1" s="56"/>
      <c r="D1" s="56"/>
      <c r="E1" s="56"/>
      <c r="F1" s="56"/>
    </row>
    <row r="2" spans="1:14" ht="26.4" customHeight="1">
      <c r="A2" s="91" t="s">
        <v>319</v>
      </c>
      <c r="B2" s="92" t="s">
        <v>15</v>
      </c>
      <c r="C2" s="93"/>
      <c r="D2" s="93"/>
      <c r="E2" s="93"/>
      <c r="F2" s="93"/>
      <c r="G2" s="93"/>
      <c r="H2" s="93"/>
      <c r="I2" s="93"/>
      <c r="J2" s="93"/>
      <c r="K2" s="94"/>
      <c r="L2" s="91" t="s">
        <v>16</v>
      </c>
      <c r="M2" s="95" t="s">
        <v>318</v>
      </c>
    </row>
    <row r="3" spans="1:14" ht="26.4">
      <c r="A3" s="96"/>
      <c r="B3" s="97" t="s">
        <v>10</v>
      </c>
      <c r="C3" s="98"/>
      <c r="D3" s="99" t="s">
        <v>9</v>
      </c>
      <c r="E3" s="100"/>
      <c r="F3" s="101" t="s">
        <v>11</v>
      </c>
      <c r="G3" s="102"/>
      <c r="H3" s="103" t="s">
        <v>320</v>
      </c>
      <c r="I3" s="104"/>
      <c r="J3" s="105" t="s">
        <v>321</v>
      </c>
      <c r="K3" s="105"/>
      <c r="L3" s="96"/>
      <c r="M3" s="106"/>
    </row>
    <row r="4" spans="1:14" ht="52.8">
      <c r="A4" s="107"/>
      <c r="B4" s="17" t="s">
        <v>322</v>
      </c>
      <c r="C4" s="17" t="s">
        <v>323</v>
      </c>
      <c r="D4" s="18" t="s">
        <v>322</v>
      </c>
      <c r="E4" s="18" t="s">
        <v>323</v>
      </c>
      <c r="F4" s="19" t="s">
        <v>322</v>
      </c>
      <c r="G4" s="19" t="s">
        <v>323</v>
      </c>
      <c r="H4" s="20" t="s">
        <v>322</v>
      </c>
      <c r="I4" s="20" t="s">
        <v>323</v>
      </c>
      <c r="J4" s="108" t="s">
        <v>322</v>
      </c>
      <c r="K4" s="108" t="s">
        <v>323</v>
      </c>
      <c r="L4" s="107"/>
      <c r="M4" s="109"/>
    </row>
    <row r="5" spans="1:14">
      <c r="A5" s="13" t="s">
        <v>12</v>
      </c>
      <c r="B5" s="21">
        <v>8</v>
      </c>
      <c r="C5" s="110">
        <v>1552.38</v>
      </c>
      <c r="D5" s="22">
        <v>10</v>
      </c>
      <c r="E5" s="111">
        <v>2922.84</v>
      </c>
      <c r="F5" s="23">
        <v>1</v>
      </c>
      <c r="G5" s="112">
        <v>431.39</v>
      </c>
      <c r="H5" s="113">
        <v>0</v>
      </c>
      <c r="I5" s="114">
        <v>0</v>
      </c>
      <c r="J5" s="115">
        <v>0</v>
      </c>
      <c r="K5" s="116">
        <v>0</v>
      </c>
      <c r="L5" s="16">
        <f>+B5+D5+F5+H5+J5</f>
        <v>19</v>
      </c>
      <c r="M5" s="54">
        <f>+C5+E5+G5+I5+K5</f>
        <v>4906.6100000000006</v>
      </c>
    </row>
    <row r="6" spans="1:14">
      <c r="A6" s="13" t="s">
        <v>13</v>
      </c>
      <c r="B6" s="21">
        <v>5</v>
      </c>
      <c r="C6" s="110">
        <v>1131</v>
      </c>
      <c r="D6" s="22">
        <v>3</v>
      </c>
      <c r="E6" s="111">
        <v>1540</v>
      </c>
      <c r="F6" s="23">
        <v>0</v>
      </c>
      <c r="G6" s="112">
        <v>0</v>
      </c>
      <c r="H6" s="113">
        <v>0</v>
      </c>
      <c r="I6" s="114">
        <v>0</v>
      </c>
      <c r="J6" s="115">
        <v>0</v>
      </c>
      <c r="K6" s="116">
        <v>0</v>
      </c>
      <c r="L6" s="16">
        <f t="shared" ref="L6:M8" si="0">+B6+D6+F6+H6+J6</f>
        <v>8</v>
      </c>
      <c r="M6" s="54">
        <f t="shared" si="0"/>
        <v>2671</v>
      </c>
    </row>
    <row r="7" spans="1:14">
      <c r="A7" s="13" t="s">
        <v>14</v>
      </c>
      <c r="B7" s="21">
        <v>3</v>
      </c>
      <c r="C7" s="110">
        <v>1211</v>
      </c>
      <c r="D7" s="22">
        <v>7</v>
      </c>
      <c r="E7" s="111">
        <v>1268</v>
      </c>
      <c r="F7" s="23">
        <v>0</v>
      </c>
      <c r="G7" s="112">
        <v>0</v>
      </c>
      <c r="H7" s="113">
        <v>0</v>
      </c>
      <c r="I7" s="114">
        <v>0</v>
      </c>
      <c r="J7" s="115">
        <v>0</v>
      </c>
      <c r="K7" s="116">
        <v>0</v>
      </c>
      <c r="L7" s="16">
        <f t="shared" si="0"/>
        <v>10</v>
      </c>
      <c r="M7" s="54">
        <f t="shared" si="0"/>
        <v>2479</v>
      </c>
    </row>
    <row r="8" spans="1:14" ht="93.6">
      <c r="A8" s="14" t="s">
        <v>17</v>
      </c>
      <c r="B8" s="21">
        <v>7</v>
      </c>
      <c r="C8" s="110">
        <v>2298</v>
      </c>
      <c r="D8" s="22">
        <v>22</v>
      </c>
      <c r="E8" s="111">
        <v>11995</v>
      </c>
      <c r="F8" s="23">
        <v>0</v>
      </c>
      <c r="G8" s="112">
        <v>0</v>
      </c>
      <c r="H8" s="113">
        <v>0</v>
      </c>
      <c r="I8" s="114">
        <v>0</v>
      </c>
      <c r="J8" s="115">
        <v>0</v>
      </c>
      <c r="K8" s="116">
        <v>0</v>
      </c>
      <c r="L8" s="16">
        <f t="shared" si="0"/>
        <v>29</v>
      </c>
      <c r="M8" s="54">
        <f t="shared" si="0"/>
        <v>14293</v>
      </c>
    </row>
    <row r="9" spans="1:14" ht="27" thickBot="1">
      <c r="A9" s="41" t="s">
        <v>20</v>
      </c>
      <c r="B9" s="42">
        <f t="shared" ref="B9:J9" si="1">SUM(B5:B8)</f>
        <v>23</v>
      </c>
      <c r="C9" s="117">
        <f>SUM(C5:C8)</f>
        <v>6192.38</v>
      </c>
      <c r="D9" s="42">
        <f t="shared" si="1"/>
        <v>42</v>
      </c>
      <c r="E9" s="117">
        <f>SUM(E5:E8)</f>
        <v>17725.84</v>
      </c>
      <c r="F9" s="42">
        <f t="shared" si="1"/>
        <v>1</v>
      </c>
      <c r="G9" s="117">
        <f>SUM(G5:G8)</f>
        <v>431.39</v>
      </c>
      <c r="H9" s="42">
        <f t="shared" si="1"/>
        <v>0</v>
      </c>
      <c r="I9" s="117">
        <f>SUM(I5:I8)</f>
        <v>0</v>
      </c>
      <c r="J9" s="42">
        <f t="shared" si="1"/>
        <v>0</v>
      </c>
      <c r="K9" s="117">
        <f>SUM(K5:K8)</f>
        <v>0</v>
      </c>
      <c r="L9" s="42">
        <f>SUM(L5:L8)</f>
        <v>66</v>
      </c>
      <c r="M9" s="55">
        <f>SUM(M5:M8)</f>
        <v>24349.61</v>
      </c>
      <c r="N9" s="2" t="s">
        <v>317</v>
      </c>
    </row>
    <row r="10" spans="1:14" ht="24" thickTop="1"/>
  </sheetData>
  <mergeCells count="10">
    <mergeCell ref="L2:L4"/>
    <mergeCell ref="M2:M4"/>
    <mergeCell ref="B3:C3"/>
    <mergeCell ref="D3:E3"/>
    <mergeCell ref="F3:G3"/>
    <mergeCell ref="H3:I3"/>
    <mergeCell ref="J3:K3"/>
    <mergeCell ref="A1:F1"/>
    <mergeCell ref="A2:A4"/>
    <mergeCell ref="B2:K2"/>
  </mergeCells>
  <pageMargins left="0.25" right="0.25" top="0.75" bottom="0.75" header="0.3" footer="0.3"/>
  <pageSetup paperSize="9" scale="87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FD6AF-97B7-49CD-B729-429D78B9E28D}">
  <sheetPr codeName="Sheet2">
    <tabColor rgb="FF92D050"/>
    <pageSetUpPr fitToPage="1"/>
  </sheetPr>
  <dimension ref="A1:D35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34" sqref="A1:D34"/>
    </sheetView>
  </sheetViews>
  <sheetFormatPr defaultColWidth="9.109375" defaultRowHeight="23.4"/>
  <cols>
    <col min="1" max="1" width="10.88671875" style="1" customWidth="1"/>
    <col min="2" max="2" width="21.44140625" style="1" bestFit="1" customWidth="1"/>
    <col min="3" max="4" width="14.33203125" style="1" customWidth="1"/>
    <col min="5" max="16384" width="9.109375" style="1"/>
  </cols>
  <sheetData>
    <row r="1" spans="1:4" ht="32.4">
      <c r="A1" s="26" t="s">
        <v>74</v>
      </c>
    </row>
    <row r="2" spans="1:4" ht="26.4">
      <c r="A2" s="33" t="s">
        <v>0</v>
      </c>
      <c r="B2" s="33" t="s">
        <v>64</v>
      </c>
      <c r="C2" s="33" t="s">
        <v>68</v>
      </c>
      <c r="D2" s="33" t="s">
        <v>21</v>
      </c>
    </row>
    <row r="3" spans="1:4">
      <c r="A3" s="36">
        <v>1</v>
      </c>
      <c r="B3" s="37" t="s">
        <v>33</v>
      </c>
      <c r="C3" s="37">
        <f>+รายการสินค้าตีกลับ!B33</f>
        <v>188</v>
      </c>
      <c r="D3" s="34"/>
    </row>
    <row r="4" spans="1:4">
      <c r="A4" s="36">
        <v>2</v>
      </c>
      <c r="B4" s="37" t="s">
        <v>34</v>
      </c>
      <c r="C4" s="37">
        <f>+รายการสินค้าตีกลับ!C33</f>
        <v>55</v>
      </c>
      <c r="D4" s="35"/>
    </row>
    <row r="5" spans="1:4">
      <c r="A5" s="36">
        <v>3</v>
      </c>
      <c r="B5" s="37" t="s">
        <v>35</v>
      </c>
      <c r="C5" s="37">
        <f>+รายการสินค้าตีกลับ!D33</f>
        <v>18</v>
      </c>
      <c r="D5" s="35"/>
    </row>
    <row r="6" spans="1:4">
      <c r="A6" s="36">
        <v>4</v>
      </c>
      <c r="B6" s="37" t="s">
        <v>36</v>
      </c>
      <c r="C6" s="37">
        <f>+รายการสินค้าตีกลับ!E33</f>
        <v>7</v>
      </c>
      <c r="D6" s="35"/>
    </row>
    <row r="7" spans="1:4">
      <c r="A7" s="36">
        <v>5</v>
      </c>
      <c r="B7" s="37" t="s">
        <v>37</v>
      </c>
      <c r="C7" s="37">
        <f>+รายการสินค้าตีกลับ!F33</f>
        <v>1</v>
      </c>
      <c r="D7" s="37"/>
    </row>
    <row r="8" spans="1:4">
      <c r="A8" s="36">
        <v>6</v>
      </c>
      <c r="B8" s="37" t="s">
        <v>38</v>
      </c>
      <c r="C8" s="37">
        <f>+รายการสินค้าตีกลับ!G33</f>
        <v>17</v>
      </c>
      <c r="D8" s="37"/>
    </row>
    <row r="9" spans="1:4">
      <c r="A9" s="36">
        <v>7</v>
      </c>
      <c r="B9" s="37" t="s">
        <v>39</v>
      </c>
      <c r="C9" s="37">
        <f>+รายการสินค้าตีกลับ!H33</f>
        <v>2</v>
      </c>
      <c r="D9" s="37"/>
    </row>
    <row r="10" spans="1:4">
      <c r="A10" s="36">
        <v>8</v>
      </c>
      <c r="B10" s="37" t="s">
        <v>40</v>
      </c>
      <c r="C10" s="37">
        <f>+รายการสินค้าตีกลับ!I33</f>
        <v>84</v>
      </c>
      <c r="D10" s="37"/>
    </row>
    <row r="11" spans="1:4">
      <c r="A11" s="36">
        <v>9</v>
      </c>
      <c r="B11" s="37" t="s">
        <v>41</v>
      </c>
      <c r="C11" s="37">
        <f>+รายการสินค้าตีกลับ!J33</f>
        <v>0</v>
      </c>
      <c r="D11" s="37"/>
    </row>
    <row r="12" spans="1:4">
      <c r="A12" s="36">
        <v>10</v>
      </c>
      <c r="B12" s="37" t="s">
        <v>42</v>
      </c>
      <c r="C12" s="37">
        <f>+รายการสินค้าตีกลับ!K33</f>
        <v>0</v>
      </c>
      <c r="D12" s="37"/>
    </row>
    <row r="13" spans="1:4">
      <c r="A13" s="36">
        <v>11</v>
      </c>
      <c r="B13" s="37" t="s">
        <v>43</v>
      </c>
      <c r="C13" s="37">
        <f>+รายการสินค้าตีกลับ!L33</f>
        <v>0</v>
      </c>
      <c r="D13" s="37"/>
    </row>
    <row r="14" spans="1:4">
      <c r="A14" s="36">
        <v>12</v>
      </c>
      <c r="B14" s="37" t="s">
        <v>69</v>
      </c>
      <c r="C14" s="37">
        <f>+รายการสินค้าตีกลับ!M33</f>
        <v>0</v>
      </c>
      <c r="D14" s="37"/>
    </row>
    <row r="15" spans="1:4">
      <c r="A15" s="36">
        <v>13</v>
      </c>
      <c r="B15" s="37" t="s">
        <v>44</v>
      </c>
      <c r="C15" s="37">
        <f>+รายการสินค้าตีกลับ!N33</f>
        <v>0</v>
      </c>
      <c r="D15" s="37"/>
    </row>
    <row r="16" spans="1:4">
      <c r="A16" s="36">
        <v>14</v>
      </c>
      <c r="B16" s="37" t="s">
        <v>45</v>
      </c>
      <c r="C16" s="37">
        <f>+รายการสินค้าตีกลับ!O33</f>
        <v>0</v>
      </c>
      <c r="D16" s="37"/>
    </row>
    <row r="17" spans="1:4">
      <c r="A17" s="36">
        <v>15</v>
      </c>
      <c r="B17" s="37" t="s">
        <v>46</v>
      </c>
      <c r="C17" s="37">
        <f>+รายการสินค้าตีกลับ!P33</f>
        <v>0</v>
      </c>
      <c r="D17" s="37"/>
    </row>
    <row r="18" spans="1:4">
      <c r="A18" s="36">
        <v>16</v>
      </c>
      <c r="B18" s="37" t="s">
        <v>47</v>
      </c>
      <c r="C18" s="37">
        <f>+รายการสินค้าตีกลับ!Q33</f>
        <v>0</v>
      </c>
      <c r="D18" s="37"/>
    </row>
    <row r="19" spans="1:4">
      <c r="A19" s="36">
        <v>17</v>
      </c>
      <c r="B19" s="37" t="s">
        <v>48</v>
      </c>
      <c r="C19" s="37">
        <f>+รายการสินค้าตีกลับ!R33</f>
        <v>0</v>
      </c>
      <c r="D19" s="37"/>
    </row>
    <row r="20" spans="1:4">
      <c r="A20" s="36">
        <v>18</v>
      </c>
      <c r="B20" s="37" t="s">
        <v>49</v>
      </c>
      <c r="C20" s="37">
        <f>+รายการสินค้าตีกลับ!S33</f>
        <v>0</v>
      </c>
      <c r="D20" s="37"/>
    </row>
    <row r="21" spans="1:4">
      <c r="A21" s="36">
        <v>19</v>
      </c>
      <c r="B21" s="37" t="s">
        <v>50</v>
      </c>
      <c r="C21" s="37">
        <f>+รายการสินค้าตีกลับ!T33</f>
        <v>0</v>
      </c>
      <c r="D21" s="37"/>
    </row>
    <row r="22" spans="1:4">
      <c r="A22" s="36">
        <v>20</v>
      </c>
      <c r="B22" s="37" t="s">
        <v>51</v>
      </c>
      <c r="C22" s="37">
        <f>+รายการสินค้าตีกลับ!U33</f>
        <v>0</v>
      </c>
      <c r="D22" s="37"/>
    </row>
    <row r="23" spans="1:4">
      <c r="A23" s="36">
        <v>21</v>
      </c>
      <c r="B23" s="37" t="s">
        <v>52</v>
      </c>
      <c r="C23" s="37">
        <f>+รายการสินค้าตีกลับ!V33</f>
        <v>0</v>
      </c>
      <c r="D23" s="37"/>
    </row>
    <row r="24" spans="1:4">
      <c r="A24" s="36">
        <v>22</v>
      </c>
      <c r="B24" s="37" t="s">
        <v>53</v>
      </c>
      <c r="C24" s="37">
        <f>+รายการสินค้าตีกลับ!W33</f>
        <v>0</v>
      </c>
      <c r="D24" s="37"/>
    </row>
    <row r="25" spans="1:4">
      <c r="A25" s="36">
        <v>23</v>
      </c>
      <c r="B25" s="37" t="s">
        <v>54</v>
      </c>
      <c r="C25" s="37">
        <f>+รายการสินค้าตีกลับ!X33</f>
        <v>11</v>
      </c>
      <c r="D25" s="37"/>
    </row>
    <row r="26" spans="1:4">
      <c r="A26" s="36">
        <v>24</v>
      </c>
      <c r="B26" s="37" t="s">
        <v>55</v>
      </c>
      <c r="C26" s="37">
        <f>+รายการสินค้าตีกลับ!Y33</f>
        <v>0</v>
      </c>
      <c r="D26" s="37"/>
    </row>
    <row r="27" spans="1:4">
      <c r="A27" s="36">
        <v>25</v>
      </c>
      <c r="B27" s="37" t="s">
        <v>56</v>
      </c>
      <c r="C27" s="37">
        <f>+รายการสินค้าตีกลับ!Z33</f>
        <v>0</v>
      </c>
      <c r="D27" s="37"/>
    </row>
    <row r="28" spans="1:4">
      <c r="A28" s="36">
        <v>26</v>
      </c>
      <c r="B28" s="37" t="s">
        <v>57</v>
      </c>
      <c r="C28" s="37">
        <f>+รายการสินค้าตีกลับ!AA33</f>
        <v>0</v>
      </c>
      <c r="D28" s="37"/>
    </row>
    <row r="29" spans="1:4">
      <c r="A29" s="36">
        <v>27</v>
      </c>
      <c r="B29" s="37" t="s">
        <v>58</v>
      </c>
      <c r="C29" s="37">
        <f>+รายการสินค้าตีกลับ!AB33</f>
        <v>0</v>
      </c>
      <c r="D29" s="37"/>
    </row>
    <row r="30" spans="1:4">
      <c r="A30" s="36">
        <v>28</v>
      </c>
      <c r="B30" s="37" t="s">
        <v>59</v>
      </c>
      <c r="C30" s="37">
        <f>+รายการสินค้าตีกลับ!AC33</f>
        <v>3</v>
      </c>
      <c r="D30" s="37"/>
    </row>
    <row r="31" spans="1:4">
      <c r="A31" s="36">
        <v>29</v>
      </c>
      <c r="B31" s="37" t="s">
        <v>60</v>
      </c>
      <c r="C31" s="37">
        <f>+รายการสินค้าตีกลับ!AD33</f>
        <v>8</v>
      </c>
      <c r="D31" s="37"/>
    </row>
    <row r="32" spans="1:4">
      <c r="A32" s="36">
        <v>30</v>
      </c>
      <c r="B32" s="37" t="s">
        <v>61</v>
      </c>
      <c r="C32" s="37">
        <f>+รายการสินค้าตีกลับ!AE33</f>
        <v>0</v>
      </c>
      <c r="D32" s="37"/>
    </row>
    <row r="33" spans="1:4">
      <c r="A33" s="36">
        <v>31</v>
      </c>
      <c r="B33" s="37" t="s">
        <v>62</v>
      </c>
      <c r="C33" s="37">
        <f>+รายการสินค้าตีกลับ!AF33</f>
        <v>43</v>
      </c>
      <c r="D33" s="37"/>
    </row>
    <row r="34" spans="1:4" ht="29.4" thickBot="1">
      <c r="B34" s="38" t="s">
        <v>63</v>
      </c>
      <c r="C34" s="39">
        <f>SUM(C3:C33)</f>
        <v>437</v>
      </c>
      <c r="D34" s="40" t="s">
        <v>65</v>
      </c>
    </row>
    <row r="35" spans="1:4" ht="24" thickTop="1"/>
  </sheetData>
  <pageMargins left="0.25" right="0.25" top="0.75" bottom="0.75" header="0.3" footer="0.3"/>
  <pageSetup paperSize="9" scale="90" fitToWidth="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9A882-3BE8-43A3-822B-826BDED3B85D}">
  <sheetPr codeName="Sheet3">
    <tabColor rgb="FF00B0F0"/>
  </sheetPr>
  <dimension ref="A1:P22"/>
  <sheetViews>
    <sheetView zoomScale="70" zoomScaleNormal="70" workbookViewId="0">
      <pane xSplit="4" ySplit="3" topLeftCell="F4" activePane="bottomRight" state="frozen"/>
      <selection pane="topRight" activeCell="E1" sqref="E1"/>
      <selection pane="bottomLeft" activeCell="A4" sqref="A4"/>
      <selection pane="bottomRight" activeCell="H1" sqref="H1:J1"/>
    </sheetView>
  </sheetViews>
  <sheetFormatPr defaultColWidth="9.109375" defaultRowHeight="23.4"/>
  <cols>
    <col min="1" max="1" width="13.44140625" style="3" customWidth="1"/>
    <col min="2" max="2" width="10.6640625" style="3" bestFit="1" customWidth="1"/>
    <col min="3" max="3" width="17" style="4" bestFit="1" customWidth="1"/>
    <col min="4" max="4" width="33.44140625" style="4" bestFit="1" customWidth="1"/>
    <col min="5" max="5" width="25.5546875" style="4" customWidth="1"/>
    <col min="6" max="6" width="38.33203125" style="4" customWidth="1"/>
    <col min="7" max="7" width="12.109375" style="3" bestFit="1" customWidth="1"/>
    <col min="8" max="8" width="14.5546875" style="3" bestFit="1" customWidth="1"/>
    <col min="9" max="9" width="14.5546875" style="3" customWidth="1"/>
    <col min="10" max="10" width="24.88671875" style="3" bestFit="1" customWidth="1"/>
    <col min="11" max="11" width="45.6640625" style="3" bestFit="1" customWidth="1"/>
    <col min="12" max="12" width="9" style="3" customWidth="1"/>
    <col min="13" max="13" width="9.109375" style="3"/>
    <col min="14" max="14" width="24.88671875" style="3" bestFit="1" customWidth="1"/>
    <col min="15" max="15" width="36" style="3" bestFit="1" customWidth="1"/>
    <col min="16" max="16" width="26.44140625" style="3" customWidth="1"/>
    <col min="17" max="16384" width="9.109375" style="3"/>
  </cols>
  <sheetData>
    <row r="1" spans="1:16" ht="33" thickBot="1">
      <c r="A1" s="7" t="s">
        <v>75</v>
      </c>
      <c r="H1" s="50" t="s">
        <v>16</v>
      </c>
      <c r="I1" s="51">
        <f>SUBTOTAL(9,I4:I12000)</f>
        <v>4906.6099999999997</v>
      </c>
      <c r="J1" s="52" t="s">
        <v>317</v>
      </c>
    </row>
    <row r="2" spans="1:16" s="2" customFormat="1" ht="24" thickTop="1">
      <c r="A2" s="62" t="s">
        <v>0</v>
      </c>
      <c r="B2" s="62" t="s">
        <v>4</v>
      </c>
      <c r="C2" s="63" t="s">
        <v>5</v>
      </c>
      <c r="D2" s="63" t="s">
        <v>2</v>
      </c>
      <c r="E2" s="59" t="s">
        <v>24</v>
      </c>
      <c r="F2" s="59" t="s">
        <v>22</v>
      </c>
      <c r="G2" s="63" t="s">
        <v>1</v>
      </c>
      <c r="H2" s="62"/>
      <c r="I2" s="64" t="s">
        <v>316</v>
      </c>
      <c r="J2" s="62" t="s">
        <v>3</v>
      </c>
      <c r="K2" s="61" t="s">
        <v>21</v>
      </c>
      <c r="N2" s="57" t="s">
        <v>8</v>
      </c>
      <c r="O2" s="57" t="s">
        <v>139</v>
      </c>
      <c r="P2" s="57" t="s">
        <v>151</v>
      </c>
    </row>
    <row r="3" spans="1:16" s="2" customFormat="1">
      <c r="A3" s="62"/>
      <c r="B3" s="62"/>
      <c r="C3" s="63"/>
      <c r="D3" s="63"/>
      <c r="E3" s="60"/>
      <c r="F3" s="60"/>
      <c r="G3" s="25" t="s">
        <v>6</v>
      </c>
      <c r="H3" s="10" t="s">
        <v>7</v>
      </c>
      <c r="I3" s="65"/>
      <c r="J3" s="62"/>
      <c r="K3" s="61"/>
      <c r="N3" s="58"/>
      <c r="O3" s="58"/>
      <c r="P3" s="58"/>
    </row>
    <row r="4" spans="1:16">
      <c r="A4" s="3">
        <v>1</v>
      </c>
      <c r="B4" s="8">
        <v>243654</v>
      </c>
      <c r="C4" s="4" t="s">
        <v>83</v>
      </c>
      <c r="D4" s="5" t="s">
        <v>138</v>
      </c>
      <c r="E4" s="5" t="s">
        <v>25</v>
      </c>
      <c r="F4" s="5" t="s">
        <v>140</v>
      </c>
      <c r="G4" s="4" t="s">
        <v>95</v>
      </c>
      <c r="H4" s="4" t="s">
        <v>96</v>
      </c>
      <c r="I4" s="49">
        <v>445.5</v>
      </c>
      <c r="J4" s="3" t="s">
        <v>10</v>
      </c>
      <c r="N4" s="9" t="s">
        <v>10</v>
      </c>
      <c r="O4" s="9" t="s">
        <v>140</v>
      </c>
      <c r="P4" s="46" t="s">
        <v>25</v>
      </c>
    </row>
    <row r="5" spans="1:16">
      <c r="A5" s="3">
        <v>2</v>
      </c>
      <c r="B5" s="8">
        <v>243655</v>
      </c>
      <c r="C5" s="4" t="s">
        <v>85</v>
      </c>
      <c r="D5" s="5" t="s">
        <v>150</v>
      </c>
      <c r="E5" s="5" t="s">
        <v>23</v>
      </c>
      <c r="F5" s="5" t="s">
        <v>140</v>
      </c>
      <c r="G5" s="4" t="s">
        <v>88</v>
      </c>
      <c r="H5" s="4"/>
      <c r="I5" s="49">
        <v>115.06</v>
      </c>
      <c r="J5" s="3" t="s">
        <v>10</v>
      </c>
      <c r="N5" s="9" t="s">
        <v>9</v>
      </c>
      <c r="O5" s="9" t="s">
        <v>141</v>
      </c>
      <c r="P5" s="47" t="s">
        <v>23</v>
      </c>
    </row>
    <row r="6" spans="1:16">
      <c r="A6" s="3">
        <v>3</v>
      </c>
      <c r="B6" s="8">
        <v>243655</v>
      </c>
      <c r="C6" s="4" t="s">
        <v>86</v>
      </c>
      <c r="D6" s="4" t="s">
        <v>152</v>
      </c>
      <c r="E6" s="5" t="s">
        <v>25</v>
      </c>
      <c r="F6" s="5" t="s">
        <v>140</v>
      </c>
      <c r="G6" s="4" t="s">
        <v>89</v>
      </c>
      <c r="H6" s="4"/>
      <c r="I6" s="49">
        <v>89.65</v>
      </c>
      <c r="J6" s="3" t="s">
        <v>9</v>
      </c>
      <c r="N6" s="9" t="s">
        <v>11</v>
      </c>
      <c r="O6" s="9" t="s">
        <v>142</v>
      </c>
      <c r="P6" s="46" t="s">
        <v>31</v>
      </c>
    </row>
    <row r="7" spans="1:16">
      <c r="A7" s="3">
        <v>4</v>
      </c>
      <c r="B7" s="8">
        <v>243655</v>
      </c>
      <c r="C7" s="4" t="s">
        <v>87</v>
      </c>
      <c r="D7" s="4" t="s">
        <v>153</v>
      </c>
      <c r="E7" s="5" t="s">
        <v>23</v>
      </c>
      <c r="F7" s="5" t="s">
        <v>140</v>
      </c>
      <c r="G7" s="4" t="s">
        <v>19</v>
      </c>
      <c r="H7" s="4" t="s">
        <v>97</v>
      </c>
      <c r="I7" s="49">
        <v>128.13999999999999</v>
      </c>
      <c r="J7" s="3" t="s">
        <v>10</v>
      </c>
      <c r="N7" s="9" t="s">
        <v>18</v>
      </c>
      <c r="O7" s="9" t="s">
        <v>143</v>
      </c>
      <c r="P7" s="9"/>
    </row>
    <row r="8" spans="1:16">
      <c r="A8" s="3">
        <v>5</v>
      </c>
      <c r="B8" s="8">
        <v>243656</v>
      </c>
      <c r="C8" s="4" t="s">
        <v>84</v>
      </c>
      <c r="D8" s="5" t="s">
        <v>154</v>
      </c>
      <c r="E8" s="5" t="s">
        <v>23</v>
      </c>
      <c r="F8" s="5" t="s">
        <v>140</v>
      </c>
      <c r="G8" s="4" t="s">
        <v>98</v>
      </c>
      <c r="H8" s="4" t="s">
        <v>99</v>
      </c>
      <c r="I8" s="49">
        <v>250.05</v>
      </c>
      <c r="J8" s="3" t="s">
        <v>10</v>
      </c>
      <c r="N8" s="9"/>
      <c r="O8" s="9" t="s">
        <v>144</v>
      </c>
      <c r="P8" s="9"/>
    </row>
    <row r="9" spans="1:16">
      <c r="A9" s="3">
        <v>6</v>
      </c>
      <c r="B9" s="8">
        <v>243660</v>
      </c>
      <c r="C9" s="4" t="s">
        <v>90</v>
      </c>
      <c r="D9" s="5" t="s">
        <v>159</v>
      </c>
      <c r="E9" s="5" t="s">
        <v>25</v>
      </c>
      <c r="F9" s="5" t="s">
        <v>145</v>
      </c>
      <c r="G9" s="4" t="s">
        <v>100</v>
      </c>
      <c r="H9" s="4" t="s">
        <v>101</v>
      </c>
      <c r="I9" s="49">
        <v>200</v>
      </c>
      <c r="J9" s="3" t="s">
        <v>9</v>
      </c>
      <c r="N9" s="9"/>
      <c r="O9" s="9" t="s">
        <v>145</v>
      </c>
      <c r="P9" s="9"/>
    </row>
    <row r="10" spans="1:16">
      <c r="A10" s="3">
        <v>7</v>
      </c>
      <c r="B10" s="8">
        <v>243660</v>
      </c>
      <c r="C10" s="4" t="s">
        <v>91</v>
      </c>
      <c r="D10" s="4" t="s">
        <v>155</v>
      </c>
      <c r="E10" s="5" t="s">
        <v>23</v>
      </c>
      <c r="F10" s="5" t="s">
        <v>140</v>
      </c>
      <c r="G10" s="4" t="s">
        <v>102</v>
      </c>
      <c r="H10" s="4" t="s">
        <v>103</v>
      </c>
      <c r="I10" s="49">
        <v>1922</v>
      </c>
      <c r="J10" s="3" t="s">
        <v>9</v>
      </c>
      <c r="N10" s="9"/>
      <c r="O10" s="9" t="s">
        <v>147</v>
      </c>
      <c r="P10" s="9"/>
    </row>
    <row r="11" spans="1:16">
      <c r="A11" s="3">
        <v>8</v>
      </c>
      <c r="B11" s="8">
        <v>243663</v>
      </c>
      <c r="C11" s="4" t="s">
        <v>92</v>
      </c>
      <c r="D11" s="5" t="s">
        <v>156</v>
      </c>
      <c r="E11" s="5" t="s">
        <v>25</v>
      </c>
      <c r="F11" s="5" t="s">
        <v>140</v>
      </c>
      <c r="G11" s="4" t="s">
        <v>104</v>
      </c>
      <c r="H11" s="4" t="s">
        <v>105</v>
      </c>
      <c r="I11" s="49">
        <v>230</v>
      </c>
      <c r="J11" s="3" t="s">
        <v>10</v>
      </c>
      <c r="N11" s="9"/>
      <c r="O11" s="9" t="s">
        <v>146</v>
      </c>
      <c r="P11" s="9"/>
    </row>
    <row r="12" spans="1:16">
      <c r="A12" s="3">
        <v>9</v>
      </c>
      <c r="B12" s="8">
        <v>243663</v>
      </c>
      <c r="C12" s="4" t="s">
        <v>93</v>
      </c>
      <c r="D12" s="5" t="s">
        <v>157</v>
      </c>
      <c r="E12" s="5" t="s">
        <v>25</v>
      </c>
      <c r="F12" s="5" t="s">
        <v>140</v>
      </c>
      <c r="G12" s="4" t="s">
        <v>106</v>
      </c>
      <c r="H12" s="3" t="s">
        <v>107</v>
      </c>
      <c r="I12" s="49">
        <v>100</v>
      </c>
      <c r="J12" s="3" t="s">
        <v>10</v>
      </c>
      <c r="N12" s="9"/>
      <c r="O12" s="9" t="s">
        <v>148</v>
      </c>
      <c r="P12" s="9"/>
    </row>
    <row r="13" spans="1:16">
      <c r="A13" s="3">
        <v>10</v>
      </c>
      <c r="B13" s="8">
        <v>243663</v>
      </c>
      <c r="C13" s="4" t="s">
        <v>94</v>
      </c>
      <c r="D13" s="4" t="s">
        <v>158</v>
      </c>
      <c r="E13" s="5" t="s">
        <v>25</v>
      </c>
      <c r="F13" s="5" t="s">
        <v>140</v>
      </c>
      <c r="G13" s="4" t="s">
        <v>108</v>
      </c>
      <c r="H13" s="4" t="s">
        <v>109</v>
      </c>
      <c r="I13" s="49">
        <v>191.93</v>
      </c>
      <c r="J13" s="3" t="s">
        <v>10</v>
      </c>
      <c r="N13" s="9"/>
      <c r="O13" s="9" t="s">
        <v>149</v>
      </c>
      <c r="P13" s="9"/>
    </row>
    <row r="14" spans="1:16">
      <c r="A14" s="3">
        <v>11</v>
      </c>
      <c r="B14" s="8">
        <v>243664</v>
      </c>
      <c r="C14" s="4" t="s">
        <v>192</v>
      </c>
      <c r="D14" s="4" t="s">
        <v>197</v>
      </c>
      <c r="E14" s="5" t="s">
        <v>25</v>
      </c>
      <c r="F14" s="3" t="s">
        <v>140</v>
      </c>
      <c r="G14" s="3" t="s">
        <v>193</v>
      </c>
      <c r="H14" s="4" t="s">
        <v>194</v>
      </c>
      <c r="I14" s="49">
        <v>431.39</v>
      </c>
      <c r="J14" s="3" t="s">
        <v>11</v>
      </c>
      <c r="K14" s="4"/>
    </row>
    <row r="15" spans="1:16">
      <c r="A15" s="3">
        <v>12</v>
      </c>
      <c r="B15" s="8">
        <v>243667</v>
      </c>
      <c r="C15" s="4" t="s">
        <v>215</v>
      </c>
      <c r="D15" s="4" t="s">
        <v>220</v>
      </c>
      <c r="E15" s="3" t="s">
        <v>25</v>
      </c>
      <c r="F15" s="3" t="s">
        <v>145</v>
      </c>
      <c r="G15" s="3" t="s">
        <v>216</v>
      </c>
      <c r="H15" s="4" t="s">
        <v>217</v>
      </c>
      <c r="I15" s="49">
        <v>113.1</v>
      </c>
      <c r="J15" s="3" t="s">
        <v>9</v>
      </c>
    </row>
    <row r="16" spans="1:16">
      <c r="A16" s="3">
        <v>13</v>
      </c>
      <c r="B16" s="8">
        <v>243670</v>
      </c>
      <c r="C16" s="4" t="s">
        <v>237</v>
      </c>
      <c r="D16" s="4" t="s">
        <v>238</v>
      </c>
      <c r="E16" s="3" t="s">
        <v>25</v>
      </c>
      <c r="F16" s="3" t="s">
        <v>140</v>
      </c>
      <c r="G16" s="4" t="s">
        <v>224</v>
      </c>
      <c r="H16" s="4"/>
      <c r="I16" s="49">
        <v>32.39</v>
      </c>
      <c r="J16" s="3" t="s">
        <v>9</v>
      </c>
    </row>
    <row r="17" spans="1:10">
      <c r="A17" s="3">
        <v>14</v>
      </c>
      <c r="B17" s="8">
        <v>243670</v>
      </c>
      <c r="C17" s="4" t="s">
        <v>223</v>
      </c>
      <c r="D17" s="4" t="s">
        <v>235</v>
      </c>
      <c r="E17" s="3" t="s">
        <v>25</v>
      </c>
      <c r="F17" s="3" t="s">
        <v>140</v>
      </c>
      <c r="G17" s="3" t="s">
        <v>236</v>
      </c>
      <c r="H17" s="4" t="s">
        <v>251</v>
      </c>
      <c r="I17" s="49">
        <v>122.22</v>
      </c>
      <c r="J17" s="3" t="s">
        <v>9</v>
      </c>
    </row>
    <row r="18" spans="1:10">
      <c r="A18" s="3">
        <v>15</v>
      </c>
      <c r="B18" s="8">
        <v>243671</v>
      </c>
      <c r="C18" s="5" t="s">
        <v>240</v>
      </c>
      <c r="D18" s="4" t="s">
        <v>250</v>
      </c>
      <c r="E18" s="3" t="s">
        <v>25</v>
      </c>
      <c r="F18" s="3" t="s">
        <v>140</v>
      </c>
      <c r="G18" s="3" t="s">
        <v>239</v>
      </c>
      <c r="H18" s="4"/>
      <c r="I18" s="49">
        <v>65.53</v>
      </c>
      <c r="J18" s="3" t="s">
        <v>9</v>
      </c>
    </row>
    <row r="19" spans="1:10">
      <c r="A19" s="3">
        <v>16</v>
      </c>
      <c r="B19" s="8">
        <v>243677</v>
      </c>
      <c r="C19" s="5" t="s">
        <v>252</v>
      </c>
      <c r="D19" s="4" t="s">
        <v>300</v>
      </c>
      <c r="E19" s="3" t="s">
        <v>25</v>
      </c>
      <c r="F19" s="3" t="s">
        <v>144</v>
      </c>
      <c r="G19" s="3" t="s">
        <v>253</v>
      </c>
      <c r="H19" s="4" t="s">
        <v>254</v>
      </c>
      <c r="I19" s="49">
        <v>91.7</v>
      </c>
      <c r="J19" s="3" t="s">
        <v>10</v>
      </c>
    </row>
    <row r="20" spans="1:10">
      <c r="A20" s="3">
        <v>17</v>
      </c>
      <c r="B20" s="8" t="s">
        <v>79</v>
      </c>
      <c r="C20" s="5" t="s">
        <v>260</v>
      </c>
      <c r="D20" s="4" t="s">
        <v>298</v>
      </c>
      <c r="E20" s="3" t="s">
        <v>25</v>
      </c>
      <c r="F20" s="6" t="s">
        <v>145</v>
      </c>
      <c r="G20" s="3" t="s">
        <v>265</v>
      </c>
      <c r="H20" s="4" t="s">
        <v>264</v>
      </c>
      <c r="I20" s="49">
        <v>65</v>
      </c>
      <c r="J20" s="3" t="s">
        <v>9</v>
      </c>
    </row>
    <row r="21" spans="1:10">
      <c r="A21" s="3">
        <v>18</v>
      </c>
      <c r="B21" s="8" t="s">
        <v>79</v>
      </c>
      <c r="C21" s="4" t="s">
        <v>259</v>
      </c>
      <c r="D21" s="4" t="s">
        <v>299</v>
      </c>
      <c r="E21" s="3" t="s">
        <v>25</v>
      </c>
      <c r="F21" s="3" t="s">
        <v>144</v>
      </c>
      <c r="G21" s="3" t="s">
        <v>263</v>
      </c>
      <c r="H21" s="3" t="s">
        <v>262</v>
      </c>
      <c r="I21" s="49">
        <v>114.25</v>
      </c>
      <c r="J21" s="3" t="s">
        <v>9</v>
      </c>
    </row>
    <row r="22" spans="1:10">
      <c r="A22" s="3">
        <v>19</v>
      </c>
      <c r="B22" s="8" t="s">
        <v>79</v>
      </c>
      <c r="C22" s="4" t="s">
        <v>258</v>
      </c>
      <c r="D22" s="4" t="s">
        <v>297</v>
      </c>
      <c r="E22" s="3" t="s">
        <v>25</v>
      </c>
      <c r="F22" s="3" t="s">
        <v>140</v>
      </c>
      <c r="G22" s="4" t="s">
        <v>261</v>
      </c>
      <c r="I22" s="49">
        <v>198.7</v>
      </c>
      <c r="J22" s="3" t="s">
        <v>9</v>
      </c>
    </row>
  </sheetData>
  <autoFilter ref="A3:AN22" xr:uid="{1679A882-3BE8-43A3-822B-826BDED3B85D}"/>
  <mergeCells count="13">
    <mergeCell ref="A2:A3"/>
    <mergeCell ref="C2:C3"/>
    <mergeCell ref="D2:D3"/>
    <mergeCell ref="J2:J3"/>
    <mergeCell ref="B2:B3"/>
    <mergeCell ref="G2:H2"/>
    <mergeCell ref="I2:I3"/>
    <mergeCell ref="O2:O3"/>
    <mergeCell ref="P2:P3"/>
    <mergeCell ref="N2:N3"/>
    <mergeCell ref="E2:E3"/>
    <mergeCell ref="F2:F3"/>
    <mergeCell ref="K2:K3"/>
  </mergeCells>
  <dataValidations count="5">
    <dataValidation type="list" allowBlank="1" showInputMessage="1" showErrorMessage="1" sqref="J24:J1048576 J2:J22" xr:uid="{150B485C-0F1F-4EAC-A79B-B7098D1663FC}">
      <formula1>$N$4:$N$14</formula1>
    </dataValidation>
    <dataValidation type="list" allowBlank="1" showInputMessage="1" showErrorMessage="1" sqref="F1:F1048576" xr:uid="{4C3755F8-DCB1-4274-90F6-F88BDA74BCE2}">
      <formula1>$O$4:$O$13</formula1>
    </dataValidation>
    <dataValidation type="list" allowBlank="1" showInputMessage="1" showErrorMessage="1" sqref="E1:E1048576" xr:uid="{481C2C86-495E-4F80-AFBC-5A41CF787B0E}">
      <formula1>$P$4:$P$13</formula1>
    </dataValidation>
    <dataValidation type="list" allowBlank="1" showInputMessage="1" showErrorMessage="1" sqref="J1" xr:uid="{B2F52608-F4DC-4B72-B0B4-731614AF4334}">
      <formula1>$M$4:$M$70</formula1>
    </dataValidation>
    <dataValidation type="list" allowBlank="1" showInputMessage="1" showErrorMessage="1" sqref="J1" xr:uid="{B89DB7F0-613E-43C0-A5A3-968B6DA26A8F}">
      <formula1>$M$4:$M$46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E75CA-9FA4-4B32-AC0E-075BEAD46C3C}">
  <sheetPr codeName="Sheet4">
    <tabColor rgb="FFFF6600"/>
  </sheetPr>
  <dimension ref="A1:O27"/>
  <sheetViews>
    <sheetView zoomScaleNormal="100" workbookViewId="0">
      <pane xSplit="4" ySplit="3" topLeftCell="F4" activePane="bottomRight" state="frozen"/>
      <selection pane="topRight" activeCell="E1" sqref="E1"/>
      <selection pane="bottomLeft" activeCell="A4" sqref="A4"/>
      <selection pane="bottomRight" activeCell="H1" sqref="H1:J1"/>
    </sheetView>
  </sheetViews>
  <sheetFormatPr defaultColWidth="9.109375" defaultRowHeight="23.4"/>
  <cols>
    <col min="1" max="1" width="12.5546875" style="3" customWidth="1"/>
    <col min="2" max="2" width="10" style="3" bestFit="1" customWidth="1"/>
    <col min="3" max="3" width="18" style="4" bestFit="1" customWidth="1"/>
    <col min="4" max="4" width="21.44140625" style="4" bestFit="1" customWidth="1"/>
    <col min="5" max="5" width="20.33203125" style="4" customWidth="1"/>
    <col min="6" max="6" width="17.5546875" style="4" customWidth="1"/>
    <col min="7" max="9" width="15.33203125" style="3" customWidth="1"/>
    <col min="10" max="10" width="24.33203125" style="3" bestFit="1" customWidth="1"/>
    <col min="11" max="11" width="13.44140625" style="3" bestFit="1" customWidth="1"/>
    <col min="12" max="12" width="9" style="3" customWidth="1"/>
    <col min="13" max="13" width="26" style="3" customWidth="1"/>
    <col min="14" max="14" width="16.88671875" style="3" customWidth="1"/>
    <col min="15" max="15" width="22" style="3" customWidth="1"/>
    <col min="16" max="16384" width="9.109375" style="3"/>
  </cols>
  <sheetData>
    <row r="1" spans="1:15" ht="33" thickBot="1">
      <c r="A1" s="7" t="s">
        <v>76</v>
      </c>
      <c r="H1" s="50" t="s">
        <v>16</v>
      </c>
      <c r="I1" s="51">
        <f>SUBTOTAL(9,I4:I12000)</f>
        <v>2671</v>
      </c>
      <c r="J1" s="52" t="s">
        <v>317</v>
      </c>
    </row>
    <row r="2" spans="1:15" s="2" customFormat="1" ht="24" thickTop="1">
      <c r="A2" s="68" t="s">
        <v>0</v>
      </c>
      <c r="B2" s="68" t="s">
        <v>4</v>
      </c>
      <c r="C2" s="71" t="s">
        <v>5</v>
      </c>
      <c r="D2" s="71" t="s">
        <v>2</v>
      </c>
      <c r="E2" s="66" t="s">
        <v>24</v>
      </c>
      <c r="F2" s="66" t="s">
        <v>22</v>
      </c>
      <c r="G2" s="68" t="s">
        <v>1</v>
      </c>
      <c r="H2" s="68"/>
      <c r="I2" s="69" t="s">
        <v>316</v>
      </c>
      <c r="J2" s="68" t="s">
        <v>3</v>
      </c>
      <c r="K2" s="61" t="s">
        <v>21</v>
      </c>
      <c r="M2" s="57" t="s">
        <v>8</v>
      </c>
      <c r="N2" s="57" t="s">
        <v>139</v>
      </c>
      <c r="O2" s="57" t="s">
        <v>151</v>
      </c>
    </row>
    <row r="3" spans="1:15" s="2" customFormat="1">
      <c r="A3" s="68"/>
      <c r="B3" s="68"/>
      <c r="C3" s="71"/>
      <c r="D3" s="71"/>
      <c r="E3" s="67"/>
      <c r="F3" s="67"/>
      <c r="G3" s="11" t="s">
        <v>6</v>
      </c>
      <c r="H3" s="11" t="s">
        <v>7</v>
      </c>
      <c r="I3" s="70"/>
      <c r="J3" s="68"/>
      <c r="K3" s="61"/>
      <c r="M3" s="58"/>
      <c r="N3" s="58"/>
      <c r="O3" s="58"/>
    </row>
    <row r="4" spans="1:15">
      <c r="A4" s="3">
        <v>1</v>
      </c>
      <c r="B4" s="8">
        <v>243650</v>
      </c>
      <c r="C4" s="5" t="s">
        <v>110</v>
      </c>
      <c r="D4" s="24" t="s">
        <v>160</v>
      </c>
      <c r="E4" s="5" t="s">
        <v>23</v>
      </c>
      <c r="F4" s="5" t="s">
        <v>161</v>
      </c>
      <c r="G4" s="6"/>
      <c r="H4" s="4"/>
      <c r="I4" s="49">
        <v>1232</v>
      </c>
      <c r="J4" s="3" t="s">
        <v>9</v>
      </c>
      <c r="M4" s="9" t="s">
        <v>10</v>
      </c>
      <c r="N4" s="9" t="s">
        <v>161</v>
      </c>
      <c r="O4" s="46" t="s">
        <v>25</v>
      </c>
    </row>
    <row r="5" spans="1:15">
      <c r="A5" s="3">
        <v>2</v>
      </c>
      <c r="B5" s="8">
        <v>243650</v>
      </c>
      <c r="C5" s="5" t="s">
        <v>111</v>
      </c>
      <c r="D5" s="3" t="s">
        <v>163</v>
      </c>
      <c r="E5" s="5" t="s">
        <v>23</v>
      </c>
      <c r="F5" s="5" t="s">
        <v>161</v>
      </c>
      <c r="G5" s="6"/>
      <c r="H5" s="4"/>
      <c r="I5" s="49">
        <v>368</v>
      </c>
      <c r="J5" s="3" t="s">
        <v>10</v>
      </c>
      <c r="M5" s="9" t="s">
        <v>9</v>
      </c>
      <c r="N5" s="9" t="s">
        <v>162</v>
      </c>
      <c r="O5" s="47" t="s">
        <v>23</v>
      </c>
    </row>
    <row r="6" spans="1:15">
      <c r="A6" s="3">
        <v>3</v>
      </c>
      <c r="B6" s="8">
        <v>243656</v>
      </c>
      <c r="C6" s="4" t="s">
        <v>82</v>
      </c>
      <c r="D6" s="1" t="s">
        <v>164</v>
      </c>
      <c r="E6" s="5" t="s">
        <v>23</v>
      </c>
      <c r="F6" s="5" t="s">
        <v>161</v>
      </c>
      <c r="H6" s="4"/>
      <c r="I6" s="49">
        <v>205</v>
      </c>
      <c r="J6" s="3" t="s">
        <v>10</v>
      </c>
      <c r="M6" s="9" t="s">
        <v>11</v>
      </c>
      <c r="N6" s="9"/>
      <c r="O6" s="46" t="s">
        <v>31</v>
      </c>
    </row>
    <row r="7" spans="1:15">
      <c r="A7" s="3">
        <v>4</v>
      </c>
      <c r="B7" s="8">
        <v>243664</v>
      </c>
      <c r="C7" s="4" t="s">
        <v>190</v>
      </c>
      <c r="D7" s="24"/>
      <c r="E7" s="5" t="s">
        <v>23</v>
      </c>
      <c r="F7" s="5" t="s">
        <v>161</v>
      </c>
      <c r="H7" s="4"/>
      <c r="I7" s="49">
        <v>145</v>
      </c>
      <c r="J7" s="3" t="s">
        <v>10</v>
      </c>
      <c r="M7" s="9" t="s">
        <v>18</v>
      </c>
      <c r="N7" s="9"/>
      <c r="O7" s="9"/>
    </row>
    <row r="8" spans="1:15">
      <c r="A8" s="3">
        <v>5</v>
      </c>
      <c r="B8" s="8">
        <v>24521</v>
      </c>
      <c r="C8" s="5" t="s">
        <v>218</v>
      </c>
      <c r="D8" s="24" t="s">
        <v>221</v>
      </c>
      <c r="E8" s="5" t="s">
        <v>23</v>
      </c>
      <c r="F8" s="5" t="s">
        <v>161</v>
      </c>
      <c r="G8" s="6"/>
      <c r="H8" s="4"/>
      <c r="I8" s="49">
        <v>208</v>
      </c>
      <c r="J8" s="3" t="s">
        <v>10</v>
      </c>
    </row>
    <row r="9" spans="1:15">
      <c r="A9" s="3">
        <v>6</v>
      </c>
      <c r="B9" s="8">
        <v>243677</v>
      </c>
      <c r="C9" s="5" t="s">
        <v>255</v>
      </c>
      <c r="D9" s="24" t="s">
        <v>301</v>
      </c>
      <c r="E9" s="5" t="s">
        <v>23</v>
      </c>
      <c r="F9" s="5" t="s">
        <v>161</v>
      </c>
      <c r="G9"/>
      <c r="H9" s="4"/>
      <c r="I9" s="49">
        <v>107</v>
      </c>
      <c r="J9" s="3" t="s">
        <v>9</v>
      </c>
    </row>
    <row r="10" spans="1:15">
      <c r="A10" s="3">
        <v>7</v>
      </c>
      <c r="B10" s="8">
        <v>243677</v>
      </c>
      <c r="C10" s="5" t="s">
        <v>256</v>
      </c>
      <c r="D10" s="24" t="s">
        <v>302</v>
      </c>
      <c r="E10" s="5" t="s">
        <v>23</v>
      </c>
      <c r="F10" s="5" t="s">
        <v>161</v>
      </c>
      <c r="G10" s="4"/>
      <c r="H10" s="4"/>
      <c r="I10" s="49">
        <v>205</v>
      </c>
      <c r="J10" s="3" t="s">
        <v>10</v>
      </c>
    </row>
    <row r="11" spans="1:15">
      <c r="A11" s="3">
        <v>8</v>
      </c>
      <c r="B11" s="8" t="s">
        <v>79</v>
      </c>
      <c r="C11" s="5" t="s">
        <v>257</v>
      </c>
      <c r="D11" s="24" t="s">
        <v>303</v>
      </c>
      <c r="E11" s="5" t="s">
        <v>23</v>
      </c>
      <c r="F11" s="5" t="s">
        <v>161</v>
      </c>
      <c r="G11"/>
      <c r="H11" s="4"/>
      <c r="I11" s="49">
        <v>201</v>
      </c>
      <c r="J11" s="3" t="s">
        <v>9</v>
      </c>
    </row>
    <row r="12" spans="1:15">
      <c r="B12" s="8"/>
      <c r="C12" s="8"/>
      <c r="D12" s="8"/>
      <c r="E12" s="8"/>
      <c r="F12" s="8"/>
      <c r="G12" s="8"/>
      <c r="H12" s="8"/>
      <c r="I12" s="8"/>
      <c r="J12" s="8"/>
    </row>
    <row r="13" spans="1:15">
      <c r="D13"/>
      <c r="E13"/>
      <c r="F13"/>
      <c r="G13"/>
      <c r="H13" s="4"/>
      <c r="I13" s="4"/>
    </row>
    <row r="14" spans="1:15">
      <c r="A14" s="43" t="s">
        <v>70</v>
      </c>
      <c r="B14" s="44" t="s">
        <v>72</v>
      </c>
      <c r="C14" s="45"/>
      <c r="H14" s="4"/>
      <c r="I14" s="4"/>
    </row>
    <row r="15" spans="1:15">
      <c r="B15" s="8"/>
      <c r="C15" s="5"/>
      <c r="D15" s="5"/>
      <c r="E15" s="5"/>
      <c r="F15" s="5"/>
      <c r="H15" s="4"/>
      <c r="I15" s="4"/>
    </row>
    <row r="16" spans="1:15">
      <c r="B16" s="8"/>
      <c r="H16" s="4"/>
      <c r="I16" s="4"/>
    </row>
    <row r="17" spans="2:9">
      <c r="B17" s="8"/>
      <c r="H17" s="4"/>
      <c r="I17" s="4"/>
    </row>
    <row r="18" spans="2:9">
      <c r="B18" s="8"/>
    </row>
    <row r="19" spans="2:9">
      <c r="B19" s="8"/>
      <c r="G19" s="4"/>
    </row>
    <row r="20" spans="2:9">
      <c r="B20" s="8"/>
      <c r="C20" s="5"/>
      <c r="D20" s="5"/>
      <c r="E20" s="5"/>
      <c r="F20" s="5"/>
      <c r="H20" s="4"/>
      <c r="I20" s="4"/>
    </row>
    <row r="21" spans="2:9">
      <c r="B21" s="8"/>
      <c r="H21" s="4"/>
      <c r="I21" s="4"/>
    </row>
    <row r="22" spans="2:9">
      <c r="B22" s="8"/>
      <c r="H22" s="4"/>
      <c r="I22" s="4"/>
    </row>
    <row r="23" spans="2:9">
      <c r="B23" s="8"/>
      <c r="C23" s="5"/>
      <c r="D23" s="5"/>
      <c r="E23" s="5"/>
      <c r="F23" s="5"/>
      <c r="H23" s="4"/>
      <c r="I23" s="4"/>
    </row>
    <row r="24" spans="2:9">
      <c r="B24" s="8"/>
      <c r="H24" s="4"/>
      <c r="I24" s="4"/>
    </row>
    <row r="25" spans="2:9">
      <c r="B25" s="8"/>
      <c r="H25" s="4"/>
      <c r="I25" s="4"/>
    </row>
    <row r="26" spans="2:9">
      <c r="B26" s="8"/>
      <c r="C26" s="5"/>
      <c r="D26" s="5"/>
      <c r="E26" s="5"/>
      <c r="F26" s="5"/>
      <c r="H26" s="4"/>
      <c r="I26" s="4"/>
    </row>
    <row r="27" spans="2:9">
      <c r="B27" s="8"/>
      <c r="H27" s="4"/>
      <c r="I27" s="4"/>
    </row>
  </sheetData>
  <autoFilter ref="A3:O11" xr:uid="{F57E75CA-9FA4-4B32-AC0E-075BEAD46C3C}"/>
  <mergeCells count="13">
    <mergeCell ref="A2:A3"/>
    <mergeCell ref="B2:B3"/>
    <mergeCell ref="C2:C3"/>
    <mergeCell ref="D2:D3"/>
    <mergeCell ref="G2:H2"/>
    <mergeCell ref="N2:N3"/>
    <mergeCell ref="O2:O3"/>
    <mergeCell ref="K2:K3"/>
    <mergeCell ref="M2:M3"/>
    <mergeCell ref="E2:E3"/>
    <mergeCell ref="F2:F3"/>
    <mergeCell ref="J2:J3"/>
    <mergeCell ref="I2:I3"/>
  </mergeCells>
  <dataValidations count="5">
    <dataValidation type="list" allowBlank="1" showInputMessage="1" showErrorMessage="1" sqref="F1:F11 F14:F1048576" xr:uid="{F8BF9A11-7A30-4122-982D-45BFBB75E7BF}">
      <formula1>$N$4:$N$5</formula1>
    </dataValidation>
    <dataValidation type="list" allowBlank="1" showInputMessage="1" showErrorMessage="1" sqref="E1:E11 E14:E1048576" xr:uid="{F6BEA62E-B817-44C3-AEE6-CDADF3E493E9}">
      <formula1>$O$4:$O$7</formula1>
    </dataValidation>
    <dataValidation type="list" allowBlank="1" showInputMessage="1" showErrorMessage="1" sqref="J13:J1048576 J2:J11" xr:uid="{209C7868-8AD4-441B-84AE-CCBF623D54AB}">
      <formula1>$M$4:$M$23</formula1>
    </dataValidation>
    <dataValidation type="list" allowBlank="1" showInputMessage="1" showErrorMessage="1" sqref="J1" xr:uid="{37ACED55-E92F-495D-83A6-BD26FF8837ED}">
      <formula1>$M$4:$M$46</formula1>
    </dataValidation>
    <dataValidation type="list" allowBlank="1" showInputMessage="1" showErrorMessage="1" sqref="J1" xr:uid="{87737D56-559E-4B48-9FB2-3FAE06A1313F}">
      <formula1>$M$4:$M$70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E908-8DE2-4FD6-BB7A-1DA67190C67A}">
  <sheetPr codeName="Sheet5">
    <tabColor rgb="FFFF0066"/>
  </sheetPr>
  <dimension ref="A1:O27"/>
  <sheetViews>
    <sheetView zoomScaleNormal="100" workbookViewId="0">
      <pane xSplit="4" ySplit="3" topLeftCell="G4" activePane="bottomRight" state="frozen"/>
      <selection pane="topRight" activeCell="E1" sqref="E1"/>
      <selection pane="bottomLeft" activeCell="A4" sqref="A4"/>
      <selection pane="bottomRight" activeCell="H1" sqref="H1:J1"/>
    </sheetView>
  </sheetViews>
  <sheetFormatPr defaultColWidth="9.109375" defaultRowHeight="23.4"/>
  <cols>
    <col min="1" max="1" width="8.44140625" style="3" customWidth="1"/>
    <col min="2" max="2" width="10.33203125" style="3" bestFit="1" customWidth="1"/>
    <col min="3" max="3" width="19.5546875" style="4" customWidth="1"/>
    <col min="4" max="4" width="20" style="4" customWidth="1"/>
    <col min="5" max="5" width="23.88671875" style="4" customWidth="1"/>
    <col min="6" max="6" width="35.33203125" style="4" customWidth="1"/>
    <col min="7" max="9" width="12.109375" style="3" customWidth="1"/>
    <col min="10" max="10" width="26" style="3" customWidth="1"/>
    <col min="11" max="11" width="13.44140625" style="3" bestFit="1" customWidth="1"/>
    <col min="12" max="13" width="26" style="3" customWidth="1"/>
    <col min="14" max="14" width="36" style="3" bestFit="1" customWidth="1"/>
    <col min="15" max="15" width="29.5546875" style="3" customWidth="1"/>
    <col min="16" max="16384" width="9.109375" style="3"/>
  </cols>
  <sheetData>
    <row r="1" spans="1:15" ht="33" thickBot="1">
      <c r="A1" s="7" t="s">
        <v>77</v>
      </c>
      <c r="H1" s="50" t="s">
        <v>16</v>
      </c>
      <c r="I1" s="51">
        <f>SUBTOTAL(9,I4:I12000)</f>
        <v>2479</v>
      </c>
      <c r="J1" s="52" t="s">
        <v>317</v>
      </c>
    </row>
    <row r="2" spans="1:15" s="2" customFormat="1" ht="24" thickTop="1">
      <c r="A2" s="75" t="s">
        <v>0</v>
      </c>
      <c r="B2" s="75" t="s">
        <v>4</v>
      </c>
      <c r="C2" s="78" t="s">
        <v>5</v>
      </c>
      <c r="D2" s="78" t="s">
        <v>2</v>
      </c>
      <c r="E2" s="73" t="s">
        <v>24</v>
      </c>
      <c r="F2" s="73" t="s">
        <v>22</v>
      </c>
      <c r="G2" s="75" t="s">
        <v>1</v>
      </c>
      <c r="H2" s="75"/>
      <c r="I2" s="76" t="s">
        <v>316</v>
      </c>
      <c r="J2" s="75" t="s">
        <v>3</v>
      </c>
      <c r="K2" s="61" t="s">
        <v>21</v>
      </c>
      <c r="M2" s="57" t="s">
        <v>8</v>
      </c>
      <c r="N2" s="57" t="s">
        <v>139</v>
      </c>
      <c r="O2" s="57" t="s">
        <v>151</v>
      </c>
    </row>
    <row r="3" spans="1:15" s="2" customFormat="1">
      <c r="A3" s="75"/>
      <c r="B3" s="75"/>
      <c r="C3" s="78"/>
      <c r="D3" s="78"/>
      <c r="E3" s="74"/>
      <c r="F3" s="74"/>
      <c r="G3" s="12" t="s">
        <v>6</v>
      </c>
      <c r="H3" s="12" t="s">
        <v>7</v>
      </c>
      <c r="I3" s="77"/>
      <c r="J3" s="75"/>
      <c r="K3" s="61"/>
      <c r="M3" s="72"/>
      <c r="N3" s="72"/>
      <c r="O3" s="72"/>
    </row>
    <row r="4" spans="1:15">
      <c r="A4" s="3">
        <v>1</v>
      </c>
      <c r="B4" s="8">
        <v>243656</v>
      </c>
      <c r="C4" s="5" t="s">
        <v>170</v>
      </c>
      <c r="D4" s="5" t="s">
        <v>173</v>
      </c>
      <c r="E4" s="5" t="s">
        <v>23</v>
      </c>
      <c r="F4" s="5" t="s">
        <v>165</v>
      </c>
      <c r="G4" s="6"/>
      <c r="H4" s="4"/>
      <c r="I4" s="49">
        <v>199</v>
      </c>
      <c r="J4" s="3" t="s">
        <v>9</v>
      </c>
      <c r="M4" s="9" t="s">
        <v>10</v>
      </c>
      <c r="N4" s="9" t="s">
        <v>165</v>
      </c>
      <c r="O4" s="46" t="s">
        <v>25</v>
      </c>
    </row>
    <row r="5" spans="1:15">
      <c r="A5" s="3">
        <v>2</v>
      </c>
      <c r="B5" s="8">
        <v>243663</v>
      </c>
      <c r="C5" s="5" t="s">
        <v>171</v>
      </c>
      <c r="D5" s="5" t="s">
        <v>174</v>
      </c>
      <c r="E5" s="5" t="s">
        <v>175</v>
      </c>
      <c r="F5" s="5" t="s">
        <v>165</v>
      </c>
      <c r="G5" s="6"/>
      <c r="H5" s="4"/>
      <c r="I5" s="53">
        <v>189</v>
      </c>
      <c r="J5" s="3" t="s">
        <v>10</v>
      </c>
      <c r="M5" s="9" t="s">
        <v>9</v>
      </c>
      <c r="N5" s="9" t="s">
        <v>166</v>
      </c>
      <c r="O5" s="47" t="s">
        <v>23</v>
      </c>
    </row>
    <row r="6" spans="1:15">
      <c r="A6" s="3">
        <v>3</v>
      </c>
      <c r="B6" s="8">
        <v>243663</v>
      </c>
      <c r="C6" s="5" t="s">
        <v>172</v>
      </c>
      <c r="D6" s="5" t="s">
        <v>176</v>
      </c>
      <c r="E6" s="5" t="s">
        <v>175</v>
      </c>
      <c r="F6" s="5" t="s">
        <v>167</v>
      </c>
      <c r="H6" s="4"/>
      <c r="I6" s="53">
        <v>917</v>
      </c>
      <c r="J6" s="3" t="s">
        <v>10</v>
      </c>
      <c r="M6" s="9" t="s">
        <v>11</v>
      </c>
      <c r="N6" s="9" t="s">
        <v>167</v>
      </c>
      <c r="O6" s="46" t="s">
        <v>31</v>
      </c>
    </row>
    <row r="7" spans="1:15">
      <c r="A7" s="3">
        <v>4</v>
      </c>
      <c r="B7" s="8">
        <v>243666</v>
      </c>
      <c r="C7" s="4" t="s">
        <v>199</v>
      </c>
      <c r="D7" s="4" t="s">
        <v>212</v>
      </c>
      <c r="E7" s="5" t="s">
        <v>175</v>
      </c>
      <c r="F7" s="5" t="s">
        <v>166</v>
      </c>
      <c r="H7" s="4"/>
      <c r="I7" s="53">
        <v>119</v>
      </c>
      <c r="J7" s="3" t="s">
        <v>9</v>
      </c>
      <c r="M7" s="9" t="s">
        <v>18</v>
      </c>
      <c r="N7" s="9" t="s">
        <v>168</v>
      </c>
      <c r="O7" s="9" t="s">
        <v>175</v>
      </c>
    </row>
    <row r="8" spans="1:15">
      <c r="A8" s="3">
        <v>5</v>
      </c>
      <c r="B8" s="8">
        <v>243666</v>
      </c>
      <c r="C8" s="4" t="s">
        <v>200</v>
      </c>
      <c r="D8" s="5" t="s">
        <v>213</v>
      </c>
      <c r="E8" s="5" t="s">
        <v>175</v>
      </c>
      <c r="F8" s="5" t="s">
        <v>165</v>
      </c>
      <c r="H8" s="4"/>
      <c r="I8" s="53">
        <v>170</v>
      </c>
      <c r="J8" s="3" t="s">
        <v>9</v>
      </c>
      <c r="M8" s="9"/>
      <c r="N8" s="9" t="s">
        <v>169</v>
      </c>
      <c r="O8" s="9"/>
    </row>
    <row r="9" spans="1:15">
      <c r="A9" s="3">
        <v>6</v>
      </c>
      <c r="B9" s="8">
        <v>243666</v>
      </c>
      <c r="C9" s="4" t="s">
        <v>201</v>
      </c>
      <c r="D9" s="5" t="s">
        <v>214</v>
      </c>
      <c r="E9" s="5" t="s">
        <v>175</v>
      </c>
      <c r="F9" s="5" t="s">
        <v>165</v>
      </c>
      <c r="H9" s="4"/>
      <c r="I9" s="53">
        <v>154</v>
      </c>
      <c r="J9" s="3" t="s">
        <v>9</v>
      </c>
    </row>
    <row r="10" spans="1:15">
      <c r="A10" s="3">
        <v>7</v>
      </c>
      <c r="B10" s="8">
        <v>243667</v>
      </c>
      <c r="C10" s="5" t="s">
        <v>219</v>
      </c>
      <c r="D10" s="5" t="s">
        <v>222</v>
      </c>
      <c r="E10" s="5" t="s">
        <v>23</v>
      </c>
      <c r="F10" s="5" t="s">
        <v>165</v>
      </c>
      <c r="G10" s="6"/>
      <c r="H10" s="4"/>
      <c r="I10" s="53">
        <v>231</v>
      </c>
      <c r="J10" s="3" t="s">
        <v>9</v>
      </c>
    </row>
    <row r="11" spans="1:15">
      <c r="A11" s="3">
        <v>8</v>
      </c>
      <c r="B11" s="8">
        <v>243671</v>
      </c>
      <c r="C11" s="5" t="s">
        <v>246</v>
      </c>
      <c r="D11" s="5" t="s">
        <v>249</v>
      </c>
      <c r="E11" s="5" t="s">
        <v>175</v>
      </c>
      <c r="F11" s="5" t="s">
        <v>166</v>
      </c>
      <c r="G11" s="4"/>
      <c r="I11" s="53">
        <v>105</v>
      </c>
      <c r="J11" s="3" t="s">
        <v>10</v>
      </c>
    </row>
    <row r="12" spans="1:15">
      <c r="A12" s="3">
        <v>9</v>
      </c>
      <c r="B12" s="8">
        <v>243671</v>
      </c>
      <c r="C12" s="5" t="s">
        <v>241</v>
      </c>
      <c r="D12" s="5" t="s">
        <v>247</v>
      </c>
      <c r="E12" s="5" t="s">
        <v>175</v>
      </c>
      <c r="F12" s="5" t="s">
        <v>165</v>
      </c>
      <c r="G12" s="6"/>
      <c r="H12" s="4"/>
      <c r="I12" s="53">
        <v>290</v>
      </c>
      <c r="J12" s="3" t="s">
        <v>9</v>
      </c>
    </row>
    <row r="13" spans="1:15">
      <c r="A13" s="3">
        <v>10</v>
      </c>
      <c r="B13" s="8">
        <v>243671</v>
      </c>
      <c r="C13" s="5" t="s">
        <v>242</v>
      </c>
      <c r="D13" s="5" t="s">
        <v>248</v>
      </c>
      <c r="E13" s="5" t="s">
        <v>175</v>
      </c>
      <c r="F13" s="5" t="s">
        <v>165</v>
      </c>
      <c r="H13" s="4"/>
      <c r="I13" s="53">
        <v>105</v>
      </c>
      <c r="J13" s="3" t="s">
        <v>9</v>
      </c>
    </row>
    <row r="14" spans="1:15">
      <c r="B14" s="8"/>
      <c r="C14" s="5"/>
      <c r="D14" s="5"/>
      <c r="E14" s="5"/>
      <c r="F14" s="5"/>
    </row>
    <row r="15" spans="1:15">
      <c r="B15" s="8"/>
      <c r="H15" s="4"/>
      <c r="I15" s="4"/>
    </row>
    <row r="16" spans="1:15">
      <c r="H16" s="4"/>
      <c r="I16" s="4"/>
    </row>
    <row r="17" spans="1:12">
      <c r="A17" s="43" t="s">
        <v>70</v>
      </c>
      <c r="B17" s="44" t="s">
        <v>71</v>
      </c>
      <c r="C17" s="45"/>
    </row>
    <row r="18" spans="1:12">
      <c r="B18" s="8"/>
      <c r="G18" s="4"/>
    </row>
    <row r="19" spans="1:12">
      <c r="B19" s="8"/>
      <c r="C19" s="5"/>
      <c r="D19" s="5"/>
      <c r="E19" s="5"/>
      <c r="F19" s="5"/>
      <c r="H19" s="4"/>
      <c r="I19" s="4"/>
    </row>
    <row r="20" spans="1:12">
      <c r="B20" s="8"/>
      <c r="H20" s="4"/>
      <c r="I20" s="4"/>
    </row>
    <row r="21" spans="1:12">
      <c r="B21" s="8"/>
      <c r="H21" s="8"/>
      <c r="I21" s="8"/>
      <c r="J21" s="4"/>
      <c r="K21" s="4"/>
    </row>
    <row r="22" spans="1:12">
      <c r="B22" s="8"/>
      <c r="F22" s="5"/>
      <c r="H22" s="4"/>
      <c r="I22" s="4"/>
      <c r="L22" s="4"/>
    </row>
    <row r="23" spans="1:12">
      <c r="B23" s="8"/>
      <c r="H23" s="4"/>
      <c r="I23" s="4"/>
    </row>
    <row r="24" spans="1:12">
      <c r="B24" s="8"/>
      <c r="H24" s="4"/>
      <c r="I24" s="4"/>
    </row>
    <row r="25" spans="1:12">
      <c r="B25" s="8"/>
      <c r="F25" s="5"/>
      <c r="H25" s="4"/>
      <c r="I25" s="4"/>
    </row>
    <row r="26" spans="1:12">
      <c r="B26" s="8"/>
      <c r="H26" s="4"/>
      <c r="I26" s="4"/>
    </row>
    <row r="27" spans="1:12">
      <c r="B27" s="8"/>
    </row>
  </sheetData>
  <autoFilter ref="A3:O3" xr:uid="{2EE7E908-8DE2-4FD6-BB7A-1DA67190C67A}"/>
  <mergeCells count="13">
    <mergeCell ref="A2:A3"/>
    <mergeCell ref="B2:B3"/>
    <mergeCell ref="C2:C3"/>
    <mergeCell ref="D2:D3"/>
    <mergeCell ref="G2:H2"/>
    <mergeCell ref="N2:N3"/>
    <mergeCell ref="O2:O3"/>
    <mergeCell ref="M2:M3"/>
    <mergeCell ref="F2:F3"/>
    <mergeCell ref="E2:E3"/>
    <mergeCell ref="K2:K3"/>
    <mergeCell ref="J2:J3"/>
    <mergeCell ref="I2:I3"/>
  </mergeCells>
  <dataValidations count="5">
    <dataValidation type="list" allowBlank="1" showInputMessage="1" showErrorMessage="1" sqref="J22:J1048576 J15:J20 J2:J13" xr:uid="{19676AA6-3E83-4AA3-B902-B140BCCFDBF8}">
      <formula1>$M$4:$M$24</formula1>
    </dataValidation>
    <dataValidation type="list" allowBlank="1" showInputMessage="1" showErrorMessage="1" sqref="L22 E1:E1048576" xr:uid="{C876B902-3CDF-4B09-8F5D-F790F4B7B977}">
      <formula1>$O$4:$O$8</formula1>
    </dataValidation>
    <dataValidation type="list" allowBlank="1" showInputMessage="1" showErrorMessage="1" sqref="F1:F1048576" xr:uid="{3D84178C-9B6E-44F9-B7C4-88E6DBE1C413}">
      <formula1>$N$4:$N$8</formula1>
    </dataValidation>
    <dataValidation type="list" allowBlank="1" showInputMessage="1" showErrorMessage="1" sqref="J1" xr:uid="{7D7F64AF-E2C4-4630-840B-5B1F5B701F17}">
      <formula1>$M$4:$M$70</formula1>
    </dataValidation>
    <dataValidation type="list" allowBlank="1" showInputMessage="1" showErrorMessage="1" sqref="J1" xr:uid="{1BB841B4-D8E9-4D73-B1B2-1D749EE3EBC7}">
      <formula1>$M$4:$M$46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0EBCA-1D2A-4602-883D-0120B5DC9240}">
  <sheetPr codeName="Sheet6">
    <tabColor rgb="FF00FF99"/>
  </sheetPr>
  <dimension ref="A1:R32"/>
  <sheetViews>
    <sheetView zoomScale="70" zoomScaleNormal="70" workbookViewId="0">
      <pane xSplit="3" ySplit="3" topLeftCell="D18" activePane="bottomRight" state="frozen"/>
      <selection pane="topRight" activeCell="D1" sqref="D1"/>
      <selection pane="bottomLeft" activeCell="A4" sqref="A4"/>
      <selection pane="bottomRight" activeCell="K36" sqref="K36"/>
    </sheetView>
  </sheetViews>
  <sheetFormatPr defaultColWidth="9.109375" defaultRowHeight="23.4"/>
  <cols>
    <col min="1" max="1" width="12.5546875" style="3" customWidth="1"/>
    <col min="2" max="2" width="11.33203125" style="3" bestFit="1" customWidth="1"/>
    <col min="3" max="4" width="19.6640625" style="4" customWidth="1"/>
    <col min="5" max="5" width="23.88671875" style="4" customWidth="1"/>
    <col min="6" max="6" width="24.33203125" style="4" customWidth="1"/>
    <col min="7" max="9" width="15.33203125" style="3" customWidth="1"/>
    <col min="10" max="10" width="25.33203125" style="3" bestFit="1" customWidth="1"/>
    <col min="11" max="11" width="20.109375" style="3" bestFit="1" customWidth="1"/>
    <col min="12" max="12" width="12" style="3" customWidth="1"/>
    <col min="13" max="13" width="26" style="3" customWidth="1"/>
    <col min="14" max="14" width="29.33203125" style="3" customWidth="1"/>
    <col min="15" max="15" width="29.44140625" style="3" customWidth="1"/>
    <col min="16" max="18" width="36.109375" style="3" customWidth="1"/>
    <col min="19" max="16384" width="9.109375" style="3"/>
  </cols>
  <sheetData>
    <row r="1" spans="1:18" ht="33" thickBot="1">
      <c r="A1" s="7" t="s">
        <v>78</v>
      </c>
      <c r="H1" s="50" t="s">
        <v>16</v>
      </c>
      <c r="I1" s="51">
        <f>SUBTOTAL(9,I4:I12000)</f>
        <v>14293</v>
      </c>
      <c r="J1" s="52" t="s">
        <v>317</v>
      </c>
    </row>
    <row r="2" spans="1:18" s="2" customFormat="1" ht="27" thickTop="1">
      <c r="A2" s="79" t="s">
        <v>0</v>
      </c>
      <c r="B2" s="79" t="s">
        <v>4</v>
      </c>
      <c r="C2" s="84" t="s">
        <v>5</v>
      </c>
      <c r="D2" s="84" t="s">
        <v>2</v>
      </c>
      <c r="E2" s="80" t="s">
        <v>24</v>
      </c>
      <c r="F2" s="80" t="s">
        <v>22</v>
      </c>
      <c r="G2" s="79" t="s">
        <v>1</v>
      </c>
      <c r="H2" s="79"/>
      <c r="I2" s="82" t="s">
        <v>316</v>
      </c>
      <c r="J2" s="79" t="s">
        <v>3</v>
      </c>
      <c r="K2" s="61" t="s">
        <v>21</v>
      </c>
      <c r="M2" s="57" t="s">
        <v>8</v>
      </c>
      <c r="N2" s="57" t="s">
        <v>22</v>
      </c>
      <c r="O2" s="57" t="s">
        <v>151</v>
      </c>
    </row>
    <row r="3" spans="1:18" s="2" customFormat="1" ht="26.4">
      <c r="A3" s="79"/>
      <c r="B3" s="79"/>
      <c r="C3" s="84"/>
      <c r="D3" s="84"/>
      <c r="E3" s="81"/>
      <c r="F3" s="81"/>
      <c r="G3" s="15" t="s">
        <v>6</v>
      </c>
      <c r="H3" s="15" t="s">
        <v>7</v>
      </c>
      <c r="I3" s="83"/>
      <c r="J3" s="79"/>
      <c r="K3" s="61"/>
      <c r="M3" s="72"/>
      <c r="N3" s="72"/>
      <c r="O3" s="72"/>
    </row>
    <row r="4" spans="1:18">
      <c r="A4" s="3">
        <v>1</v>
      </c>
      <c r="B4" s="8">
        <v>243651</v>
      </c>
      <c r="C4" s="1" t="s">
        <v>177</v>
      </c>
      <c r="D4" s="1" t="s">
        <v>81</v>
      </c>
      <c r="E4" s="5" t="s">
        <v>178</v>
      </c>
      <c r="F4" s="5" t="s">
        <v>26</v>
      </c>
      <c r="G4" s="1" t="s">
        <v>112</v>
      </c>
      <c r="H4" s="1" t="s">
        <v>113</v>
      </c>
      <c r="I4" s="49">
        <v>230</v>
      </c>
      <c r="J4" s="3" t="s">
        <v>9</v>
      </c>
      <c r="K4"/>
      <c r="M4" s="9" t="s">
        <v>10</v>
      </c>
      <c r="N4" s="9" t="s">
        <v>26</v>
      </c>
      <c r="O4" s="46" t="s">
        <v>25</v>
      </c>
      <c r="P4" s="2"/>
      <c r="Q4" s="2"/>
      <c r="R4" s="2"/>
    </row>
    <row r="5" spans="1:18">
      <c r="A5" s="3">
        <v>2</v>
      </c>
      <c r="B5" s="8">
        <v>243655</v>
      </c>
      <c r="C5" s="1" t="s">
        <v>188</v>
      </c>
      <c r="D5" s="1" t="s">
        <v>189</v>
      </c>
      <c r="E5" s="5" t="s">
        <v>178</v>
      </c>
      <c r="F5" s="5" t="s">
        <v>26</v>
      </c>
      <c r="G5" s="1" t="s">
        <v>187</v>
      </c>
      <c r="H5" s="1" t="s">
        <v>116</v>
      </c>
      <c r="I5" s="49">
        <v>200</v>
      </c>
      <c r="J5" s="3" t="s">
        <v>10</v>
      </c>
      <c r="K5"/>
      <c r="M5" s="9" t="s">
        <v>9</v>
      </c>
      <c r="N5" s="9" t="s">
        <v>27</v>
      </c>
      <c r="O5" s="47" t="s">
        <v>23</v>
      </c>
      <c r="P5" s="2"/>
      <c r="Q5" s="2"/>
      <c r="R5" s="2"/>
    </row>
    <row r="6" spans="1:18">
      <c r="A6" s="3">
        <v>3</v>
      </c>
      <c r="B6" s="8">
        <v>243655</v>
      </c>
      <c r="C6" s="1" t="s">
        <v>179</v>
      </c>
      <c r="D6" s="1" t="s">
        <v>114</v>
      </c>
      <c r="E6" s="5" t="s">
        <v>178</v>
      </c>
      <c r="F6" s="5" t="s">
        <v>26</v>
      </c>
      <c r="G6" s="1" t="s">
        <v>117</v>
      </c>
      <c r="H6" s="1" t="s">
        <v>118</v>
      </c>
      <c r="I6" s="49">
        <v>230</v>
      </c>
      <c r="J6" s="3" t="s">
        <v>9</v>
      </c>
      <c r="K6"/>
      <c r="M6" s="9" t="s">
        <v>11</v>
      </c>
      <c r="N6" s="9" t="s">
        <v>29</v>
      </c>
      <c r="O6" s="46" t="s">
        <v>31</v>
      </c>
      <c r="P6" s="2"/>
      <c r="Q6" s="2"/>
      <c r="R6" s="2"/>
    </row>
    <row r="7" spans="1:18">
      <c r="A7" s="3">
        <v>4</v>
      </c>
      <c r="B7" s="8">
        <v>243655</v>
      </c>
      <c r="C7" s="1" t="s">
        <v>180</v>
      </c>
      <c r="D7" s="1" t="s">
        <v>115</v>
      </c>
      <c r="E7" s="5" t="s">
        <v>178</v>
      </c>
      <c r="F7" s="5" t="s">
        <v>26</v>
      </c>
      <c r="G7" s="1" t="s">
        <v>119</v>
      </c>
      <c r="H7" s="1" t="s">
        <v>120</v>
      </c>
      <c r="I7" s="49">
        <v>310</v>
      </c>
      <c r="J7" s="3" t="s">
        <v>9</v>
      </c>
      <c r="K7"/>
      <c r="M7" s="9" t="s">
        <v>18</v>
      </c>
      <c r="N7" s="9" t="s">
        <v>28</v>
      </c>
      <c r="O7" s="9" t="s">
        <v>175</v>
      </c>
      <c r="P7" s="2"/>
      <c r="Q7" s="2"/>
      <c r="R7" s="2"/>
    </row>
    <row r="8" spans="1:18">
      <c r="A8" s="3">
        <v>5</v>
      </c>
      <c r="B8" s="8">
        <v>244027</v>
      </c>
      <c r="C8" s="1" t="s">
        <v>181</v>
      </c>
      <c r="D8" s="1" t="s">
        <v>128</v>
      </c>
      <c r="E8" s="5" t="s">
        <v>178</v>
      </c>
      <c r="F8" s="5" t="s">
        <v>26</v>
      </c>
      <c r="G8" s="1" t="s">
        <v>121</v>
      </c>
      <c r="H8" s="1"/>
      <c r="I8" s="49">
        <v>230</v>
      </c>
      <c r="J8" s="3" t="s">
        <v>9</v>
      </c>
      <c r="K8"/>
      <c r="M8" s="9"/>
      <c r="N8" s="9" t="s">
        <v>30</v>
      </c>
      <c r="O8" s="9" t="s">
        <v>178</v>
      </c>
      <c r="P8" s="2"/>
      <c r="Q8" s="2"/>
      <c r="R8" s="2"/>
    </row>
    <row r="9" spans="1:18">
      <c r="A9" s="3">
        <v>6</v>
      </c>
      <c r="B9" s="8">
        <v>244027</v>
      </c>
      <c r="C9" s="1" t="s">
        <v>182</v>
      </c>
      <c r="D9" s="1" t="s">
        <v>129</v>
      </c>
      <c r="E9" s="5" t="s">
        <v>178</v>
      </c>
      <c r="F9" s="5" t="s">
        <v>26</v>
      </c>
      <c r="G9" s="1" t="s">
        <v>122</v>
      </c>
      <c r="H9" s="1" t="s">
        <v>123</v>
      </c>
      <c r="I9" s="49">
        <v>429</v>
      </c>
      <c r="J9" s="3" t="s">
        <v>10</v>
      </c>
      <c r="K9"/>
      <c r="P9" s="2"/>
      <c r="Q9" s="2"/>
      <c r="R9" s="2"/>
    </row>
    <row r="10" spans="1:18">
      <c r="A10" s="3">
        <v>7</v>
      </c>
      <c r="B10" s="8">
        <v>244027</v>
      </c>
      <c r="C10" s="1" t="s">
        <v>183</v>
      </c>
      <c r="D10" s="1" t="s">
        <v>130</v>
      </c>
      <c r="E10" s="5" t="s">
        <v>178</v>
      </c>
      <c r="F10" s="5" t="s">
        <v>26</v>
      </c>
      <c r="G10" s="1" t="s">
        <v>124</v>
      </c>
      <c r="H10" s="1" t="s">
        <v>125</v>
      </c>
      <c r="I10" s="49">
        <v>429</v>
      </c>
      <c r="J10" s="3" t="s">
        <v>9</v>
      </c>
      <c r="K10"/>
      <c r="P10" s="2"/>
      <c r="Q10" s="2"/>
      <c r="R10" s="2"/>
    </row>
    <row r="11" spans="1:18">
      <c r="A11" s="3">
        <v>8</v>
      </c>
      <c r="B11" s="8">
        <v>244027</v>
      </c>
      <c r="C11" s="1" t="s">
        <v>184</v>
      </c>
      <c r="D11" s="1" t="s">
        <v>131</v>
      </c>
      <c r="E11" s="5" t="s">
        <v>178</v>
      </c>
      <c r="F11" s="5" t="s">
        <v>26</v>
      </c>
      <c r="G11" s="1" t="s">
        <v>126</v>
      </c>
      <c r="H11" s="1" t="s">
        <v>127</v>
      </c>
      <c r="I11" s="49">
        <v>419</v>
      </c>
      <c r="J11" s="3" t="s">
        <v>10</v>
      </c>
      <c r="K11"/>
      <c r="P11" s="2"/>
      <c r="Q11" s="2"/>
      <c r="R11" s="2"/>
    </row>
    <row r="12" spans="1:18">
      <c r="A12" s="3">
        <v>9</v>
      </c>
      <c r="B12" s="8">
        <v>243663</v>
      </c>
      <c r="C12" s="1" t="s">
        <v>185</v>
      </c>
      <c r="D12" s="1" t="s">
        <v>132</v>
      </c>
      <c r="E12" s="5" t="s">
        <v>178</v>
      </c>
      <c r="F12" s="5" t="s">
        <v>26</v>
      </c>
      <c r="G12" s="1" t="s">
        <v>134</v>
      </c>
      <c r="H12" s="1" t="s">
        <v>135</v>
      </c>
      <c r="I12" s="49">
        <v>320</v>
      </c>
      <c r="J12" s="3" t="s">
        <v>10</v>
      </c>
      <c r="K12"/>
      <c r="P12" s="2"/>
      <c r="Q12" s="2"/>
      <c r="R12" s="2"/>
    </row>
    <row r="13" spans="1:18">
      <c r="A13" s="3">
        <v>10</v>
      </c>
      <c r="B13" s="8">
        <v>243663</v>
      </c>
      <c r="C13" s="1" t="s">
        <v>186</v>
      </c>
      <c r="D13" s="1" t="s">
        <v>133</v>
      </c>
      <c r="E13" s="5" t="s">
        <v>178</v>
      </c>
      <c r="F13" s="5" t="s">
        <v>26</v>
      </c>
      <c r="G13" s="1" t="s">
        <v>136</v>
      </c>
      <c r="H13" s="1" t="s">
        <v>137</v>
      </c>
      <c r="I13" s="49">
        <v>310</v>
      </c>
      <c r="J13" s="3" t="s">
        <v>10</v>
      </c>
      <c r="K13"/>
      <c r="P13" s="2"/>
      <c r="Q13" s="2"/>
      <c r="R13" s="2"/>
    </row>
    <row r="14" spans="1:18">
      <c r="A14" s="3">
        <v>11</v>
      </c>
      <c r="B14" s="8">
        <v>243664</v>
      </c>
      <c r="C14" s="1" t="s">
        <v>198</v>
      </c>
      <c r="D14" s="1" t="s">
        <v>191</v>
      </c>
      <c r="E14" s="5" t="s">
        <v>178</v>
      </c>
      <c r="F14" s="5" t="s">
        <v>26</v>
      </c>
      <c r="G14" s="1" t="s">
        <v>195</v>
      </c>
      <c r="H14" s="1" t="s">
        <v>196</v>
      </c>
      <c r="I14" s="49">
        <v>320</v>
      </c>
      <c r="J14" s="3" t="s">
        <v>10</v>
      </c>
      <c r="P14" s="2"/>
      <c r="Q14" s="2"/>
      <c r="R14" s="2"/>
    </row>
    <row r="15" spans="1:18">
      <c r="A15" s="3">
        <v>12</v>
      </c>
      <c r="B15" s="8">
        <v>243666</v>
      </c>
      <c r="C15" s="1" t="s">
        <v>209</v>
      </c>
      <c r="D15" s="1" t="s">
        <v>202</v>
      </c>
      <c r="E15" s="5" t="s">
        <v>178</v>
      </c>
      <c r="F15" s="5" t="s">
        <v>26</v>
      </c>
      <c r="G15" s="6" t="s">
        <v>208</v>
      </c>
      <c r="H15" s="1" t="s">
        <v>207</v>
      </c>
      <c r="I15" s="49">
        <v>319</v>
      </c>
      <c r="J15" s="3" t="s">
        <v>9</v>
      </c>
      <c r="P15" s="2"/>
      <c r="Q15" s="2"/>
      <c r="R15" s="2"/>
    </row>
    <row r="16" spans="1:18">
      <c r="A16" s="3">
        <v>13</v>
      </c>
      <c r="B16" s="8">
        <v>243666</v>
      </c>
      <c r="C16" s="1" t="s">
        <v>210</v>
      </c>
      <c r="D16" s="1" t="s">
        <v>203</v>
      </c>
      <c r="E16" s="5" t="s">
        <v>178</v>
      </c>
      <c r="F16" s="5" t="s">
        <v>26</v>
      </c>
      <c r="G16" s="3" t="s">
        <v>205</v>
      </c>
      <c r="H16" s="1" t="s">
        <v>211</v>
      </c>
      <c r="I16" s="49">
        <v>2480</v>
      </c>
      <c r="J16" s="3" t="s">
        <v>9</v>
      </c>
      <c r="P16" s="2"/>
      <c r="Q16" s="2"/>
      <c r="R16" s="2"/>
    </row>
    <row r="17" spans="1:18">
      <c r="A17" s="3">
        <v>14</v>
      </c>
      <c r="B17" s="8">
        <v>243666</v>
      </c>
      <c r="C17" s="1" t="s">
        <v>210</v>
      </c>
      <c r="D17" s="1" t="s">
        <v>204</v>
      </c>
      <c r="E17" s="5" t="s">
        <v>178</v>
      </c>
      <c r="F17" s="5" t="s">
        <v>26</v>
      </c>
      <c r="G17" s="3" t="s">
        <v>206</v>
      </c>
      <c r="H17" s="1" t="s">
        <v>211</v>
      </c>
      <c r="I17" s="49">
        <v>2480</v>
      </c>
      <c r="J17" s="3" t="s">
        <v>9</v>
      </c>
      <c r="P17" s="2"/>
      <c r="Q17" s="2"/>
      <c r="R17" s="2"/>
    </row>
    <row r="18" spans="1:18">
      <c r="A18" s="3">
        <v>15</v>
      </c>
      <c r="B18" s="8">
        <v>24524</v>
      </c>
      <c r="C18" s="1" t="s">
        <v>232</v>
      </c>
      <c r="D18" s="1" t="s">
        <v>225</v>
      </c>
      <c r="E18" s="5" t="s">
        <v>178</v>
      </c>
      <c r="F18" s="5" t="s">
        <v>26</v>
      </c>
      <c r="G18" s="1" t="s">
        <v>229</v>
      </c>
      <c r="H18" s="1" t="s">
        <v>230</v>
      </c>
      <c r="I18" s="49">
        <v>219</v>
      </c>
      <c r="J18" s="3" t="s">
        <v>9</v>
      </c>
      <c r="P18" s="2"/>
      <c r="Q18" s="2"/>
      <c r="R18" s="2"/>
    </row>
    <row r="19" spans="1:18">
      <c r="A19" s="3">
        <v>16</v>
      </c>
      <c r="B19" s="8">
        <v>24524</v>
      </c>
      <c r="C19" s="1" t="s">
        <v>233</v>
      </c>
      <c r="D19" s="1" t="s">
        <v>226</v>
      </c>
      <c r="E19" s="5" t="s">
        <v>178</v>
      </c>
      <c r="F19" s="5" t="s">
        <v>26</v>
      </c>
      <c r="G19" s="1" t="s">
        <v>231</v>
      </c>
      <c r="H19" s="1"/>
      <c r="I19" s="49">
        <v>320</v>
      </c>
      <c r="J19" s="3" t="s">
        <v>9</v>
      </c>
      <c r="P19" s="2"/>
      <c r="Q19" s="2"/>
      <c r="R19" s="2"/>
    </row>
    <row r="20" spans="1:18">
      <c r="A20" s="3">
        <v>17</v>
      </c>
      <c r="B20" s="8">
        <v>24524</v>
      </c>
      <c r="C20" s="1" t="s">
        <v>234</v>
      </c>
      <c r="D20" s="1" t="s">
        <v>227</v>
      </c>
      <c r="E20" s="5" t="s">
        <v>178</v>
      </c>
      <c r="F20" s="5" t="s">
        <v>26</v>
      </c>
      <c r="G20" s="1" t="s">
        <v>228</v>
      </c>
      <c r="H20" s="1"/>
      <c r="I20" s="49">
        <v>478</v>
      </c>
      <c r="J20" s="3" t="s">
        <v>9</v>
      </c>
      <c r="P20" s="2"/>
      <c r="Q20" s="2"/>
      <c r="R20" s="2"/>
    </row>
    <row r="21" spans="1:18">
      <c r="A21" s="3">
        <v>18</v>
      </c>
      <c r="B21" s="8">
        <v>243671</v>
      </c>
      <c r="C21" s="1" t="s">
        <v>245</v>
      </c>
      <c r="D21" s="48" t="s">
        <v>243</v>
      </c>
      <c r="E21" s="5" t="s">
        <v>178</v>
      </c>
      <c r="F21" s="5" t="s">
        <v>26</v>
      </c>
      <c r="G21" s="1" t="s">
        <v>244</v>
      </c>
      <c r="H21" s="1" t="s">
        <v>211</v>
      </c>
      <c r="I21" s="49">
        <v>2030</v>
      </c>
      <c r="J21" s="3" t="s">
        <v>9</v>
      </c>
      <c r="P21" s="2"/>
      <c r="Q21" s="2"/>
      <c r="R21" s="2"/>
    </row>
    <row r="22" spans="1:18">
      <c r="A22" s="3">
        <v>19</v>
      </c>
      <c r="B22" s="8" t="s">
        <v>79</v>
      </c>
      <c r="C22" s="1" t="s">
        <v>304</v>
      </c>
      <c r="D22" s="1" t="s">
        <v>266</v>
      </c>
      <c r="E22" s="5" t="s">
        <v>178</v>
      </c>
      <c r="F22" s="5" t="s">
        <v>26</v>
      </c>
      <c r="G22" s="1" t="s">
        <v>295</v>
      </c>
      <c r="H22" s="1" t="s">
        <v>296</v>
      </c>
      <c r="I22" s="49">
        <v>300</v>
      </c>
      <c r="J22" s="3" t="s">
        <v>10</v>
      </c>
      <c r="P22" s="2"/>
      <c r="Q22" s="2"/>
      <c r="R22" s="2"/>
    </row>
    <row r="23" spans="1:18">
      <c r="A23" s="3">
        <v>20</v>
      </c>
      <c r="B23" s="8" t="s">
        <v>79</v>
      </c>
      <c r="C23" s="1" t="s">
        <v>306</v>
      </c>
      <c r="D23" s="1" t="s">
        <v>305</v>
      </c>
      <c r="E23" s="5" t="s">
        <v>178</v>
      </c>
      <c r="F23" s="5" t="s">
        <v>26</v>
      </c>
      <c r="G23" s="1" t="s">
        <v>277</v>
      </c>
      <c r="H23" s="1" t="s">
        <v>278</v>
      </c>
      <c r="I23" s="49">
        <v>180</v>
      </c>
      <c r="J23" s="3" t="s">
        <v>9</v>
      </c>
      <c r="P23" s="2"/>
      <c r="Q23" s="2"/>
      <c r="R23" s="2"/>
    </row>
    <row r="24" spans="1:18">
      <c r="A24" s="3">
        <v>21</v>
      </c>
      <c r="B24" s="8" t="s">
        <v>79</v>
      </c>
      <c r="C24" s="1" t="s">
        <v>307</v>
      </c>
      <c r="D24" s="1" t="s">
        <v>267</v>
      </c>
      <c r="E24" s="5" t="s">
        <v>178</v>
      </c>
      <c r="F24" s="5" t="s">
        <v>26</v>
      </c>
      <c r="G24" s="1" t="s">
        <v>279</v>
      </c>
      <c r="H24" s="1" t="s">
        <v>280</v>
      </c>
      <c r="I24" s="49">
        <v>330</v>
      </c>
      <c r="J24" s="3" t="s">
        <v>9</v>
      </c>
      <c r="P24" s="2"/>
      <c r="Q24" s="2"/>
      <c r="R24" s="2"/>
    </row>
    <row r="25" spans="1:18">
      <c r="A25" s="3">
        <v>22</v>
      </c>
      <c r="B25" s="8" t="s">
        <v>79</v>
      </c>
      <c r="C25" s="1" t="s">
        <v>308</v>
      </c>
      <c r="D25" s="1" t="s">
        <v>268</v>
      </c>
      <c r="E25" s="5" t="s">
        <v>178</v>
      </c>
      <c r="F25" s="4" t="s">
        <v>27</v>
      </c>
      <c r="G25" s="1" t="s">
        <v>281</v>
      </c>
      <c r="H25" s="1" t="s">
        <v>282</v>
      </c>
      <c r="I25" s="49">
        <v>230</v>
      </c>
      <c r="J25" s="3" t="s">
        <v>9</v>
      </c>
      <c r="P25" s="2"/>
      <c r="Q25" s="2"/>
      <c r="R25" s="2"/>
    </row>
    <row r="26" spans="1:18">
      <c r="A26" s="3">
        <v>23</v>
      </c>
      <c r="B26" s="8" t="s">
        <v>79</v>
      </c>
      <c r="C26" s="1" t="s">
        <v>309</v>
      </c>
      <c r="D26" s="1" t="s">
        <v>269</v>
      </c>
      <c r="E26" s="5" t="s">
        <v>178</v>
      </c>
      <c r="F26" s="5" t="s">
        <v>26</v>
      </c>
      <c r="G26" s="1" t="s">
        <v>283</v>
      </c>
      <c r="H26" s="1" t="s">
        <v>284</v>
      </c>
      <c r="I26" s="49">
        <v>270</v>
      </c>
      <c r="J26" s="3" t="s">
        <v>9</v>
      </c>
      <c r="P26" s="2"/>
      <c r="Q26" s="2"/>
      <c r="R26" s="2"/>
    </row>
    <row r="27" spans="1:18">
      <c r="A27" s="3">
        <v>24</v>
      </c>
      <c r="B27" s="8" t="s">
        <v>79</v>
      </c>
      <c r="C27" s="1" t="s">
        <v>310</v>
      </c>
      <c r="D27" s="1" t="s">
        <v>270</v>
      </c>
      <c r="E27" s="5" t="s">
        <v>178</v>
      </c>
      <c r="F27" s="5" t="s">
        <v>26</v>
      </c>
      <c r="G27" s="1" t="s">
        <v>285</v>
      </c>
      <c r="H27" s="1" t="s">
        <v>286</v>
      </c>
      <c r="I27" s="49">
        <v>180</v>
      </c>
      <c r="J27" s="3" t="s">
        <v>9</v>
      </c>
      <c r="P27" s="2"/>
      <c r="Q27" s="2"/>
      <c r="R27" s="2"/>
    </row>
    <row r="28" spans="1:18">
      <c r="A28" s="3">
        <v>25</v>
      </c>
      <c r="B28" s="8" t="s">
        <v>79</v>
      </c>
      <c r="C28" s="1" t="s">
        <v>311</v>
      </c>
      <c r="D28" s="1" t="s">
        <v>271</v>
      </c>
      <c r="E28" s="5" t="s">
        <v>178</v>
      </c>
      <c r="F28" s="5" t="s">
        <v>26</v>
      </c>
      <c r="G28" s="1" t="s">
        <v>287</v>
      </c>
      <c r="H28" s="1" t="s">
        <v>288</v>
      </c>
      <c r="I28" s="49">
        <v>180</v>
      </c>
      <c r="J28" s="3" t="s">
        <v>9</v>
      </c>
      <c r="P28" s="2"/>
      <c r="Q28" s="2"/>
      <c r="R28" s="2"/>
    </row>
    <row r="29" spans="1:18">
      <c r="A29" s="3">
        <v>26</v>
      </c>
      <c r="B29" s="8" t="s">
        <v>79</v>
      </c>
      <c r="C29" s="1" t="s">
        <v>312</v>
      </c>
      <c r="D29" s="1" t="s">
        <v>272</v>
      </c>
      <c r="E29" s="5" t="s">
        <v>178</v>
      </c>
      <c r="F29" s="5" t="s">
        <v>26</v>
      </c>
      <c r="G29" s="1" t="s">
        <v>289</v>
      </c>
      <c r="H29" s="1" t="s">
        <v>290</v>
      </c>
      <c r="I29" s="49">
        <v>180</v>
      </c>
      <c r="J29" s="3" t="s">
        <v>9</v>
      </c>
      <c r="P29" s="2"/>
      <c r="Q29" s="2"/>
      <c r="R29" s="2"/>
    </row>
    <row r="30" spans="1:18">
      <c r="A30" s="3">
        <v>27</v>
      </c>
      <c r="B30" s="8" t="s">
        <v>79</v>
      </c>
      <c r="C30" s="1" t="s">
        <v>313</v>
      </c>
      <c r="D30" s="1" t="s">
        <v>273</v>
      </c>
      <c r="E30" s="5" t="s">
        <v>178</v>
      </c>
      <c r="F30" s="5" t="s">
        <v>26</v>
      </c>
      <c r="G30" s="1" t="s">
        <v>291</v>
      </c>
      <c r="H30" s="1" t="s">
        <v>292</v>
      </c>
      <c r="I30" s="49">
        <v>330</v>
      </c>
      <c r="J30" s="3" t="s">
        <v>9</v>
      </c>
    </row>
    <row r="31" spans="1:18">
      <c r="A31" s="3">
        <v>28</v>
      </c>
      <c r="B31" s="8" t="s">
        <v>79</v>
      </c>
      <c r="C31" s="1" t="s">
        <v>314</v>
      </c>
      <c r="D31" s="1" t="s">
        <v>274</v>
      </c>
      <c r="E31" s="5" t="s">
        <v>178</v>
      </c>
      <c r="F31" s="5" t="s">
        <v>26</v>
      </c>
      <c r="G31" s="1" t="s">
        <v>293</v>
      </c>
      <c r="H31" s="1" t="s">
        <v>294</v>
      </c>
      <c r="I31" s="49">
        <v>180</v>
      </c>
      <c r="J31" s="3" t="s">
        <v>9</v>
      </c>
    </row>
    <row r="32" spans="1:18">
      <c r="A32" s="3">
        <v>29</v>
      </c>
      <c r="B32" s="8" t="s">
        <v>79</v>
      </c>
      <c r="C32" s="1" t="s">
        <v>315</v>
      </c>
      <c r="D32" s="1" t="s">
        <v>275</v>
      </c>
      <c r="E32" s="5" t="s">
        <v>178</v>
      </c>
      <c r="F32" s="5" t="s">
        <v>26</v>
      </c>
      <c r="G32" s="1" t="s">
        <v>276</v>
      </c>
      <c r="H32" s="1"/>
      <c r="I32" s="49">
        <v>180</v>
      </c>
      <c r="J32" s="3" t="s">
        <v>9</v>
      </c>
    </row>
  </sheetData>
  <autoFilter ref="A3:X33" xr:uid="{5D80EBCA-1D2A-4602-883D-0120B5DC9240}"/>
  <dataConsolidate/>
  <mergeCells count="13">
    <mergeCell ref="A2:A3"/>
    <mergeCell ref="B2:B3"/>
    <mergeCell ref="C2:C3"/>
    <mergeCell ref="D2:D3"/>
    <mergeCell ref="G2:H2"/>
    <mergeCell ref="K2:K3"/>
    <mergeCell ref="M2:M3"/>
    <mergeCell ref="O2:O3"/>
    <mergeCell ref="J2:J3"/>
    <mergeCell ref="E2:E3"/>
    <mergeCell ref="F2:F3"/>
    <mergeCell ref="N2:N3"/>
    <mergeCell ref="I2:I3"/>
  </mergeCells>
  <dataValidations count="5">
    <dataValidation type="list" allowBlank="1" showInputMessage="1" showErrorMessage="1" sqref="H24 J34:J1048576 J2:J32" xr:uid="{2736945C-7942-4DEE-A17E-B5B71DE7D63A}">
      <formula1>$M$4:$M$25</formula1>
    </dataValidation>
    <dataValidation type="list" allowBlank="1" showInputMessage="1" showErrorMessage="1" sqref="F1:F1048576" xr:uid="{55F7DB15-91F3-41AA-B28C-C90A1171C47B}">
      <formula1>$N$2:$N$27</formula1>
    </dataValidation>
    <dataValidation type="list" allowBlank="1" showInputMessage="1" showErrorMessage="1" sqref="E1:E1048576" xr:uid="{D2FC0E2E-1651-4C21-9903-7CD645E6E4FF}">
      <formula1>$O$4:$O$8</formula1>
    </dataValidation>
    <dataValidation type="list" allowBlank="1" showInputMessage="1" showErrorMessage="1" sqref="J1" xr:uid="{033274AD-6501-4FA8-9335-9F0613307E32}">
      <formula1>$M$4:$M$46</formula1>
    </dataValidation>
    <dataValidation type="list" allowBlank="1" showInputMessage="1" showErrorMessage="1" sqref="J1" xr:uid="{1592EA5C-F2E5-4A0A-9536-D2905FE92660}">
      <formula1>$M$4:$M$70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AAF43-78FF-485F-A91A-10BC19B0F29A}">
  <sheetPr codeName="Sheet7">
    <tabColor rgb="FF7030A0"/>
  </sheetPr>
  <dimension ref="A1:AG33"/>
  <sheetViews>
    <sheetView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35" sqref="A35"/>
    </sheetView>
  </sheetViews>
  <sheetFormatPr defaultColWidth="9.109375" defaultRowHeight="23.4"/>
  <cols>
    <col min="1" max="1" width="16.109375" style="3" customWidth="1"/>
    <col min="2" max="2" width="16.88671875" style="3" bestFit="1" customWidth="1"/>
    <col min="3" max="4" width="15.33203125" style="3" bestFit="1" customWidth="1"/>
    <col min="5" max="6" width="22.44140625" style="3" bestFit="1" customWidth="1"/>
    <col min="7" max="7" width="11" style="3" bestFit="1" customWidth="1"/>
    <col min="8" max="8" width="11.109375" style="3" bestFit="1" customWidth="1"/>
    <col min="9" max="9" width="8.5546875" style="3" bestFit="1" customWidth="1"/>
    <col min="10" max="10" width="12" style="3" bestFit="1" customWidth="1"/>
    <col min="11" max="11" width="8.6640625" style="3" bestFit="1" customWidth="1"/>
    <col min="12" max="12" width="12.109375" style="3" bestFit="1" customWidth="1"/>
    <col min="13" max="13" width="14.5546875" style="3" bestFit="1" customWidth="1"/>
    <col min="14" max="14" width="9.33203125" style="3" bestFit="1" customWidth="1"/>
    <col min="15" max="15" width="21.5546875" style="3" bestFit="1" customWidth="1"/>
    <col min="16" max="16" width="18.6640625" style="3" bestFit="1" customWidth="1"/>
    <col min="17" max="17" width="14.88671875" style="3" bestFit="1" customWidth="1"/>
    <col min="18" max="19" width="23.44140625" style="3" bestFit="1" customWidth="1"/>
    <col min="20" max="20" width="18.5546875" style="3" bestFit="1" customWidth="1"/>
    <col min="21" max="21" width="13.109375" style="3" bestFit="1" customWidth="1"/>
    <col min="22" max="22" width="12.44140625" style="3" bestFit="1" customWidth="1"/>
    <col min="23" max="23" width="8.5546875" style="3" bestFit="1" customWidth="1"/>
    <col min="24" max="24" width="8.33203125" style="3" bestFit="1" customWidth="1"/>
    <col min="25" max="25" width="11.109375" style="3" bestFit="1" customWidth="1"/>
    <col min="26" max="26" width="11.44140625" style="3" bestFit="1" customWidth="1"/>
    <col min="27" max="27" width="7.109375" style="3" bestFit="1" customWidth="1"/>
    <col min="28" max="28" width="11.109375" style="3" bestFit="1" customWidth="1"/>
    <col min="29" max="29" width="10" style="3" bestFit="1" customWidth="1"/>
    <col min="30" max="30" width="5.44140625" style="3" bestFit="1" customWidth="1"/>
    <col min="31" max="31" width="16.44140625" style="3" bestFit="1" customWidth="1"/>
    <col min="32" max="32" width="11.109375" style="3" bestFit="1" customWidth="1"/>
    <col min="33" max="33" width="26.33203125" style="3" bestFit="1" customWidth="1"/>
    <col min="34" max="16384" width="9.109375" style="3"/>
  </cols>
  <sheetData>
    <row r="1" spans="1:33" s="28" customFormat="1" ht="32.4">
      <c r="A1" s="7" t="s">
        <v>80</v>
      </c>
    </row>
    <row r="2" spans="1:33" s="27" customFormat="1" ht="26.25" customHeight="1">
      <c r="A2" s="85" t="s">
        <v>32</v>
      </c>
      <c r="B2" s="87" t="s">
        <v>64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9"/>
      <c r="AG2" s="90" t="s">
        <v>67</v>
      </c>
    </row>
    <row r="3" spans="1:33" s="27" customFormat="1" ht="26.4">
      <c r="A3" s="86"/>
      <c r="B3" s="29" t="s">
        <v>33</v>
      </c>
      <c r="C3" s="29" t="s">
        <v>34</v>
      </c>
      <c r="D3" s="29" t="s">
        <v>35</v>
      </c>
      <c r="E3" s="29" t="s">
        <v>36</v>
      </c>
      <c r="F3" s="29" t="s">
        <v>37</v>
      </c>
      <c r="G3" s="29" t="s">
        <v>38</v>
      </c>
      <c r="H3" s="29" t="s">
        <v>39</v>
      </c>
      <c r="I3" s="29" t="s">
        <v>40</v>
      </c>
      <c r="J3" s="29" t="s">
        <v>41</v>
      </c>
      <c r="K3" s="29" t="s">
        <v>42</v>
      </c>
      <c r="L3" s="29" t="s">
        <v>43</v>
      </c>
      <c r="M3" s="29" t="s">
        <v>69</v>
      </c>
      <c r="N3" s="29" t="s">
        <v>44</v>
      </c>
      <c r="O3" s="29" t="s">
        <v>45</v>
      </c>
      <c r="P3" s="29" t="s">
        <v>46</v>
      </c>
      <c r="Q3" s="29" t="s">
        <v>47</v>
      </c>
      <c r="R3" s="29" t="s">
        <v>48</v>
      </c>
      <c r="S3" s="29" t="s">
        <v>49</v>
      </c>
      <c r="T3" s="29" t="s">
        <v>50</v>
      </c>
      <c r="U3" s="29" t="s">
        <v>51</v>
      </c>
      <c r="V3" s="29" t="s">
        <v>52</v>
      </c>
      <c r="W3" s="29" t="s">
        <v>53</v>
      </c>
      <c r="X3" s="29" t="s">
        <v>54</v>
      </c>
      <c r="Y3" s="29" t="s">
        <v>55</v>
      </c>
      <c r="Z3" s="29" t="s">
        <v>56</v>
      </c>
      <c r="AA3" s="29" t="s">
        <v>57</v>
      </c>
      <c r="AB3" s="29" t="s">
        <v>58</v>
      </c>
      <c r="AC3" s="29" t="s">
        <v>59</v>
      </c>
      <c r="AD3" s="29" t="s">
        <v>60</v>
      </c>
      <c r="AE3" s="29" t="s">
        <v>61</v>
      </c>
      <c r="AF3" s="29" t="s">
        <v>62</v>
      </c>
      <c r="AG3" s="90"/>
    </row>
    <row r="4" spans="1:33">
      <c r="A4" s="30">
        <v>243650</v>
      </c>
      <c r="B4" s="6">
        <v>130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31">
        <f>SUM(B4:AF4)</f>
        <v>130</v>
      </c>
    </row>
    <row r="5" spans="1:33">
      <c r="A5" s="30">
        <v>243651</v>
      </c>
      <c r="B5" s="6"/>
      <c r="C5" s="6">
        <v>2</v>
      </c>
      <c r="D5" s="6"/>
      <c r="E5" s="6"/>
      <c r="F5" s="6"/>
      <c r="G5" s="6">
        <v>1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31">
        <f t="shared" ref="AG5:AG32" si="0">SUM(B5:AF5)</f>
        <v>3</v>
      </c>
    </row>
    <row r="6" spans="1:33">
      <c r="A6" s="30">
        <v>243652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31">
        <f t="shared" si="0"/>
        <v>0</v>
      </c>
    </row>
    <row r="7" spans="1:33">
      <c r="A7" s="30">
        <v>243653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31">
        <f t="shared" si="0"/>
        <v>0</v>
      </c>
    </row>
    <row r="8" spans="1:33">
      <c r="A8" s="30">
        <v>243654</v>
      </c>
      <c r="B8" s="6"/>
      <c r="C8" s="6"/>
      <c r="D8" s="6">
        <v>10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31">
        <f t="shared" si="0"/>
        <v>10</v>
      </c>
    </row>
    <row r="9" spans="1:33">
      <c r="A9" s="30">
        <v>243655</v>
      </c>
      <c r="B9" s="6">
        <v>8</v>
      </c>
      <c r="C9" s="6">
        <v>2</v>
      </c>
      <c r="D9" s="6"/>
      <c r="E9" s="6"/>
      <c r="F9" s="6"/>
      <c r="G9" s="6">
        <v>1</v>
      </c>
      <c r="H9" s="6">
        <v>2</v>
      </c>
      <c r="I9" s="6">
        <v>4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2</v>
      </c>
      <c r="AD9" s="6"/>
      <c r="AE9" s="6"/>
      <c r="AF9" s="6"/>
      <c r="AG9" s="31">
        <f t="shared" si="0"/>
        <v>19</v>
      </c>
    </row>
    <row r="10" spans="1:33">
      <c r="A10" s="30">
        <v>243656</v>
      </c>
      <c r="B10" s="6"/>
      <c r="C10" s="6"/>
      <c r="D10" s="6"/>
      <c r="E10" s="6"/>
      <c r="F10" s="6"/>
      <c r="G10" s="6"/>
      <c r="H10" s="6"/>
      <c r="I10" s="6">
        <v>6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31">
        <f t="shared" si="0"/>
        <v>6</v>
      </c>
    </row>
    <row r="11" spans="1:33">
      <c r="A11" s="30">
        <v>243657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31">
        <f t="shared" si="0"/>
        <v>0</v>
      </c>
    </row>
    <row r="12" spans="1:33">
      <c r="A12" s="30">
        <v>243658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31">
        <f t="shared" si="0"/>
        <v>0</v>
      </c>
    </row>
    <row r="13" spans="1:33">
      <c r="A13" s="30">
        <v>243659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31">
        <f t="shared" si="0"/>
        <v>0</v>
      </c>
    </row>
    <row r="14" spans="1:33">
      <c r="A14" s="30">
        <v>243660</v>
      </c>
      <c r="B14" s="6"/>
      <c r="C14" s="6">
        <v>26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>
        <v>6</v>
      </c>
      <c r="Y14" s="6"/>
      <c r="Z14" s="6"/>
      <c r="AA14" s="6"/>
      <c r="AB14" s="6"/>
      <c r="AC14" s="6"/>
      <c r="AD14" s="6"/>
      <c r="AE14" s="6"/>
      <c r="AF14" s="6"/>
      <c r="AG14" s="31">
        <f t="shared" si="0"/>
        <v>32</v>
      </c>
    </row>
    <row r="15" spans="1:33">
      <c r="A15" s="30">
        <v>243661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31">
        <f t="shared" si="0"/>
        <v>0</v>
      </c>
    </row>
    <row r="16" spans="1:33">
      <c r="A16" s="30">
        <v>243662</v>
      </c>
      <c r="B16" s="6"/>
      <c r="C16" s="6">
        <v>2</v>
      </c>
      <c r="D16" s="6"/>
      <c r="E16" s="6"/>
      <c r="F16" s="6"/>
      <c r="G16" s="6">
        <v>3</v>
      </c>
      <c r="H16" s="6"/>
      <c r="I16" s="6">
        <v>12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31">
        <f t="shared" si="0"/>
        <v>17</v>
      </c>
    </row>
    <row r="17" spans="1:33">
      <c r="A17" s="30">
        <v>243663</v>
      </c>
      <c r="B17" s="6"/>
      <c r="C17" s="6"/>
      <c r="D17" s="6"/>
      <c r="E17" s="6"/>
      <c r="F17" s="6"/>
      <c r="G17" s="6">
        <v>2</v>
      </c>
      <c r="H17" s="6"/>
      <c r="I17" s="6">
        <v>23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>
        <v>4</v>
      </c>
      <c r="AG17" s="31">
        <f t="shared" si="0"/>
        <v>29</v>
      </c>
    </row>
    <row r="18" spans="1:33">
      <c r="A18" s="30">
        <v>243664</v>
      </c>
      <c r="B18" s="6"/>
      <c r="C18" s="6"/>
      <c r="D18" s="6"/>
      <c r="E18" s="6"/>
      <c r="F18" s="6"/>
      <c r="G18" s="6"/>
      <c r="H18" s="6"/>
      <c r="I18" s="6">
        <v>9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31">
        <f t="shared" si="0"/>
        <v>9</v>
      </c>
    </row>
    <row r="19" spans="1:33">
      <c r="A19" s="30">
        <v>243665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31">
        <f t="shared" si="0"/>
        <v>0</v>
      </c>
    </row>
    <row r="20" spans="1:33">
      <c r="A20" s="30">
        <v>243666</v>
      </c>
      <c r="B20" s="6"/>
      <c r="C20" s="6">
        <v>12</v>
      </c>
      <c r="D20" s="6">
        <v>1</v>
      </c>
      <c r="E20" s="6">
        <v>5</v>
      </c>
      <c r="F20" s="6"/>
      <c r="G20" s="6">
        <v>6</v>
      </c>
      <c r="H20" s="6"/>
      <c r="I20" s="6">
        <v>7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1</v>
      </c>
      <c r="AD20" s="6"/>
      <c r="AE20" s="6"/>
      <c r="AF20" s="6"/>
      <c r="AG20" s="31">
        <f t="shared" si="0"/>
        <v>32</v>
      </c>
    </row>
    <row r="21" spans="1:33">
      <c r="A21" s="30">
        <v>243667</v>
      </c>
      <c r="B21" s="6">
        <v>10</v>
      </c>
      <c r="C21" s="6"/>
      <c r="D21" s="6">
        <v>2</v>
      </c>
      <c r="E21" s="6"/>
      <c r="F21" s="6"/>
      <c r="G21" s="6"/>
      <c r="H21" s="6"/>
      <c r="I21" s="6">
        <v>2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>
        <v>3</v>
      </c>
      <c r="Y21" s="6"/>
      <c r="Z21" s="6"/>
      <c r="AA21" s="6"/>
      <c r="AB21" s="6"/>
      <c r="AC21" s="6"/>
      <c r="AD21" s="6"/>
      <c r="AE21" s="6"/>
      <c r="AF21" s="6"/>
      <c r="AG21" s="31">
        <f t="shared" si="0"/>
        <v>17</v>
      </c>
    </row>
    <row r="22" spans="1:33">
      <c r="A22" s="30">
        <v>243668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31">
        <f t="shared" si="0"/>
        <v>0</v>
      </c>
    </row>
    <row r="23" spans="1:33">
      <c r="A23" s="30">
        <v>243669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31">
        <f t="shared" si="0"/>
        <v>0</v>
      </c>
    </row>
    <row r="24" spans="1:33">
      <c r="A24" s="30">
        <v>243670</v>
      </c>
      <c r="B24" s="6"/>
      <c r="C24" s="6">
        <v>2</v>
      </c>
      <c r="D24" s="6"/>
      <c r="E24" s="6">
        <v>2</v>
      </c>
      <c r="F24" s="6"/>
      <c r="G24" s="6">
        <v>3</v>
      </c>
      <c r="H24" s="6"/>
      <c r="I24" s="6">
        <v>7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31">
        <f t="shared" si="0"/>
        <v>14</v>
      </c>
    </row>
    <row r="25" spans="1:33">
      <c r="A25" s="30">
        <v>243671</v>
      </c>
      <c r="B25" s="6"/>
      <c r="C25" s="6">
        <v>6</v>
      </c>
      <c r="D25" s="6">
        <v>4</v>
      </c>
      <c r="E25" s="6"/>
      <c r="F25" s="6"/>
      <c r="G25" s="6"/>
      <c r="H25" s="6"/>
      <c r="I25" s="6">
        <v>9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>
        <v>8</v>
      </c>
      <c r="AE25" s="6"/>
      <c r="AF25" s="6">
        <v>2</v>
      </c>
      <c r="AG25" s="31">
        <f t="shared" si="0"/>
        <v>29</v>
      </c>
    </row>
    <row r="26" spans="1:33">
      <c r="A26" s="30">
        <v>243672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31">
        <f t="shared" si="0"/>
        <v>0</v>
      </c>
    </row>
    <row r="27" spans="1:33">
      <c r="A27" s="30">
        <v>243673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31">
        <f t="shared" si="0"/>
        <v>0</v>
      </c>
    </row>
    <row r="28" spans="1:33">
      <c r="A28" s="30">
        <v>243674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31">
        <f t="shared" si="0"/>
        <v>0</v>
      </c>
    </row>
    <row r="29" spans="1:33">
      <c r="A29" s="30">
        <v>243675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31">
        <f t="shared" si="0"/>
        <v>0</v>
      </c>
    </row>
    <row r="30" spans="1:33">
      <c r="A30" s="30">
        <v>243676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31">
        <f t="shared" si="0"/>
        <v>0</v>
      </c>
    </row>
    <row r="31" spans="1:33">
      <c r="A31" s="30">
        <v>243677</v>
      </c>
      <c r="B31" s="6">
        <v>20</v>
      </c>
      <c r="C31" s="6"/>
      <c r="D31" s="6">
        <v>1</v>
      </c>
      <c r="E31" s="6"/>
      <c r="F31" s="6"/>
      <c r="G31" s="6"/>
      <c r="H31" s="6"/>
      <c r="I31" s="6">
        <v>1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>
        <v>2</v>
      </c>
      <c r="AG31" s="31">
        <f t="shared" si="0"/>
        <v>24</v>
      </c>
    </row>
    <row r="32" spans="1:33">
      <c r="A32" s="30" t="s">
        <v>79</v>
      </c>
      <c r="B32" s="6">
        <v>20</v>
      </c>
      <c r="C32" s="6">
        <v>3</v>
      </c>
      <c r="D32" s="6"/>
      <c r="E32" s="6"/>
      <c r="F32" s="6">
        <v>1</v>
      </c>
      <c r="G32" s="6">
        <v>1</v>
      </c>
      <c r="H32" s="6"/>
      <c r="I32" s="6">
        <v>4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>
        <v>2</v>
      </c>
      <c r="Y32" s="6"/>
      <c r="Z32" s="6"/>
      <c r="AA32" s="6"/>
      <c r="AB32" s="6"/>
      <c r="AC32" s="6"/>
      <c r="AD32" s="6"/>
      <c r="AE32" s="6"/>
      <c r="AF32" s="6">
        <v>35</v>
      </c>
      <c r="AG32" s="31">
        <f t="shared" si="0"/>
        <v>66</v>
      </c>
    </row>
    <row r="33" spans="1:33">
      <c r="A33" s="31" t="s">
        <v>66</v>
      </c>
      <c r="B33" s="31">
        <f t="shared" ref="B33:AF33" si="1">SUM(B4:B32)</f>
        <v>188</v>
      </c>
      <c r="C33" s="31">
        <f t="shared" si="1"/>
        <v>55</v>
      </c>
      <c r="D33" s="31">
        <f t="shared" si="1"/>
        <v>18</v>
      </c>
      <c r="E33" s="31">
        <f t="shared" si="1"/>
        <v>7</v>
      </c>
      <c r="F33" s="31">
        <f t="shared" si="1"/>
        <v>1</v>
      </c>
      <c r="G33" s="31">
        <f t="shared" si="1"/>
        <v>17</v>
      </c>
      <c r="H33" s="31">
        <f t="shared" si="1"/>
        <v>2</v>
      </c>
      <c r="I33" s="31">
        <f t="shared" si="1"/>
        <v>84</v>
      </c>
      <c r="J33" s="31">
        <f t="shared" si="1"/>
        <v>0</v>
      </c>
      <c r="K33" s="31">
        <f t="shared" si="1"/>
        <v>0</v>
      </c>
      <c r="L33" s="31">
        <f t="shared" si="1"/>
        <v>0</v>
      </c>
      <c r="M33" s="31">
        <f t="shared" si="1"/>
        <v>0</v>
      </c>
      <c r="N33" s="31">
        <f t="shared" si="1"/>
        <v>0</v>
      </c>
      <c r="O33" s="31">
        <f t="shared" si="1"/>
        <v>0</v>
      </c>
      <c r="P33" s="31">
        <f t="shared" si="1"/>
        <v>0</v>
      </c>
      <c r="Q33" s="31">
        <f t="shared" si="1"/>
        <v>0</v>
      </c>
      <c r="R33" s="31">
        <f t="shared" si="1"/>
        <v>0</v>
      </c>
      <c r="S33" s="31">
        <f t="shared" si="1"/>
        <v>0</v>
      </c>
      <c r="T33" s="31">
        <f t="shared" si="1"/>
        <v>0</v>
      </c>
      <c r="U33" s="31">
        <f t="shared" si="1"/>
        <v>0</v>
      </c>
      <c r="V33" s="31">
        <f t="shared" si="1"/>
        <v>0</v>
      </c>
      <c r="W33" s="31">
        <f t="shared" si="1"/>
        <v>0</v>
      </c>
      <c r="X33" s="31">
        <f t="shared" si="1"/>
        <v>11</v>
      </c>
      <c r="Y33" s="31">
        <f t="shared" si="1"/>
        <v>0</v>
      </c>
      <c r="Z33" s="31">
        <f t="shared" si="1"/>
        <v>0</v>
      </c>
      <c r="AA33" s="31">
        <f t="shared" si="1"/>
        <v>0</v>
      </c>
      <c r="AB33" s="31">
        <f t="shared" si="1"/>
        <v>0</v>
      </c>
      <c r="AC33" s="31">
        <f t="shared" si="1"/>
        <v>3</v>
      </c>
      <c r="AD33" s="31">
        <f t="shared" si="1"/>
        <v>8</v>
      </c>
      <c r="AE33" s="31">
        <f t="shared" si="1"/>
        <v>0</v>
      </c>
      <c r="AF33" s="31">
        <f t="shared" si="1"/>
        <v>43</v>
      </c>
      <c r="AG33" s="32">
        <f>SUM(B33:AF33)</f>
        <v>437</v>
      </c>
    </row>
  </sheetData>
  <mergeCells count="3">
    <mergeCell ref="A2:A3"/>
    <mergeCell ref="B2:AF2"/>
    <mergeCell ref="AG2:AG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FB04F8-918B-4168-9C8A-F8D1148EEB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7</vt:i4>
      </vt:variant>
    </vt:vector>
  </HeadingPairs>
  <TitlesOfParts>
    <vt:vector size="7" baseType="lpstr">
      <vt:lpstr>สรุป</vt:lpstr>
      <vt:lpstr>สรุปรายการสินค้า</vt:lpstr>
      <vt:lpstr>Lazada</vt:lpstr>
      <vt:lpstr>Shopee</vt:lpstr>
      <vt:lpstr>TikTok</vt:lpstr>
      <vt:lpstr>ไปรษณีย์</vt:lpstr>
      <vt:lpstr>รายการสินค้าตีกลับ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กนกอร พุ่มนิล</dc:creator>
  <cp:lastModifiedBy>user</cp:lastModifiedBy>
  <cp:lastPrinted>2024-11-25T17:01:41Z</cp:lastPrinted>
  <dcterms:created xsi:type="dcterms:W3CDTF">2024-02-13T02:39:23Z</dcterms:created>
  <dcterms:modified xsi:type="dcterms:W3CDTF">2024-11-25T17:01:41Z</dcterms:modified>
</cp:coreProperties>
</file>