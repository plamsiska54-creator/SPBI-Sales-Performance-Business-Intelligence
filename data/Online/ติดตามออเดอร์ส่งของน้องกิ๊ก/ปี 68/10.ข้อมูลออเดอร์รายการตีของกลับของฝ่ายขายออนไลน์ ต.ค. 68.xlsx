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360F92F5-B85E-4A2E-B9DC-EC2CAA247665}" xr6:coauthVersionLast="47" xr6:coauthVersionMax="47" xr10:uidLastSave="{00000000-0000-0000-0000-000000000000}"/>
  <bookViews>
    <workbookView xWindow="-108" yWindow="-108" windowWidth="23256" windowHeight="13896" tabRatio="798" activeTab="1" xr2:uid="{00000000-000D-0000-FFFF-FFFF00000000}"/>
  </bookViews>
  <sheets>
    <sheet name="ออเดอร์จัดส่ง ต.ค. 68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TikTok!$A$3:$O$55</definedName>
    <definedName name="_xlnm._FilterDatabase" localSheetId="7" hidden="1">ไปรษณีย์!$A$3:$X$20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e1mBs0L7td3rbkml03HL8N2q+Sw0t1u3wc7OSZUl2/0="/>
    </ext>
  </extLst>
</workbook>
</file>

<file path=xl/calcChain.xml><?xml version="1.0" encoding="utf-8"?>
<calcChain xmlns="http://schemas.openxmlformats.org/spreadsheetml/2006/main">
  <c r="I1" i="5" l="1"/>
  <c r="AD35" i="9"/>
  <c r="AC35" i="9"/>
  <c r="AB35" i="9"/>
  <c r="AA35" i="9"/>
  <c r="Z35" i="9"/>
  <c r="C27" i="3" s="1"/>
  <c r="Y35" i="9"/>
  <c r="C26" i="3" s="1"/>
  <c r="X35" i="9"/>
  <c r="C25" i="3" s="1"/>
  <c r="W35" i="9"/>
  <c r="C24" i="3" s="1"/>
  <c r="V35" i="9"/>
  <c r="C23" i="3" s="1"/>
  <c r="U35" i="9"/>
  <c r="C22" i="3" s="1"/>
  <c r="T35" i="9"/>
  <c r="C21" i="3" s="1"/>
  <c r="S35" i="9"/>
  <c r="C20" i="3" s="1"/>
  <c r="R35" i="9"/>
  <c r="C19" i="3" s="1"/>
  <c r="Q35" i="9"/>
  <c r="C18" i="3" s="1"/>
  <c r="P35" i="9"/>
  <c r="C17" i="3" s="1"/>
  <c r="O35" i="9"/>
  <c r="N35" i="9"/>
  <c r="M35" i="9"/>
  <c r="L35" i="9"/>
  <c r="K35" i="9"/>
  <c r="J35" i="9"/>
  <c r="C11" i="3" s="1"/>
  <c r="I35" i="9"/>
  <c r="C10" i="3" s="1"/>
  <c r="H35" i="9"/>
  <c r="C9" i="3" s="1"/>
  <c r="G35" i="9"/>
  <c r="C8" i="3" s="1"/>
  <c r="F35" i="9"/>
  <c r="C7" i="3" s="1"/>
  <c r="E35" i="9"/>
  <c r="C6" i="3" s="1"/>
  <c r="D35" i="9"/>
  <c r="C5" i="3" s="1"/>
  <c r="C35" i="9"/>
  <c r="C4" i="3" s="1"/>
  <c r="B35" i="9"/>
  <c r="AK35" i="9" s="1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4" i="9"/>
  <c r="I1" i="8"/>
  <c r="I1" i="7"/>
  <c r="I1" i="6"/>
  <c r="E36" i="4"/>
  <c r="D36" i="4"/>
  <c r="C36" i="4"/>
  <c r="B36" i="4"/>
  <c r="F36" i="4" s="1"/>
  <c r="C37" i="3"/>
  <c r="C36" i="3"/>
  <c r="C35" i="3"/>
  <c r="C34" i="3"/>
  <c r="C33" i="3"/>
  <c r="C32" i="3"/>
  <c r="C31" i="3"/>
  <c r="C30" i="3"/>
  <c r="C29" i="3"/>
  <c r="C28" i="3"/>
  <c r="C16" i="3"/>
  <c r="C15" i="3"/>
  <c r="C14" i="3"/>
  <c r="C13" i="3"/>
  <c r="C12" i="3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L5" i="2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M9" i="2" l="1"/>
  <c r="L9" i="2"/>
  <c r="C3" i="3"/>
  <c r="C39" i="3" s="1"/>
</calcChain>
</file>

<file path=xl/sharedStrings.xml><?xml version="1.0" encoding="utf-8"?>
<sst xmlns="http://schemas.openxmlformats.org/spreadsheetml/2006/main" count="662" uniqueCount="267">
  <si>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</si>
  <si>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</si>
  <si>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</si>
  <si>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</si>
  <si>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</si>
  <si>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</si>
  <si>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</si>
  <si>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</si>
  <si>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</si>
  <si>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</si>
  <si>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</si>
  <si>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</si>
  <si>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</si>
  <si>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</si>
  <si>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</si>
  <si>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</si>
  <si>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 บิล (1-1=0)</t>
  </si>
  <si>
    <t>ยกเลิก 11 บิล (11-11=0)</t>
  </si>
  <si>
    <t>ยกเลิก 2 บิล (2-2=0)</t>
  </si>
  <si>
    <t>ยกเลิก F1,J&amp;T7 (8-8=0)</t>
  </si>
  <si>
    <t>ขาดเปี๊ยะ</t>
  </si>
  <si>
    <t>ยกเลิก F1 J&amp;T8 (9-9=0)</t>
  </si>
  <si>
    <t>ยกเลิก 5 บิล (5-5=0)</t>
  </si>
  <si>
    <t>ยกเลิก 8 บิล (167-8=159)</t>
  </si>
  <si>
    <t>ยกเลิก 14 บิล f1 j&amp;t13 (15-14=1)</t>
  </si>
  <si>
    <t>ยกเลิก 2 บิล (5-2=3)</t>
  </si>
  <si>
    <t>ยกเลิก 7 บิล f1 j&amp;t6 (8-8=0)</t>
  </si>
  <si>
    <t>ยกเลิก 3 บิล (3-3=0)</t>
  </si>
  <si>
    <t>ยกเลิก 1 บิล(1-1=0)</t>
  </si>
  <si>
    <t>ยกเลิก 4 บิล (14-4=10)</t>
  </si>
  <si>
    <t>ยกเลิก 4 บิล (4-4=0)</t>
  </si>
  <si>
    <t>ยกเลิก 8 บิล (8-8=0)</t>
  </si>
  <si>
    <t>ซ้ำ 1 บิล (1-1=0)</t>
  </si>
  <si>
    <t>ยกเลิก 1 บิล (8-1=7)</t>
  </si>
  <si>
    <t>ยกเลิก 1บิล (4-1=3)</t>
  </si>
  <si>
    <t>ยกเลิก 5 บิล (73-5=68)</t>
  </si>
  <si>
    <t>ยกเลิก แฟรช1 เจแอนที6 (8-7=1)</t>
  </si>
  <si>
    <t>ยกเลิก 1 บิล (33-1=32)</t>
  </si>
  <si>
    <t>ยกเลิกแฟรช1 เจแอนที 5 (6-6=0)</t>
  </si>
  <si>
    <t>ยกเลิก 2 บิล (3-2=1)</t>
  </si>
  <si>
    <t>รวม</t>
  </si>
  <si>
    <t>สรุปรายการของตีกลับของช่องทางออนไลน์ เดือนตุลาคม 2568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</si>
  <si>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</si>
  <si>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</si>
  <si>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</si>
  <si>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</si>
  <si>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</si>
  <si>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</si>
  <si>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</si>
  <si>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</si>
  <si>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</si>
  <si>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</si>
  <si>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</si>
  <si>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</si>
  <si>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</si>
  <si>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</si>
  <si>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</si>
  <si>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</si>
  <si>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เดือนตุลาคม 2568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</si>
  <si>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</si>
  <si>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</si>
  <si>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</si>
  <si>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</si>
  <si>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</si>
  <si>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</si>
  <si>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</si>
  <si>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</si>
  <si>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</si>
  <si>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</si>
  <si>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</si>
  <si>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</si>
  <si>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</si>
  <si>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</si>
  <si>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</si>
  <si>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</si>
  <si>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</si>
  <si>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</si>
  <si>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</si>
  <si>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</si>
  <si>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</si>
  <si>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</si>
  <si>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</si>
  <si>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</si>
  <si>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</si>
  <si>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</si>
  <si>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</si>
  <si>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</si>
  <si>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</si>
  <si>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</si>
  <si>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</si>
  <si>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</si>
  <si>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</si>
  <si>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</si>
  <si>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</si>
  <si>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</si>
  <si>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</si>
  <si>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เบาหวิว ญ</t>
  </si>
  <si>
    <t>ยอดรวม</t>
  </si>
  <si>
    <t>ชิ้น</t>
  </si>
  <si>
    <t>สรุปรายการสินค้าที่ตีกลับมานับเป็นจำนวน (กล่อง) เดือนตุลาคม 2568</t>
  </si>
  <si>
    <t>ของตีกลับ</t>
  </si>
  <si>
    <t>จำนวนกล่อง</t>
  </si>
  <si>
    <t>Total</t>
  </si>
  <si>
    <t>รายการของตีกลับช่องทาง LAZADA เดือนตุลาคม 2568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</si>
  <si>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</si>
  <si>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</si>
  <si>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</si>
  <si>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</si>
  <si>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</si>
  <si>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</si>
  <si>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</si>
  <si>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</si>
  <si>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</si>
  <si>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</si>
  <si>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</si>
  <si>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</si>
  <si>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</si>
  <si>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1039972281812296</t>
  </si>
  <si>
    <t>LEXPU0611078583</t>
  </si>
  <si>
    <t>LEX TH</t>
  </si>
  <si>
    <t>วรรณวนัช เบเกอรี่ (ร้านที่ 1 ร้านหลัก)</t>
  </si>
  <si>
    <t xml:space="preserve">อัมพร </t>
  </si>
  <si>
    <t>ศรีวิชา</t>
  </si>
  <si>
    <t>1041410268850388</t>
  </si>
  <si>
    <t>LEXPU0612887127</t>
  </si>
  <si>
    <t>วรรณวนัช ของอร่อย (cakewanwanach.kps)</t>
  </si>
  <si>
    <t>อ๋อม</t>
  </si>
  <si>
    <t>ของฝากวรรณวนัช (cakewanwanach.lzd)</t>
  </si>
  <si>
    <t>Flash Express Thailand</t>
  </si>
  <si>
    <t>1041511005912296</t>
  </si>
  <si>
    <t>LEXPU0612894284</t>
  </si>
  <si>
    <t>วรรณวนัช (0944831646)</t>
  </si>
  <si>
    <t>วรรณวนัช ชิฟฟ่อน (chiffonlazada)</t>
  </si>
  <si>
    <t>Kerry_dropoff</t>
  </si>
  <si>
    <t>15/10/2568</t>
  </si>
  <si>
    <t>1045463605900686</t>
  </si>
  <si>
    <t>TH60047VD7A93H</t>
  </si>
  <si>
    <t>พชรดนัย</t>
  </si>
  <si>
    <t>จีนด้วง</t>
  </si>
  <si>
    <t>ลูกค้าแจ้งว่าไม่ได้สั่ง</t>
  </si>
  <si>
    <t>25/10/2568</t>
  </si>
  <si>
    <t>1053899194232867</t>
  </si>
  <si>
    <t>LEXPU0619231267</t>
  </si>
  <si>
    <t>หนึ่งฤทัย</t>
  </si>
  <si>
    <t>ทองนอก</t>
  </si>
  <si>
    <t>ชิฟฟ่อน กำแพงแสน (chiffonk.kps)</t>
  </si>
  <si>
    <t>30/10/2568</t>
  </si>
  <si>
    <t>1054403369004430</t>
  </si>
  <si>
    <t>LEXPU0619785377</t>
  </si>
  <si>
    <t>สายฝน</t>
  </si>
  <si>
    <t>งาวิจิตร</t>
  </si>
  <si>
    <t>ของฝาก นครปฐม (khongfhak.kps)</t>
  </si>
  <si>
    <t>วรรณวนัช ไทยแลนด์ (chiffon.kps)</t>
  </si>
  <si>
    <t>ของอร่อยกำแพงแสน (kahnomcake.lzd)</t>
  </si>
  <si>
    <t>ชิฟฟ่อน เบเกอรี่ (wanwanachcake)</t>
  </si>
  <si>
    <t>รายการของตีกลับช่องทาง SHOPEE เดือนตุลาคม 2568</t>
  </si>
  <si>
    <t>250925DYH5XXN1</t>
  </si>
  <si>
    <t>TH255015371538U</t>
  </si>
  <si>
    <t>SPX Express</t>
  </si>
  <si>
    <t>ร้านที่ 1</t>
  </si>
  <si>
    <t>251006BS14S294</t>
  </si>
  <si>
    <t>TH259877589713Q</t>
  </si>
  <si>
    <t>ร้านที่ 2</t>
  </si>
  <si>
    <t>20/10/2568</t>
  </si>
  <si>
    <t>2510143EMKJWDK</t>
  </si>
  <si>
    <t>TH252394000464J</t>
  </si>
  <si>
    <t>251008HN4QQAY9</t>
  </si>
  <si>
    <t>TH252343340105G</t>
  </si>
  <si>
    <t>J&amp;T</t>
  </si>
  <si>
    <t>251008HN4QQAY0</t>
  </si>
  <si>
    <t>TH257088603278T</t>
  </si>
  <si>
    <t>ไม่ได้รับตามกำหนด</t>
  </si>
  <si>
    <t>24/10/2568</t>
  </si>
  <si>
    <t>251017C04CHV27</t>
  </si>
  <si>
    <t xml:space="preserve"> TH254035881684P</t>
  </si>
  <si>
    <t>251017BXDA4TAK</t>
  </si>
  <si>
    <t>TH254751058883L</t>
  </si>
  <si>
    <t>251018EEWV3CQT</t>
  </si>
  <si>
    <t>TH251896393890S</t>
  </si>
  <si>
    <t xml:space="preserve">** NOTE    </t>
  </si>
  <si>
    <t>ชื่อลูกค้า ไม่มีในข้อมูล Shopee</t>
  </si>
  <si>
    <t>รายการของตีกลับช่องทาง TikTok เดือนตุลาคม 2568</t>
  </si>
  <si>
    <t>580515686107547365</t>
  </si>
  <si>
    <t>J&amp;T Express</t>
  </si>
  <si>
    <t>วรรณวนัชเบเกอรี่ (พี่กุ๊ก)</t>
  </si>
  <si>
    <t>580522337978255256</t>
  </si>
  <si>
    <t>วรรณวนัช เบเกอรี่ (แอม)</t>
  </si>
  <si>
    <t>580499018744498114</t>
  </si>
  <si>
    <t>วรรณวนัช โรงงานจำหน่ายโดยตรง (นุ่น)</t>
  </si>
  <si>
    <t>580536284638512689</t>
  </si>
  <si>
    <t>ของฝากวรรณวนัช By:แอดอั้ม (อั้ม)</t>
  </si>
  <si>
    <t>580533727530878249</t>
  </si>
  <si>
    <t>เกินเวลานัดรับพัสดุ</t>
  </si>
  <si>
    <t>ชิฟฟ่อนเค้กวรรณวนัช (พี่เอฟ)</t>
  </si>
  <si>
    <t>580553343735399479</t>
  </si>
  <si>
    <t>580600683013702982</t>
  </si>
  <si>
    <t>580582402853209863</t>
  </si>
  <si>
    <t>580586817794115261</t>
  </si>
  <si>
    <t>580571917185877833</t>
  </si>
  <si>
    <t>580571283964790413</t>
  </si>
  <si>
    <t>580611060926415924</t>
  </si>
  <si>
    <t>580622702509917314</t>
  </si>
  <si>
    <t>580600619847484915</t>
  </si>
  <si>
    <t>580599327040963838</t>
  </si>
  <si>
    <t>580562379316364596</t>
  </si>
  <si>
    <t>580637518659094186</t>
  </si>
  <si>
    <t>580551470306920247</t>
  </si>
  <si>
    <t>580622891179017263</t>
  </si>
  <si>
    <t>580598385146758821</t>
  </si>
  <si>
    <t>580659860020561757</t>
  </si>
  <si>
    <t>580647327515182205</t>
  </si>
  <si>
    <t>580683102966023947</t>
  </si>
  <si>
    <t>14/10/2568</t>
  </si>
  <si>
    <t>580627258064799156</t>
  </si>
  <si>
    <t>580651962384091030</t>
  </si>
  <si>
    <t>580706500807721986</t>
  </si>
  <si>
    <t>580633802992878807</t>
  </si>
  <si>
    <t>580635568515286229</t>
  </si>
  <si>
    <t>580660149072791265</t>
  </si>
  <si>
    <t>580651981648136086</t>
  </si>
  <si>
    <t>17/10/2568</t>
  </si>
  <si>
    <t>580644759141254406</t>
  </si>
  <si>
    <t>580705304202019942</t>
  </si>
  <si>
    <t>580701515464658976</t>
  </si>
  <si>
    <t>580698458077824134</t>
  </si>
  <si>
    <t>18/10/2568</t>
  </si>
  <si>
    <t>580718863649310165</t>
  </si>
  <si>
    <t>580766234650182950</t>
  </si>
  <si>
    <t>21/10/2568</t>
  </si>
  <si>
    <t>580754286758561525</t>
  </si>
  <si>
    <t>580762585598232386</t>
  </si>
  <si>
    <t>580754443942724739</t>
  </si>
  <si>
    <t>580704979587597453</t>
  </si>
  <si>
    <t>23/10/2568</t>
  </si>
  <si>
    <t>580761005329319132</t>
  </si>
  <si>
    <t>580803225774360404</t>
  </si>
  <si>
    <t>580810229860631799</t>
  </si>
  <si>
    <t>580798773943764287</t>
  </si>
  <si>
    <t>580714614948464133</t>
  </si>
  <si>
    <t>26/10/2568</t>
  </si>
  <si>
    <t>580819584924288567</t>
  </si>
  <si>
    <t>580773702890457029</t>
  </si>
  <si>
    <t>580764180524794898</t>
  </si>
  <si>
    <t>580824913166304551</t>
  </si>
  <si>
    <t>580824967633274478</t>
  </si>
  <si>
    <t>580755571507102792</t>
  </si>
  <si>
    <t>580921395611338736</t>
  </si>
  <si>
    <t>THT020328FC3T6Z</t>
  </si>
  <si>
    <t>รายการของตีกลับช่องทาง Facebook , Facebook Live , Line , Line OA (ไปรษณีย์) เดือนตุลาคม 2568</t>
  </si>
  <si>
    <t>FWN62</t>
  </si>
  <si>
    <t>WA031334406TH</t>
  </si>
  <si>
    <t>ไปรษณีย์ไทย</t>
  </si>
  <si>
    <t>Facebook</t>
  </si>
  <si>
    <t>คุณยุพิน</t>
  </si>
  <si>
    <t>นกเทศ</t>
  </si>
  <si>
    <t>FWM59</t>
  </si>
  <si>
    <t>WA031334445TH</t>
  </si>
  <si>
    <t>รวมรัตน์</t>
  </si>
  <si>
    <t>โชติประยูธ</t>
  </si>
  <si>
    <t>Facebook Live</t>
  </si>
  <si>
    <t>รายการสินค้าที่ตีกลับมารวมทุกช่องทางขายออนไลน์ เดือนตุลาคม 2568</t>
  </si>
  <si>
    <t>สินค้าที่ตีกลับ</t>
  </si>
  <si>
    <t>ยอดรวม/วัน (ทุกรายการ)</t>
  </si>
  <si>
    <t>ชิฟฟอน มะลิ 8ชิ้น</t>
  </si>
  <si>
    <t>ปังพิซซ่า</t>
  </si>
  <si>
    <t>ปังเนยนิ่ม 3 ชิ้น</t>
  </si>
  <si>
    <t>ยอดรวมทั้งเดือน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</si>
</sst>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8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FF0066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ahoma"/>
      <family val="2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  <font>
      <b/>
      <sz val="16"/>
      <color rgb="FFFF0000"/>
      <name val="Angsana New"/>
      <family val="1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19" xfId="0" applyFont="1" applyFill="1" applyBorder="1" applyAlignment="1">
      <alignment horizontal="center" vertical="center" wrapText="1"/>
    </xf>
    <xf numFmtId="0" fontId="1" fillId="13" borderId="19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187" fontId="6" fillId="0" borderId="19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187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0" xfId="0" applyFont="1" applyBorder="1" applyAlignment="1">
      <alignment horizontal="center"/>
    </xf>
    <xf numFmtId="187" fontId="1" fillId="0" borderId="20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11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20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5" fillId="19" borderId="8" xfId="0" applyFont="1" applyFill="1" applyBorder="1" applyAlignment="1">
      <alignment horizontal="center" wrapText="1"/>
    </xf>
    <xf numFmtId="0" fontId="5" fillId="20" borderId="8" xfId="0" applyFont="1" applyFill="1" applyBorder="1" applyAlignment="1">
      <alignment horizontal="center" wrapText="1"/>
    </xf>
    <xf numFmtId="0" fontId="5" fillId="21" borderId="8" xfId="0" applyFont="1" applyFill="1" applyBorder="1" applyAlignment="1">
      <alignment horizontal="center" wrapText="1"/>
    </xf>
    <xf numFmtId="0" fontId="5" fillId="22" borderId="8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5" fillId="23" borderId="8" xfId="0" applyFont="1" applyFill="1" applyBorder="1" applyAlignment="1">
      <alignment horizontal="center" wrapText="1"/>
    </xf>
    <xf numFmtId="0" fontId="12" fillId="23" borderId="8" xfId="0" applyFont="1" applyFill="1" applyBorder="1"/>
    <xf numFmtId="0" fontId="5" fillId="0" borderId="0" xfId="0" applyFont="1" applyAlignment="1">
      <alignment horizontal="right"/>
    </xf>
    <xf numFmtId="0" fontId="5" fillId="0" borderId="21" xfId="0" applyFont="1" applyBorder="1" applyAlignment="1">
      <alignment horizontal="center"/>
    </xf>
    <xf numFmtId="0" fontId="5" fillId="23" borderId="22" xfId="0" applyFont="1" applyFill="1" applyBorder="1" applyAlignment="1">
      <alignment horizontal="center"/>
    </xf>
    <xf numFmtId="0" fontId="1" fillId="23" borderId="8" xfId="0" applyFont="1" applyFill="1" applyBorder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87" fontId="1" fillId="0" borderId="2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19" borderId="19" xfId="0" applyFont="1" applyFill="1" applyBorder="1" applyAlignment="1">
      <alignment horizontal="center" vertical="center"/>
    </xf>
    <xf numFmtId="49" fontId="5" fillId="19" borderId="19" xfId="0" applyNumberFormat="1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19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5" fillId="20" borderId="19" xfId="0" applyFont="1" applyFill="1" applyBorder="1" applyAlignment="1">
      <alignment horizontal="center" vertical="center"/>
    </xf>
    <xf numFmtId="0" fontId="13" fillId="23" borderId="8" xfId="0" applyFont="1" applyFill="1" applyBorder="1" applyAlignment="1">
      <alignment horizontal="center" vertical="center"/>
    </xf>
    <xf numFmtId="0" fontId="13" fillId="23" borderId="8" xfId="0" applyFont="1" applyFill="1" applyBorder="1" applyAlignment="1">
      <alignment horizontal="left" vertical="center"/>
    </xf>
    <xf numFmtId="49" fontId="13" fillId="23" borderId="8" xfId="0" applyNumberFormat="1" applyFont="1" applyFill="1" applyBorder="1" applyAlignment="1">
      <alignment horizontal="center" vertical="center"/>
    </xf>
    <xf numFmtId="0" fontId="5" fillId="21" borderId="19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3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" fillId="15" borderId="19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87" fontId="1" fillId="11" borderId="11" xfId="0" applyNumberFormat="1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1" fillId="12" borderId="16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1" fillId="13" borderId="16" xfId="0" applyFont="1" applyFill="1" applyBorder="1" applyAlignment="1">
      <alignment horizontal="center" vertical="center" wrapText="1"/>
    </xf>
    <xf numFmtId="0" fontId="1" fillId="16" borderId="16" xfId="0" applyFont="1" applyFill="1" applyBorder="1" applyAlignment="1">
      <alignment horizontal="center" vertical="center" wrapText="1"/>
    </xf>
    <xf numFmtId="0" fontId="1" fillId="14" borderId="16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2" fillId="0" borderId="10" xfId="0" applyFont="1" applyBorder="1"/>
    <xf numFmtId="0" fontId="1" fillId="11" borderId="11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5" fillId="17" borderId="4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wrapText="1"/>
    </xf>
    <xf numFmtId="0" fontId="5" fillId="19" borderId="23" xfId="0" applyFont="1" applyFill="1" applyBorder="1" applyAlignment="1">
      <alignment horizontal="center" vertical="center"/>
    </xf>
    <xf numFmtId="0" fontId="5" fillId="19" borderId="24" xfId="0" applyFont="1" applyFill="1" applyBorder="1" applyAlignment="1">
      <alignment horizontal="center" vertical="center"/>
    </xf>
    <xf numFmtId="0" fontId="5" fillId="15" borderId="23" xfId="0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49" fontId="5" fillId="19" borderId="16" xfId="0" applyNumberFormat="1" applyFont="1" applyFill="1" applyBorder="1" applyAlignment="1">
      <alignment horizontal="center" vertical="center"/>
    </xf>
    <xf numFmtId="0" fontId="5" fillId="20" borderId="23" xfId="0" applyFont="1" applyFill="1" applyBorder="1" applyAlignment="1">
      <alignment horizontal="center" vertical="center"/>
    </xf>
    <xf numFmtId="0" fontId="5" fillId="20" borderId="24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5" fillId="21" borderId="23" xfId="0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0" fontId="5" fillId="21" borderId="16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vertical="center"/>
    </xf>
    <xf numFmtId="0" fontId="2" fillId="0" borderId="26" xfId="0" applyFont="1" applyBorder="1"/>
    <xf numFmtId="0" fontId="16" fillId="12" borderId="1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zoomScale="85" zoomScaleNormal="85" workbookViewId="0">
      <pane xSplit="7" ySplit="3" topLeftCell="H4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N39" sqref="N39"/>
    </sheetView>
  </sheetViews>
  <sheetFormatPr defaultColWidth="14.44140625" defaultRowHeight="15" customHeight="1" x14ac:dyDescent="0.3"/>
  <cols>
    <col min="1" max="1" width="5.21875" bestFit="1" customWidth="1"/>
    <col min="2" max="29" width="8.88671875" customWidth="1"/>
    <col min="30" max="32" width="13.44140625" customWidth="1"/>
    <col min="33" max="34" width="8.88671875" customWidth="1"/>
  </cols>
  <sheetData>
    <row r="1" spans="1:34" ht="23.25" customHeight="1" x14ac:dyDescent="0.3">
      <c r="A1" s="94" t="s">
        <v>0</v>
      </c>
      <c r="B1" s="96" t="s">
        <v>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1"/>
      <c r="N1" s="100" t="s">
        <v>2</v>
      </c>
      <c r="O1" s="92"/>
      <c r="P1" s="92"/>
      <c r="Q1" s="92"/>
      <c r="R1" s="92"/>
      <c r="S1" s="92"/>
      <c r="T1" s="92"/>
      <c r="U1" s="1"/>
      <c r="V1" s="91" t="s">
        <v>3</v>
      </c>
      <c r="W1" s="92"/>
      <c r="X1" s="92"/>
      <c r="Y1" s="92"/>
      <c r="Z1" s="92"/>
      <c r="AA1" s="92"/>
      <c r="AB1" s="2"/>
      <c r="AC1" s="93" t="s">
        <v>4</v>
      </c>
      <c r="AD1" s="92"/>
      <c r="AE1" s="92"/>
      <c r="AF1" s="92"/>
      <c r="AG1" s="92"/>
      <c r="AH1" s="92"/>
    </row>
    <row r="2" spans="1:34" ht="23.25" customHeight="1" x14ac:dyDescent="0.3">
      <c r="A2" s="95"/>
      <c r="B2" s="98"/>
      <c r="C2" s="99"/>
      <c r="D2" s="99"/>
      <c r="E2" s="99"/>
      <c r="F2" s="99"/>
      <c r="G2" s="99"/>
      <c r="H2" s="99"/>
      <c r="I2" s="99"/>
      <c r="J2" s="99"/>
      <c r="K2" s="99"/>
      <c r="L2" s="99"/>
      <c r="M2" s="1"/>
      <c r="N2" s="101" t="s">
        <v>0</v>
      </c>
      <c r="O2" s="100" t="s">
        <v>1</v>
      </c>
      <c r="P2" s="92"/>
      <c r="Q2" s="92"/>
      <c r="R2" s="92"/>
      <c r="S2" s="92"/>
      <c r="T2" s="92"/>
      <c r="U2" s="1"/>
      <c r="V2" s="102" t="s">
        <v>0</v>
      </c>
      <c r="W2" s="91" t="s">
        <v>1</v>
      </c>
      <c r="X2" s="92"/>
      <c r="Y2" s="92"/>
      <c r="Z2" s="92"/>
      <c r="AA2" s="92"/>
      <c r="AB2" s="2"/>
      <c r="AC2" s="103" t="s">
        <v>0</v>
      </c>
      <c r="AD2" s="93" t="s">
        <v>1</v>
      </c>
      <c r="AE2" s="92"/>
      <c r="AF2" s="92"/>
      <c r="AG2" s="92"/>
      <c r="AH2" s="92"/>
    </row>
    <row r="3" spans="1:34" ht="23.25" customHeight="1" x14ac:dyDescent="0.3">
      <c r="A3" s="95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95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95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95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72" customHeight="1" x14ac:dyDescent="0.3">
      <c r="A4" s="9">
        <v>1</v>
      </c>
      <c r="B4" s="9">
        <v>18</v>
      </c>
      <c r="C4" s="9">
        <v>0</v>
      </c>
      <c r="D4" s="9">
        <v>25</v>
      </c>
      <c r="E4" s="9">
        <v>0</v>
      </c>
      <c r="F4" s="9">
        <v>241</v>
      </c>
      <c r="G4" s="9">
        <v>0</v>
      </c>
      <c r="H4" s="9"/>
      <c r="I4" s="9"/>
      <c r="J4" s="9">
        <v>15</v>
      </c>
      <c r="K4" s="9">
        <v>0</v>
      </c>
      <c r="L4" s="9">
        <v>1</v>
      </c>
      <c r="M4" s="2"/>
      <c r="N4" s="9">
        <v>1</v>
      </c>
      <c r="O4" s="9">
        <v>17</v>
      </c>
      <c r="P4" s="9">
        <v>24</v>
      </c>
      <c r="Q4" s="9">
        <v>230</v>
      </c>
      <c r="R4" s="9"/>
      <c r="S4" s="9">
        <v>15</v>
      </c>
      <c r="T4" s="9">
        <v>1</v>
      </c>
      <c r="U4" s="2"/>
      <c r="V4" s="9">
        <v>1</v>
      </c>
      <c r="W4" s="9">
        <v>0</v>
      </c>
      <c r="X4" s="9">
        <v>0</v>
      </c>
      <c r="Y4" s="9">
        <v>0</v>
      </c>
      <c r="Z4" s="9"/>
      <c r="AA4" s="9">
        <v>0</v>
      </c>
      <c r="AB4" s="2"/>
      <c r="AC4" s="9">
        <v>1</v>
      </c>
      <c r="AD4" s="9" t="s">
        <v>16</v>
      </c>
      <c r="AE4" s="9" t="s">
        <v>16</v>
      </c>
      <c r="AF4" s="9" t="s">
        <v>17</v>
      </c>
      <c r="AG4" s="9"/>
      <c r="AH4" s="9"/>
    </row>
    <row r="5" spans="1:34" ht="72" customHeight="1" x14ac:dyDescent="0.3">
      <c r="A5" s="9">
        <v>2</v>
      </c>
      <c r="B5" s="9">
        <v>24</v>
      </c>
      <c r="C5" s="9">
        <v>0</v>
      </c>
      <c r="D5" s="9">
        <v>29</v>
      </c>
      <c r="E5" s="9">
        <v>0</v>
      </c>
      <c r="F5" s="9">
        <v>207</v>
      </c>
      <c r="G5" s="9">
        <v>0</v>
      </c>
      <c r="H5" s="9"/>
      <c r="I5" s="9"/>
      <c r="J5" s="9">
        <v>15</v>
      </c>
      <c r="K5" s="9">
        <v>0</v>
      </c>
      <c r="L5" s="9">
        <v>2</v>
      </c>
      <c r="M5" s="2"/>
      <c r="N5" s="9">
        <v>2</v>
      </c>
      <c r="O5" s="9">
        <v>24</v>
      </c>
      <c r="P5" s="9">
        <v>27</v>
      </c>
      <c r="Q5" s="9">
        <v>199</v>
      </c>
      <c r="R5" s="9"/>
      <c r="S5" s="9">
        <v>13</v>
      </c>
      <c r="T5" s="9">
        <v>2</v>
      </c>
      <c r="U5" s="2"/>
      <c r="V5" s="9">
        <v>2</v>
      </c>
      <c r="W5" s="9">
        <v>0</v>
      </c>
      <c r="X5" s="9">
        <v>0</v>
      </c>
      <c r="Y5" s="9">
        <v>0</v>
      </c>
      <c r="Z5" s="9"/>
      <c r="AA5" s="9">
        <v>2</v>
      </c>
      <c r="AB5" s="2"/>
      <c r="AC5" s="9">
        <v>2</v>
      </c>
      <c r="AD5" s="9"/>
      <c r="AE5" s="9" t="s">
        <v>18</v>
      </c>
      <c r="AF5" s="9" t="s">
        <v>19</v>
      </c>
      <c r="AG5" s="9"/>
      <c r="AH5" s="9" t="s">
        <v>20</v>
      </c>
    </row>
    <row r="6" spans="1:34" ht="72" customHeight="1" x14ac:dyDescent="0.6">
      <c r="A6" s="9">
        <v>3</v>
      </c>
      <c r="B6" s="9">
        <v>28</v>
      </c>
      <c r="C6" s="9">
        <v>0</v>
      </c>
      <c r="D6" s="9">
        <v>42</v>
      </c>
      <c r="E6" s="9">
        <v>0</v>
      </c>
      <c r="F6" s="9">
        <v>296</v>
      </c>
      <c r="G6" s="9">
        <v>0</v>
      </c>
      <c r="H6" s="9"/>
      <c r="I6" s="9"/>
      <c r="J6" s="9">
        <v>13</v>
      </c>
      <c r="K6" s="9">
        <v>2</v>
      </c>
      <c r="L6" s="9">
        <v>3</v>
      </c>
      <c r="M6" s="2"/>
      <c r="N6" s="9">
        <v>3</v>
      </c>
      <c r="O6" s="9">
        <v>28</v>
      </c>
      <c r="P6" s="9">
        <v>40</v>
      </c>
      <c r="Q6" s="9">
        <v>287</v>
      </c>
      <c r="R6" s="9"/>
      <c r="S6" s="9">
        <v>15</v>
      </c>
      <c r="T6" s="9">
        <v>3</v>
      </c>
      <c r="U6" s="2"/>
      <c r="V6" s="9">
        <v>3</v>
      </c>
      <c r="W6" s="9">
        <v>0</v>
      </c>
      <c r="X6" s="9">
        <v>0</v>
      </c>
      <c r="Y6" s="9">
        <v>0</v>
      </c>
      <c r="Z6" s="9"/>
      <c r="AA6" s="9">
        <v>0</v>
      </c>
      <c r="AB6" s="2"/>
      <c r="AC6" s="9">
        <v>3</v>
      </c>
      <c r="AD6" s="9"/>
      <c r="AE6" s="9" t="s">
        <v>18</v>
      </c>
      <c r="AF6" s="10" t="s">
        <v>21</v>
      </c>
      <c r="AG6" s="9"/>
      <c r="AH6" s="9"/>
    </row>
    <row r="7" spans="1:34" ht="72" customHeight="1" x14ac:dyDescent="0.6">
      <c r="A7" s="9">
        <v>4</v>
      </c>
      <c r="B7" s="9">
        <v>29</v>
      </c>
      <c r="C7" s="9">
        <v>0</v>
      </c>
      <c r="D7" s="9">
        <v>28</v>
      </c>
      <c r="E7" s="9">
        <v>0</v>
      </c>
      <c r="F7" s="9">
        <v>286</v>
      </c>
      <c r="G7" s="9">
        <v>0</v>
      </c>
      <c r="H7" s="9"/>
      <c r="I7" s="9"/>
      <c r="J7" s="9">
        <v>7</v>
      </c>
      <c r="K7" s="9">
        <v>0</v>
      </c>
      <c r="L7" s="9">
        <v>0</v>
      </c>
      <c r="M7" s="2"/>
      <c r="N7" s="9">
        <v>4</v>
      </c>
      <c r="O7" s="9">
        <v>29</v>
      </c>
      <c r="P7" s="9">
        <v>27</v>
      </c>
      <c r="Q7" s="9">
        <v>281</v>
      </c>
      <c r="R7" s="9"/>
      <c r="S7" s="9">
        <v>7</v>
      </c>
      <c r="T7" s="9">
        <v>0</v>
      </c>
      <c r="U7" s="2"/>
      <c r="V7" s="9">
        <v>4</v>
      </c>
      <c r="W7" s="9">
        <v>0</v>
      </c>
      <c r="X7" s="9">
        <v>1</v>
      </c>
      <c r="Y7" s="9">
        <v>0</v>
      </c>
      <c r="Z7" s="9"/>
      <c r="AA7" s="9">
        <v>0</v>
      </c>
      <c r="AB7" s="2"/>
      <c r="AC7" s="9">
        <v>4</v>
      </c>
      <c r="AD7" s="9"/>
      <c r="AE7" s="9"/>
      <c r="AF7" s="10" t="s">
        <v>22</v>
      </c>
      <c r="AG7" s="9"/>
      <c r="AH7" s="9"/>
    </row>
    <row r="8" spans="1:34" ht="72" customHeight="1" x14ac:dyDescent="0.3">
      <c r="A8" s="9">
        <v>5</v>
      </c>
      <c r="B8" s="9">
        <v>21</v>
      </c>
      <c r="C8" s="9">
        <v>0</v>
      </c>
      <c r="D8" s="9">
        <v>20</v>
      </c>
      <c r="E8" s="9">
        <v>1</v>
      </c>
      <c r="F8" s="9">
        <v>252</v>
      </c>
      <c r="G8" s="9">
        <v>0</v>
      </c>
      <c r="H8" s="9"/>
      <c r="I8" s="9"/>
      <c r="J8" s="9">
        <v>13</v>
      </c>
      <c r="K8" s="9">
        <v>0</v>
      </c>
      <c r="L8" s="9">
        <v>0</v>
      </c>
      <c r="M8" s="2"/>
      <c r="N8" s="9">
        <v>5</v>
      </c>
      <c r="O8" s="9">
        <v>17</v>
      </c>
      <c r="P8" s="9">
        <v>17</v>
      </c>
      <c r="Q8" s="9">
        <v>85</v>
      </c>
      <c r="R8" s="9"/>
      <c r="S8" s="9">
        <v>0</v>
      </c>
      <c r="T8" s="9">
        <v>0</v>
      </c>
      <c r="U8" s="2"/>
      <c r="V8" s="9">
        <v>5</v>
      </c>
      <c r="W8" s="9">
        <v>4</v>
      </c>
      <c r="X8" s="9">
        <v>4</v>
      </c>
      <c r="Y8" s="9">
        <v>159</v>
      </c>
      <c r="Z8" s="9"/>
      <c r="AA8" s="9">
        <v>13</v>
      </c>
      <c r="AB8" s="2"/>
      <c r="AC8" s="9">
        <v>5</v>
      </c>
      <c r="AD8" s="9"/>
      <c r="AE8" s="9"/>
      <c r="AF8" s="9" t="s">
        <v>23</v>
      </c>
      <c r="AG8" s="9"/>
      <c r="AH8" s="9"/>
    </row>
    <row r="9" spans="1:34" ht="72" customHeight="1" x14ac:dyDescent="0.3">
      <c r="A9" s="9">
        <v>6</v>
      </c>
      <c r="B9" s="9">
        <v>18</v>
      </c>
      <c r="C9" s="9">
        <v>4</v>
      </c>
      <c r="D9" s="9">
        <v>43</v>
      </c>
      <c r="E9" s="9">
        <v>4</v>
      </c>
      <c r="F9" s="9">
        <v>286</v>
      </c>
      <c r="G9" s="9">
        <v>159</v>
      </c>
      <c r="H9" s="9"/>
      <c r="I9" s="9"/>
      <c r="J9" s="9">
        <v>25</v>
      </c>
      <c r="K9" s="9">
        <v>13</v>
      </c>
      <c r="L9" s="9">
        <v>3</v>
      </c>
      <c r="M9" s="2"/>
      <c r="N9" s="9">
        <v>6</v>
      </c>
      <c r="O9" s="9">
        <v>22</v>
      </c>
      <c r="P9" s="9">
        <v>46</v>
      </c>
      <c r="Q9" s="9">
        <v>430</v>
      </c>
      <c r="R9" s="9"/>
      <c r="S9" s="9">
        <v>26</v>
      </c>
      <c r="T9" s="9">
        <v>3</v>
      </c>
      <c r="U9" s="2"/>
      <c r="V9" s="9">
        <v>6</v>
      </c>
      <c r="W9" s="9">
        <v>0</v>
      </c>
      <c r="X9" s="9">
        <v>1</v>
      </c>
      <c r="Y9" s="9">
        <v>1</v>
      </c>
      <c r="Z9" s="9"/>
      <c r="AA9" s="9">
        <v>12</v>
      </c>
      <c r="AB9" s="2"/>
      <c r="AC9" s="9">
        <v>6</v>
      </c>
      <c r="AD9" s="9"/>
      <c r="AE9" s="9"/>
      <c r="AF9" s="9" t="s">
        <v>24</v>
      </c>
      <c r="AG9" s="9"/>
      <c r="AH9" s="9"/>
    </row>
    <row r="10" spans="1:34" ht="72" customHeight="1" x14ac:dyDescent="0.3">
      <c r="A10" s="9">
        <v>7</v>
      </c>
      <c r="B10" s="9">
        <v>20</v>
      </c>
      <c r="C10" s="9">
        <v>0</v>
      </c>
      <c r="D10" s="9">
        <v>42</v>
      </c>
      <c r="E10" s="9">
        <v>1</v>
      </c>
      <c r="F10" s="9">
        <v>197</v>
      </c>
      <c r="G10" s="9">
        <v>1</v>
      </c>
      <c r="H10" s="2"/>
      <c r="I10" s="2"/>
      <c r="J10" s="9">
        <v>20</v>
      </c>
      <c r="K10" s="9">
        <v>12</v>
      </c>
      <c r="L10" s="9">
        <v>1</v>
      </c>
      <c r="M10" s="2"/>
      <c r="N10" s="9">
        <v>7</v>
      </c>
      <c r="O10" s="9">
        <v>20</v>
      </c>
      <c r="P10" s="9">
        <v>43</v>
      </c>
      <c r="Q10" s="9">
        <v>193</v>
      </c>
      <c r="R10" s="2"/>
      <c r="S10" s="9">
        <v>24</v>
      </c>
      <c r="T10" s="9">
        <v>1</v>
      </c>
      <c r="U10" s="2"/>
      <c r="V10" s="9">
        <v>7</v>
      </c>
      <c r="W10" s="9">
        <v>0</v>
      </c>
      <c r="X10" s="9">
        <v>0</v>
      </c>
      <c r="Y10" s="9">
        <v>3</v>
      </c>
      <c r="Z10" s="2"/>
      <c r="AA10" s="9">
        <v>10</v>
      </c>
      <c r="AB10" s="2"/>
      <c r="AC10" s="9">
        <v>7</v>
      </c>
      <c r="AD10" s="9"/>
      <c r="AE10" s="9"/>
      <c r="AF10" s="9" t="s">
        <v>25</v>
      </c>
      <c r="AG10" s="9"/>
      <c r="AH10" s="9"/>
    </row>
    <row r="11" spans="1:34" ht="72" customHeight="1" x14ac:dyDescent="0.3">
      <c r="A11" s="9">
        <v>8</v>
      </c>
      <c r="B11" s="9">
        <v>15</v>
      </c>
      <c r="C11" s="9">
        <v>0</v>
      </c>
      <c r="D11" s="9">
        <v>28</v>
      </c>
      <c r="E11" s="9">
        <v>0</v>
      </c>
      <c r="F11" s="9">
        <v>177</v>
      </c>
      <c r="G11" s="9">
        <v>3</v>
      </c>
      <c r="H11" s="2"/>
      <c r="I11" s="2"/>
      <c r="J11" s="9">
        <v>8</v>
      </c>
      <c r="K11" s="9">
        <v>10</v>
      </c>
      <c r="L11" s="9">
        <v>20</v>
      </c>
      <c r="M11" s="2"/>
      <c r="N11" s="9">
        <v>8</v>
      </c>
      <c r="O11" s="9">
        <v>15</v>
      </c>
      <c r="P11" s="9">
        <v>27</v>
      </c>
      <c r="Q11" s="9">
        <v>172</v>
      </c>
      <c r="R11" s="2"/>
      <c r="S11" s="9">
        <v>18</v>
      </c>
      <c r="T11" s="9">
        <v>20</v>
      </c>
      <c r="U11" s="2"/>
      <c r="V11" s="9">
        <v>8</v>
      </c>
      <c r="W11" s="9">
        <v>0</v>
      </c>
      <c r="X11" s="9">
        <v>0</v>
      </c>
      <c r="Y11" s="9">
        <v>0</v>
      </c>
      <c r="Z11" s="2"/>
      <c r="AA11" s="9">
        <v>0</v>
      </c>
      <c r="AB11" s="2"/>
      <c r="AC11" s="9">
        <v>8</v>
      </c>
      <c r="AD11" s="9"/>
      <c r="AE11" s="9" t="s">
        <v>16</v>
      </c>
      <c r="AF11" s="9" t="s">
        <v>26</v>
      </c>
      <c r="AG11" s="9"/>
      <c r="AH11" s="9"/>
    </row>
    <row r="12" spans="1:34" ht="72" customHeight="1" x14ac:dyDescent="0.3">
      <c r="A12" s="9">
        <v>9</v>
      </c>
      <c r="B12" s="9">
        <v>14</v>
      </c>
      <c r="C12" s="9">
        <v>0</v>
      </c>
      <c r="D12" s="9">
        <v>43</v>
      </c>
      <c r="E12" s="9">
        <v>0</v>
      </c>
      <c r="F12" s="9">
        <v>204</v>
      </c>
      <c r="G12" s="9">
        <v>0</v>
      </c>
      <c r="H12" s="2"/>
      <c r="I12" s="2"/>
      <c r="J12" s="9">
        <v>17</v>
      </c>
      <c r="K12" s="9">
        <v>0</v>
      </c>
      <c r="L12" s="9">
        <v>2</v>
      </c>
      <c r="M12" s="2"/>
      <c r="N12" s="9">
        <v>9</v>
      </c>
      <c r="O12" s="9">
        <v>14</v>
      </c>
      <c r="P12" s="9">
        <v>43</v>
      </c>
      <c r="Q12" s="9">
        <v>199</v>
      </c>
      <c r="R12" s="2"/>
      <c r="S12" s="9">
        <v>17</v>
      </c>
      <c r="T12" s="9">
        <v>2</v>
      </c>
      <c r="U12" s="2"/>
      <c r="V12" s="9">
        <v>9</v>
      </c>
      <c r="W12" s="9">
        <v>0</v>
      </c>
      <c r="X12" s="9">
        <v>0</v>
      </c>
      <c r="Y12" s="9">
        <v>0</v>
      </c>
      <c r="Z12" s="2"/>
      <c r="AA12" s="9">
        <v>0</v>
      </c>
      <c r="AB12" s="2"/>
      <c r="AC12" s="9">
        <v>9</v>
      </c>
      <c r="AD12" s="9"/>
      <c r="AE12" s="9"/>
      <c r="AF12" s="9" t="s">
        <v>22</v>
      </c>
      <c r="AG12" s="9"/>
      <c r="AH12" s="9"/>
    </row>
    <row r="13" spans="1:34" ht="72" customHeight="1" x14ac:dyDescent="0.3">
      <c r="A13" s="9">
        <v>10</v>
      </c>
      <c r="B13" s="9">
        <v>28</v>
      </c>
      <c r="C13" s="9">
        <v>0</v>
      </c>
      <c r="D13" s="9">
        <v>40</v>
      </c>
      <c r="E13" s="9">
        <v>0</v>
      </c>
      <c r="F13" s="9">
        <v>116</v>
      </c>
      <c r="G13" s="9">
        <v>0</v>
      </c>
      <c r="H13" s="2"/>
      <c r="I13" s="2"/>
      <c r="J13" s="9">
        <v>34</v>
      </c>
      <c r="K13" s="9">
        <v>0</v>
      </c>
      <c r="L13" s="9">
        <v>4</v>
      </c>
      <c r="M13" s="2"/>
      <c r="N13" s="9">
        <v>10</v>
      </c>
      <c r="O13" s="9">
        <v>28</v>
      </c>
      <c r="P13" s="9">
        <v>31</v>
      </c>
      <c r="Q13" s="9">
        <v>113</v>
      </c>
      <c r="R13" s="2"/>
      <c r="S13" s="9">
        <v>34</v>
      </c>
      <c r="T13" s="9">
        <v>4</v>
      </c>
      <c r="U13" s="2"/>
      <c r="V13" s="9">
        <v>10</v>
      </c>
      <c r="W13" s="9">
        <v>0</v>
      </c>
      <c r="X13" s="9">
        <v>9</v>
      </c>
      <c r="Y13" s="9">
        <v>0</v>
      </c>
      <c r="Z13" s="2"/>
      <c r="AA13" s="9">
        <v>0</v>
      </c>
      <c r="AB13" s="2"/>
      <c r="AC13" s="9">
        <v>10</v>
      </c>
      <c r="AD13" s="9"/>
      <c r="AE13" s="9"/>
      <c r="AF13" s="9" t="s">
        <v>27</v>
      </c>
      <c r="AG13" s="9"/>
      <c r="AH13" s="9"/>
    </row>
    <row r="14" spans="1:34" ht="72" customHeight="1" x14ac:dyDescent="0.3">
      <c r="A14" s="9">
        <v>11</v>
      </c>
      <c r="B14" s="9">
        <v>25</v>
      </c>
      <c r="C14" s="9">
        <v>0</v>
      </c>
      <c r="D14" s="9">
        <v>35</v>
      </c>
      <c r="E14" s="9">
        <v>9</v>
      </c>
      <c r="F14" s="9">
        <v>155</v>
      </c>
      <c r="G14" s="9">
        <v>0</v>
      </c>
      <c r="H14" s="2"/>
      <c r="I14" s="2"/>
      <c r="J14" s="9">
        <v>6</v>
      </c>
      <c r="K14" s="9">
        <v>0</v>
      </c>
      <c r="L14" s="9">
        <v>0</v>
      </c>
      <c r="M14" s="2"/>
      <c r="N14" s="9">
        <v>11</v>
      </c>
      <c r="O14" s="9">
        <v>25</v>
      </c>
      <c r="P14" s="9">
        <v>44</v>
      </c>
      <c r="Q14" s="9">
        <v>154</v>
      </c>
      <c r="R14" s="2"/>
      <c r="S14" s="9">
        <v>6</v>
      </c>
      <c r="T14" s="9">
        <v>0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9"/>
      <c r="AF14" s="9" t="s">
        <v>28</v>
      </c>
      <c r="AG14" s="9"/>
      <c r="AH14" s="9"/>
    </row>
    <row r="15" spans="1:34" ht="72" customHeight="1" x14ac:dyDescent="0.3">
      <c r="A15" s="9">
        <v>12</v>
      </c>
      <c r="B15" s="9">
        <v>27</v>
      </c>
      <c r="C15" s="9">
        <v>0</v>
      </c>
      <c r="D15" s="9">
        <v>32</v>
      </c>
      <c r="E15" s="9">
        <v>0</v>
      </c>
      <c r="F15" s="9">
        <v>265</v>
      </c>
      <c r="G15" s="9">
        <v>0</v>
      </c>
      <c r="H15" s="2"/>
      <c r="I15" s="2"/>
      <c r="J15" s="9">
        <v>18</v>
      </c>
      <c r="K15" s="9">
        <v>0</v>
      </c>
      <c r="L15" s="9">
        <v>0</v>
      </c>
      <c r="M15" s="2"/>
      <c r="N15" s="9">
        <v>12</v>
      </c>
      <c r="O15" s="9">
        <v>27</v>
      </c>
      <c r="P15" s="9">
        <v>32</v>
      </c>
      <c r="Q15" s="9">
        <v>251</v>
      </c>
      <c r="R15" s="2"/>
      <c r="S15" s="9">
        <v>0</v>
      </c>
      <c r="T15" s="9">
        <v>0</v>
      </c>
      <c r="U15" s="2"/>
      <c r="V15" s="9">
        <v>12</v>
      </c>
      <c r="W15" s="9">
        <v>0</v>
      </c>
      <c r="X15" s="9">
        <v>0</v>
      </c>
      <c r="Y15" s="9">
        <v>10</v>
      </c>
      <c r="Z15" s="2"/>
      <c r="AA15" s="9">
        <v>18</v>
      </c>
      <c r="AB15" s="2"/>
      <c r="AC15" s="9">
        <v>12</v>
      </c>
      <c r="AD15" s="9"/>
      <c r="AE15" s="9"/>
      <c r="AF15" s="9" t="s">
        <v>29</v>
      </c>
      <c r="AG15" s="9"/>
      <c r="AH15" s="9"/>
    </row>
    <row r="16" spans="1:34" ht="72" customHeight="1" x14ac:dyDescent="0.3">
      <c r="A16" s="9">
        <v>13</v>
      </c>
      <c r="B16" s="9">
        <v>16</v>
      </c>
      <c r="C16" s="9">
        <v>0</v>
      </c>
      <c r="D16" s="9">
        <v>40</v>
      </c>
      <c r="E16" s="9">
        <v>0</v>
      </c>
      <c r="F16" s="9">
        <v>108</v>
      </c>
      <c r="G16" s="9">
        <v>10</v>
      </c>
      <c r="H16" s="2"/>
      <c r="I16" s="2"/>
      <c r="J16" s="9">
        <v>7</v>
      </c>
      <c r="K16" s="9">
        <v>18</v>
      </c>
      <c r="L16" s="9">
        <v>1</v>
      </c>
      <c r="M16" s="2"/>
      <c r="N16" s="9">
        <v>13</v>
      </c>
      <c r="O16" s="9">
        <v>16</v>
      </c>
      <c r="P16" s="9">
        <v>38</v>
      </c>
      <c r="Q16" s="9">
        <v>114</v>
      </c>
      <c r="R16" s="2"/>
      <c r="S16" s="9">
        <v>25</v>
      </c>
      <c r="T16" s="9">
        <v>1</v>
      </c>
      <c r="U16" s="2"/>
      <c r="V16" s="9">
        <v>13</v>
      </c>
      <c r="W16" s="9">
        <v>0</v>
      </c>
      <c r="X16" s="9">
        <v>0</v>
      </c>
      <c r="Y16" s="9">
        <v>0</v>
      </c>
      <c r="Z16" s="2"/>
      <c r="AA16" s="9">
        <v>0</v>
      </c>
      <c r="AB16" s="2"/>
      <c r="AC16" s="9">
        <v>13</v>
      </c>
      <c r="AD16" s="9"/>
      <c r="AE16" s="9" t="s">
        <v>18</v>
      </c>
      <c r="AF16" s="9" t="s">
        <v>30</v>
      </c>
      <c r="AG16" s="9"/>
      <c r="AH16" s="9"/>
    </row>
    <row r="17" spans="1:34" ht="72" customHeight="1" x14ac:dyDescent="0.3">
      <c r="A17" s="9">
        <v>14</v>
      </c>
      <c r="B17" s="9">
        <v>22</v>
      </c>
      <c r="C17" s="9">
        <v>0</v>
      </c>
      <c r="D17" s="9">
        <v>37</v>
      </c>
      <c r="E17" s="9">
        <v>0</v>
      </c>
      <c r="F17" s="9">
        <v>253</v>
      </c>
      <c r="G17" s="9">
        <v>0</v>
      </c>
      <c r="H17" s="2"/>
      <c r="I17" s="2"/>
      <c r="J17" s="9">
        <v>6</v>
      </c>
      <c r="K17" s="9">
        <v>0</v>
      </c>
      <c r="L17" s="9">
        <v>3</v>
      </c>
      <c r="M17" s="2"/>
      <c r="N17" s="9">
        <v>14</v>
      </c>
      <c r="O17" s="9">
        <v>22</v>
      </c>
      <c r="P17" s="9">
        <v>37</v>
      </c>
      <c r="Q17" s="9">
        <v>245</v>
      </c>
      <c r="R17" s="2"/>
      <c r="S17" s="9">
        <v>6</v>
      </c>
      <c r="T17" s="9">
        <v>3</v>
      </c>
      <c r="U17" s="2"/>
      <c r="V17" s="9">
        <v>14</v>
      </c>
      <c r="W17" s="9">
        <v>0</v>
      </c>
      <c r="X17" s="9">
        <v>0</v>
      </c>
      <c r="Y17" s="9">
        <v>0</v>
      </c>
      <c r="Z17" s="2"/>
      <c r="AA17" s="9">
        <v>0</v>
      </c>
      <c r="AB17" s="2"/>
      <c r="AC17" s="9">
        <v>14</v>
      </c>
      <c r="AD17" s="9"/>
      <c r="AE17" s="9"/>
      <c r="AF17" s="9" t="s">
        <v>31</v>
      </c>
      <c r="AG17" s="9"/>
      <c r="AH17" s="9"/>
    </row>
    <row r="18" spans="1:34" ht="72" customHeight="1" x14ac:dyDescent="0.6">
      <c r="A18" s="9">
        <v>15</v>
      </c>
      <c r="B18" s="9">
        <v>33</v>
      </c>
      <c r="C18" s="9">
        <v>0</v>
      </c>
      <c r="D18" s="9">
        <v>40</v>
      </c>
      <c r="E18" s="9">
        <v>0</v>
      </c>
      <c r="F18" s="9">
        <v>201</v>
      </c>
      <c r="G18" s="9">
        <v>0</v>
      </c>
      <c r="H18" s="2"/>
      <c r="I18" s="2"/>
      <c r="J18" s="9">
        <v>12</v>
      </c>
      <c r="K18" s="9">
        <v>0</v>
      </c>
      <c r="L18" s="9">
        <v>1</v>
      </c>
      <c r="M18" s="11"/>
      <c r="N18" s="9">
        <v>15</v>
      </c>
      <c r="O18" s="9">
        <v>32</v>
      </c>
      <c r="P18" s="9">
        <v>40</v>
      </c>
      <c r="Q18" s="9">
        <v>197</v>
      </c>
      <c r="R18" s="2"/>
      <c r="S18" s="9">
        <v>12</v>
      </c>
      <c r="T18" s="9">
        <v>1</v>
      </c>
      <c r="U18" s="2"/>
      <c r="V18" s="9">
        <v>15</v>
      </c>
      <c r="W18" s="9">
        <v>0</v>
      </c>
      <c r="X18" s="9">
        <v>0</v>
      </c>
      <c r="Y18" s="9">
        <v>0</v>
      </c>
      <c r="Z18" s="2"/>
      <c r="AA18" s="9">
        <v>0</v>
      </c>
      <c r="AB18" s="2"/>
      <c r="AC18" s="9">
        <v>15</v>
      </c>
      <c r="AD18" s="9" t="s">
        <v>16</v>
      </c>
      <c r="AE18" s="9"/>
      <c r="AF18" s="9" t="s">
        <v>30</v>
      </c>
      <c r="AG18" s="9"/>
      <c r="AH18" s="9"/>
    </row>
    <row r="19" spans="1:34" ht="72" customHeight="1" x14ac:dyDescent="0.3">
      <c r="A19" s="9">
        <v>16</v>
      </c>
      <c r="B19" s="9">
        <v>12</v>
      </c>
      <c r="C19" s="9">
        <v>0</v>
      </c>
      <c r="D19" s="9">
        <v>37</v>
      </c>
      <c r="E19" s="9">
        <v>0</v>
      </c>
      <c r="F19" s="9">
        <v>95</v>
      </c>
      <c r="G19" s="9">
        <v>0</v>
      </c>
      <c r="H19" s="2"/>
      <c r="I19" s="2"/>
      <c r="J19" s="9">
        <v>4</v>
      </c>
      <c r="K19" s="9">
        <v>0</v>
      </c>
      <c r="L19" s="9">
        <v>2</v>
      </c>
      <c r="M19" s="2"/>
      <c r="N19" s="9">
        <v>16</v>
      </c>
      <c r="O19" s="9">
        <v>11</v>
      </c>
      <c r="P19" s="9">
        <v>37</v>
      </c>
      <c r="Q19" s="9">
        <v>95</v>
      </c>
      <c r="R19" s="2"/>
      <c r="S19" s="9">
        <v>5</v>
      </c>
      <c r="T19" s="9">
        <v>2</v>
      </c>
      <c r="U19" s="2"/>
      <c r="V19" s="9">
        <v>16</v>
      </c>
      <c r="W19" s="9">
        <v>0</v>
      </c>
      <c r="X19" s="9">
        <v>0</v>
      </c>
      <c r="Y19" s="9">
        <v>0</v>
      </c>
      <c r="Z19" s="2"/>
      <c r="AA19" s="9">
        <v>0</v>
      </c>
      <c r="AB19" s="2"/>
      <c r="AC19" s="9">
        <v>16</v>
      </c>
      <c r="AD19" s="9" t="s">
        <v>32</v>
      </c>
      <c r="AE19" s="9"/>
      <c r="AF19" s="9"/>
      <c r="AG19" s="9"/>
      <c r="AH19" s="9"/>
    </row>
    <row r="20" spans="1:34" ht="72" customHeight="1" x14ac:dyDescent="0.3">
      <c r="A20" s="9">
        <v>17</v>
      </c>
      <c r="B20" s="9">
        <v>20</v>
      </c>
      <c r="C20" s="9">
        <v>0</v>
      </c>
      <c r="D20" s="9">
        <v>22</v>
      </c>
      <c r="E20" s="9">
        <v>0</v>
      </c>
      <c r="F20" s="9">
        <v>151</v>
      </c>
      <c r="G20" s="9">
        <v>0</v>
      </c>
      <c r="H20" s="2"/>
      <c r="I20" s="2"/>
      <c r="J20" s="9">
        <v>25</v>
      </c>
      <c r="K20" s="9">
        <v>0</v>
      </c>
      <c r="L20" s="9">
        <v>1</v>
      </c>
      <c r="M20" s="2"/>
      <c r="N20" s="9">
        <v>17</v>
      </c>
      <c r="O20" s="9">
        <v>20</v>
      </c>
      <c r="P20" s="9">
        <v>22</v>
      </c>
      <c r="Q20" s="9">
        <v>143</v>
      </c>
      <c r="R20" s="2"/>
      <c r="S20" s="9">
        <v>24</v>
      </c>
      <c r="T20" s="9">
        <v>1</v>
      </c>
      <c r="U20" s="2"/>
      <c r="V20" s="9">
        <v>17</v>
      </c>
      <c r="W20" s="9">
        <v>0</v>
      </c>
      <c r="X20" s="9">
        <v>0</v>
      </c>
      <c r="Y20" s="9">
        <v>7</v>
      </c>
      <c r="Z20" s="2"/>
      <c r="AA20" s="9">
        <v>1</v>
      </c>
      <c r="AB20" s="2"/>
      <c r="AC20" s="9">
        <v>17</v>
      </c>
      <c r="AD20" s="9"/>
      <c r="AE20" s="9"/>
      <c r="AF20" s="9" t="s">
        <v>33</v>
      </c>
      <c r="AG20" s="9"/>
      <c r="AH20" s="9"/>
    </row>
    <row r="21" spans="1:34" ht="72" customHeight="1" x14ac:dyDescent="0.3">
      <c r="A21" s="9">
        <v>18</v>
      </c>
      <c r="B21" s="9">
        <v>29</v>
      </c>
      <c r="C21" s="9">
        <v>0</v>
      </c>
      <c r="D21" s="9">
        <v>25</v>
      </c>
      <c r="E21" s="9">
        <v>0</v>
      </c>
      <c r="F21" s="9">
        <v>104</v>
      </c>
      <c r="G21" s="9">
        <v>7</v>
      </c>
      <c r="H21" s="2"/>
      <c r="I21" s="2"/>
      <c r="J21" s="9">
        <v>44</v>
      </c>
      <c r="K21" s="9">
        <v>1</v>
      </c>
      <c r="L21" s="9">
        <v>0</v>
      </c>
      <c r="M21" s="2"/>
      <c r="N21" s="9">
        <v>18</v>
      </c>
      <c r="O21" s="9">
        <v>29</v>
      </c>
      <c r="P21" s="9">
        <v>25</v>
      </c>
      <c r="Q21" s="9">
        <v>111</v>
      </c>
      <c r="R21" s="2"/>
      <c r="S21" s="9">
        <v>25</v>
      </c>
      <c r="T21" s="9">
        <v>0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20</v>
      </c>
      <c r="AB21" s="2"/>
      <c r="AC21" s="9">
        <v>18</v>
      </c>
      <c r="AD21" s="9"/>
      <c r="AE21" s="9"/>
      <c r="AF21" s="9"/>
      <c r="AG21" s="9"/>
      <c r="AH21" s="9"/>
    </row>
    <row r="22" spans="1:34" ht="72" customHeight="1" x14ac:dyDescent="0.3">
      <c r="A22" s="9">
        <v>19</v>
      </c>
      <c r="B22" s="9">
        <v>17</v>
      </c>
      <c r="C22" s="9">
        <v>0</v>
      </c>
      <c r="D22" s="9">
        <v>37</v>
      </c>
      <c r="E22" s="9">
        <v>0</v>
      </c>
      <c r="F22" s="9">
        <v>75</v>
      </c>
      <c r="G22" s="9">
        <v>0</v>
      </c>
      <c r="H22" s="2"/>
      <c r="I22" s="2"/>
      <c r="J22" s="9">
        <v>6</v>
      </c>
      <c r="K22" s="9">
        <v>20</v>
      </c>
      <c r="L22" s="9">
        <v>0</v>
      </c>
      <c r="M22" s="2"/>
      <c r="N22" s="9">
        <v>19</v>
      </c>
      <c r="O22" s="9">
        <v>18</v>
      </c>
      <c r="P22" s="9">
        <v>37</v>
      </c>
      <c r="Q22" s="9">
        <v>73</v>
      </c>
      <c r="R22" s="2"/>
      <c r="S22" s="9">
        <v>0</v>
      </c>
      <c r="T22" s="9">
        <v>0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26</v>
      </c>
      <c r="AB22" s="2"/>
      <c r="AC22" s="9">
        <v>19</v>
      </c>
      <c r="AD22" s="9"/>
      <c r="AE22" s="9"/>
      <c r="AF22" s="9" t="s">
        <v>18</v>
      </c>
      <c r="AG22" s="9"/>
      <c r="AH22" s="9"/>
    </row>
    <row r="23" spans="1:34" ht="72" customHeight="1" x14ac:dyDescent="0.3">
      <c r="A23" s="9">
        <v>20</v>
      </c>
      <c r="B23" s="9">
        <v>7</v>
      </c>
      <c r="C23" s="9">
        <v>0</v>
      </c>
      <c r="D23" s="9">
        <v>40</v>
      </c>
      <c r="E23" s="9">
        <v>0</v>
      </c>
      <c r="F23" s="9">
        <v>141</v>
      </c>
      <c r="G23" s="9">
        <v>0</v>
      </c>
      <c r="H23" s="2"/>
      <c r="I23" s="2"/>
      <c r="J23" s="9">
        <v>5</v>
      </c>
      <c r="K23" s="9">
        <v>26</v>
      </c>
      <c r="L23" s="9">
        <v>2</v>
      </c>
      <c r="M23" s="2"/>
      <c r="N23" s="9">
        <v>20</v>
      </c>
      <c r="O23" s="9">
        <v>7</v>
      </c>
      <c r="P23" s="9">
        <v>36</v>
      </c>
      <c r="Q23" s="9">
        <v>140</v>
      </c>
      <c r="R23" s="2"/>
      <c r="S23" s="9">
        <v>31</v>
      </c>
      <c r="T23" s="9">
        <v>2</v>
      </c>
      <c r="U23" s="2"/>
      <c r="V23" s="9">
        <v>20</v>
      </c>
      <c r="W23" s="9">
        <v>0</v>
      </c>
      <c r="X23" s="9">
        <v>3</v>
      </c>
      <c r="Y23" s="9">
        <v>0</v>
      </c>
      <c r="Z23" s="2"/>
      <c r="AA23" s="9">
        <v>0</v>
      </c>
      <c r="AB23" s="2"/>
      <c r="AC23" s="9">
        <v>20</v>
      </c>
      <c r="AD23" s="9"/>
      <c r="AE23" s="9" t="s">
        <v>34</v>
      </c>
      <c r="AF23" s="9" t="s">
        <v>16</v>
      </c>
      <c r="AG23" s="9"/>
      <c r="AH23" s="9"/>
    </row>
    <row r="24" spans="1:34" ht="72" customHeight="1" x14ac:dyDescent="0.6">
      <c r="A24" s="9">
        <v>21</v>
      </c>
      <c r="B24" s="9">
        <v>14</v>
      </c>
      <c r="C24" s="9">
        <v>0</v>
      </c>
      <c r="D24" s="9">
        <v>32</v>
      </c>
      <c r="E24" s="9">
        <v>3</v>
      </c>
      <c r="F24" s="9">
        <v>135</v>
      </c>
      <c r="G24" s="9">
        <v>0</v>
      </c>
      <c r="H24" s="2"/>
      <c r="I24" s="2"/>
      <c r="J24" s="9">
        <v>5</v>
      </c>
      <c r="K24" s="9">
        <v>0</v>
      </c>
      <c r="L24" s="9">
        <v>1</v>
      </c>
      <c r="M24" s="2"/>
      <c r="N24" s="9">
        <v>21</v>
      </c>
      <c r="O24" s="9">
        <v>14</v>
      </c>
      <c r="P24" s="9">
        <v>35</v>
      </c>
      <c r="Q24" s="9">
        <v>133</v>
      </c>
      <c r="R24" s="2"/>
      <c r="S24" s="9">
        <v>5</v>
      </c>
      <c r="T24" s="9">
        <v>1</v>
      </c>
      <c r="U24" s="2"/>
      <c r="V24" s="9">
        <v>21</v>
      </c>
      <c r="W24" s="9">
        <v>0</v>
      </c>
      <c r="X24" s="9">
        <v>0</v>
      </c>
      <c r="Y24" s="9">
        <v>0</v>
      </c>
      <c r="Z24" s="2"/>
      <c r="AA24" s="9">
        <v>0</v>
      </c>
      <c r="AB24" s="2"/>
      <c r="AC24" s="9">
        <v>21</v>
      </c>
      <c r="AD24" s="9"/>
      <c r="AE24" s="9"/>
      <c r="AF24" s="10" t="s">
        <v>18</v>
      </c>
      <c r="AG24" s="9"/>
      <c r="AH24" s="9"/>
    </row>
    <row r="25" spans="1:34" ht="72" customHeight="1" x14ac:dyDescent="0.3">
      <c r="A25" s="9">
        <v>22</v>
      </c>
      <c r="B25" s="9">
        <v>6</v>
      </c>
      <c r="C25" s="9">
        <v>0</v>
      </c>
      <c r="D25" s="9">
        <v>27</v>
      </c>
      <c r="E25" s="9">
        <v>0</v>
      </c>
      <c r="F25" s="9">
        <v>94</v>
      </c>
      <c r="G25" s="9">
        <v>0</v>
      </c>
      <c r="H25" s="2"/>
      <c r="I25" s="2"/>
      <c r="J25" s="9">
        <v>56</v>
      </c>
      <c r="K25" s="9">
        <v>0</v>
      </c>
      <c r="L25" s="9">
        <v>2</v>
      </c>
      <c r="M25" s="2"/>
      <c r="N25" s="9">
        <v>22</v>
      </c>
      <c r="O25" s="9">
        <v>6</v>
      </c>
      <c r="P25" s="9">
        <v>27</v>
      </c>
      <c r="Q25" s="9">
        <v>94</v>
      </c>
      <c r="R25" s="2"/>
      <c r="S25" s="9">
        <v>56</v>
      </c>
      <c r="T25" s="9">
        <v>2</v>
      </c>
      <c r="U25" s="2"/>
      <c r="V25" s="9">
        <v>22</v>
      </c>
      <c r="W25" s="9">
        <v>0</v>
      </c>
      <c r="X25" s="9">
        <v>0</v>
      </c>
      <c r="Y25" s="9">
        <v>0</v>
      </c>
      <c r="Z25" s="2"/>
      <c r="AA25" s="9">
        <v>0</v>
      </c>
      <c r="AB25" s="9"/>
      <c r="AC25" s="9">
        <v>22</v>
      </c>
      <c r="AD25" s="9"/>
      <c r="AE25" s="9"/>
      <c r="AF25" s="9"/>
      <c r="AG25" s="9"/>
      <c r="AH25" s="9"/>
    </row>
    <row r="26" spans="1:34" ht="72" customHeight="1" x14ac:dyDescent="0.6">
      <c r="A26" s="9">
        <v>23</v>
      </c>
      <c r="B26" s="9">
        <v>17</v>
      </c>
      <c r="C26" s="9">
        <v>0</v>
      </c>
      <c r="D26" s="9">
        <v>55</v>
      </c>
      <c r="E26" s="9">
        <v>0</v>
      </c>
      <c r="F26" s="9">
        <v>127</v>
      </c>
      <c r="G26" s="9">
        <v>0</v>
      </c>
      <c r="H26" s="2"/>
      <c r="I26" s="2"/>
      <c r="J26" s="9">
        <v>7</v>
      </c>
      <c r="K26" s="9">
        <v>0</v>
      </c>
      <c r="L26" s="9">
        <v>0</v>
      </c>
      <c r="M26" s="11"/>
      <c r="N26" s="9">
        <v>23</v>
      </c>
      <c r="O26" s="9">
        <v>14</v>
      </c>
      <c r="P26" s="9">
        <v>50</v>
      </c>
      <c r="Q26" s="9">
        <v>54</v>
      </c>
      <c r="R26" s="2"/>
      <c r="S26" s="9">
        <v>6</v>
      </c>
      <c r="T26" s="9">
        <v>0</v>
      </c>
      <c r="U26" s="2"/>
      <c r="V26" s="9">
        <v>23</v>
      </c>
      <c r="W26" s="9">
        <v>3</v>
      </c>
      <c r="X26" s="9">
        <v>5</v>
      </c>
      <c r="Y26" s="9">
        <v>68</v>
      </c>
      <c r="Z26" s="2"/>
      <c r="AA26" s="9">
        <v>1</v>
      </c>
      <c r="AB26" s="2"/>
      <c r="AC26" s="9">
        <v>23</v>
      </c>
      <c r="AD26" s="9"/>
      <c r="AE26" s="9"/>
      <c r="AF26" s="9" t="s">
        <v>35</v>
      </c>
      <c r="AG26" s="9"/>
      <c r="AH26" s="9"/>
    </row>
    <row r="27" spans="1:34" ht="72" customHeight="1" x14ac:dyDescent="0.3">
      <c r="A27" s="9">
        <v>24</v>
      </c>
      <c r="B27" s="9">
        <v>11</v>
      </c>
      <c r="C27" s="9">
        <v>3</v>
      </c>
      <c r="D27" s="9">
        <v>30</v>
      </c>
      <c r="E27" s="9">
        <v>5</v>
      </c>
      <c r="F27" s="9">
        <v>131</v>
      </c>
      <c r="G27" s="9">
        <v>68</v>
      </c>
      <c r="H27" s="2"/>
      <c r="I27" s="2"/>
      <c r="J27" s="9">
        <v>11</v>
      </c>
      <c r="K27" s="9">
        <v>1</v>
      </c>
      <c r="L27" s="9">
        <v>1</v>
      </c>
      <c r="M27" s="2"/>
      <c r="N27" s="9">
        <v>24</v>
      </c>
      <c r="O27" s="9">
        <v>14</v>
      </c>
      <c r="P27" s="9">
        <v>34</v>
      </c>
      <c r="Q27" s="9">
        <v>191</v>
      </c>
      <c r="R27" s="2"/>
      <c r="S27" s="9">
        <v>12</v>
      </c>
      <c r="T27" s="9">
        <v>1</v>
      </c>
      <c r="U27" s="2"/>
      <c r="V27" s="9">
        <v>24</v>
      </c>
      <c r="W27" s="9">
        <v>0</v>
      </c>
      <c r="X27" s="9">
        <v>1</v>
      </c>
      <c r="Y27" s="9">
        <v>1</v>
      </c>
      <c r="Z27" s="2"/>
      <c r="AA27" s="9">
        <v>0</v>
      </c>
      <c r="AB27" s="2"/>
      <c r="AC27" s="9">
        <v>24</v>
      </c>
      <c r="AD27" s="9"/>
      <c r="AE27" s="9"/>
      <c r="AF27" s="9" t="s">
        <v>36</v>
      </c>
      <c r="AG27" s="9"/>
      <c r="AH27" s="9"/>
    </row>
    <row r="28" spans="1:34" ht="72" customHeight="1" x14ac:dyDescent="0.3">
      <c r="A28" s="9">
        <v>25</v>
      </c>
      <c r="B28" s="9">
        <v>25</v>
      </c>
      <c r="C28" s="9">
        <v>0</v>
      </c>
      <c r="D28" s="9">
        <v>26</v>
      </c>
      <c r="E28" s="9">
        <v>1</v>
      </c>
      <c r="F28" s="9">
        <v>76</v>
      </c>
      <c r="G28" s="9">
        <v>1</v>
      </c>
      <c r="H28" s="2"/>
      <c r="I28" s="2"/>
      <c r="J28" s="9">
        <v>6</v>
      </c>
      <c r="K28" s="9">
        <v>0</v>
      </c>
      <c r="L28" s="9">
        <v>0</v>
      </c>
      <c r="M28" s="2"/>
      <c r="N28" s="9">
        <v>25</v>
      </c>
      <c r="O28" s="9">
        <v>25</v>
      </c>
      <c r="P28" s="9">
        <v>24</v>
      </c>
      <c r="Q28" s="9">
        <v>72</v>
      </c>
      <c r="R28" s="2"/>
      <c r="S28" s="9">
        <v>6</v>
      </c>
      <c r="T28" s="9">
        <v>0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0</v>
      </c>
      <c r="AB28" s="2"/>
      <c r="AC28" s="9">
        <v>25</v>
      </c>
      <c r="AD28" s="9"/>
      <c r="AE28" s="9" t="s">
        <v>27</v>
      </c>
      <c r="AF28" s="9" t="s">
        <v>22</v>
      </c>
      <c r="AG28" s="9"/>
      <c r="AH28" s="9"/>
    </row>
    <row r="29" spans="1:34" ht="72" customHeight="1" x14ac:dyDescent="0.3">
      <c r="A29" s="9">
        <v>26</v>
      </c>
      <c r="B29" s="9">
        <v>21</v>
      </c>
      <c r="C29" s="9">
        <v>0</v>
      </c>
      <c r="D29" s="9">
        <v>28</v>
      </c>
      <c r="E29" s="9">
        <v>0</v>
      </c>
      <c r="F29" s="9">
        <v>116</v>
      </c>
      <c r="G29" s="9">
        <v>0</v>
      </c>
      <c r="H29" s="2"/>
      <c r="I29" s="2"/>
      <c r="J29" s="9">
        <v>6</v>
      </c>
      <c r="K29" s="9">
        <v>0</v>
      </c>
      <c r="L29" s="9">
        <v>0</v>
      </c>
      <c r="M29" s="2"/>
      <c r="N29" s="9">
        <v>26</v>
      </c>
      <c r="O29" s="9">
        <v>21</v>
      </c>
      <c r="P29" s="9">
        <v>27</v>
      </c>
      <c r="Q29" s="9">
        <v>83</v>
      </c>
      <c r="R29" s="2"/>
      <c r="S29" s="9">
        <v>0</v>
      </c>
      <c r="T29" s="9">
        <v>0</v>
      </c>
      <c r="U29" s="2"/>
      <c r="V29" s="9">
        <v>26</v>
      </c>
      <c r="W29" s="9">
        <v>0</v>
      </c>
      <c r="X29" s="9">
        <v>1</v>
      </c>
      <c r="Y29" s="9">
        <v>32</v>
      </c>
      <c r="Z29" s="2"/>
      <c r="AA29" s="9">
        <v>6</v>
      </c>
      <c r="AB29" s="2"/>
      <c r="AC29" s="9">
        <v>26</v>
      </c>
      <c r="AD29" s="9"/>
      <c r="AE29" s="9"/>
      <c r="AF29" s="9" t="s">
        <v>37</v>
      </c>
      <c r="AG29" s="9"/>
      <c r="AH29" s="9"/>
    </row>
    <row r="30" spans="1:34" ht="72" customHeight="1" x14ac:dyDescent="0.3">
      <c r="A30" s="9">
        <v>27</v>
      </c>
      <c r="B30" s="9">
        <v>16</v>
      </c>
      <c r="C30" s="9">
        <v>0</v>
      </c>
      <c r="D30" s="9">
        <v>33</v>
      </c>
      <c r="E30" s="9">
        <v>1</v>
      </c>
      <c r="F30" s="9">
        <v>170</v>
      </c>
      <c r="G30" s="9">
        <v>32</v>
      </c>
      <c r="H30" s="2"/>
      <c r="I30" s="2"/>
      <c r="J30" s="9">
        <v>1</v>
      </c>
      <c r="K30" s="9">
        <v>6</v>
      </c>
      <c r="L30" s="9">
        <v>0</v>
      </c>
      <c r="M30" s="2"/>
      <c r="N30" s="9">
        <v>27</v>
      </c>
      <c r="O30" s="9">
        <v>14</v>
      </c>
      <c r="P30" s="9">
        <v>34</v>
      </c>
      <c r="Q30" s="9">
        <v>196</v>
      </c>
      <c r="R30" s="2"/>
      <c r="S30" s="9">
        <v>11</v>
      </c>
      <c r="T30" s="9">
        <v>0</v>
      </c>
      <c r="U30" s="2"/>
      <c r="V30" s="9">
        <v>27</v>
      </c>
      <c r="W30" s="9">
        <v>2</v>
      </c>
      <c r="X30" s="9">
        <v>0</v>
      </c>
      <c r="Y30" s="9">
        <v>0</v>
      </c>
      <c r="Z30" s="2"/>
      <c r="AA30" s="9">
        <v>0</v>
      </c>
      <c r="AB30" s="2"/>
      <c r="AC30" s="9">
        <v>27</v>
      </c>
      <c r="AD30" s="9"/>
      <c r="AE30" s="9"/>
      <c r="AF30" s="9" t="s">
        <v>38</v>
      </c>
      <c r="AG30" s="9"/>
      <c r="AH30" s="9"/>
    </row>
    <row r="31" spans="1:34" ht="72" customHeight="1" x14ac:dyDescent="0.3">
      <c r="A31" s="9">
        <v>28</v>
      </c>
      <c r="B31" s="9">
        <v>11</v>
      </c>
      <c r="C31" s="9">
        <v>2</v>
      </c>
      <c r="D31" s="9">
        <v>25</v>
      </c>
      <c r="E31" s="9">
        <v>0</v>
      </c>
      <c r="F31" s="9">
        <v>126</v>
      </c>
      <c r="G31" s="9">
        <v>0</v>
      </c>
      <c r="H31" s="2"/>
      <c r="I31" s="2"/>
      <c r="J31" s="9">
        <v>5</v>
      </c>
      <c r="K31" s="9">
        <v>1</v>
      </c>
      <c r="L31" s="9">
        <v>7</v>
      </c>
      <c r="M31" s="2"/>
      <c r="N31" s="9">
        <v>28</v>
      </c>
      <c r="O31" s="9">
        <v>12</v>
      </c>
      <c r="P31" s="9">
        <v>24</v>
      </c>
      <c r="Q31" s="9">
        <v>123</v>
      </c>
      <c r="R31" s="2"/>
      <c r="S31" s="9">
        <v>6</v>
      </c>
      <c r="T31" s="9">
        <v>7</v>
      </c>
      <c r="U31" s="2"/>
      <c r="V31" s="9">
        <v>28</v>
      </c>
      <c r="W31" s="9">
        <v>0</v>
      </c>
      <c r="X31" s="9">
        <v>0</v>
      </c>
      <c r="Y31" s="9">
        <v>0</v>
      </c>
      <c r="Z31" s="2"/>
      <c r="AA31" s="9">
        <v>0</v>
      </c>
      <c r="AB31" s="2"/>
      <c r="AC31" s="9">
        <v>28</v>
      </c>
      <c r="AD31" s="9" t="s">
        <v>16</v>
      </c>
      <c r="AE31" s="9" t="s">
        <v>16</v>
      </c>
      <c r="AF31" s="9" t="s">
        <v>27</v>
      </c>
      <c r="AG31" s="9"/>
      <c r="AH31" s="9"/>
    </row>
    <row r="32" spans="1:34" ht="72" customHeight="1" x14ac:dyDescent="0.3">
      <c r="A32" s="9">
        <v>29</v>
      </c>
      <c r="B32" s="9">
        <v>10</v>
      </c>
      <c r="C32" s="9">
        <v>0</v>
      </c>
      <c r="D32" s="9">
        <v>36</v>
      </c>
      <c r="E32" s="9">
        <v>0</v>
      </c>
      <c r="F32" s="9">
        <v>228</v>
      </c>
      <c r="G32" s="9">
        <v>0</v>
      </c>
      <c r="H32" s="9"/>
      <c r="I32" s="9"/>
      <c r="J32" s="9">
        <v>28</v>
      </c>
      <c r="K32" s="9">
        <v>0</v>
      </c>
      <c r="L32" s="9">
        <v>0</v>
      </c>
      <c r="M32" s="9"/>
      <c r="N32" s="9">
        <v>29</v>
      </c>
      <c r="O32" s="9">
        <v>10</v>
      </c>
      <c r="P32" s="9">
        <v>36</v>
      </c>
      <c r="Q32" s="9">
        <v>225</v>
      </c>
      <c r="R32" s="9"/>
      <c r="S32" s="9">
        <v>28</v>
      </c>
      <c r="T32" s="9">
        <v>0</v>
      </c>
      <c r="U32" s="9"/>
      <c r="V32" s="9">
        <v>29</v>
      </c>
      <c r="W32" s="9">
        <v>0</v>
      </c>
      <c r="X32" s="9">
        <v>0</v>
      </c>
      <c r="Y32" s="9">
        <v>0</v>
      </c>
      <c r="Z32" s="9"/>
      <c r="AA32" s="9">
        <v>0</v>
      </c>
      <c r="AB32" s="9"/>
      <c r="AC32" s="9">
        <v>29</v>
      </c>
      <c r="AD32" s="9"/>
      <c r="AE32" s="9"/>
      <c r="AF32" s="9" t="s">
        <v>27</v>
      </c>
      <c r="AG32" s="9"/>
      <c r="AH32" s="9"/>
    </row>
    <row r="33" spans="1:34" ht="72" customHeight="1" x14ac:dyDescent="0.3">
      <c r="A33" s="9">
        <v>30</v>
      </c>
      <c r="B33" s="9">
        <v>15</v>
      </c>
      <c r="C33" s="9">
        <v>0</v>
      </c>
      <c r="D33" s="9">
        <v>46</v>
      </c>
      <c r="E33" s="9">
        <v>0</v>
      </c>
      <c r="F33" s="9">
        <v>260</v>
      </c>
      <c r="G33" s="9">
        <v>0</v>
      </c>
      <c r="H33" s="9"/>
      <c r="I33" s="9"/>
      <c r="J33" s="9">
        <v>7</v>
      </c>
      <c r="K33" s="9">
        <v>0</v>
      </c>
      <c r="L33" s="9">
        <v>1</v>
      </c>
      <c r="M33" s="9"/>
      <c r="N33" s="9">
        <v>30</v>
      </c>
      <c r="O33" s="9">
        <v>15</v>
      </c>
      <c r="P33" s="9">
        <v>45</v>
      </c>
      <c r="Q33" s="9">
        <v>257</v>
      </c>
      <c r="R33" s="9"/>
      <c r="S33" s="9">
        <v>5</v>
      </c>
      <c r="T33" s="9">
        <v>1</v>
      </c>
      <c r="U33" s="9"/>
      <c r="V33" s="9">
        <v>30</v>
      </c>
      <c r="W33" s="9">
        <v>0</v>
      </c>
      <c r="X33" s="9">
        <v>0</v>
      </c>
      <c r="Y33" s="9">
        <v>1</v>
      </c>
      <c r="Z33" s="9"/>
      <c r="AA33" s="9">
        <v>2</v>
      </c>
      <c r="AB33" s="9"/>
      <c r="AC33" s="9">
        <v>30</v>
      </c>
      <c r="AD33" s="9"/>
      <c r="AE33" s="9" t="s">
        <v>28</v>
      </c>
      <c r="AF33" s="9" t="s">
        <v>39</v>
      </c>
      <c r="AG33" s="9"/>
      <c r="AH33" s="9"/>
    </row>
    <row r="34" spans="1:34" ht="72" customHeight="1" x14ac:dyDescent="0.3">
      <c r="A34" s="9">
        <v>31</v>
      </c>
      <c r="B34" s="9">
        <v>17</v>
      </c>
      <c r="C34" s="9">
        <v>0</v>
      </c>
      <c r="D34" s="9">
        <v>23</v>
      </c>
      <c r="E34" s="9">
        <v>0</v>
      </c>
      <c r="F34" s="9">
        <v>158</v>
      </c>
      <c r="G34" s="9">
        <v>1</v>
      </c>
      <c r="H34" s="9"/>
      <c r="I34" s="9"/>
      <c r="J34" s="9">
        <v>18</v>
      </c>
      <c r="K34" s="9">
        <v>2</v>
      </c>
      <c r="L34" s="9">
        <v>8</v>
      </c>
      <c r="M34" s="9"/>
      <c r="N34" s="9">
        <v>31</v>
      </c>
      <c r="O34" s="9">
        <v>17</v>
      </c>
      <c r="P34" s="9">
        <v>23</v>
      </c>
      <c r="Q34" s="9">
        <v>156</v>
      </c>
      <c r="R34" s="9"/>
      <c r="S34" s="9">
        <v>20</v>
      </c>
      <c r="T34" s="9">
        <v>8</v>
      </c>
      <c r="U34" s="9"/>
      <c r="V34" s="9">
        <v>31</v>
      </c>
      <c r="W34" s="9">
        <v>0</v>
      </c>
      <c r="X34" s="9">
        <v>0</v>
      </c>
      <c r="Y34" s="9">
        <v>0</v>
      </c>
      <c r="Z34" s="9"/>
      <c r="AA34" s="9">
        <v>0</v>
      </c>
      <c r="AB34" s="9"/>
      <c r="AC34" s="9">
        <v>31</v>
      </c>
      <c r="AD34" s="9"/>
      <c r="AE34" s="9"/>
      <c r="AF34" s="9" t="s">
        <v>27</v>
      </c>
      <c r="AG34" s="9"/>
      <c r="AH34" s="9"/>
    </row>
    <row r="35" spans="1:34" ht="23.25" customHeight="1" x14ac:dyDescent="0.3">
      <c r="A35" s="12" t="s">
        <v>40</v>
      </c>
      <c r="B35" s="13">
        <f t="shared" ref="B35:G35" si="0">SUM(B4:B34)</f>
        <v>586</v>
      </c>
      <c r="C35" s="13">
        <f t="shared" si="0"/>
        <v>9</v>
      </c>
      <c r="D35" s="13">
        <f t="shared" si="0"/>
        <v>1046</v>
      </c>
      <c r="E35" s="13">
        <f t="shared" si="0"/>
        <v>25</v>
      </c>
      <c r="F35" s="13">
        <f t="shared" si="0"/>
        <v>5431</v>
      </c>
      <c r="G35" s="13">
        <f t="shared" si="0"/>
        <v>282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40</v>
      </c>
      <c r="O35" s="13">
        <f t="shared" ref="O35:T35" si="1">SUM(O4:O34)</f>
        <v>583</v>
      </c>
      <c r="P35" s="13">
        <f t="shared" si="1"/>
        <v>1032</v>
      </c>
      <c r="Q35" s="13">
        <f t="shared" si="1"/>
        <v>5296</v>
      </c>
      <c r="R35" s="13">
        <f t="shared" si="1"/>
        <v>0</v>
      </c>
      <c r="S35" s="13">
        <f t="shared" si="1"/>
        <v>458</v>
      </c>
      <c r="T35" s="13">
        <f t="shared" si="1"/>
        <v>66</v>
      </c>
      <c r="U35" s="1"/>
      <c r="V35" s="12" t="s">
        <v>40</v>
      </c>
      <c r="W35" s="13">
        <f t="shared" ref="W35:AA35" si="2">SUM(W4:W34)</f>
        <v>9</v>
      </c>
      <c r="X35" s="13">
        <f t="shared" si="2"/>
        <v>25</v>
      </c>
      <c r="Y35" s="13">
        <f t="shared" si="2"/>
        <v>282</v>
      </c>
      <c r="Z35" s="13">
        <f t="shared" si="2"/>
        <v>0</v>
      </c>
      <c r="AA35" s="13">
        <f t="shared" si="2"/>
        <v>111</v>
      </c>
      <c r="AB35" s="1"/>
      <c r="AC35" s="12" t="s">
        <v>40</v>
      </c>
      <c r="AD35" s="13"/>
      <c r="AE35" s="13"/>
      <c r="AF35" s="13"/>
      <c r="AG35" s="13"/>
      <c r="AH35" s="13"/>
    </row>
    <row r="36" spans="1:34" ht="23.25" customHeight="1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  <c r="AE36" s="16"/>
      <c r="AF36" s="16"/>
      <c r="AG36" s="16"/>
      <c r="AH36" s="16"/>
    </row>
    <row r="37" spans="1:34" ht="23.25" customHeight="1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6"/>
      <c r="AF37" s="16"/>
      <c r="AG37" s="16"/>
      <c r="AH37" s="16"/>
    </row>
    <row r="38" spans="1:34" ht="23.25" customHeight="1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  <c r="AE38" s="16"/>
      <c r="AF38" s="16"/>
      <c r="AG38" s="16"/>
      <c r="AH38" s="16"/>
    </row>
    <row r="39" spans="1:34" ht="23.25" customHeight="1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6"/>
      <c r="AF39" s="16"/>
      <c r="AG39" s="16"/>
      <c r="AH39" s="16"/>
    </row>
    <row r="40" spans="1:34" ht="23.25" customHeight="1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  <c r="AE40" s="16"/>
      <c r="AF40" s="16"/>
      <c r="AG40" s="16"/>
      <c r="AH40" s="16"/>
    </row>
    <row r="41" spans="1:34" ht="23.25" customHeight="1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"/>
      <c r="AE41" s="16"/>
      <c r="AF41" s="16"/>
      <c r="AG41" s="16"/>
      <c r="AH41" s="16"/>
    </row>
    <row r="42" spans="1:34" ht="23.25" customHeight="1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6"/>
      <c r="AF42" s="16"/>
      <c r="AG42" s="16"/>
      <c r="AH42" s="16"/>
    </row>
    <row r="43" spans="1:34" ht="23.25" customHeight="1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"/>
      <c r="AE43" s="16"/>
      <c r="AF43" s="16"/>
      <c r="AG43" s="16"/>
      <c r="AH43" s="16"/>
    </row>
    <row r="44" spans="1:34" ht="23.25" customHeight="1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  <c r="AE44" s="16"/>
      <c r="AF44" s="16"/>
      <c r="AG44" s="16"/>
      <c r="AH44" s="16"/>
    </row>
    <row r="45" spans="1:34" ht="23.25" customHeight="1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  <c r="AE45" s="16"/>
      <c r="AF45" s="16"/>
      <c r="AG45" s="16"/>
      <c r="AH45" s="16"/>
    </row>
    <row r="46" spans="1:34" ht="23.25" customHeight="1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  <c r="AE46" s="16"/>
      <c r="AF46" s="16"/>
      <c r="AG46" s="16"/>
      <c r="AH46" s="16"/>
    </row>
    <row r="47" spans="1:34" ht="23.25" customHeight="1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6"/>
      <c r="AF47" s="16"/>
      <c r="AG47" s="16"/>
      <c r="AH47" s="16"/>
    </row>
    <row r="48" spans="1:34" ht="23.25" customHeight="1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"/>
      <c r="AE48" s="16"/>
      <c r="AF48" s="16"/>
      <c r="AG48" s="16"/>
      <c r="AH48" s="16"/>
    </row>
    <row r="49" spans="1:34" ht="23.25" customHeight="1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  <c r="AE49" s="16"/>
      <c r="AF49" s="16"/>
      <c r="AG49" s="16"/>
      <c r="AH49" s="16"/>
    </row>
    <row r="50" spans="1:34" ht="23.25" customHeight="1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"/>
      <c r="AE50" s="16"/>
      <c r="AF50" s="16"/>
      <c r="AG50" s="16"/>
      <c r="AH50" s="16"/>
    </row>
    <row r="51" spans="1:34" ht="23.25" customHeight="1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6"/>
      <c r="AF51" s="16"/>
      <c r="AG51" s="16"/>
      <c r="AH51" s="16"/>
    </row>
    <row r="52" spans="1:34" ht="23.25" customHeight="1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/>
      <c r="AE52" s="16"/>
      <c r="AF52" s="16"/>
      <c r="AG52" s="16"/>
      <c r="AH52" s="16"/>
    </row>
    <row r="53" spans="1:34" ht="23.25" customHeight="1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"/>
      <c r="AE53" s="16"/>
      <c r="AF53" s="16"/>
      <c r="AG53" s="16"/>
      <c r="AH53" s="16"/>
    </row>
    <row r="54" spans="1:34" ht="23.25" customHeight="1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"/>
      <c r="AE54" s="16"/>
      <c r="AF54" s="16"/>
      <c r="AG54" s="16"/>
      <c r="AH54" s="16"/>
    </row>
    <row r="55" spans="1:34" ht="23.25" customHeight="1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/>
      <c r="AE55" s="16"/>
      <c r="AF55" s="16"/>
      <c r="AG55" s="16"/>
      <c r="AH55" s="16"/>
    </row>
    <row r="56" spans="1:34" ht="23.25" customHeight="1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"/>
      <c r="AE56" s="16"/>
      <c r="AF56" s="16"/>
      <c r="AG56" s="16"/>
      <c r="AH56" s="16"/>
    </row>
    <row r="57" spans="1:34" ht="23.25" customHeight="1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"/>
      <c r="AE57" s="16"/>
      <c r="AF57" s="16"/>
      <c r="AG57" s="16"/>
      <c r="AH57" s="16"/>
    </row>
    <row r="58" spans="1:34" ht="23.25" customHeight="1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"/>
      <c r="AE58" s="16"/>
      <c r="AF58" s="16"/>
      <c r="AG58" s="16"/>
      <c r="AH58" s="16"/>
    </row>
    <row r="59" spans="1:34" ht="23.25" customHeight="1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"/>
      <c r="AE59" s="16"/>
      <c r="AF59" s="16"/>
      <c r="AG59" s="16"/>
      <c r="AH59" s="16"/>
    </row>
    <row r="60" spans="1:34" ht="23.25" customHeight="1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  <c r="AG60" s="16"/>
      <c r="AH60" s="16"/>
    </row>
    <row r="61" spans="1:34" ht="23.25" customHeight="1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  <c r="AG61" s="16"/>
      <c r="AH61" s="16"/>
    </row>
    <row r="62" spans="1:34" ht="23.25" customHeight="1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  <c r="AG62" s="16"/>
      <c r="AH62" s="16"/>
    </row>
    <row r="63" spans="1:34" ht="23.25" customHeight="1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  <c r="AG63" s="16"/>
      <c r="AH63" s="16"/>
    </row>
    <row r="64" spans="1:34" ht="23.25" customHeight="1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  <c r="AG64" s="16"/>
      <c r="AH64" s="16"/>
    </row>
    <row r="65" spans="1:34" ht="23.25" customHeight="1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  <c r="AG65" s="16"/>
      <c r="AH65" s="16"/>
    </row>
    <row r="66" spans="1:34" ht="23.25" customHeight="1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  <c r="AG66" s="16"/>
      <c r="AH66" s="16"/>
    </row>
    <row r="67" spans="1:34" ht="23.25" customHeight="1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6"/>
      <c r="AE67" s="16"/>
      <c r="AF67" s="16"/>
      <c r="AG67" s="16"/>
      <c r="AH67" s="16"/>
    </row>
    <row r="68" spans="1:34" ht="23.25" customHeight="1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6"/>
      <c r="AF68" s="16"/>
      <c r="AG68" s="16"/>
      <c r="AH68" s="16"/>
    </row>
    <row r="69" spans="1:34" ht="23.25" customHeight="1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  <c r="AG69" s="16"/>
      <c r="AH69" s="16"/>
    </row>
    <row r="70" spans="1:34" ht="23.25" customHeight="1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  <c r="AG70" s="16"/>
      <c r="AH70" s="16"/>
    </row>
    <row r="71" spans="1:34" ht="23.25" customHeight="1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  <c r="AG71" s="16"/>
      <c r="AH71" s="16"/>
    </row>
    <row r="72" spans="1:34" ht="23.25" customHeight="1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  <c r="AG72" s="16"/>
      <c r="AH72" s="16"/>
    </row>
    <row r="73" spans="1:34" ht="23.25" customHeight="1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  <c r="AG73" s="16"/>
      <c r="AH73" s="16"/>
    </row>
    <row r="74" spans="1:34" ht="23.25" customHeight="1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  <c r="AG74" s="16"/>
      <c r="AH74" s="16"/>
    </row>
    <row r="75" spans="1:34" ht="23.25" customHeight="1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  <c r="AG75" s="16"/>
      <c r="AH75" s="16"/>
    </row>
    <row r="76" spans="1:34" ht="23.25" customHeight="1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  <c r="AG76" s="16"/>
      <c r="AH76" s="16"/>
    </row>
    <row r="77" spans="1:34" ht="23.25" customHeight="1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  <c r="AG77" s="16"/>
      <c r="AH77" s="16"/>
    </row>
    <row r="78" spans="1:34" ht="23.25" customHeight="1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  <c r="AG78" s="16"/>
      <c r="AH78" s="16"/>
    </row>
    <row r="79" spans="1:34" ht="23.25" customHeight="1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  <c r="AG79" s="16"/>
      <c r="AH79" s="16"/>
    </row>
    <row r="80" spans="1:34" ht="23.25" customHeight="1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  <c r="AG80" s="16"/>
      <c r="AH80" s="16"/>
    </row>
    <row r="81" spans="1:34" ht="23.25" customHeight="1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  <c r="AG81" s="16"/>
      <c r="AH81" s="16"/>
    </row>
    <row r="82" spans="1:34" ht="23.25" customHeight="1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  <c r="AG82" s="16"/>
      <c r="AH82" s="16"/>
    </row>
    <row r="83" spans="1:34" ht="23.25" customHeight="1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  <c r="AG83" s="16"/>
      <c r="AH83" s="16"/>
    </row>
    <row r="84" spans="1:34" ht="23.25" customHeight="1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6"/>
      <c r="AE84" s="16"/>
      <c r="AF84" s="16"/>
      <c r="AG84" s="16"/>
      <c r="AH84" s="16"/>
    </row>
    <row r="85" spans="1:34" ht="23.25" customHeight="1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6"/>
      <c r="AE85" s="16"/>
      <c r="AF85" s="16"/>
      <c r="AG85" s="16"/>
      <c r="AH85" s="16"/>
    </row>
    <row r="86" spans="1:34" ht="23.25" customHeight="1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6"/>
      <c r="AE86" s="16"/>
      <c r="AF86" s="16"/>
      <c r="AG86" s="16"/>
      <c r="AH86" s="16"/>
    </row>
    <row r="87" spans="1:34" ht="23.25" customHeight="1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6"/>
      <c r="AE87" s="16"/>
      <c r="AF87" s="16"/>
      <c r="AG87" s="16"/>
      <c r="AH87" s="16"/>
    </row>
    <row r="88" spans="1:34" ht="23.25" customHeight="1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6"/>
      <c r="AE88" s="16"/>
      <c r="AF88" s="16"/>
      <c r="AG88" s="16"/>
      <c r="AH88" s="16"/>
    </row>
    <row r="89" spans="1:34" ht="23.25" customHeight="1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6"/>
      <c r="AE89" s="16"/>
      <c r="AF89" s="16"/>
      <c r="AG89" s="16"/>
      <c r="AH89" s="16"/>
    </row>
    <row r="90" spans="1:34" ht="23.25" customHeight="1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6"/>
      <c r="AE90" s="16"/>
      <c r="AF90" s="16"/>
      <c r="AG90" s="16"/>
      <c r="AH90" s="16"/>
    </row>
    <row r="91" spans="1:34" ht="23.25" customHeight="1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6"/>
      <c r="AE91" s="16"/>
      <c r="AF91" s="16"/>
      <c r="AG91" s="16"/>
      <c r="AH91" s="16"/>
    </row>
    <row r="92" spans="1:34" ht="23.25" customHeight="1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6"/>
      <c r="AE92" s="16"/>
      <c r="AF92" s="16"/>
      <c r="AG92" s="16"/>
      <c r="AH92" s="16"/>
    </row>
    <row r="93" spans="1:34" ht="23.25" customHeight="1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6"/>
      <c r="AE93" s="16"/>
      <c r="AF93" s="16"/>
      <c r="AG93" s="16"/>
      <c r="AH93" s="16"/>
    </row>
    <row r="94" spans="1:34" ht="23.25" customHeight="1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6"/>
      <c r="AE94" s="16"/>
      <c r="AF94" s="16"/>
      <c r="AG94" s="16"/>
      <c r="AH94" s="16"/>
    </row>
    <row r="95" spans="1:34" ht="23.25" customHeight="1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6"/>
      <c r="AE95" s="16"/>
      <c r="AF95" s="16"/>
      <c r="AG95" s="16"/>
      <c r="AH95" s="16"/>
    </row>
    <row r="96" spans="1:34" ht="23.25" customHeight="1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6"/>
      <c r="AE96" s="16"/>
      <c r="AF96" s="16"/>
      <c r="AG96" s="16"/>
      <c r="AH96" s="16"/>
    </row>
    <row r="97" spans="1:34" ht="23.25" customHeight="1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6"/>
      <c r="AE97" s="16"/>
      <c r="AF97" s="16"/>
      <c r="AG97" s="16"/>
      <c r="AH97" s="16"/>
    </row>
    <row r="98" spans="1:34" ht="23.25" customHeight="1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6"/>
      <c r="AE98" s="16"/>
      <c r="AF98" s="16"/>
      <c r="AG98" s="16"/>
      <c r="AH98" s="16"/>
    </row>
    <row r="99" spans="1:34" ht="23.25" customHeight="1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6"/>
      <c r="AE99" s="16"/>
      <c r="AF99" s="16"/>
      <c r="AG99" s="16"/>
      <c r="AH99" s="16"/>
    </row>
    <row r="100" spans="1:34" ht="23.25" customHeight="1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6"/>
      <c r="AE100" s="16"/>
      <c r="AF100" s="16"/>
      <c r="AG100" s="16"/>
      <c r="AH100" s="16"/>
    </row>
    <row r="101" spans="1:34" ht="23.25" customHeight="1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6"/>
      <c r="AE101" s="16"/>
      <c r="AF101" s="16"/>
      <c r="AG101" s="16"/>
      <c r="AH101" s="16"/>
    </row>
    <row r="102" spans="1:34" ht="23.25" customHeight="1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6"/>
      <c r="AE102" s="16"/>
      <c r="AF102" s="16"/>
      <c r="AG102" s="16"/>
      <c r="AH102" s="16"/>
    </row>
    <row r="103" spans="1:34" ht="23.25" customHeight="1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6"/>
      <c r="AE103" s="16"/>
      <c r="AF103" s="16"/>
      <c r="AG103" s="16"/>
      <c r="AH103" s="16"/>
    </row>
    <row r="104" spans="1:34" ht="23.25" customHeight="1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6"/>
      <c r="AE104" s="16"/>
      <c r="AF104" s="16"/>
      <c r="AG104" s="16"/>
      <c r="AH104" s="16"/>
    </row>
    <row r="105" spans="1:34" ht="23.25" customHeight="1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6"/>
      <c r="AE105" s="16"/>
      <c r="AF105" s="16"/>
      <c r="AG105" s="16"/>
      <c r="AH105" s="16"/>
    </row>
    <row r="106" spans="1:34" ht="23.25" customHeight="1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6"/>
      <c r="AE106" s="16"/>
      <c r="AF106" s="16"/>
      <c r="AG106" s="16"/>
      <c r="AH106" s="16"/>
    </row>
    <row r="107" spans="1:34" ht="23.25" customHeight="1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6"/>
      <c r="AE107" s="16"/>
      <c r="AF107" s="16"/>
      <c r="AG107" s="16"/>
      <c r="AH107" s="16"/>
    </row>
    <row r="108" spans="1:34" ht="23.25" customHeight="1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6"/>
      <c r="AE108" s="16"/>
      <c r="AF108" s="16"/>
      <c r="AG108" s="16"/>
      <c r="AH108" s="16"/>
    </row>
    <row r="109" spans="1:34" ht="23.25" customHeight="1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6"/>
      <c r="AE109" s="16"/>
      <c r="AF109" s="16"/>
      <c r="AG109" s="16"/>
      <c r="AH109" s="16"/>
    </row>
    <row r="110" spans="1:34" ht="23.25" customHeight="1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6"/>
      <c r="AE110" s="16"/>
      <c r="AF110" s="16"/>
      <c r="AG110" s="16"/>
      <c r="AH110" s="16"/>
    </row>
    <row r="111" spans="1:34" ht="23.25" customHeight="1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6"/>
      <c r="AE111" s="16"/>
      <c r="AF111" s="16"/>
      <c r="AG111" s="16"/>
      <c r="AH111" s="16"/>
    </row>
    <row r="112" spans="1:34" ht="23.25" customHeight="1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6"/>
      <c r="AE112" s="16"/>
      <c r="AF112" s="16"/>
      <c r="AG112" s="16"/>
      <c r="AH112" s="16"/>
    </row>
    <row r="113" spans="1:34" ht="23.25" customHeight="1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6"/>
      <c r="AE113" s="16"/>
      <c r="AF113" s="16"/>
      <c r="AG113" s="16"/>
      <c r="AH113" s="16"/>
    </row>
    <row r="114" spans="1:34" ht="23.25" customHeight="1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6"/>
      <c r="AE114" s="16"/>
      <c r="AF114" s="16"/>
      <c r="AG114" s="16"/>
      <c r="AH114" s="16"/>
    </row>
    <row r="115" spans="1:34" ht="23.25" customHeight="1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6"/>
      <c r="AE115" s="16"/>
      <c r="AF115" s="16"/>
      <c r="AG115" s="16"/>
      <c r="AH115" s="16"/>
    </row>
    <row r="116" spans="1:34" ht="23.25" customHeight="1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6"/>
      <c r="AE116" s="16"/>
      <c r="AF116" s="16"/>
      <c r="AG116" s="16"/>
      <c r="AH116" s="16"/>
    </row>
    <row r="117" spans="1:34" ht="23.25" customHeight="1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6"/>
      <c r="AE117" s="16"/>
      <c r="AF117" s="16"/>
      <c r="AG117" s="16"/>
      <c r="AH117" s="16"/>
    </row>
    <row r="118" spans="1:34" ht="23.25" customHeight="1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6"/>
      <c r="AE118" s="16"/>
      <c r="AF118" s="16"/>
      <c r="AG118" s="16"/>
      <c r="AH118" s="16"/>
    </row>
    <row r="119" spans="1:34" ht="23.25" customHeight="1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6"/>
      <c r="AE119" s="16"/>
      <c r="AF119" s="16"/>
      <c r="AG119" s="16"/>
      <c r="AH119" s="16"/>
    </row>
    <row r="120" spans="1:34" ht="23.25" customHeight="1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6"/>
      <c r="AE120" s="16"/>
      <c r="AF120" s="16"/>
      <c r="AG120" s="16"/>
      <c r="AH120" s="16"/>
    </row>
    <row r="121" spans="1:34" ht="23.25" customHeight="1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6"/>
      <c r="AE121" s="16"/>
      <c r="AF121" s="16"/>
      <c r="AG121" s="16"/>
      <c r="AH121" s="16"/>
    </row>
    <row r="122" spans="1:34" ht="23.25" customHeight="1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6"/>
      <c r="AE122" s="16"/>
      <c r="AF122" s="16"/>
      <c r="AG122" s="16"/>
      <c r="AH122" s="16"/>
    </row>
    <row r="123" spans="1:34" ht="23.25" customHeight="1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6"/>
      <c r="AE123" s="16"/>
      <c r="AF123" s="16"/>
      <c r="AG123" s="16"/>
      <c r="AH123" s="16"/>
    </row>
    <row r="124" spans="1:34" ht="23.25" customHeight="1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6"/>
      <c r="AE124" s="16"/>
      <c r="AF124" s="16"/>
      <c r="AG124" s="16"/>
      <c r="AH124" s="16"/>
    </row>
    <row r="125" spans="1:34" ht="23.25" customHeight="1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6"/>
      <c r="AE125" s="16"/>
      <c r="AF125" s="16"/>
      <c r="AG125" s="16"/>
      <c r="AH125" s="16"/>
    </row>
    <row r="126" spans="1:34" ht="23.25" customHeight="1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6"/>
      <c r="AE126" s="16"/>
      <c r="AF126" s="16"/>
      <c r="AG126" s="16"/>
      <c r="AH126" s="16"/>
    </row>
    <row r="127" spans="1:34" ht="23.25" customHeight="1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6"/>
      <c r="AE127" s="16"/>
      <c r="AF127" s="16"/>
      <c r="AG127" s="16"/>
      <c r="AH127" s="16"/>
    </row>
    <row r="128" spans="1:34" ht="23.25" customHeight="1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6"/>
      <c r="AE128" s="16"/>
      <c r="AF128" s="16"/>
      <c r="AG128" s="16"/>
      <c r="AH128" s="16"/>
    </row>
    <row r="129" spans="1:34" ht="23.25" customHeight="1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6"/>
      <c r="AE129" s="16"/>
      <c r="AF129" s="16"/>
      <c r="AG129" s="16"/>
      <c r="AH129" s="16"/>
    </row>
    <row r="130" spans="1:34" ht="23.25" customHeight="1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6"/>
      <c r="AE130" s="16"/>
      <c r="AF130" s="16"/>
      <c r="AG130" s="16"/>
      <c r="AH130" s="16"/>
    </row>
    <row r="131" spans="1:34" ht="23.25" customHeight="1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6"/>
      <c r="AE131" s="16"/>
      <c r="AF131" s="16"/>
      <c r="AG131" s="16"/>
      <c r="AH131" s="16"/>
    </row>
    <row r="132" spans="1:34" ht="23.25" customHeight="1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6"/>
      <c r="AE132" s="16"/>
      <c r="AF132" s="16"/>
      <c r="AG132" s="16"/>
      <c r="AH132" s="16"/>
    </row>
    <row r="133" spans="1:34" ht="23.25" customHeight="1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6"/>
      <c r="AE133" s="16"/>
      <c r="AF133" s="16"/>
      <c r="AG133" s="16"/>
      <c r="AH133" s="16"/>
    </row>
    <row r="134" spans="1:34" ht="23.25" customHeight="1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6"/>
      <c r="AE134" s="16"/>
      <c r="AF134" s="16"/>
      <c r="AG134" s="16"/>
      <c r="AH134" s="16"/>
    </row>
    <row r="135" spans="1:34" ht="23.25" customHeight="1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6"/>
      <c r="AE135" s="16"/>
      <c r="AF135" s="16"/>
      <c r="AG135" s="16"/>
      <c r="AH135" s="16"/>
    </row>
    <row r="136" spans="1:34" ht="23.25" customHeight="1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6"/>
      <c r="AE136" s="16"/>
      <c r="AF136" s="16"/>
      <c r="AG136" s="16"/>
      <c r="AH136" s="16"/>
    </row>
    <row r="137" spans="1:34" ht="23.25" customHeight="1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6"/>
      <c r="AE137" s="16"/>
      <c r="AF137" s="16"/>
      <c r="AG137" s="16"/>
      <c r="AH137" s="16"/>
    </row>
    <row r="138" spans="1:34" ht="23.25" customHeight="1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6"/>
      <c r="AE138" s="16"/>
      <c r="AF138" s="16"/>
      <c r="AG138" s="16"/>
      <c r="AH138" s="16"/>
    </row>
    <row r="139" spans="1:34" ht="23.25" customHeight="1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6"/>
      <c r="AE139" s="16"/>
      <c r="AF139" s="16"/>
      <c r="AG139" s="16"/>
      <c r="AH139" s="16"/>
    </row>
    <row r="140" spans="1:34" ht="23.25" customHeight="1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6"/>
      <c r="AE140" s="16"/>
      <c r="AF140" s="16"/>
      <c r="AG140" s="16"/>
      <c r="AH140" s="16"/>
    </row>
    <row r="141" spans="1:34" ht="23.25" customHeight="1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6"/>
      <c r="AE141" s="16"/>
      <c r="AF141" s="16"/>
      <c r="AG141" s="16"/>
      <c r="AH141" s="16"/>
    </row>
    <row r="142" spans="1:34" ht="23.25" customHeight="1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6"/>
      <c r="AE142" s="16"/>
      <c r="AF142" s="16"/>
      <c r="AG142" s="16"/>
      <c r="AH142" s="16"/>
    </row>
    <row r="143" spans="1:34" ht="23.25" customHeight="1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6"/>
      <c r="AE143" s="16"/>
      <c r="AF143" s="16"/>
      <c r="AG143" s="16"/>
      <c r="AH143" s="16"/>
    </row>
    <row r="144" spans="1:34" ht="23.25" customHeight="1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6"/>
      <c r="AE144" s="16"/>
      <c r="AF144" s="16"/>
      <c r="AG144" s="16"/>
      <c r="AH144" s="16"/>
    </row>
    <row r="145" spans="1:34" ht="23.25" customHeight="1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6"/>
      <c r="AE145" s="16"/>
      <c r="AF145" s="16"/>
      <c r="AG145" s="16"/>
      <c r="AH145" s="16"/>
    </row>
    <row r="146" spans="1:34" ht="23.25" customHeight="1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6"/>
      <c r="AE146" s="16"/>
      <c r="AF146" s="16"/>
      <c r="AG146" s="16"/>
      <c r="AH146" s="16"/>
    </row>
    <row r="147" spans="1:34" ht="23.25" customHeight="1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6"/>
      <c r="AE147" s="16"/>
      <c r="AF147" s="16"/>
      <c r="AG147" s="16"/>
      <c r="AH147" s="16"/>
    </row>
    <row r="148" spans="1:34" ht="23.25" customHeight="1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6"/>
      <c r="AE148" s="16"/>
      <c r="AF148" s="16"/>
      <c r="AG148" s="16"/>
      <c r="AH148" s="16"/>
    </row>
    <row r="149" spans="1:34" ht="23.25" customHeight="1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6"/>
      <c r="AE149" s="16"/>
      <c r="AF149" s="16"/>
      <c r="AG149" s="16"/>
      <c r="AH149" s="16"/>
    </row>
    <row r="150" spans="1:34" ht="23.25" customHeight="1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6"/>
      <c r="AE150" s="16"/>
      <c r="AF150" s="16"/>
      <c r="AG150" s="16"/>
      <c r="AH150" s="16"/>
    </row>
    <row r="151" spans="1:34" ht="23.25" customHeight="1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6"/>
      <c r="AE151" s="16"/>
      <c r="AF151" s="16"/>
      <c r="AG151" s="16"/>
      <c r="AH151" s="16"/>
    </row>
    <row r="152" spans="1:34" ht="23.25" customHeight="1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6"/>
      <c r="AE152" s="16"/>
      <c r="AF152" s="16"/>
      <c r="AG152" s="16"/>
      <c r="AH152" s="16"/>
    </row>
    <row r="153" spans="1:34" ht="23.25" customHeight="1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6"/>
      <c r="AE153" s="16"/>
      <c r="AF153" s="16"/>
      <c r="AG153" s="16"/>
      <c r="AH153" s="16"/>
    </row>
    <row r="154" spans="1:34" ht="23.25" customHeight="1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6"/>
      <c r="AE154" s="16"/>
      <c r="AF154" s="16"/>
      <c r="AG154" s="16"/>
      <c r="AH154" s="16"/>
    </row>
    <row r="155" spans="1:34" ht="23.25" customHeight="1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6"/>
      <c r="AE155" s="16"/>
      <c r="AF155" s="16"/>
      <c r="AG155" s="16"/>
      <c r="AH155" s="16"/>
    </row>
    <row r="156" spans="1:34" ht="23.25" customHeight="1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6"/>
      <c r="AE156" s="16"/>
      <c r="AF156" s="16"/>
      <c r="AG156" s="16"/>
      <c r="AH156" s="16"/>
    </row>
    <row r="157" spans="1:34" ht="23.25" customHeight="1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6"/>
      <c r="AE157" s="16"/>
      <c r="AF157" s="16"/>
      <c r="AG157" s="16"/>
      <c r="AH157" s="16"/>
    </row>
    <row r="158" spans="1:34" ht="23.25" customHeight="1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6"/>
      <c r="AE158" s="16"/>
      <c r="AF158" s="16"/>
      <c r="AG158" s="16"/>
      <c r="AH158" s="16"/>
    </row>
    <row r="159" spans="1:34" ht="23.25" customHeight="1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6"/>
      <c r="AE159" s="16"/>
      <c r="AF159" s="16"/>
      <c r="AG159" s="16"/>
      <c r="AH159" s="16"/>
    </row>
    <row r="160" spans="1:34" ht="23.25" customHeight="1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6"/>
      <c r="AE160" s="16"/>
      <c r="AF160" s="16"/>
      <c r="AG160" s="16"/>
      <c r="AH160" s="16"/>
    </row>
    <row r="161" spans="1:34" ht="23.25" customHeight="1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6"/>
      <c r="AE161" s="16"/>
      <c r="AF161" s="16"/>
      <c r="AG161" s="16"/>
      <c r="AH161" s="16"/>
    </row>
    <row r="162" spans="1:34" ht="23.25" customHeight="1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6"/>
      <c r="AE162" s="16"/>
      <c r="AF162" s="16"/>
      <c r="AG162" s="16"/>
      <c r="AH162" s="16"/>
    </row>
    <row r="163" spans="1:34" ht="23.25" customHeight="1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6"/>
      <c r="AE163" s="16"/>
      <c r="AF163" s="16"/>
      <c r="AG163" s="16"/>
      <c r="AH163" s="16"/>
    </row>
    <row r="164" spans="1:34" ht="23.25" customHeight="1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6"/>
      <c r="AE164" s="16"/>
      <c r="AF164" s="16"/>
      <c r="AG164" s="16"/>
      <c r="AH164" s="16"/>
    </row>
    <row r="165" spans="1:34" ht="23.25" customHeight="1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6"/>
      <c r="AE165" s="16"/>
      <c r="AF165" s="16"/>
      <c r="AG165" s="16"/>
      <c r="AH165" s="16"/>
    </row>
    <row r="166" spans="1:34" ht="23.25" customHeight="1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6"/>
      <c r="AE166" s="16"/>
      <c r="AF166" s="16"/>
      <c r="AG166" s="16"/>
      <c r="AH166" s="16"/>
    </row>
    <row r="167" spans="1:34" ht="23.25" customHeight="1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6"/>
      <c r="AE167" s="16"/>
      <c r="AF167" s="16"/>
      <c r="AG167" s="16"/>
      <c r="AH167" s="16"/>
    </row>
    <row r="168" spans="1:34" ht="23.25" customHeight="1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6"/>
      <c r="AE168" s="16"/>
      <c r="AF168" s="16"/>
      <c r="AG168" s="16"/>
      <c r="AH168" s="16"/>
    </row>
    <row r="169" spans="1:34" ht="23.25" customHeight="1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6"/>
      <c r="AE169" s="16"/>
      <c r="AF169" s="16"/>
      <c r="AG169" s="16"/>
      <c r="AH169" s="16"/>
    </row>
    <row r="170" spans="1:34" ht="23.25" customHeight="1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6"/>
      <c r="AE170" s="16"/>
      <c r="AF170" s="16"/>
      <c r="AG170" s="16"/>
      <c r="AH170" s="16"/>
    </row>
    <row r="171" spans="1:34" ht="23.25" customHeight="1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6"/>
      <c r="AE171" s="16"/>
      <c r="AF171" s="16"/>
      <c r="AG171" s="16"/>
      <c r="AH171" s="16"/>
    </row>
    <row r="172" spans="1:34" ht="23.25" customHeight="1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6"/>
      <c r="AE172" s="16"/>
      <c r="AF172" s="16"/>
      <c r="AG172" s="16"/>
      <c r="AH172" s="16"/>
    </row>
    <row r="173" spans="1:34" ht="23.25" customHeight="1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6"/>
      <c r="AE173" s="16"/>
      <c r="AF173" s="16"/>
      <c r="AG173" s="16"/>
      <c r="AH173" s="16"/>
    </row>
    <row r="174" spans="1:34" ht="23.25" customHeight="1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6"/>
      <c r="AE174" s="16"/>
      <c r="AF174" s="16"/>
      <c r="AG174" s="16"/>
      <c r="AH174" s="16"/>
    </row>
    <row r="175" spans="1:34" ht="23.25" customHeight="1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6"/>
      <c r="AE175" s="16"/>
      <c r="AF175" s="16"/>
      <c r="AG175" s="16"/>
      <c r="AH175" s="16"/>
    </row>
    <row r="176" spans="1:34" ht="23.25" customHeight="1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6"/>
      <c r="AE176" s="16"/>
      <c r="AF176" s="16"/>
      <c r="AG176" s="16"/>
      <c r="AH176" s="16"/>
    </row>
    <row r="177" spans="1:34" ht="23.25" customHeight="1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6"/>
      <c r="AE177" s="16"/>
      <c r="AF177" s="16"/>
      <c r="AG177" s="16"/>
      <c r="AH177" s="16"/>
    </row>
    <row r="178" spans="1:34" ht="23.25" customHeight="1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6"/>
      <c r="AE178" s="16"/>
      <c r="AF178" s="16"/>
      <c r="AG178" s="16"/>
      <c r="AH178" s="16"/>
    </row>
    <row r="179" spans="1:34" ht="23.25" customHeight="1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6"/>
      <c r="AE179" s="16"/>
      <c r="AF179" s="16"/>
      <c r="AG179" s="16"/>
      <c r="AH179" s="16"/>
    </row>
    <row r="180" spans="1:34" ht="23.25" customHeight="1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6"/>
      <c r="AE180" s="16"/>
      <c r="AF180" s="16"/>
      <c r="AG180" s="16"/>
      <c r="AH180" s="16"/>
    </row>
    <row r="181" spans="1:34" ht="23.25" customHeight="1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6"/>
      <c r="AE181" s="16"/>
      <c r="AF181" s="16"/>
      <c r="AG181" s="16"/>
      <c r="AH181" s="16"/>
    </row>
    <row r="182" spans="1:34" ht="23.25" customHeight="1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6"/>
      <c r="AE182" s="16"/>
      <c r="AF182" s="16"/>
      <c r="AG182" s="16"/>
      <c r="AH182" s="16"/>
    </row>
    <row r="183" spans="1:34" ht="23.25" customHeight="1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6"/>
      <c r="AE183" s="16"/>
      <c r="AF183" s="16"/>
      <c r="AG183" s="16"/>
      <c r="AH183" s="16"/>
    </row>
    <row r="184" spans="1:34" ht="23.25" customHeight="1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6"/>
      <c r="AE184" s="16"/>
      <c r="AF184" s="16"/>
      <c r="AG184" s="16"/>
      <c r="AH184" s="16"/>
    </row>
    <row r="185" spans="1:34" ht="23.25" customHeight="1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6"/>
      <c r="AE185" s="16"/>
      <c r="AF185" s="16"/>
      <c r="AG185" s="16"/>
      <c r="AH185" s="16"/>
    </row>
    <row r="186" spans="1:34" ht="23.25" customHeight="1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6"/>
      <c r="AE186" s="16"/>
      <c r="AF186" s="16"/>
      <c r="AG186" s="16"/>
      <c r="AH186" s="16"/>
    </row>
    <row r="187" spans="1:34" ht="23.25" customHeight="1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6"/>
      <c r="AE187" s="16"/>
      <c r="AF187" s="16"/>
      <c r="AG187" s="16"/>
      <c r="AH187" s="16"/>
    </row>
    <row r="188" spans="1:34" ht="23.25" customHeight="1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6"/>
      <c r="AE188" s="16"/>
      <c r="AF188" s="16"/>
      <c r="AG188" s="16"/>
      <c r="AH188" s="16"/>
    </row>
    <row r="189" spans="1:34" ht="23.25" customHeight="1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6"/>
      <c r="AE189" s="16"/>
      <c r="AF189" s="16"/>
      <c r="AG189" s="16"/>
      <c r="AH189" s="16"/>
    </row>
    <row r="190" spans="1:34" ht="23.25" customHeight="1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6"/>
      <c r="AE190" s="16"/>
      <c r="AF190" s="16"/>
      <c r="AG190" s="16"/>
      <c r="AH190" s="16"/>
    </row>
    <row r="191" spans="1:34" ht="23.25" customHeight="1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6"/>
      <c r="AE191" s="16"/>
      <c r="AF191" s="16"/>
      <c r="AG191" s="16"/>
      <c r="AH191" s="16"/>
    </row>
    <row r="192" spans="1:34" ht="23.25" customHeight="1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6"/>
      <c r="AE192" s="16"/>
      <c r="AF192" s="16"/>
      <c r="AG192" s="16"/>
      <c r="AH192" s="16"/>
    </row>
    <row r="193" spans="1:34" ht="23.25" customHeight="1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6"/>
      <c r="AE193" s="16"/>
      <c r="AF193" s="16"/>
      <c r="AG193" s="16"/>
      <c r="AH193" s="16"/>
    </row>
    <row r="194" spans="1:34" ht="23.25" customHeight="1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6"/>
      <c r="AE194" s="16"/>
      <c r="AF194" s="16"/>
      <c r="AG194" s="16"/>
      <c r="AH194" s="16"/>
    </row>
    <row r="195" spans="1:34" ht="23.25" customHeight="1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6"/>
      <c r="AE195" s="16"/>
      <c r="AF195" s="16"/>
      <c r="AG195" s="16"/>
      <c r="AH195" s="16"/>
    </row>
    <row r="196" spans="1:34" ht="23.25" customHeight="1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6"/>
      <c r="AE196" s="16"/>
      <c r="AF196" s="16"/>
      <c r="AG196" s="16"/>
      <c r="AH196" s="16"/>
    </row>
    <row r="197" spans="1:34" ht="23.25" customHeight="1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6"/>
      <c r="AE197" s="16"/>
      <c r="AF197" s="16"/>
      <c r="AG197" s="16"/>
      <c r="AH197" s="16"/>
    </row>
    <row r="198" spans="1:34" ht="23.25" customHeight="1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6"/>
      <c r="AE198" s="16"/>
      <c r="AF198" s="16"/>
      <c r="AG198" s="16"/>
      <c r="AH198" s="16"/>
    </row>
    <row r="199" spans="1:34" ht="23.25" customHeight="1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6"/>
      <c r="AE199" s="16"/>
      <c r="AF199" s="16"/>
      <c r="AG199" s="16"/>
      <c r="AH199" s="16"/>
    </row>
    <row r="200" spans="1:34" ht="23.25" customHeight="1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6"/>
      <c r="AE200" s="16"/>
      <c r="AF200" s="16"/>
      <c r="AG200" s="16"/>
      <c r="AH200" s="16"/>
    </row>
    <row r="201" spans="1:34" ht="23.25" customHeight="1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6"/>
      <c r="AE201" s="16"/>
      <c r="AF201" s="16"/>
      <c r="AG201" s="16"/>
      <c r="AH201" s="16"/>
    </row>
    <row r="202" spans="1:34" ht="23.25" customHeight="1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6"/>
      <c r="AE202" s="16"/>
      <c r="AF202" s="16"/>
      <c r="AG202" s="16"/>
      <c r="AH202" s="16"/>
    </row>
    <row r="203" spans="1:34" ht="23.25" customHeight="1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6"/>
      <c r="AE203" s="16"/>
      <c r="AF203" s="16"/>
      <c r="AG203" s="16"/>
      <c r="AH203" s="16"/>
    </row>
    <row r="204" spans="1:34" ht="23.25" customHeight="1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6"/>
      <c r="AE204" s="16"/>
      <c r="AF204" s="16"/>
      <c r="AG204" s="16"/>
      <c r="AH204" s="16"/>
    </row>
    <row r="205" spans="1:34" ht="23.25" customHeight="1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6"/>
      <c r="AE205" s="16"/>
      <c r="AF205" s="16"/>
      <c r="AG205" s="16"/>
      <c r="AH205" s="16"/>
    </row>
    <row r="206" spans="1:34" ht="23.25" customHeight="1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6"/>
      <c r="AE206" s="16"/>
      <c r="AF206" s="16"/>
      <c r="AG206" s="16"/>
      <c r="AH206" s="16"/>
    </row>
    <row r="207" spans="1:34" ht="23.25" customHeight="1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6"/>
      <c r="AE207" s="16"/>
      <c r="AF207" s="16"/>
      <c r="AG207" s="16"/>
      <c r="AH207" s="16"/>
    </row>
    <row r="208" spans="1:34" ht="23.25" customHeight="1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6"/>
      <c r="AE208" s="16"/>
      <c r="AF208" s="16"/>
      <c r="AG208" s="16"/>
      <c r="AH208" s="16"/>
    </row>
    <row r="209" spans="1:34" ht="23.25" customHeight="1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6"/>
      <c r="AE209" s="16"/>
      <c r="AF209" s="16"/>
      <c r="AG209" s="16"/>
      <c r="AH209" s="16"/>
    </row>
    <row r="210" spans="1:34" ht="23.25" customHeight="1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6"/>
      <c r="AE210" s="16"/>
      <c r="AF210" s="16"/>
      <c r="AG210" s="16"/>
      <c r="AH210" s="16"/>
    </row>
    <row r="211" spans="1:34" ht="23.25" customHeight="1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6"/>
      <c r="AE211" s="16"/>
      <c r="AF211" s="16"/>
      <c r="AG211" s="16"/>
      <c r="AH211" s="16"/>
    </row>
    <row r="212" spans="1:34" ht="23.25" customHeight="1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6"/>
      <c r="AE212" s="16"/>
      <c r="AF212" s="16"/>
      <c r="AG212" s="16"/>
      <c r="AH212" s="16"/>
    </row>
    <row r="213" spans="1:34" ht="23.25" customHeight="1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6"/>
      <c r="AE213" s="16"/>
      <c r="AF213" s="16"/>
      <c r="AG213" s="16"/>
      <c r="AH213" s="16"/>
    </row>
    <row r="214" spans="1:34" ht="23.25" customHeight="1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6"/>
      <c r="AE214" s="16"/>
      <c r="AF214" s="16"/>
      <c r="AG214" s="16"/>
      <c r="AH214" s="16"/>
    </row>
    <row r="215" spans="1:34" ht="23.25" customHeight="1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6"/>
      <c r="AE215" s="16"/>
      <c r="AF215" s="16"/>
      <c r="AG215" s="16"/>
      <c r="AH215" s="16"/>
    </row>
    <row r="216" spans="1:34" ht="23.25" customHeight="1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6"/>
      <c r="AE216" s="16"/>
      <c r="AF216" s="16"/>
      <c r="AG216" s="16"/>
      <c r="AH216" s="16"/>
    </row>
    <row r="217" spans="1:34" ht="23.25" customHeight="1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6"/>
      <c r="AE217" s="16"/>
      <c r="AF217" s="16"/>
      <c r="AG217" s="16"/>
      <c r="AH217" s="16"/>
    </row>
    <row r="218" spans="1:34" ht="23.25" customHeight="1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6"/>
      <c r="AE218" s="16"/>
      <c r="AF218" s="16"/>
      <c r="AG218" s="16"/>
      <c r="AH218" s="16"/>
    </row>
    <row r="219" spans="1:34" ht="23.25" customHeight="1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6"/>
      <c r="AE219" s="16"/>
      <c r="AF219" s="16"/>
      <c r="AG219" s="16"/>
      <c r="AH219" s="16"/>
    </row>
    <row r="220" spans="1:34" ht="23.25" customHeight="1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6"/>
      <c r="AE220" s="16"/>
      <c r="AF220" s="16"/>
      <c r="AG220" s="16"/>
      <c r="AH220" s="16"/>
    </row>
    <row r="221" spans="1:34" ht="23.25" customHeight="1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6"/>
      <c r="AE221" s="16"/>
      <c r="AF221" s="16"/>
      <c r="AG221" s="16"/>
      <c r="AH221" s="16"/>
    </row>
    <row r="222" spans="1:34" ht="23.25" customHeight="1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6"/>
      <c r="AE222" s="16"/>
      <c r="AF222" s="16"/>
      <c r="AG222" s="16"/>
      <c r="AH222" s="16"/>
    </row>
    <row r="223" spans="1:34" ht="23.25" customHeight="1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6"/>
      <c r="AE223" s="16"/>
      <c r="AF223" s="16"/>
      <c r="AG223" s="16"/>
      <c r="AH223" s="16"/>
    </row>
    <row r="224" spans="1:34" ht="23.25" customHeight="1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6"/>
      <c r="AE224" s="16"/>
      <c r="AF224" s="16"/>
      <c r="AG224" s="16"/>
      <c r="AH224" s="16"/>
    </row>
    <row r="225" spans="1:34" ht="23.25" customHeight="1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6"/>
      <c r="AE225" s="16"/>
      <c r="AF225" s="16"/>
      <c r="AG225" s="16"/>
      <c r="AH225" s="16"/>
    </row>
    <row r="226" spans="1:34" ht="23.25" customHeight="1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6"/>
      <c r="AE226" s="16"/>
      <c r="AF226" s="16"/>
      <c r="AG226" s="16"/>
      <c r="AH226" s="16"/>
    </row>
    <row r="227" spans="1:34" ht="23.25" customHeight="1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6"/>
      <c r="AE227" s="16"/>
      <c r="AF227" s="16"/>
      <c r="AG227" s="16"/>
      <c r="AH227" s="16"/>
    </row>
    <row r="228" spans="1:34" ht="23.25" customHeight="1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6"/>
      <c r="AE228" s="16"/>
      <c r="AF228" s="16"/>
      <c r="AG228" s="16"/>
      <c r="AH228" s="16"/>
    </row>
    <row r="229" spans="1:34" ht="23.25" customHeight="1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6"/>
      <c r="AE229" s="16"/>
      <c r="AF229" s="16"/>
      <c r="AG229" s="16"/>
      <c r="AH229" s="16"/>
    </row>
    <row r="230" spans="1:34" ht="23.25" customHeight="1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6"/>
      <c r="AE230" s="16"/>
      <c r="AF230" s="16"/>
      <c r="AG230" s="16"/>
      <c r="AH230" s="16"/>
    </row>
    <row r="231" spans="1:34" ht="23.25" customHeight="1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6"/>
      <c r="AE231" s="16"/>
      <c r="AF231" s="16"/>
      <c r="AG231" s="16"/>
      <c r="AH231" s="16"/>
    </row>
    <row r="232" spans="1:34" ht="23.25" customHeight="1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6"/>
      <c r="AE232" s="16"/>
      <c r="AF232" s="16"/>
      <c r="AG232" s="16"/>
      <c r="AH232" s="16"/>
    </row>
    <row r="233" spans="1:34" ht="23.25" customHeight="1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6"/>
      <c r="AE233" s="16"/>
      <c r="AF233" s="16"/>
      <c r="AG233" s="16"/>
      <c r="AH233" s="16"/>
    </row>
    <row r="234" spans="1:34" ht="23.25" customHeight="1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6"/>
      <c r="AE234" s="16"/>
      <c r="AF234" s="16"/>
      <c r="AG234" s="16"/>
      <c r="AH234" s="16"/>
    </row>
    <row r="235" spans="1:34" ht="23.25" customHeight="1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6"/>
      <c r="AE235" s="16"/>
      <c r="AF235" s="16"/>
      <c r="AG235" s="16"/>
      <c r="AH235" s="16"/>
    </row>
    <row r="236" spans="1:34" ht="23.25" customHeight="1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6"/>
      <c r="AE236" s="16"/>
      <c r="AF236" s="16"/>
      <c r="AG236" s="16"/>
      <c r="AH236" s="16"/>
    </row>
    <row r="237" spans="1:34" ht="23.25" customHeight="1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6"/>
      <c r="AE237" s="16"/>
      <c r="AF237" s="16"/>
      <c r="AG237" s="16"/>
      <c r="AH237" s="16"/>
    </row>
    <row r="238" spans="1:34" ht="23.25" customHeight="1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6"/>
      <c r="AE238" s="16"/>
      <c r="AF238" s="16"/>
      <c r="AG238" s="16"/>
      <c r="AH238" s="16"/>
    </row>
    <row r="239" spans="1:34" ht="23.25" customHeight="1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6"/>
      <c r="AE239" s="16"/>
      <c r="AF239" s="16"/>
      <c r="AG239" s="16"/>
      <c r="AH239" s="16"/>
    </row>
    <row r="240" spans="1:34" ht="23.25" customHeight="1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6"/>
      <c r="AE240" s="16"/>
      <c r="AF240" s="16"/>
      <c r="AG240" s="16"/>
      <c r="AH240" s="16"/>
    </row>
    <row r="241" spans="1:34" ht="23.25" customHeight="1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6"/>
      <c r="AE241" s="16"/>
      <c r="AF241" s="16"/>
      <c r="AG241" s="16"/>
      <c r="AH241" s="16"/>
    </row>
    <row r="242" spans="1:34" ht="23.25" customHeight="1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6"/>
      <c r="AE242" s="16"/>
      <c r="AF242" s="16"/>
      <c r="AG242" s="16"/>
      <c r="AH242" s="16"/>
    </row>
    <row r="243" spans="1:34" ht="23.25" customHeight="1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6"/>
      <c r="AE243" s="16"/>
      <c r="AF243" s="16"/>
      <c r="AG243" s="16"/>
      <c r="AH243" s="16"/>
    </row>
    <row r="244" spans="1:34" ht="23.25" customHeight="1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6"/>
      <c r="AE244" s="16"/>
      <c r="AF244" s="16"/>
      <c r="AG244" s="16"/>
      <c r="AH244" s="16"/>
    </row>
    <row r="245" spans="1:34" ht="23.25" customHeight="1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6"/>
      <c r="AE245" s="16"/>
      <c r="AF245" s="16"/>
      <c r="AG245" s="16"/>
      <c r="AH245" s="16"/>
    </row>
    <row r="246" spans="1:34" ht="23.25" customHeight="1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6"/>
      <c r="AE246" s="16"/>
      <c r="AF246" s="16"/>
      <c r="AG246" s="16"/>
      <c r="AH246" s="16"/>
    </row>
    <row r="247" spans="1:34" ht="23.25" customHeight="1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6"/>
      <c r="AE247" s="16"/>
      <c r="AF247" s="16"/>
      <c r="AG247" s="16"/>
      <c r="AH247" s="16"/>
    </row>
    <row r="248" spans="1:34" ht="23.25" customHeight="1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6"/>
      <c r="AE248" s="16"/>
      <c r="AF248" s="16"/>
      <c r="AG248" s="16"/>
      <c r="AH248" s="16"/>
    </row>
    <row r="249" spans="1:34" ht="23.25" customHeight="1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6"/>
      <c r="AE249" s="16"/>
      <c r="AF249" s="16"/>
      <c r="AG249" s="16"/>
      <c r="AH249" s="16"/>
    </row>
    <row r="250" spans="1:34" ht="23.25" customHeight="1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6"/>
      <c r="AE250" s="16"/>
      <c r="AF250" s="16"/>
      <c r="AG250" s="16"/>
      <c r="AH250" s="16"/>
    </row>
    <row r="251" spans="1:34" ht="23.25" customHeight="1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6"/>
      <c r="AE251" s="16"/>
      <c r="AF251" s="16"/>
      <c r="AG251" s="16"/>
      <c r="AH251" s="16"/>
    </row>
    <row r="252" spans="1:34" ht="23.25" customHeight="1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6"/>
      <c r="AE252" s="16"/>
      <c r="AF252" s="16"/>
      <c r="AG252" s="16"/>
      <c r="AH252" s="16"/>
    </row>
    <row r="253" spans="1:34" ht="23.25" customHeight="1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6"/>
      <c r="AE253" s="16"/>
      <c r="AF253" s="16"/>
      <c r="AG253" s="16"/>
      <c r="AH253" s="16"/>
    </row>
    <row r="254" spans="1:34" ht="23.25" customHeight="1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6"/>
      <c r="AE254" s="16"/>
      <c r="AF254" s="16"/>
      <c r="AG254" s="16"/>
      <c r="AH254" s="16"/>
    </row>
    <row r="255" spans="1:34" ht="23.25" customHeight="1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6"/>
      <c r="AE255" s="16"/>
      <c r="AF255" s="16"/>
      <c r="AG255" s="16"/>
      <c r="AH255" s="16"/>
    </row>
    <row r="256" spans="1:34" ht="23.25" customHeight="1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6"/>
      <c r="AE256" s="16"/>
      <c r="AF256" s="16"/>
      <c r="AG256" s="16"/>
      <c r="AH256" s="16"/>
    </row>
    <row r="257" spans="1:34" ht="23.25" customHeight="1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6"/>
      <c r="AE257" s="16"/>
      <c r="AF257" s="16"/>
      <c r="AG257" s="16"/>
      <c r="AH257" s="16"/>
    </row>
    <row r="258" spans="1:34" ht="23.25" customHeight="1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6"/>
      <c r="AE258" s="16"/>
      <c r="AF258" s="16"/>
      <c r="AG258" s="16"/>
      <c r="AH258" s="16"/>
    </row>
    <row r="259" spans="1:34" ht="23.25" customHeight="1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6"/>
      <c r="AE259" s="16"/>
      <c r="AF259" s="16"/>
      <c r="AG259" s="16"/>
      <c r="AH259" s="16"/>
    </row>
    <row r="260" spans="1:34" ht="23.25" customHeight="1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6"/>
      <c r="AE260" s="16"/>
      <c r="AF260" s="16"/>
      <c r="AG260" s="16"/>
      <c r="AH260" s="16"/>
    </row>
    <row r="261" spans="1:34" ht="23.25" customHeight="1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6"/>
      <c r="AE261" s="16"/>
      <c r="AF261" s="16"/>
      <c r="AG261" s="16"/>
      <c r="AH261" s="16"/>
    </row>
    <row r="262" spans="1:34" ht="23.25" customHeight="1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6"/>
      <c r="AE262" s="16"/>
      <c r="AF262" s="16"/>
      <c r="AG262" s="16"/>
      <c r="AH262" s="16"/>
    </row>
    <row r="263" spans="1:34" ht="23.25" customHeight="1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6"/>
      <c r="AE263" s="16"/>
      <c r="AF263" s="16"/>
      <c r="AG263" s="16"/>
      <c r="AH263" s="16"/>
    </row>
    <row r="264" spans="1:34" ht="23.25" customHeight="1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6"/>
      <c r="AE264" s="16"/>
      <c r="AF264" s="16"/>
      <c r="AG264" s="16"/>
      <c r="AH264" s="16"/>
    </row>
    <row r="265" spans="1:34" ht="23.25" customHeight="1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6"/>
      <c r="AE265" s="16"/>
      <c r="AF265" s="16"/>
      <c r="AG265" s="16"/>
      <c r="AH265" s="16"/>
    </row>
    <row r="266" spans="1:34" ht="23.25" customHeight="1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6"/>
      <c r="AE266" s="16"/>
      <c r="AF266" s="16"/>
      <c r="AG266" s="16"/>
      <c r="AH266" s="16"/>
    </row>
    <row r="267" spans="1:34" ht="23.25" customHeight="1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6"/>
      <c r="AE267" s="16"/>
      <c r="AF267" s="16"/>
      <c r="AG267" s="16"/>
      <c r="AH267" s="16"/>
    </row>
    <row r="268" spans="1:34" ht="23.25" customHeight="1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6"/>
      <c r="AE268" s="16"/>
      <c r="AF268" s="16"/>
      <c r="AG268" s="16"/>
      <c r="AH268" s="16"/>
    </row>
    <row r="269" spans="1:34" ht="23.25" customHeight="1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6"/>
      <c r="AE269" s="16"/>
      <c r="AF269" s="16"/>
      <c r="AG269" s="16"/>
      <c r="AH269" s="16"/>
    </row>
    <row r="270" spans="1:34" ht="23.25" customHeight="1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6"/>
      <c r="AE270" s="16"/>
      <c r="AF270" s="16"/>
      <c r="AG270" s="16"/>
      <c r="AH270" s="16"/>
    </row>
    <row r="271" spans="1:34" ht="23.25" customHeight="1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6"/>
      <c r="AE271" s="16"/>
      <c r="AF271" s="16"/>
      <c r="AG271" s="16"/>
      <c r="AH271" s="16"/>
    </row>
    <row r="272" spans="1:34" ht="23.25" customHeight="1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6"/>
      <c r="AE272" s="16"/>
      <c r="AF272" s="16"/>
      <c r="AG272" s="16"/>
      <c r="AH272" s="16"/>
    </row>
    <row r="273" spans="1:34" ht="23.25" customHeight="1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6"/>
      <c r="AE273" s="16"/>
      <c r="AF273" s="16"/>
      <c r="AG273" s="16"/>
      <c r="AH273" s="16"/>
    </row>
    <row r="274" spans="1:34" ht="23.25" customHeight="1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6"/>
      <c r="AE274" s="16"/>
      <c r="AF274" s="16"/>
      <c r="AG274" s="16"/>
      <c r="AH274" s="16"/>
    </row>
    <row r="275" spans="1:34" ht="23.25" customHeight="1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6"/>
      <c r="AE275" s="16"/>
      <c r="AF275" s="16"/>
      <c r="AG275" s="16"/>
      <c r="AH275" s="16"/>
    </row>
    <row r="276" spans="1:34" ht="23.25" customHeight="1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6"/>
      <c r="AE276" s="16"/>
      <c r="AF276" s="16"/>
      <c r="AG276" s="16"/>
      <c r="AH276" s="16"/>
    </row>
    <row r="277" spans="1:34" ht="23.25" customHeight="1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6"/>
      <c r="AE277" s="16"/>
      <c r="AF277" s="16"/>
      <c r="AG277" s="16"/>
      <c r="AH277" s="16"/>
    </row>
    <row r="278" spans="1:34" ht="23.25" customHeight="1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6"/>
      <c r="AE278" s="16"/>
      <c r="AF278" s="16"/>
      <c r="AG278" s="16"/>
      <c r="AH278" s="16"/>
    </row>
    <row r="279" spans="1:34" ht="23.25" customHeight="1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6"/>
      <c r="AE279" s="16"/>
      <c r="AF279" s="16"/>
      <c r="AG279" s="16"/>
      <c r="AH279" s="16"/>
    </row>
    <row r="280" spans="1:34" ht="23.25" customHeight="1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6"/>
      <c r="AE280" s="16"/>
      <c r="AF280" s="16"/>
      <c r="AG280" s="16"/>
      <c r="AH280" s="16"/>
    </row>
    <row r="281" spans="1:34" ht="23.25" customHeight="1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6"/>
      <c r="AE281" s="16"/>
      <c r="AF281" s="16"/>
      <c r="AG281" s="16"/>
      <c r="AH281" s="16"/>
    </row>
    <row r="282" spans="1:34" ht="23.25" customHeight="1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6"/>
      <c r="AE282" s="16"/>
      <c r="AF282" s="16"/>
      <c r="AG282" s="16"/>
      <c r="AH282" s="16"/>
    </row>
    <row r="283" spans="1:34" ht="23.25" customHeight="1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6"/>
      <c r="AE283" s="16"/>
      <c r="AF283" s="16"/>
      <c r="AG283" s="16"/>
      <c r="AH283" s="16"/>
    </row>
    <row r="284" spans="1:34" ht="23.25" customHeight="1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6"/>
      <c r="AE284" s="16"/>
      <c r="AF284" s="16"/>
      <c r="AG284" s="16"/>
      <c r="AH284" s="16"/>
    </row>
    <row r="285" spans="1:34" ht="23.25" customHeight="1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6"/>
      <c r="AE285" s="16"/>
      <c r="AF285" s="16"/>
      <c r="AG285" s="16"/>
      <c r="AH285" s="16"/>
    </row>
    <row r="286" spans="1:34" ht="23.25" customHeight="1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6"/>
      <c r="AE286" s="16"/>
      <c r="AF286" s="16"/>
      <c r="AG286" s="16"/>
      <c r="AH286" s="16"/>
    </row>
    <row r="287" spans="1:34" ht="23.25" customHeight="1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6"/>
      <c r="AE287" s="16"/>
      <c r="AF287" s="16"/>
      <c r="AG287" s="16"/>
      <c r="AH287" s="16"/>
    </row>
    <row r="288" spans="1:34" ht="23.25" customHeight="1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6"/>
      <c r="AE288" s="16"/>
      <c r="AF288" s="16"/>
      <c r="AG288" s="16"/>
      <c r="AH288" s="16"/>
    </row>
    <row r="289" spans="1:34" ht="23.25" customHeight="1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6"/>
      <c r="AE289" s="16"/>
      <c r="AF289" s="16"/>
      <c r="AG289" s="16"/>
      <c r="AH289" s="16"/>
    </row>
    <row r="290" spans="1:34" ht="23.25" customHeight="1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6"/>
      <c r="AE290" s="16"/>
      <c r="AF290" s="16"/>
      <c r="AG290" s="16"/>
      <c r="AH290" s="16"/>
    </row>
    <row r="291" spans="1:34" ht="23.25" customHeight="1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6"/>
      <c r="AE291" s="16"/>
      <c r="AF291" s="16"/>
      <c r="AG291" s="16"/>
      <c r="AH291" s="16"/>
    </row>
    <row r="292" spans="1:34" ht="23.25" customHeight="1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6"/>
      <c r="AE292" s="16"/>
      <c r="AF292" s="16"/>
      <c r="AG292" s="16"/>
      <c r="AH292" s="16"/>
    </row>
    <row r="293" spans="1:34" ht="23.25" customHeight="1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6"/>
      <c r="AE293" s="16"/>
      <c r="AF293" s="16"/>
      <c r="AG293" s="16"/>
      <c r="AH293" s="16"/>
    </row>
    <row r="294" spans="1:34" ht="23.25" customHeight="1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6"/>
      <c r="AE294" s="16"/>
      <c r="AF294" s="16"/>
      <c r="AG294" s="16"/>
      <c r="AH294" s="16"/>
    </row>
    <row r="295" spans="1:34" ht="23.25" customHeight="1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6"/>
      <c r="AE295" s="16"/>
      <c r="AF295" s="16"/>
      <c r="AG295" s="16"/>
      <c r="AH295" s="16"/>
    </row>
    <row r="296" spans="1:34" ht="23.25" customHeight="1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6"/>
      <c r="AE296" s="16"/>
      <c r="AF296" s="16"/>
      <c r="AG296" s="16"/>
      <c r="AH296" s="16"/>
    </row>
    <row r="297" spans="1:34" ht="23.25" customHeight="1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6"/>
      <c r="AE297" s="16"/>
      <c r="AF297" s="16"/>
      <c r="AG297" s="16"/>
      <c r="AH297" s="16"/>
    </row>
    <row r="298" spans="1:34" ht="23.25" customHeight="1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6"/>
      <c r="AE298" s="16"/>
      <c r="AF298" s="16"/>
      <c r="AG298" s="16"/>
      <c r="AH298" s="16"/>
    </row>
    <row r="299" spans="1:34" ht="23.25" customHeight="1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6"/>
      <c r="AE299" s="16"/>
      <c r="AF299" s="16"/>
      <c r="AG299" s="16"/>
      <c r="AH299" s="16"/>
    </row>
    <row r="300" spans="1:34" ht="23.25" customHeight="1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6"/>
      <c r="AE300" s="16"/>
      <c r="AF300" s="16"/>
      <c r="AG300" s="16"/>
      <c r="AH300" s="16"/>
    </row>
    <row r="301" spans="1:34" ht="23.25" customHeight="1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6"/>
      <c r="AE301" s="16"/>
      <c r="AF301" s="16"/>
      <c r="AG301" s="16"/>
      <c r="AH301" s="16"/>
    </row>
    <row r="302" spans="1:34" ht="23.25" customHeight="1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6"/>
      <c r="AE302" s="16"/>
      <c r="AF302" s="16"/>
      <c r="AG302" s="16"/>
      <c r="AH302" s="16"/>
    </row>
    <row r="303" spans="1:34" ht="23.25" customHeight="1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6"/>
      <c r="AE303" s="16"/>
      <c r="AF303" s="16"/>
      <c r="AG303" s="16"/>
      <c r="AH303" s="16"/>
    </row>
    <row r="304" spans="1:34" ht="23.25" customHeight="1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6"/>
      <c r="AE304" s="16"/>
      <c r="AF304" s="16"/>
      <c r="AG304" s="16"/>
      <c r="AH304" s="16"/>
    </row>
    <row r="305" spans="1:34" ht="23.25" customHeight="1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6"/>
      <c r="AE305" s="16"/>
      <c r="AF305" s="16"/>
      <c r="AG305" s="16"/>
      <c r="AH305" s="16"/>
    </row>
    <row r="306" spans="1:34" ht="23.25" customHeight="1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6"/>
      <c r="AE306" s="16"/>
      <c r="AF306" s="16"/>
      <c r="AG306" s="16"/>
      <c r="AH306" s="16"/>
    </row>
    <row r="307" spans="1:34" ht="23.25" customHeight="1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6"/>
      <c r="AE307" s="16"/>
      <c r="AF307" s="16"/>
      <c r="AG307" s="16"/>
      <c r="AH307" s="16"/>
    </row>
    <row r="308" spans="1:34" ht="23.25" customHeight="1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6"/>
      <c r="AE308" s="16"/>
      <c r="AF308" s="16"/>
      <c r="AG308" s="16"/>
      <c r="AH308" s="16"/>
    </row>
    <row r="309" spans="1:34" ht="23.25" customHeight="1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6"/>
      <c r="AE309" s="16"/>
      <c r="AF309" s="16"/>
      <c r="AG309" s="16"/>
      <c r="AH309" s="16"/>
    </row>
    <row r="310" spans="1:34" ht="23.25" customHeight="1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6"/>
      <c r="AE310" s="16"/>
      <c r="AF310" s="16"/>
      <c r="AG310" s="16"/>
      <c r="AH310" s="16"/>
    </row>
    <row r="311" spans="1:34" ht="23.25" customHeight="1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6"/>
      <c r="AE311" s="16"/>
      <c r="AF311" s="16"/>
      <c r="AG311" s="16"/>
      <c r="AH311" s="16"/>
    </row>
    <row r="312" spans="1:34" ht="23.25" customHeight="1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6"/>
      <c r="AE312" s="16"/>
      <c r="AF312" s="16"/>
      <c r="AG312" s="16"/>
      <c r="AH312" s="16"/>
    </row>
    <row r="313" spans="1:34" ht="23.25" customHeight="1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6"/>
      <c r="AE313" s="16"/>
      <c r="AF313" s="16"/>
      <c r="AG313" s="16"/>
      <c r="AH313" s="16"/>
    </row>
    <row r="314" spans="1:34" ht="23.25" customHeight="1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6"/>
      <c r="AE314" s="16"/>
      <c r="AF314" s="16"/>
      <c r="AG314" s="16"/>
      <c r="AH314" s="16"/>
    </row>
    <row r="315" spans="1:34" ht="23.25" customHeight="1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6"/>
      <c r="AE315" s="16"/>
      <c r="AF315" s="16"/>
      <c r="AG315" s="16"/>
      <c r="AH315" s="16"/>
    </row>
    <row r="316" spans="1:34" ht="23.25" customHeight="1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6"/>
      <c r="AE316" s="16"/>
      <c r="AF316" s="16"/>
      <c r="AG316" s="16"/>
      <c r="AH316" s="16"/>
    </row>
    <row r="317" spans="1:34" ht="23.25" customHeight="1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6"/>
      <c r="AE317" s="16"/>
      <c r="AF317" s="16"/>
      <c r="AG317" s="16"/>
      <c r="AH317" s="16"/>
    </row>
    <row r="318" spans="1:34" ht="23.25" customHeight="1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6"/>
      <c r="AE318" s="16"/>
      <c r="AF318" s="16"/>
      <c r="AG318" s="16"/>
      <c r="AH318" s="16"/>
    </row>
    <row r="319" spans="1:34" ht="23.25" customHeight="1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6"/>
      <c r="AE319" s="16"/>
      <c r="AF319" s="16"/>
      <c r="AG319" s="16"/>
      <c r="AH319" s="16"/>
    </row>
    <row r="320" spans="1:34" ht="23.25" customHeight="1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6"/>
      <c r="AE320" s="16"/>
      <c r="AF320" s="16"/>
      <c r="AG320" s="16"/>
      <c r="AH320" s="16"/>
    </row>
    <row r="321" spans="1:34" ht="23.25" customHeight="1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6"/>
      <c r="AE321" s="16"/>
      <c r="AF321" s="16"/>
      <c r="AG321" s="16"/>
      <c r="AH321" s="16"/>
    </row>
    <row r="322" spans="1:34" ht="23.25" customHeight="1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6"/>
      <c r="AE322" s="16"/>
      <c r="AF322" s="16"/>
      <c r="AG322" s="16"/>
      <c r="AH322" s="16"/>
    </row>
    <row r="323" spans="1:34" ht="23.25" customHeight="1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6"/>
      <c r="AE323" s="16"/>
      <c r="AF323" s="16"/>
      <c r="AG323" s="16"/>
      <c r="AH323" s="16"/>
    </row>
    <row r="324" spans="1:34" ht="23.25" customHeight="1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6"/>
      <c r="AE324" s="16"/>
      <c r="AF324" s="16"/>
      <c r="AG324" s="16"/>
      <c r="AH324" s="16"/>
    </row>
    <row r="325" spans="1:34" ht="23.25" customHeight="1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6"/>
      <c r="AE325" s="16"/>
      <c r="AF325" s="16"/>
      <c r="AG325" s="16"/>
      <c r="AH325" s="16"/>
    </row>
    <row r="326" spans="1:34" ht="23.25" customHeight="1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6"/>
      <c r="AE326" s="16"/>
      <c r="AF326" s="16"/>
      <c r="AG326" s="16"/>
      <c r="AH326" s="16"/>
    </row>
    <row r="327" spans="1:34" ht="23.25" customHeight="1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6"/>
      <c r="AE327" s="16"/>
      <c r="AF327" s="16"/>
      <c r="AG327" s="16"/>
      <c r="AH327" s="16"/>
    </row>
    <row r="328" spans="1:34" ht="23.25" customHeight="1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6"/>
      <c r="AE328" s="16"/>
      <c r="AF328" s="16"/>
      <c r="AG328" s="16"/>
      <c r="AH328" s="16"/>
    </row>
    <row r="329" spans="1:34" ht="23.25" customHeight="1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6"/>
      <c r="AE329" s="16"/>
      <c r="AF329" s="16"/>
      <c r="AG329" s="16"/>
      <c r="AH329" s="16"/>
    </row>
    <row r="330" spans="1:34" ht="23.25" customHeight="1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6"/>
      <c r="AE330" s="16"/>
      <c r="AF330" s="16"/>
      <c r="AG330" s="16"/>
      <c r="AH330" s="16"/>
    </row>
    <row r="331" spans="1:34" ht="23.25" customHeight="1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6"/>
      <c r="AE331" s="16"/>
      <c r="AF331" s="16"/>
      <c r="AG331" s="16"/>
      <c r="AH331" s="16"/>
    </row>
    <row r="332" spans="1:34" ht="23.25" customHeight="1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6"/>
      <c r="AE332" s="16"/>
      <c r="AF332" s="16"/>
      <c r="AG332" s="16"/>
      <c r="AH332" s="16"/>
    </row>
    <row r="333" spans="1:34" ht="23.25" customHeight="1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6"/>
      <c r="AE333" s="16"/>
      <c r="AF333" s="16"/>
      <c r="AG333" s="16"/>
      <c r="AH333" s="16"/>
    </row>
    <row r="334" spans="1:34" ht="23.25" customHeight="1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6"/>
      <c r="AE334" s="16"/>
      <c r="AF334" s="16"/>
      <c r="AG334" s="16"/>
      <c r="AH334" s="16"/>
    </row>
    <row r="335" spans="1:34" ht="23.25" customHeight="1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6"/>
      <c r="AE335" s="16"/>
      <c r="AF335" s="16"/>
      <c r="AG335" s="16"/>
      <c r="AH335" s="16"/>
    </row>
    <row r="336" spans="1:34" ht="23.25" customHeight="1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6"/>
      <c r="AE336" s="16"/>
      <c r="AF336" s="16"/>
      <c r="AG336" s="16"/>
      <c r="AH336" s="16"/>
    </row>
    <row r="337" spans="1:34" ht="23.25" customHeight="1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6"/>
      <c r="AE337" s="16"/>
      <c r="AF337" s="16"/>
      <c r="AG337" s="16"/>
      <c r="AH337" s="16"/>
    </row>
    <row r="338" spans="1:34" ht="23.25" customHeight="1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6"/>
      <c r="AE338" s="16"/>
      <c r="AF338" s="16"/>
      <c r="AG338" s="16"/>
      <c r="AH338" s="16"/>
    </row>
    <row r="339" spans="1:34" ht="23.25" customHeight="1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6"/>
      <c r="AE339" s="16"/>
      <c r="AF339" s="16"/>
      <c r="AG339" s="16"/>
      <c r="AH339" s="16"/>
    </row>
    <row r="340" spans="1:34" ht="23.25" customHeight="1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6"/>
      <c r="AE340" s="16"/>
      <c r="AF340" s="16"/>
      <c r="AG340" s="16"/>
      <c r="AH340" s="16"/>
    </row>
    <row r="341" spans="1:34" ht="23.25" customHeight="1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6"/>
      <c r="AE341" s="16"/>
      <c r="AF341" s="16"/>
      <c r="AG341" s="16"/>
      <c r="AH341" s="16"/>
    </row>
    <row r="342" spans="1:34" ht="23.25" customHeight="1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6"/>
      <c r="AE342" s="16"/>
      <c r="AF342" s="16"/>
      <c r="AG342" s="16"/>
      <c r="AH342" s="16"/>
    </row>
    <row r="343" spans="1:34" ht="23.25" customHeight="1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6"/>
      <c r="AE343" s="16"/>
      <c r="AF343" s="16"/>
      <c r="AG343" s="16"/>
      <c r="AH343" s="16"/>
    </row>
    <row r="344" spans="1:34" ht="23.25" customHeight="1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6"/>
      <c r="AE344" s="16"/>
      <c r="AF344" s="16"/>
      <c r="AG344" s="16"/>
      <c r="AH344" s="16"/>
    </row>
    <row r="345" spans="1:34" ht="23.25" customHeight="1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6"/>
      <c r="AE345" s="16"/>
      <c r="AF345" s="16"/>
      <c r="AG345" s="16"/>
      <c r="AH345" s="16"/>
    </row>
    <row r="346" spans="1:34" ht="23.25" customHeight="1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6"/>
      <c r="AE346" s="16"/>
      <c r="AF346" s="16"/>
      <c r="AG346" s="16"/>
      <c r="AH346" s="16"/>
    </row>
    <row r="347" spans="1:34" ht="23.25" customHeight="1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6"/>
      <c r="AE347" s="16"/>
      <c r="AF347" s="16"/>
      <c r="AG347" s="16"/>
      <c r="AH347" s="16"/>
    </row>
    <row r="348" spans="1:34" ht="23.25" customHeight="1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6"/>
      <c r="AE348" s="16"/>
      <c r="AF348" s="16"/>
      <c r="AG348" s="16"/>
      <c r="AH348" s="16"/>
    </row>
    <row r="349" spans="1:34" ht="23.25" customHeight="1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6"/>
      <c r="AE349" s="16"/>
      <c r="AF349" s="16"/>
      <c r="AG349" s="16"/>
      <c r="AH349" s="16"/>
    </row>
    <row r="350" spans="1:34" ht="23.25" customHeight="1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6"/>
      <c r="AE350" s="16"/>
      <c r="AF350" s="16"/>
      <c r="AG350" s="16"/>
      <c r="AH350" s="16"/>
    </row>
    <row r="351" spans="1:34" ht="23.25" customHeight="1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6"/>
      <c r="AE351" s="16"/>
      <c r="AF351" s="16"/>
      <c r="AG351" s="16"/>
      <c r="AH351" s="16"/>
    </row>
    <row r="352" spans="1:34" ht="23.25" customHeight="1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6"/>
      <c r="AE352" s="16"/>
      <c r="AF352" s="16"/>
      <c r="AG352" s="16"/>
      <c r="AH352" s="16"/>
    </row>
    <row r="353" spans="1:34" ht="23.25" customHeight="1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6"/>
      <c r="AE353" s="16"/>
      <c r="AF353" s="16"/>
      <c r="AG353" s="16"/>
      <c r="AH353" s="16"/>
    </row>
    <row r="354" spans="1:34" ht="23.25" customHeight="1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6"/>
      <c r="AE354" s="16"/>
      <c r="AF354" s="16"/>
      <c r="AG354" s="16"/>
      <c r="AH354" s="16"/>
    </row>
    <row r="355" spans="1:34" ht="23.25" customHeight="1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6"/>
      <c r="AE355" s="16"/>
      <c r="AF355" s="16"/>
      <c r="AG355" s="16"/>
      <c r="AH355" s="16"/>
    </row>
    <row r="356" spans="1:34" ht="23.25" customHeight="1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6"/>
      <c r="AE356" s="16"/>
      <c r="AF356" s="16"/>
      <c r="AG356" s="16"/>
      <c r="AH356" s="16"/>
    </row>
    <row r="357" spans="1:34" ht="23.25" customHeight="1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6"/>
      <c r="AE357" s="16"/>
      <c r="AF357" s="16"/>
      <c r="AG357" s="16"/>
      <c r="AH357" s="16"/>
    </row>
    <row r="358" spans="1:34" ht="23.25" customHeight="1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6"/>
      <c r="AE358" s="16"/>
      <c r="AF358" s="16"/>
      <c r="AG358" s="16"/>
      <c r="AH358" s="16"/>
    </row>
    <row r="359" spans="1:34" ht="23.25" customHeight="1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6"/>
      <c r="AE359" s="16"/>
      <c r="AF359" s="16"/>
      <c r="AG359" s="16"/>
      <c r="AH359" s="16"/>
    </row>
    <row r="360" spans="1:34" ht="23.25" customHeight="1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6"/>
      <c r="AE360" s="16"/>
      <c r="AF360" s="16"/>
      <c r="AG360" s="16"/>
      <c r="AH360" s="16"/>
    </row>
    <row r="361" spans="1:34" ht="23.25" customHeight="1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6"/>
      <c r="AE361" s="16"/>
      <c r="AF361" s="16"/>
      <c r="AG361" s="16"/>
      <c r="AH361" s="16"/>
    </row>
    <row r="362" spans="1:34" ht="23.25" customHeight="1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6"/>
      <c r="AE362" s="16"/>
      <c r="AF362" s="16"/>
      <c r="AG362" s="16"/>
      <c r="AH362" s="16"/>
    </row>
    <row r="363" spans="1:34" ht="23.25" customHeight="1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6"/>
      <c r="AE363" s="16"/>
      <c r="AF363" s="16"/>
      <c r="AG363" s="16"/>
      <c r="AH363" s="16"/>
    </row>
    <row r="364" spans="1:34" ht="23.25" customHeight="1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6"/>
      <c r="AE364" s="16"/>
      <c r="AF364" s="16"/>
      <c r="AG364" s="16"/>
      <c r="AH364" s="16"/>
    </row>
    <row r="365" spans="1:34" ht="23.25" customHeight="1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6"/>
      <c r="AE365" s="16"/>
      <c r="AF365" s="16"/>
      <c r="AG365" s="16"/>
      <c r="AH365" s="16"/>
    </row>
    <row r="366" spans="1:34" ht="23.25" customHeight="1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6"/>
      <c r="AE366" s="16"/>
      <c r="AF366" s="16"/>
      <c r="AG366" s="16"/>
      <c r="AH366" s="16"/>
    </row>
    <row r="367" spans="1:34" ht="23.25" customHeight="1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6"/>
      <c r="AE367" s="16"/>
      <c r="AF367" s="16"/>
      <c r="AG367" s="16"/>
      <c r="AH367" s="16"/>
    </row>
    <row r="368" spans="1:34" ht="23.25" customHeight="1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6"/>
      <c r="AE368" s="16"/>
      <c r="AF368" s="16"/>
      <c r="AG368" s="16"/>
      <c r="AH368" s="16"/>
    </row>
    <row r="369" spans="1:34" ht="23.25" customHeight="1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6"/>
      <c r="AE369" s="16"/>
      <c r="AF369" s="16"/>
      <c r="AG369" s="16"/>
      <c r="AH369" s="16"/>
    </row>
    <row r="370" spans="1:34" ht="23.25" customHeight="1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6"/>
      <c r="AE370" s="16"/>
      <c r="AF370" s="16"/>
      <c r="AG370" s="16"/>
      <c r="AH370" s="16"/>
    </row>
    <row r="371" spans="1:34" ht="23.25" customHeight="1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6"/>
      <c r="AE371" s="16"/>
      <c r="AF371" s="16"/>
      <c r="AG371" s="16"/>
      <c r="AH371" s="16"/>
    </row>
    <row r="372" spans="1:34" ht="23.25" customHeight="1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6"/>
      <c r="AE372" s="16"/>
      <c r="AF372" s="16"/>
      <c r="AG372" s="16"/>
      <c r="AH372" s="16"/>
    </row>
    <row r="373" spans="1:34" ht="23.25" customHeight="1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6"/>
      <c r="AE373" s="16"/>
      <c r="AF373" s="16"/>
      <c r="AG373" s="16"/>
      <c r="AH373" s="16"/>
    </row>
    <row r="374" spans="1:34" ht="23.25" customHeight="1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6"/>
      <c r="AE374" s="16"/>
      <c r="AF374" s="16"/>
      <c r="AG374" s="16"/>
      <c r="AH374" s="16"/>
    </row>
    <row r="375" spans="1:34" ht="23.25" customHeight="1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6"/>
      <c r="AE375" s="16"/>
      <c r="AF375" s="16"/>
      <c r="AG375" s="16"/>
      <c r="AH375" s="16"/>
    </row>
    <row r="376" spans="1:34" ht="23.25" customHeight="1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6"/>
      <c r="AE376" s="16"/>
      <c r="AF376" s="16"/>
      <c r="AG376" s="16"/>
      <c r="AH376" s="16"/>
    </row>
    <row r="377" spans="1:34" ht="23.25" customHeight="1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6"/>
      <c r="AE377" s="16"/>
      <c r="AF377" s="16"/>
      <c r="AG377" s="16"/>
      <c r="AH377" s="16"/>
    </row>
    <row r="378" spans="1:34" ht="23.25" customHeight="1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6"/>
      <c r="AE378" s="16"/>
      <c r="AF378" s="16"/>
      <c r="AG378" s="16"/>
      <c r="AH378" s="16"/>
    </row>
    <row r="379" spans="1:34" ht="23.25" customHeight="1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6"/>
      <c r="AE379" s="16"/>
      <c r="AF379" s="16"/>
      <c r="AG379" s="16"/>
      <c r="AH379" s="16"/>
    </row>
    <row r="380" spans="1:34" ht="23.25" customHeight="1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6"/>
      <c r="AE380" s="16"/>
      <c r="AF380" s="16"/>
      <c r="AG380" s="16"/>
      <c r="AH380" s="16"/>
    </row>
    <row r="381" spans="1:34" ht="23.25" customHeight="1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6"/>
      <c r="AE381" s="16"/>
      <c r="AF381" s="16"/>
      <c r="AG381" s="16"/>
      <c r="AH381" s="16"/>
    </row>
    <row r="382" spans="1:34" ht="23.25" customHeight="1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6"/>
      <c r="AE382" s="16"/>
      <c r="AF382" s="16"/>
      <c r="AG382" s="16"/>
      <c r="AH382" s="16"/>
    </row>
    <row r="383" spans="1:34" ht="23.25" customHeight="1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6"/>
      <c r="AE383" s="16"/>
      <c r="AF383" s="16"/>
      <c r="AG383" s="16"/>
      <c r="AH383" s="16"/>
    </row>
    <row r="384" spans="1:34" ht="23.25" customHeight="1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6"/>
      <c r="AE384" s="16"/>
      <c r="AF384" s="16"/>
      <c r="AG384" s="16"/>
      <c r="AH384" s="16"/>
    </row>
    <row r="385" spans="1:34" ht="23.25" customHeight="1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6"/>
      <c r="AE385" s="16"/>
      <c r="AF385" s="16"/>
      <c r="AG385" s="16"/>
      <c r="AH385" s="16"/>
    </row>
    <row r="386" spans="1:34" ht="23.25" customHeight="1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6"/>
      <c r="AE386" s="16"/>
      <c r="AF386" s="16"/>
      <c r="AG386" s="16"/>
      <c r="AH386" s="16"/>
    </row>
    <row r="387" spans="1:34" ht="23.25" customHeight="1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6"/>
      <c r="AE387" s="16"/>
      <c r="AF387" s="16"/>
      <c r="AG387" s="16"/>
      <c r="AH387" s="16"/>
    </row>
    <row r="388" spans="1:34" ht="23.25" customHeight="1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6"/>
      <c r="AE388" s="16"/>
      <c r="AF388" s="16"/>
      <c r="AG388" s="16"/>
      <c r="AH388" s="16"/>
    </row>
    <row r="389" spans="1:34" ht="23.25" customHeight="1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6"/>
      <c r="AE389" s="16"/>
      <c r="AF389" s="16"/>
      <c r="AG389" s="16"/>
      <c r="AH389" s="16"/>
    </row>
    <row r="390" spans="1:34" ht="23.25" customHeight="1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6"/>
      <c r="AE390" s="16"/>
      <c r="AF390" s="16"/>
      <c r="AG390" s="16"/>
      <c r="AH390" s="16"/>
    </row>
    <row r="391" spans="1:34" ht="23.25" customHeight="1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6"/>
      <c r="AE391" s="16"/>
      <c r="AF391" s="16"/>
      <c r="AG391" s="16"/>
      <c r="AH391" s="16"/>
    </row>
    <row r="392" spans="1:34" ht="23.25" customHeight="1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6"/>
      <c r="AE392" s="16"/>
      <c r="AF392" s="16"/>
      <c r="AG392" s="16"/>
      <c r="AH392" s="16"/>
    </row>
    <row r="393" spans="1:34" ht="23.25" customHeight="1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6"/>
      <c r="AE393" s="16"/>
      <c r="AF393" s="16"/>
      <c r="AG393" s="16"/>
      <c r="AH393" s="16"/>
    </row>
    <row r="394" spans="1:34" ht="23.25" customHeight="1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6"/>
      <c r="AE394" s="16"/>
      <c r="AF394" s="16"/>
      <c r="AG394" s="16"/>
      <c r="AH394" s="16"/>
    </row>
    <row r="395" spans="1:34" ht="23.25" customHeight="1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6"/>
      <c r="AE395" s="16"/>
      <c r="AF395" s="16"/>
      <c r="AG395" s="16"/>
      <c r="AH395" s="16"/>
    </row>
    <row r="396" spans="1:34" ht="23.25" customHeight="1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6"/>
      <c r="AE396" s="16"/>
      <c r="AF396" s="16"/>
      <c r="AG396" s="16"/>
      <c r="AH396" s="16"/>
    </row>
    <row r="397" spans="1:34" ht="23.25" customHeight="1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6"/>
      <c r="AE397" s="16"/>
      <c r="AF397" s="16"/>
      <c r="AG397" s="16"/>
      <c r="AH397" s="16"/>
    </row>
    <row r="398" spans="1:34" ht="23.25" customHeight="1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6"/>
      <c r="AE398" s="16"/>
      <c r="AF398" s="16"/>
      <c r="AG398" s="16"/>
      <c r="AH398" s="16"/>
    </row>
    <row r="399" spans="1:34" ht="23.25" customHeight="1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6"/>
      <c r="AE399" s="16"/>
      <c r="AF399" s="16"/>
      <c r="AG399" s="16"/>
      <c r="AH399" s="16"/>
    </row>
    <row r="400" spans="1:34" ht="23.25" customHeight="1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6"/>
      <c r="AE400" s="16"/>
      <c r="AF400" s="16"/>
      <c r="AG400" s="16"/>
      <c r="AH400" s="16"/>
    </row>
    <row r="401" spans="1:34" ht="23.25" customHeight="1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6"/>
      <c r="AE401" s="16"/>
      <c r="AF401" s="16"/>
      <c r="AG401" s="16"/>
      <c r="AH401" s="16"/>
    </row>
    <row r="402" spans="1:34" ht="23.25" customHeight="1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6"/>
      <c r="AE402" s="16"/>
      <c r="AF402" s="16"/>
      <c r="AG402" s="16"/>
      <c r="AH402" s="16"/>
    </row>
    <row r="403" spans="1:34" ht="23.25" customHeight="1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6"/>
      <c r="AE403" s="16"/>
      <c r="AF403" s="16"/>
      <c r="AG403" s="16"/>
      <c r="AH403" s="16"/>
    </row>
    <row r="404" spans="1:34" ht="23.25" customHeight="1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6"/>
      <c r="AE404" s="16"/>
      <c r="AF404" s="16"/>
      <c r="AG404" s="16"/>
      <c r="AH404" s="16"/>
    </row>
    <row r="405" spans="1:34" ht="23.25" customHeight="1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6"/>
      <c r="AE405" s="16"/>
      <c r="AF405" s="16"/>
      <c r="AG405" s="16"/>
      <c r="AH405" s="16"/>
    </row>
    <row r="406" spans="1:34" ht="23.25" customHeight="1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6"/>
      <c r="AE406" s="16"/>
      <c r="AF406" s="16"/>
      <c r="AG406" s="16"/>
      <c r="AH406" s="16"/>
    </row>
    <row r="407" spans="1:34" ht="23.25" customHeight="1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6"/>
      <c r="AE407" s="16"/>
      <c r="AF407" s="16"/>
      <c r="AG407" s="16"/>
      <c r="AH407" s="16"/>
    </row>
    <row r="408" spans="1:34" ht="23.25" customHeight="1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6"/>
      <c r="AE408" s="16"/>
      <c r="AF408" s="16"/>
      <c r="AG408" s="16"/>
      <c r="AH408" s="16"/>
    </row>
    <row r="409" spans="1:34" ht="23.25" customHeight="1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6"/>
      <c r="AE409" s="16"/>
      <c r="AF409" s="16"/>
      <c r="AG409" s="16"/>
      <c r="AH409" s="16"/>
    </row>
    <row r="410" spans="1:34" ht="23.25" customHeight="1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6"/>
      <c r="AE410" s="16"/>
      <c r="AF410" s="16"/>
      <c r="AG410" s="16"/>
      <c r="AH410" s="16"/>
    </row>
    <row r="411" spans="1:34" ht="23.25" customHeight="1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6"/>
      <c r="AE411" s="16"/>
      <c r="AF411" s="16"/>
      <c r="AG411" s="16"/>
      <c r="AH411" s="16"/>
    </row>
    <row r="412" spans="1:34" ht="23.25" customHeight="1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6"/>
      <c r="AE412" s="16"/>
      <c r="AF412" s="16"/>
      <c r="AG412" s="16"/>
      <c r="AH412" s="16"/>
    </row>
    <row r="413" spans="1:34" ht="23.25" customHeight="1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6"/>
      <c r="AE413" s="16"/>
      <c r="AF413" s="16"/>
      <c r="AG413" s="16"/>
      <c r="AH413" s="16"/>
    </row>
    <row r="414" spans="1:34" ht="23.25" customHeight="1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6"/>
      <c r="AE414" s="16"/>
      <c r="AF414" s="16"/>
      <c r="AG414" s="16"/>
      <c r="AH414" s="16"/>
    </row>
    <row r="415" spans="1:34" ht="23.25" customHeight="1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6"/>
      <c r="AE415" s="16"/>
      <c r="AF415" s="16"/>
      <c r="AG415" s="16"/>
      <c r="AH415" s="16"/>
    </row>
    <row r="416" spans="1:34" ht="23.25" customHeight="1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6"/>
      <c r="AE416" s="16"/>
      <c r="AF416" s="16"/>
      <c r="AG416" s="16"/>
      <c r="AH416" s="16"/>
    </row>
    <row r="417" spans="1:34" ht="23.25" customHeight="1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6"/>
      <c r="AE417" s="16"/>
      <c r="AF417" s="16"/>
      <c r="AG417" s="16"/>
      <c r="AH417" s="16"/>
    </row>
    <row r="418" spans="1:34" ht="23.25" customHeight="1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6"/>
      <c r="AE418" s="16"/>
      <c r="AF418" s="16"/>
      <c r="AG418" s="16"/>
      <c r="AH418" s="16"/>
    </row>
    <row r="419" spans="1:34" ht="23.25" customHeight="1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6"/>
      <c r="AE419" s="16"/>
      <c r="AF419" s="16"/>
      <c r="AG419" s="16"/>
      <c r="AH419" s="16"/>
    </row>
    <row r="420" spans="1:34" ht="23.25" customHeight="1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6"/>
      <c r="AE420" s="16"/>
      <c r="AF420" s="16"/>
      <c r="AG420" s="16"/>
      <c r="AH420" s="16"/>
    </row>
    <row r="421" spans="1:34" ht="23.25" customHeight="1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6"/>
      <c r="AE421" s="16"/>
      <c r="AF421" s="16"/>
      <c r="AG421" s="16"/>
      <c r="AH421" s="16"/>
    </row>
    <row r="422" spans="1:34" ht="23.25" customHeight="1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6"/>
      <c r="AE422" s="16"/>
      <c r="AF422" s="16"/>
      <c r="AG422" s="16"/>
      <c r="AH422" s="16"/>
    </row>
    <row r="423" spans="1:34" ht="23.25" customHeight="1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6"/>
      <c r="AE423" s="16"/>
      <c r="AF423" s="16"/>
      <c r="AG423" s="16"/>
      <c r="AH423" s="16"/>
    </row>
    <row r="424" spans="1:34" ht="23.25" customHeight="1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6"/>
      <c r="AE424" s="16"/>
      <c r="AF424" s="16"/>
      <c r="AG424" s="16"/>
      <c r="AH424" s="16"/>
    </row>
    <row r="425" spans="1:34" ht="23.25" customHeight="1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6"/>
      <c r="AE425" s="16"/>
      <c r="AF425" s="16"/>
      <c r="AG425" s="16"/>
      <c r="AH425" s="16"/>
    </row>
    <row r="426" spans="1:34" ht="23.25" customHeight="1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6"/>
      <c r="AE426" s="16"/>
      <c r="AF426" s="16"/>
      <c r="AG426" s="16"/>
      <c r="AH426" s="16"/>
    </row>
    <row r="427" spans="1:34" ht="23.25" customHeight="1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6"/>
      <c r="AE427" s="16"/>
      <c r="AF427" s="16"/>
      <c r="AG427" s="16"/>
      <c r="AH427" s="16"/>
    </row>
    <row r="428" spans="1:34" ht="23.25" customHeight="1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6"/>
      <c r="AE428" s="16"/>
      <c r="AF428" s="16"/>
      <c r="AG428" s="16"/>
      <c r="AH428" s="16"/>
    </row>
    <row r="429" spans="1:34" ht="23.25" customHeight="1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6"/>
      <c r="AE429" s="16"/>
      <c r="AF429" s="16"/>
      <c r="AG429" s="16"/>
      <c r="AH429" s="16"/>
    </row>
    <row r="430" spans="1:34" ht="23.25" customHeight="1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6"/>
      <c r="AE430" s="16"/>
      <c r="AF430" s="16"/>
      <c r="AG430" s="16"/>
      <c r="AH430" s="16"/>
    </row>
    <row r="431" spans="1:34" ht="23.25" customHeight="1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6"/>
      <c r="AE431" s="16"/>
      <c r="AF431" s="16"/>
      <c r="AG431" s="16"/>
      <c r="AH431" s="16"/>
    </row>
    <row r="432" spans="1:34" ht="23.25" customHeight="1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6"/>
      <c r="AE432" s="16"/>
      <c r="AF432" s="16"/>
      <c r="AG432" s="16"/>
      <c r="AH432" s="16"/>
    </row>
    <row r="433" spans="1:34" ht="23.25" customHeight="1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6"/>
      <c r="AE433" s="16"/>
      <c r="AF433" s="16"/>
      <c r="AG433" s="16"/>
      <c r="AH433" s="16"/>
    </row>
    <row r="434" spans="1:34" ht="23.25" customHeight="1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6"/>
      <c r="AE434" s="16"/>
      <c r="AF434" s="16"/>
      <c r="AG434" s="16"/>
      <c r="AH434" s="16"/>
    </row>
    <row r="435" spans="1:34" ht="23.25" customHeight="1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6"/>
      <c r="AE435" s="16"/>
      <c r="AF435" s="16"/>
      <c r="AG435" s="16"/>
      <c r="AH435" s="16"/>
    </row>
    <row r="436" spans="1:34" ht="23.25" customHeight="1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6"/>
      <c r="AE436" s="16"/>
      <c r="AF436" s="16"/>
      <c r="AG436" s="16"/>
      <c r="AH436" s="16"/>
    </row>
    <row r="437" spans="1:34" ht="23.25" customHeight="1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6"/>
      <c r="AE437" s="16"/>
      <c r="AF437" s="16"/>
      <c r="AG437" s="16"/>
      <c r="AH437" s="16"/>
    </row>
    <row r="438" spans="1:34" ht="23.25" customHeight="1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6"/>
      <c r="AE438" s="16"/>
      <c r="AF438" s="16"/>
      <c r="AG438" s="16"/>
      <c r="AH438" s="16"/>
    </row>
    <row r="439" spans="1:34" ht="23.25" customHeight="1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6"/>
      <c r="AE439" s="16"/>
      <c r="AF439" s="16"/>
      <c r="AG439" s="16"/>
      <c r="AH439" s="16"/>
    </row>
    <row r="440" spans="1:34" ht="23.25" customHeight="1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6"/>
      <c r="AE440" s="16"/>
      <c r="AF440" s="16"/>
      <c r="AG440" s="16"/>
      <c r="AH440" s="16"/>
    </row>
    <row r="441" spans="1:34" ht="23.25" customHeight="1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6"/>
      <c r="AE441" s="16"/>
      <c r="AF441" s="16"/>
      <c r="AG441" s="16"/>
      <c r="AH441" s="16"/>
    </row>
    <row r="442" spans="1:34" ht="23.25" customHeight="1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6"/>
      <c r="AE442" s="16"/>
      <c r="AF442" s="16"/>
      <c r="AG442" s="16"/>
      <c r="AH442" s="16"/>
    </row>
    <row r="443" spans="1:34" ht="23.25" customHeight="1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6"/>
      <c r="AE443" s="16"/>
      <c r="AF443" s="16"/>
      <c r="AG443" s="16"/>
      <c r="AH443" s="16"/>
    </row>
    <row r="444" spans="1:34" ht="23.25" customHeight="1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6"/>
      <c r="AE444" s="16"/>
      <c r="AF444" s="16"/>
      <c r="AG444" s="16"/>
      <c r="AH444" s="16"/>
    </row>
    <row r="445" spans="1:34" ht="23.25" customHeight="1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6"/>
      <c r="AE445" s="16"/>
      <c r="AF445" s="16"/>
      <c r="AG445" s="16"/>
      <c r="AH445" s="16"/>
    </row>
    <row r="446" spans="1:34" ht="23.25" customHeight="1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6"/>
      <c r="AE446" s="16"/>
      <c r="AF446" s="16"/>
      <c r="AG446" s="16"/>
      <c r="AH446" s="16"/>
    </row>
    <row r="447" spans="1:34" ht="23.25" customHeight="1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6"/>
      <c r="AE447" s="16"/>
      <c r="AF447" s="16"/>
      <c r="AG447" s="16"/>
      <c r="AH447" s="16"/>
    </row>
    <row r="448" spans="1:34" ht="23.25" customHeight="1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6"/>
      <c r="AE448" s="16"/>
      <c r="AF448" s="16"/>
      <c r="AG448" s="16"/>
      <c r="AH448" s="16"/>
    </row>
    <row r="449" spans="1:34" ht="23.25" customHeight="1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6"/>
      <c r="AE449" s="16"/>
      <c r="AF449" s="16"/>
      <c r="AG449" s="16"/>
      <c r="AH449" s="16"/>
    </row>
    <row r="450" spans="1:34" ht="23.25" customHeight="1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6"/>
      <c r="AE450" s="16"/>
      <c r="AF450" s="16"/>
      <c r="AG450" s="16"/>
      <c r="AH450" s="16"/>
    </row>
    <row r="451" spans="1:34" ht="23.25" customHeight="1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6"/>
      <c r="AE451" s="16"/>
      <c r="AF451" s="16"/>
      <c r="AG451" s="16"/>
      <c r="AH451" s="16"/>
    </row>
    <row r="452" spans="1:34" ht="23.25" customHeight="1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6"/>
      <c r="AE452" s="16"/>
      <c r="AF452" s="16"/>
      <c r="AG452" s="16"/>
      <c r="AH452" s="16"/>
    </row>
    <row r="453" spans="1:34" ht="23.25" customHeight="1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6"/>
      <c r="AE453" s="16"/>
      <c r="AF453" s="16"/>
      <c r="AG453" s="16"/>
      <c r="AH453" s="16"/>
    </row>
    <row r="454" spans="1:34" ht="23.25" customHeight="1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6"/>
      <c r="AE454" s="16"/>
      <c r="AF454" s="16"/>
      <c r="AG454" s="16"/>
      <c r="AH454" s="16"/>
    </row>
    <row r="455" spans="1:34" ht="23.25" customHeight="1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6"/>
      <c r="AE455" s="16"/>
      <c r="AF455" s="16"/>
      <c r="AG455" s="16"/>
      <c r="AH455" s="16"/>
    </row>
    <row r="456" spans="1:34" ht="23.25" customHeight="1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6"/>
      <c r="AE456" s="16"/>
      <c r="AF456" s="16"/>
      <c r="AG456" s="16"/>
      <c r="AH456" s="16"/>
    </row>
    <row r="457" spans="1:34" ht="23.25" customHeight="1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6"/>
      <c r="AE457" s="16"/>
      <c r="AF457" s="16"/>
      <c r="AG457" s="16"/>
      <c r="AH457" s="16"/>
    </row>
    <row r="458" spans="1:34" ht="23.25" customHeight="1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6"/>
      <c r="AE458" s="16"/>
      <c r="AF458" s="16"/>
      <c r="AG458" s="16"/>
      <c r="AH458" s="16"/>
    </row>
    <row r="459" spans="1:34" ht="23.25" customHeight="1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6"/>
      <c r="AE459" s="16"/>
      <c r="AF459" s="16"/>
      <c r="AG459" s="16"/>
      <c r="AH459" s="16"/>
    </row>
    <row r="460" spans="1:34" ht="23.25" customHeight="1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6"/>
      <c r="AE460" s="16"/>
      <c r="AF460" s="16"/>
      <c r="AG460" s="16"/>
      <c r="AH460" s="16"/>
    </row>
    <row r="461" spans="1:34" ht="23.25" customHeight="1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6"/>
      <c r="AE461" s="16"/>
      <c r="AF461" s="16"/>
      <c r="AG461" s="16"/>
      <c r="AH461" s="16"/>
    </row>
    <row r="462" spans="1:34" ht="23.25" customHeight="1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6"/>
      <c r="AE462" s="16"/>
      <c r="AF462" s="16"/>
      <c r="AG462" s="16"/>
      <c r="AH462" s="16"/>
    </row>
    <row r="463" spans="1:34" ht="23.25" customHeight="1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6"/>
      <c r="AE463" s="16"/>
      <c r="AF463" s="16"/>
      <c r="AG463" s="16"/>
      <c r="AH463" s="16"/>
    </row>
    <row r="464" spans="1:34" ht="23.25" customHeight="1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6"/>
      <c r="AE464" s="16"/>
      <c r="AF464" s="16"/>
      <c r="AG464" s="16"/>
      <c r="AH464" s="16"/>
    </row>
    <row r="465" spans="1:34" ht="23.25" customHeight="1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6"/>
      <c r="AE465" s="16"/>
      <c r="AF465" s="16"/>
      <c r="AG465" s="16"/>
      <c r="AH465" s="16"/>
    </row>
    <row r="466" spans="1:34" ht="23.25" customHeight="1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6"/>
      <c r="AE466" s="16"/>
      <c r="AF466" s="16"/>
      <c r="AG466" s="16"/>
      <c r="AH466" s="16"/>
    </row>
    <row r="467" spans="1:34" ht="23.25" customHeight="1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6"/>
      <c r="AE467" s="16"/>
      <c r="AF467" s="16"/>
      <c r="AG467" s="16"/>
      <c r="AH467" s="16"/>
    </row>
    <row r="468" spans="1:34" ht="23.25" customHeight="1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6"/>
      <c r="AE468" s="16"/>
      <c r="AF468" s="16"/>
      <c r="AG468" s="16"/>
      <c r="AH468" s="16"/>
    </row>
    <row r="469" spans="1:34" ht="23.25" customHeight="1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6"/>
      <c r="AE469" s="16"/>
      <c r="AF469" s="16"/>
      <c r="AG469" s="16"/>
      <c r="AH469" s="16"/>
    </row>
    <row r="470" spans="1:34" ht="23.25" customHeight="1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6"/>
      <c r="AE470" s="16"/>
      <c r="AF470" s="16"/>
      <c r="AG470" s="16"/>
      <c r="AH470" s="16"/>
    </row>
    <row r="471" spans="1:34" ht="23.25" customHeight="1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6"/>
      <c r="AE471" s="16"/>
      <c r="AF471" s="16"/>
      <c r="AG471" s="16"/>
      <c r="AH471" s="16"/>
    </row>
    <row r="472" spans="1:34" ht="23.25" customHeight="1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6"/>
      <c r="AE472" s="16"/>
      <c r="AF472" s="16"/>
      <c r="AG472" s="16"/>
      <c r="AH472" s="16"/>
    </row>
    <row r="473" spans="1:34" ht="23.25" customHeight="1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6"/>
      <c r="AE473" s="16"/>
      <c r="AF473" s="16"/>
      <c r="AG473" s="16"/>
      <c r="AH473" s="16"/>
    </row>
    <row r="474" spans="1:34" ht="23.25" customHeight="1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6"/>
      <c r="AE474" s="16"/>
      <c r="AF474" s="16"/>
      <c r="AG474" s="16"/>
      <c r="AH474" s="16"/>
    </row>
    <row r="475" spans="1:34" ht="23.25" customHeight="1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6"/>
      <c r="AE475" s="16"/>
      <c r="AF475" s="16"/>
      <c r="AG475" s="16"/>
      <c r="AH475" s="16"/>
    </row>
    <row r="476" spans="1:34" ht="23.25" customHeight="1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6"/>
      <c r="AE476" s="16"/>
      <c r="AF476" s="16"/>
      <c r="AG476" s="16"/>
      <c r="AH476" s="16"/>
    </row>
    <row r="477" spans="1:34" ht="23.25" customHeight="1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6"/>
      <c r="AE477" s="16"/>
      <c r="AF477" s="16"/>
      <c r="AG477" s="16"/>
      <c r="AH477" s="16"/>
    </row>
    <row r="478" spans="1:34" ht="23.25" customHeight="1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6"/>
      <c r="AE478" s="16"/>
      <c r="AF478" s="16"/>
      <c r="AG478" s="16"/>
      <c r="AH478" s="16"/>
    </row>
    <row r="479" spans="1:34" ht="23.25" customHeight="1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6"/>
      <c r="AE479" s="16"/>
      <c r="AF479" s="16"/>
      <c r="AG479" s="16"/>
      <c r="AH479" s="16"/>
    </row>
    <row r="480" spans="1:34" ht="23.25" customHeight="1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6"/>
      <c r="AE480" s="16"/>
      <c r="AF480" s="16"/>
      <c r="AG480" s="16"/>
      <c r="AH480" s="16"/>
    </row>
    <row r="481" spans="1:34" ht="23.25" customHeight="1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6"/>
      <c r="AE481" s="16"/>
      <c r="AF481" s="16"/>
      <c r="AG481" s="16"/>
      <c r="AH481" s="16"/>
    </row>
    <row r="482" spans="1:34" ht="23.25" customHeight="1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6"/>
      <c r="AE482" s="16"/>
      <c r="AF482" s="16"/>
      <c r="AG482" s="16"/>
      <c r="AH482" s="16"/>
    </row>
    <row r="483" spans="1:34" ht="23.25" customHeight="1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6"/>
      <c r="AE483" s="16"/>
      <c r="AF483" s="16"/>
      <c r="AG483" s="16"/>
      <c r="AH483" s="16"/>
    </row>
    <row r="484" spans="1:34" ht="23.25" customHeight="1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6"/>
      <c r="AE484" s="16"/>
      <c r="AF484" s="16"/>
      <c r="AG484" s="16"/>
      <c r="AH484" s="16"/>
    </row>
    <row r="485" spans="1:34" ht="23.25" customHeight="1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6"/>
      <c r="AE485" s="16"/>
      <c r="AF485" s="16"/>
      <c r="AG485" s="16"/>
      <c r="AH485" s="16"/>
    </row>
    <row r="486" spans="1:34" ht="23.25" customHeight="1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6"/>
      <c r="AE486" s="16"/>
      <c r="AF486" s="16"/>
      <c r="AG486" s="16"/>
      <c r="AH486" s="16"/>
    </row>
    <row r="487" spans="1:34" ht="23.25" customHeight="1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6"/>
      <c r="AE487" s="16"/>
      <c r="AF487" s="16"/>
      <c r="AG487" s="16"/>
      <c r="AH487" s="16"/>
    </row>
    <row r="488" spans="1:34" ht="23.25" customHeight="1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6"/>
      <c r="AE488" s="16"/>
      <c r="AF488" s="16"/>
      <c r="AG488" s="16"/>
      <c r="AH488" s="16"/>
    </row>
    <row r="489" spans="1:34" ht="23.25" customHeight="1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6"/>
      <c r="AE489" s="16"/>
      <c r="AF489" s="16"/>
      <c r="AG489" s="16"/>
      <c r="AH489" s="16"/>
    </row>
    <row r="490" spans="1:34" ht="23.25" customHeight="1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6"/>
      <c r="AE490" s="16"/>
      <c r="AF490" s="16"/>
      <c r="AG490" s="16"/>
      <c r="AH490" s="16"/>
    </row>
    <row r="491" spans="1:34" ht="23.25" customHeight="1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6"/>
      <c r="AE491" s="16"/>
      <c r="AF491" s="16"/>
      <c r="AG491" s="16"/>
      <c r="AH491" s="16"/>
    </row>
    <row r="492" spans="1:34" ht="23.25" customHeight="1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6"/>
      <c r="AE492" s="16"/>
      <c r="AF492" s="16"/>
      <c r="AG492" s="16"/>
      <c r="AH492" s="16"/>
    </row>
    <row r="493" spans="1:34" ht="23.25" customHeight="1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6"/>
      <c r="AE493" s="16"/>
      <c r="AF493" s="16"/>
      <c r="AG493" s="16"/>
      <c r="AH493" s="16"/>
    </row>
    <row r="494" spans="1:34" ht="23.25" customHeight="1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6"/>
      <c r="AE494" s="16"/>
      <c r="AF494" s="16"/>
      <c r="AG494" s="16"/>
      <c r="AH494" s="16"/>
    </row>
    <row r="495" spans="1:34" ht="23.25" customHeight="1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6"/>
      <c r="AE495" s="16"/>
      <c r="AF495" s="16"/>
      <c r="AG495" s="16"/>
      <c r="AH495" s="16"/>
    </row>
    <row r="496" spans="1:34" ht="23.25" customHeight="1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6"/>
      <c r="AE496" s="16"/>
      <c r="AF496" s="16"/>
      <c r="AG496" s="16"/>
      <c r="AH496" s="16"/>
    </row>
    <row r="497" spans="1:34" ht="23.25" customHeight="1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6"/>
      <c r="AE497" s="16"/>
      <c r="AF497" s="16"/>
      <c r="AG497" s="16"/>
      <c r="AH497" s="16"/>
    </row>
    <row r="498" spans="1:34" ht="23.25" customHeight="1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6"/>
      <c r="AE498" s="16"/>
      <c r="AF498" s="16"/>
      <c r="AG498" s="16"/>
      <c r="AH498" s="16"/>
    </row>
    <row r="499" spans="1:34" ht="23.25" customHeight="1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6"/>
      <c r="AE499" s="16"/>
      <c r="AF499" s="16"/>
      <c r="AG499" s="16"/>
      <c r="AH499" s="16"/>
    </row>
    <row r="500" spans="1:34" ht="23.25" customHeight="1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6"/>
      <c r="AE500" s="16"/>
      <c r="AF500" s="16"/>
      <c r="AG500" s="16"/>
      <c r="AH500" s="16"/>
    </row>
    <row r="501" spans="1:34" ht="23.25" customHeight="1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6"/>
      <c r="AE501" s="16"/>
      <c r="AF501" s="16"/>
      <c r="AG501" s="16"/>
      <c r="AH501" s="16"/>
    </row>
    <row r="502" spans="1:34" ht="23.25" customHeight="1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6"/>
      <c r="AE502" s="16"/>
      <c r="AF502" s="16"/>
      <c r="AG502" s="16"/>
      <c r="AH502" s="16"/>
    </row>
    <row r="503" spans="1:34" ht="23.25" customHeight="1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6"/>
      <c r="AE503" s="16"/>
      <c r="AF503" s="16"/>
      <c r="AG503" s="16"/>
      <c r="AH503" s="16"/>
    </row>
    <row r="504" spans="1:34" ht="23.25" customHeight="1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6"/>
      <c r="AE504" s="16"/>
      <c r="AF504" s="16"/>
      <c r="AG504" s="16"/>
      <c r="AH504" s="16"/>
    </row>
    <row r="505" spans="1:34" ht="23.25" customHeight="1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6"/>
      <c r="AE505" s="16"/>
      <c r="AF505" s="16"/>
      <c r="AG505" s="16"/>
      <c r="AH505" s="16"/>
    </row>
    <row r="506" spans="1:34" ht="23.25" customHeight="1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6"/>
      <c r="AE506" s="16"/>
      <c r="AF506" s="16"/>
      <c r="AG506" s="16"/>
      <c r="AH506" s="16"/>
    </row>
    <row r="507" spans="1:34" ht="23.25" customHeight="1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6"/>
      <c r="AE507" s="16"/>
      <c r="AF507" s="16"/>
      <c r="AG507" s="16"/>
      <c r="AH507" s="16"/>
    </row>
    <row r="508" spans="1:34" ht="23.25" customHeight="1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6"/>
      <c r="AE508" s="16"/>
      <c r="AF508" s="16"/>
      <c r="AG508" s="16"/>
      <c r="AH508" s="16"/>
    </row>
    <row r="509" spans="1:34" ht="23.25" customHeight="1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6"/>
      <c r="AE509" s="16"/>
      <c r="AF509" s="16"/>
      <c r="AG509" s="16"/>
      <c r="AH509" s="16"/>
    </row>
    <row r="510" spans="1:34" ht="23.25" customHeight="1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6"/>
      <c r="AE510" s="16"/>
      <c r="AF510" s="16"/>
      <c r="AG510" s="16"/>
      <c r="AH510" s="16"/>
    </row>
    <row r="511" spans="1:34" ht="23.25" customHeight="1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6"/>
      <c r="AE511" s="16"/>
      <c r="AF511" s="16"/>
      <c r="AG511" s="16"/>
      <c r="AH511" s="16"/>
    </row>
    <row r="512" spans="1:34" ht="23.25" customHeight="1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6"/>
      <c r="AE512" s="16"/>
      <c r="AF512" s="16"/>
      <c r="AG512" s="16"/>
      <c r="AH512" s="16"/>
    </row>
    <row r="513" spans="1:34" ht="23.25" customHeight="1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6"/>
      <c r="AE513" s="16"/>
      <c r="AF513" s="16"/>
      <c r="AG513" s="16"/>
      <c r="AH513" s="16"/>
    </row>
    <row r="514" spans="1:34" ht="23.25" customHeight="1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6"/>
      <c r="AE514" s="16"/>
      <c r="AF514" s="16"/>
      <c r="AG514" s="16"/>
      <c r="AH514" s="16"/>
    </row>
    <row r="515" spans="1:34" ht="23.25" customHeight="1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6"/>
      <c r="AE515" s="16"/>
      <c r="AF515" s="16"/>
      <c r="AG515" s="16"/>
      <c r="AH515" s="16"/>
    </row>
    <row r="516" spans="1:34" ht="23.25" customHeight="1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6"/>
      <c r="AE516" s="16"/>
      <c r="AF516" s="16"/>
      <c r="AG516" s="16"/>
      <c r="AH516" s="16"/>
    </row>
    <row r="517" spans="1:34" ht="23.25" customHeight="1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6"/>
      <c r="AE517" s="16"/>
      <c r="AF517" s="16"/>
      <c r="AG517" s="16"/>
      <c r="AH517" s="16"/>
    </row>
    <row r="518" spans="1:34" ht="23.25" customHeight="1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6"/>
      <c r="AE518" s="16"/>
      <c r="AF518" s="16"/>
      <c r="AG518" s="16"/>
      <c r="AH518" s="16"/>
    </row>
    <row r="519" spans="1:34" ht="23.25" customHeight="1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6"/>
      <c r="AE519" s="16"/>
      <c r="AF519" s="16"/>
      <c r="AG519" s="16"/>
      <c r="AH519" s="16"/>
    </row>
    <row r="520" spans="1:34" ht="23.25" customHeight="1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6"/>
      <c r="AE520" s="16"/>
      <c r="AF520" s="16"/>
      <c r="AG520" s="16"/>
      <c r="AH520" s="16"/>
    </row>
    <row r="521" spans="1:34" ht="23.25" customHeight="1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6"/>
      <c r="AE521" s="16"/>
      <c r="AF521" s="16"/>
      <c r="AG521" s="16"/>
      <c r="AH521" s="16"/>
    </row>
    <row r="522" spans="1:34" ht="23.25" customHeight="1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6"/>
      <c r="AE522" s="16"/>
      <c r="AF522" s="16"/>
      <c r="AG522" s="16"/>
      <c r="AH522" s="16"/>
    </row>
    <row r="523" spans="1:34" ht="23.25" customHeight="1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6"/>
      <c r="AE523" s="16"/>
      <c r="AF523" s="16"/>
      <c r="AG523" s="16"/>
      <c r="AH523" s="16"/>
    </row>
    <row r="524" spans="1:34" ht="23.25" customHeight="1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6"/>
      <c r="AE524" s="16"/>
      <c r="AF524" s="16"/>
      <c r="AG524" s="16"/>
      <c r="AH524" s="16"/>
    </row>
    <row r="525" spans="1:34" ht="23.25" customHeight="1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6"/>
      <c r="AE525" s="16"/>
      <c r="AF525" s="16"/>
      <c r="AG525" s="16"/>
      <c r="AH525" s="16"/>
    </row>
    <row r="526" spans="1:34" ht="23.25" customHeight="1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6"/>
      <c r="AE526" s="16"/>
      <c r="AF526" s="16"/>
      <c r="AG526" s="16"/>
      <c r="AH526" s="16"/>
    </row>
    <row r="527" spans="1:34" ht="23.25" customHeight="1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6"/>
      <c r="AE527" s="16"/>
      <c r="AF527" s="16"/>
      <c r="AG527" s="16"/>
      <c r="AH527" s="16"/>
    </row>
    <row r="528" spans="1:34" ht="23.25" customHeight="1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6"/>
      <c r="AE528" s="16"/>
      <c r="AF528" s="16"/>
      <c r="AG528" s="16"/>
      <c r="AH528" s="16"/>
    </row>
    <row r="529" spans="1:34" ht="23.25" customHeight="1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6"/>
      <c r="AE529" s="16"/>
      <c r="AF529" s="16"/>
      <c r="AG529" s="16"/>
      <c r="AH529" s="16"/>
    </row>
    <row r="530" spans="1:34" ht="23.25" customHeight="1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6"/>
      <c r="AE530" s="16"/>
      <c r="AF530" s="16"/>
      <c r="AG530" s="16"/>
      <c r="AH530" s="16"/>
    </row>
    <row r="531" spans="1:34" ht="23.25" customHeight="1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6"/>
      <c r="AE531" s="16"/>
      <c r="AF531" s="16"/>
      <c r="AG531" s="16"/>
      <c r="AH531" s="16"/>
    </row>
    <row r="532" spans="1:34" ht="23.25" customHeight="1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6"/>
      <c r="AE532" s="16"/>
      <c r="AF532" s="16"/>
      <c r="AG532" s="16"/>
      <c r="AH532" s="16"/>
    </row>
    <row r="533" spans="1:34" ht="23.25" customHeight="1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6"/>
      <c r="AE533" s="16"/>
      <c r="AF533" s="16"/>
      <c r="AG533" s="16"/>
      <c r="AH533" s="16"/>
    </row>
    <row r="534" spans="1:34" ht="23.25" customHeight="1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6"/>
      <c r="AE534" s="16"/>
      <c r="AF534" s="16"/>
      <c r="AG534" s="16"/>
      <c r="AH534" s="16"/>
    </row>
    <row r="535" spans="1:34" ht="23.25" customHeight="1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6"/>
      <c r="AE535" s="16"/>
      <c r="AF535" s="16"/>
      <c r="AG535" s="16"/>
      <c r="AH535" s="16"/>
    </row>
    <row r="536" spans="1:34" ht="23.25" customHeight="1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6"/>
      <c r="AE536" s="16"/>
      <c r="AF536" s="16"/>
      <c r="AG536" s="16"/>
      <c r="AH536" s="16"/>
    </row>
    <row r="537" spans="1:34" ht="23.25" customHeight="1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6"/>
      <c r="AE537" s="16"/>
      <c r="AF537" s="16"/>
      <c r="AG537" s="16"/>
      <c r="AH537" s="16"/>
    </row>
    <row r="538" spans="1:34" ht="23.25" customHeight="1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6"/>
      <c r="AE538" s="16"/>
      <c r="AF538" s="16"/>
      <c r="AG538" s="16"/>
      <c r="AH538" s="16"/>
    </row>
    <row r="539" spans="1:34" ht="23.25" customHeight="1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6"/>
      <c r="AE539" s="16"/>
      <c r="AF539" s="16"/>
      <c r="AG539" s="16"/>
      <c r="AH539" s="16"/>
    </row>
    <row r="540" spans="1:34" ht="23.25" customHeight="1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6"/>
      <c r="AE540" s="16"/>
      <c r="AF540" s="16"/>
      <c r="AG540" s="16"/>
      <c r="AH540" s="16"/>
    </row>
    <row r="541" spans="1:34" ht="23.25" customHeight="1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6"/>
      <c r="AE541" s="16"/>
      <c r="AF541" s="16"/>
      <c r="AG541" s="16"/>
      <c r="AH541" s="16"/>
    </row>
    <row r="542" spans="1:34" ht="23.25" customHeight="1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6"/>
      <c r="AE542" s="16"/>
      <c r="AF542" s="16"/>
      <c r="AG542" s="16"/>
      <c r="AH542" s="16"/>
    </row>
    <row r="543" spans="1:34" ht="23.25" customHeight="1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6"/>
      <c r="AE543" s="16"/>
      <c r="AF543" s="16"/>
      <c r="AG543" s="16"/>
      <c r="AH543" s="16"/>
    </row>
    <row r="544" spans="1:34" ht="23.25" customHeight="1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6"/>
      <c r="AE544" s="16"/>
      <c r="AF544" s="16"/>
      <c r="AG544" s="16"/>
      <c r="AH544" s="16"/>
    </row>
    <row r="545" spans="1:34" ht="23.25" customHeight="1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6"/>
      <c r="AE545" s="16"/>
      <c r="AF545" s="16"/>
      <c r="AG545" s="16"/>
      <c r="AH545" s="16"/>
    </row>
    <row r="546" spans="1:34" ht="23.25" customHeight="1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6"/>
      <c r="AE546" s="16"/>
      <c r="AF546" s="16"/>
      <c r="AG546" s="16"/>
      <c r="AH546" s="16"/>
    </row>
    <row r="547" spans="1:34" ht="23.25" customHeight="1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6"/>
      <c r="AE547" s="16"/>
      <c r="AF547" s="16"/>
      <c r="AG547" s="16"/>
      <c r="AH547" s="16"/>
    </row>
    <row r="548" spans="1:34" ht="23.25" customHeight="1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6"/>
      <c r="AE548" s="16"/>
      <c r="AF548" s="16"/>
      <c r="AG548" s="16"/>
      <c r="AH548" s="16"/>
    </row>
    <row r="549" spans="1:34" ht="23.25" customHeight="1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6"/>
      <c r="AE549" s="16"/>
      <c r="AF549" s="16"/>
      <c r="AG549" s="16"/>
      <c r="AH549" s="16"/>
    </row>
    <row r="550" spans="1:34" ht="23.25" customHeight="1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6"/>
      <c r="AE550" s="16"/>
      <c r="AF550" s="16"/>
      <c r="AG550" s="16"/>
      <c r="AH550" s="16"/>
    </row>
    <row r="551" spans="1:34" ht="23.25" customHeight="1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6"/>
      <c r="AE551" s="16"/>
      <c r="AF551" s="16"/>
      <c r="AG551" s="16"/>
      <c r="AH551" s="16"/>
    </row>
    <row r="552" spans="1:34" ht="23.25" customHeight="1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6"/>
      <c r="AE552" s="16"/>
      <c r="AF552" s="16"/>
      <c r="AG552" s="16"/>
      <c r="AH552" s="16"/>
    </row>
    <row r="553" spans="1:34" ht="23.25" customHeight="1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6"/>
      <c r="AE553" s="16"/>
      <c r="AF553" s="16"/>
      <c r="AG553" s="16"/>
      <c r="AH553" s="16"/>
    </row>
    <row r="554" spans="1:34" ht="23.25" customHeight="1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6"/>
      <c r="AE554" s="16"/>
      <c r="AF554" s="16"/>
      <c r="AG554" s="16"/>
      <c r="AH554" s="16"/>
    </row>
    <row r="555" spans="1:34" ht="23.25" customHeight="1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6"/>
      <c r="AE555" s="16"/>
      <c r="AF555" s="16"/>
      <c r="AG555" s="16"/>
      <c r="AH555" s="16"/>
    </row>
    <row r="556" spans="1:34" ht="23.25" customHeight="1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6"/>
      <c r="AE556" s="16"/>
      <c r="AF556" s="16"/>
      <c r="AG556" s="16"/>
      <c r="AH556" s="16"/>
    </row>
    <row r="557" spans="1:34" ht="23.25" customHeight="1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6"/>
      <c r="AE557" s="16"/>
      <c r="AF557" s="16"/>
      <c r="AG557" s="16"/>
      <c r="AH557" s="16"/>
    </row>
    <row r="558" spans="1:34" ht="23.25" customHeight="1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6"/>
      <c r="AE558" s="16"/>
      <c r="AF558" s="16"/>
      <c r="AG558" s="16"/>
      <c r="AH558" s="16"/>
    </row>
    <row r="559" spans="1:34" ht="23.25" customHeight="1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6"/>
      <c r="AE559" s="16"/>
      <c r="AF559" s="16"/>
      <c r="AG559" s="16"/>
      <c r="AH559" s="16"/>
    </row>
    <row r="560" spans="1:34" ht="23.25" customHeight="1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6"/>
      <c r="AE560" s="16"/>
      <c r="AF560" s="16"/>
      <c r="AG560" s="16"/>
      <c r="AH560" s="16"/>
    </row>
    <row r="561" spans="1:34" ht="23.25" customHeight="1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6"/>
      <c r="AE561" s="16"/>
      <c r="AF561" s="16"/>
      <c r="AG561" s="16"/>
      <c r="AH561" s="16"/>
    </row>
    <row r="562" spans="1:34" ht="23.25" customHeight="1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6"/>
      <c r="AE562" s="16"/>
      <c r="AF562" s="16"/>
      <c r="AG562" s="16"/>
      <c r="AH562" s="16"/>
    </row>
    <row r="563" spans="1:34" ht="23.25" customHeight="1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6"/>
      <c r="AE563" s="16"/>
      <c r="AF563" s="16"/>
      <c r="AG563" s="16"/>
      <c r="AH563" s="16"/>
    </row>
    <row r="564" spans="1:34" ht="23.25" customHeight="1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6"/>
      <c r="AE564" s="16"/>
      <c r="AF564" s="16"/>
      <c r="AG564" s="16"/>
      <c r="AH564" s="16"/>
    </row>
    <row r="565" spans="1:34" ht="23.25" customHeight="1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6"/>
      <c r="AE565" s="16"/>
      <c r="AF565" s="16"/>
      <c r="AG565" s="16"/>
      <c r="AH565" s="16"/>
    </row>
    <row r="566" spans="1:34" ht="23.25" customHeight="1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6"/>
      <c r="AE566" s="16"/>
      <c r="AF566" s="16"/>
      <c r="AG566" s="16"/>
      <c r="AH566" s="16"/>
    </row>
    <row r="567" spans="1:34" ht="23.25" customHeight="1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6"/>
      <c r="AE567" s="16"/>
      <c r="AF567" s="16"/>
      <c r="AG567" s="16"/>
      <c r="AH567" s="16"/>
    </row>
    <row r="568" spans="1:34" ht="23.25" customHeight="1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6"/>
      <c r="AE568" s="16"/>
      <c r="AF568" s="16"/>
      <c r="AG568" s="16"/>
      <c r="AH568" s="16"/>
    </row>
    <row r="569" spans="1:34" ht="23.25" customHeight="1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6"/>
      <c r="AE569" s="16"/>
      <c r="AF569" s="16"/>
      <c r="AG569" s="16"/>
      <c r="AH569" s="16"/>
    </row>
    <row r="570" spans="1:34" ht="23.25" customHeight="1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6"/>
      <c r="AE570" s="16"/>
      <c r="AF570" s="16"/>
      <c r="AG570" s="16"/>
      <c r="AH570" s="16"/>
    </row>
    <row r="571" spans="1:34" ht="23.25" customHeight="1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6"/>
      <c r="AE571" s="16"/>
      <c r="AF571" s="16"/>
      <c r="AG571" s="16"/>
      <c r="AH571" s="16"/>
    </row>
    <row r="572" spans="1:34" ht="23.25" customHeight="1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6"/>
      <c r="AE572" s="16"/>
      <c r="AF572" s="16"/>
      <c r="AG572" s="16"/>
      <c r="AH572" s="16"/>
    </row>
    <row r="573" spans="1:34" ht="23.25" customHeight="1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6"/>
      <c r="AE573" s="16"/>
      <c r="AF573" s="16"/>
      <c r="AG573" s="16"/>
      <c r="AH573" s="16"/>
    </row>
    <row r="574" spans="1:34" ht="23.25" customHeight="1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6"/>
      <c r="AE574" s="16"/>
      <c r="AF574" s="16"/>
      <c r="AG574" s="16"/>
      <c r="AH574" s="16"/>
    </row>
    <row r="575" spans="1:34" ht="23.25" customHeight="1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6"/>
      <c r="AE575" s="16"/>
      <c r="AF575" s="16"/>
      <c r="AG575" s="16"/>
      <c r="AH575" s="16"/>
    </row>
    <row r="576" spans="1:34" ht="23.25" customHeight="1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6"/>
      <c r="AE576" s="16"/>
      <c r="AF576" s="16"/>
      <c r="AG576" s="16"/>
      <c r="AH576" s="16"/>
    </row>
    <row r="577" spans="1:34" ht="23.25" customHeight="1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6"/>
      <c r="AE577" s="16"/>
      <c r="AF577" s="16"/>
      <c r="AG577" s="16"/>
      <c r="AH577" s="16"/>
    </row>
    <row r="578" spans="1:34" ht="23.25" customHeight="1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6"/>
      <c r="AE578" s="16"/>
      <c r="AF578" s="16"/>
      <c r="AG578" s="16"/>
      <c r="AH578" s="16"/>
    </row>
    <row r="579" spans="1:34" ht="23.25" customHeight="1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6"/>
      <c r="AE579" s="16"/>
      <c r="AF579" s="16"/>
      <c r="AG579" s="16"/>
      <c r="AH579" s="16"/>
    </row>
    <row r="580" spans="1:34" ht="23.25" customHeight="1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6"/>
      <c r="AE580" s="16"/>
      <c r="AF580" s="16"/>
      <c r="AG580" s="16"/>
      <c r="AH580" s="16"/>
    </row>
    <row r="581" spans="1:34" ht="23.25" customHeight="1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6"/>
      <c r="AE581" s="16"/>
      <c r="AF581" s="16"/>
      <c r="AG581" s="16"/>
      <c r="AH581" s="16"/>
    </row>
    <row r="582" spans="1:34" ht="23.25" customHeight="1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6"/>
      <c r="AE582" s="16"/>
      <c r="AF582" s="16"/>
      <c r="AG582" s="16"/>
      <c r="AH582" s="16"/>
    </row>
    <row r="583" spans="1:34" ht="23.25" customHeight="1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6"/>
      <c r="AE583" s="16"/>
      <c r="AF583" s="16"/>
      <c r="AG583" s="16"/>
      <c r="AH583" s="16"/>
    </row>
    <row r="584" spans="1:34" ht="23.25" customHeight="1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6"/>
      <c r="AE584" s="16"/>
      <c r="AF584" s="16"/>
      <c r="AG584" s="16"/>
      <c r="AH584" s="16"/>
    </row>
    <row r="585" spans="1:34" ht="23.25" customHeight="1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6"/>
      <c r="AE585" s="16"/>
      <c r="AF585" s="16"/>
      <c r="AG585" s="16"/>
      <c r="AH585" s="16"/>
    </row>
    <row r="586" spans="1:34" ht="23.25" customHeight="1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6"/>
      <c r="AE586" s="16"/>
      <c r="AF586" s="16"/>
      <c r="AG586" s="16"/>
      <c r="AH586" s="16"/>
    </row>
    <row r="587" spans="1:34" ht="23.25" customHeight="1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6"/>
      <c r="AE587" s="16"/>
      <c r="AF587" s="16"/>
      <c r="AG587" s="16"/>
      <c r="AH587" s="16"/>
    </row>
    <row r="588" spans="1:34" ht="23.25" customHeight="1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6"/>
      <c r="AE588" s="16"/>
      <c r="AF588" s="16"/>
      <c r="AG588" s="16"/>
      <c r="AH588" s="16"/>
    </row>
    <row r="589" spans="1:34" ht="23.25" customHeight="1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6"/>
      <c r="AE589" s="16"/>
      <c r="AF589" s="16"/>
      <c r="AG589" s="16"/>
      <c r="AH589" s="16"/>
    </row>
    <row r="590" spans="1:34" ht="23.25" customHeight="1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6"/>
      <c r="AE590" s="16"/>
      <c r="AF590" s="16"/>
      <c r="AG590" s="16"/>
      <c r="AH590" s="16"/>
    </row>
    <row r="591" spans="1:34" ht="23.25" customHeight="1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6"/>
      <c r="AE591" s="16"/>
      <c r="AF591" s="16"/>
      <c r="AG591" s="16"/>
      <c r="AH591" s="16"/>
    </row>
    <row r="592" spans="1:34" ht="23.25" customHeight="1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6"/>
      <c r="AE592" s="16"/>
      <c r="AF592" s="16"/>
      <c r="AG592" s="16"/>
      <c r="AH592" s="16"/>
    </row>
    <row r="593" spans="1:34" ht="23.25" customHeight="1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6"/>
      <c r="AE593" s="16"/>
      <c r="AF593" s="16"/>
      <c r="AG593" s="16"/>
      <c r="AH593" s="16"/>
    </row>
    <row r="594" spans="1:34" ht="23.25" customHeight="1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6"/>
      <c r="AE594" s="16"/>
      <c r="AF594" s="16"/>
      <c r="AG594" s="16"/>
      <c r="AH594" s="16"/>
    </row>
    <row r="595" spans="1:34" ht="23.25" customHeight="1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6"/>
      <c r="AE595" s="16"/>
      <c r="AF595" s="16"/>
      <c r="AG595" s="16"/>
      <c r="AH595" s="16"/>
    </row>
    <row r="596" spans="1:34" ht="23.25" customHeight="1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6"/>
      <c r="AE596" s="16"/>
      <c r="AF596" s="16"/>
      <c r="AG596" s="16"/>
      <c r="AH596" s="16"/>
    </row>
    <row r="597" spans="1:34" ht="23.25" customHeight="1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6"/>
      <c r="AE597" s="16"/>
      <c r="AF597" s="16"/>
      <c r="AG597" s="16"/>
      <c r="AH597" s="16"/>
    </row>
    <row r="598" spans="1:34" ht="23.25" customHeight="1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6"/>
      <c r="AE598" s="16"/>
      <c r="AF598" s="16"/>
      <c r="AG598" s="16"/>
      <c r="AH598" s="16"/>
    </row>
    <row r="599" spans="1:34" ht="23.25" customHeight="1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6"/>
      <c r="AE599" s="16"/>
      <c r="AF599" s="16"/>
      <c r="AG599" s="16"/>
      <c r="AH599" s="16"/>
    </row>
    <row r="600" spans="1:34" ht="23.25" customHeight="1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6"/>
      <c r="AE600" s="16"/>
      <c r="AF600" s="16"/>
      <c r="AG600" s="16"/>
      <c r="AH600" s="16"/>
    </row>
    <row r="601" spans="1:34" ht="23.25" customHeight="1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6"/>
      <c r="AE601" s="16"/>
      <c r="AF601" s="16"/>
      <c r="AG601" s="16"/>
      <c r="AH601" s="16"/>
    </row>
    <row r="602" spans="1:34" ht="23.25" customHeight="1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6"/>
      <c r="AE602" s="16"/>
      <c r="AF602" s="16"/>
      <c r="AG602" s="16"/>
      <c r="AH602" s="16"/>
    </row>
    <row r="603" spans="1:34" ht="23.25" customHeight="1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6"/>
      <c r="AE603" s="16"/>
      <c r="AF603" s="16"/>
      <c r="AG603" s="16"/>
      <c r="AH603" s="16"/>
    </row>
    <row r="604" spans="1:34" ht="23.25" customHeight="1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6"/>
      <c r="AE604" s="16"/>
      <c r="AF604" s="16"/>
      <c r="AG604" s="16"/>
      <c r="AH604" s="16"/>
    </row>
    <row r="605" spans="1:34" ht="23.25" customHeight="1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6"/>
      <c r="AE605" s="16"/>
      <c r="AF605" s="16"/>
      <c r="AG605" s="16"/>
      <c r="AH605" s="16"/>
    </row>
    <row r="606" spans="1:34" ht="23.25" customHeight="1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6"/>
      <c r="AE606" s="16"/>
      <c r="AF606" s="16"/>
      <c r="AG606" s="16"/>
      <c r="AH606" s="16"/>
    </row>
    <row r="607" spans="1:34" ht="23.25" customHeight="1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6"/>
      <c r="AE607" s="16"/>
      <c r="AF607" s="16"/>
      <c r="AG607" s="16"/>
      <c r="AH607" s="16"/>
    </row>
    <row r="608" spans="1:34" ht="23.25" customHeight="1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6"/>
      <c r="AE608" s="16"/>
      <c r="AF608" s="16"/>
      <c r="AG608" s="16"/>
      <c r="AH608" s="16"/>
    </row>
    <row r="609" spans="1:34" ht="23.25" customHeight="1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6"/>
      <c r="AE609" s="16"/>
      <c r="AF609" s="16"/>
      <c r="AG609" s="16"/>
      <c r="AH609" s="16"/>
    </row>
    <row r="610" spans="1:34" ht="23.25" customHeight="1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6"/>
      <c r="AE610" s="16"/>
      <c r="AF610" s="16"/>
      <c r="AG610" s="16"/>
      <c r="AH610" s="16"/>
    </row>
    <row r="611" spans="1:34" ht="23.25" customHeight="1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6"/>
      <c r="AE611" s="16"/>
      <c r="AF611" s="16"/>
      <c r="AG611" s="16"/>
      <c r="AH611" s="16"/>
    </row>
    <row r="612" spans="1:34" ht="23.25" customHeight="1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6"/>
      <c r="AE612" s="16"/>
      <c r="AF612" s="16"/>
      <c r="AG612" s="16"/>
      <c r="AH612" s="16"/>
    </row>
    <row r="613" spans="1:34" ht="23.25" customHeight="1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6"/>
      <c r="AE613" s="16"/>
      <c r="AF613" s="16"/>
      <c r="AG613" s="16"/>
      <c r="AH613" s="16"/>
    </row>
    <row r="614" spans="1:34" ht="23.25" customHeight="1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6"/>
      <c r="AE614" s="16"/>
      <c r="AF614" s="16"/>
      <c r="AG614" s="16"/>
      <c r="AH614" s="16"/>
    </row>
    <row r="615" spans="1:34" ht="23.25" customHeight="1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6"/>
      <c r="AE615" s="16"/>
      <c r="AF615" s="16"/>
      <c r="AG615" s="16"/>
      <c r="AH615" s="16"/>
    </row>
    <row r="616" spans="1:34" ht="23.25" customHeight="1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6"/>
      <c r="AE616" s="16"/>
      <c r="AF616" s="16"/>
      <c r="AG616" s="16"/>
      <c r="AH616" s="16"/>
    </row>
    <row r="617" spans="1:34" ht="23.25" customHeight="1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6"/>
      <c r="AE617" s="16"/>
      <c r="AF617" s="16"/>
      <c r="AG617" s="16"/>
      <c r="AH617" s="16"/>
    </row>
    <row r="618" spans="1:34" ht="23.25" customHeight="1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6"/>
      <c r="AE618" s="16"/>
      <c r="AF618" s="16"/>
      <c r="AG618" s="16"/>
      <c r="AH618" s="16"/>
    </row>
    <row r="619" spans="1:34" ht="23.25" customHeight="1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6"/>
      <c r="AE619" s="16"/>
      <c r="AF619" s="16"/>
      <c r="AG619" s="16"/>
      <c r="AH619" s="16"/>
    </row>
    <row r="620" spans="1:34" ht="23.25" customHeight="1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6"/>
      <c r="AE620" s="16"/>
      <c r="AF620" s="16"/>
      <c r="AG620" s="16"/>
      <c r="AH620" s="16"/>
    </row>
    <row r="621" spans="1:34" ht="23.25" customHeight="1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6"/>
      <c r="AE621" s="16"/>
      <c r="AF621" s="16"/>
      <c r="AG621" s="16"/>
      <c r="AH621" s="16"/>
    </row>
    <row r="622" spans="1:34" ht="23.25" customHeight="1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6"/>
      <c r="AE622" s="16"/>
      <c r="AF622" s="16"/>
      <c r="AG622" s="16"/>
      <c r="AH622" s="16"/>
    </row>
    <row r="623" spans="1:34" ht="23.25" customHeight="1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6"/>
      <c r="AE623" s="16"/>
      <c r="AF623" s="16"/>
      <c r="AG623" s="16"/>
      <c r="AH623" s="16"/>
    </row>
    <row r="624" spans="1:34" ht="23.25" customHeight="1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6"/>
      <c r="AE624" s="16"/>
      <c r="AF624" s="16"/>
      <c r="AG624" s="16"/>
      <c r="AH624" s="16"/>
    </row>
    <row r="625" spans="1:34" ht="23.25" customHeight="1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6"/>
      <c r="AE625" s="16"/>
      <c r="AF625" s="16"/>
      <c r="AG625" s="16"/>
      <c r="AH625" s="16"/>
    </row>
    <row r="626" spans="1:34" ht="23.25" customHeight="1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6"/>
      <c r="AE626" s="16"/>
      <c r="AF626" s="16"/>
      <c r="AG626" s="16"/>
      <c r="AH626" s="16"/>
    </row>
    <row r="627" spans="1:34" ht="23.25" customHeight="1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6"/>
      <c r="AE627" s="16"/>
      <c r="AF627" s="16"/>
      <c r="AG627" s="16"/>
      <c r="AH627" s="16"/>
    </row>
    <row r="628" spans="1:34" ht="23.25" customHeight="1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6"/>
      <c r="AE628" s="16"/>
      <c r="AF628" s="16"/>
      <c r="AG628" s="16"/>
      <c r="AH628" s="16"/>
    </row>
    <row r="629" spans="1:34" ht="23.25" customHeight="1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6"/>
      <c r="AE629" s="16"/>
      <c r="AF629" s="16"/>
      <c r="AG629" s="16"/>
      <c r="AH629" s="16"/>
    </row>
    <row r="630" spans="1:34" ht="23.25" customHeight="1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6"/>
      <c r="AE630" s="16"/>
      <c r="AF630" s="16"/>
      <c r="AG630" s="16"/>
      <c r="AH630" s="16"/>
    </row>
    <row r="631" spans="1:34" ht="23.25" customHeight="1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6"/>
      <c r="AE631" s="16"/>
      <c r="AF631" s="16"/>
      <c r="AG631" s="16"/>
      <c r="AH631" s="16"/>
    </row>
    <row r="632" spans="1:34" ht="23.25" customHeight="1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6"/>
      <c r="AE632" s="16"/>
      <c r="AF632" s="16"/>
      <c r="AG632" s="16"/>
      <c r="AH632" s="16"/>
    </row>
    <row r="633" spans="1:34" ht="23.25" customHeight="1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6"/>
      <c r="AE633" s="16"/>
      <c r="AF633" s="16"/>
      <c r="AG633" s="16"/>
      <c r="AH633" s="16"/>
    </row>
    <row r="634" spans="1:34" ht="23.25" customHeight="1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6"/>
      <c r="AE634" s="16"/>
      <c r="AF634" s="16"/>
      <c r="AG634" s="16"/>
      <c r="AH634" s="16"/>
    </row>
    <row r="635" spans="1:34" ht="23.25" customHeight="1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6"/>
      <c r="AE635" s="16"/>
      <c r="AF635" s="16"/>
      <c r="AG635" s="16"/>
      <c r="AH635" s="16"/>
    </row>
    <row r="636" spans="1:34" ht="23.25" customHeight="1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6"/>
      <c r="AE636" s="16"/>
      <c r="AF636" s="16"/>
      <c r="AG636" s="16"/>
      <c r="AH636" s="16"/>
    </row>
    <row r="637" spans="1:34" ht="23.25" customHeight="1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6"/>
      <c r="AE637" s="16"/>
      <c r="AF637" s="16"/>
      <c r="AG637" s="16"/>
      <c r="AH637" s="16"/>
    </row>
    <row r="638" spans="1:34" ht="23.25" customHeight="1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6"/>
      <c r="AE638" s="16"/>
      <c r="AF638" s="16"/>
      <c r="AG638" s="16"/>
      <c r="AH638" s="16"/>
    </row>
    <row r="639" spans="1:34" ht="23.25" customHeight="1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6"/>
      <c r="AE639" s="16"/>
      <c r="AF639" s="16"/>
      <c r="AG639" s="16"/>
      <c r="AH639" s="16"/>
    </row>
    <row r="640" spans="1:34" ht="23.25" customHeight="1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6"/>
      <c r="AE640" s="16"/>
      <c r="AF640" s="16"/>
      <c r="AG640" s="16"/>
      <c r="AH640" s="16"/>
    </row>
    <row r="641" spans="1:34" ht="23.25" customHeight="1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6"/>
      <c r="AE641" s="16"/>
      <c r="AF641" s="16"/>
      <c r="AG641" s="16"/>
      <c r="AH641" s="16"/>
    </row>
    <row r="642" spans="1:34" ht="23.25" customHeight="1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6"/>
      <c r="AE642" s="16"/>
      <c r="AF642" s="16"/>
      <c r="AG642" s="16"/>
      <c r="AH642" s="16"/>
    </row>
    <row r="643" spans="1:34" ht="23.25" customHeight="1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6"/>
      <c r="AE643" s="16"/>
      <c r="AF643" s="16"/>
      <c r="AG643" s="16"/>
      <c r="AH643" s="16"/>
    </row>
    <row r="644" spans="1:34" ht="23.25" customHeight="1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6"/>
      <c r="AE644" s="16"/>
      <c r="AF644" s="16"/>
      <c r="AG644" s="16"/>
      <c r="AH644" s="16"/>
    </row>
    <row r="645" spans="1:34" ht="23.25" customHeight="1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6"/>
      <c r="AE645" s="16"/>
      <c r="AF645" s="16"/>
      <c r="AG645" s="16"/>
      <c r="AH645" s="16"/>
    </row>
    <row r="646" spans="1:34" ht="23.25" customHeight="1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6"/>
      <c r="AE646" s="16"/>
      <c r="AF646" s="16"/>
      <c r="AG646" s="16"/>
      <c r="AH646" s="16"/>
    </row>
    <row r="647" spans="1:34" ht="23.25" customHeight="1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6"/>
      <c r="AE647" s="16"/>
      <c r="AF647" s="16"/>
      <c r="AG647" s="16"/>
      <c r="AH647" s="16"/>
    </row>
    <row r="648" spans="1:34" ht="23.25" customHeight="1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6"/>
      <c r="AE648" s="16"/>
      <c r="AF648" s="16"/>
      <c r="AG648" s="16"/>
      <c r="AH648" s="16"/>
    </row>
    <row r="649" spans="1:34" ht="23.25" customHeight="1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6"/>
      <c r="AE649" s="16"/>
      <c r="AF649" s="16"/>
      <c r="AG649" s="16"/>
      <c r="AH649" s="16"/>
    </row>
    <row r="650" spans="1:34" ht="23.25" customHeight="1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6"/>
      <c r="AE650" s="16"/>
      <c r="AF650" s="16"/>
      <c r="AG650" s="16"/>
      <c r="AH650" s="16"/>
    </row>
    <row r="651" spans="1:34" ht="23.25" customHeight="1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6"/>
      <c r="AE651" s="16"/>
      <c r="AF651" s="16"/>
      <c r="AG651" s="16"/>
      <c r="AH651" s="16"/>
    </row>
    <row r="652" spans="1:34" ht="23.25" customHeight="1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6"/>
      <c r="AE652" s="16"/>
      <c r="AF652" s="16"/>
      <c r="AG652" s="16"/>
      <c r="AH652" s="16"/>
    </row>
    <row r="653" spans="1:34" ht="23.25" customHeight="1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6"/>
      <c r="AE653" s="16"/>
      <c r="AF653" s="16"/>
      <c r="AG653" s="16"/>
      <c r="AH653" s="16"/>
    </row>
    <row r="654" spans="1:34" ht="23.25" customHeight="1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6"/>
      <c r="AE654" s="16"/>
      <c r="AF654" s="16"/>
      <c r="AG654" s="16"/>
      <c r="AH654" s="16"/>
    </row>
    <row r="655" spans="1:34" ht="23.25" customHeight="1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6"/>
      <c r="AE655" s="16"/>
      <c r="AF655" s="16"/>
      <c r="AG655" s="16"/>
      <c r="AH655" s="16"/>
    </row>
    <row r="656" spans="1:34" ht="23.25" customHeight="1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6"/>
      <c r="AE656" s="16"/>
      <c r="AF656" s="16"/>
      <c r="AG656" s="16"/>
      <c r="AH656" s="16"/>
    </row>
    <row r="657" spans="1:34" ht="23.25" customHeight="1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6"/>
      <c r="AE657" s="16"/>
      <c r="AF657" s="16"/>
      <c r="AG657" s="16"/>
      <c r="AH657" s="16"/>
    </row>
    <row r="658" spans="1:34" ht="23.25" customHeight="1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6"/>
      <c r="AE658" s="16"/>
      <c r="AF658" s="16"/>
      <c r="AG658" s="16"/>
      <c r="AH658" s="16"/>
    </row>
    <row r="659" spans="1:34" ht="23.25" customHeight="1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6"/>
      <c r="AE659" s="16"/>
      <c r="AF659" s="16"/>
      <c r="AG659" s="16"/>
      <c r="AH659" s="16"/>
    </row>
    <row r="660" spans="1:34" ht="23.25" customHeight="1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6"/>
      <c r="AE660" s="16"/>
      <c r="AF660" s="16"/>
      <c r="AG660" s="16"/>
      <c r="AH660" s="16"/>
    </row>
    <row r="661" spans="1:34" ht="23.25" customHeight="1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6"/>
      <c r="AE661" s="16"/>
      <c r="AF661" s="16"/>
      <c r="AG661" s="16"/>
      <c r="AH661" s="16"/>
    </row>
    <row r="662" spans="1:34" ht="23.25" customHeight="1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6"/>
      <c r="AE662" s="16"/>
      <c r="AF662" s="16"/>
      <c r="AG662" s="16"/>
      <c r="AH662" s="16"/>
    </row>
    <row r="663" spans="1:34" ht="23.25" customHeight="1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6"/>
      <c r="AE663" s="16"/>
      <c r="AF663" s="16"/>
      <c r="AG663" s="16"/>
      <c r="AH663" s="16"/>
    </row>
    <row r="664" spans="1:34" ht="23.25" customHeight="1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6"/>
      <c r="AE664" s="16"/>
      <c r="AF664" s="16"/>
      <c r="AG664" s="16"/>
      <c r="AH664" s="16"/>
    </row>
    <row r="665" spans="1:34" ht="23.25" customHeight="1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6"/>
      <c r="AE665" s="16"/>
      <c r="AF665" s="16"/>
      <c r="AG665" s="16"/>
      <c r="AH665" s="16"/>
    </row>
    <row r="666" spans="1:34" ht="23.25" customHeight="1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6"/>
      <c r="AE666" s="16"/>
      <c r="AF666" s="16"/>
      <c r="AG666" s="16"/>
      <c r="AH666" s="16"/>
    </row>
    <row r="667" spans="1:34" ht="23.25" customHeight="1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6"/>
      <c r="AE667" s="16"/>
      <c r="AF667" s="16"/>
      <c r="AG667" s="16"/>
      <c r="AH667" s="16"/>
    </row>
    <row r="668" spans="1:34" ht="23.25" customHeight="1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6"/>
      <c r="AE668" s="16"/>
      <c r="AF668" s="16"/>
      <c r="AG668" s="16"/>
      <c r="AH668" s="16"/>
    </row>
    <row r="669" spans="1:34" ht="23.25" customHeight="1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6"/>
      <c r="AE669" s="16"/>
      <c r="AF669" s="16"/>
      <c r="AG669" s="16"/>
      <c r="AH669" s="16"/>
    </row>
    <row r="670" spans="1:34" ht="23.25" customHeight="1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6"/>
      <c r="AE670" s="16"/>
      <c r="AF670" s="16"/>
      <c r="AG670" s="16"/>
      <c r="AH670" s="16"/>
    </row>
    <row r="671" spans="1:34" ht="23.25" customHeight="1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6"/>
      <c r="AE671" s="16"/>
      <c r="AF671" s="16"/>
      <c r="AG671" s="16"/>
      <c r="AH671" s="16"/>
    </row>
    <row r="672" spans="1:34" ht="23.25" customHeight="1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6"/>
      <c r="AE672" s="16"/>
      <c r="AF672" s="16"/>
      <c r="AG672" s="16"/>
      <c r="AH672" s="16"/>
    </row>
    <row r="673" spans="1:34" ht="23.25" customHeight="1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6"/>
      <c r="AE673" s="16"/>
      <c r="AF673" s="16"/>
      <c r="AG673" s="16"/>
      <c r="AH673" s="16"/>
    </row>
    <row r="674" spans="1:34" ht="23.25" customHeight="1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6"/>
      <c r="AE674" s="16"/>
      <c r="AF674" s="16"/>
      <c r="AG674" s="16"/>
      <c r="AH674" s="16"/>
    </row>
    <row r="675" spans="1:34" ht="23.25" customHeight="1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6"/>
      <c r="AE675" s="16"/>
      <c r="AF675" s="16"/>
      <c r="AG675" s="16"/>
      <c r="AH675" s="16"/>
    </row>
    <row r="676" spans="1:34" ht="23.25" customHeight="1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6"/>
      <c r="AE676" s="16"/>
      <c r="AF676" s="16"/>
      <c r="AG676" s="16"/>
      <c r="AH676" s="16"/>
    </row>
    <row r="677" spans="1:34" ht="23.25" customHeight="1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6"/>
      <c r="AE677" s="16"/>
      <c r="AF677" s="16"/>
      <c r="AG677" s="16"/>
      <c r="AH677" s="16"/>
    </row>
    <row r="678" spans="1:34" ht="23.25" customHeight="1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6"/>
      <c r="AE678" s="16"/>
      <c r="AF678" s="16"/>
      <c r="AG678" s="16"/>
      <c r="AH678" s="16"/>
    </row>
    <row r="679" spans="1:34" ht="23.25" customHeight="1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6"/>
      <c r="AE679" s="16"/>
      <c r="AF679" s="16"/>
      <c r="AG679" s="16"/>
      <c r="AH679" s="16"/>
    </row>
    <row r="680" spans="1:34" ht="23.25" customHeight="1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6"/>
      <c r="AE680" s="16"/>
      <c r="AF680" s="16"/>
      <c r="AG680" s="16"/>
      <c r="AH680" s="16"/>
    </row>
    <row r="681" spans="1:34" ht="23.25" customHeight="1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6"/>
      <c r="AE681" s="16"/>
      <c r="AF681" s="16"/>
      <c r="AG681" s="16"/>
      <c r="AH681" s="16"/>
    </row>
    <row r="682" spans="1:34" ht="23.25" customHeight="1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6"/>
      <c r="AE682" s="16"/>
      <c r="AF682" s="16"/>
      <c r="AG682" s="16"/>
      <c r="AH682" s="16"/>
    </row>
    <row r="683" spans="1:34" ht="23.25" customHeight="1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6"/>
      <c r="AE683" s="16"/>
      <c r="AF683" s="16"/>
      <c r="AG683" s="16"/>
      <c r="AH683" s="16"/>
    </row>
    <row r="684" spans="1:34" ht="23.25" customHeight="1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6"/>
      <c r="AE684" s="16"/>
      <c r="AF684" s="16"/>
      <c r="AG684" s="16"/>
      <c r="AH684" s="16"/>
    </row>
    <row r="685" spans="1:34" ht="23.25" customHeight="1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6"/>
      <c r="AE685" s="16"/>
      <c r="AF685" s="16"/>
      <c r="AG685" s="16"/>
      <c r="AH685" s="16"/>
    </row>
    <row r="686" spans="1:34" ht="23.25" customHeight="1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6"/>
      <c r="AE686" s="16"/>
      <c r="AF686" s="16"/>
      <c r="AG686" s="16"/>
      <c r="AH686" s="16"/>
    </row>
    <row r="687" spans="1:34" ht="23.25" customHeight="1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6"/>
      <c r="AE687" s="16"/>
      <c r="AF687" s="16"/>
      <c r="AG687" s="16"/>
      <c r="AH687" s="16"/>
    </row>
    <row r="688" spans="1:34" ht="23.25" customHeight="1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6"/>
      <c r="AE688" s="16"/>
      <c r="AF688" s="16"/>
      <c r="AG688" s="16"/>
      <c r="AH688" s="16"/>
    </row>
    <row r="689" spans="1:34" ht="23.25" customHeight="1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6"/>
      <c r="AE689" s="16"/>
      <c r="AF689" s="16"/>
      <c r="AG689" s="16"/>
      <c r="AH689" s="16"/>
    </row>
    <row r="690" spans="1:34" ht="23.25" customHeight="1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6"/>
      <c r="AE690" s="16"/>
      <c r="AF690" s="16"/>
      <c r="AG690" s="16"/>
      <c r="AH690" s="16"/>
    </row>
    <row r="691" spans="1:34" ht="23.25" customHeight="1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6"/>
      <c r="AE691" s="16"/>
      <c r="AF691" s="16"/>
      <c r="AG691" s="16"/>
      <c r="AH691" s="16"/>
    </row>
    <row r="692" spans="1:34" ht="23.25" customHeight="1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6"/>
      <c r="AE692" s="16"/>
      <c r="AF692" s="16"/>
      <c r="AG692" s="16"/>
      <c r="AH692" s="16"/>
    </row>
    <row r="693" spans="1:34" ht="23.25" customHeight="1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6"/>
      <c r="AE693" s="16"/>
      <c r="AF693" s="16"/>
      <c r="AG693" s="16"/>
      <c r="AH693" s="16"/>
    </row>
    <row r="694" spans="1:34" ht="23.25" customHeight="1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6"/>
      <c r="AE694" s="16"/>
      <c r="AF694" s="16"/>
      <c r="AG694" s="16"/>
      <c r="AH694" s="16"/>
    </row>
    <row r="695" spans="1:34" ht="23.25" customHeight="1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6"/>
      <c r="AE695" s="16"/>
      <c r="AF695" s="16"/>
      <c r="AG695" s="16"/>
      <c r="AH695" s="16"/>
    </row>
    <row r="696" spans="1:34" ht="23.25" customHeight="1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6"/>
      <c r="AE696" s="16"/>
      <c r="AF696" s="16"/>
      <c r="AG696" s="16"/>
      <c r="AH696" s="16"/>
    </row>
    <row r="697" spans="1:34" ht="23.25" customHeight="1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6"/>
      <c r="AE697" s="16"/>
      <c r="AF697" s="16"/>
      <c r="AG697" s="16"/>
      <c r="AH697" s="16"/>
    </row>
    <row r="698" spans="1:34" ht="23.25" customHeight="1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6"/>
      <c r="AE698" s="16"/>
      <c r="AF698" s="16"/>
      <c r="AG698" s="16"/>
      <c r="AH698" s="16"/>
    </row>
    <row r="699" spans="1:34" ht="23.25" customHeight="1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6"/>
      <c r="AE699" s="16"/>
      <c r="AF699" s="16"/>
      <c r="AG699" s="16"/>
      <c r="AH699" s="16"/>
    </row>
    <row r="700" spans="1:34" ht="23.25" customHeight="1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6"/>
      <c r="AE700" s="16"/>
      <c r="AF700" s="16"/>
      <c r="AG700" s="16"/>
      <c r="AH700" s="16"/>
    </row>
    <row r="701" spans="1:34" ht="23.25" customHeight="1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6"/>
      <c r="AE701" s="16"/>
      <c r="AF701" s="16"/>
      <c r="AG701" s="16"/>
      <c r="AH701" s="16"/>
    </row>
    <row r="702" spans="1:34" ht="23.25" customHeight="1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6"/>
      <c r="AE702" s="16"/>
      <c r="AF702" s="16"/>
      <c r="AG702" s="16"/>
      <c r="AH702" s="16"/>
    </row>
    <row r="703" spans="1:34" ht="23.25" customHeight="1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6"/>
      <c r="AE703" s="16"/>
      <c r="AF703" s="16"/>
      <c r="AG703" s="16"/>
      <c r="AH703" s="16"/>
    </row>
    <row r="704" spans="1:34" ht="23.25" customHeight="1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6"/>
      <c r="AE704" s="16"/>
      <c r="AF704" s="16"/>
      <c r="AG704" s="16"/>
      <c r="AH704" s="16"/>
    </row>
    <row r="705" spans="1:34" ht="23.25" customHeight="1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6"/>
      <c r="AE705" s="16"/>
      <c r="AF705" s="16"/>
      <c r="AG705" s="16"/>
      <c r="AH705" s="16"/>
    </row>
    <row r="706" spans="1:34" ht="23.25" customHeight="1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6"/>
      <c r="AE706" s="16"/>
      <c r="AF706" s="16"/>
      <c r="AG706" s="16"/>
      <c r="AH706" s="16"/>
    </row>
    <row r="707" spans="1:34" ht="23.25" customHeight="1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6"/>
      <c r="AE707" s="16"/>
      <c r="AF707" s="16"/>
      <c r="AG707" s="16"/>
      <c r="AH707" s="16"/>
    </row>
    <row r="708" spans="1:34" ht="23.25" customHeight="1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6"/>
      <c r="AE708" s="16"/>
      <c r="AF708" s="16"/>
      <c r="AG708" s="16"/>
      <c r="AH708" s="16"/>
    </row>
    <row r="709" spans="1:34" ht="23.25" customHeight="1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6"/>
      <c r="AE709" s="16"/>
      <c r="AF709" s="16"/>
      <c r="AG709" s="16"/>
      <c r="AH709" s="16"/>
    </row>
    <row r="710" spans="1:34" ht="23.25" customHeight="1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6"/>
      <c r="AE710" s="16"/>
      <c r="AF710" s="16"/>
      <c r="AG710" s="16"/>
      <c r="AH710" s="16"/>
    </row>
    <row r="711" spans="1:34" ht="23.25" customHeight="1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6"/>
      <c r="AE711" s="16"/>
      <c r="AF711" s="16"/>
      <c r="AG711" s="16"/>
      <c r="AH711" s="16"/>
    </row>
    <row r="712" spans="1:34" ht="23.25" customHeight="1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6"/>
      <c r="AE712" s="16"/>
      <c r="AF712" s="16"/>
      <c r="AG712" s="16"/>
      <c r="AH712" s="16"/>
    </row>
    <row r="713" spans="1:34" ht="23.25" customHeight="1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6"/>
      <c r="AE713" s="16"/>
      <c r="AF713" s="16"/>
      <c r="AG713" s="16"/>
      <c r="AH713" s="16"/>
    </row>
    <row r="714" spans="1:34" ht="23.25" customHeight="1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6"/>
      <c r="AE714" s="16"/>
      <c r="AF714" s="16"/>
      <c r="AG714" s="16"/>
      <c r="AH714" s="16"/>
    </row>
    <row r="715" spans="1:34" ht="23.25" customHeight="1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6"/>
      <c r="AE715" s="16"/>
      <c r="AF715" s="16"/>
      <c r="AG715" s="16"/>
      <c r="AH715" s="16"/>
    </row>
    <row r="716" spans="1:34" ht="23.25" customHeight="1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6"/>
      <c r="AE716" s="16"/>
      <c r="AF716" s="16"/>
      <c r="AG716" s="16"/>
      <c r="AH716" s="16"/>
    </row>
    <row r="717" spans="1:34" ht="23.25" customHeight="1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6"/>
      <c r="AE717" s="16"/>
      <c r="AF717" s="16"/>
      <c r="AG717" s="16"/>
      <c r="AH717" s="16"/>
    </row>
    <row r="718" spans="1:34" ht="23.25" customHeight="1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6"/>
      <c r="AE718" s="16"/>
      <c r="AF718" s="16"/>
      <c r="AG718" s="16"/>
      <c r="AH718" s="16"/>
    </row>
    <row r="719" spans="1:34" ht="23.25" customHeight="1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6"/>
      <c r="AE719" s="16"/>
      <c r="AF719" s="16"/>
      <c r="AG719" s="16"/>
      <c r="AH719" s="16"/>
    </row>
    <row r="720" spans="1:34" ht="23.25" customHeight="1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6"/>
      <c r="AE720" s="16"/>
      <c r="AF720" s="16"/>
      <c r="AG720" s="16"/>
      <c r="AH720" s="16"/>
    </row>
    <row r="721" spans="1:34" ht="23.25" customHeight="1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6"/>
      <c r="AE721" s="16"/>
      <c r="AF721" s="16"/>
      <c r="AG721" s="16"/>
      <c r="AH721" s="16"/>
    </row>
    <row r="722" spans="1:34" ht="23.25" customHeight="1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6"/>
      <c r="AE722" s="16"/>
      <c r="AF722" s="16"/>
      <c r="AG722" s="16"/>
      <c r="AH722" s="16"/>
    </row>
    <row r="723" spans="1:34" ht="23.25" customHeight="1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6"/>
      <c r="AE723" s="16"/>
      <c r="AF723" s="16"/>
      <c r="AG723" s="16"/>
      <c r="AH723" s="16"/>
    </row>
    <row r="724" spans="1:34" ht="23.25" customHeight="1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6"/>
      <c r="AE724" s="16"/>
      <c r="AF724" s="16"/>
      <c r="AG724" s="16"/>
      <c r="AH724" s="16"/>
    </row>
    <row r="725" spans="1:34" ht="23.25" customHeight="1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6"/>
      <c r="AE725" s="16"/>
      <c r="AF725" s="16"/>
      <c r="AG725" s="16"/>
      <c r="AH725" s="16"/>
    </row>
    <row r="726" spans="1:34" ht="23.25" customHeight="1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6"/>
      <c r="AE726" s="16"/>
      <c r="AF726" s="16"/>
      <c r="AG726" s="16"/>
      <c r="AH726" s="16"/>
    </row>
    <row r="727" spans="1:34" ht="23.25" customHeight="1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6"/>
      <c r="AE727" s="16"/>
      <c r="AF727" s="16"/>
      <c r="AG727" s="16"/>
      <c r="AH727" s="16"/>
    </row>
    <row r="728" spans="1:34" ht="23.25" customHeight="1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6"/>
      <c r="AE728" s="16"/>
      <c r="AF728" s="16"/>
      <c r="AG728" s="16"/>
      <c r="AH728" s="16"/>
    </row>
    <row r="729" spans="1:34" ht="23.25" customHeight="1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6"/>
      <c r="AE729" s="16"/>
      <c r="AF729" s="16"/>
      <c r="AG729" s="16"/>
      <c r="AH729" s="16"/>
    </row>
    <row r="730" spans="1:34" ht="23.25" customHeight="1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6"/>
      <c r="AE730" s="16"/>
      <c r="AF730" s="16"/>
      <c r="AG730" s="16"/>
      <c r="AH730" s="16"/>
    </row>
    <row r="731" spans="1:34" ht="23.25" customHeight="1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6"/>
      <c r="AE731" s="16"/>
      <c r="AF731" s="16"/>
      <c r="AG731" s="16"/>
      <c r="AH731" s="16"/>
    </row>
    <row r="732" spans="1:34" ht="23.25" customHeight="1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6"/>
      <c r="AE732" s="16"/>
      <c r="AF732" s="16"/>
      <c r="AG732" s="16"/>
      <c r="AH732" s="16"/>
    </row>
    <row r="733" spans="1:34" ht="23.25" customHeight="1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6"/>
      <c r="AE733" s="16"/>
      <c r="AF733" s="16"/>
      <c r="AG733" s="16"/>
      <c r="AH733" s="16"/>
    </row>
    <row r="734" spans="1:34" ht="23.25" customHeight="1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6"/>
      <c r="AE734" s="16"/>
      <c r="AF734" s="16"/>
      <c r="AG734" s="16"/>
      <c r="AH734" s="16"/>
    </row>
    <row r="735" spans="1:34" ht="23.25" customHeight="1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6"/>
      <c r="AE735" s="16"/>
      <c r="AF735" s="16"/>
      <c r="AG735" s="16"/>
      <c r="AH735" s="16"/>
    </row>
    <row r="736" spans="1:34" ht="23.25" customHeight="1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6"/>
      <c r="AE736" s="16"/>
      <c r="AF736" s="16"/>
      <c r="AG736" s="16"/>
      <c r="AH736" s="16"/>
    </row>
    <row r="737" spans="1:34" ht="23.25" customHeight="1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6"/>
      <c r="AE737" s="16"/>
      <c r="AF737" s="16"/>
      <c r="AG737" s="16"/>
      <c r="AH737" s="16"/>
    </row>
    <row r="738" spans="1:34" ht="23.25" customHeight="1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6"/>
      <c r="AE738" s="16"/>
      <c r="AF738" s="16"/>
      <c r="AG738" s="16"/>
      <c r="AH738" s="16"/>
    </row>
    <row r="739" spans="1:34" ht="23.25" customHeight="1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6"/>
      <c r="AE739" s="16"/>
      <c r="AF739" s="16"/>
      <c r="AG739" s="16"/>
      <c r="AH739" s="16"/>
    </row>
    <row r="740" spans="1:34" ht="23.25" customHeight="1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6"/>
      <c r="AE740" s="16"/>
      <c r="AF740" s="16"/>
      <c r="AG740" s="16"/>
      <c r="AH740" s="16"/>
    </row>
    <row r="741" spans="1:34" ht="23.25" customHeight="1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6"/>
      <c r="AE741" s="16"/>
      <c r="AF741" s="16"/>
      <c r="AG741" s="16"/>
      <c r="AH741" s="16"/>
    </row>
    <row r="742" spans="1:34" ht="23.25" customHeight="1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6"/>
      <c r="AE742" s="16"/>
      <c r="AF742" s="16"/>
      <c r="AG742" s="16"/>
      <c r="AH742" s="16"/>
    </row>
    <row r="743" spans="1:34" ht="23.25" customHeight="1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6"/>
      <c r="AE743" s="16"/>
      <c r="AF743" s="16"/>
      <c r="AG743" s="16"/>
      <c r="AH743" s="16"/>
    </row>
    <row r="744" spans="1:34" ht="23.25" customHeight="1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6"/>
      <c r="AE744" s="16"/>
      <c r="AF744" s="16"/>
      <c r="AG744" s="16"/>
      <c r="AH744" s="16"/>
    </row>
    <row r="745" spans="1:34" ht="23.25" customHeight="1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6"/>
      <c r="AE745" s="16"/>
      <c r="AF745" s="16"/>
      <c r="AG745" s="16"/>
      <c r="AH745" s="16"/>
    </row>
    <row r="746" spans="1:34" ht="23.25" customHeight="1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6"/>
      <c r="AE746" s="16"/>
      <c r="AF746" s="16"/>
      <c r="AG746" s="16"/>
      <c r="AH746" s="16"/>
    </row>
    <row r="747" spans="1:34" ht="23.25" customHeight="1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6"/>
      <c r="AE747" s="16"/>
      <c r="AF747" s="16"/>
      <c r="AG747" s="16"/>
      <c r="AH747" s="16"/>
    </row>
    <row r="748" spans="1:34" ht="23.25" customHeight="1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6"/>
      <c r="AE748" s="16"/>
      <c r="AF748" s="16"/>
      <c r="AG748" s="16"/>
      <c r="AH748" s="16"/>
    </row>
    <row r="749" spans="1:34" ht="23.25" customHeight="1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6"/>
      <c r="AE749" s="16"/>
      <c r="AF749" s="16"/>
      <c r="AG749" s="16"/>
      <c r="AH749" s="16"/>
    </row>
    <row r="750" spans="1:34" ht="23.25" customHeight="1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6"/>
      <c r="AE750" s="16"/>
      <c r="AF750" s="16"/>
      <c r="AG750" s="16"/>
      <c r="AH750" s="16"/>
    </row>
    <row r="751" spans="1:34" ht="23.25" customHeight="1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6"/>
      <c r="AE751" s="16"/>
      <c r="AF751" s="16"/>
      <c r="AG751" s="16"/>
      <c r="AH751" s="16"/>
    </row>
    <row r="752" spans="1:34" ht="23.25" customHeight="1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6"/>
      <c r="AE752" s="16"/>
      <c r="AF752" s="16"/>
      <c r="AG752" s="16"/>
      <c r="AH752" s="16"/>
    </row>
    <row r="753" spans="1:34" ht="23.25" customHeight="1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6"/>
      <c r="AE753" s="16"/>
      <c r="AF753" s="16"/>
      <c r="AG753" s="16"/>
      <c r="AH753" s="16"/>
    </row>
    <row r="754" spans="1:34" ht="23.25" customHeight="1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6"/>
      <c r="AE754" s="16"/>
      <c r="AF754" s="16"/>
      <c r="AG754" s="16"/>
      <c r="AH754" s="16"/>
    </row>
    <row r="755" spans="1:34" ht="23.25" customHeight="1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6"/>
      <c r="AE755" s="16"/>
      <c r="AF755" s="16"/>
      <c r="AG755" s="16"/>
      <c r="AH755" s="16"/>
    </row>
    <row r="756" spans="1:34" ht="23.25" customHeight="1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6"/>
      <c r="AE756" s="16"/>
      <c r="AF756" s="16"/>
      <c r="AG756" s="16"/>
      <c r="AH756" s="16"/>
    </row>
    <row r="757" spans="1:34" ht="23.25" customHeight="1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6"/>
      <c r="AE757" s="16"/>
      <c r="AF757" s="16"/>
      <c r="AG757" s="16"/>
      <c r="AH757" s="16"/>
    </row>
    <row r="758" spans="1:34" ht="23.25" customHeight="1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6"/>
      <c r="AE758" s="16"/>
      <c r="AF758" s="16"/>
      <c r="AG758" s="16"/>
      <c r="AH758" s="16"/>
    </row>
    <row r="759" spans="1:34" ht="23.25" customHeight="1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6"/>
      <c r="AE759" s="16"/>
      <c r="AF759" s="16"/>
      <c r="AG759" s="16"/>
      <c r="AH759" s="16"/>
    </row>
    <row r="760" spans="1:34" ht="23.25" customHeight="1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6"/>
      <c r="AE760" s="16"/>
      <c r="AF760" s="16"/>
      <c r="AG760" s="16"/>
      <c r="AH760" s="16"/>
    </row>
    <row r="761" spans="1:34" ht="23.25" customHeight="1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6"/>
      <c r="AE761" s="16"/>
      <c r="AF761" s="16"/>
      <c r="AG761" s="16"/>
      <c r="AH761" s="16"/>
    </row>
    <row r="762" spans="1:34" ht="23.25" customHeight="1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6"/>
      <c r="AE762" s="16"/>
      <c r="AF762" s="16"/>
      <c r="AG762" s="16"/>
      <c r="AH762" s="16"/>
    </row>
    <row r="763" spans="1:34" ht="23.25" customHeight="1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6"/>
      <c r="AE763" s="16"/>
      <c r="AF763" s="16"/>
      <c r="AG763" s="16"/>
      <c r="AH763" s="16"/>
    </row>
    <row r="764" spans="1:34" ht="23.25" customHeight="1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6"/>
      <c r="AE764" s="16"/>
      <c r="AF764" s="16"/>
      <c r="AG764" s="16"/>
      <c r="AH764" s="16"/>
    </row>
    <row r="765" spans="1:34" ht="23.25" customHeight="1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6"/>
      <c r="AE765" s="16"/>
      <c r="AF765" s="16"/>
      <c r="AG765" s="16"/>
      <c r="AH765" s="16"/>
    </row>
    <row r="766" spans="1:34" ht="23.25" customHeight="1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6"/>
      <c r="AE766" s="16"/>
      <c r="AF766" s="16"/>
      <c r="AG766" s="16"/>
      <c r="AH766" s="16"/>
    </row>
    <row r="767" spans="1:34" ht="23.25" customHeight="1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6"/>
      <c r="AE767" s="16"/>
      <c r="AF767" s="16"/>
      <c r="AG767" s="16"/>
      <c r="AH767" s="16"/>
    </row>
    <row r="768" spans="1:34" ht="23.25" customHeight="1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6"/>
      <c r="AE768" s="16"/>
      <c r="AF768" s="16"/>
      <c r="AG768" s="16"/>
      <c r="AH768" s="16"/>
    </row>
    <row r="769" spans="1:34" ht="23.25" customHeight="1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6"/>
      <c r="AE769" s="16"/>
      <c r="AF769" s="16"/>
      <c r="AG769" s="16"/>
      <c r="AH769" s="16"/>
    </row>
    <row r="770" spans="1:34" ht="23.25" customHeight="1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6"/>
      <c r="AE770" s="16"/>
      <c r="AF770" s="16"/>
      <c r="AG770" s="16"/>
      <c r="AH770" s="16"/>
    </row>
    <row r="771" spans="1:34" ht="23.25" customHeight="1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6"/>
      <c r="AE771" s="16"/>
      <c r="AF771" s="16"/>
      <c r="AG771" s="16"/>
      <c r="AH771" s="16"/>
    </row>
    <row r="772" spans="1:34" ht="23.25" customHeight="1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6"/>
      <c r="AE772" s="16"/>
      <c r="AF772" s="16"/>
      <c r="AG772" s="16"/>
      <c r="AH772" s="16"/>
    </row>
    <row r="773" spans="1:34" ht="23.25" customHeight="1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6"/>
      <c r="AE773" s="16"/>
      <c r="AF773" s="16"/>
      <c r="AG773" s="16"/>
      <c r="AH773" s="16"/>
    </row>
    <row r="774" spans="1:34" ht="23.25" customHeight="1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6"/>
      <c r="AE774" s="16"/>
      <c r="AF774" s="16"/>
      <c r="AG774" s="16"/>
      <c r="AH774" s="16"/>
    </row>
    <row r="775" spans="1:34" ht="23.25" customHeight="1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6"/>
      <c r="AE775" s="16"/>
      <c r="AF775" s="16"/>
      <c r="AG775" s="16"/>
      <c r="AH775" s="16"/>
    </row>
    <row r="776" spans="1:34" ht="23.25" customHeight="1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6"/>
      <c r="AE776" s="16"/>
      <c r="AF776" s="16"/>
      <c r="AG776" s="16"/>
      <c r="AH776" s="16"/>
    </row>
    <row r="777" spans="1:34" ht="23.25" customHeight="1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6"/>
      <c r="AE777" s="16"/>
      <c r="AF777" s="16"/>
      <c r="AG777" s="16"/>
      <c r="AH777" s="16"/>
    </row>
    <row r="778" spans="1:34" ht="23.25" customHeight="1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6"/>
      <c r="AE778" s="16"/>
      <c r="AF778" s="16"/>
      <c r="AG778" s="16"/>
      <c r="AH778" s="16"/>
    </row>
    <row r="779" spans="1:34" ht="23.25" customHeight="1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6"/>
      <c r="AE779" s="16"/>
      <c r="AF779" s="16"/>
      <c r="AG779" s="16"/>
      <c r="AH779" s="16"/>
    </row>
    <row r="780" spans="1:34" ht="23.25" customHeight="1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6"/>
      <c r="AE780" s="16"/>
      <c r="AF780" s="16"/>
      <c r="AG780" s="16"/>
      <c r="AH780" s="16"/>
    </row>
    <row r="781" spans="1:34" ht="23.25" customHeight="1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6"/>
      <c r="AE781" s="16"/>
      <c r="AF781" s="16"/>
      <c r="AG781" s="16"/>
      <c r="AH781" s="16"/>
    </row>
    <row r="782" spans="1:34" ht="23.25" customHeight="1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6"/>
      <c r="AE782" s="16"/>
      <c r="AF782" s="16"/>
      <c r="AG782" s="16"/>
      <c r="AH782" s="16"/>
    </row>
    <row r="783" spans="1:34" ht="23.25" customHeight="1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6"/>
      <c r="AE783" s="16"/>
      <c r="AF783" s="16"/>
      <c r="AG783" s="16"/>
      <c r="AH783" s="16"/>
    </row>
    <row r="784" spans="1:34" ht="23.25" customHeight="1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6"/>
      <c r="AE784" s="16"/>
      <c r="AF784" s="16"/>
      <c r="AG784" s="16"/>
      <c r="AH784" s="16"/>
    </row>
    <row r="785" spans="1:34" ht="23.25" customHeight="1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6"/>
      <c r="AE785" s="16"/>
      <c r="AF785" s="16"/>
      <c r="AG785" s="16"/>
      <c r="AH785" s="16"/>
    </row>
    <row r="786" spans="1:34" ht="23.25" customHeight="1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6"/>
      <c r="AE786" s="16"/>
      <c r="AF786" s="16"/>
      <c r="AG786" s="16"/>
      <c r="AH786" s="16"/>
    </row>
    <row r="787" spans="1:34" ht="23.25" customHeight="1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6"/>
      <c r="AE787" s="16"/>
      <c r="AF787" s="16"/>
      <c r="AG787" s="16"/>
      <c r="AH787" s="16"/>
    </row>
    <row r="788" spans="1:34" ht="23.25" customHeight="1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6"/>
      <c r="AE788" s="16"/>
      <c r="AF788" s="16"/>
      <c r="AG788" s="16"/>
      <c r="AH788" s="16"/>
    </row>
    <row r="789" spans="1:34" ht="23.25" customHeight="1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6"/>
      <c r="AE789" s="16"/>
      <c r="AF789" s="16"/>
      <c r="AG789" s="16"/>
      <c r="AH789" s="16"/>
    </row>
    <row r="790" spans="1:34" ht="23.25" customHeight="1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6"/>
      <c r="AE790" s="16"/>
      <c r="AF790" s="16"/>
      <c r="AG790" s="16"/>
      <c r="AH790" s="16"/>
    </row>
    <row r="791" spans="1:34" ht="23.25" customHeight="1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6"/>
      <c r="AE791" s="16"/>
      <c r="AF791" s="16"/>
      <c r="AG791" s="16"/>
      <c r="AH791" s="16"/>
    </row>
    <row r="792" spans="1:34" ht="23.25" customHeight="1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6"/>
      <c r="AE792" s="16"/>
      <c r="AF792" s="16"/>
      <c r="AG792" s="16"/>
      <c r="AH792" s="16"/>
    </row>
    <row r="793" spans="1:34" ht="23.25" customHeight="1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6"/>
      <c r="AE793" s="16"/>
      <c r="AF793" s="16"/>
      <c r="AG793" s="16"/>
      <c r="AH793" s="16"/>
    </row>
    <row r="794" spans="1:34" ht="23.25" customHeight="1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6"/>
      <c r="AE794" s="16"/>
      <c r="AF794" s="16"/>
      <c r="AG794" s="16"/>
      <c r="AH794" s="16"/>
    </row>
    <row r="795" spans="1:34" ht="23.25" customHeight="1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6"/>
      <c r="AE795" s="16"/>
      <c r="AF795" s="16"/>
      <c r="AG795" s="16"/>
      <c r="AH795" s="16"/>
    </row>
    <row r="796" spans="1:34" ht="23.25" customHeight="1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6"/>
      <c r="AE796" s="16"/>
      <c r="AF796" s="16"/>
      <c r="AG796" s="16"/>
      <c r="AH796" s="16"/>
    </row>
    <row r="797" spans="1:34" ht="23.25" customHeight="1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6"/>
      <c r="AE797" s="16"/>
      <c r="AF797" s="16"/>
      <c r="AG797" s="16"/>
      <c r="AH797" s="16"/>
    </row>
    <row r="798" spans="1:34" ht="23.25" customHeight="1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6"/>
      <c r="AE798" s="16"/>
      <c r="AF798" s="16"/>
      <c r="AG798" s="16"/>
      <c r="AH798" s="16"/>
    </row>
    <row r="799" spans="1:34" ht="23.25" customHeight="1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6"/>
      <c r="AE799" s="16"/>
      <c r="AF799" s="16"/>
      <c r="AG799" s="16"/>
      <c r="AH799" s="16"/>
    </row>
    <row r="800" spans="1:34" ht="23.25" customHeight="1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6"/>
      <c r="AE800" s="16"/>
      <c r="AF800" s="16"/>
      <c r="AG800" s="16"/>
      <c r="AH800" s="16"/>
    </row>
    <row r="801" spans="1:34" ht="23.25" customHeight="1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6"/>
      <c r="AE801" s="16"/>
      <c r="AF801" s="16"/>
      <c r="AG801" s="16"/>
      <c r="AH801" s="16"/>
    </row>
    <row r="802" spans="1:34" ht="23.25" customHeight="1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6"/>
      <c r="AE802" s="16"/>
      <c r="AF802" s="16"/>
      <c r="AG802" s="16"/>
      <c r="AH802" s="16"/>
    </row>
    <row r="803" spans="1:34" ht="23.25" customHeight="1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6"/>
      <c r="AE803" s="16"/>
      <c r="AF803" s="16"/>
      <c r="AG803" s="16"/>
      <c r="AH803" s="16"/>
    </row>
    <row r="804" spans="1:34" ht="23.25" customHeight="1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6"/>
      <c r="AE804" s="16"/>
      <c r="AF804" s="16"/>
      <c r="AG804" s="16"/>
      <c r="AH804" s="16"/>
    </row>
    <row r="805" spans="1:34" ht="23.25" customHeight="1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6"/>
      <c r="AE805" s="16"/>
      <c r="AF805" s="16"/>
      <c r="AG805" s="16"/>
      <c r="AH805" s="16"/>
    </row>
    <row r="806" spans="1:34" ht="23.25" customHeight="1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6"/>
      <c r="AE806" s="16"/>
      <c r="AF806" s="16"/>
      <c r="AG806" s="16"/>
      <c r="AH806" s="16"/>
    </row>
    <row r="807" spans="1:34" ht="23.25" customHeight="1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6"/>
      <c r="AE807" s="16"/>
      <c r="AF807" s="16"/>
      <c r="AG807" s="16"/>
      <c r="AH807" s="16"/>
    </row>
    <row r="808" spans="1:34" ht="23.25" customHeight="1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6"/>
      <c r="AE808" s="16"/>
      <c r="AF808" s="16"/>
      <c r="AG808" s="16"/>
      <c r="AH808" s="16"/>
    </row>
    <row r="809" spans="1:34" ht="23.25" customHeight="1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6"/>
      <c r="AE809" s="16"/>
      <c r="AF809" s="16"/>
      <c r="AG809" s="16"/>
      <c r="AH809" s="16"/>
    </row>
    <row r="810" spans="1:34" ht="23.25" customHeight="1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6"/>
      <c r="AE810" s="16"/>
      <c r="AF810" s="16"/>
      <c r="AG810" s="16"/>
      <c r="AH810" s="16"/>
    </row>
    <row r="811" spans="1:34" ht="23.25" customHeight="1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6"/>
      <c r="AE811" s="16"/>
      <c r="AF811" s="16"/>
      <c r="AG811" s="16"/>
      <c r="AH811" s="16"/>
    </row>
    <row r="812" spans="1:34" ht="23.25" customHeight="1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6"/>
      <c r="AE812" s="16"/>
      <c r="AF812" s="16"/>
      <c r="AG812" s="16"/>
      <c r="AH812" s="16"/>
    </row>
    <row r="813" spans="1:34" ht="23.25" customHeight="1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6"/>
      <c r="AE813" s="16"/>
      <c r="AF813" s="16"/>
      <c r="AG813" s="16"/>
      <c r="AH813" s="16"/>
    </row>
    <row r="814" spans="1:34" ht="23.25" customHeight="1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6"/>
      <c r="AE814" s="16"/>
      <c r="AF814" s="16"/>
      <c r="AG814" s="16"/>
      <c r="AH814" s="16"/>
    </row>
    <row r="815" spans="1:34" ht="23.25" customHeight="1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6"/>
      <c r="AE815" s="16"/>
      <c r="AF815" s="16"/>
      <c r="AG815" s="16"/>
      <c r="AH815" s="16"/>
    </row>
    <row r="816" spans="1:34" ht="23.25" customHeight="1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6"/>
      <c r="AE816" s="16"/>
      <c r="AF816" s="16"/>
      <c r="AG816" s="16"/>
      <c r="AH816" s="16"/>
    </row>
    <row r="817" spans="1:34" ht="23.25" customHeight="1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6"/>
      <c r="AE817" s="16"/>
      <c r="AF817" s="16"/>
      <c r="AG817" s="16"/>
      <c r="AH817" s="16"/>
    </row>
    <row r="818" spans="1:34" ht="23.25" customHeight="1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6"/>
      <c r="AE818" s="16"/>
      <c r="AF818" s="16"/>
      <c r="AG818" s="16"/>
      <c r="AH818" s="16"/>
    </row>
    <row r="819" spans="1:34" ht="23.25" customHeight="1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6"/>
      <c r="AE819" s="16"/>
      <c r="AF819" s="16"/>
      <c r="AG819" s="16"/>
      <c r="AH819" s="16"/>
    </row>
    <row r="820" spans="1:34" ht="23.25" customHeight="1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6"/>
      <c r="AE820" s="16"/>
      <c r="AF820" s="16"/>
      <c r="AG820" s="16"/>
      <c r="AH820" s="16"/>
    </row>
    <row r="821" spans="1:34" ht="23.25" customHeight="1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6"/>
      <c r="AE821" s="16"/>
      <c r="AF821" s="16"/>
      <c r="AG821" s="16"/>
      <c r="AH821" s="16"/>
    </row>
    <row r="822" spans="1:34" ht="23.25" customHeight="1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6"/>
      <c r="AE822" s="16"/>
      <c r="AF822" s="16"/>
      <c r="AG822" s="16"/>
      <c r="AH822" s="16"/>
    </row>
    <row r="823" spans="1:34" ht="23.25" customHeight="1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6"/>
      <c r="AE823" s="16"/>
      <c r="AF823" s="16"/>
      <c r="AG823" s="16"/>
      <c r="AH823" s="16"/>
    </row>
    <row r="824" spans="1:34" ht="23.25" customHeight="1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6"/>
      <c r="AE824" s="16"/>
      <c r="AF824" s="16"/>
      <c r="AG824" s="16"/>
      <c r="AH824" s="16"/>
    </row>
    <row r="825" spans="1:34" ht="23.25" customHeight="1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6"/>
      <c r="AE825" s="16"/>
      <c r="AF825" s="16"/>
      <c r="AG825" s="16"/>
      <c r="AH825" s="16"/>
    </row>
    <row r="826" spans="1:34" ht="23.25" customHeight="1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6"/>
      <c r="AE826" s="16"/>
      <c r="AF826" s="16"/>
      <c r="AG826" s="16"/>
      <c r="AH826" s="16"/>
    </row>
    <row r="827" spans="1:34" ht="23.25" customHeight="1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6"/>
      <c r="AE827" s="16"/>
      <c r="AF827" s="16"/>
      <c r="AG827" s="16"/>
      <c r="AH827" s="16"/>
    </row>
    <row r="828" spans="1:34" ht="23.25" customHeight="1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6"/>
      <c r="AE828" s="16"/>
      <c r="AF828" s="16"/>
      <c r="AG828" s="16"/>
      <c r="AH828" s="16"/>
    </row>
    <row r="829" spans="1:34" ht="23.25" customHeight="1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6"/>
      <c r="AE829" s="16"/>
      <c r="AF829" s="16"/>
      <c r="AG829" s="16"/>
      <c r="AH829" s="16"/>
    </row>
    <row r="830" spans="1:34" ht="23.25" customHeight="1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6"/>
      <c r="AE830" s="16"/>
      <c r="AF830" s="16"/>
      <c r="AG830" s="16"/>
      <c r="AH830" s="16"/>
    </row>
    <row r="831" spans="1:34" ht="23.25" customHeight="1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6"/>
      <c r="AE831" s="16"/>
      <c r="AF831" s="16"/>
      <c r="AG831" s="16"/>
      <c r="AH831" s="16"/>
    </row>
    <row r="832" spans="1:34" ht="23.25" customHeight="1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6"/>
      <c r="AE832" s="16"/>
      <c r="AF832" s="16"/>
      <c r="AG832" s="16"/>
      <c r="AH832" s="16"/>
    </row>
    <row r="833" spans="1:34" ht="23.25" customHeight="1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6"/>
      <c r="AE833" s="16"/>
      <c r="AF833" s="16"/>
      <c r="AG833" s="16"/>
      <c r="AH833" s="16"/>
    </row>
    <row r="834" spans="1:34" ht="23.25" customHeight="1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6"/>
      <c r="AE834" s="16"/>
      <c r="AF834" s="16"/>
      <c r="AG834" s="16"/>
      <c r="AH834" s="16"/>
    </row>
    <row r="835" spans="1:34" ht="23.25" customHeight="1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6"/>
      <c r="AE835" s="16"/>
      <c r="AF835" s="16"/>
      <c r="AG835" s="16"/>
      <c r="AH835" s="16"/>
    </row>
    <row r="836" spans="1:34" ht="23.25" customHeight="1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6"/>
      <c r="AE836" s="16"/>
      <c r="AF836" s="16"/>
      <c r="AG836" s="16"/>
      <c r="AH836" s="16"/>
    </row>
    <row r="837" spans="1:34" ht="23.25" customHeight="1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6"/>
      <c r="AE837" s="16"/>
      <c r="AF837" s="16"/>
      <c r="AG837" s="16"/>
      <c r="AH837" s="16"/>
    </row>
    <row r="838" spans="1:34" ht="23.25" customHeight="1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6"/>
      <c r="AE838" s="16"/>
      <c r="AF838" s="16"/>
      <c r="AG838" s="16"/>
      <c r="AH838" s="16"/>
    </row>
    <row r="839" spans="1:34" ht="23.25" customHeight="1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6"/>
      <c r="AE839" s="16"/>
      <c r="AF839" s="16"/>
      <c r="AG839" s="16"/>
      <c r="AH839" s="16"/>
    </row>
    <row r="840" spans="1:34" ht="23.25" customHeight="1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6"/>
      <c r="AE840" s="16"/>
      <c r="AF840" s="16"/>
      <c r="AG840" s="16"/>
      <c r="AH840" s="16"/>
    </row>
    <row r="841" spans="1:34" ht="23.25" customHeight="1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6"/>
      <c r="AE841" s="16"/>
      <c r="AF841" s="16"/>
      <c r="AG841" s="16"/>
      <c r="AH841" s="16"/>
    </row>
    <row r="842" spans="1:34" ht="23.25" customHeight="1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6"/>
      <c r="AE842" s="16"/>
      <c r="AF842" s="16"/>
      <c r="AG842" s="16"/>
      <c r="AH842" s="16"/>
    </row>
    <row r="843" spans="1:34" ht="23.25" customHeight="1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6"/>
      <c r="AE843" s="16"/>
      <c r="AF843" s="16"/>
      <c r="AG843" s="16"/>
      <c r="AH843" s="16"/>
    </row>
    <row r="844" spans="1:34" ht="23.25" customHeight="1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6"/>
      <c r="AE844" s="16"/>
      <c r="AF844" s="16"/>
      <c r="AG844" s="16"/>
      <c r="AH844" s="16"/>
    </row>
    <row r="845" spans="1:34" ht="23.25" customHeight="1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6"/>
      <c r="AE845" s="16"/>
      <c r="AF845" s="16"/>
      <c r="AG845" s="16"/>
      <c r="AH845" s="16"/>
    </row>
    <row r="846" spans="1:34" ht="23.25" customHeight="1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6"/>
      <c r="AE846" s="16"/>
      <c r="AF846" s="16"/>
      <c r="AG846" s="16"/>
      <c r="AH846" s="16"/>
    </row>
    <row r="847" spans="1:34" ht="23.25" customHeight="1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6"/>
      <c r="AE847" s="16"/>
      <c r="AF847" s="16"/>
      <c r="AG847" s="16"/>
      <c r="AH847" s="16"/>
    </row>
    <row r="848" spans="1:34" ht="23.25" customHeight="1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6"/>
      <c r="AE848" s="16"/>
      <c r="AF848" s="16"/>
      <c r="AG848" s="16"/>
      <c r="AH848" s="16"/>
    </row>
    <row r="849" spans="1:34" ht="23.25" customHeight="1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6"/>
      <c r="AE849" s="16"/>
      <c r="AF849" s="16"/>
      <c r="AG849" s="16"/>
      <c r="AH849" s="16"/>
    </row>
    <row r="850" spans="1:34" ht="23.25" customHeight="1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6"/>
      <c r="AE850" s="16"/>
      <c r="AF850" s="16"/>
      <c r="AG850" s="16"/>
      <c r="AH850" s="16"/>
    </row>
    <row r="851" spans="1:34" ht="23.25" customHeight="1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6"/>
      <c r="AE851" s="16"/>
      <c r="AF851" s="16"/>
      <c r="AG851" s="16"/>
      <c r="AH851" s="16"/>
    </row>
    <row r="852" spans="1:34" ht="23.25" customHeight="1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6"/>
      <c r="AE852" s="16"/>
      <c r="AF852" s="16"/>
      <c r="AG852" s="16"/>
      <c r="AH852" s="16"/>
    </row>
    <row r="853" spans="1:34" ht="23.25" customHeight="1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6"/>
      <c r="AE853" s="16"/>
      <c r="AF853" s="16"/>
      <c r="AG853" s="16"/>
      <c r="AH853" s="16"/>
    </row>
    <row r="854" spans="1:34" ht="23.25" customHeight="1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6"/>
      <c r="AE854" s="16"/>
      <c r="AF854" s="16"/>
      <c r="AG854" s="16"/>
      <c r="AH854" s="16"/>
    </row>
    <row r="855" spans="1:34" ht="23.25" customHeight="1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6"/>
      <c r="AE855" s="16"/>
      <c r="AF855" s="16"/>
      <c r="AG855" s="16"/>
      <c r="AH855" s="16"/>
    </row>
    <row r="856" spans="1:34" ht="23.25" customHeight="1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6"/>
      <c r="AE856" s="16"/>
      <c r="AF856" s="16"/>
      <c r="AG856" s="16"/>
      <c r="AH856" s="16"/>
    </row>
    <row r="857" spans="1:34" ht="23.25" customHeight="1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6"/>
      <c r="AE857" s="16"/>
      <c r="AF857" s="16"/>
      <c r="AG857" s="16"/>
      <c r="AH857" s="16"/>
    </row>
    <row r="858" spans="1:34" ht="23.25" customHeight="1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6"/>
      <c r="AE858" s="16"/>
      <c r="AF858" s="16"/>
      <c r="AG858" s="16"/>
      <c r="AH858" s="16"/>
    </row>
    <row r="859" spans="1:34" ht="23.25" customHeight="1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6"/>
      <c r="AE859" s="16"/>
      <c r="AF859" s="16"/>
      <c r="AG859" s="16"/>
      <c r="AH859" s="16"/>
    </row>
    <row r="860" spans="1:34" ht="23.25" customHeight="1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6"/>
      <c r="AE860" s="16"/>
      <c r="AF860" s="16"/>
      <c r="AG860" s="16"/>
      <c r="AH860" s="16"/>
    </row>
    <row r="861" spans="1:34" ht="23.25" customHeight="1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6"/>
      <c r="AE861" s="16"/>
      <c r="AF861" s="16"/>
      <c r="AG861" s="16"/>
      <c r="AH861" s="16"/>
    </row>
    <row r="862" spans="1:34" ht="23.25" customHeight="1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6"/>
      <c r="AE862" s="16"/>
      <c r="AF862" s="16"/>
      <c r="AG862" s="16"/>
      <c r="AH862" s="16"/>
    </row>
    <row r="863" spans="1:34" ht="23.25" customHeight="1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6"/>
      <c r="AE863" s="16"/>
      <c r="AF863" s="16"/>
      <c r="AG863" s="16"/>
      <c r="AH863" s="16"/>
    </row>
    <row r="864" spans="1:34" ht="23.25" customHeight="1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6"/>
      <c r="AE864" s="16"/>
      <c r="AF864" s="16"/>
      <c r="AG864" s="16"/>
      <c r="AH864" s="16"/>
    </row>
    <row r="865" spans="1:34" ht="23.25" customHeight="1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6"/>
      <c r="AE865" s="16"/>
      <c r="AF865" s="16"/>
      <c r="AG865" s="16"/>
      <c r="AH865" s="16"/>
    </row>
    <row r="866" spans="1:34" ht="23.25" customHeight="1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6"/>
      <c r="AE866" s="16"/>
      <c r="AF866" s="16"/>
      <c r="AG866" s="16"/>
      <c r="AH866" s="16"/>
    </row>
    <row r="867" spans="1:34" ht="23.25" customHeight="1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6"/>
      <c r="AE867" s="16"/>
      <c r="AF867" s="16"/>
      <c r="AG867" s="16"/>
      <c r="AH867" s="16"/>
    </row>
    <row r="868" spans="1:34" ht="23.25" customHeight="1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6"/>
      <c r="AE868" s="16"/>
      <c r="AF868" s="16"/>
      <c r="AG868" s="16"/>
      <c r="AH868" s="16"/>
    </row>
    <row r="869" spans="1:34" ht="23.25" customHeight="1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6"/>
      <c r="AE869" s="16"/>
      <c r="AF869" s="16"/>
      <c r="AG869" s="16"/>
      <c r="AH869" s="16"/>
    </row>
    <row r="870" spans="1:34" ht="23.25" customHeight="1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6"/>
      <c r="AE870" s="16"/>
      <c r="AF870" s="16"/>
      <c r="AG870" s="16"/>
      <c r="AH870" s="16"/>
    </row>
    <row r="871" spans="1:34" ht="23.25" customHeight="1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6"/>
      <c r="AE871" s="16"/>
      <c r="AF871" s="16"/>
      <c r="AG871" s="16"/>
      <c r="AH871" s="16"/>
    </row>
    <row r="872" spans="1:34" ht="23.25" customHeight="1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6"/>
      <c r="AE872" s="16"/>
      <c r="AF872" s="16"/>
      <c r="AG872" s="16"/>
      <c r="AH872" s="16"/>
    </row>
    <row r="873" spans="1:34" ht="23.25" customHeight="1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6"/>
      <c r="AE873" s="16"/>
      <c r="AF873" s="16"/>
      <c r="AG873" s="16"/>
      <c r="AH873" s="16"/>
    </row>
    <row r="874" spans="1:34" ht="23.25" customHeight="1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6"/>
      <c r="AE874" s="16"/>
      <c r="AF874" s="16"/>
      <c r="AG874" s="16"/>
      <c r="AH874" s="16"/>
    </row>
    <row r="875" spans="1:34" ht="23.25" customHeight="1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6"/>
      <c r="AE875" s="16"/>
      <c r="AF875" s="16"/>
      <c r="AG875" s="16"/>
      <c r="AH875" s="16"/>
    </row>
    <row r="876" spans="1:34" ht="23.25" customHeight="1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6"/>
      <c r="AE876" s="16"/>
      <c r="AF876" s="16"/>
      <c r="AG876" s="16"/>
      <c r="AH876" s="16"/>
    </row>
    <row r="877" spans="1:34" ht="23.25" customHeight="1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6"/>
      <c r="AE877" s="16"/>
      <c r="AF877" s="16"/>
      <c r="AG877" s="16"/>
      <c r="AH877" s="16"/>
    </row>
    <row r="878" spans="1:34" ht="23.25" customHeight="1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6"/>
      <c r="AE878" s="16"/>
      <c r="AF878" s="16"/>
      <c r="AG878" s="16"/>
      <c r="AH878" s="16"/>
    </row>
    <row r="879" spans="1:34" ht="23.25" customHeight="1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6"/>
      <c r="AE879" s="16"/>
      <c r="AF879" s="16"/>
      <c r="AG879" s="16"/>
      <c r="AH879" s="16"/>
    </row>
    <row r="880" spans="1:34" ht="23.25" customHeight="1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6"/>
      <c r="AE880" s="16"/>
      <c r="AF880" s="16"/>
      <c r="AG880" s="16"/>
      <c r="AH880" s="16"/>
    </row>
    <row r="881" spans="1:34" ht="23.25" customHeight="1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6"/>
      <c r="AE881" s="16"/>
      <c r="AF881" s="16"/>
      <c r="AG881" s="16"/>
      <c r="AH881" s="16"/>
    </row>
    <row r="882" spans="1:34" ht="23.25" customHeight="1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6"/>
      <c r="AE882" s="16"/>
      <c r="AF882" s="16"/>
      <c r="AG882" s="16"/>
      <c r="AH882" s="16"/>
    </row>
    <row r="883" spans="1:34" ht="23.25" customHeight="1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6"/>
      <c r="AE883" s="16"/>
      <c r="AF883" s="16"/>
      <c r="AG883" s="16"/>
      <c r="AH883" s="16"/>
    </row>
    <row r="884" spans="1:34" ht="23.25" customHeight="1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6"/>
      <c r="AE884" s="16"/>
      <c r="AF884" s="16"/>
      <c r="AG884" s="16"/>
      <c r="AH884" s="16"/>
    </row>
    <row r="885" spans="1:34" ht="23.25" customHeight="1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6"/>
      <c r="AE885" s="16"/>
      <c r="AF885" s="16"/>
      <c r="AG885" s="16"/>
      <c r="AH885" s="16"/>
    </row>
    <row r="886" spans="1:34" ht="23.25" customHeight="1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6"/>
      <c r="AE886" s="16"/>
      <c r="AF886" s="16"/>
      <c r="AG886" s="16"/>
      <c r="AH886" s="16"/>
    </row>
    <row r="887" spans="1:34" ht="23.25" customHeight="1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6"/>
      <c r="AE887" s="16"/>
      <c r="AF887" s="16"/>
      <c r="AG887" s="16"/>
      <c r="AH887" s="16"/>
    </row>
    <row r="888" spans="1:34" ht="23.25" customHeight="1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6"/>
      <c r="AE888" s="16"/>
      <c r="AF888" s="16"/>
      <c r="AG888" s="16"/>
      <c r="AH888" s="16"/>
    </row>
    <row r="889" spans="1:34" ht="23.25" customHeight="1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6"/>
      <c r="AE889" s="16"/>
      <c r="AF889" s="16"/>
      <c r="AG889" s="16"/>
      <c r="AH889" s="16"/>
    </row>
    <row r="890" spans="1:34" ht="23.25" customHeight="1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6"/>
      <c r="AE890" s="16"/>
      <c r="AF890" s="16"/>
      <c r="AG890" s="16"/>
      <c r="AH890" s="16"/>
    </row>
    <row r="891" spans="1:34" ht="23.25" customHeight="1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6"/>
      <c r="AE891" s="16"/>
      <c r="AF891" s="16"/>
      <c r="AG891" s="16"/>
      <c r="AH891" s="16"/>
    </row>
    <row r="892" spans="1:34" ht="23.25" customHeight="1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6"/>
      <c r="AE892" s="16"/>
      <c r="AF892" s="16"/>
      <c r="AG892" s="16"/>
      <c r="AH892" s="16"/>
    </row>
    <row r="893" spans="1:34" ht="23.25" customHeight="1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6"/>
      <c r="AE893" s="16"/>
      <c r="AF893" s="16"/>
      <c r="AG893" s="16"/>
      <c r="AH893" s="16"/>
    </row>
    <row r="894" spans="1:34" ht="23.25" customHeight="1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6"/>
      <c r="AE894" s="16"/>
      <c r="AF894" s="16"/>
      <c r="AG894" s="16"/>
      <c r="AH894" s="16"/>
    </row>
    <row r="895" spans="1:34" ht="23.25" customHeight="1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6"/>
      <c r="AE895" s="16"/>
      <c r="AF895" s="16"/>
      <c r="AG895" s="16"/>
      <c r="AH895" s="16"/>
    </row>
    <row r="896" spans="1:34" ht="23.25" customHeight="1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6"/>
      <c r="AE896" s="16"/>
      <c r="AF896" s="16"/>
      <c r="AG896" s="16"/>
      <c r="AH896" s="16"/>
    </row>
    <row r="897" spans="1:34" ht="23.25" customHeight="1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6"/>
      <c r="AE897" s="16"/>
      <c r="AF897" s="16"/>
      <c r="AG897" s="16"/>
      <c r="AH897" s="16"/>
    </row>
    <row r="898" spans="1:34" ht="23.25" customHeight="1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6"/>
      <c r="AE898" s="16"/>
      <c r="AF898" s="16"/>
      <c r="AG898" s="16"/>
      <c r="AH898" s="16"/>
    </row>
    <row r="899" spans="1:34" ht="23.25" customHeight="1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6"/>
      <c r="AE899" s="16"/>
      <c r="AF899" s="16"/>
      <c r="AG899" s="16"/>
      <c r="AH899" s="16"/>
    </row>
    <row r="900" spans="1:34" ht="23.25" customHeight="1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6"/>
      <c r="AE900" s="16"/>
      <c r="AF900" s="16"/>
      <c r="AG900" s="16"/>
      <c r="AH900" s="16"/>
    </row>
    <row r="901" spans="1:34" ht="23.25" customHeight="1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6"/>
      <c r="AE901" s="16"/>
      <c r="AF901" s="16"/>
      <c r="AG901" s="16"/>
      <c r="AH901" s="16"/>
    </row>
    <row r="902" spans="1:34" ht="23.25" customHeight="1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6"/>
      <c r="AE902" s="16"/>
      <c r="AF902" s="16"/>
      <c r="AG902" s="16"/>
      <c r="AH902" s="16"/>
    </row>
    <row r="903" spans="1:34" ht="23.25" customHeight="1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6"/>
      <c r="AE903" s="16"/>
      <c r="AF903" s="16"/>
      <c r="AG903" s="16"/>
      <c r="AH903" s="16"/>
    </row>
    <row r="904" spans="1:34" ht="23.25" customHeight="1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6"/>
      <c r="AE904" s="16"/>
      <c r="AF904" s="16"/>
      <c r="AG904" s="16"/>
      <c r="AH904" s="16"/>
    </row>
    <row r="905" spans="1:34" ht="23.25" customHeight="1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6"/>
      <c r="AE905" s="16"/>
      <c r="AF905" s="16"/>
      <c r="AG905" s="16"/>
      <c r="AH905" s="16"/>
    </row>
    <row r="906" spans="1:34" ht="23.25" customHeight="1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6"/>
      <c r="AE906" s="16"/>
      <c r="AF906" s="16"/>
      <c r="AG906" s="16"/>
      <c r="AH906" s="16"/>
    </row>
    <row r="907" spans="1:34" ht="23.25" customHeight="1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6"/>
      <c r="AE907" s="16"/>
      <c r="AF907" s="16"/>
      <c r="AG907" s="16"/>
      <c r="AH907" s="16"/>
    </row>
    <row r="908" spans="1:34" ht="23.25" customHeight="1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6"/>
      <c r="AE908" s="16"/>
      <c r="AF908" s="16"/>
      <c r="AG908" s="16"/>
      <c r="AH908" s="16"/>
    </row>
    <row r="909" spans="1:34" ht="23.25" customHeight="1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6"/>
      <c r="AE909" s="16"/>
      <c r="AF909" s="16"/>
      <c r="AG909" s="16"/>
      <c r="AH909" s="16"/>
    </row>
    <row r="910" spans="1:34" ht="23.25" customHeight="1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6"/>
      <c r="AE910" s="16"/>
      <c r="AF910" s="16"/>
      <c r="AG910" s="16"/>
      <c r="AH910" s="16"/>
    </row>
    <row r="911" spans="1:34" ht="23.25" customHeight="1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6"/>
      <c r="AE911" s="16"/>
      <c r="AF911" s="16"/>
      <c r="AG911" s="16"/>
      <c r="AH911" s="16"/>
    </row>
    <row r="912" spans="1:34" ht="23.25" customHeight="1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6"/>
      <c r="AE912" s="16"/>
      <c r="AF912" s="16"/>
      <c r="AG912" s="16"/>
      <c r="AH912" s="16"/>
    </row>
    <row r="913" spans="1:34" ht="23.25" customHeight="1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6"/>
      <c r="AE913" s="16"/>
      <c r="AF913" s="16"/>
      <c r="AG913" s="16"/>
      <c r="AH913" s="16"/>
    </row>
    <row r="914" spans="1:34" ht="23.25" customHeight="1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6"/>
      <c r="AE914" s="16"/>
      <c r="AF914" s="16"/>
      <c r="AG914" s="16"/>
      <c r="AH914" s="16"/>
    </row>
    <row r="915" spans="1:34" ht="23.25" customHeight="1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6"/>
      <c r="AE915" s="16"/>
      <c r="AF915" s="16"/>
      <c r="AG915" s="16"/>
      <c r="AH915" s="16"/>
    </row>
    <row r="916" spans="1:34" ht="23.25" customHeight="1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6"/>
      <c r="AE916" s="16"/>
      <c r="AF916" s="16"/>
      <c r="AG916" s="16"/>
      <c r="AH916" s="16"/>
    </row>
    <row r="917" spans="1:34" ht="23.25" customHeight="1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6"/>
      <c r="AE917" s="16"/>
      <c r="AF917" s="16"/>
      <c r="AG917" s="16"/>
      <c r="AH917" s="16"/>
    </row>
    <row r="918" spans="1:34" ht="23.25" customHeight="1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6"/>
      <c r="AE918" s="16"/>
      <c r="AF918" s="16"/>
      <c r="AG918" s="16"/>
      <c r="AH918" s="16"/>
    </row>
    <row r="919" spans="1:34" ht="23.25" customHeight="1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6"/>
      <c r="AE919" s="16"/>
      <c r="AF919" s="16"/>
      <c r="AG919" s="16"/>
      <c r="AH919" s="16"/>
    </row>
    <row r="920" spans="1:34" ht="23.25" customHeight="1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6"/>
      <c r="AE920" s="16"/>
      <c r="AF920" s="16"/>
      <c r="AG920" s="16"/>
      <c r="AH920" s="16"/>
    </row>
    <row r="921" spans="1:34" ht="23.25" customHeight="1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6"/>
      <c r="AE921" s="16"/>
      <c r="AF921" s="16"/>
      <c r="AG921" s="16"/>
      <c r="AH921" s="16"/>
    </row>
    <row r="922" spans="1:34" ht="23.25" customHeight="1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6"/>
      <c r="AE922" s="16"/>
      <c r="AF922" s="16"/>
      <c r="AG922" s="16"/>
      <c r="AH922" s="16"/>
    </row>
    <row r="923" spans="1:34" ht="23.25" customHeight="1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6"/>
      <c r="AE923" s="16"/>
      <c r="AF923" s="16"/>
      <c r="AG923" s="16"/>
      <c r="AH923" s="16"/>
    </row>
    <row r="924" spans="1:34" ht="23.25" customHeight="1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6"/>
      <c r="AE924" s="16"/>
      <c r="AF924" s="16"/>
      <c r="AG924" s="16"/>
      <c r="AH924" s="16"/>
    </row>
    <row r="925" spans="1:34" ht="23.25" customHeight="1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6"/>
      <c r="AE925" s="16"/>
      <c r="AF925" s="16"/>
      <c r="AG925" s="16"/>
      <c r="AH925" s="16"/>
    </row>
    <row r="926" spans="1:34" ht="23.25" customHeight="1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6"/>
      <c r="AE926" s="16"/>
      <c r="AF926" s="16"/>
      <c r="AG926" s="16"/>
      <c r="AH926" s="16"/>
    </row>
    <row r="927" spans="1:34" ht="23.25" customHeight="1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6"/>
      <c r="AE927" s="16"/>
      <c r="AF927" s="16"/>
      <c r="AG927" s="16"/>
      <c r="AH927" s="16"/>
    </row>
    <row r="928" spans="1:34" ht="23.25" customHeight="1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6"/>
      <c r="AE928" s="16"/>
      <c r="AF928" s="16"/>
      <c r="AG928" s="16"/>
      <c r="AH928" s="16"/>
    </row>
    <row r="929" spans="1:34" ht="23.25" customHeight="1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6"/>
      <c r="AE929" s="16"/>
      <c r="AF929" s="16"/>
      <c r="AG929" s="16"/>
      <c r="AH929" s="16"/>
    </row>
    <row r="930" spans="1:34" ht="23.25" customHeight="1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6"/>
      <c r="AE930" s="16"/>
      <c r="AF930" s="16"/>
      <c r="AG930" s="16"/>
      <c r="AH930" s="16"/>
    </row>
    <row r="931" spans="1:34" ht="23.25" customHeight="1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6"/>
      <c r="AE931" s="16"/>
      <c r="AF931" s="16"/>
      <c r="AG931" s="16"/>
      <c r="AH931" s="16"/>
    </row>
    <row r="932" spans="1:34" ht="23.25" customHeight="1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6"/>
      <c r="AE932" s="16"/>
      <c r="AF932" s="16"/>
      <c r="AG932" s="16"/>
      <c r="AH932" s="16"/>
    </row>
    <row r="933" spans="1:34" ht="23.25" customHeight="1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6"/>
      <c r="AE933" s="16"/>
      <c r="AF933" s="16"/>
      <c r="AG933" s="16"/>
      <c r="AH933" s="16"/>
    </row>
    <row r="934" spans="1:34" ht="23.25" customHeight="1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6"/>
      <c r="AE934" s="16"/>
      <c r="AF934" s="16"/>
      <c r="AG934" s="16"/>
      <c r="AH934" s="16"/>
    </row>
    <row r="935" spans="1:34" ht="23.25" customHeight="1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6"/>
      <c r="AE935" s="16"/>
      <c r="AF935" s="16"/>
      <c r="AG935" s="16"/>
      <c r="AH935" s="16"/>
    </row>
    <row r="936" spans="1:34" ht="23.25" customHeight="1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6"/>
      <c r="AE936" s="16"/>
      <c r="AF936" s="16"/>
      <c r="AG936" s="16"/>
      <c r="AH936" s="16"/>
    </row>
    <row r="937" spans="1:34" ht="23.25" customHeight="1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6"/>
      <c r="AE937" s="16"/>
      <c r="AF937" s="16"/>
      <c r="AG937" s="16"/>
      <c r="AH937" s="16"/>
    </row>
    <row r="938" spans="1:34" ht="23.25" customHeight="1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6"/>
      <c r="AE938" s="16"/>
      <c r="AF938" s="16"/>
      <c r="AG938" s="16"/>
      <c r="AH938" s="16"/>
    </row>
    <row r="939" spans="1:34" ht="23.25" customHeight="1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6"/>
      <c r="AE939" s="16"/>
      <c r="AF939" s="16"/>
      <c r="AG939" s="16"/>
      <c r="AH939" s="16"/>
    </row>
    <row r="940" spans="1:34" ht="23.25" customHeight="1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6"/>
      <c r="AE940" s="16"/>
      <c r="AF940" s="16"/>
      <c r="AG940" s="16"/>
      <c r="AH940" s="16"/>
    </row>
    <row r="941" spans="1:34" ht="23.25" customHeight="1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6"/>
      <c r="AE941" s="16"/>
      <c r="AF941" s="16"/>
      <c r="AG941" s="16"/>
      <c r="AH941" s="16"/>
    </row>
    <row r="942" spans="1:34" ht="23.25" customHeight="1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6"/>
      <c r="AE942" s="16"/>
      <c r="AF942" s="16"/>
      <c r="AG942" s="16"/>
      <c r="AH942" s="16"/>
    </row>
    <row r="943" spans="1:34" ht="23.25" customHeight="1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6"/>
      <c r="AE943" s="16"/>
      <c r="AF943" s="16"/>
      <c r="AG943" s="16"/>
      <c r="AH943" s="16"/>
    </row>
    <row r="944" spans="1:34" ht="23.25" customHeight="1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6"/>
      <c r="AE944" s="16"/>
      <c r="AF944" s="16"/>
      <c r="AG944" s="16"/>
      <c r="AH944" s="16"/>
    </row>
    <row r="945" spans="1:34" ht="23.25" customHeight="1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6"/>
      <c r="AE945" s="16"/>
      <c r="AF945" s="16"/>
      <c r="AG945" s="16"/>
      <c r="AH945" s="16"/>
    </row>
    <row r="946" spans="1:34" ht="23.25" customHeight="1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6"/>
      <c r="AE946" s="16"/>
      <c r="AF946" s="16"/>
      <c r="AG946" s="16"/>
      <c r="AH946" s="16"/>
    </row>
    <row r="947" spans="1:34" ht="23.25" customHeight="1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6"/>
      <c r="AE947" s="16"/>
      <c r="AF947" s="16"/>
      <c r="AG947" s="16"/>
      <c r="AH947" s="16"/>
    </row>
    <row r="948" spans="1:34" ht="23.25" customHeight="1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6"/>
      <c r="AE948" s="16"/>
      <c r="AF948" s="16"/>
      <c r="AG948" s="16"/>
      <c r="AH948" s="16"/>
    </row>
    <row r="949" spans="1:34" ht="23.25" customHeight="1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6"/>
      <c r="AE949" s="16"/>
      <c r="AF949" s="16"/>
      <c r="AG949" s="16"/>
      <c r="AH949" s="16"/>
    </row>
    <row r="950" spans="1:34" ht="23.25" customHeight="1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6"/>
      <c r="AE950" s="16"/>
      <c r="AF950" s="16"/>
      <c r="AG950" s="16"/>
      <c r="AH950" s="16"/>
    </row>
    <row r="951" spans="1:34" ht="23.25" customHeight="1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6"/>
      <c r="AE951" s="16"/>
      <c r="AF951" s="16"/>
      <c r="AG951" s="16"/>
      <c r="AH951" s="16"/>
    </row>
    <row r="952" spans="1:34" ht="23.25" customHeight="1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6"/>
      <c r="AE952" s="16"/>
      <c r="AF952" s="16"/>
      <c r="AG952" s="16"/>
      <c r="AH952" s="16"/>
    </row>
    <row r="953" spans="1:34" ht="23.25" customHeight="1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6"/>
      <c r="AE953" s="16"/>
      <c r="AF953" s="16"/>
      <c r="AG953" s="16"/>
      <c r="AH953" s="16"/>
    </row>
    <row r="954" spans="1:34" ht="23.25" customHeight="1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6"/>
      <c r="AE954" s="16"/>
      <c r="AF954" s="16"/>
      <c r="AG954" s="16"/>
      <c r="AH954" s="16"/>
    </row>
    <row r="955" spans="1:34" ht="23.25" customHeight="1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6"/>
      <c r="AE955" s="16"/>
      <c r="AF955" s="16"/>
      <c r="AG955" s="16"/>
      <c r="AH955" s="16"/>
    </row>
    <row r="956" spans="1:34" ht="23.25" customHeight="1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6"/>
      <c r="AE956" s="16"/>
      <c r="AF956" s="16"/>
      <c r="AG956" s="16"/>
      <c r="AH956" s="16"/>
    </row>
    <row r="957" spans="1:34" ht="23.25" customHeight="1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6"/>
      <c r="AE957" s="16"/>
      <c r="AF957" s="16"/>
      <c r="AG957" s="16"/>
      <c r="AH957" s="16"/>
    </row>
    <row r="958" spans="1:34" ht="23.25" customHeight="1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6"/>
      <c r="AE958" s="16"/>
      <c r="AF958" s="16"/>
      <c r="AG958" s="16"/>
      <c r="AH958" s="16"/>
    </row>
    <row r="959" spans="1:34" ht="23.25" customHeight="1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6"/>
      <c r="AE959" s="16"/>
      <c r="AF959" s="16"/>
      <c r="AG959" s="16"/>
      <c r="AH959" s="16"/>
    </row>
    <row r="960" spans="1:34" ht="23.25" customHeight="1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6"/>
      <c r="AE960" s="16"/>
      <c r="AF960" s="16"/>
      <c r="AG960" s="16"/>
      <c r="AH960" s="16"/>
    </row>
    <row r="961" spans="1:34" ht="23.25" customHeight="1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6"/>
      <c r="AE961" s="16"/>
      <c r="AF961" s="16"/>
      <c r="AG961" s="16"/>
      <c r="AH961" s="16"/>
    </row>
    <row r="962" spans="1:34" ht="23.25" customHeight="1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6"/>
      <c r="AE962" s="16"/>
      <c r="AF962" s="16"/>
      <c r="AG962" s="16"/>
      <c r="AH962" s="16"/>
    </row>
    <row r="963" spans="1:34" ht="23.25" customHeight="1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6"/>
      <c r="AE963" s="16"/>
      <c r="AF963" s="16"/>
      <c r="AG963" s="16"/>
      <c r="AH963" s="16"/>
    </row>
    <row r="964" spans="1:34" ht="23.25" customHeight="1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6"/>
      <c r="AE964" s="16"/>
      <c r="AF964" s="16"/>
      <c r="AG964" s="16"/>
      <c r="AH964" s="16"/>
    </row>
    <row r="965" spans="1:34" ht="23.25" customHeight="1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6"/>
      <c r="AE965" s="16"/>
      <c r="AF965" s="16"/>
      <c r="AG965" s="16"/>
      <c r="AH965" s="16"/>
    </row>
    <row r="966" spans="1:34" ht="23.25" customHeight="1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6"/>
      <c r="AE966" s="16"/>
      <c r="AF966" s="16"/>
      <c r="AG966" s="16"/>
      <c r="AH966" s="16"/>
    </row>
    <row r="967" spans="1:34" ht="23.25" customHeight="1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6"/>
      <c r="AE967" s="16"/>
      <c r="AF967" s="16"/>
      <c r="AG967" s="16"/>
      <c r="AH967" s="16"/>
    </row>
    <row r="968" spans="1:34" ht="23.25" customHeight="1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6"/>
      <c r="AE968" s="16"/>
      <c r="AF968" s="16"/>
      <c r="AG968" s="16"/>
      <c r="AH968" s="16"/>
    </row>
    <row r="969" spans="1:34" ht="23.25" customHeight="1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6"/>
      <c r="AE969" s="16"/>
      <c r="AF969" s="16"/>
      <c r="AG969" s="16"/>
      <c r="AH969" s="16"/>
    </row>
    <row r="970" spans="1:34" ht="23.25" customHeight="1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6"/>
      <c r="AE970" s="16"/>
      <c r="AF970" s="16"/>
      <c r="AG970" s="16"/>
      <c r="AH970" s="16"/>
    </row>
    <row r="971" spans="1:34" ht="23.25" customHeight="1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6"/>
      <c r="AE971" s="16"/>
      <c r="AF971" s="16"/>
      <c r="AG971" s="16"/>
      <c r="AH971" s="16"/>
    </row>
    <row r="972" spans="1:34" ht="23.25" customHeight="1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6"/>
      <c r="AE972" s="16"/>
      <c r="AF972" s="16"/>
      <c r="AG972" s="16"/>
      <c r="AH972" s="16"/>
    </row>
    <row r="973" spans="1:34" ht="23.25" customHeight="1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6"/>
      <c r="AE973" s="16"/>
      <c r="AF973" s="16"/>
      <c r="AG973" s="16"/>
      <c r="AH973" s="16"/>
    </row>
    <row r="974" spans="1:34" ht="23.25" customHeight="1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6"/>
      <c r="AE974" s="16"/>
      <c r="AF974" s="16"/>
      <c r="AG974" s="16"/>
      <c r="AH974" s="16"/>
    </row>
    <row r="975" spans="1:34" ht="23.25" customHeight="1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6"/>
      <c r="AE975" s="16"/>
      <c r="AF975" s="16"/>
      <c r="AG975" s="16"/>
      <c r="AH975" s="16"/>
    </row>
    <row r="976" spans="1:34" ht="23.25" customHeight="1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6"/>
      <c r="AE976" s="16"/>
      <c r="AF976" s="16"/>
      <c r="AG976" s="16"/>
      <c r="AH976" s="16"/>
    </row>
    <row r="977" spans="1:34" ht="23.25" customHeight="1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6"/>
      <c r="AE977" s="16"/>
      <c r="AF977" s="16"/>
      <c r="AG977" s="16"/>
      <c r="AH977" s="16"/>
    </row>
    <row r="978" spans="1:34" ht="23.25" customHeight="1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6"/>
      <c r="AE978" s="16"/>
      <c r="AF978" s="16"/>
      <c r="AG978" s="16"/>
      <c r="AH978" s="16"/>
    </row>
    <row r="979" spans="1:34" ht="23.25" customHeight="1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6"/>
      <c r="AE979" s="16"/>
      <c r="AF979" s="16"/>
      <c r="AG979" s="16"/>
      <c r="AH979" s="16"/>
    </row>
    <row r="980" spans="1:34" ht="23.25" customHeight="1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6"/>
      <c r="AE980" s="16"/>
      <c r="AF980" s="16"/>
      <c r="AG980" s="16"/>
      <c r="AH980" s="16"/>
    </row>
    <row r="981" spans="1:34" ht="23.25" customHeight="1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6"/>
      <c r="AE981" s="16"/>
      <c r="AF981" s="16"/>
      <c r="AG981" s="16"/>
      <c r="AH981" s="16"/>
    </row>
    <row r="982" spans="1:34" ht="23.25" customHeight="1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6"/>
      <c r="AE982" s="16"/>
      <c r="AF982" s="16"/>
      <c r="AG982" s="16"/>
      <c r="AH982" s="16"/>
    </row>
    <row r="983" spans="1:34" ht="23.25" customHeight="1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6"/>
      <c r="AE983" s="16"/>
      <c r="AF983" s="16"/>
      <c r="AG983" s="16"/>
      <c r="AH983" s="16"/>
    </row>
    <row r="984" spans="1:34" ht="23.25" customHeight="1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6"/>
      <c r="AE984" s="16"/>
      <c r="AF984" s="16"/>
      <c r="AG984" s="16"/>
      <c r="AH984" s="16"/>
    </row>
    <row r="985" spans="1:34" ht="23.25" customHeight="1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6"/>
      <c r="AE985" s="16"/>
      <c r="AF985" s="16"/>
      <c r="AG985" s="16"/>
      <c r="AH985" s="16"/>
    </row>
    <row r="986" spans="1:34" ht="23.25" customHeight="1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6"/>
      <c r="AE986" s="16"/>
      <c r="AF986" s="16"/>
      <c r="AG986" s="16"/>
      <c r="AH986" s="16"/>
    </row>
    <row r="987" spans="1:34" ht="23.25" customHeight="1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6"/>
      <c r="AE987" s="16"/>
      <c r="AF987" s="16"/>
      <c r="AG987" s="16"/>
      <c r="AH987" s="16"/>
    </row>
    <row r="988" spans="1:34" ht="23.25" customHeight="1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6"/>
      <c r="AE988" s="16"/>
      <c r="AF988" s="16"/>
      <c r="AG988" s="16"/>
      <c r="AH988" s="16"/>
    </row>
    <row r="989" spans="1:34" ht="23.25" customHeight="1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6"/>
      <c r="AE989" s="16"/>
      <c r="AF989" s="16"/>
      <c r="AG989" s="16"/>
      <c r="AH989" s="16"/>
    </row>
    <row r="990" spans="1:34" ht="23.25" customHeight="1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6"/>
      <c r="AE990" s="16"/>
      <c r="AF990" s="16"/>
      <c r="AG990" s="16"/>
      <c r="AH990" s="16"/>
    </row>
    <row r="991" spans="1:34" ht="23.25" customHeight="1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6"/>
      <c r="AE991" s="16"/>
      <c r="AF991" s="16"/>
      <c r="AG991" s="16"/>
      <c r="AH991" s="16"/>
    </row>
    <row r="992" spans="1:34" ht="23.25" customHeight="1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6"/>
      <c r="AE992" s="16"/>
      <c r="AF992" s="16"/>
      <c r="AG992" s="16"/>
      <c r="AH992" s="16"/>
    </row>
    <row r="993" spans="1:34" ht="23.25" customHeight="1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6"/>
      <c r="AE993" s="16"/>
      <c r="AF993" s="16"/>
      <c r="AG993" s="16"/>
      <c r="AH993" s="16"/>
    </row>
    <row r="994" spans="1:34" ht="23.25" customHeight="1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6"/>
      <c r="AE994" s="16"/>
      <c r="AF994" s="16"/>
      <c r="AG994" s="16"/>
      <c r="AH994" s="16"/>
    </row>
    <row r="995" spans="1:34" ht="23.25" customHeight="1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6"/>
      <c r="AE995" s="16"/>
      <c r="AF995" s="16"/>
      <c r="AG995" s="16"/>
      <c r="AH995" s="16"/>
    </row>
    <row r="996" spans="1:34" ht="23.25" customHeight="1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6"/>
      <c r="AE996" s="16"/>
      <c r="AF996" s="16"/>
      <c r="AG996" s="16"/>
      <c r="AH996" s="16"/>
    </row>
    <row r="997" spans="1:34" ht="23.25" customHeight="1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6"/>
      <c r="AE997" s="16"/>
      <c r="AF997" s="16"/>
      <c r="AG997" s="16"/>
      <c r="AH997" s="16"/>
    </row>
    <row r="998" spans="1:34" ht="23.25" customHeight="1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6"/>
      <c r="AE998" s="16"/>
      <c r="AF998" s="16"/>
      <c r="AG998" s="16"/>
      <c r="AH998" s="16"/>
    </row>
    <row r="999" spans="1:34" ht="23.25" customHeight="1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6"/>
      <c r="AE999" s="16"/>
      <c r="AF999" s="16"/>
      <c r="AG999" s="16"/>
      <c r="AH999" s="16"/>
    </row>
    <row r="1000" spans="1:34" ht="23.25" customHeight="1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6"/>
      <c r="AE1000" s="16"/>
      <c r="AF1000" s="16"/>
      <c r="AG1000" s="16"/>
      <c r="AH1000" s="16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N9"/>
    </sheetView>
  </sheetViews>
  <sheetFormatPr defaultColWidth="14.44140625" defaultRowHeight="14.4" x14ac:dyDescent="0.3"/>
  <cols>
    <col min="1" max="1" width="19.6640625" bestFit="1" customWidth="1"/>
    <col min="2" max="11" width="14.109375" customWidth="1"/>
    <col min="12" max="12" width="11.6640625" customWidth="1"/>
    <col min="13" max="13" width="11.5546875" customWidth="1"/>
    <col min="14" max="26" width="9.109375" customWidth="1"/>
  </cols>
  <sheetData>
    <row r="1" spans="1:26" ht="32.4" x14ac:dyDescent="0.3">
      <c r="A1" s="113" t="s">
        <v>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4" x14ac:dyDescent="0.3">
      <c r="A2" s="115" t="s">
        <v>42</v>
      </c>
      <c r="B2" s="116" t="s">
        <v>43</v>
      </c>
      <c r="C2" s="117"/>
      <c r="D2" s="117"/>
      <c r="E2" s="117"/>
      <c r="F2" s="117"/>
      <c r="G2" s="117"/>
      <c r="H2" s="117"/>
      <c r="I2" s="117"/>
      <c r="J2" s="117"/>
      <c r="K2" s="118"/>
      <c r="L2" s="115" t="s">
        <v>40</v>
      </c>
      <c r="M2" s="104" t="s">
        <v>44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4" x14ac:dyDescent="0.3">
      <c r="A3" s="105"/>
      <c r="B3" s="107" t="s">
        <v>45</v>
      </c>
      <c r="C3" s="108"/>
      <c r="D3" s="109" t="s">
        <v>46</v>
      </c>
      <c r="E3" s="108"/>
      <c r="F3" s="111" t="s">
        <v>47</v>
      </c>
      <c r="G3" s="108"/>
      <c r="H3" s="112" t="s">
        <v>48</v>
      </c>
      <c r="I3" s="108"/>
      <c r="J3" s="110" t="s">
        <v>49</v>
      </c>
      <c r="K3" s="108"/>
      <c r="L3" s="105"/>
      <c r="M3" s="105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52.8" x14ac:dyDescent="0.3">
      <c r="A4" s="106"/>
      <c r="B4" s="19" t="s">
        <v>50</v>
      </c>
      <c r="C4" s="19" t="s">
        <v>51</v>
      </c>
      <c r="D4" s="20" t="s">
        <v>50</v>
      </c>
      <c r="E4" s="20" t="s">
        <v>51</v>
      </c>
      <c r="F4" s="21" t="s">
        <v>50</v>
      </c>
      <c r="G4" s="21" t="s">
        <v>51</v>
      </c>
      <c r="H4" s="22" t="s">
        <v>50</v>
      </c>
      <c r="I4" s="22" t="s">
        <v>51</v>
      </c>
      <c r="J4" s="23" t="s">
        <v>50</v>
      </c>
      <c r="K4" s="23" t="s">
        <v>51</v>
      </c>
      <c r="L4" s="106"/>
      <c r="M4" s="106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4" x14ac:dyDescent="0.3">
      <c r="A5" s="24" t="s">
        <v>52</v>
      </c>
      <c r="B5" s="25">
        <v>5</v>
      </c>
      <c r="C5" s="26">
        <v>607.05999999999995</v>
      </c>
      <c r="D5" s="25">
        <v>1</v>
      </c>
      <c r="E5" s="26">
        <v>1225.2</v>
      </c>
      <c r="F5" s="25">
        <v>0</v>
      </c>
      <c r="G5" s="26">
        <v>0</v>
      </c>
      <c r="H5" s="25">
        <v>0</v>
      </c>
      <c r="I5" s="26">
        <v>0</v>
      </c>
      <c r="J5" s="25">
        <v>0</v>
      </c>
      <c r="K5" s="26">
        <v>0</v>
      </c>
      <c r="L5" s="27">
        <f t="shared" ref="L5:M5" si="0">+B5+D5+F5+H5+J5</f>
        <v>6</v>
      </c>
      <c r="M5" s="28">
        <f t="shared" si="0"/>
        <v>1832.26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4" x14ac:dyDescent="0.3">
      <c r="A6" s="24" t="s">
        <v>53</v>
      </c>
      <c r="B6" s="25">
        <v>7</v>
      </c>
      <c r="C6" s="26">
        <v>2456</v>
      </c>
      <c r="D6" s="25">
        <v>0</v>
      </c>
      <c r="E6" s="26">
        <v>0</v>
      </c>
      <c r="F6" s="25">
        <v>0</v>
      </c>
      <c r="G6" s="26">
        <v>0</v>
      </c>
      <c r="H6" s="25">
        <v>1</v>
      </c>
      <c r="I6" s="26">
        <v>117</v>
      </c>
      <c r="J6" s="25">
        <v>0</v>
      </c>
      <c r="K6" s="26">
        <v>0</v>
      </c>
      <c r="L6" s="27">
        <f t="shared" ref="L6:M6" si="1">+B6+D6+F6+H6+J6</f>
        <v>8</v>
      </c>
      <c r="M6" s="28">
        <f t="shared" si="1"/>
        <v>2573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4" x14ac:dyDescent="0.3">
      <c r="A7" s="24" t="s">
        <v>54</v>
      </c>
      <c r="B7" s="25">
        <v>48</v>
      </c>
      <c r="C7" s="26">
        <v>5995</v>
      </c>
      <c r="D7" s="25">
        <v>4</v>
      </c>
      <c r="E7" s="26">
        <v>500</v>
      </c>
      <c r="F7" s="25">
        <v>0</v>
      </c>
      <c r="G7" s="26">
        <v>0</v>
      </c>
      <c r="H7" s="25">
        <v>0</v>
      </c>
      <c r="I7" s="26">
        <v>0</v>
      </c>
      <c r="J7" s="25">
        <v>0</v>
      </c>
      <c r="K7" s="26">
        <v>0</v>
      </c>
      <c r="L7" s="27">
        <f t="shared" ref="L7:M7" si="2">+B7+D7+F7+H7+J7</f>
        <v>52</v>
      </c>
      <c r="M7" s="28">
        <f t="shared" si="2"/>
        <v>6495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70.2" x14ac:dyDescent="0.3">
      <c r="A8" s="29" t="s">
        <v>55</v>
      </c>
      <c r="B8" s="25">
        <v>0</v>
      </c>
      <c r="C8" s="26">
        <v>0</v>
      </c>
      <c r="D8" s="25">
        <v>2</v>
      </c>
      <c r="E8" s="26">
        <v>309</v>
      </c>
      <c r="F8" s="25">
        <v>0</v>
      </c>
      <c r="G8" s="26">
        <v>0</v>
      </c>
      <c r="H8" s="25">
        <v>0</v>
      </c>
      <c r="I8" s="26">
        <v>0</v>
      </c>
      <c r="J8" s="25">
        <v>0</v>
      </c>
      <c r="K8" s="26">
        <v>0</v>
      </c>
      <c r="L8" s="27">
        <f t="shared" ref="L8:M8" si="3">+B8+D8+F8+H8+J8</f>
        <v>2</v>
      </c>
      <c r="M8" s="28">
        <f t="shared" si="3"/>
        <v>309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6.4" x14ac:dyDescent="0.7">
      <c r="A9" s="30" t="s">
        <v>56</v>
      </c>
      <c r="B9" s="31">
        <f t="shared" ref="B9:M9" si="4">SUM(B5:B8)</f>
        <v>60</v>
      </c>
      <c r="C9" s="32">
        <f t="shared" si="4"/>
        <v>9058.06</v>
      </c>
      <c r="D9" s="31">
        <f t="shared" si="4"/>
        <v>7</v>
      </c>
      <c r="E9" s="32">
        <f t="shared" si="4"/>
        <v>2034.2</v>
      </c>
      <c r="F9" s="31">
        <f t="shared" si="4"/>
        <v>0</v>
      </c>
      <c r="G9" s="32">
        <f t="shared" si="4"/>
        <v>0</v>
      </c>
      <c r="H9" s="31">
        <f t="shared" si="4"/>
        <v>1</v>
      </c>
      <c r="I9" s="32">
        <f t="shared" si="4"/>
        <v>117</v>
      </c>
      <c r="J9" s="31">
        <f t="shared" si="4"/>
        <v>0</v>
      </c>
      <c r="K9" s="32">
        <f t="shared" si="4"/>
        <v>0</v>
      </c>
      <c r="L9" s="31">
        <f t="shared" si="4"/>
        <v>68</v>
      </c>
      <c r="M9" s="32">
        <f t="shared" si="4"/>
        <v>11209.26</v>
      </c>
      <c r="N9" s="33" t="s">
        <v>57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6.4" x14ac:dyDescent="0.7">
      <c r="A10" s="18"/>
      <c r="B10" s="9"/>
      <c r="C10" s="9"/>
      <c r="D10" s="9"/>
      <c r="E10" s="9"/>
      <c r="F10" s="18"/>
      <c r="G10" s="18"/>
      <c r="H10" s="9"/>
      <c r="I10" s="9"/>
      <c r="J10" s="30"/>
      <c r="K10" s="30"/>
      <c r="L10" s="18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4" x14ac:dyDescent="0.3">
      <c r="A11" s="18"/>
      <c r="B11" s="9"/>
      <c r="C11" s="9"/>
      <c r="D11" s="9"/>
      <c r="E11" s="9"/>
      <c r="F11" s="9"/>
      <c r="G11" s="9"/>
      <c r="H11" s="9"/>
      <c r="I11" s="9"/>
      <c r="J11" s="9"/>
      <c r="K11" s="9"/>
      <c r="L11" s="18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4" x14ac:dyDescent="0.3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18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4" x14ac:dyDescent="0.3">
      <c r="A13" s="18"/>
      <c r="B13" s="9"/>
      <c r="C13" s="9"/>
      <c r="D13" s="9"/>
      <c r="E13" s="9"/>
      <c r="F13" s="9"/>
      <c r="G13" s="9"/>
      <c r="H13" s="9"/>
      <c r="I13" s="9"/>
      <c r="J13" s="9"/>
      <c r="K13" s="9"/>
      <c r="L13" s="18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4" x14ac:dyDescent="0.3">
      <c r="A14" s="18"/>
      <c r="B14" s="9"/>
      <c r="C14" s="9"/>
      <c r="D14" s="9"/>
      <c r="E14" s="9"/>
      <c r="F14" s="9"/>
      <c r="G14" s="9"/>
      <c r="H14" s="9"/>
      <c r="I14" s="9"/>
      <c r="J14" s="9"/>
      <c r="K14" s="9"/>
      <c r="L14" s="18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4" x14ac:dyDescent="0.3">
      <c r="A15" s="18"/>
      <c r="B15" s="9"/>
      <c r="C15" s="9"/>
      <c r="D15" s="9"/>
      <c r="E15" s="9"/>
      <c r="F15" s="9"/>
      <c r="G15" s="9"/>
      <c r="H15" s="9"/>
      <c r="I15" s="9"/>
      <c r="J15" s="9"/>
      <c r="K15" s="9"/>
      <c r="L15" s="34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4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4" x14ac:dyDescent="0.3">
      <c r="A17" s="18"/>
      <c r="B17" s="9"/>
      <c r="C17" s="9"/>
      <c r="D17" s="9"/>
      <c r="E17" s="9"/>
      <c r="F17" s="9"/>
      <c r="G17" s="9"/>
      <c r="H17" s="9"/>
      <c r="I17" s="9"/>
      <c r="J17" s="9"/>
      <c r="K17" s="9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4" x14ac:dyDescent="0.3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18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4" x14ac:dyDescent="0.3">
      <c r="A19" s="18"/>
      <c r="B19" s="9"/>
      <c r="C19" s="9"/>
      <c r="D19" s="9"/>
      <c r="E19" s="9"/>
      <c r="F19" s="9"/>
      <c r="G19" s="9"/>
      <c r="H19" s="9"/>
      <c r="I19" s="9"/>
      <c r="J19" s="9"/>
      <c r="K19" s="9"/>
      <c r="L19" s="18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4" x14ac:dyDescent="0.3">
      <c r="A20" s="18"/>
      <c r="B20" s="9"/>
      <c r="C20" s="9"/>
      <c r="D20" s="9"/>
      <c r="E20" s="9"/>
      <c r="F20" s="9"/>
      <c r="G20" s="9"/>
      <c r="H20" s="9"/>
      <c r="I20" s="9"/>
      <c r="J20" s="9"/>
      <c r="K20" s="9"/>
      <c r="L20" s="18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4" x14ac:dyDescent="0.3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18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4" x14ac:dyDescent="0.3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18"/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4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8"/>
      <c r="M23" s="17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4" x14ac:dyDescent="0.3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18"/>
      <c r="M24" s="1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4" x14ac:dyDescent="0.3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18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4" x14ac:dyDescent="0.3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18"/>
      <c r="M26" s="1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4" x14ac:dyDescent="0.3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18"/>
      <c r="M27" s="17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4" x14ac:dyDescent="0.3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18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4" x14ac:dyDescent="0.3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18"/>
      <c r="M29" s="1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4" x14ac:dyDescent="0.3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18"/>
      <c r="M30" s="1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4" x14ac:dyDescent="0.3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18"/>
      <c r="M31" s="17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4" x14ac:dyDescent="0.3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18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4" x14ac:dyDescent="0.3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18"/>
      <c r="M33" s="1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4" x14ac:dyDescent="0.3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18"/>
      <c r="M34" s="1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4" x14ac:dyDescent="0.3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M35" s="17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4" x14ac:dyDescent="0.3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18"/>
      <c r="M36" s="1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4" x14ac:dyDescent="0.3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18"/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4" x14ac:dyDescent="0.3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18"/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4" x14ac:dyDescent="0.3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18"/>
      <c r="M39" s="1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4" x14ac:dyDescent="0.3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18"/>
      <c r="M40" s="1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4" x14ac:dyDescent="0.3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18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4" x14ac:dyDescent="0.3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18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4" x14ac:dyDescent="0.3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4" x14ac:dyDescent="0.3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18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4" x14ac:dyDescent="0.3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18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4" x14ac:dyDescent="0.3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18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4" x14ac:dyDescent="0.3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18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4" x14ac:dyDescent="0.3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18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4" x14ac:dyDescent="0.3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18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4" x14ac:dyDescent="0.3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18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4" x14ac:dyDescent="0.3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18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4" x14ac:dyDescent="0.3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18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4" x14ac:dyDescent="0.3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18"/>
      <c r="M53" s="1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4" x14ac:dyDescent="0.3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18"/>
      <c r="M54" s="1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4" x14ac:dyDescent="0.3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18"/>
      <c r="M55" s="17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4" x14ac:dyDescent="0.3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18"/>
      <c r="M56" s="1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4" x14ac:dyDescent="0.3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18"/>
      <c r="M57" s="17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4" x14ac:dyDescent="0.3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18"/>
      <c r="M58" s="1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4" x14ac:dyDescent="0.3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18"/>
      <c r="M59" s="17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4" x14ac:dyDescent="0.3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18"/>
      <c r="M60" s="1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4" x14ac:dyDescent="0.3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18"/>
      <c r="M61" s="17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4" x14ac:dyDescent="0.3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18"/>
      <c r="M62" s="1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4" x14ac:dyDescent="0.3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18"/>
      <c r="M63" s="17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4" x14ac:dyDescent="0.3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18"/>
      <c r="M64" s="17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4" x14ac:dyDescent="0.3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18"/>
      <c r="M65" s="17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4" x14ac:dyDescent="0.3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18"/>
      <c r="M66" s="17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4" x14ac:dyDescent="0.3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18"/>
      <c r="M67" s="17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4" x14ac:dyDescent="0.3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18"/>
      <c r="M68" s="1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4" x14ac:dyDescent="0.3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18"/>
      <c r="M69" s="17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4" x14ac:dyDescent="0.3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18"/>
      <c r="M70" s="1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4" x14ac:dyDescent="0.3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18"/>
      <c r="M71" s="1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4" x14ac:dyDescent="0.3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18"/>
      <c r="M72" s="1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4" x14ac:dyDescent="0.3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18"/>
      <c r="M73" s="17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4" x14ac:dyDescent="0.3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18"/>
      <c r="M74" s="17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4" x14ac:dyDescent="0.3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18"/>
      <c r="M75" s="17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4" x14ac:dyDescent="0.3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18"/>
      <c r="M76" s="17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4" x14ac:dyDescent="0.3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18"/>
      <c r="M77" s="17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4" x14ac:dyDescent="0.3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18"/>
      <c r="M78" s="17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4" x14ac:dyDescent="0.3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18"/>
      <c r="M79" s="17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4" x14ac:dyDescent="0.3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18"/>
      <c r="M80" s="1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4" x14ac:dyDescent="0.3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18"/>
      <c r="M81" s="17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4" x14ac:dyDescent="0.3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18"/>
      <c r="M82" s="1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4" x14ac:dyDescent="0.3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18"/>
      <c r="M83" s="17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4" x14ac:dyDescent="0.3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18"/>
      <c r="M84" s="1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4" x14ac:dyDescent="0.3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18"/>
      <c r="M85" s="17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4" x14ac:dyDescent="0.3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18"/>
      <c r="M86" s="17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4" x14ac:dyDescent="0.3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18"/>
      <c r="M87" s="17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4" x14ac:dyDescent="0.3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18"/>
      <c r="M88" s="17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4" x14ac:dyDescent="0.3">
      <c r="A89" s="18"/>
      <c r="B89" s="9"/>
      <c r="C89" s="9"/>
      <c r="D89" s="9"/>
      <c r="E89" s="9"/>
      <c r="F89" s="9"/>
      <c r="G89" s="9"/>
      <c r="H89" s="9"/>
      <c r="I89" s="9"/>
      <c r="J89" s="9"/>
      <c r="K89" s="9"/>
      <c r="L89" s="18"/>
      <c r="M89" s="17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4" x14ac:dyDescent="0.3">
      <c r="A90" s="18"/>
      <c r="B90" s="9"/>
      <c r="C90" s="9"/>
      <c r="D90" s="9"/>
      <c r="E90" s="9"/>
      <c r="F90" s="9"/>
      <c r="G90" s="9"/>
      <c r="H90" s="9"/>
      <c r="I90" s="9"/>
      <c r="J90" s="9"/>
      <c r="K90" s="9"/>
      <c r="L90" s="18"/>
      <c r="M90" s="17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4" x14ac:dyDescent="0.3">
      <c r="A91" s="18"/>
      <c r="B91" s="9"/>
      <c r="C91" s="9"/>
      <c r="D91" s="9"/>
      <c r="E91" s="9"/>
      <c r="F91" s="9"/>
      <c r="G91" s="9"/>
      <c r="H91" s="9"/>
      <c r="I91" s="9"/>
      <c r="J91" s="9"/>
      <c r="K91" s="9"/>
      <c r="L91" s="18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4" x14ac:dyDescent="0.3">
      <c r="A92" s="18"/>
      <c r="B92" s="9"/>
      <c r="C92" s="9"/>
      <c r="D92" s="9"/>
      <c r="E92" s="9"/>
      <c r="F92" s="9"/>
      <c r="G92" s="9"/>
      <c r="H92" s="9"/>
      <c r="I92" s="9"/>
      <c r="J92" s="9"/>
      <c r="K92" s="9"/>
      <c r="L92" s="18"/>
      <c r="M92" s="1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4" x14ac:dyDescent="0.3">
      <c r="A93" s="18"/>
      <c r="B93" s="9"/>
      <c r="C93" s="9"/>
      <c r="D93" s="9"/>
      <c r="E93" s="9"/>
      <c r="F93" s="9"/>
      <c r="G93" s="9"/>
      <c r="H93" s="9"/>
      <c r="I93" s="9"/>
      <c r="J93" s="9"/>
      <c r="K93" s="9"/>
      <c r="L93" s="18"/>
      <c r="M93" s="17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4" x14ac:dyDescent="0.3">
      <c r="A94" s="18"/>
      <c r="B94" s="9"/>
      <c r="C94" s="9"/>
      <c r="D94" s="9"/>
      <c r="E94" s="9"/>
      <c r="F94" s="9"/>
      <c r="G94" s="9"/>
      <c r="H94" s="9"/>
      <c r="I94" s="9"/>
      <c r="J94" s="9"/>
      <c r="K94" s="9"/>
      <c r="L94" s="18"/>
      <c r="M94" s="1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4" x14ac:dyDescent="0.3">
      <c r="A95" s="18"/>
      <c r="B95" s="9"/>
      <c r="C95" s="9"/>
      <c r="D95" s="9"/>
      <c r="E95" s="9"/>
      <c r="F95" s="9"/>
      <c r="G95" s="9"/>
      <c r="H95" s="9"/>
      <c r="I95" s="9"/>
      <c r="J95" s="9"/>
      <c r="K95" s="9"/>
      <c r="L95" s="18"/>
      <c r="M95" s="17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4" x14ac:dyDescent="0.3">
      <c r="A96" s="18"/>
      <c r="B96" s="9"/>
      <c r="C96" s="9"/>
      <c r="D96" s="9"/>
      <c r="E96" s="9"/>
      <c r="F96" s="9"/>
      <c r="G96" s="9"/>
      <c r="H96" s="9"/>
      <c r="I96" s="9"/>
      <c r="J96" s="9"/>
      <c r="K96" s="9"/>
      <c r="L96" s="18"/>
      <c r="M96" s="1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4" x14ac:dyDescent="0.3">
      <c r="A97" s="18"/>
      <c r="B97" s="9"/>
      <c r="C97" s="9"/>
      <c r="D97" s="9"/>
      <c r="E97" s="9"/>
      <c r="F97" s="9"/>
      <c r="G97" s="9"/>
      <c r="H97" s="9"/>
      <c r="I97" s="9"/>
      <c r="J97" s="9"/>
      <c r="K97" s="9"/>
      <c r="L97" s="18"/>
      <c r="M97" s="17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4" x14ac:dyDescent="0.3">
      <c r="A98" s="18"/>
      <c r="B98" s="9"/>
      <c r="C98" s="9"/>
      <c r="D98" s="9"/>
      <c r="E98" s="9"/>
      <c r="F98" s="9"/>
      <c r="G98" s="9"/>
      <c r="H98" s="9"/>
      <c r="I98" s="9"/>
      <c r="J98" s="9"/>
      <c r="K98" s="9"/>
      <c r="L98" s="18"/>
      <c r="M98" s="17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4" x14ac:dyDescent="0.3">
      <c r="A99" s="18"/>
      <c r="B99" s="9"/>
      <c r="C99" s="9"/>
      <c r="D99" s="9"/>
      <c r="E99" s="9"/>
      <c r="F99" s="9"/>
      <c r="G99" s="9"/>
      <c r="H99" s="9"/>
      <c r="I99" s="9"/>
      <c r="J99" s="9"/>
      <c r="K99" s="9"/>
      <c r="L99" s="18"/>
      <c r="M99" s="17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4" x14ac:dyDescent="0.3">
      <c r="A100" s="1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8"/>
      <c r="M100" s="17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4" x14ac:dyDescent="0.3">
      <c r="A101" s="1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8"/>
      <c r="M101" s="17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4" x14ac:dyDescent="0.3">
      <c r="A102" s="1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/>
      <c r="M102" s="1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4" x14ac:dyDescent="0.3">
      <c r="A103" s="1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8"/>
      <c r="M103" s="17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4" x14ac:dyDescent="0.3">
      <c r="A104" s="1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8"/>
      <c r="M104" s="1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4" x14ac:dyDescent="0.3">
      <c r="A105" s="1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8"/>
      <c r="M105" s="17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4" x14ac:dyDescent="0.3">
      <c r="A106" s="1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8"/>
      <c r="M106" s="1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4" x14ac:dyDescent="0.3">
      <c r="A107" s="1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8"/>
      <c r="M107" s="17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4" x14ac:dyDescent="0.3">
      <c r="A108" s="1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8"/>
      <c r="M108" s="1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4" x14ac:dyDescent="0.3">
      <c r="A109" s="1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8"/>
      <c r="M109" s="17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4" x14ac:dyDescent="0.3">
      <c r="A110" s="1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8"/>
      <c r="M110" s="17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4" x14ac:dyDescent="0.3">
      <c r="A111" s="1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8"/>
      <c r="M111" s="17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4" x14ac:dyDescent="0.3">
      <c r="A112" s="1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8"/>
      <c r="M112" s="17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4" x14ac:dyDescent="0.3">
      <c r="A113" s="1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8"/>
      <c r="M113" s="17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4" x14ac:dyDescent="0.3">
      <c r="A114" s="1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8"/>
      <c r="M114" s="17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4" x14ac:dyDescent="0.3">
      <c r="A115" s="1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8"/>
      <c r="M115" s="17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4" x14ac:dyDescent="0.3">
      <c r="A116" s="1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8"/>
      <c r="M116" s="1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4" x14ac:dyDescent="0.3">
      <c r="A117" s="1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8"/>
      <c r="M117" s="17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4" x14ac:dyDescent="0.3">
      <c r="A118" s="1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8"/>
      <c r="M118" s="1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4" x14ac:dyDescent="0.3">
      <c r="A119" s="1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8"/>
      <c r="M119" s="17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4" x14ac:dyDescent="0.3">
      <c r="A120" s="1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8"/>
      <c r="M120" s="1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4" x14ac:dyDescent="0.3">
      <c r="A121" s="1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8"/>
      <c r="M121" s="17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4" x14ac:dyDescent="0.3">
      <c r="A122" s="1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8"/>
      <c r="M122" s="17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4" x14ac:dyDescent="0.3">
      <c r="A123" s="1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8"/>
      <c r="M123" s="17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4" x14ac:dyDescent="0.3">
      <c r="A124" s="1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8"/>
      <c r="M124" s="17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4" x14ac:dyDescent="0.3">
      <c r="A125" s="1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8"/>
      <c r="M125" s="17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4" x14ac:dyDescent="0.3">
      <c r="A126" s="1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8"/>
      <c r="M126" s="17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4" x14ac:dyDescent="0.3">
      <c r="A127" s="1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8"/>
      <c r="M127" s="17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4" x14ac:dyDescent="0.3">
      <c r="A128" s="1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8"/>
      <c r="M128" s="1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4" x14ac:dyDescent="0.3">
      <c r="A129" s="1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8"/>
      <c r="M129" s="17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4" x14ac:dyDescent="0.3">
      <c r="A130" s="1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8"/>
      <c r="M130" s="1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4" x14ac:dyDescent="0.3">
      <c r="A131" s="1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8"/>
      <c r="M131" s="17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4" x14ac:dyDescent="0.3">
      <c r="A132" s="1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8"/>
      <c r="M132" s="1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4" x14ac:dyDescent="0.3">
      <c r="A133" s="1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8"/>
      <c r="M133" s="17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4" x14ac:dyDescent="0.3">
      <c r="A134" s="1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8"/>
      <c r="M134" s="17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4" x14ac:dyDescent="0.3">
      <c r="A135" s="1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8"/>
      <c r="M135" s="17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4" x14ac:dyDescent="0.3">
      <c r="A136" s="1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/>
      <c r="M136" s="17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4" x14ac:dyDescent="0.3">
      <c r="A137" s="1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8"/>
      <c r="M137" s="17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4" x14ac:dyDescent="0.3">
      <c r="A138" s="1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8"/>
      <c r="M138" s="17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4" x14ac:dyDescent="0.3">
      <c r="A139" s="1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8"/>
      <c r="M139" s="17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4" x14ac:dyDescent="0.3">
      <c r="A140" s="1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8"/>
      <c r="M140" s="1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4" x14ac:dyDescent="0.3">
      <c r="A141" s="1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8"/>
      <c r="M141" s="17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4" x14ac:dyDescent="0.3">
      <c r="A142" s="1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8"/>
      <c r="M142" s="1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4" x14ac:dyDescent="0.3">
      <c r="A143" s="1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8"/>
      <c r="M143" s="17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4" x14ac:dyDescent="0.3">
      <c r="A144" s="1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8"/>
      <c r="M144" s="1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4" x14ac:dyDescent="0.3">
      <c r="A145" s="1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8"/>
      <c r="M145" s="17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4" x14ac:dyDescent="0.3">
      <c r="A146" s="1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8"/>
      <c r="M146" s="17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4" x14ac:dyDescent="0.3">
      <c r="A147" s="1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8"/>
      <c r="M147" s="17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4" x14ac:dyDescent="0.3">
      <c r="A148" s="1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8"/>
      <c r="M148" s="17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4" x14ac:dyDescent="0.3">
      <c r="A149" s="1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8"/>
      <c r="M149" s="17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4" x14ac:dyDescent="0.3">
      <c r="A150" s="1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8"/>
      <c r="M150" s="1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4" x14ac:dyDescent="0.3">
      <c r="A151" s="1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8"/>
      <c r="M151" s="17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4" x14ac:dyDescent="0.3">
      <c r="A152" s="1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8"/>
      <c r="M152" s="17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4" x14ac:dyDescent="0.3">
      <c r="A153" s="1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17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4" x14ac:dyDescent="0.3">
      <c r="A154" s="1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17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4" x14ac:dyDescent="0.3">
      <c r="A155" s="1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17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4" x14ac:dyDescent="0.3">
      <c r="A156" s="1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17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4" x14ac:dyDescent="0.3">
      <c r="A157" s="1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8"/>
      <c r="M157" s="17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4" x14ac:dyDescent="0.3">
      <c r="A158" s="1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8"/>
      <c r="M158" s="17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4" x14ac:dyDescent="0.3">
      <c r="A159" s="1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8"/>
      <c r="M159" s="1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4" x14ac:dyDescent="0.3">
      <c r="A160" s="1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8"/>
      <c r="M160" s="17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4" x14ac:dyDescent="0.3">
      <c r="A161" s="1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8"/>
      <c r="M161" s="17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4" x14ac:dyDescent="0.3">
      <c r="A162" s="1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8"/>
      <c r="M162" s="17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4" x14ac:dyDescent="0.3">
      <c r="A163" s="1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8"/>
      <c r="M163" s="17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4" x14ac:dyDescent="0.3">
      <c r="A164" s="1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8"/>
      <c r="M164" s="17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4" x14ac:dyDescent="0.3">
      <c r="A165" s="1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17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4" x14ac:dyDescent="0.3">
      <c r="A166" s="1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17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4" x14ac:dyDescent="0.3">
      <c r="A167" s="1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17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4" x14ac:dyDescent="0.3">
      <c r="A168" s="1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17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4" x14ac:dyDescent="0.3">
      <c r="A169" s="1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8"/>
      <c r="M169" s="17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4" x14ac:dyDescent="0.3">
      <c r="A170" s="1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/>
      <c r="M170" s="17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4" x14ac:dyDescent="0.3">
      <c r="A171" s="1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8"/>
      <c r="M171" s="17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4" x14ac:dyDescent="0.3">
      <c r="A172" s="1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8"/>
      <c r="M172" s="17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4" x14ac:dyDescent="0.3">
      <c r="A173" s="1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8"/>
      <c r="M173" s="17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4" x14ac:dyDescent="0.3">
      <c r="A174" s="1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8"/>
      <c r="M174" s="17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4" x14ac:dyDescent="0.3">
      <c r="A175" s="1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8"/>
      <c r="M175" s="17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4" x14ac:dyDescent="0.3">
      <c r="A176" s="1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8"/>
      <c r="M176" s="17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4" x14ac:dyDescent="0.3">
      <c r="A177" s="1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8"/>
      <c r="M177" s="17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4" x14ac:dyDescent="0.3">
      <c r="A178" s="1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8"/>
      <c r="M178" s="17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4" x14ac:dyDescent="0.3">
      <c r="A179" s="1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8"/>
      <c r="M179" s="17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4" x14ac:dyDescent="0.3">
      <c r="A180" s="1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8"/>
      <c r="M180" s="17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4" x14ac:dyDescent="0.3">
      <c r="A181" s="1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8"/>
      <c r="M181" s="17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4" x14ac:dyDescent="0.3">
      <c r="A182" s="1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8"/>
      <c r="M182" s="17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4" x14ac:dyDescent="0.3">
      <c r="A183" s="1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8"/>
      <c r="M183" s="17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4" x14ac:dyDescent="0.3">
      <c r="A184" s="1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8"/>
      <c r="M184" s="17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4" x14ac:dyDescent="0.3">
      <c r="A185" s="1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8"/>
      <c r="M185" s="17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4" x14ac:dyDescent="0.3">
      <c r="A186" s="1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8"/>
      <c r="M186" s="17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4" x14ac:dyDescent="0.3">
      <c r="A187" s="1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8"/>
      <c r="M187" s="17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4" x14ac:dyDescent="0.3">
      <c r="A188" s="1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8"/>
      <c r="M188" s="17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4" x14ac:dyDescent="0.3">
      <c r="A189" s="1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8"/>
      <c r="M189" s="17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4" x14ac:dyDescent="0.3">
      <c r="A190" s="1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8"/>
      <c r="M190" s="17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4" x14ac:dyDescent="0.3">
      <c r="A191" s="1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8"/>
      <c r="M191" s="17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4" x14ac:dyDescent="0.3">
      <c r="A192" s="1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8"/>
      <c r="M192" s="17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4" x14ac:dyDescent="0.3">
      <c r="A193" s="1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8"/>
      <c r="M193" s="17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4" x14ac:dyDescent="0.3">
      <c r="A194" s="1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8"/>
      <c r="M194" s="17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4" x14ac:dyDescent="0.3">
      <c r="A195" s="1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8"/>
      <c r="M195" s="17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4" x14ac:dyDescent="0.3">
      <c r="A196" s="1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8"/>
      <c r="M196" s="17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4" x14ac:dyDescent="0.3">
      <c r="A197" s="1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8"/>
      <c r="M197" s="17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4" x14ac:dyDescent="0.3">
      <c r="A198" s="1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8"/>
      <c r="M198" s="17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4" x14ac:dyDescent="0.3">
      <c r="A199" s="1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8"/>
      <c r="M199" s="17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4" x14ac:dyDescent="0.3">
      <c r="A200" s="1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8"/>
      <c r="M200" s="17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4" x14ac:dyDescent="0.3">
      <c r="A201" s="1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8"/>
      <c r="M201" s="17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4" x14ac:dyDescent="0.3">
      <c r="A202" s="1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8"/>
      <c r="M202" s="17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4" x14ac:dyDescent="0.3">
      <c r="A203" s="1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8"/>
      <c r="M203" s="17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4" x14ac:dyDescent="0.3">
      <c r="A204" s="1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/>
      <c r="M204" s="17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4" x14ac:dyDescent="0.3">
      <c r="A205" s="1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8"/>
      <c r="M205" s="17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4" x14ac:dyDescent="0.3">
      <c r="A206" s="1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8"/>
      <c r="M206" s="17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4" x14ac:dyDescent="0.3">
      <c r="A207" s="1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8"/>
      <c r="M207" s="17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4" x14ac:dyDescent="0.3">
      <c r="A208" s="1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8"/>
      <c r="M208" s="17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4" x14ac:dyDescent="0.3">
      <c r="A209" s="1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8"/>
      <c r="M209" s="17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4" x14ac:dyDescent="0.3">
      <c r="A210" s="1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8"/>
      <c r="M210" s="17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4" x14ac:dyDescent="0.3">
      <c r="A211" s="1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8"/>
      <c r="M211" s="17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4" x14ac:dyDescent="0.3">
      <c r="A212" s="1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8"/>
      <c r="M212" s="17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4" x14ac:dyDescent="0.3">
      <c r="A213" s="1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8"/>
      <c r="M213" s="17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4" x14ac:dyDescent="0.3">
      <c r="A214" s="1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8"/>
      <c r="M214" s="17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4" x14ac:dyDescent="0.3">
      <c r="A215" s="1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8"/>
      <c r="M215" s="17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4" x14ac:dyDescent="0.3">
      <c r="A216" s="1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8"/>
      <c r="M216" s="17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4" x14ac:dyDescent="0.3">
      <c r="A217" s="1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8"/>
      <c r="M217" s="17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4" x14ac:dyDescent="0.3">
      <c r="A218" s="1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8"/>
      <c r="M218" s="17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4" x14ac:dyDescent="0.3">
      <c r="A219" s="1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8"/>
      <c r="M219" s="17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4" x14ac:dyDescent="0.3">
      <c r="A220" s="1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8"/>
      <c r="M220" s="17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4" x14ac:dyDescent="0.3">
      <c r="A221" s="1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8"/>
      <c r="M221" s="17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4" x14ac:dyDescent="0.3">
      <c r="A222" s="1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8"/>
      <c r="M222" s="17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4" x14ac:dyDescent="0.3">
      <c r="A223" s="1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8"/>
      <c r="M223" s="17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4" x14ac:dyDescent="0.3">
      <c r="A224" s="1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8"/>
      <c r="M224" s="17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4" x14ac:dyDescent="0.3">
      <c r="A225" s="1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8"/>
      <c r="M225" s="17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4" x14ac:dyDescent="0.3">
      <c r="A226" s="1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8"/>
      <c r="M226" s="17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4" x14ac:dyDescent="0.3">
      <c r="A227" s="1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8"/>
      <c r="M227" s="17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4" x14ac:dyDescent="0.3">
      <c r="A228" s="1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8"/>
      <c r="M228" s="17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4" x14ac:dyDescent="0.3">
      <c r="A229" s="1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8"/>
      <c r="M229" s="17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4" x14ac:dyDescent="0.3">
      <c r="A230" s="1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8"/>
      <c r="M230" s="17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4" x14ac:dyDescent="0.3">
      <c r="A231" s="1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8"/>
      <c r="M231" s="17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4" x14ac:dyDescent="0.3">
      <c r="A232" s="1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8"/>
      <c r="M232" s="17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4" x14ac:dyDescent="0.3">
      <c r="A233" s="1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8"/>
      <c r="M233" s="17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4" x14ac:dyDescent="0.3">
      <c r="A234" s="1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8"/>
      <c r="M234" s="17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4" x14ac:dyDescent="0.3">
      <c r="A235" s="1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8"/>
      <c r="M235" s="17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4" x14ac:dyDescent="0.3">
      <c r="A236" s="1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8"/>
      <c r="M236" s="17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4" x14ac:dyDescent="0.3">
      <c r="A237" s="1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8"/>
      <c r="M237" s="17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4" x14ac:dyDescent="0.3">
      <c r="A238" s="1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8"/>
      <c r="M238" s="17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4" x14ac:dyDescent="0.3">
      <c r="A239" s="1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8"/>
      <c r="M239" s="17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4" x14ac:dyDescent="0.3">
      <c r="A240" s="1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8"/>
      <c r="M240" s="17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4" x14ac:dyDescent="0.3">
      <c r="A241" s="1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8"/>
      <c r="M241" s="17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4" x14ac:dyDescent="0.3">
      <c r="A242" s="1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8"/>
      <c r="M242" s="17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4" x14ac:dyDescent="0.3">
      <c r="A243" s="1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8"/>
      <c r="M243" s="17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4" x14ac:dyDescent="0.3">
      <c r="A244" s="1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8"/>
      <c r="M244" s="17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4" x14ac:dyDescent="0.3">
      <c r="A245" s="1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8"/>
      <c r="M245" s="17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4" x14ac:dyDescent="0.3">
      <c r="A246" s="1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8"/>
      <c r="M246" s="17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4" x14ac:dyDescent="0.3">
      <c r="A247" s="1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8"/>
      <c r="M247" s="17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4" x14ac:dyDescent="0.3">
      <c r="A248" s="1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8"/>
      <c r="M248" s="17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4" x14ac:dyDescent="0.3">
      <c r="A249" s="1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8"/>
      <c r="M249" s="17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4" x14ac:dyDescent="0.3">
      <c r="A250" s="1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8"/>
      <c r="M250" s="17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4" x14ac:dyDescent="0.3">
      <c r="A251" s="1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8"/>
      <c r="M251" s="17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4" x14ac:dyDescent="0.3">
      <c r="A252" s="1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8"/>
      <c r="M252" s="17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4" x14ac:dyDescent="0.3">
      <c r="A253" s="1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8"/>
      <c r="M253" s="17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4" x14ac:dyDescent="0.3">
      <c r="A254" s="1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8"/>
      <c r="M254" s="17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4" x14ac:dyDescent="0.3">
      <c r="A255" s="1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8"/>
      <c r="M255" s="17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4" x14ac:dyDescent="0.3">
      <c r="A256" s="1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8"/>
      <c r="M256" s="17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4" x14ac:dyDescent="0.3">
      <c r="A257" s="1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8"/>
      <c r="M257" s="17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4" x14ac:dyDescent="0.3">
      <c r="A258" s="1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8"/>
      <c r="M258" s="17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4" x14ac:dyDescent="0.3">
      <c r="A259" s="1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8"/>
      <c r="M259" s="17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4" x14ac:dyDescent="0.3">
      <c r="A260" s="1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8"/>
      <c r="M260" s="17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4" x14ac:dyDescent="0.3">
      <c r="A261" s="1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8"/>
      <c r="M261" s="17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4" x14ac:dyDescent="0.3">
      <c r="A262" s="1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8"/>
      <c r="M262" s="17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4" x14ac:dyDescent="0.3">
      <c r="A263" s="1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8"/>
      <c r="M263" s="17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4" x14ac:dyDescent="0.3">
      <c r="A264" s="1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8"/>
      <c r="M264" s="17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4" x14ac:dyDescent="0.3">
      <c r="A265" s="1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8"/>
      <c r="M265" s="17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4" x14ac:dyDescent="0.3">
      <c r="A266" s="1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8"/>
      <c r="M266" s="17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4" x14ac:dyDescent="0.3">
      <c r="A267" s="1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8"/>
      <c r="M267" s="17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4" x14ac:dyDescent="0.3">
      <c r="A268" s="1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8"/>
      <c r="M268" s="17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4" x14ac:dyDescent="0.3">
      <c r="A269" s="1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8"/>
      <c r="M269" s="17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4" x14ac:dyDescent="0.3">
      <c r="A270" s="1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8"/>
      <c r="M270" s="17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4" x14ac:dyDescent="0.3">
      <c r="A271" s="1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8"/>
      <c r="M271" s="17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4" x14ac:dyDescent="0.3">
      <c r="A272" s="1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8"/>
      <c r="M272" s="17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4" x14ac:dyDescent="0.3">
      <c r="A273" s="1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8"/>
      <c r="M273" s="17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4" x14ac:dyDescent="0.3">
      <c r="A274" s="1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8"/>
      <c r="M274" s="17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4" x14ac:dyDescent="0.3">
      <c r="A275" s="1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8"/>
      <c r="M275" s="17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4" x14ac:dyDescent="0.3">
      <c r="A276" s="1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8"/>
      <c r="M276" s="17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4" x14ac:dyDescent="0.3">
      <c r="A277" s="1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8"/>
      <c r="M277" s="17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4" x14ac:dyDescent="0.3">
      <c r="A278" s="1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8"/>
      <c r="M278" s="17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4" x14ac:dyDescent="0.3">
      <c r="A279" s="1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8"/>
      <c r="M279" s="17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4" x14ac:dyDescent="0.3">
      <c r="A280" s="1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8"/>
      <c r="M280" s="17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4" x14ac:dyDescent="0.3">
      <c r="A281" s="1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8"/>
      <c r="M281" s="17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4" x14ac:dyDescent="0.3">
      <c r="A282" s="1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8"/>
      <c r="M282" s="17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4" x14ac:dyDescent="0.3">
      <c r="A283" s="1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8"/>
      <c r="M283" s="17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4" x14ac:dyDescent="0.3">
      <c r="A284" s="1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8"/>
      <c r="M284" s="17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4" x14ac:dyDescent="0.3">
      <c r="A285" s="1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8"/>
      <c r="M285" s="17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4" x14ac:dyDescent="0.3">
      <c r="A286" s="1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8"/>
      <c r="M286" s="17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4" x14ac:dyDescent="0.3">
      <c r="A287" s="1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8"/>
      <c r="M287" s="17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4" x14ac:dyDescent="0.3">
      <c r="A288" s="1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8"/>
      <c r="M288" s="17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4" x14ac:dyDescent="0.3">
      <c r="A289" s="1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8"/>
      <c r="M289" s="17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4" x14ac:dyDescent="0.3">
      <c r="A290" s="1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8"/>
      <c r="M290" s="17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4" x14ac:dyDescent="0.3">
      <c r="A291" s="1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8"/>
      <c r="M291" s="17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4" x14ac:dyDescent="0.3">
      <c r="A292" s="1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8"/>
      <c r="M292" s="17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4" x14ac:dyDescent="0.3">
      <c r="A293" s="1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8"/>
      <c r="M293" s="17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4" x14ac:dyDescent="0.3">
      <c r="A294" s="1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8"/>
      <c r="M294" s="17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4" x14ac:dyDescent="0.3">
      <c r="A295" s="1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8"/>
      <c r="M295" s="17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4" x14ac:dyDescent="0.3">
      <c r="A296" s="1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8"/>
      <c r="M296" s="17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4" x14ac:dyDescent="0.3">
      <c r="A297" s="1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8"/>
      <c r="M297" s="17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4" x14ac:dyDescent="0.3">
      <c r="A298" s="1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8"/>
      <c r="M298" s="17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4" x14ac:dyDescent="0.3">
      <c r="A299" s="1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8"/>
      <c r="M299" s="17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4" x14ac:dyDescent="0.3">
      <c r="A300" s="1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8"/>
      <c r="M300" s="17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4" x14ac:dyDescent="0.3">
      <c r="A301" s="1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8"/>
      <c r="M301" s="17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4" x14ac:dyDescent="0.3">
      <c r="A302" s="1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8"/>
      <c r="M302" s="17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4" x14ac:dyDescent="0.3">
      <c r="A303" s="1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8"/>
      <c r="M303" s="17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4" x14ac:dyDescent="0.3">
      <c r="A304" s="1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8"/>
      <c r="M304" s="17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4" x14ac:dyDescent="0.3">
      <c r="A305" s="1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8"/>
      <c r="M305" s="17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4" x14ac:dyDescent="0.3">
      <c r="A306" s="1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8"/>
      <c r="M306" s="17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4" x14ac:dyDescent="0.3">
      <c r="A307" s="1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8"/>
      <c r="M307" s="17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4" x14ac:dyDescent="0.3">
      <c r="A308" s="1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8"/>
      <c r="M308" s="17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4" x14ac:dyDescent="0.3">
      <c r="A309" s="1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8"/>
      <c r="M309" s="17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4" x14ac:dyDescent="0.3">
      <c r="A310" s="1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8"/>
      <c r="M310" s="17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4" x14ac:dyDescent="0.3">
      <c r="A311" s="1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8"/>
      <c r="M311" s="17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4" x14ac:dyDescent="0.3">
      <c r="A312" s="1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8"/>
      <c r="M312" s="17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4" x14ac:dyDescent="0.3">
      <c r="A313" s="1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8"/>
      <c r="M313" s="17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4" x14ac:dyDescent="0.3">
      <c r="A314" s="1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8"/>
      <c r="M314" s="17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4" x14ac:dyDescent="0.3">
      <c r="A315" s="1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8"/>
      <c r="M315" s="17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4" x14ac:dyDescent="0.3">
      <c r="A316" s="1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8"/>
      <c r="M316" s="17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4" x14ac:dyDescent="0.3">
      <c r="A317" s="1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8"/>
      <c r="M317" s="17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4" x14ac:dyDescent="0.3">
      <c r="A318" s="1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8"/>
      <c r="M318" s="17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4" x14ac:dyDescent="0.3">
      <c r="A319" s="1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8"/>
      <c r="M319" s="17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4" x14ac:dyDescent="0.3">
      <c r="A320" s="1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8"/>
      <c r="M320" s="17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4" x14ac:dyDescent="0.3">
      <c r="A321" s="1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8"/>
      <c r="M321" s="17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4" x14ac:dyDescent="0.3">
      <c r="A322" s="1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8"/>
      <c r="M322" s="17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4" x14ac:dyDescent="0.3">
      <c r="A323" s="1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8"/>
      <c r="M323" s="17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4" x14ac:dyDescent="0.3">
      <c r="A324" s="1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8"/>
      <c r="M324" s="17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4" x14ac:dyDescent="0.3">
      <c r="A325" s="1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8"/>
      <c r="M325" s="17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4" x14ac:dyDescent="0.3">
      <c r="A326" s="1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8"/>
      <c r="M326" s="17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4" x14ac:dyDescent="0.3">
      <c r="A327" s="1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8"/>
      <c r="M327" s="17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4" x14ac:dyDescent="0.3">
      <c r="A328" s="1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8"/>
      <c r="M328" s="17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4" x14ac:dyDescent="0.3">
      <c r="A329" s="1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8"/>
      <c r="M329" s="17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4" x14ac:dyDescent="0.3">
      <c r="A330" s="1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8"/>
      <c r="M330" s="17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4" x14ac:dyDescent="0.3">
      <c r="A331" s="1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8"/>
      <c r="M331" s="17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4" x14ac:dyDescent="0.3">
      <c r="A332" s="1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8"/>
      <c r="M332" s="17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4" x14ac:dyDescent="0.3">
      <c r="A333" s="1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8"/>
      <c r="M333" s="17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4" x14ac:dyDescent="0.3">
      <c r="A334" s="1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8"/>
      <c r="M334" s="17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4" x14ac:dyDescent="0.3">
      <c r="A335" s="1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8"/>
      <c r="M335" s="17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4" x14ac:dyDescent="0.3">
      <c r="A336" s="1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8"/>
      <c r="M336" s="17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4" x14ac:dyDescent="0.3">
      <c r="A337" s="1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8"/>
      <c r="M337" s="17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4" x14ac:dyDescent="0.3">
      <c r="A338" s="1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8"/>
      <c r="M338" s="17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4" x14ac:dyDescent="0.3">
      <c r="A339" s="1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8"/>
      <c r="M339" s="17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4" x14ac:dyDescent="0.3">
      <c r="A340" s="1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8"/>
      <c r="M340" s="17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4" x14ac:dyDescent="0.3">
      <c r="A341" s="1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8"/>
      <c r="M341" s="17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4" x14ac:dyDescent="0.3">
      <c r="A342" s="1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8"/>
      <c r="M342" s="17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4" x14ac:dyDescent="0.3">
      <c r="A343" s="1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8"/>
      <c r="M343" s="17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4" x14ac:dyDescent="0.3">
      <c r="A344" s="1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8"/>
      <c r="M344" s="17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4" x14ac:dyDescent="0.3">
      <c r="A345" s="1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8"/>
      <c r="M345" s="17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4" x14ac:dyDescent="0.3">
      <c r="A346" s="1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8"/>
      <c r="M346" s="17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4" x14ac:dyDescent="0.3">
      <c r="A347" s="1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8"/>
      <c r="M347" s="17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4" x14ac:dyDescent="0.3">
      <c r="A348" s="1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8"/>
      <c r="M348" s="17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4" x14ac:dyDescent="0.3">
      <c r="A349" s="1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8"/>
      <c r="M349" s="17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4" x14ac:dyDescent="0.3">
      <c r="A350" s="1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8"/>
      <c r="M350" s="17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4" x14ac:dyDescent="0.3">
      <c r="A351" s="1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8"/>
      <c r="M351" s="17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4" x14ac:dyDescent="0.3">
      <c r="A352" s="1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8"/>
      <c r="M352" s="17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4" x14ac:dyDescent="0.3">
      <c r="A353" s="1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8"/>
      <c r="M353" s="17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4" x14ac:dyDescent="0.3">
      <c r="A354" s="1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8"/>
      <c r="M354" s="17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4" x14ac:dyDescent="0.3">
      <c r="A355" s="1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8"/>
      <c r="M355" s="17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4" x14ac:dyDescent="0.3">
      <c r="A356" s="1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8"/>
      <c r="M356" s="17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4" x14ac:dyDescent="0.3">
      <c r="A357" s="1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8"/>
      <c r="M357" s="17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4" x14ac:dyDescent="0.3">
      <c r="A358" s="1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8"/>
      <c r="M358" s="17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4" x14ac:dyDescent="0.3">
      <c r="A359" s="1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8"/>
      <c r="M359" s="17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4" x14ac:dyDescent="0.3">
      <c r="A360" s="1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8"/>
      <c r="M360" s="17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4" x14ac:dyDescent="0.3">
      <c r="A361" s="1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8"/>
      <c r="M361" s="17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4" x14ac:dyDescent="0.3">
      <c r="A362" s="1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8"/>
      <c r="M362" s="17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4" x14ac:dyDescent="0.3">
      <c r="A363" s="1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8"/>
      <c r="M363" s="17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4" x14ac:dyDescent="0.3">
      <c r="A364" s="1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8"/>
      <c r="M364" s="17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4" x14ac:dyDescent="0.3">
      <c r="A365" s="1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8"/>
      <c r="M365" s="17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4" x14ac:dyDescent="0.3">
      <c r="A366" s="1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8"/>
      <c r="M366" s="17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4" x14ac:dyDescent="0.3">
      <c r="A367" s="1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8"/>
      <c r="M367" s="17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4" x14ac:dyDescent="0.3">
      <c r="A368" s="1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8"/>
      <c r="M368" s="17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4" x14ac:dyDescent="0.3">
      <c r="A369" s="1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8"/>
      <c r="M369" s="17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4" x14ac:dyDescent="0.3">
      <c r="A370" s="1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8"/>
      <c r="M370" s="17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4" x14ac:dyDescent="0.3">
      <c r="A371" s="1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8"/>
      <c r="M371" s="17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4" x14ac:dyDescent="0.3">
      <c r="A372" s="1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8"/>
      <c r="M372" s="17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4" x14ac:dyDescent="0.3">
      <c r="A373" s="1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8"/>
      <c r="M373" s="17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4" x14ac:dyDescent="0.3">
      <c r="A374" s="1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8"/>
      <c r="M374" s="17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4" x14ac:dyDescent="0.3">
      <c r="A375" s="1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8"/>
      <c r="M375" s="17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4" x14ac:dyDescent="0.3">
      <c r="A376" s="1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8"/>
      <c r="M376" s="17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4" x14ac:dyDescent="0.3">
      <c r="A377" s="1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8"/>
      <c r="M377" s="17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4" x14ac:dyDescent="0.3">
      <c r="A378" s="1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8"/>
      <c r="M378" s="17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4" x14ac:dyDescent="0.3">
      <c r="A379" s="1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8"/>
      <c r="M379" s="17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4" x14ac:dyDescent="0.3">
      <c r="A380" s="1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8"/>
      <c r="M380" s="17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4" x14ac:dyDescent="0.3">
      <c r="A381" s="1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8"/>
      <c r="M381" s="17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4" x14ac:dyDescent="0.3">
      <c r="A382" s="1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8"/>
      <c r="M382" s="17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4" x14ac:dyDescent="0.3">
      <c r="A383" s="1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8"/>
      <c r="M383" s="17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4" x14ac:dyDescent="0.3">
      <c r="A384" s="1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8"/>
      <c r="M384" s="17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4" x14ac:dyDescent="0.3">
      <c r="A385" s="1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8"/>
      <c r="M385" s="17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4" x14ac:dyDescent="0.3">
      <c r="A386" s="1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8"/>
      <c r="M386" s="17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4" x14ac:dyDescent="0.3">
      <c r="A387" s="1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8"/>
      <c r="M387" s="17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4" x14ac:dyDescent="0.3">
      <c r="A388" s="1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8"/>
      <c r="M388" s="17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4" x14ac:dyDescent="0.3">
      <c r="A389" s="1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8"/>
      <c r="M389" s="17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4" x14ac:dyDescent="0.3">
      <c r="A390" s="1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8"/>
      <c r="M390" s="17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4" x14ac:dyDescent="0.3">
      <c r="A391" s="1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8"/>
      <c r="M391" s="17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4" x14ac:dyDescent="0.3">
      <c r="A392" s="1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8"/>
      <c r="M392" s="17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4" x14ac:dyDescent="0.3">
      <c r="A393" s="1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8"/>
      <c r="M393" s="17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4" x14ac:dyDescent="0.3">
      <c r="A394" s="1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8"/>
      <c r="M394" s="17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4" x14ac:dyDescent="0.3">
      <c r="A395" s="1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8"/>
      <c r="M395" s="17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4" x14ac:dyDescent="0.3">
      <c r="A396" s="1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8"/>
      <c r="M396" s="17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4" x14ac:dyDescent="0.3">
      <c r="A397" s="1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8"/>
      <c r="M397" s="17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4" x14ac:dyDescent="0.3">
      <c r="A398" s="1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8"/>
      <c r="M398" s="17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4" x14ac:dyDescent="0.3">
      <c r="A399" s="1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8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4" x14ac:dyDescent="0.3">
      <c r="A400" s="1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8"/>
      <c r="M400" s="17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4" x14ac:dyDescent="0.3">
      <c r="A401" s="1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8"/>
      <c r="M401" s="17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4" x14ac:dyDescent="0.3">
      <c r="A402" s="1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8"/>
      <c r="M402" s="17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4" x14ac:dyDescent="0.3">
      <c r="A403" s="1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8"/>
      <c r="M403" s="17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4" x14ac:dyDescent="0.3">
      <c r="A404" s="1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8"/>
      <c r="M404" s="17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4" x14ac:dyDescent="0.3">
      <c r="A405" s="1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8"/>
      <c r="M405" s="17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4" x14ac:dyDescent="0.3">
      <c r="A406" s="1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8"/>
      <c r="M406" s="17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4" x14ac:dyDescent="0.3">
      <c r="A407" s="1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8"/>
      <c r="M407" s="17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4" x14ac:dyDescent="0.3">
      <c r="A408" s="1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8"/>
      <c r="M408" s="17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4" x14ac:dyDescent="0.3">
      <c r="A409" s="1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8"/>
      <c r="M409" s="17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4" x14ac:dyDescent="0.3">
      <c r="A410" s="1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8"/>
      <c r="M410" s="17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4" x14ac:dyDescent="0.3">
      <c r="A411" s="1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8"/>
      <c r="M411" s="17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4" x14ac:dyDescent="0.3">
      <c r="A412" s="1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8"/>
      <c r="M412" s="17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4" x14ac:dyDescent="0.3">
      <c r="A413" s="1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8"/>
      <c r="M413" s="17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4" x14ac:dyDescent="0.3">
      <c r="A414" s="1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8"/>
      <c r="M414" s="17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4" x14ac:dyDescent="0.3">
      <c r="A415" s="1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8"/>
      <c r="M415" s="17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4" x14ac:dyDescent="0.3">
      <c r="A416" s="1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8"/>
      <c r="M416" s="17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4" x14ac:dyDescent="0.3">
      <c r="A417" s="1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8"/>
      <c r="M417" s="17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4" x14ac:dyDescent="0.3">
      <c r="A418" s="1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8"/>
      <c r="M418" s="17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4" x14ac:dyDescent="0.3">
      <c r="A419" s="1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8"/>
      <c r="M419" s="17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4" x14ac:dyDescent="0.3">
      <c r="A420" s="1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8"/>
      <c r="M420" s="17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4" x14ac:dyDescent="0.3">
      <c r="A421" s="1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8"/>
      <c r="M421" s="17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4" x14ac:dyDescent="0.3">
      <c r="A422" s="1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8"/>
      <c r="M422" s="17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4" x14ac:dyDescent="0.3">
      <c r="A423" s="1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8"/>
      <c r="M423" s="17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4" x14ac:dyDescent="0.3">
      <c r="A424" s="1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8"/>
      <c r="M424" s="17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4" x14ac:dyDescent="0.3">
      <c r="A425" s="1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8"/>
      <c r="M425" s="17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4" x14ac:dyDescent="0.3">
      <c r="A426" s="1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8"/>
      <c r="M426" s="17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4" x14ac:dyDescent="0.3">
      <c r="A427" s="1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8"/>
      <c r="M427" s="17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4" x14ac:dyDescent="0.3">
      <c r="A428" s="1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8"/>
      <c r="M428" s="17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4" x14ac:dyDescent="0.3">
      <c r="A429" s="1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8"/>
      <c r="M429" s="17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4" x14ac:dyDescent="0.3">
      <c r="A430" s="1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8"/>
      <c r="M430" s="17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4" x14ac:dyDescent="0.3">
      <c r="A431" s="1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8"/>
      <c r="M431" s="17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4" x14ac:dyDescent="0.3">
      <c r="A432" s="1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8"/>
      <c r="M432" s="17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4" x14ac:dyDescent="0.3">
      <c r="A433" s="1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8"/>
      <c r="M433" s="17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4" x14ac:dyDescent="0.3">
      <c r="A434" s="1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8"/>
      <c r="M434" s="17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4" x14ac:dyDescent="0.3">
      <c r="A435" s="1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8"/>
      <c r="M435" s="17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4" x14ac:dyDescent="0.3">
      <c r="A436" s="1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8"/>
      <c r="M436" s="17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4" x14ac:dyDescent="0.3">
      <c r="A437" s="1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8"/>
      <c r="M437" s="17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4" x14ac:dyDescent="0.3">
      <c r="A438" s="1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8"/>
      <c r="M438" s="17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4" x14ac:dyDescent="0.3">
      <c r="A439" s="1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8"/>
      <c r="M439" s="17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4" x14ac:dyDescent="0.3">
      <c r="A440" s="1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8"/>
      <c r="M440" s="17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4" x14ac:dyDescent="0.3">
      <c r="A441" s="1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8"/>
      <c r="M441" s="17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4" x14ac:dyDescent="0.3">
      <c r="A442" s="1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8"/>
      <c r="M442" s="17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4" x14ac:dyDescent="0.3">
      <c r="A443" s="1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8"/>
      <c r="M443" s="17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4" x14ac:dyDescent="0.3">
      <c r="A444" s="1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8"/>
      <c r="M444" s="17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4" x14ac:dyDescent="0.3">
      <c r="A445" s="1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8"/>
      <c r="M445" s="17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4" x14ac:dyDescent="0.3">
      <c r="A446" s="1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8"/>
      <c r="M446" s="17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4" x14ac:dyDescent="0.3">
      <c r="A447" s="1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8"/>
      <c r="M447" s="17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4" x14ac:dyDescent="0.3">
      <c r="A448" s="1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8"/>
      <c r="M448" s="17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4" x14ac:dyDescent="0.3">
      <c r="A449" s="1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8"/>
      <c r="M449" s="17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4" x14ac:dyDescent="0.3">
      <c r="A450" s="1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8"/>
      <c r="M450" s="17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4" x14ac:dyDescent="0.3">
      <c r="A451" s="1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8"/>
      <c r="M451" s="17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4" x14ac:dyDescent="0.3">
      <c r="A452" s="1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8"/>
      <c r="M452" s="17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4" x14ac:dyDescent="0.3">
      <c r="A453" s="1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8"/>
      <c r="M453" s="17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4" x14ac:dyDescent="0.3">
      <c r="A454" s="1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8"/>
      <c r="M454" s="17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4" x14ac:dyDescent="0.3">
      <c r="A455" s="1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8"/>
      <c r="M455" s="17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4" x14ac:dyDescent="0.3">
      <c r="A456" s="1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8"/>
      <c r="M456" s="17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4" x14ac:dyDescent="0.3">
      <c r="A457" s="1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8"/>
      <c r="M457" s="17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4" x14ac:dyDescent="0.3">
      <c r="A458" s="1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8"/>
      <c r="M458" s="17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4" x14ac:dyDescent="0.3">
      <c r="A459" s="1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8"/>
      <c r="M459" s="17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4" x14ac:dyDescent="0.3">
      <c r="A460" s="1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8"/>
      <c r="M460" s="17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4" x14ac:dyDescent="0.3">
      <c r="A461" s="1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8"/>
      <c r="M461" s="17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4" x14ac:dyDescent="0.3">
      <c r="A462" s="1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8"/>
      <c r="M462" s="17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4" x14ac:dyDescent="0.3">
      <c r="A463" s="1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8"/>
      <c r="M463" s="17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4" x14ac:dyDescent="0.3">
      <c r="A464" s="1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8"/>
      <c r="M464" s="17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4" x14ac:dyDescent="0.3">
      <c r="A465" s="1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8"/>
      <c r="M465" s="17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4" x14ac:dyDescent="0.3">
      <c r="A466" s="1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8"/>
      <c r="M466" s="17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4" x14ac:dyDescent="0.3">
      <c r="A467" s="1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8"/>
      <c r="M467" s="17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4" x14ac:dyDescent="0.3">
      <c r="A468" s="1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8"/>
      <c r="M468" s="17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4" x14ac:dyDescent="0.3">
      <c r="A469" s="1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8"/>
      <c r="M469" s="17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4" x14ac:dyDescent="0.3">
      <c r="A470" s="1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8"/>
      <c r="M470" s="17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4" x14ac:dyDescent="0.3">
      <c r="A471" s="1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8"/>
      <c r="M471" s="17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4" x14ac:dyDescent="0.3">
      <c r="A472" s="1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8"/>
      <c r="M472" s="17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4" x14ac:dyDescent="0.3">
      <c r="A473" s="1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8"/>
      <c r="M473" s="17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4" x14ac:dyDescent="0.3">
      <c r="A474" s="1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8"/>
      <c r="M474" s="17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4" x14ac:dyDescent="0.3">
      <c r="A475" s="1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8"/>
      <c r="M475" s="17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4" x14ac:dyDescent="0.3">
      <c r="A476" s="1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8"/>
      <c r="M476" s="17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4" x14ac:dyDescent="0.3">
      <c r="A477" s="1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8"/>
      <c r="M477" s="17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4" x14ac:dyDescent="0.3">
      <c r="A478" s="1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8"/>
      <c r="M478" s="17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4" x14ac:dyDescent="0.3">
      <c r="A479" s="1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8"/>
      <c r="M479" s="17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4" x14ac:dyDescent="0.3">
      <c r="A480" s="1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8"/>
      <c r="M480" s="17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4" x14ac:dyDescent="0.3">
      <c r="A481" s="1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8"/>
      <c r="M481" s="17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4" x14ac:dyDescent="0.3">
      <c r="A482" s="1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8"/>
      <c r="M482" s="17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4" x14ac:dyDescent="0.3">
      <c r="A483" s="1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8"/>
      <c r="M483" s="17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4" x14ac:dyDescent="0.3">
      <c r="A484" s="1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8"/>
      <c r="M484" s="17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4" x14ac:dyDescent="0.3">
      <c r="A485" s="1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8"/>
      <c r="M485" s="17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4" x14ac:dyDescent="0.3">
      <c r="A486" s="1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8"/>
      <c r="M486" s="17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4" x14ac:dyDescent="0.3">
      <c r="A487" s="1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8"/>
      <c r="M487" s="17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4" x14ac:dyDescent="0.3">
      <c r="A488" s="1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8"/>
      <c r="M488" s="17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4" x14ac:dyDescent="0.3">
      <c r="A489" s="1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8"/>
      <c r="M489" s="17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4" x14ac:dyDescent="0.3">
      <c r="A490" s="1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8"/>
      <c r="M490" s="17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4" x14ac:dyDescent="0.3">
      <c r="A491" s="1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8"/>
      <c r="M491" s="17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4" x14ac:dyDescent="0.3">
      <c r="A492" s="1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8"/>
      <c r="M492" s="17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4" x14ac:dyDescent="0.3">
      <c r="A493" s="1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8"/>
      <c r="M493" s="17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4" x14ac:dyDescent="0.3">
      <c r="A494" s="1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8"/>
      <c r="M494" s="17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4" x14ac:dyDescent="0.3">
      <c r="A495" s="1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8"/>
      <c r="M495" s="17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4" x14ac:dyDescent="0.3">
      <c r="A496" s="1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8"/>
      <c r="M496" s="17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4" x14ac:dyDescent="0.3">
      <c r="A497" s="1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8"/>
      <c r="M497" s="17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4" x14ac:dyDescent="0.3">
      <c r="A498" s="1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8"/>
      <c r="M498" s="17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4" x14ac:dyDescent="0.3">
      <c r="A499" s="1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8"/>
      <c r="M499" s="17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4" x14ac:dyDescent="0.3">
      <c r="A500" s="1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8"/>
      <c r="M500" s="17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4" x14ac:dyDescent="0.3">
      <c r="A501" s="1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8"/>
      <c r="M501" s="17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4" x14ac:dyDescent="0.3">
      <c r="A502" s="1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8"/>
      <c r="M502" s="17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4" x14ac:dyDescent="0.3">
      <c r="A503" s="1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8"/>
      <c r="M503" s="17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4" x14ac:dyDescent="0.3">
      <c r="A504" s="1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8"/>
      <c r="M504" s="17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4" x14ac:dyDescent="0.3">
      <c r="A505" s="1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8"/>
      <c r="M505" s="17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4" x14ac:dyDescent="0.3">
      <c r="A506" s="1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8"/>
      <c r="M506" s="17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4" x14ac:dyDescent="0.3">
      <c r="A507" s="1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8"/>
      <c r="M507" s="17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4" x14ac:dyDescent="0.3">
      <c r="A508" s="1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8"/>
      <c r="M508" s="17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4" x14ac:dyDescent="0.3">
      <c r="A509" s="1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8"/>
      <c r="M509" s="17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4" x14ac:dyDescent="0.3">
      <c r="A510" s="1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8"/>
      <c r="M510" s="17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4" x14ac:dyDescent="0.3">
      <c r="A511" s="1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8"/>
      <c r="M511" s="17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4" x14ac:dyDescent="0.3">
      <c r="A512" s="1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8"/>
      <c r="M512" s="17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4" x14ac:dyDescent="0.3">
      <c r="A513" s="1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8"/>
      <c r="M513" s="17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4" x14ac:dyDescent="0.3">
      <c r="A514" s="1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8"/>
      <c r="M514" s="17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4" x14ac:dyDescent="0.3">
      <c r="A515" s="1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8"/>
      <c r="M515" s="17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4" x14ac:dyDescent="0.3">
      <c r="A516" s="1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8"/>
      <c r="M516" s="17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4" x14ac:dyDescent="0.3">
      <c r="A517" s="1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8"/>
      <c r="M517" s="17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4" x14ac:dyDescent="0.3">
      <c r="A518" s="1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8"/>
      <c r="M518" s="17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4" x14ac:dyDescent="0.3">
      <c r="A519" s="1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8"/>
      <c r="M519" s="17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4" x14ac:dyDescent="0.3">
      <c r="A520" s="1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8"/>
      <c r="M520" s="17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4" x14ac:dyDescent="0.3">
      <c r="A521" s="1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8"/>
      <c r="M521" s="17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4" x14ac:dyDescent="0.3">
      <c r="A522" s="1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8"/>
      <c r="M522" s="17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4" x14ac:dyDescent="0.3">
      <c r="A523" s="1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8"/>
      <c r="M523" s="17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4" x14ac:dyDescent="0.3">
      <c r="A524" s="1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8"/>
      <c r="M524" s="17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4" x14ac:dyDescent="0.3">
      <c r="A525" s="1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8"/>
      <c r="M525" s="17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4" x14ac:dyDescent="0.3">
      <c r="A526" s="1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8"/>
      <c r="M526" s="17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4" x14ac:dyDescent="0.3">
      <c r="A527" s="1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8"/>
      <c r="M527" s="17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4" x14ac:dyDescent="0.3">
      <c r="A528" s="1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8"/>
      <c r="M528" s="17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4" x14ac:dyDescent="0.3">
      <c r="A529" s="1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8"/>
      <c r="M529" s="17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4" x14ac:dyDescent="0.3">
      <c r="A530" s="1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8"/>
      <c r="M530" s="17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4" x14ac:dyDescent="0.3">
      <c r="A531" s="1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8"/>
      <c r="M531" s="17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4" x14ac:dyDescent="0.3">
      <c r="A532" s="1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8"/>
      <c r="M532" s="17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4" x14ac:dyDescent="0.3">
      <c r="A533" s="1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8"/>
      <c r="M533" s="17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4" x14ac:dyDescent="0.3">
      <c r="A534" s="1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8"/>
      <c r="M534" s="17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4" x14ac:dyDescent="0.3">
      <c r="A535" s="1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8"/>
      <c r="M535" s="17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4" x14ac:dyDescent="0.3">
      <c r="A536" s="1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8"/>
      <c r="M536" s="17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4" x14ac:dyDescent="0.3">
      <c r="A537" s="1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8"/>
      <c r="M537" s="17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4" x14ac:dyDescent="0.3">
      <c r="A538" s="1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8"/>
      <c r="M538" s="17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4" x14ac:dyDescent="0.3">
      <c r="A539" s="1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8"/>
      <c r="M539" s="17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4" x14ac:dyDescent="0.3">
      <c r="A540" s="1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8"/>
      <c r="M540" s="17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4" x14ac:dyDescent="0.3">
      <c r="A541" s="1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8"/>
      <c r="M541" s="17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4" x14ac:dyDescent="0.3">
      <c r="A542" s="1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8"/>
      <c r="M542" s="17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4" x14ac:dyDescent="0.3">
      <c r="A543" s="1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8"/>
      <c r="M543" s="17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4" x14ac:dyDescent="0.3">
      <c r="A544" s="1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8"/>
      <c r="M544" s="17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4" x14ac:dyDescent="0.3">
      <c r="A545" s="1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8"/>
      <c r="M545" s="17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4" x14ac:dyDescent="0.3">
      <c r="A546" s="1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8"/>
      <c r="M546" s="17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4" x14ac:dyDescent="0.3">
      <c r="A547" s="1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8"/>
      <c r="M547" s="17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4" x14ac:dyDescent="0.3">
      <c r="A548" s="1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8"/>
      <c r="M548" s="17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4" x14ac:dyDescent="0.3">
      <c r="A549" s="1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8"/>
      <c r="M549" s="17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4" x14ac:dyDescent="0.3">
      <c r="A550" s="1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8"/>
      <c r="M550" s="17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4" x14ac:dyDescent="0.3">
      <c r="A551" s="1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8"/>
      <c r="M551" s="17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4" x14ac:dyDescent="0.3">
      <c r="A552" s="1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8"/>
      <c r="M552" s="17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4" x14ac:dyDescent="0.3">
      <c r="A553" s="1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8"/>
      <c r="M553" s="17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4" x14ac:dyDescent="0.3">
      <c r="A554" s="1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8"/>
      <c r="M554" s="17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4" x14ac:dyDescent="0.3">
      <c r="A555" s="1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8"/>
      <c r="M555" s="17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4" x14ac:dyDescent="0.3">
      <c r="A556" s="1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8"/>
      <c r="M556" s="17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4" x14ac:dyDescent="0.3">
      <c r="A557" s="1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8"/>
      <c r="M557" s="17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4" x14ac:dyDescent="0.3">
      <c r="A558" s="1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8"/>
      <c r="M558" s="17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4" x14ac:dyDescent="0.3">
      <c r="A559" s="1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8"/>
      <c r="M559" s="17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4" x14ac:dyDescent="0.3">
      <c r="A560" s="1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8"/>
      <c r="M560" s="17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4" x14ac:dyDescent="0.3">
      <c r="A561" s="1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8"/>
      <c r="M561" s="17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4" x14ac:dyDescent="0.3">
      <c r="A562" s="1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8"/>
      <c r="M562" s="17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4" x14ac:dyDescent="0.3">
      <c r="A563" s="1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8"/>
      <c r="M563" s="17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4" x14ac:dyDescent="0.3">
      <c r="A564" s="1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8"/>
      <c r="M564" s="17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4" x14ac:dyDescent="0.3">
      <c r="A565" s="1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8"/>
      <c r="M565" s="17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4" x14ac:dyDescent="0.3">
      <c r="A566" s="1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8"/>
      <c r="M566" s="17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4" x14ac:dyDescent="0.3">
      <c r="A567" s="1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8"/>
      <c r="M567" s="17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4" x14ac:dyDescent="0.3">
      <c r="A568" s="1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8"/>
      <c r="M568" s="17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4" x14ac:dyDescent="0.3">
      <c r="A569" s="1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8"/>
      <c r="M569" s="17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4" x14ac:dyDescent="0.3">
      <c r="A570" s="1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8"/>
      <c r="M570" s="17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4" x14ac:dyDescent="0.3">
      <c r="A571" s="1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8"/>
      <c r="M571" s="17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4" x14ac:dyDescent="0.3">
      <c r="A572" s="1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8"/>
      <c r="M572" s="17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4" x14ac:dyDescent="0.3">
      <c r="A573" s="1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8"/>
      <c r="M573" s="17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4" x14ac:dyDescent="0.3">
      <c r="A574" s="1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8"/>
      <c r="M574" s="17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4" x14ac:dyDescent="0.3">
      <c r="A575" s="1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8"/>
      <c r="M575" s="17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4" x14ac:dyDescent="0.3">
      <c r="A576" s="1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8"/>
      <c r="M576" s="17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4" x14ac:dyDescent="0.3">
      <c r="A577" s="1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8"/>
      <c r="M577" s="17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4" x14ac:dyDescent="0.3">
      <c r="A578" s="1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8"/>
      <c r="M578" s="17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4" x14ac:dyDescent="0.3">
      <c r="A579" s="1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8"/>
      <c r="M579" s="17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4" x14ac:dyDescent="0.3">
      <c r="A580" s="1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8"/>
      <c r="M580" s="17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4" x14ac:dyDescent="0.3">
      <c r="A581" s="1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8"/>
      <c r="M581" s="17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4" x14ac:dyDescent="0.3">
      <c r="A582" s="1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8"/>
      <c r="M582" s="17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4" x14ac:dyDescent="0.3">
      <c r="A583" s="1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8"/>
      <c r="M583" s="17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4" x14ac:dyDescent="0.3">
      <c r="A584" s="1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8"/>
      <c r="M584" s="17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4" x14ac:dyDescent="0.3">
      <c r="A585" s="1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8"/>
      <c r="M585" s="17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4" x14ac:dyDescent="0.3">
      <c r="A586" s="1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8"/>
      <c r="M586" s="17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4" x14ac:dyDescent="0.3">
      <c r="A587" s="1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8"/>
      <c r="M587" s="17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4" x14ac:dyDescent="0.3">
      <c r="A588" s="1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8"/>
      <c r="M588" s="17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4" x14ac:dyDescent="0.3">
      <c r="A589" s="1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8"/>
      <c r="M589" s="17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4" x14ac:dyDescent="0.3">
      <c r="A590" s="1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8"/>
      <c r="M590" s="17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4" x14ac:dyDescent="0.3">
      <c r="A591" s="1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8"/>
      <c r="M591" s="17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4" x14ac:dyDescent="0.3">
      <c r="A592" s="1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8"/>
      <c r="M592" s="17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4" x14ac:dyDescent="0.3">
      <c r="A593" s="1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8"/>
      <c r="M593" s="17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4" x14ac:dyDescent="0.3">
      <c r="A594" s="1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8"/>
      <c r="M594" s="17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4" x14ac:dyDescent="0.3">
      <c r="A595" s="1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8"/>
      <c r="M595" s="17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4" x14ac:dyDescent="0.3">
      <c r="A596" s="1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8"/>
      <c r="M596" s="17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4" x14ac:dyDescent="0.3">
      <c r="A597" s="1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8"/>
      <c r="M597" s="17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4" x14ac:dyDescent="0.3">
      <c r="A598" s="1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8"/>
      <c r="M598" s="17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4" x14ac:dyDescent="0.3">
      <c r="A599" s="1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8"/>
      <c r="M599" s="17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4" x14ac:dyDescent="0.3">
      <c r="A600" s="1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8"/>
      <c r="M600" s="17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4" x14ac:dyDescent="0.3">
      <c r="A601" s="1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8"/>
      <c r="M601" s="17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4" x14ac:dyDescent="0.3">
      <c r="A602" s="1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8"/>
      <c r="M602" s="17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4" x14ac:dyDescent="0.3">
      <c r="A603" s="1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8"/>
      <c r="M603" s="17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4" x14ac:dyDescent="0.3">
      <c r="A604" s="1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8"/>
      <c r="M604" s="17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4" x14ac:dyDescent="0.3">
      <c r="A605" s="1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8"/>
      <c r="M605" s="17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4" x14ac:dyDescent="0.3">
      <c r="A606" s="1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8"/>
      <c r="M606" s="17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4" x14ac:dyDescent="0.3">
      <c r="A607" s="1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8"/>
      <c r="M607" s="17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4" x14ac:dyDescent="0.3">
      <c r="A608" s="1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8"/>
      <c r="M608" s="17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4" x14ac:dyDescent="0.3">
      <c r="A609" s="1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8"/>
      <c r="M609" s="17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4" x14ac:dyDescent="0.3">
      <c r="A610" s="1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8"/>
      <c r="M610" s="17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4" x14ac:dyDescent="0.3">
      <c r="A611" s="1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8"/>
      <c r="M611" s="17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4" x14ac:dyDescent="0.3">
      <c r="A612" s="1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8"/>
      <c r="M612" s="17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4" x14ac:dyDescent="0.3">
      <c r="A613" s="1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8"/>
      <c r="M613" s="17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4" x14ac:dyDescent="0.3">
      <c r="A614" s="1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8"/>
      <c r="M614" s="17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4" x14ac:dyDescent="0.3">
      <c r="A615" s="1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8"/>
      <c r="M615" s="17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4" x14ac:dyDescent="0.3">
      <c r="A616" s="1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8"/>
      <c r="M616" s="17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4" x14ac:dyDescent="0.3">
      <c r="A617" s="1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8"/>
      <c r="M617" s="17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4" x14ac:dyDescent="0.3">
      <c r="A618" s="1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8"/>
      <c r="M618" s="17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4" x14ac:dyDescent="0.3">
      <c r="A619" s="1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8"/>
      <c r="M619" s="17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4" x14ac:dyDescent="0.3">
      <c r="A620" s="1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8"/>
      <c r="M620" s="17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4" x14ac:dyDescent="0.3">
      <c r="A621" s="1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8"/>
      <c r="M621" s="17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4" x14ac:dyDescent="0.3">
      <c r="A622" s="1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8"/>
      <c r="M622" s="17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4" x14ac:dyDescent="0.3">
      <c r="A623" s="1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8"/>
      <c r="M623" s="17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4" x14ac:dyDescent="0.3">
      <c r="A624" s="1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8"/>
      <c r="M624" s="17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4" x14ac:dyDescent="0.3">
      <c r="A625" s="1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8"/>
      <c r="M625" s="17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4" x14ac:dyDescent="0.3">
      <c r="A626" s="1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8"/>
      <c r="M626" s="17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4" x14ac:dyDescent="0.3">
      <c r="A627" s="1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8"/>
      <c r="M627" s="17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4" x14ac:dyDescent="0.3">
      <c r="A628" s="1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8"/>
      <c r="M628" s="17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4" x14ac:dyDescent="0.3">
      <c r="A629" s="1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8"/>
      <c r="M629" s="17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4" x14ac:dyDescent="0.3">
      <c r="A630" s="1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8"/>
      <c r="M630" s="17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4" x14ac:dyDescent="0.3">
      <c r="A631" s="1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8"/>
      <c r="M631" s="17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4" x14ac:dyDescent="0.3">
      <c r="A632" s="1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8"/>
      <c r="M632" s="17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4" x14ac:dyDescent="0.3">
      <c r="A633" s="1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8"/>
      <c r="M633" s="17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4" x14ac:dyDescent="0.3">
      <c r="A634" s="1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8"/>
      <c r="M634" s="17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4" x14ac:dyDescent="0.3">
      <c r="A635" s="1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8"/>
      <c r="M635" s="17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4" x14ac:dyDescent="0.3">
      <c r="A636" s="1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8"/>
      <c r="M636" s="17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4" x14ac:dyDescent="0.3">
      <c r="A637" s="1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8"/>
      <c r="M637" s="17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4" x14ac:dyDescent="0.3">
      <c r="A638" s="1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8"/>
      <c r="M638" s="17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4" x14ac:dyDescent="0.3">
      <c r="A639" s="1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8"/>
      <c r="M639" s="17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4" x14ac:dyDescent="0.3">
      <c r="A640" s="1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8"/>
      <c r="M640" s="17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4" x14ac:dyDescent="0.3">
      <c r="A641" s="1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8"/>
      <c r="M641" s="17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4" x14ac:dyDescent="0.3">
      <c r="A642" s="1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8"/>
      <c r="M642" s="1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4" x14ac:dyDescent="0.3">
      <c r="A643" s="1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8"/>
      <c r="M643" s="1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4" x14ac:dyDescent="0.3">
      <c r="A644" s="1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8"/>
      <c r="M644" s="17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4" x14ac:dyDescent="0.3">
      <c r="A645" s="1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8"/>
      <c r="M645" s="17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4" x14ac:dyDescent="0.3">
      <c r="A646" s="1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8"/>
      <c r="M646" s="17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4" x14ac:dyDescent="0.3">
      <c r="A647" s="1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8"/>
      <c r="M647" s="17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4" x14ac:dyDescent="0.3">
      <c r="A648" s="1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8"/>
      <c r="M648" s="17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4" x14ac:dyDescent="0.3">
      <c r="A649" s="1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8"/>
      <c r="M649" s="17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4" x14ac:dyDescent="0.3">
      <c r="A650" s="1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8"/>
      <c r="M650" s="17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4" x14ac:dyDescent="0.3">
      <c r="A651" s="1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8"/>
      <c r="M651" s="17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4" x14ac:dyDescent="0.3">
      <c r="A652" s="1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8"/>
      <c r="M652" s="17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4" x14ac:dyDescent="0.3">
      <c r="A653" s="1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8"/>
      <c r="M653" s="17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4" x14ac:dyDescent="0.3">
      <c r="A654" s="1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8"/>
      <c r="M654" s="17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4" x14ac:dyDescent="0.3">
      <c r="A655" s="1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8"/>
      <c r="M655" s="17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4" x14ac:dyDescent="0.3">
      <c r="A656" s="1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8"/>
      <c r="M656" s="17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4" x14ac:dyDescent="0.3">
      <c r="A657" s="1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8"/>
      <c r="M657" s="17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4" x14ac:dyDescent="0.3">
      <c r="A658" s="1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8"/>
      <c r="M658" s="17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4" x14ac:dyDescent="0.3">
      <c r="A659" s="1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8"/>
      <c r="M659" s="17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4" x14ac:dyDescent="0.3">
      <c r="A660" s="1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8"/>
      <c r="M660" s="17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4" x14ac:dyDescent="0.3">
      <c r="A661" s="1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8"/>
      <c r="M661" s="17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4" x14ac:dyDescent="0.3">
      <c r="A662" s="1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8"/>
      <c r="M662" s="17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4" x14ac:dyDescent="0.3">
      <c r="A663" s="1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8"/>
      <c r="M663" s="17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4" x14ac:dyDescent="0.3">
      <c r="A664" s="1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8"/>
      <c r="M664" s="17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4" x14ac:dyDescent="0.3">
      <c r="A665" s="1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8"/>
      <c r="M665" s="17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4" x14ac:dyDescent="0.3">
      <c r="A666" s="1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8"/>
      <c r="M666" s="17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4" x14ac:dyDescent="0.3">
      <c r="A667" s="1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8"/>
      <c r="M667" s="17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4" x14ac:dyDescent="0.3">
      <c r="A668" s="1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8"/>
      <c r="M668" s="17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4" x14ac:dyDescent="0.3">
      <c r="A669" s="1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8"/>
      <c r="M669" s="17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4" x14ac:dyDescent="0.3">
      <c r="A670" s="1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8"/>
      <c r="M670" s="17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4" x14ac:dyDescent="0.3">
      <c r="A671" s="1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8"/>
      <c r="M671" s="17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4" x14ac:dyDescent="0.3">
      <c r="A672" s="1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8"/>
      <c r="M672" s="17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4" x14ac:dyDescent="0.3">
      <c r="A673" s="1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8"/>
      <c r="M673" s="17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4" x14ac:dyDescent="0.3">
      <c r="A674" s="1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8"/>
      <c r="M674" s="17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4" x14ac:dyDescent="0.3">
      <c r="A675" s="1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8"/>
      <c r="M675" s="17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4" x14ac:dyDescent="0.3">
      <c r="A676" s="1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8"/>
      <c r="M676" s="17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4" x14ac:dyDescent="0.3">
      <c r="A677" s="1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8"/>
      <c r="M677" s="17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4" x14ac:dyDescent="0.3">
      <c r="A678" s="1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8"/>
      <c r="M678" s="17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4" x14ac:dyDescent="0.3">
      <c r="A679" s="1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8"/>
      <c r="M679" s="17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4" x14ac:dyDescent="0.3">
      <c r="A680" s="1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8"/>
      <c r="M680" s="17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4" x14ac:dyDescent="0.3">
      <c r="A681" s="1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8"/>
      <c r="M681" s="17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4" x14ac:dyDescent="0.3">
      <c r="A682" s="1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8"/>
      <c r="M682" s="17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4" x14ac:dyDescent="0.3">
      <c r="A683" s="1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8"/>
      <c r="M683" s="17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4" x14ac:dyDescent="0.3">
      <c r="A684" s="1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8"/>
      <c r="M684" s="17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4" x14ac:dyDescent="0.3">
      <c r="A685" s="1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8"/>
      <c r="M685" s="17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4" x14ac:dyDescent="0.3">
      <c r="A686" s="1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8"/>
      <c r="M686" s="17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4" x14ac:dyDescent="0.3">
      <c r="A687" s="1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8"/>
      <c r="M687" s="17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4" x14ac:dyDescent="0.3">
      <c r="A688" s="1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8"/>
      <c r="M688" s="17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4" x14ac:dyDescent="0.3">
      <c r="A689" s="1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8"/>
      <c r="M689" s="17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4" x14ac:dyDescent="0.3">
      <c r="A690" s="1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8"/>
      <c r="M690" s="17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4" x14ac:dyDescent="0.3">
      <c r="A691" s="1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8"/>
      <c r="M691" s="17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4" x14ac:dyDescent="0.3">
      <c r="A692" s="1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8"/>
      <c r="M692" s="17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4" x14ac:dyDescent="0.3">
      <c r="A693" s="1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8"/>
      <c r="M693" s="17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4" x14ac:dyDescent="0.3">
      <c r="A694" s="1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8"/>
      <c r="M694" s="17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4" x14ac:dyDescent="0.3">
      <c r="A695" s="1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8"/>
      <c r="M695" s="17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4" x14ac:dyDescent="0.3">
      <c r="A696" s="1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8"/>
      <c r="M696" s="17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4" x14ac:dyDescent="0.3">
      <c r="A697" s="1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8"/>
      <c r="M697" s="17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4" x14ac:dyDescent="0.3">
      <c r="A698" s="1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8"/>
      <c r="M698" s="17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4" x14ac:dyDescent="0.3">
      <c r="A699" s="1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8"/>
      <c r="M699" s="17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4" x14ac:dyDescent="0.3">
      <c r="A700" s="1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8"/>
      <c r="M700" s="17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4" x14ac:dyDescent="0.3">
      <c r="A701" s="1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8"/>
      <c r="M701" s="17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4" x14ac:dyDescent="0.3">
      <c r="A702" s="1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8"/>
      <c r="M702" s="17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4" x14ac:dyDescent="0.3">
      <c r="A703" s="1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8"/>
      <c r="M703" s="17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4" x14ac:dyDescent="0.3">
      <c r="A704" s="1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8"/>
      <c r="M704" s="17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4" x14ac:dyDescent="0.3">
      <c r="A705" s="1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8"/>
      <c r="M705" s="17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4" x14ac:dyDescent="0.3">
      <c r="A706" s="1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8"/>
      <c r="M706" s="17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4" x14ac:dyDescent="0.3">
      <c r="A707" s="1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8"/>
      <c r="M707" s="17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4" x14ac:dyDescent="0.3">
      <c r="A708" s="1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8"/>
      <c r="M708" s="17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4" x14ac:dyDescent="0.3">
      <c r="A709" s="1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8"/>
      <c r="M709" s="17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4" x14ac:dyDescent="0.3">
      <c r="A710" s="1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8"/>
      <c r="M710" s="17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4" x14ac:dyDescent="0.3">
      <c r="A711" s="1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8"/>
      <c r="M711" s="17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4" x14ac:dyDescent="0.3">
      <c r="A712" s="1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8"/>
      <c r="M712" s="17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4" x14ac:dyDescent="0.3">
      <c r="A713" s="1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8"/>
      <c r="M713" s="17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4" x14ac:dyDescent="0.3">
      <c r="A714" s="1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8"/>
      <c r="M714" s="17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4" x14ac:dyDescent="0.3">
      <c r="A715" s="1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8"/>
      <c r="M715" s="17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4" x14ac:dyDescent="0.3">
      <c r="A716" s="1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8"/>
      <c r="M716" s="17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4" x14ac:dyDescent="0.3">
      <c r="A717" s="1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8"/>
      <c r="M717" s="17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4" x14ac:dyDescent="0.3">
      <c r="A718" s="1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8"/>
      <c r="M718" s="17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4" x14ac:dyDescent="0.3">
      <c r="A719" s="1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8"/>
      <c r="M719" s="17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4" x14ac:dyDescent="0.3">
      <c r="A720" s="1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8"/>
      <c r="M720" s="17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4" x14ac:dyDescent="0.3">
      <c r="A721" s="1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8"/>
      <c r="M721" s="17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4" x14ac:dyDescent="0.3">
      <c r="A722" s="1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8"/>
      <c r="M722" s="17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4" x14ac:dyDescent="0.3">
      <c r="A723" s="1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8"/>
      <c r="M723" s="17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4" x14ac:dyDescent="0.3">
      <c r="A724" s="1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8"/>
      <c r="M724" s="17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4" x14ac:dyDescent="0.3">
      <c r="A725" s="1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8"/>
      <c r="M725" s="17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4" x14ac:dyDescent="0.3">
      <c r="A726" s="1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8"/>
      <c r="M726" s="17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4" x14ac:dyDescent="0.3">
      <c r="A727" s="1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8"/>
      <c r="M727" s="17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4" x14ac:dyDescent="0.3">
      <c r="A728" s="1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8"/>
      <c r="M728" s="17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4" x14ac:dyDescent="0.3">
      <c r="A729" s="1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8"/>
      <c r="M729" s="17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4" x14ac:dyDescent="0.3">
      <c r="A730" s="1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8"/>
      <c r="M730" s="17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4" x14ac:dyDescent="0.3">
      <c r="A731" s="1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8"/>
      <c r="M731" s="17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4" x14ac:dyDescent="0.3">
      <c r="A732" s="1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8"/>
      <c r="M732" s="17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4" x14ac:dyDescent="0.3">
      <c r="A733" s="1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8"/>
      <c r="M733" s="17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4" x14ac:dyDescent="0.3">
      <c r="A734" s="1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8"/>
      <c r="M734" s="17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4" x14ac:dyDescent="0.3">
      <c r="A735" s="1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8"/>
      <c r="M735" s="17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4" x14ac:dyDescent="0.3">
      <c r="A736" s="1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8"/>
      <c r="M736" s="17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4" x14ac:dyDescent="0.3">
      <c r="A737" s="1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8"/>
      <c r="M737" s="17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4" x14ac:dyDescent="0.3">
      <c r="A738" s="1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8"/>
      <c r="M738" s="17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4" x14ac:dyDescent="0.3">
      <c r="A739" s="1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8"/>
      <c r="M739" s="17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4" x14ac:dyDescent="0.3">
      <c r="A740" s="1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8"/>
      <c r="M740" s="17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4" x14ac:dyDescent="0.3">
      <c r="A741" s="1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8"/>
      <c r="M741" s="17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4" x14ac:dyDescent="0.3">
      <c r="A742" s="1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8"/>
      <c r="M742" s="17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4" x14ac:dyDescent="0.3">
      <c r="A743" s="1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8"/>
      <c r="M743" s="17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4" x14ac:dyDescent="0.3">
      <c r="A744" s="1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8"/>
      <c r="M744" s="17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4" x14ac:dyDescent="0.3">
      <c r="A745" s="1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8"/>
      <c r="M745" s="17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4" x14ac:dyDescent="0.3">
      <c r="A746" s="1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8"/>
      <c r="M746" s="17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4" x14ac:dyDescent="0.3">
      <c r="A747" s="1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8"/>
      <c r="M747" s="17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4" x14ac:dyDescent="0.3">
      <c r="A748" s="1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8"/>
      <c r="M748" s="17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4" x14ac:dyDescent="0.3">
      <c r="A749" s="1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8"/>
      <c r="M749" s="17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4" x14ac:dyDescent="0.3">
      <c r="A750" s="1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8"/>
      <c r="M750" s="17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4" x14ac:dyDescent="0.3">
      <c r="A751" s="1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8"/>
      <c r="M751" s="17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4" x14ac:dyDescent="0.3">
      <c r="A752" s="1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8"/>
      <c r="M752" s="17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4" x14ac:dyDescent="0.3">
      <c r="A753" s="1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8"/>
      <c r="M753" s="17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4" x14ac:dyDescent="0.3">
      <c r="A754" s="1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8"/>
      <c r="M754" s="17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4" x14ac:dyDescent="0.3">
      <c r="A755" s="1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8"/>
      <c r="M755" s="17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4" x14ac:dyDescent="0.3">
      <c r="A756" s="1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8"/>
      <c r="M756" s="17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4" x14ac:dyDescent="0.3">
      <c r="A757" s="1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8"/>
      <c r="M757" s="17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4" x14ac:dyDescent="0.3">
      <c r="A758" s="1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8"/>
      <c r="M758" s="17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4" x14ac:dyDescent="0.3">
      <c r="A759" s="1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8"/>
      <c r="M759" s="17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4" x14ac:dyDescent="0.3">
      <c r="A760" s="1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8"/>
      <c r="M760" s="17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4" x14ac:dyDescent="0.3">
      <c r="A761" s="1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8"/>
      <c r="M761" s="17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4" x14ac:dyDescent="0.3">
      <c r="A762" s="1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8"/>
      <c r="M762" s="17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4" x14ac:dyDescent="0.3">
      <c r="A763" s="1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8"/>
      <c r="M763" s="17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4" x14ac:dyDescent="0.3">
      <c r="A764" s="1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8"/>
      <c r="M764" s="17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4" x14ac:dyDescent="0.3">
      <c r="A765" s="1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8"/>
      <c r="M765" s="17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4" x14ac:dyDescent="0.3">
      <c r="A766" s="1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8"/>
      <c r="M766" s="17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4" x14ac:dyDescent="0.3">
      <c r="A767" s="1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8"/>
      <c r="M767" s="17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4" x14ac:dyDescent="0.3">
      <c r="A768" s="1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8"/>
      <c r="M768" s="17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4" x14ac:dyDescent="0.3">
      <c r="A769" s="1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8"/>
      <c r="M769" s="17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4" x14ac:dyDescent="0.3">
      <c r="A770" s="1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8"/>
      <c r="M770" s="17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4" x14ac:dyDescent="0.3">
      <c r="A771" s="1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8"/>
      <c r="M771" s="17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4" x14ac:dyDescent="0.3">
      <c r="A772" s="1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8"/>
      <c r="M772" s="17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4" x14ac:dyDescent="0.3">
      <c r="A773" s="1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8"/>
      <c r="M773" s="17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4" x14ac:dyDescent="0.3">
      <c r="A774" s="1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8"/>
      <c r="M774" s="17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4" x14ac:dyDescent="0.3">
      <c r="A775" s="1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8"/>
      <c r="M775" s="17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4" x14ac:dyDescent="0.3">
      <c r="A776" s="1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8"/>
      <c r="M776" s="17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4" x14ac:dyDescent="0.3">
      <c r="A777" s="1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8"/>
      <c r="M777" s="17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4" x14ac:dyDescent="0.3">
      <c r="A778" s="1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8"/>
      <c r="M778" s="17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4" x14ac:dyDescent="0.3">
      <c r="A779" s="1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8"/>
      <c r="M779" s="17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4" x14ac:dyDescent="0.3">
      <c r="A780" s="1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8"/>
      <c r="M780" s="17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4" x14ac:dyDescent="0.3">
      <c r="A781" s="1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8"/>
      <c r="M781" s="17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4" x14ac:dyDescent="0.3">
      <c r="A782" s="1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8"/>
      <c r="M782" s="17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4" x14ac:dyDescent="0.3">
      <c r="A783" s="1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8"/>
      <c r="M783" s="17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4" x14ac:dyDescent="0.3">
      <c r="A784" s="1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8"/>
      <c r="M784" s="17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4" x14ac:dyDescent="0.3">
      <c r="A785" s="1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8"/>
      <c r="M785" s="17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4" x14ac:dyDescent="0.3">
      <c r="A786" s="1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8"/>
      <c r="M786" s="17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4" x14ac:dyDescent="0.3">
      <c r="A787" s="1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8"/>
      <c r="M787" s="17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4" x14ac:dyDescent="0.3">
      <c r="A788" s="1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8"/>
      <c r="M788" s="17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4" x14ac:dyDescent="0.3">
      <c r="A789" s="1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8"/>
      <c r="M789" s="17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4" x14ac:dyDescent="0.3">
      <c r="A790" s="1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8"/>
      <c r="M790" s="17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4" x14ac:dyDescent="0.3">
      <c r="A791" s="1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8"/>
      <c r="M791" s="17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4" x14ac:dyDescent="0.3">
      <c r="A792" s="1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8"/>
      <c r="M792" s="17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4" x14ac:dyDescent="0.3">
      <c r="A793" s="1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8"/>
      <c r="M793" s="17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4" x14ac:dyDescent="0.3">
      <c r="A794" s="1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8"/>
      <c r="M794" s="17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4" x14ac:dyDescent="0.3">
      <c r="A795" s="1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8"/>
      <c r="M795" s="17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4" x14ac:dyDescent="0.3">
      <c r="A796" s="1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8"/>
      <c r="M796" s="17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4" x14ac:dyDescent="0.3">
      <c r="A797" s="1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8"/>
      <c r="M797" s="17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4" x14ac:dyDescent="0.3">
      <c r="A798" s="1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8"/>
      <c r="M798" s="17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4" x14ac:dyDescent="0.3">
      <c r="A799" s="1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8"/>
      <c r="M799" s="17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4" x14ac:dyDescent="0.3">
      <c r="A800" s="1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8"/>
      <c r="M800" s="17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4" x14ac:dyDescent="0.3">
      <c r="A801" s="1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8"/>
      <c r="M801" s="17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4" x14ac:dyDescent="0.3">
      <c r="A802" s="1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8"/>
      <c r="M802" s="17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4" x14ac:dyDescent="0.3">
      <c r="A803" s="1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8"/>
      <c r="M803" s="17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4" x14ac:dyDescent="0.3">
      <c r="A804" s="1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8"/>
      <c r="M804" s="17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4" x14ac:dyDescent="0.3">
      <c r="A805" s="1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8"/>
      <c r="M805" s="17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4" x14ac:dyDescent="0.3">
      <c r="A806" s="1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8"/>
      <c r="M806" s="17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4" x14ac:dyDescent="0.3">
      <c r="A807" s="1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8"/>
      <c r="M807" s="17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4" x14ac:dyDescent="0.3">
      <c r="A808" s="1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8"/>
      <c r="M808" s="17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4" x14ac:dyDescent="0.3">
      <c r="A809" s="1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8"/>
      <c r="M809" s="17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4" x14ac:dyDescent="0.3">
      <c r="A810" s="1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8"/>
      <c r="M810" s="17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4" x14ac:dyDescent="0.3">
      <c r="A811" s="1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8"/>
      <c r="M811" s="17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4" x14ac:dyDescent="0.3">
      <c r="A812" s="1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8"/>
      <c r="M812" s="17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4" x14ac:dyDescent="0.3">
      <c r="A813" s="1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8"/>
      <c r="M813" s="17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4" x14ac:dyDescent="0.3">
      <c r="A814" s="1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8"/>
      <c r="M814" s="17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4" x14ac:dyDescent="0.3">
      <c r="A815" s="1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8"/>
      <c r="M815" s="17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4" x14ac:dyDescent="0.3">
      <c r="A816" s="1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8"/>
      <c r="M816" s="17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4" x14ac:dyDescent="0.3">
      <c r="A817" s="1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8"/>
      <c r="M817" s="17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4" x14ac:dyDescent="0.3">
      <c r="A818" s="1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8"/>
      <c r="M818" s="17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4" x14ac:dyDescent="0.3">
      <c r="A819" s="1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8"/>
      <c r="M819" s="17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4" x14ac:dyDescent="0.3">
      <c r="A820" s="1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8"/>
      <c r="M820" s="17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4" x14ac:dyDescent="0.3">
      <c r="A821" s="1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8"/>
      <c r="M821" s="17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4" x14ac:dyDescent="0.3">
      <c r="A822" s="1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8"/>
      <c r="M822" s="17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4" x14ac:dyDescent="0.3">
      <c r="A823" s="1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8"/>
      <c r="M823" s="17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4" x14ac:dyDescent="0.3">
      <c r="A824" s="1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8"/>
      <c r="M824" s="17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4" x14ac:dyDescent="0.3">
      <c r="A825" s="1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8"/>
      <c r="M825" s="17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4" x14ac:dyDescent="0.3">
      <c r="A826" s="1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8"/>
      <c r="M826" s="17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4" x14ac:dyDescent="0.3">
      <c r="A827" s="1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8"/>
      <c r="M827" s="17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4" x14ac:dyDescent="0.3">
      <c r="A828" s="1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8"/>
      <c r="M828" s="17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4" x14ac:dyDescent="0.3">
      <c r="A829" s="1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8"/>
      <c r="M829" s="17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4" x14ac:dyDescent="0.3">
      <c r="A830" s="1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8"/>
      <c r="M830" s="17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4" x14ac:dyDescent="0.3">
      <c r="A831" s="1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8"/>
      <c r="M831" s="17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4" x14ac:dyDescent="0.3">
      <c r="A832" s="1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8"/>
      <c r="M832" s="17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4" x14ac:dyDescent="0.3">
      <c r="A833" s="1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8"/>
      <c r="M833" s="17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4" x14ac:dyDescent="0.3">
      <c r="A834" s="1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8"/>
      <c r="M834" s="17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4" x14ac:dyDescent="0.3">
      <c r="A835" s="1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8"/>
      <c r="M835" s="17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4" x14ac:dyDescent="0.3">
      <c r="A836" s="1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8"/>
      <c r="M836" s="17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4" x14ac:dyDescent="0.3">
      <c r="A837" s="1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8"/>
      <c r="M837" s="17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4" x14ac:dyDescent="0.3">
      <c r="A838" s="1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8"/>
      <c r="M838" s="17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4" x14ac:dyDescent="0.3">
      <c r="A839" s="1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8"/>
      <c r="M839" s="17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4" x14ac:dyDescent="0.3">
      <c r="A840" s="1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8"/>
      <c r="M840" s="17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4" x14ac:dyDescent="0.3">
      <c r="A841" s="1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8"/>
      <c r="M841" s="17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4" x14ac:dyDescent="0.3">
      <c r="A842" s="1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8"/>
      <c r="M842" s="17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4" x14ac:dyDescent="0.3">
      <c r="A843" s="1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8"/>
      <c r="M843" s="17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4" x14ac:dyDescent="0.3">
      <c r="A844" s="1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8"/>
      <c r="M844" s="17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4" x14ac:dyDescent="0.3">
      <c r="A845" s="1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8"/>
      <c r="M845" s="17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4" x14ac:dyDescent="0.3">
      <c r="A846" s="1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8"/>
      <c r="M846" s="17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4" x14ac:dyDescent="0.3">
      <c r="A847" s="1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8"/>
      <c r="M847" s="17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4" x14ac:dyDescent="0.3">
      <c r="A848" s="1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8"/>
      <c r="M848" s="17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4" x14ac:dyDescent="0.3">
      <c r="A849" s="1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8"/>
      <c r="M849" s="17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4" x14ac:dyDescent="0.3">
      <c r="A850" s="1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8"/>
      <c r="M850" s="17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4" x14ac:dyDescent="0.3">
      <c r="A851" s="1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8"/>
      <c r="M851" s="17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4" x14ac:dyDescent="0.3">
      <c r="A852" s="1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8"/>
      <c r="M852" s="17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4" x14ac:dyDescent="0.3">
      <c r="A853" s="1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8"/>
      <c r="M853" s="17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4" x14ac:dyDescent="0.3">
      <c r="A854" s="1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8"/>
      <c r="M854" s="17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4" x14ac:dyDescent="0.3">
      <c r="A855" s="1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8"/>
      <c r="M855" s="17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4" x14ac:dyDescent="0.3">
      <c r="A856" s="1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8"/>
      <c r="M856" s="17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4" x14ac:dyDescent="0.3">
      <c r="A857" s="1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8"/>
      <c r="M857" s="17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4" x14ac:dyDescent="0.3">
      <c r="A858" s="1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8"/>
      <c r="M858" s="17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4" x14ac:dyDescent="0.3">
      <c r="A859" s="1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8"/>
      <c r="M859" s="17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4" x14ac:dyDescent="0.3">
      <c r="A860" s="1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8"/>
      <c r="M860" s="17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4" x14ac:dyDescent="0.3">
      <c r="A861" s="1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8"/>
      <c r="M861" s="17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4" x14ac:dyDescent="0.3">
      <c r="A862" s="1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8"/>
      <c r="M862" s="17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4" x14ac:dyDescent="0.3">
      <c r="A863" s="1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8"/>
      <c r="M863" s="17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4" x14ac:dyDescent="0.3">
      <c r="A864" s="1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8"/>
      <c r="M864" s="17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4" x14ac:dyDescent="0.3">
      <c r="A865" s="1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8"/>
      <c r="M865" s="17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4" x14ac:dyDescent="0.3">
      <c r="A866" s="1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8"/>
      <c r="M866" s="17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4" x14ac:dyDescent="0.3">
      <c r="A867" s="1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8"/>
      <c r="M867" s="17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4" x14ac:dyDescent="0.3">
      <c r="A868" s="1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8"/>
      <c r="M868" s="17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4" x14ac:dyDescent="0.3">
      <c r="A869" s="1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8"/>
      <c r="M869" s="17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4" x14ac:dyDescent="0.3">
      <c r="A870" s="1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8"/>
      <c r="M870" s="17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4" x14ac:dyDescent="0.3">
      <c r="A871" s="1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8"/>
      <c r="M871" s="17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4" x14ac:dyDescent="0.3">
      <c r="A872" s="1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8"/>
      <c r="M872" s="17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4" x14ac:dyDescent="0.3">
      <c r="A873" s="1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8"/>
      <c r="M873" s="17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4" x14ac:dyDescent="0.3">
      <c r="A874" s="1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8"/>
      <c r="M874" s="17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4" x14ac:dyDescent="0.3">
      <c r="A875" s="1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8"/>
      <c r="M875" s="17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4" x14ac:dyDescent="0.3">
      <c r="A876" s="1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8"/>
      <c r="M876" s="17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4" x14ac:dyDescent="0.3">
      <c r="A877" s="1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8"/>
      <c r="M877" s="17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4" x14ac:dyDescent="0.3">
      <c r="A878" s="1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8"/>
      <c r="M878" s="17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4" x14ac:dyDescent="0.3">
      <c r="A879" s="1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8"/>
      <c r="M879" s="17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4" x14ac:dyDescent="0.3">
      <c r="A880" s="1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8"/>
      <c r="M880" s="17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4" x14ac:dyDescent="0.3">
      <c r="A881" s="1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8"/>
      <c r="M881" s="17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4" x14ac:dyDescent="0.3">
      <c r="A882" s="1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8"/>
      <c r="M882" s="17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4" x14ac:dyDescent="0.3">
      <c r="A883" s="1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8"/>
      <c r="M883" s="17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4" x14ac:dyDescent="0.3">
      <c r="A884" s="1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8"/>
      <c r="M884" s="17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4" x14ac:dyDescent="0.3">
      <c r="A885" s="1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8"/>
      <c r="M885" s="17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4" x14ac:dyDescent="0.3">
      <c r="A886" s="1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8"/>
      <c r="M886" s="17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4" x14ac:dyDescent="0.3">
      <c r="A887" s="1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8"/>
      <c r="M887" s="17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4" x14ac:dyDescent="0.3">
      <c r="A888" s="1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8"/>
      <c r="M888" s="17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4" x14ac:dyDescent="0.3">
      <c r="A889" s="1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8"/>
      <c r="M889" s="17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4" x14ac:dyDescent="0.3">
      <c r="A890" s="1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8"/>
      <c r="M890" s="17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4" x14ac:dyDescent="0.3">
      <c r="A891" s="1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8"/>
      <c r="M891" s="17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4" x14ac:dyDescent="0.3">
      <c r="A892" s="1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8"/>
      <c r="M892" s="17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4" x14ac:dyDescent="0.3">
      <c r="A893" s="1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8"/>
      <c r="M893" s="17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4" x14ac:dyDescent="0.3">
      <c r="A894" s="1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8"/>
      <c r="M894" s="17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4" x14ac:dyDescent="0.3">
      <c r="A895" s="1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8"/>
      <c r="M895" s="17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4" x14ac:dyDescent="0.3">
      <c r="A896" s="1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8"/>
      <c r="M896" s="17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4" x14ac:dyDescent="0.3">
      <c r="A897" s="1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8"/>
      <c r="M897" s="17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4" x14ac:dyDescent="0.3">
      <c r="A898" s="1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8"/>
      <c r="M898" s="17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4" x14ac:dyDescent="0.3">
      <c r="A899" s="1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8"/>
      <c r="M899" s="17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4" x14ac:dyDescent="0.3">
      <c r="A900" s="1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8"/>
      <c r="M900" s="17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4" x14ac:dyDescent="0.3">
      <c r="A901" s="1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8"/>
      <c r="M901" s="17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4" x14ac:dyDescent="0.3">
      <c r="A902" s="1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8"/>
      <c r="M902" s="17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4" x14ac:dyDescent="0.3">
      <c r="A903" s="1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8"/>
      <c r="M903" s="17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4" x14ac:dyDescent="0.3">
      <c r="A904" s="1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8"/>
      <c r="M904" s="17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4" x14ac:dyDescent="0.3">
      <c r="A905" s="1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8"/>
      <c r="M905" s="17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4" x14ac:dyDescent="0.3">
      <c r="A906" s="1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8"/>
      <c r="M906" s="17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4" x14ac:dyDescent="0.3">
      <c r="A907" s="1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8"/>
      <c r="M907" s="17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4" x14ac:dyDescent="0.3">
      <c r="A908" s="1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8"/>
      <c r="M908" s="17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4" x14ac:dyDescent="0.3">
      <c r="A909" s="1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8"/>
      <c r="M909" s="17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4" x14ac:dyDescent="0.3">
      <c r="A910" s="1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8"/>
      <c r="M910" s="17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4" x14ac:dyDescent="0.3">
      <c r="A911" s="1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8"/>
      <c r="M911" s="17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4" x14ac:dyDescent="0.3">
      <c r="A912" s="1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8"/>
      <c r="M912" s="17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4" x14ac:dyDescent="0.3">
      <c r="A913" s="1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8"/>
      <c r="M913" s="17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4" x14ac:dyDescent="0.3">
      <c r="A914" s="1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8"/>
      <c r="M914" s="17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4" x14ac:dyDescent="0.3">
      <c r="A915" s="1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8"/>
      <c r="M915" s="17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4" x14ac:dyDescent="0.3">
      <c r="A916" s="1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8"/>
      <c r="M916" s="17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4" x14ac:dyDescent="0.3">
      <c r="A917" s="1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8"/>
      <c r="M917" s="17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4" x14ac:dyDescent="0.3">
      <c r="A918" s="1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8"/>
      <c r="M918" s="17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4" x14ac:dyDescent="0.3">
      <c r="A919" s="1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8"/>
      <c r="M919" s="17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4" x14ac:dyDescent="0.3">
      <c r="A920" s="1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8"/>
      <c r="M920" s="17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4" x14ac:dyDescent="0.3">
      <c r="A921" s="1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8"/>
      <c r="M921" s="17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4" x14ac:dyDescent="0.3">
      <c r="A922" s="1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8"/>
      <c r="M922" s="17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4" x14ac:dyDescent="0.3">
      <c r="A923" s="1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8"/>
      <c r="M923" s="17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4" x14ac:dyDescent="0.3">
      <c r="A924" s="1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8"/>
      <c r="M924" s="17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4" x14ac:dyDescent="0.3">
      <c r="A925" s="1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8"/>
      <c r="M925" s="17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4" x14ac:dyDescent="0.3">
      <c r="A926" s="1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8"/>
      <c r="M926" s="17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4" x14ac:dyDescent="0.3">
      <c r="A927" s="1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8"/>
      <c r="M927" s="17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4" x14ac:dyDescent="0.3">
      <c r="A928" s="1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8"/>
      <c r="M928" s="17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4" x14ac:dyDescent="0.3">
      <c r="A929" s="1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8"/>
      <c r="M929" s="17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4" x14ac:dyDescent="0.3">
      <c r="A930" s="1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8"/>
      <c r="M930" s="17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4" x14ac:dyDescent="0.3">
      <c r="A931" s="1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8"/>
      <c r="M931" s="17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4" x14ac:dyDescent="0.3">
      <c r="A932" s="1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8"/>
      <c r="M932" s="17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4" x14ac:dyDescent="0.3">
      <c r="A933" s="1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8"/>
      <c r="M933" s="17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4" x14ac:dyDescent="0.3">
      <c r="A934" s="1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8"/>
      <c r="M934" s="17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4" x14ac:dyDescent="0.3">
      <c r="A935" s="1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8"/>
      <c r="M935" s="17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4" x14ac:dyDescent="0.3">
      <c r="A936" s="1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8"/>
      <c r="M936" s="17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4" x14ac:dyDescent="0.3">
      <c r="A937" s="1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8"/>
      <c r="M937" s="17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4" x14ac:dyDescent="0.3">
      <c r="A938" s="1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8"/>
      <c r="M938" s="17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4" x14ac:dyDescent="0.3">
      <c r="A939" s="1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8"/>
      <c r="M939" s="17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4" x14ac:dyDescent="0.3">
      <c r="A940" s="1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8"/>
      <c r="M940" s="17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4" x14ac:dyDescent="0.3">
      <c r="A941" s="1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8"/>
      <c r="M941" s="17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4" x14ac:dyDescent="0.3">
      <c r="A942" s="1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8"/>
      <c r="M942" s="17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4" x14ac:dyDescent="0.3">
      <c r="A943" s="1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8"/>
      <c r="M943" s="17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4" x14ac:dyDescent="0.3">
      <c r="A944" s="1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8"/>
      <c r="M944" s="17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4" x14ac:dyDescent="0.3">
      <c r="A945" s="1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8"/>
      <c r="M945" s="17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4" x14ac:dyDescent="0.3">
      <c r="A946" s="1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8"/>
      <c r="M946" s="17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4" x14ac:dyDescent="0.3">
      <c r="A947" s="1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8"/>
      <c r="M947" s="17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4" x14ac:dyDescent="0.3">
      <c r="A948" s="1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8"/>
      <c r="M948" s="17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4" x14ac:dyDescent="0.3">
      <c r="A949" s="1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8"/>
      <c r="M949" s="17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4" x14ac:dyDescent="0.3">
      <c r="A950" s="1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8"/>
      <c r="M950" s="17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4" x14ac:dyDescent="0.3">
      <c r="A951" s="1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8"/>
      <c r="M951" s="17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4" x14ac:dyDescent="0.3">
      <c r="A952" s="1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8"/>
      <c r="M952" s="17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4" x14ac:dyDescent="0.3">
      <c r="A953" s="1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8"/>
      <c r="M953" s="17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4" x14ac:dyDescent="0.3">
      <c r="A954" s="1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8"/>
      <c r="M954" s="17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4" x14ac:dyDescent="0.3">
      <c r="A955" s="1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8"/>
      <c r="M955" s="17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4" x14ac:dyDescent="0.3">
      <c r="A956" s="1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8"/>
      <c r="M956" s="17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4" x14ac:dyDescent="0.3">
      <c r="A957" s="1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8"/>
      <c r="M957" s="17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4" x14ac:dyDescent="0.3">
      <c r="A958" s="1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8"/>
      <c r="M958" s="17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4" x14ac:dyDescent="0.3">
      <c r="A959" s="1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8"/>
      <c r="M959" s="17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4" x14ac:dyDescent="0.3">
      <c r="A960" s="1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8"/>
      <c r="M960" s="17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4" x14ac:dyDescent="0.3">
      <c r="A961" s="1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8"/>
      <c r="M961" s="17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4" x14ac:dyDescent="0.3">
      <c r="A962" s="1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8"/>
      <c r="M962" s="17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4" x14ac:dyDescent="0.3">
      <c r="A963" s="1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8"/>
      <c r="M963" s="17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4" x14ac:dyDescent="0.3">
      <c r="A964" s="1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8"/>
      <c r="M964" s="17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4" x14ac:dyDescent="0.3">
      <c r="A965" s="1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8"/>
      <c r="M965" s="17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4" x14ac:dyDescent="0.3">
      <c r="A966" s="1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8"/>
      <c r="M966" s="17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4" x14ac:dyDescent="0.3">
      <c r="A967" s="1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8"/>
      <c r="M967" s="17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4" x14ac:dyDescent="0.3">
      <c r="A968" s="1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8"/>
      <c r="M968" s="17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4" x14ac:dyDescent="0.3">
      <c r="A969" s="1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8"/>
      <c r="M969" s="17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4" x14ac:dyDescent="0.3">
      <c r="A970" s="1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8"/>
      <c r="M970" s="17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4" x14ac:dyDescent="0.3">
      <c r="A971" s="1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8"/>
      <c r="M971" s="17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4" x14ac:dyDescent="0.3">
      <c r="A972" s="1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8"/>
      <c r="M972" s="17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4" x14ac:dyDescent="0.3">
      <c r="A973" s="1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8"/>
      <c r="M973" s="17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4" x14ac:dyDescent="0.3">
      <c r="A974" s="1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8"/>
      <c r="M974" s="17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4" x14ac:dyDescent="0.3">
      <c r="A975" s="1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8"/>
      <c r="M975" s="17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4" x14ac:dyDescent="0.3">
      <c r="A976" s="1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8"/>
      <c r="M976" s="17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4" x14ac:dyDescent="0.3">
      <c r="A977" s="1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8"/>
      <c r="M977" s="17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4" x14ac:dyDescent="0.3">
      <c r="A978" s="1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8"/>
      <c r="M978" s="17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4" x14ac:dyDescent="0.3">
      <c r="A979" s="1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8"/>
      <c r="M979" s="17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4" x14ac:dyDescent="0.3">
      <c r="A980" s="1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8"/>
      <c r="M980" s="17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4" x14ac:dyDescent="0.3">
      <c r="A981" s="1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8"/>
      <c r="M981" s="17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4" x14ac:dyDescent="0.3">
      <c r="A982" s="1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8"/>
      <c r="M982" s="17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4" x14ac:dyDescent="0.3">
      <c r="A983" s="1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8"/>
      <c r="M983" s="17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4" x14ac:dyDescent="0.3">
      <c r="A984" s="1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8"/>
      <c r="M984" s="17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4" x14ac:dyDescent="0.3">
      <c r="A985" s="1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8"/>
      <c r="M985" s="17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4" x14ac:dyDescent="0.3">
      <c r="A986" s="1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8"/>
      <c r="M986" s="17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4" x14ac:dyDescent="0.3">
      <c r="A987" s="1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8"/>
      <c r="M987" s="17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4" x14ac:dyDescent="0.3">
      <c r="A988" s="1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8"/>
      <c r="M988" s="17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4" x14ac:dyDescent="0.3">
      <c r="A989" s="1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8"/>
      <c r="M989" s="17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4" x14ac:dyDescent="0.3">
      <c r="A990" s="1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8"/>
      <c r="M990" s="17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4" x14ac:dyDescent="0.3">
      <c r="A991" s="1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8"/>
      <c r="M991" s="17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4" x14ac:dyDescent="0.3">
      <c r="A992" s="1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8"/>
      <c r="M992" s="17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4" x14ac:dyDescent="0.3">
      <c r="A993" s="1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8"/>
      <c r="M993" s="17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4" x14ac:dyDescent="0.3">
      <c r="A994" s="1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8"/>
      <c r="M994" s="17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4" x14ac:dyDescent="0.3">
      <c r="A995" s="1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8"/>
      <c r="M995" s="17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4" x14ac:dyDescent="0.3">
      <c r="A996" s="1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8"/>
      <c r="M996" s="17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4" x14ac:dyDescent="0.3">
      <c r="A997" s="1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8"/>
      <c r="M997" s="17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4" x14ac:dyDescent="0.3">
      <c r="A998" s="1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8"/>
      <c r="M998" s="17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4" x14ac:dyDescent="0.3">
      <c r="A999" s="1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8"/>
      <c r="M999" s="17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4" x14ac:dyDescent="0.3">
      <c r="A1000" s="1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8"/>
      <c r="M1000" s="17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3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C37" sqref="C3:C37"/>
    </sheetView>
  </sheetViews>
  <sheetFormatPr defaultColWidth="14.44140625" defaultRowHeight="15" customHeight="1" x14ac:dyDescent="0.3"/>
  <cols>
    <col min="1" max="1" width="13.6640625" customWidth="1"/>
    <col min="2" max="2" width="21.44140625" customWidth="1"/>
    <col min="3" max="4" width="14.109375" customWidth="1"/>
    <col min="5" max="26" width="9.109375" customWidth="1"/>
  </cols>
  <sheetData>
    <row r="1" spans="1:26" ht="32.4" x14ac:dyDescent="0.85">
      <c r="A1" s="35" t="s">
        <v>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7">
      <c r="A2" s="36" t="s">
        <v>59</v>
      </c>
      <c r="B2" s="36" t="s">
        <v>60</v>
      </c>
      <c r="C2" s="36" t="s">
        <v>61</v>
      </c>
      <c r="D2" s="36" t="s">
        <v>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25" customHeight="1" x14ac:dyDescent="0.6">
      <c r="A3" s="37">
        <v>1</v>
      </c>
      <c r="B3" s="38" t="s">
        <v>62</v>
      </c>
      <c r="C3" s="38">
        <f>+รายการสินค้าตีกลับ!B35</f>
        <v>100</v>
      </c>
      <c r="D3" s="3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25" customHeight="1" x14ac:dyDescent="0.6">
      <c r="A4" s="37">
        <v>2</v>
      </c>
      <c r="B4" s="38" t="s">
        <v>63</v>
      </c>
      <c r="C4" s="38">
        <f>+รายการสินค้าตีกลับ!C35</f>
        <v>160</v>
      </c>
      <c r="D4" s="40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37">
        <v>3</v>
      </c>
      <c r="B5" s="38" t="s">
        <v>64</v>
      </c>
      <c r="C5" s="38">
        <f>+รายการสินค้าตีกลับ!D35</f>
        <v>9</v>
      </c>
      <c r="D5" s="40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37">
        <v>4</v>
      </c>
      <c r="B6" s="38" t="s">
        <v>65</v>
      </c>
      <c r="C6" s="38">
        <f>+รายการสินค้าตีกลับ!E35</f>
        <v>0</v>
      </c>
      <c r="D6" s="4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37">
        <v>5</v>
      </c>
      <c r="B7" s="38" t="s">
        <v>66</v>
      </c>
      <c r="C7" s="38">
        <f>+รายการสินค้าตีกลับ!F35</f>
        <v>1</v>
      </c>
      <c r="D7" s="3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37">
        <v>6</v>
      </c>
      <c r="B8" s="38" t="s">
        <v>67</v>
      </c>
      <c r="C8" s="38">
        <f>+รายการสินค้าตีกลับ!G35</f>
        <v>4</v>
      </c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37">
        <v>7</v>
      </c>
      <c r="B9" s="38" t="s">
        <v>68</v>
      </c>
      <c r="C9" s="38">
        <f>+รายการสินค้าตีกลับ!H35</f>
        <v>0</v>
      </c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37">
        <v>8</v>
      </c>
      <c r="B10" s="38" t="s">
        <v>69</v>
      </c>
      <c r="C10" s="38">
        <f>+รายการสินค้าตีกลับ!I35</f>
        <v>6</v>
      </c>
      <c r="D10" s="3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6">
      <c r="A11" s="37">
        <v>9</v>
      </c>
      <c r="B11" s="38" t="s">
        <v>70</v>
      </c>
      <c r="C11" s="38">
        <f>+รายการสินค้าตีกลับ!J35</f>
        <v>48</v>
      </c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6">
      <c r="A12" s="37">
        <v>10</v>
      </c>
      <c r="B12" s="38" t="s">
        <v>71</v>
      </c>
      <c r="C12" s="38">
        <f>+รายการสินค้าตีกลับ!K35</f>
        <v>0</v>
      </c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6">
      <c r="A13" s="37">
        <v>11</v>
      </c>
      <c r="B13" s="38" t="s">
        <v>72</v>
      </c>
      <c r="C13" s="38">
        <f>+รายการสินค้าตีกลับ!L35</f>
        <v>3</v>
      </c>
      <c r="D13" s="3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6">
      <c r="A14" s="37">
        <v>12</v>
      </c>
      <c r="B14" s="38" t="s">
        <v>73</v>
      </c>
      <c r="C14" s="38">
        <f>+รายการสินค้าตีกลับ!M35</f>
        <v>0</v>
      </c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6">
      <c r="A15" s="37">
        <v>13</v>
      </c>
      <c r="B15" s="38" t="s">
        <v>74</v>
      </c>
      <c r="C15" s="38">
        <f>+รายการสินค้าตีกลับ!N35</f>
        <v>0</v>
      </c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6">
      <c r="A16" s="37">
        <v>14</v>
      </c>
      <c r="B16" s="38" t="s">
        <v>75</v>
      </c>
      <c r="C16" s="38">
        <f>+รายการสินค้าตีกลับ!O35</f>
        <v>0</v>
      </c>
      <c r="D16" s="3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6">
      <c r="A17" s="37">
        <v>15</v>
      </c>
      <c r="B17" s="38" t="s">
        <v>76</v>
      </c>
      <c r="C17" s="38">
        <f>+รายการสินค้าตีกลับ!P35</f>
        <v>0</v>
      </c>
      <c r="D17" s="3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6">
      <c r="A18" s="37">
        <v>16</v>
      </c>
      <c r="B18" s="38" t="s">
        <v>77</v>
      </c>
      <c r="C18" s="38">
        <f>+รายการสินค้าตีกลับ!Q35</f>
        <v>0</v>
      </c>
      <c r="D18" s="3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6">
      <c r="A19" s="37">
        <v>17</v>
      </c>
      <c r="B19" s="38" t="s">
        <v>78</v>
      </c>
      <c r="C19" s="38">
        <f>+รายการสินค้าตีกลับ!R35</f>
        <v>0</v>
      </c>
      <c r="D19" s="3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6">
      <c r="A20" s="37">
        <v>18</v>
      </c>
      <c r="B20" s="38" t="s">
        <v>79</v>
      </c>
      <c r="C20" s="38">
        <f>+รายการสินค้าตีกลับ!S35</f>
        <v>0</v>
      </c>
      <c r="D20" s="3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6">
      <c r="A21" s="37">
        <v>19</v>
      </c>
      <c r="B21" s="38" t="s">
        <v>80</v>
      </c>
      <c r="C21" s="38">
        <f>+รายการสินค้าตีกลับ!T35</f>
        <v>0</v>
      </c>
      <c r="D21" s="3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6">
      <c r="A22" s="37">
        <v>20</v>
      </c>
      <c r="B22" s="38" t="s">
        <v>81</v>
      </c>
      <c r="C22" s="38">
        <f>+รายการสินค้าตีกลับ!U35</f>
        <v>0</v>
      </c>
      <c r="D22" s="3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6">
      <c r="A23" s="37">
        <v>21</v>
      </c>
      <c r="B23" s="38" t="s">
        <v>82</v>
      </c>
      <c r="C23" s="38">
        <f>+รายการสินค้าตีกลับ!V35</f>
        <v>0</v>
      </c>
      <c r="D23" s="3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6">
      <c r="A24" s="37">
        <v>22</v>
      </c>
      <c r="B24" s="38" t="s">
        <v>83</v>
      </c>
      <c r="C24" s="38">
        <f>+รายการสินค้าตีกลับ!W35</f>
        <v>0</v>
      </c>
      <c r="D24" s="3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6">
      <c r="A25" s="37">
        <v>23</v>
      </c>
      <c r="B25" s="38" t="s">
        <v>84</v>
      </c>
      <c r="C25" s="38">
        <f>+รายการสินค้าตีกลับ!X35</f>
        <v>0</v>
      </c>
      <c r="D25" s="3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6">
      <c r="A26" s="37">
        <v>24</v>
      </c>
      <c r="B26" s="38" t="s">
        <v>85</v>
      </c>
      <c r="C26" s="38">
        <f>+รายการสินค้าตีกลับ!Y35</f>
        <v>0</v>
      </c>
      <c r="D26" s="3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6">
      <c r="A27" s="37">
        <v>25</v>
      </c>
      <c r="B27" s="38" t="s">
        <v>86</v>
      </c>
      <c r="C27" s="38">
        <f>+รายการสินค้าตีกลับ!Z35</f>
        <v>0</v>
      </c>
      <c r="D27" s="3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6">
      <c r="A28" s="37">
        <v>26</v>
      </c>
      <c r="B28" s="38" t="s">
        <v>87</v>
      </c>
      <c r="C28" s="38">
        <f>+รายการสินค้าตีกลับ!AA35</f>
        <v>0</v>
      </c>
      <c r="D28" s="3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6">
      <c r="A29" s="37">
        <v>27</v>
      </c>
      <c r="B29" s="38" t="s">
        <v>88</v>
      </c>
      <c r="C29" s="38">
        <f>+รายการสินค้าตีกลับ!AB35</f>
        <v>0</v>
      </c>
      <c r="D29" s="3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6">
      <c r="A30" s="37">
        <v>28</v>
      </c>
      <c r="B30" s="38" t="s">
        <v>89</v>
      </c>
      <c r="C30" s="38">
        <f>+รายการสินค้าตีกลับ!AC35</f>
        <v>0</v>
      </c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6">
      <c r="A31" s="37">
        <v>29</v>
      </c>
      <c r="B31" s="38" t="s">
        <v>90</v>
      </c>
      <c r="C31" s="38">
        <f>+รายการสินค้าตีกลับ!AD35</f>
        <v>140</v>
      </c>
      <c r="D31" s="3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6">
      <c r="A32" s="37">
        <v>30</v>
      </c>
      <c r="B32" s="38" t="s">
        <v>91</v>
      </c>
      <c r="C32" s="38">
        <f>+รายการสินค้าตีกลับ!AE35</f>
        <v>0</v>
      </c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6">
      <c r="A33" s="37">
        <v>31</v>
      </c>
      <c r="B33" s="38" t="s">
        <v>92</v>
      </c>
      <c r="C33" s="38">
        <f>+รายการสินค้าตีกลับ!AF35</f>
        <v>0</v>
      </c>
      <c r="D33" s="3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6">
      <c r="A34" s="37">
        <v>32</v>
      </c>
      <c r="B34" s="38" t="s">
        <v>93</v>
      </c>
      <c r="C34" s="38">
        <f>+รายการสินค้าตีกลับ!AG35</f>
        <v>0</v>
      </c>
      <c r="D34" s="3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6">
      <c r="A35" s="37">
        <v>33</v>
      </c>
      <c r="B35" s="38" t="s">
        <v>94</v>
      </c>
      <c r="C35" s="38">
        <f>+รายการสินค้าตีกลับ!AH35</f>
        <v>0</v>
      </c>
      <c r="D35" s="3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6">
      <c r="A36" s="37">
        <v>34</v>
      </c>
      <c r="B36" s="38" t="s">
        <v>95</v>
      </c>
      <c r="C36" s="38">
        <f>+รายการสินค้าตีกลับ!AI35</f>
        <v>0</v>
      </c>
      <c r="D36" s="3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6">
      <c r="A37" s="37">
        <v>35</v>
      </c>
      <c r="B37" s="38" t="s">
        <v>96</v>
      </c>
      <c r="C37" s="38">
        <f>+รายการสินค้าตีกลับ!AJ35</f>
        <v>0</v>
      </c>
      <c r="D37" s="3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2.5" customHeight="1" x14ac:dyDescent="0.6">
      <c r="A38" s="37">
        <v>36</v>
      </c>
      <c r="B38" s="38"/>
      <c r="C38" s="38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75">
      <c r="A39" s="16"/>
      <c r="B39" s="41" t="s">
        <v>97</v>
      </c>
      <c r="C39" s="42">
        <f>SUM(C3:C38)</f>
        <v>471</v>
      </c>
      <c r="D39" s="43" t="s">
        <v>98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G1000"/>
  <sheetViews>
    <sheetView workbookViewId="0">
      <pane xSplit="1" ySplit="4" topLeftCell="B24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B5" sqref="B5:E35"/>
    </sheetView>
  </sheetViews>
  <sheetFormatPr defaultColWidth="14.44140625" defaultRowHeight="15" customHeight="1" x14ac:dyDescent="0.3"/>
  <cols>
    <col min="1" max="1" width="12.109375" customWidth="1"/>
    <col min="2" max="26" width="8.6640625" customWidth="1"/>
  </cols>
  <sheetData>
    <row r="1" spans="1:5" ht="32.4" x14ac:dyDescent="0.85">
      <c r="A1" s="35" t="s">
        <v>99</v>
      </c>
    </row>
    <row r="2" spans="1:5" ht="26.25" customHeight="1" x14ac:dyDescent="0.3">
      <c r="A2" s="119" t="s">
        <v>100</v>
      </c>
      <c r="B2" s="92"/>
      <c r="C2" s="92"/>
      <c r="D2" s="92"/>
      <c r="E2" s="92"/>
    </row>
    <row r="3" spans="1:5" ht="26.25" customHeight="1" x14ac:dyDescent="0.6">
      <c r="A3" s="120" t="s">
        <v>0</v>
      </c>
      <c r="B3" s="121" t="s">
        <v>101</v>
      </c>
      <c r="C3" s="92"/>
      <c r="D3" s="92"/>
      <c r="E3" s="92"/>
    </row>
    <row r="4" spans="1:5" ht="26.25" customHeight="1" x14ac:dyDescent="0.6">
      <c r="A4" s="95"/>
      <c r="B4" s="44" t="s">
        <v>5</v>
      </c>
      <c r="C4" s="45" t="s">
        <v>7</v>
      </c>
      <c r="D4" s="46" t="s">
        <v>9</v>
      </c>
      <c r="E4" s="47" t="s">
        <v>13</v>
      </c>
    </row>
    <row r="5" spans="1:5" ht="26.25" customHeight="1" x14ac:dyDescent="0.6">
      <c r="A5" s="48">
        <v>1</v>
      </c>
      <c r="B5" s="11"/>
      <c r="C5" s="11">
        <v>1</v>
      </c>
      <c r="D5" s="11"/>
      <c r="E5" s="11"/>
    </row>
    <row r="6" spans="1:5" ht="26.25" customHeight="1" x14ac:dyDescent="0.6">
      <c r="A6" s="48">
        <v>2</v>
      </c>
      <c r="B6" s="11"/>
      <c r="C6" s="11"/>
      <c r="D6" s="11">
        <v>4</v>
      </c>
      <c r="E6" s="11"/>
    </row>
    <row r="7" spans="1:5" ht="26.25" customHeight="1" x14ac:dyDescent="0.6">
      <c r="A7" s="48">
        <v>3</v>
      </c>
      <c r="B7" s="10">
        <v>2</v>
      </c>
      <c r="C7" s="11"/>
      <c r="D7" s="11"/>
      <c r="E7" s="11"/>
    </row>
    <row r="8" spans="1:5" ht="26.25" customHeight="1" x14ac:dyDescent="0.6">
      <c r="A8" s="48">
        <v>4</v>
      </c>
      <c r="B8" s="11"/>
      <c r="C8" s="11"/>
      <c r="D8" s="11"/>
      <c r="E8" s="11"/>
    </row>
    <row r="9" spans="1:5" ht="26.25" customHeight="1" x14ac:dyDescent="0.6">
      <c r="A9" s="48">
        <v>5</v>
      </c>
      <c r="B9" s="11"/>
      <c r="C9" s="10"/>
      <c r="D9" s="10">
        <v>3</v>
      </c>
      <c r="E9" s="10"/>
    </row>
    <row r="10" spans="1:5" ht="26.25" customHeight="1" x14ac:dyDescent="0.6">
      <c r="A10" s="48">
        <v>6</v>
      </c>
      <c r="B10" s="11"/>
      <c r="C10" s="11"/>
      <c r="D10" s="11"/>
      <c r="E10" s="11"/>
    </row>
    <row r="11" spans="1:5" ht="26.25" customHeight="1" x14ac:dyDescent="0.6">
      <c r="A11" s="48">
        <v>7</v>
      </c>
      <c r="B11" s="11"/>
      <c r="C11" s="11"/>
      <c r="D11" s="11">
        <v>2</v>
      </c>
      <c r="E11" s="10"/>
    </row>
    <row r="12" spans="1:5" ht="26.25" customHeight="1" x14ac:dyDescent="0.6">
      <c r="A12" s="48">
        <v>8</v>
      </c>
      <c r="B12" s="11"/>
      <c r="C12" s="11"/>
      <c r="D12" s="11">
        <v>1</v>
      </c>
      <c r="E12" s="11"/>
    </row>
    <row r="13" spans="1:5" ht="26.25" customHeight="1" x14ac:dyDescent="0.6">
      <c r="A13" s="48">
        <v>9</v>
      </c>
      <c r="B13" s="11"/>
      <c r="C13" s="11"/>
      <c r="D13" s="11">
        <v>2</v>
      </c>
      <c r="E13" s="11"/>
    </row>
    <row r="14" spans="1:5" ht="26.25" customHeight="1" x14ac:dyDescent="0.6">
      <c r="A14" s="48">
        <v>10</v>
      </c>
      <c r="B14" s="11">
        <v>1</v>
      </c>
      <c r="C14" s="11"/>
      <c r="D14" s="11">
        <v>2</v>
      </c>
      <c r="E14" s="11">
        <v>1</v>
      </c>
    </row>
    <row r="15" spans="1:5" ht="26.25" customHeight="1" x14ac:dyDescent="0.6">
      <c r="A15" s="48">
        <v>11</v>
      </c>
      <c r="B15" s="11"/>
      <c r="C15" s="11">
        <v>1</v>
      </c>
      <c r="D15" s="11">
        <v>2</v>
      </c>
      <c r="E15" s="11"/>
    </row>
    <row r="16" spans="1:5" ht="26.25" customHeight="1" x14ac:dyDescent="0.6">
      <c r="A16" s="48">
        <v>12</v>
      </c>
      <c r="B16" s="11"/>
      <c r="C16" s="11"/>
      <c r="D16" s="11">
        <v>7</v>
      </c>
      <c r="E16" s="11"/>
    </row>
    <row r="17" spans="1:5" ht="26.25" customHeight="1" x14ac:dyDescent="0.6">
      <c r="A17" s="48">
        <v>13</v>
      </c>
      <c r="B17" s="11"/>
      <c r="C17" s="11"/>
      <c r="D17" s="11"/>
      <c r="E17" s="11"/>
    </row>
    <row r="18" spans="1:5" ht="26.25" customHeight="1" x14ac:dyDescent="0.6">
      <c r="A18" s="48">
        <v>14</v>
      </c>
      <c r="B18" s="11"/>
      <c r="C18" s="10"/>
      <c r="D18" s="11">
        <v>1</v>
      </c>
      <c r="E18" s="10"/>
    </row>
    <row r="19" spans="1:5" ht="26.25" customHeight="1" x14ac:dyDescent="0.6">
      <c r="A19" s="48">
        <v>15</v>
      </c>
      <c r="B19" s="11">
        <v>1</v>
      </c>
      <c r="C19" s="11"/>
      <c r="D19" s="11">
        <v>6</v>
      </c>
      <c r="E19" s="11">
        <v>1</v>
      </c>
    </row>
    <row r="20" spans="1:5" ht="26.25" customHeight="1" x14ac:dyDescent="0.6">
      <c r="A20" s="48">
        <v>16</v>
      </c>
      <c r="B20" s="10"/>
      <c r="C20" s="11"/>
      <c r="D20" s="11"/>
      <c r="E20" s="11"/>
    </row>
    <row r="21" spans="1:5" ht="26.25" customHeight="1" x14ac:dyDescent="0.6">
      <c r="A21" s="48">
        <v>17</v>
      </c>
      <c r="B21" s="11"/>
      <c r="C21" s="11"/>
      <c r="D21" s="10">
        <v>4</v>
      </c>
      <c r="E21" s="11"/>
    </row>
    <row r="22" spans="1:5" ht="26.25" customHeight="1" x14ac:dyDescent="0.6">
      <c r="A22" s="48">
        <v>18</v>
      </c>
      <c r="B22" s="11"/>
      <c r="C22" s="11"/>
      <c r="D22" s="11">
        <v>2</v>
      </c>
      <c r="E22" s="11"/>
    </row>
    <row r="23" spans="1:5" ht="26.25" customHeight="1" x14ac:dyDescent="0.6">
      <c r="A23" s="48">
        <v>19</v>
      </c>
      <c r="B23" s="11"/>
      <c r="C23" s="10"/>
      <c r="D23" s="10"/>
      <c r="E23" s="11"/>
    </row>
    <row r="24" spans="1:5" ht="26.25" customHeight="1" x14ac:dyDescent="0.6">
      <c r="A24" s="48">
        <v>20</v>
      </c>
      <c r="B24" s="11"/>
      <c r="C24" s="11">
        <v>3</v>
      </c>
      <c r="D24" s="11"/>
      <c r="E24" s="10"/>
    </row>
    <row r="25" spans="1:5" ht="26.25" customHeight="1" x14ac:dyDescent="0.6">
      <c r="A25" s="48">
        <v>21</v>
      </c>
      <c r="B25" s="11"/>
      <c r="C25" s="11"/>
      <c r="D25" s="11">
        <v>4</v>
      </c>
      <c r="E25" s="11"/>
    </row>
    <row r="26" spans="1:5" ht="26.25" customHeight="1" x14ac:dyDescent="0.6">
      <c r="A26" s="48">
        <v>22</v>
      </c>
      <c r="B26" s="11"/>
      <c r="C26" s="11"/>
      <c r="D26" s="11"/>
      <c r="E26" s="11"/>
    </row>
    <row r="27" spans="1:5" ht="26.25" customHeight="1" x14ac:dyDescent="0.6">
      <c r="A27" s="48">
        <v>23</v>
      </c>
      <c r="B27" s="11"/>
      <c r="C27" s="11"/>
      <c r="D27" s="11">
        <v>5</v>
      </c>
      <c r="E27" s="11"/>
    </row>
    <row r="28" spans="1:5" ht="26.25" customHeight="1" x14ac:dyDescent="0.6">
      <c r="A28" s="48">
        <v>24</v>
      </c>
      <c r="B28" s="10"/>
      <c r="C28" s="11">
        <v>2</v>
      </c>
      <c r="D28" s="11"/>
      <c r="E28" s="10"/>
    </row>
    <row r="29" spans="1:5" ht="26.25" customHeight="1" x14ac:dyDescent="0.6">
      <c r="A29" s="48">
        <v>25</v>
      </c>
      <c r="B29" s="11">
        <v>1</v>
      </c>
      <c r="C29" s="10">
        <v>1</v>
      </c>
      <c r="D29" s="10"/>
      <c r="E29" s="11"/>
    </row>
    <row r="30" spans="1:5" ht="26.25" customHeight="1" x14ac:dyDescent="0.6">
      <c r="A30" s="48">
        <v>26</v>
      </c>
      <c r="B30" s="11"/>
      <c r="C30" s="11"/>
      <c r="D30" s="11">
        <v>6</v>
      </c>
      <c r="E30" s="11"/>
    </row>
    <row r="31" spans="1:5" ht="26.25" customHeight="1" x14ac:dyDescent="0.6">
      <c r="A31" s="48">
        <v>27</v>
      </c>
      <c r="B31" s="11"/>
      <c r="C31" s="11"/>
      <c r="D31" s="11"/>
      <c r="E31" s="11"/>
    </row>
    <row r="32" spans="1:5" ht="26.25" customHeight="1" x14ac:dyDescent="0.6">
      <c r="A32" s="48">
        <v>28</v>
      </c>
      <c r="B32" s="11"/>
      <c r="C32" s="11"/>
      <c r="D32" s="11"/>
      <c r="E32" s="11"/>
    </row>
    <row r="33" spans="1:7" ht="26.25" customHeight="1" x14ac:dyDescent="0.6">
      <c r="A33" s="48">
        <v>29</v>
      </c>
      <c r="B33" s="10"/>
      <c r="C33" s="10"/>
      <c r="D33" s="10"/>
      <c r="E33" s="10"/>
    </row>
    <row r="34" spans="1:7" ht="26.25" customHeight="1" x14ac:dyDescent="0.6">
      <c r="A34" s="48">
        <v>30</v>
      </c>
      <c r="B34" s="49">
        <v>1</v>
      </c>
      <c r="D34" s="50">
        <v>1</v>
      </c>
    </row>
    <row r="35" spans="1:7" ht="26.25" customHeight="1" x14ac:dyDescent="0.6">
      <c r="A35" s="48">
        <v>31</v>
      </c>
      <c r="F35" s="51" t="s">
        <v>102</v>
      </c>
      <c r="G35" s="52"/>
    </row>
    <row r="36" spans="1:7" ht="26.25" customHeight="1" x14ac:dyDescent="0.7">
      <c r="A36" s="53" t="s">
        <v>40</v>
      </c>
      <c r="B36" s="54">
        <f t="shared" ref="B36:E36" si="0">SUM(B5:B35)</f>
        <v>6</v>
      </c>
      <c r="C36" s="54">
        <f t="shared" si="0"/>
        <v>8</v>
      </c>
      <c r="D36" s="54">
        <f t="shared" si="0"/>
        <v>52</v>
      </c>
      <c r="E36" s="54">
        <f t="shared" si="0"/>
        <v>2</v>
      </c>
      <c r="F36" s="55">
        <f>SUM(B36:E36)</f>
        <v>68</v>
      </c>
      <c r="G36" s="56" t="s">
        <v>1</v>
      </c>
    </row>
    <row r="37" spans="1:7" ht="26.25" customHeight="1" x14ac:dyDescent="0.3"/>
    <row r="38" spans="1:7" ht="26.25" customHeight="1" x14ac:dyDescent="0.3"/>
    <row r="39" spans="1:7" ht="26.25" customHeight="1" x14ac:dyDescent="0.3"/>
    <row r="40" spans="1:7" ht="26.25" customHeight="1" x14ac:dyDescent="0.3"/>
    <row r="41" spans="1:7" ht="26.25" customHeight="1" x14ac:dyDescent="0.3"/>
    <row r="42" spans="1:7" ht="26.25" customHeight="1" x14ac:dyDescent="0.3"/>
    <row r="43" spans="1:7" ht="26.25" customHeight="1" x14ac:dyDescent="0.3"/>
    <row r="44" spans="1:7" ht="26.25" customHeight="1" x14ac:dyDescent="0.3"/>
    <row r="45" spans="1:7" ht="26.25" customHeight="1" x14ac:dyDescent="0.3"/>
    <row r="46" spans="1:7" ht="26.25" customHeight="1" x14ac:dyDescent="0.3"/>
    <row r="47" spans="1:7" ht="26.25" customHeight="1" x14ac:dyDescent="0.3"/>
    <row r="48" spans="1:7" ht="26.25" customHeight="1" x14ac:dyDescent="0.3"/>
    <row r="49" ht="26.25" customHeight="1" x14ac:dyDescent="0.3"/>
    <row r="50" ht="26.25" customHeight="1" x14ac:dyDescent="0.3"/>
    <row r="51" ht="26.25" customHeight="1" x14ac:dyDescent="0.3"/>
    <row r="52" ht="26.25" customHeight="1" x14ac:dyDescent="0.3"/>
    <row r="53" ht="26.25" customHeight="1" x14ac:dyDescent="0.3"/>
    <row r="54" ht="26.25" customHeight="1" x14ac:dyDescent="0.3"/>
    <row r="55" ht="26.25" customHeight="1" x14ac:dyDescent="0.3"/>
    <row r="56" ht="26.25" customHeight="1" x14ac:dyDescent="0.3"/>
    <row r="57" ht="26.25" customHeight="1" x14ac:dyDescent="0.3"/>
    <row r="58" ht="26.25" customHeight="1" x14ac:dyDescent="0.3"/>
    <row r="59" ht="26.25" customHeight="1" x14ac:dyDescent="0.3"/>
    <row r="60" ht="26.25" customHeight="1" x14ac:dyDescent="0.3"/>
    <row r="61" ht="26.25" customHeight="1" x14ac:dyDescent="0.3"/>
    <row r="62" ht="26.25" customHeight="1" x14ac:dyDescent="0.3"/>
    <row r="63" ht="26.25" customHeight="1" x14ac:dyDescent="0.3"/>
    <row r="64" ht="26.25" customHeight="1" x14ac:dyDescent="0.3"/>
    <row r="65" ht="26.25" customHeight="1" x14ac:dyDescent="0.3"/>
    <row r="66" ht="26.25" customHeight="1" x14ac:dyDescent="0.3"/>
    <row r="67" ht="26.25" customHeight="1" x14ac:dyDescent="0.3"/>
    <row r="68" ht="26.25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6.25" customHeight="1" x14ac:dyDescent="0.3"/>
    <row r="75" ht="26.25" customHeight="1" x14ac:dyDescent="0.3"/>
    <row r="76" ht="26.25" customHeight="1" x14ac:dyDescent="0.3"/>
    <row r="77" ht="26.25" customHeight="1" x14ac:dyDescent="0.3"/>
    <row r="78" ht="26.25" customHeight="1" x14ac:dyDescent="0.3"/>
    <row r="79" ht="26.25" customHeight="1" x14ac:dyDescent="0.3"/>
    <row r="80" ht="26.25" customHeight="1" x14ac:dyDescent="0.3"/>
    <row r="81" ht="26.25" customHeight="1" x14ac:dyDescent="0.3"/>
    <row r="82" ht="26.25" customHeight="1" x14ac:dyDescent="0.3"/>
    <row r="83" ht="26.25" customHeight="1" x14ac:dyDescent="0.3"/>
    <row r="84" ht="26.25" customHeight="1" x14ac:dyDescent="0.3"/>
    <row r="85" ht="26.25" customHeight="1" x14ac:dyDescent="0.3"/>
    <row r="86" ht="26.25" customHeight="1" x14ac:dyDescent="0.3"/>
    <row r="87" ht="26.25" customHeight="1" x14ac:dyDescent="0.3"/>
    <row r="88" ht="26.25" customHeight="1" x14ac:dyDescent="0.3"/>
    <row r="89" ht="26.25" customHeight="1" x14ac:dyDescent="0.3"/>
    <row r="90" ht="26.25" customHeight="1" x14ac:dyDescent="0.3"/>
    <row r="91" ht="26.25" customHeight="1" x14ac:dyDescent="0.3"/>
    <row r="92" ht="26.25" customHeight="1" x14ac:dyDescent="0.3"/>
    <row r="93" ht="26.25" customHeight="1" x14ac:dyDescent="0.3"/>
    <row r="94" ht="26.25" customHeight="1" x14ac:dyDescent="0.3"/>
    <row r="95" ht="26.25" customHeight="1" x14ac:dyDescent="0.3"/>
    <row r="96" ht="26.25" customHeight="1" x14ac:dyDescent="0.3"/>
    <row r="97" ht="26.25" customHeight="1" x14ac:dyDescent="0.3"/>
    <row r="98" ht="26.25" customHeight="1" x14ac:dyDescent="0.3"/>
    <row r="99" ht="26.25" customHeight="1" x14ac:dyDescent="0.3"/>
    <row r="100" ht="26.25" customHeight="1" x14ac:dyDescent="0.3"/>
    <row r="101" ht="26.25" customHeight="1" x14ac:dyDescent="0.3"/>
    <row r="102" ht="26.25" customHeight="1" x14ac:dyDescent="0.3"/>
    <row r="103" ht="26.25" customHeight="1" x14ac:dyDescent="0.3"/>
    <row r="104" ht="26.25" customHeight="1" x14ac:dyDescent="0.3"/>
    <row r="105" ht="26.25" customHeight="1" x14ac:dyDescent="0.3"/>
    <row r="106" ht="26.25" customHeight="1" x14ac:dyDescent="0.3"/>
    <row r="107" ht="26.25" customHeight="1" x14ac:dyDescent="0.3"/>
    <row r="108" ht="26.25" customHeight="1" x14ac:dyDescent="0.3"/>
    <row r="109" ht="26.25" customHeight="1" x14ac:dyDescent="0.3"/>
    <row r="110" ht="26.25" customHeight="1" x14ac:dyDescent="0.3"/>
    <row r="111" ht="26.25" customHeight="1" x14ac:dyDescent="0.3"/>
    <row r="112" ht="26.25" customHeight="1" x14ac:dyDescent="0.3"/>
    <row r="113" ht="26.25" customHeight="1" x14ac:dyDescent="0.3"/>
    <row r="114" ht="26.25" customHeight="1" x14ac:dyDescent="0.3"/>
    <row r="115" ht="26.25" customHeight="1" x14ac:dyDescent="0.3"/>
    <row r="116" ht="26.25" customHeight="1" x14ac:dyDescent="0.3"/>
    <row r="117" ht="26.25" customHeight="1" x14ac:dyDescent="0.3"/>
    <row r="118" ht="26.25" customHeight="1" x14ac:dyDescent="0.3"/>
    <row r="119" ht="26.25" customHeight="1" x14ac:dyDescent="0.3"/>
    <row r="120" ht="26.25" customHeight="1" x14ac:dyDescent="0.3"/>
    <row r="121" ht="26.25" customHeight="1" x14ac:dyDescent="0.3"/>
    <row r="122" ht="26.25" customHeight="1" x14ac:dyDescent="0.3"/>
    <row r="123" ht="26.25" customHeight="1" x14ac:dyDescent="0.3"/>
    <row r="124" ht="26.25" customHeight="1" x14ac:dyDescent="0.3"/>
    <row r="125" ht="26.25" customHeight="1" x14ac:dyDescent="0.3"/>
    <row r="126" ht="26.25" customHeight="1" x14ac:dyDescent="0.3"/>
    <row r="127" ht="26.25" customHeight="1" x14ac:dyDescent="0.3"/>
    <row r="128" ht="26.25" customHeight="1" x14ac:dyDescent="0.3"/>
    <row r="129" ht="26.25" customHeight="1" x14ac:dyDescent="0.3"/>
    <row r="130" ht="26.25" customHeight="1" x14ac:dyDescent="0.3"/>
    <row r="131" ht="26.25" customHeight="1" x14ac:dyDescent="0.3"/>
    <row r="132" ht="26.25" customHeight="1" x14ac:dyDescent="0.3"/>
    <row r="133" ht="26.25" customHeight="1" x14ac:dyDescent="0.3"/>
    <row r="134" ht="26.25" customHeight="1" x14ac:dyDescent="0.3"/>
    <row r="135" ht="26.25" customHeight="1" x14ac:dyDescent="0.3"/>
    <row r="136" ht="26.25" customHeight="1" x14ac:dyDescent="0.3"/>
    <row r="137" ht="26.25" customHeight="1" x14ac:dyDescent="0.3"/>
    <row r="138" ht="26.25" customHeight="1" x14ac:dyDescent="0.3"/>
    <row r="139" ht="26.25" customHeight="1" x14ac:dyDescent="0.3"/>
    <row r="140" ht="26.25" customHeight="1" x14ac:dyDescent="0.3"/>
    <row r="141" ht="26.25" customHeight="1" x14ac:dyDescent="0.3"/>
    <row r="142" ht="26.25" customHeight="1" x14ac:dyDescent="0.3"/>
    <row r="143" ht="26.25" customHeight="1" x14ac:dyDescent="0.3"/>
    <row r="144" ht="26.25" customHeight="1" x14ac:dyDescent="0.3"/>
    <row r="145" ht="26.25" customHeight="1" x14ac:dyDescent="0.3"/>
    <row r="146" ht="26.25" customHeight="1" x14ac:dyDescent="0.3"/>
    <row r="147" ht="26.25" customHeight="1" x14ac:dyDescent="0.3"/>
    <row r="148" ht="26.25" customHeight="1" x14ac:dyDescent="0.3"/>
    <row r="149" ht="26.25" customHeight="1" x14ac:dyDescent="0.3"/>
    <row r="150" ht="26.25" customHeight="1" x14ac:dyDescent="0.3"/>
    <row r="151" ht="26.25" customHeight="1" x14ac:dyDescent="0.3"/>
    <row r="152" ht="26.25" customHeight="1" x14ac:dyDescent="0.3"/>
    <row r="153" ht="26.25" customHeight="1" x14ac:dyDescent="0.3"/>
    <row r="154" ht="26.25" customHeight="1" x14ac:dyDescent="0.3"/>
    <row r="155" ht="26.25" customHeight="1" x14ac:dyDescent="0.3"/>
    <row r="156" ht="26.25" customHeight="1" x14ac:dyDescent="0.3"/>
    <row r="157" ht="26.25" customHeight="1" x14ac:dyDescent="0.3"/>
    <row r="158" ht="26.25" customHeight="1" x14ac:dyDescent="0.3"/>
    <row r="159" ht="26.25" customHeight="1" x14ac:dyDescent="0.3"/>
    <row r="160" ht="26.25" customHeight="1" x14ac:dyDescent="0.3"/>
    <row r="161" ht="26.25" customHeight="1" x14ac:dyDescent="0.3"/>
    <row r="162" ht="26.25" customHeight="1" x14ac:dyDescent="0.3"/>
    <row r="163" ht="26.25" customHeight="1" x14ac:dyDescent="0.3"/>
    <row r="164" ht="26.25" customHeight="1" x14ac:dyDescent="0.3"/>
    <row r="165" ht="26.25" customHeight="1" x14ac:dyDescent="0.3"/>
    <row r="166" ht="26.25" customHeight="1" x14ac:dyDescent="0.3"/>
    <row r="167" ht="26.25" customHeight="1" x14ac:dyDescent="0.3"/>
    <row r="168" ht="26.25" customHeight="1" x14ac:dyDescent="0.3"/>
    <row r="169" ht="26.25" customHeight="1" x14ac:dyDescent="0.3"/>
    <row r="170" ht="26.25" customHeight="1" x14ac:dyDescent="0.3"/>
    <row r="171" ht="26.25" customHeight="1" x14ac:dyDescent="0.3"/>
    <row r="172" ht="26.25" customHeight="1" x14ac:dyDescent="0.3"/>
    <row r="173" ht="26.25" customHeight="1" x14ac:dyDescent="0.3"/>
    <row r="174" ht="26.25" customHeight="1" x14ac:dyDescent="0.3"/>
    <row r="175" ht="26.25" customHeight="1" x14ac:dyDescent="0.3"/>
    <row r="176" ht="26.25" customHeight="1" x14ac:dyDescent="0.3"/>
    <row r="177" ht="26.25" customHeight="1" x14ac:dyDescent="0.3"/>
    <row r="178" ht="26.25" customHeight="1" x14ac:dyDescent="0.3"/>
    <row r="179" ht="26.25" customHeight="1" x14ac:dyDescent="0.3"/>
    <row r="180" ht="26.25" customHeight="1" x14ac:dyDescent="0.3"/>
    <row r="181" ht="26.25" customHeight="1" x14ac:dyDescent="0.3"/>
    <row r="182" ht="26.25" customHeight="1" x14ac:dyDescent="0.3"/>
    <row r="183" ht="26.25" customHeight="1" x14ac:dyDescent="0.3"/>
    <row r="184" ht="26.25" customHeight="1" x14ac:dyDescent="0.3"/>
    <row r="185" ht="26.25" customHeight="1" x14ac:dyDescent="0.3"/>
    <row r="186" ht="26.25" customHeight="1" x14ac:dyDescent="0.3"/>
    <row r="187" ht="26.25" customHeight="1" x14ac:dyDescent="0.3"/>
    <row r="188" ht="26.25" customHeight="1" x14ac:dyDescent="0.3"/>
    <row r="189" ht="26.25" customHeight="1" x14ac:dyDescent="0.3"/>
    <row r="190" ht="26.25" customHeight="1" x14ac:dyDescent="0.3"/>
    <row r="191" ht="26.25" customHeight="1" x14ac:dyDescent="0.3"/>
    <row r="192" ht="26.25" customHeight="1" x14ac:dyDescent="0.3"/>
    <row r="193" ht="26.25" customHeight="1" x14ac:dyDescent="0.3"/>
    <row r="194" ht="26.25" customHeight="1" x14ac:dyDescent="0.3"/>
    <row r="195" ht="26.25" customHeight="1" x14ac:dyDescent="0.3"/>
    <row r="196" ht="26.25" customHeight="1" x14ac:dyDescent="0.3"/>
    <row r="197" ht="26.25" customHeight="1" x14ac:dyDescent="0.3"/>
    <row r="198" ht="26.25" customHeight="1" x14ac:dyDescent="0.3"/>
    <row r="199" ht="26.25" customHeight="1" x14ac:dyDescent="0.3"/>
    <row r="200" ht="26.25" customHeight="1" x14ac:dyDescent="0.3"/>
    <row r="201" ht="26.25" customHeight="1" x14ac:dyDescent="0.3"/>
    <row r="202" ht="26.25" customHeight="1" x14ac:dyDescent="0.3"/>
    <row r="203" ht="26.25" customHeight="1" x14ac:dyDescent="0.3"/>
    <row r="204" ht="26.25" customHeight="1" x14ac:dyDescent="0.3"/>
    <row r="205" ht="26.25" customHeight="1" x14ac:dyDescent="0.3"/>
    <row r="206" ht="26.25" customHeight="1" x14ac:dyDescent="0.3"/>
    <row r="207" ht="26.25" customHeight="1" x14ac:dyDescent="0.3"/>
    <row r="208" ht="26.25" customHeight="1" x14ac:dyDescent="0.3"/>
    <row r="209" ht="26.25" customHeight="1" x14ac:dyDescent="0.3"/>
    <row r="210" ht="26.25" customHeight="1" x14ac:dyDescent="0.3"/>
    <row r="211" ht="26.25" customHeight="1" x14ac:dyDescent="0.3"/>
    <row r="212" ht="26.25" customHeight="1" x14ac:dyDescent="0.3"/>
    <row r="213" ht="26.25" customHeight="1" x14ac:dyDescent="0.3"/>
    <row r="214" ht="26.25" customHeight="1" x14ac:dyDescent="0.3"/>
    <row r="215" ht="26.25" customHeight="1" x14ac:dyDescent="0.3"/>
    <row r="216" ht="26.25" customHeight="1" x14ac:dyDescent="0.3"/>
    <row r="217" ht="26.25" customHeight="1" x14ac:dyDescent="0.3"/>
    <row r="218" ht="26.25" customHeight="1" x14ac:dyDescent="0.3"/>
    <row r="219" ht="26.25" customHeight="1" x14ac:dyDescent="0.3"/>
    <row r="220" ht="26.25" customHeight="1" x14ac:dyDescent="0.3"/>
    <row r="221" ht="26.25" customHeight="1" x14ac:dyDescent="0.3"/>
    <row r="222" ht="26.25" customHeight="1" x14ac:dyDescent="0.3"/>
    <row r="223" ht="26.25" customHeight="1" x14ac:dyDescent="0.3"/>
    <row r="224" ht="26.25" customHeight="1" x14ac:dyDescent="0.3"/>
    <row r="225" ht="26.25" customHeight="1" x14ac:dyDescent="0.3"/>
    <row r="226" ht="26.25" customHeight="1" x14ac:dyDescent="0.3"/>
    <row r="227" ht="26.25" customHeight="1" x14ac:dyDescent="0.3"/>
    <row r="228" ht="26.25" customHeight="1" x14ac:dyDescent="0.3"/>
    <row r="229" ht="26.25" customHeight="1" x14ac:dyDescent="0.3"/>
    <row r="230" ht="26.25" customHeight="1" x14ac:dyDescent="0.3"/>
    <row r="231" ht="26.25" customHeight="1" x14ac:dyDescent="0.3"/>
    <row r="232" ht="26.25" customHeight="1" x14ac:dyDescent="0.3"/>
    <row r="233" ht="26.25" customHeight="1" x14ac:dyDescent="0.3"/>
    <row r="234" ht="26.25" customHeight="1" x14ac:dyDescent="0.3"/>
    <row r="235" ht="26.25" customHeight="1" x14ac:dyDescent="0.3"/>
    <row r="236" ht="26.25" customHeight="1" x14ac:dyDescent="0.3"/>
    <row r="237" ht="26.25" customHeight="1" x14ac:dyDescent="0.3"/>
    <row r="238" ht="26.25" customHeight="1" x14ac:dyDescent="0.3"/>
    <row r="239" ht="26.25" customHeight="1" x14ac:dyDescent="0.3"/>
    <row r="240" ht="26.25" customHeight="1" x14ac:dyDescent="0.3"/>
    <row r="241" ht="26.25" customHeight="1" x14ac:dyDescent="0.3"/>
    <row r="242" ht="26.25" customHeight="1" x14ac:dyDescent="0.3"/>
    <row r="243" ht="26.25" customHeight="1" x14ac:dyDescent="0.3"/>
    <row r="244" ht="26.25" customHeight="1" x14ac:dyDescent="0.3"/>
    <row r="245" ht="26.25" customHeight="1" x14ac:dyDescent="0.3"/>
    <row r="246" ht="26.25" customHeight="1" x14ac:dyDescent="0.3"/>
    <row r="247" ht="26.25" customHeight="1" x14ac:dyDescent="0.3"/>
    <row r="248" ht="26.25" customHeight="1" x14ac:dyDescent="0.3"/>
    <row r="249" ht="26.25" customHeight="1" x14ac:dyDescent="0.3"/>
    <row r="250" ht="26.25" customHeight="1" x14ac:dyDescent="0.3"/>
    <row r="251" ht="26.25" customHeight="1" x14ac:dyDescent="0.3"/>
    <row r="252" ht="26.25" customHeight="1" x14ac:dyDescent="0.3"/>
    <row r="253" ht="26.25" customHeight="1" x14ac:dyDescent="0.3"/>
    <row r="254" ht="26.25" customHeight="1" x14ac:dyDescent="0.3"/>
    <row r="255" ht="26.25" customHeight="1" x14ac:dyDescent="0.3"/>
    <row r="256" ht="26.25" customHeight="1" x14ac:dyDescent="0.3"/>
    <row r="257" ht="26.25" customHeight="1" x14ac:dyDescent="0.3"/>
    <row r="258" ht="26.25" customHeight="1" x14ac:dyDescent="0.3"/>
    <row r="259" ht="26.25" customHeight="1" x14ac:dyDescent="0.3"/>
    <row r="260" ht="26.25" customHeight="1" x14ac:dyDescent="0.3"/>
    <row r="261" ht="26.25" customHeight="1" x14ac:dyDescent="0.3"/>
    <row r="262" ht="26.25" customHeight="1" x14ac:dyDescent="0.3"/>
    <row r="263" ht="26.25" customHeight="1" x14ac:dyDescent="0.3"/>
    <row r="264" ht="26.25" customHeight="1" x14ac:dyDescent="0.3"/>
    <row r="265" ht="26.25" customHeight="1" x14ac:dyDescent="0.3"/>
    <row r="266" ht="26.25" customHeight="1" x14ac:dyDescent="0.3"/>
    <row r="267" ht="26.25" customHeight="1" x14ac:dyDescent="0.3"/>
    <row r="268" ht="26.25" customHeight="1" x14ac:dyDescent="0.3"/>
    <row r="269" ht="26.25" customHeight="1" x14ac:dyDescent="0.3"/>
    <row r="270" ht="26.25" customHeight="1" x14ac:dyDescent="0.3"/>
    <row r="271" ht="26.25" customHeight="1" x14ac:dyDescent="0.3"/>
    <row r="272" ht="26.25" customHeight="1" x14ac:dyDescent="0.3"/>
    <row r="273" ht="26.25" customHeight="1" x14ac:dyDescent="0.3"/>
    <row r="274" ht="26.25" customHeight="1" x14ac:dyDescent="0.3"/>
    <row r="275" ht="26.25" customHeight="1" x14ac:dyDescent="0.3"/>
    <row r="276" ht="26.25" customHeight="1" x14ac:dyDescent="0.3"/>
    <row r="277" ht="26.25" customHeight="1" x14ac:dyDescent="0.3"/>
    <row r="278" ht="26.25" customHeight="1" x14ac:dyDescent="0.3"/>
    <row r="279" ht="26.25" customHeight="1" x14ac:dyDescent="0.3"/>
    <row r="280" ht="26.25" customHeight="1" x14ac:dyDescent="0.3"/>
    <row r="281" ht="26.25" customHeight="1" x14ac:dyDescent="0.3"/>
    <row r="282" ht="26.25" customHeight="1" x14ac:dyDescent="0.3"/>
    <row r="283" ht="26.25" customHeight="1" x14ac:dyDescent="0.3"/>
    <row r="284" ht="26.25" customHeight="1" x14ac:dyDescent="0.3"/>
    <row r="285" ht="26.25" customHeight="1" x14ac:dyDescent="0.3"/>
    <row r="286" ht="26.25" customHeight="1" x14ac:dyDescent="0.3"/>
    <row r="287" ht="26.25" customHeight="1" x14ac:dyDescent="0.3"/>
    <row r="288" ht="26.25" customHeight="1" x14ac:dyDescent="0.3"/>
    <row r="289" ht="26.25" customHeight="1" x14ac:dyDescent="0.3"/>
    <row r="290" ht="26.25" customHeight="1" x14ac:dyDescent="0.3"/>
    <row r="291" ht="26.25" customHeight="1" x14ac:dyDescent="0.3"/>
    <row r="292" ht="26.25" customHeight="1" x14ac:dyDescent="0.3"/>
    <row r="293" ht="26.25" customHeight="1" x14ac:dyDescent="0.3"/>
    <row r="294" ht="26.25" customHeight="1" x14ac:dyDescent="0.3"/>
    <row r="295" ht="26.25" customHeight="1" x14ac:dyDescent="0.3"/>
    <row r="296" ht="26.25" customHeight="1" x14ac:dyDescent="0.3"/>
    <row r="297" ht="26.25" customHeight="1" x14ac:dyDescent="0.3"/>
    <row r="298" ht="26.25" customHeight="1" x14ac:dyDescent="0.3"/>
    <row r="299" ht="26.25" customHeight="1" x14ac:dyDescent="0.3"/>
    <row r="300" ht="26.25" customHeight="1" x14ac:dyDescent="0.3"/>
    <row r="301" ht="26.25" customHeight="1" x14ac:dyDescent="0.3"/>
    <row r="302" ht="26.25" customHeight="1" x14ac:dyDescent="0.3"/>
    <row r="303" ht="26.25" customHeight="1" x14ac:dyDescent="0.3"/>
    <row r="304" ht="26.25" customHeight="1" x14ac:dyDescent="0.3"/>
    <row r="305" ht="26.25" customHeight="1" x14ac:dyDescent="0.3"/>
    <row r="306" ht="26.25" customHeight="1" x14ac:dyDescent="0.3"/>
    <row r="307" ht="26.25" customHeight="1" x14ac:dyDescent="0.3"/>
    <row r="308" ht="26.25" customHeight="1" x14ac:dyDescent="0.3"/>
    <row r="309" ht="26.25" customHeight="1" x14ac:dyDescent="0.3"/>
    <row r="310" ht="26.25" customHeight="1" x14ac:dyDescent="0.3"/>
    <row r="311" ht="26.25" customHeight="1" x14ac:dyDescent="0.3"/>
    <row r="312" ht="26.25" customHeight="1" x14ac:dyDescent="0.3"/>
    <row r="313" ht="26.25" customHeight="1" x14ac:dyDescent="0.3"/>
    <row r="314" ht="26.25" customHeight="1" x14ac:dyDescent="0.3"/>
    <row r="315" ht="26.25" customHeight="1" x14ac:dyDescent="0.3"/>
    <row r="316" ht="26.25" customHeight="1" x14ac:dyDescent="0.3"/>
    <row r="317" ht="26.25" customHeight="1" x14ac:dyDescent="0.3"/>
    <row r="318" ht="26.25" customHeight="1" x14ac:dyDescent="0.3"/>
    <row r="319" ht="26.25" customHeight="1" x14ac:dyDescent="0.3"/>
    <row r="320" ht="26.25" customHeight="1" x14ac:dyDescent="0.3"/>
    <row r="321" ht="26.25" customHeight="1" x14ac:dyDescent="0.3"/>
    <row r="322" ht="26.25" customHeight="1" x14ac:dyDescent="0.3"/>
    <row r="323" ht="26.25" customHeight="1" x14ac:dyDescent="0.3"/>
    <row r="324" ht="26.25" customHeight="1" x14ac:dyDescent="0.3"/>
    <row r="325" ht="26.25" customHeight="1" x14ac:dyDescent="0.3"/>
    <row r="326" ht="26.25" customHeight="1" x14ac:dyDescent="0.3"/>
    <row r="327" ht="26.25" customHeight="1" x14ac:dyDescent="0.3"/>
    <row r="328" ht="26.25" customHeight="1" x14ac:dyDescent="0.3"/>
    <row r="329" ht="26.25" customHeight="1" x14ac:dyDescent="0.3"/>
    <row r="330" ht="26.25" customHeight="1" x14ac:dyDescent="0.3"/>
    <row r="331" ht="26.25" customHeight="1" x14ac:dyDescent="0.3"/>
    <row r="332" ht="26.25" customHeight="1" x14ac:dyDescent="0.3"/>
    <row r="333" ht="26.25" customHeight="1" x14ac:dyDescent="0.3"/>
    <row r="334" ht="26.25" customHeight="1" x14ac:dyDescent="0.3"/>
    <row r="335" ht="26.25" customHeight="1" x14ac:dyDescent="0.3"/>
    <row r="336" ht="26.25" customHeight="1" x14ac:dyDescent="0.3"/>
    <row r="337" ht="26.25" customHeight="1" x14ac:dyDescent="0.3"/>
    <row r="338" ht="26.25" customHeight="1" x14ac:dyDescent="0.3"/>
    <row r="339" ht="26.25" customHeight="1" x14ac:dyDescent="0.3"/>
    <row r="340" ht="26.25" customHeight="1" x14ac:dyDescent="0.3"/>
    <row r="341" ht="26.25" customHeight="1" x14ac:dyDescent="0.3"/>
    <row r="342" ht="26.25" customHeight="1" x14ac:dyDescent="0.3"/>
    <row r="343" ht="26.25" customHeight="1" x14ac:dyDescent="0.3"/>
    <row r="344" ht="26.25" customHeight="1" x14ac:dyDescent="0.3"/>
    <row r="345" ht="26.25" customHeight="1" x14ac:dyDescent="0.3"/>
    <row r="346" ht="26.25" customHeight="1" x14ac:dyDescent="0.3"/>
    <row r="347" ht="26.25" customHeight="1" x14ac:dyDescent="0.3"/>
    <row r="348" ht="26.25" customHeight="1" x14ac:dyDescent="0.3"/>
    <row r="349" ht="26.25" customHeight="1" x14ac:dyDescent="0.3"/>
    <row r="350" ht="26.25" customHeight="1" x14ac:dyDescent="0.3"/>
    <row r="351" ht="26.25" customHeight="1" x14ac:dyDescent="0.3"/>
    <row r="352" ht="26.25" customHeight="1" x14ac:dyDescent="0.3"/>
    <row r="353" ht="26.25" customHeight="1" x14ac:dyDescent="0.3"/>
    <row r="354" ht="26.25" customHeight="1" x14ac:dyDescent="0.3"/>
    <row r="355" ht="26.25" customHeight="1" x14ac:dyDescent="0.3"/>
    <row r="356" ht="26.25" customHeight="1" x14ac:dyDescent="0.3"/>
    <row r="357" ht="26.25" customHeight="1" x14ac:dyDescent="0.3"/>
    <row r="358" ht="26.25" customHeight="1" x14ac:dyDescent="0.3"/>
    <row r="359" ht="26.25" customHeight="1" x14ac:dyDescent="0.3"/>
    <row r="360" ht="26.25" customHeight="1" x14ac:dyDescent="0.3"/>
    <row r="361" ht="26.25" customHeight="1" x14ac:dyDescent="0.3"/>
    <row r="362" ht="26.25" customHeight="1" x14ac:dyDescent="0.3"/>
    <row r="363" ht="26.25" customHeight="1" x14ac:dyDescent="0.3"/>
    <row r="364" ht="26.25" customHeight="1" x14ac:dyDescent="0.3"/>
    <row r="365" ht="26.25" customHeight="1" x14ac:dyDescent="0.3"/>
    <row r="366" ht="26.25" customHeight="1" x14ac:dyDescent="0.3"/>
    <row r="367" ht="26.25" customHeight="1" x14ac:dyDescent="0.3"/>
    <row r="368" ht="26.25" customHeight="1" x14ac:dyDescent="0.3"/>
    <row r="369" ht="26.25" customHeight="1" x14ac:dyDescent="0.3"/>
    <row r="370" ht="26.25" customHeight="1" x14ac:dyDescent="0.3"/>
    <row r="371" ht="26.25" customHeight="1" x14ac:dyDescent="0.3"/>
    <row r="372" ht="26.25" customHeight="1" x14ac:dyDescent="0.3"/>
    <row r="373" ht="26.25" customHeight="1" x14ac:dyDescent="0.3"/>
    <row r="374" ht="26.25" customHeight="1" x14ac:dyDescent="0.3"/>
    <row r="375" ht="26.25" customHeight="1" x14ac:dyDescent="0.3"/>
    <row r="376" ht="26.25" customHeight="1" x14ac:dyDescent="0.3"/>
    <row r="377" ht="26.25" customHeight="1" x14ac:dyDescent="0.3"/>
    <row r="378" ht="26.25" customHeight="1" x14ac:dyDescent="0.3"/>
    <row r="379" ht="26.25" customHeight="1" x14ac:dyDescent="0.3"/>
    <row r="380" ht="26.25" customHeight="1" x14ac:dyDescent="0.3"/>
    <row r="381" ht="26.25" customHeight="1" x14ac:dyDescent="0.3"/>
    <row r="382" ht="26.25" customHeight="1" x14ac:dyDescent="0.3"/>
    <row r="383" ht="26.25" customHeight="1" x14ac:dyDescent="0.3"/>
    <row r="384" ht="26.25" customHeight="1" x14ac:dyDescent="0.3"/>
    <row r="385" ht="26.25" customHeight="1" x14ac:dyDescent="0.3"/>
    <row r="386" ht="26.25" customHeight="1" x14ac:dyDescent="0.3"/>
    <row r="387" ht="26.25" customHeight="1" x14ac:dyDescent="0.3"/>
    <row r="388" ht="26.25" customHeight="1" x14ac:dyDescent="0.3"/>
    <row r="389" ht="26.25" customHeight="1" x14ac:dyDescent="0.3"/>
    <row r="390" ht="26.25" customHeight="1" x14ac:dyDescent="0.3"/>
    <row r="391" ht="26.25" customHeight="1" x14ac:dyDescent="0.3"/>
    <row r="392" ht="26.25" customHeight="1" x14ac:dyDescent="0.3"/>
    <row r="393" ht="26.25" customHeight="1" x14ac:dyDescent="0.3"/>
    <row r="394" ht="26.25" customHeight="1" x14ac:dyDescent="0.3"/>
    <row r="395" ht="26.25" customHeight="1" x14ac:dyDescent="0.3"/>
    <row r="396" ht="26.25" customHeight="1" x14ac:dyDescent="0.3"/>
    <row r="397" ht="26.25" customHeight="1" x14ac:dyDescent="0.3"/>
    <row r="398" ht="26.25" customHeight="1" x14ac:dyDescent="0.3"/>
    <row r="399" ht="26.25" customHeight="1" x14ac:dyDescent="0.3"/>
    <row r="400" ht="26.25" customHeight="1" x14ac:dyDescent="0.3"/>
    <row r="401" ht="26.25" customHeight="1" x14ac:dyDescent="0.3"/>
    <row r="402" ht="26.25" customHeight="1" x14ac:dyDescent="0.3"/>
    <row r="403" ht="26.25" customHeight="1" x14ac:dyDescent="0.3"/>
    <row r="404" ht="26.25" customHeight="1" x14ac:dyDescent="0.3"/>
    <row r="405" ht="26.25" customHeight="1" x14ac:dyDescent="0.3"/>
    <row r="406" ht="26.25" customHeight="1" x14ac:dyDescent="0.3"/>
    <row r="407" ht="26.25" customHeight="1" x14ac:dyDescent="0.3"/>
    <row r="408" ht="26.25" customHeight="1" x14ac:dyDescent="0.3"/>
    <row r="409" ht="26.25" customHeight="1" x14ac:dyDescent="0.3"/>
    <row r="410" ht="26.25" customHeight="1" x14ac:dyDescent="0.3"/>
    <row r="411" ht="26.25" customHeight="1" x14ac:dyDescent="0.3"/>
    <row r="412" ht="26.25" customHeight="1" x14ac:dyDescent="0.3"/>
    <row r="413" ht="26.25" customHeight="1" x14ac:dyDescent="0.3"/>
    <row r="414" ht="26.25" customHeight="1" x14ac:dyDescent="0.3"/>
    <row r="415" ht="26.25" customHeight="1" x14ac:dyDescent="0.3"/>
    <row r="416" ht="26.25" customHeight="1" x14ac:dyDescent="0.3"/>
    <row r="417" ht="26.25" customHeight="1" x14ac:dyDescent="0.3"/>
    <row r="418" ht="26.25" customHeight="1" x14ac:dyDescent="0.3"/>
    <row r="419" ht="26.25" customHeight="1" x14ac:dyDescent="0.3"/>
    <row r="420" ht="26.25" customHeight="1" x14ac:dyDescent="0.3"/>
    <row r="421" ht="26.25" customHeight="1" x14ac:dyDescent="0.3"/>
    <row r="422" ht="26.25" customHeight="1" x14ac:dyDescent="0.3"/>
    <row r="423" ht="26.25" customHeight="1" x14ac:dyDescent="0.3"/>
    <row r="424" ht="26.25" customHeight="1" x14ac:dyDescent="0.3"/>
    <row r="425" ht="26.25" customHeight="1" x14ac:dyDescent="0.3"/>
    <row r="426" ht="26.25" customHeight="1" x14ac:dyDescent="0.3"/>
    <row r="427" ht="26.25" customHeight="1" x14ac:dyDescent="0.3"/>
    <row r="428" ht="26.25" customHeight="1" x14ac:dyDescent="0.3"/>
    <row r="429" ht="26.25" customHeight="1" x14ac:dyDescent="0.3"/>
    <row r="430" ht="26.25" customHeight="1" x14ac:dyDescent="0.3"/>
    <row r="431" ht="26.25" customHeight="1" x14ac:dyDescent="0.3"/>
    <row r="432" ht="26.25" customHeight="1" x14ac:dyDescent="0.3"/>
    <row r="433" ht="26.25" customHeight="1" x14ac:dyDescent="0.3"/>
    <row r="434" ht="26.25" customHeight="1" x14ac:dyDescent="0.3"/>
    <row r="435" ht="26.25" customHeight="1" x14ac:dyDescent="0.3"/>
    <row r="436" ht="26.25" customHeight="1" x14ac:dyDescent="0.3"/>
    <row r="437" ht="26.25" customHeight="1" x14ac:dyDescent="0.3"/>
    <row r="438" ht="26.25" customHeight="1" x14ac:dyDescent="0.3"/>
    <row r="439" ht="26.25" customHeight="1" x14ac:dyDescent="0.3"/>
    <row r="440" ht="26.25" customHeight="1" x14ac:dyDescent="0.3"/>
    <row r="441" ht="26.25" customHeight="1" x14ac:dyDescent="0.3"/>
    <row r="442" ht="26.25" customHeight="1" x14ac:dyDescent="0.3"/>
    <row r="443" ht="26.25" customHeight="1" x14ac:dyDescent="0.3"/>
    <row r="444" ht="26.25" customHeight="1" x14ac:dyDescent="0.3"/>
    <row r="445" ht="26.25" customHeight="1" x14ac:dyDescent="0.3"/>
    <row r="446" ht="26.25" customHeight="1" x14ac:dyDescent="0.3"/>
    <row r="447" ht="26.25" customHeight="1" x14ac:dyDescent="0.3"/>
    <row r="448" ht="26.25" customHeight="1" x14ac:dyDescent="0.3"/>
    <row r="449" ht="26.25" customHeight="1" x14ac:dyDescent="0.3"/>
    <row r="450" ht="26.25" customHeight="1" x14ac:dyDescent="0.3"/>
    <row r="451" ht="26.25" customHeight="1" x14ac:dyDescent="0.3"/>
    <row r="452" ht="26.25" customHeight="1" x14ac:dyDescent="0.3"/>
    <row r="453" ht="26.25" customHeight="1" x14ac:dyDescent="0.3"/>
    <row r="454" ht="26.25" customHeight="1" x14ac:dyDescent="0.3"/>
    <row r="455" ht="26.25" customHeight="1" x14ac:dyDescent="0.3"/>
    <row r="456" ht="26.25" customHeight="1" x14ac:dyDescent="0.3"/>
    <row r="457" ht="26.25" customHeight="1" x14ac:dyDescent="0.3"/>
    <row r="458" ht="26.25" customHeight="1" x14ac:dyDescent="0.3"/>
    <row r="459" ht="26.25" customHeight="1" x14ac:dyDescent="0.3"/>
    <row r="460" ht="26.25" customHeight="1" x14ac:dyDescent="0.3"/>
    <row r="461" ht="26.25" customHeight="1" x14ac:dyDescent="0.3"/>
    <row r="462" ht="26.25" customHeight="1" x14ac:dyDescent="0.3"/>
    <row r="463" ht="26.25" customHeight="1" x14ac:dyDescent="0.3"/>
    <row r="464" ht="26.25" customHeight="1" x14ac:dyDescent="0.3"/>
    <row r="465" ht="26.25" customHeight="1" x14ac:dyDescent="0.3"/>
    <row r="466" ht="26.25" customHeight="1" x14ac:dyDescent="0.3"/>
    <row r="467" ht="26.25" customHeight="1" x14ac:dyDescent="0.3"/>
    <row r="468" ht="26.25" customHeight="1" x14ac:dyDescent="0.3"/>
    <row r="469" ht="26.25" customHeight="1" x14ac:dyDescent="0.3"/>
    <row r="470" ht="26.25" customHeight="1" x14ac:dyDescent="0.3"/>
    <row r="471" ht="26.25" customHeight="1" x14ac:dyDescent="0.3"/>
    <row r="472" ht="26.25" customHeight="1" x14ac:dyDescent="0.3"/>
    <row r="473" ht="26.25" customHeight="1" x14ac:dyDescent="0.3"/>
    <row r="474" ht="26.25" customHeight="1" x14ac:dyDescent="0.3"/>
    <row r="475" ht="26.25" customHeight="1" x14ac:dyDescent="0.3"/>
    <row r="476" ht="26.25" customHeight="1" x14ac:dyDescent="0.3"/>
    <row r="477" ht="26.25" customHeight="1" x14ac:dyDescent="0.3"/>
    <row r="478" ht="26.25" customHeight="1" x14ac:dyDescent="0.3"/>
    <row r="479" ht="26.25" customHeight="1" x14ac:dyDescent="0.3"/>
    <row r="480" ht="26.25" customHeight="1" x14ac:dyDescent="0.3"/>
    <row r="481" ht="26.25" customHeight="1" x14ac:dyDescent="0.3"/>
    <row r="482" ht="26.25" customHeight="1" x14ac:dyDescent="0.3"/>
    <row r="483" ht="26.25" customHeight="1" x14ac:dyDescent="0.3"/>
    <row r="484" ht="26.25" customHeight="1" x14ac:dyDescent="0.3"/>
    <row r="485" ht="26.25" customHeight="1" x14ac:dyDescent="0.3"/>
    <row r="486" ht="26.25" customHeight="1" x14ac:dyDescent="0.3"/>
    <row r="487" ht="26.25" customHeight="1" x14ac:dyDescent="0.3"/>
    <row r="488" ht="26.25" customHeight="1" x14ac:dyDescent="0.3"/>
    <row r="489" ht="26.25" customHeight="1" x14ac:dyDescent="0.3"/>
    <row r="490" ht="26.25" customHeight="1" x14ac:dyDescent="0.3"/>
    <row r="491" ht="26.25" customHeight="1" x14ac:dyDescent="0.3"/>
    <row r="492" ht="26.25" customHeight="1" x14ac:dyDescent="0.3"/>
    <row r="493" ht="26.25" customHeight="1" x14ac:dyDescent="0.3"/>
    <row r="494" ht="26.25" customHeight="1" x14ac:dyDescent="0.3"/>
    <row r="495" ht="26.25" customHeight="1" x14ac:dyDescent="0.3"/>
    <row r="496" ht="26.25" customHeight="1" x14ac:dyDescent="0.3"/>
    <row r="497" ht="26.25" customHeight="1" x14ac:dyDescent="0.3"/>
    <row r="498" ht="26.25" customHeight="1" x14ac:dyDescent="0.3"/>
    <row r="499" ht="26.25" customHeight="1" x14ac:dyDescent="0.3"/>
    <row r="500" ht="26.25" customHeight="1" x14ac:dyDescent="0.3"/>
    <row r="501" ht="26.25" customHeight="1" x14ac:dyDescent="0.3"/>
    <row r="502" ht="26.25" customHeight="1" x14ac:dyDescent="0.3"/>
    <row r="503" ht="26.25" customHeight="1" x14ac:dyDescent="0.3"/>
    <row r="504" ht="26.25" customHeight="1" x14ac:dyDescent="0.3"/>
    <row r="505" ht="26.25" customHeight="1" x14ac:dyDescent="0.3"/>
    <row r="506" ht="26.25" customHeight="1" x14ac:dyDescent="0.3"/>
    <row r="507" ht="26.25" customHeight="1" x14ac:dyDescent="0.3"/>
    <row r="508" ht="26.25" customHeight="1" x14ac:dyDescent="0.3"/>
    <row r="509" ht="26.25" customHeight="1" x14ac:dyDescent="0.3"/>
    <row r="510" ht="26.25" customHeight="1" x14ac:dyDescent="0.3"/>
    <row r="511" ht="26.25" customHeight="1" x14ac:dyDescent="0.3"/>
    <row r="512" ht="26.25" customHeight="1" x14ac:dyDescent="0.3"/>
    <row r="513" ht="26.25" customHeight="1" x14ac:dyDescent="0.3"/>
    <row r="514" ht="26.25" customHeight="1" x14ac:dyDescent="0.3"/>
    <row r="515" ht="26.25" customHeight="1" x14ac:dyDescent="0.3"/>
    <row r="516" ht="26.25" customHeight="1" x14ac:dyDescent="0.3"/>
    <row r="517" ht="26.25" customHeight="1" x14ac:dyDescent="0.3"/>
    <row r="518" ht="26.25" customHeight="1" x14ac:dyDescent="0.3"/>
    <row r="519" ht="26.25" customHeight="1" x14ac:dyDescent="0.3"/>
    <row r="520" ht="26.25" customHeight="1" x14ac:dyDescent="0.3"/>
    <row r="521" ht="26.25" customHeight="1" x14ac:dyDescent="0.3"/>
    <row r="522" ht="26.25" customHeight="1" x14ac:dyDescent="0.3"/>
    <row r="523" ht="26.25" customHeight="1" x14ac:dyDescent="0.3"/>
    <row r="524" ht="26.25" customHeight="1" x14ac:dyDescent="0.3"/>
    <row r="525" ht="26.25" customHeight="1" x14ac:dyDescent="0.3"/>
    <row r="526" ht="26.25" customHeight="1" x14ac:dyDescent="0.3"/>
    <row r="527" ht="26.25" customHeight="1" x14ac:dyDescent="0.3"/>
    <row r="528" ht="26.25" customHeight="1" x14ac:dyDescent="0.3"/>
    <row r="529" ht="26.25" customHeight="1" x14ac:dyDescent="0.3"/>
    <row r="530" ht="26.25" customHeight="1" x14ac:dyDescent="0.3"/>
    <row r="531" ht="26.25" customHeight="1" x14ac:dyDescent="0.3"/>
    <row r="532" ht="26.25" customHeight="1" x14ac:dyDescent="0.3"/>
    <row r="533" ht="26.25" customHeight="1" x14ac:dyDescent="0.3"/>
    <row r="534" ht="26.25" customHeight="1" x14ac:dyDescent="0.3"/>
    <row r="535" ht="26.25" customHeight="1" x14ac:dyDescent="0.3"/>
    <row r="536" ht="26.25" customHeight="1" x14ac:dyDescent="0.3"/>
    <row r="537" ht="26.25" customHeight="1" x14ac:dyDescent="0.3"/>
    <row r="538" ht="26.25" customHeight="1" x14ac:dyDescent="0.3"/>
    <row r="539" ht="26.25" customHeight="1" x14ac:dyDescent="0.3"/>
    <row r="540" ht="26.25" customHeight="1" x14ac:dyDescent="0.3"/>
    <row r="541" ht="26.25" customHeight="1" x14ac:dyDescent="0.3"/>
    <row r="542" ht="26.25" customHeight="1" x14ac:dyDescent="0.3"/>
    <row r="543" ht="26.25" customHeight="1" x14ac:dyDescent="0.3"/>
    <row r="544" ht="26.25" customHeight="1" x14ac:dyDescent="0.3"/>
    <row r="545" ht="26.25" customHeight="1" x14ac:dyDescent="0.3"/>
    <row r="546" ht="26.25" customHeight="1" x14ac:dyDescent="0.3"/>
    <row r="547" ht="26.25" customHeight="1" x14ac:dyDescent="0.3"/>
    <row r="548" ht="26.25" customHeight="1" x14ac:dyDescent="0.3"/>
    <row r="549" ht="26.25" customHeight="1" x14ac:dyDescent="0.3"/>
    <row r="550" ht="26.25" customHeight="1" x14ac:dyDescent="0.3"/>
    <row r="551" ht="26.25" customHeight="1" x14ac:dyDescent="0.3"/>
    <row r="552" ht="26.25" customHeight="1" x14ac:dyDescent="0.3"/>
    <row r="553" ht="26.25" customHeight="1" x14ac:dyDescent="0.3"/>
    <row r="554" ht="26.25" customHeight="1" x14ac:dyDescent="0.3"/>
    <row r="555" ht="26.25" customHeight="1" x14ac:dyDescent="0.3"/>
    <row r="556" ht="26.25" customHeight="1" x14ac:dyDescent="0.3"/>
    <row r="557" ht="26.25" customHeight="1" x14ac:dyDescent="0.3"/>
    <row r="558" ht="26.25" customHeight="1" x14ac:dyDescent="0.3"/>
    <row r="559" ht="26.25" customHeight="1" x14ac:dyDescent="0.3"/>
    <row r="560" ht="26.25" customHeight="1" x14ac:dyDescent="0.3"/>
    <row r="561" ht="26.25" customHeight="1" x14ac:dyDescent="0.3"/>
    <row r="562" ht="26.25" customHeight="1" x14ac:dyDescent="0.3"/>
    <row r="563" ht="26.25" customHeight="1" x14ac:dyDescent="0.3"/>
    <row r="564" ht="26.25" customHeight="1" x14ac:dyDescent="0.3"/>
    <row r="565" ht="26.25" customHeight="1" x14ac:dyDescent="0.3"/>
    <row r="566" ht="26.25" customHeight="1" x14ac:dyDescent="0.3"/>
    <row r="567" ht="26.25" customHeight="1" x14ac:dyDescent="0.3"/>
    <row r="568" ht="26.25" customHeight="1" x14ac:dyDescent="0.3"/>
    <row r="569" ht="26.25" customHeight="1" x14ac:dyDescent="0.3"/>
    <row r="570" ht="26.25" customHeight="1" x14ac:dyDescent="0.3"/>
    <row r="571" ht="26.25" customHeight="1" x14ac:dyDescent="0.3"/>
    <row r="572" ht="26.25" customHeight="1" x14ac:dyDescent="0.3"/>
    <row r="573" ht="26.25" customHeight="1" x14ac:dyDescent="0.3"/>
    <row r="574" ht="26.25" customHeight="1" x14ac:dyDescent="0.3"/>
    <row r="575" ht="26.25" customHeight="1" x14ac:dyDescent="0.3"/>
    <row r="576" ht="26.25" customHeight="1" x14ac:dyDescent="0.3"/>
    <row r="577" ht="26.25" customHeight="1" x14ac:dyDescent="0.3"/>
    <row r="578" ht="26.25" customHeight="1" x14ac:dyDescent="0.3"/>
    <row r="579" ht="26.25" customHeight="1" x14ac:dyDescent="0.3"/>
    <row r="580" ht="26.25" customHeight="1" x14ac:dyDescent="0.3"/>
    <row r="581" ht="26.25" customHeight="1" x14ac:dyDescent="0.3"/>
    <row r="582" ht="26.25" customHeight="1" x14ac:dyDescent="0.3"/>
    <row r="583" ht="26.25" customHeight="1" x14ac:dyDescent="0.3"/>
    <row r="584" ht="26.25" customHeight="1" x14ac:dyDescent="0.3"/>
    <row r="585" ht="26.25" customHeight="1" x14ac:dyDescent="0.3"/>
    <row r="586" ht="26.25" customHeight="1" x14ac:dyDescent="0.3"/>
    <row r="587" ht="26.25" customHeight="1" x14ac:dyDescent="0.3"/>
    <row r="588" ht="26.25" customHeight="1" x14ac:dyDescent="0.3"/>
    <row r="589" ht="26.25" customHeight="1" x14ac:dyDescent="0.3"/>
    <row r="590" ht="26.25" customHeight="1" x14ac:dyDescent="0.3"/>
    <row r="591" ht="26.25" customHeight="1" x14ac:dyDescent="0.3"/>
    <row r="592" ht="26.25" customHeight="1" x14ac:dyDescent="0.3"/>
    <row r="593" ht="26.25" customHeight="1" x14ac:dyDescent="0.3"/>
    <row r="594" ht="26.25" customHeight="1" x14ac:dyDescent="0.3"/>
    <row r="595" ht="26.25" customHeight="1" x14ac:dyDescent="0.3"/>
    <row r="596" ht="26.25" customHeight="1" x14ac:dyDescent="0.3"/>
    <row r="597" ht="26.25" customHeight="1" x14ac:dyDescent="0.3"/>
    <row r="598" ht="26.25" customHeight="1" x14ac:dyDescent="0.3"/>
    <row r="599" ht="26.25" customHeight="1" x14ac:dyDescent="0.3"/>
    <row r="600" ht="26.25" customHeight="1" x14ac:dyDescent="0.3"/>
    <row r="601" ht="26.25" customHeight="1" x14ac:dyDescent="0.3"/>
    <row r="602" ht="26.25" customHeight="1" x14ac:dyDescent="0.3"/>
    <row r="603" ht="26.25" customHeight="1" x14ac:dyDescent="0.3"/>
    <row r="604" ht="26.25" customHeight="1" x14ac:dyDescent="0.3"/>
    <row r="605" ht="26.25" customHeight="1" x14ac:dyDescent="0.3"/>
    <row r="606" ht="26.25" customHeight="1" x14ac:dyDescent="0.3"/>
    <row r="607" ht="26.25" customHeight="1" x14ac:dyDescent="0.3"/>
    <row r="608" ht="26.25" customHeight="1" x14ac:dyDescent="0.3"/>
    <row r="609" ht="26.25" customHeight="1" x14ac:dyDescent="0.3"/>
    <row r="610" ht="26.25" customHeight="1" x14ac:dyDescent="0.3"/>
    <row r="611" ht="26.25" customHeight="1" x14ac:dyDescent="0.3"/>
    <row r="612" ht="26.25" customHeight="1" x14ac:dyDescent="0.3"/>
    <row r="613" ht="26.25" customHeight="1" x14ac:dyDescent="0.3"/>
    <row r="614" ht="26.25" customHeight="1" x14ac:dyDescent="0.3"/>
    <row r="615" ht="26.25" customHeight="1" x14ac:dyDescent="0.3"/>
    <row r="616" ht="26.25" customHeight="1" x14ac:dyDescent="0.3"/>
    <row r="617" ht="26.25" customHeight="1" x14ac:dyDescent="0.3"/>
    <row r="618" ht="26.25" customHeight="1" x14ac:dyDescent="0.3"/>
    <row r="619" ht="26.25" customHeight="1" x14ac:dyDescent="0.3"/>
    <row r="620" ht="26.25" customHeight="1" x14ac:dyDescent="0.3"/>
    <row r="621" ht="26.25" customHeight="1" x14ac:dyDescent="0.3"/>
    <row r="622" ht="26.25" customHeight="1" x14ac:dyDescent="0.3"/>
    <row r="623" ht="26.25" customHeight="1" x14ac:dyDescent="0.3"/>
    <row r="624" ht="26.25" customHeight="1" x14ac:dyDescent="0.3"/>
    <row r="625" ht="26.25" customHeight="1" x14ac:dyDescent="0.3"/>
    <row r="626" ht="26.25" customHeight="1" x14ac:dyDescent="0.3"/>
    <row r="627" ht="26.25" customHeight="1" x14ac:dyDescent="0.3"/>
    <row r="628" ht="26.25" customHeight="1" x14ac:dyDescent="0.3"/>
    <row r="629" ht="26.25" customHeight="1" x14ac:dyDescent="0.3"/>
    <row r="630" ht="26.25" customHeight="1" x14ac:dyDescent="0.3"/>
    <row r="631" ht="26.25" customHeight="1" x14ac:dyDescent="0.3"/>
    <row r="632" ht="26.25" customHeight="1" x14ac:dyDescent="0.3"/>
    <row r="633" ht="26.25" customHeight="1" x14ac:dyDescent="0.3"/>
    <row r="634" ht="26.25" customHeight="1" x14ac:dyDescent="0.3"/>
    <row r="635" ht="26.25" customHeight="1" x14ac:dyDescent="0.3"/>
    <row r="636" ht="26.25" customHeight="1" x14ac:dyDescent="0.3"/>
    <row r="637" ht="26.25" customHeight="1" x14ac:dyDescent="0.3"/>
    <row r="638" ht="26.25" customHeight="1" x14ac:dyDescent="0.3"/>
    <row r="639" ht="26.25" customHeight="1" x14ac:dyDescent="0.3"/>
    <row r="640" ht="26.25" customHeight="1" x14ac:dyDescent="0.3"/>
    <row r="641" ht="26.25" customHeight="1" x14ac:dyDescent="0.3"/>
    <row r="642" ht="26.25" customHeight="1" x14ac:dyDescent="0.3"/>
    <row r="643" ht="26.25" customHeight="1" x14ac:dyDescent="0.3"/>
    <row r="644" ht="26.25" customHeight="1" x14ac:dyDescent="0.3"/>
    <row r="645" ht="26.25" customHeight="1" x14ac:dyDescent="0.3"/>
    <row r="646" ht="26.25" customHeight="1" x14ac:dyDescent="0.3"/>
    <row r="647" ht="26.25" customHeight="1" x14ac:dyDescent="0.3"/>
    <row r="648" ht="26.25" customHeight="1" x14ac:dyDescent="0.3"/>
    <row r="649" ht="26.25" customHeight="1" x14ac:dyDescent="0.3"/>
    <row r="650" ht="26.25" customHeight="1" x14ac:dyDescent="0.3"/>
    <row r="651" ht="26.25" customHeight="1" x14ac:dyDescent="0.3"/>
    <row r="652" ht="26.25" customHeight="1" x14ac:dyDescent="0.3"/>
    <row r="653" ht="26.25" customHeight="1" x14ac:dyDescent="0.3"/>
    <row r="654" ht="26.25" customHeight="1" x14ac:dyDescent="0.3"/>
    <row r="655" ht="26.25" customHeight="1" x14ac:dyDescent="0.3"/>
    <row r="656" ht="26.25" customHeight="1" x14ac:dyDescent="0.3"/>
    <row r="657" ht="26.25" customHeight="1" x14ac:dyDescent="0.3"/>
    <row r="658" ht="26.25" customHeight="1" x14ac:dyDescent="0.3"/>
    <row r="659" ht="26.25" customHeight="1" x14ac:dyDescent="0.3"/>
    <row r="660" ht="26.25" customHeight="1" x14ac:dyDescent="0.3"/>
    <row r="661" ht="26.25" customHeight="1" x14ac:dyDescent="0.3"/>
    <row r="662" ht="26.25" customHeight="1" x14ac:dyDescent="0.3"/>
    <row r="663" ht="26.25" customHeight="1" x14ac:dyDescent="0.3"/>
    <row r="664" ht="26.25" customHeight="1" x14ac:dyDescent="0.3"/>
    <row r="665" ht="26.25" customHeight="1" x14ac:dyDescent="0.3"/>
    <row r="666" ht="26.25" customHeight="1" x14ac:dyDescent="0.3"/>
    <row r="667" ht="26.25" customHeight="1" x14ac:dyDescent="0.3"/>
    <row r="668" ht="26.25" customHeight="1" x14ac:dyDescent="0.3"/>
    <row r="669" ht="26.25" customHeight="1" x14ac:dyDescent="0.3"/>
    <row r="670" ht="26.25" customHeight="1" x14ac:dyDescent="0.3"/>
    <row r="671" ht="26.25" customHeight="1" x14ac:dyDescent="0.3"/>
    <row r="672" ht="26.25" customHeight="1" x14ac:dyDescent="0.3"/>
    <row r="673" ht="26.25" customHeight="1" x14ac:dyDescent="0.3"/>
    <row r="674" ht="26.25" customHeight="1" x14ac:dyDescent="0.3"/>
    <row r="675" ht="26.25" customHeight="1" x14ac:dyDescent="0.3"/>
    <row r="676" ht="26.25" customHeight="1" x14ac:dyDescent="0.3"/>
    <row r="677" ht="26.25" customHeight="1" x14ac:dyDescent="0.3"/>
    <row r="678" ht="26.25" customHeight="1" x14ac:dyDescent="0.3"/>
    <row r="679" ht="26.25" customHeight="1" x14ac:dyDescent="0.3"/>
    <row r="680" ht="26.25" customHeight="1" x14ac:dyDescent="0.3"/>
    <row r="681" ht="26.25" customHeight="1" x14ac:dyDescent="0.3"/>
    <row r="682" ht="26.25" customHeight="1" x14ac:dyDescent="0.3"/>
    <row r="683" ht="26.25" customHeight="1" x14ac:dyDescent="0.3"/>
    <row r="684" ht="26.25" customHeight="1" x14ac:dyDescent="0.3"/>
    <row r="685" ht="26.25" customHeight="1" x14ac:dyDescent="0.3"/>
    <row r="686" ht="26.25" customHeight="1" x14ac:dyDescent="0.3"/>
    <row r="687" ht="26.25" customHeight="1" x14ac:dyDescent="0.3"/>
    <row r="688" ht="26.25" customHeight="1" x14ac:dyDescent="0.3"/>
    <row r="689" ht="26.25" customHeight="1" x14ac:dyDescent="0.3"/>
    <row r="690" ht="26.25" customHeight="1" x14ac:dyDescent="0.3"/>
    <row r="691" ht="26.25" customHeight="1" x14ac:dyDescent="0.3"/>
    <row r="692" ht="26.25" customHeight="1" x14ac:dyDescent="0.3"/>
    <row r="693" ht="26.25" customHeight="1" x14ac:dyDescent="0.3"/>
    <row r="694" ht="26.25" customHeight="1" x14ac:dyDescent="0.3"/>
    <row r="695" ht="26.25" customHeight="1" x14ac:dyDescent="0.3"/>
    <row r="696" ht="26.25" customHeight="1" x14ac:dyDescent="0.3"/>
    <row r="697" ht="26.25" customHeight="1" x14ac:dyDescent="0.3"/>
    <row r="698" ht="26.25" customHeight="1" x14ac:dyDescent="0.3"/>
    <row r="699" ht="26.25" customHeight="1" x14ac:dyDescent="0.3"/>
    <row r="700" ht="26.25" customHeight="1" x14ac:dyDescent="0.3"/>
    <row r="701" ht="26.25" customHeight="1" x14ac:dyDescent="0.3"/>
    <row r="702" ht="26.25" customHeight="1" x14ac:dyDescent="0.3"/>
    <row r="703" ht="26.25" customHeight="1" x14ac:dyDescent="0.3"/>
    <row r="704" ht="26.25" customHeight="1" x14ac:dyDescent="0.3"/>
    <row r="705" ht="26.25" customHeight="1" x14ac:dyDescent="0.3"/>
    <row r="706" ht="26.25" customHeight="1" x14ac:dyDescent="0.3"/>
    <row r="707" ht="26.25" customHeight="1" x14ac:dyDescent="0.3"/>
    <row r="708" ht="26.25" customHeight="1" x14ac:dyDescent="0.3"/>
    <row r="709" ht="26.25" customHeight="1" x14ac:dyDescent="0.3"/>
    <row r="710" ht="26.25" customHeight="1" x14ac:dyDescent="0.3"/>
    <row r="711" ht="26.25" customHeight="1" x14ac:dyDescent="0.3"/>
    <row r="712" ht="26.25" customHeight="1" x14ac:dyDescent="0.3"/>
    <row r="713" ht="26.25" customHeight="1" x14ac:dyDescent="0.3"/>
    <row r="714" ht="26.25" customHeight="1" x14ac:dyDescent="0.3"/>
    <row r="715" ht="26.25" customHeight="1" x14ac:dyDescent="0.3"/>
    <row r="716" ht="26.25" customHeight="1" x14ac:dyDescent="0.3"/>
    <row r="717" ht="26.25" customHeight="1" x14ac:dyDescent="0.3"/>
    <row r="718" ht="26.25" customHeight="1" x14ac:dyDescent="0.3"/>
    <row r="719" ht="26.25" customHeight="1" x14ac:dyDescent="0.3"/>
    <row r="720" ht="26.25" customHeight="1" x14ac:dyDescent="0.3"/>
    <row r="721" ht="26.25" customHeight="1" x14ac:dyDescent="0.3"/>
    <row r="722" ht="26.25" customHeight="1" x14ac:dyDescent="0.3"/>
    <row r="723" ht="26.25" customHeight="1" x14ac:dyDescent="0.3"/>
    <row r="724" ht="26.25" customHeight="1" x14ac:dyDescent="0.3"/>
    <row r="725" ht="26.25" customHeight="1" x14ac:dyDescent="0.3"/>
    <row r="726" ht="26.25" customHeight="1" x14ac:dyDescent="0.3"/>
    <row r="727" ht="26.25" customHeight="1" x14ac:dyDescent="0.3"/>
    <row r="728" ht="26.25" customHeight="1" x14ac:dyDescent="0.3"/>
    <row r="729" ht="26.25" customHeight="1" x14ac:dyDescent="0.3"/>
    <row r="730" ht="26.25" customHeight="1" x14ac:dyDescent="0.3"/>
    <row r="731" ht="26.25" customHeight="1" x14ac:dyDescent="0.3"/>
    <row r="732" ht="26.25" customHeight="1" x14ac:dyDescent="0.3"/>
    <row r="733" ht="26.25" customHeight="1" x14ac:dyDescent="0.3"/>
    <row r="734" ht="26.25" customHeight="1" x14ac:dyDescent="0.3"/>
    <row r="735" ht="26.25" customHeight="1" x14ac:dyDescent="0.3"/>
    <row r="736" ht="26.25" customHeight="1" x14ac:dyDescent="0.3"/>
    <row r="737" ht="26.25" customHeight="1" x14ac:dyDescent="0.3"/>
    <row r="738" ht="26.25" customHeight="1" x14ac:dyDescent="0.3"/>
    <row r="739" ht="26.25" customHeight="1" x14ac:dyDescent="0.3"/>
    <row r="740" ht="26.25" customHeight="1" x14ac:dyDescent="0.3"/>
    <row r="741" ht="26.25" customHeight="1" x14ac:dyDescent="0.3"/>
    <row r="742" ht="26.25" customHeight="1" x14ac:dyDescent="0.3"/>
    <row r="743" ht="26.25" customHeight="1" x14ac:dyDescent="0.3"/>
    <row r="744" ht="26.25" customHeight="1" x14ac:dyDescent="0.3"/>
    <row r="745" ht="26.25" customHeight="1" x14ac:dyDescent="0.3"/>
    <row r="746" ht="26.25" customHeight="1" x14ac:dyDescent="0.3"/>
    <row r="747" ht="26.25" customHeight="1" x14ac:dyDescent="0.3"/>
    <row r="748" ht="26.25" customHeight="1" x14ac:dyDescent="0.3"/>
    <row r="749" ht="26.25" customHeight="1" x14ac:dyDescent="0.3"/>
    <row r="750" ht="26.25" customHeight="1" x14ac:dyDescent="0.3"/>
    <row r="751" ht="26.25" customHeight="1" x14ac:dyDescent="0.3"/>
    <row r="752" ht="26.25" customHeight="1" x14ac:dyDescent="0.3"/>
    <row r="753" ht="26.25" customHeight="1" x14ac:dyDescent="0.3"/>
    <row r="754" ht="26.25" customHeight="1" x14ac:dyDescent="0.3"/>
    <row r="755" ht="26.25" customHeight="1" x14ac:dyDescent="0.3"/>
    <row r="756" ht="26.25" customHeight="1" x14ac:dyDescent="0.3"/>
    <row r="757" ht="26.25" customHeight="1" x14ac:dyDescent="0.3"/>
    <row r="758" ht="26.25" customHeight="1" x14ac:dyDescent="0.3"/>
    <row r="759" ht="26.25" customHeight="1" x14ac:dyDescent="0.3"/>
    <row r="760" ht="26.25" customHeight="1" x14ac:dyDescent="0.3"/>
    <row r="761" ht="26.25" customHeight="1" x14ac:dyDescent="0.3"/>
    <row r="762" ht="26.25" customHeight="1" x14ac:dyDescent="0.3"/>
    <row r="763" ht="26.25" customHeight="1" x14ac:dyDescent="0.3"/>
    <row r="764" ht="26.25" customHeight="1" x14ac:dyDescent="0.3"/>
    <row r="765" ht="26.25" customHeight="1" x14ac:dyDescent="0.3"/>
    <row r="766" ht="26.25" customHeight="1" x14ac:dyDescent="0.3"/>
    <row r="767" ht="26.25" customHeight="1" x14ac:dyDescent="0.3"/>
    <row r="768" ht="26.25" customHeight="1" x14ac:dyDescent="0.3"/>
    <row r="769" ht="26.25" customHeight="1" x14ac:dyDescent="0.3"/>
    <row r="770" ht="26.25" customHeight="1" x14ac:dyDescent="0.3"/>
    <row r="771" ht="26.25" customHeight="1" x14ac:dyDescent="0.3"/>
    <row r="772" ht="26.25" customHeight="1" x14ac:dyDescent="0.3"/>
    <row r="773" ht="26.25" customHeight="1" x14ac:dyDescent="0.3"/>
    <row r="774" ht="26.25" customHeight="1" x14ac:dyDescent="0.3"/>
    <row r="775" ht="26.25" customHeight="1" x14ac:dyDescent="0.3"/>
    <row r="776" ht="26.25" customHeight="1" x14ac:dyDescent="0.3"/>
    <row r="777" ht="26.25" customHeight="1" x14ac:dyDescent="0.3"/>
    <row r="778" ht="26.25" customHeight="1" x14ac:dyDescent="0.3"/>
    <row r="779" ht="26.25" customHeight="1" x14ac:dyDescent="0.3"/>
    <row r="780" ht="26.25" customHeight="1" x14ac:dyDescent="0.3"/>
    <row r="781" ht="26.25" customHeight="1" x14ac:dyDescent="0.3"/>
    <row r="782" ht="26.25" customHeight="1" x14ac:dyDescent="0.3"/>
    <row r="783" ht="26.25" customHeight="1" x14ac:dyDescent="0.3"/>
    <row r="784" ht="26.25" customHeight="1" x14ac:dyDescent="0.3"/>
    <row r="785" ht="26.25" customHeight="1" x14ac:dyDescent="0.3"/>
    <row r="786" ht="26.25" customHeight="1" x14ac:dyDescent="0.3"/>
    <row r="787" ht="26.25" customHeight="1" x14ac:dyDescent="0.3"/>
    <row r="788" ht="26.25" customHeight="1" x14ac:dyDescent="0.3"/>
    <row r="789" ht="26.25" customHeight="1" x14ac:dyDescent="0.3"/>
    <row r="790" ht="26.25" customHeight="1" x14ac:dyDescent="0.3"/>
    <row r="791" ht="26.25" customHeight="1" x14ac:dyDescent="0.3"/>
    <row r="792" ht="26.25" customHeight="1" x14ac:dyDescent="0.3"/>
    <row r="793" ht="26.25" customHeight="1" x14ac:dyDescent="0.3"/>
    <row r="794" ht="26.25" customHeight="1" x14ac:dyDescent="0.3"/>
    <row r="795" ht="26.25" customHeight="1" x14ac:dyDescent="0.3"/>
    <row r="796" ht="26.25" customHeight="1" x14ac:dyDescent="0.3"/>
    <row r="797" ht="26.25" customHeight="1" x14ac:dyDescent="0.3"/>
    <row r="798" ht="26.25" customHeight="1" x14ac:dyDescent="0.3"/>
    <row r="799" ht="26.25" customHeight="1" x14ac:dyDescent="0.3"/>
    <row r="800" ht="26.25" customHeight="1" x14ac:dyDescent="0.3"/>
    <row r="801" ht="26.25" customHeight="1" x14ac:dyDescent="0.3"/>
    <row r="802" ht="26.25" customHeight="1" x14ac:dyDescent="0.3"/>
    <row r="803" ht="26.25" customHeight="1" x14ac:dyDescent="0.3"/>
    <row r="804" ht="26.25" customHeight="1" x14ac:dyDescent="0.3"/>
    <row r="805" ht="26.25" customHeight="1" x14ac:dyDescent="0.3"/>
    <row r="806" ht="26.25" customHeight="1" x14ac:dyDescent="0.3"/>
    <row r="807" ht="26.25" customHeight="1" x14ac:dyDescent="0.3"/>
    <row r="808" ht="26.25" customHeight="1" x14ac:dyDescent="0.3"/>
    <row r="809" ht="26.25" customHeight="1" x14ac:dyDescent="0.3"/>
    <row r="810" ht="26.25" customHeight="1" x14ac:dyDescent="0.3"/>
    <row r="811" ht="26.25" customHeight="1" x14ac:dyDescent="0.3"/>
    <row r="812" ht="26.25" customHeight="1" x14ac:dyDescent="0.3"/>
    <row r="813" ht="26.25" customHeight="1" x14ac:dyDescent="0.3"/>
    <row r="814" ht="26.25" customHeight="1" x14ac:dyDescent="0.3"/>
    <row r="815" ht="26.25" customHeight="1" x14ac:dyDescent="0.3"/>
    <row r="816" ht="26.25" customHeight="1" x14ac:dyDescent="0.3"/>
    <row r="817" ht="26.25" customHeight="1" x14ac:dyDescent="0.3"/>
    <row r="818" ht="26.25" customHeight="1" x14ac:dyDescent="0.3"/>
    <row r="819" ht="26.25" customHeight="1" x14ac:dyDescent="0.3"/>
    <row r="820" ht="26.25" customHeight="1" x14ac:dyDescent="0.3"/>
    <row r="821" ht="26.25" customHeight="1" x14ac:dyDescent="0.3"/>
    <row r="822" ht="26.25" customHeight="1" x14ac:dyDescent="0.3"/>
    <row r="823" ht="26.25" customHeight="1" x14ac:dyDescent="0.3"/>
    <row r="824" ht="26.25" customHeight="1" x14ac:dyDescent="0.3"/>
    <row r="825" ht="26.25" customHeight="1" x14ac:dyDescent="0.3"/>
    <row r="826" ht="26.25" customHeight="1" x14ac:dyDescent="0.3"/>
    <row r="827" ht="26.25" customHeight="1" x14ac:dyDescent="0.3"/>
    <row r="828" ht="26.25" customHeight="1" x14ac:dyDescent="0.3"/>
    <row r="829" ht="26.25" customHeight="1" x14ac:dyDescent="0.3"/>
    <row r="830" ht="26.25" customHeight="1" x14ac:dyDescent="0.3"/>
    <row r="831" ht="26.25" customHeight="1" x14ac:dyDescent="0.3"/>
    <row r="832" ht="26.25" customHeight="1" x14ac:dyDescent="0.3"/>
    <row r="833" ht="26.25" customHeight="1" x14ac:dyDescent="0.3"/>
    <row r="834" ht="26.25" customHeight="1" x14ac:dyDescent="0.3"/>
    <row r="835" ht="26.25" customHeight="1" x14ac:dyDescent="0.3"/>
    <row r="836" ht="26.25" customHeight="1" x14ac:dyDescent="0.3"/>
    <row r="837" ht="26.25" customHeight="1" x14ac:dyDescent="0.3"/>
    <row r="838" ht="26.25" customHeight="1" x14ac:dyDescent="0.3"/>
    <row r="839" ht="26.25" customHeight="1" x14ac:dyDescent="0.3"/>
    <row r="840" ht="26.25" customHeight="1" x14ac:dyDescent="0.3"/>
    <row r="841" ht="26.25" customHeight="1" x14ac:dyDescent="0.3"/>
    <row r="842" ht="26.25" customHeight="1" x14ac:dyDescent="0.3"/>
    <row r="843" ht="26.25" customHeight="1" x14ac:dyDescent="0.3"/>
    <row r="844" ht="26.25" customHeight="1" x14ac:dyDescent="0.3"/>
    <row r="845" ht="26.25" customHeight="1" x14ac:dyDescent="0.3"/>
    <row r="846" ht="26.25" customHeight="1" x14ac:dyDescent="0.3"/>
    <row r="847" ht="26.25" customHeight="1" x14ac:dyDescent="0.3"/>
    <row r="848" ht="26.25" customHeight="1" x14ac:dyDescent="0.3"/>
    <row r="849" ht="26.25" customHeight="1" x14ac:dyDescent="0.3"/>
    <row r="850" ht="26.25" customHeight="1" x14ac:dyDescent="0.3"/>
    <row r="851" ht="26.25" customHeight="1" x14ac:dyDescent="0.3"/>
    <row r="852" ht="26.25" customHeight="1" x14ac:dyDescent="0.3"/>
    <row r="853" ht="26.25" customHeight="1" x14ac:dyDescent="0.3"/>
    <row r="854" ht="26.25" customHeight="1" x14ac:dyDescent="0.3"/>
    <row r="855" ht="26.25" customHeight="1" x14ac:dyDescent="0.3"/>
    <row r="856" ht="26.25" customHeight="1" x14ac:dyDescent="0.3"/>
    <row r="857" ht="26.25" customHeight="1" x14ac:dyDescent="0.3"/>
    <row r="858" ht="26.25" customHeight="1" x14ac:dyDescent="0.3"/>
    <row r="859" ht="26.25" customHeight="1" x14ac:dyDescent="0.3"/>
    <row r="860" ht="26.25" customHeight="1" x14ac:dyDescent="0.3"/>
    <row r="861" ht="26.25" customHeight="1" x14ac:dyDescent="0.3"/>
    <row r="862" ht="26.25" customHeight="1" x14ac:dyDescent="0.3"/>
    <row r="863" ht="26.25" customHeight="1" x14ac:dyDescent="0.3"/>
    <row r="864" ht="26.25" customHeight="1" x14ac:dyDescent="0.3"/>
    <row r="865" ht="26.25" customHeight="1" x14ac:dyDescent="0.3"/>
    <row r="866" ht="26.25" customHeight="1" x14ac:dyDescent="0.3"/>
    <row r="867" ht="26.25" customHeight="1" x14ac:dyDescent="0.3"/>
    <row r="868" ht="26.25" customHeight="1" x14ac:dyDescent="0.3"/>
    <row r="869" ht="26.25" customHeight="1" x14ac:dyDescent="0.3"/>
    <row r="870" ht="26.25" customHeight="1" x14ac:dyDescent="0.3"/>
    <row r="871" ht="26.25" customHeight="1" x14ac:dyDescent="0.3"/>
    <row r="872" ht="26.25" customHeight="1" x14ac:dyDescent="0.3"/>
    <row r="873" ht="26.25" customHeight="1" x14ac:dyDescent="0.3"/>
    <row r="874" ht="26.25" customHeight="1" x14ac:dyDescent="0.3"/>
    <row r="875" ht="26.25" customHeight="1" x14ac:dyDescent="0.3"/>
    <row r="876" ht="26.25" customHeight="1" x14ac:dyDescent="0.3"/>
    <row r="877" ht="26.25" customHeight="1" x14ac:dyDescent="0.3"/>
    <row r="878" ht="26.25" customHeight="1" x14ac:dyDescent="0.3"/>
    <row r="879" ht="26.25" customHeight="1" x14ac:dyDescent="0.3"/>
    <row r="880" ht="26.25" customHeight="1" x14ac:dyDescent="0.3"/>
    <row r="881" ht="26.25" customHeight="1" x14ac:dyDescent="0.3"/>
    <row r="882" ht="26.25" customHeight="1" x14ac:dyDescent="0.3"/>
    <row r="883" ht="26.25" customHeight="1" x14ac:dyDescent="0.3"/>
    <row r="884" ht="26.25" customHeight="1" x14ac:dyDescent="0.3"/>
    <row r="885" ht="26.25" customHeight="1" x14ac:dyDescent="0.3"/>
    <row r="886" ht="26.25" customHeight="1" x14ac:dyDescent="0.3"/>
    <row r="887" ht="26.25" customHeight="1" x14ac:dyDescent="0.3"/>
    <row r="888" ht="26.25" customHeight="1" x14ac:dyDescent="0.3"/>
    <row r="889" ht="26.25" customHeight="1" x14ac:dyDescent="0.3"/>
    <row r="890" ht="26.25" customHeight="1" x14ac:dyDescent="0.3"/>
    <row r="891" ht="26.25" customHeight="1" x14ac:dyDescent="0.3"/>
    <row r="892" ht="26.25" customHeight="1" x14ac:dyDescent="0.3"/>
    <row r="893" ht="26.25" customHeight="1" x14ac:dyDescent="0.3"/>
    <row r="894" ht="26.25" customHeight="1" x14ac:dyDescent="0.3"/>
    <row r="895" ht="26.25" customHeight="1" x14ac:dyDescent="0.3"/>
    <row r="896" ht="26.25" customHeight="1" x14ac:dyDescent="0.3"/>
    <row r="897" ht="26.25" customHeight="1" x14ac:dyDescent="0.3"/>
    <row r="898" ht="26.25" customHeight="1" x14ac:dyDescent="0.3"/>
    <row r="899" ht="26.25" customHeight="1" x14ac:dyDescent="0.3"/>
    <row r="900" ht="26.25" customHeight="1" x14ac:dyDescent="0.3"/>
    <row r="901" ht="26.25" customHeight="1" x14ac:dyDescent="0.3"/>
    <row r="902" ht="26.25" customHeight="1" x14ac:dyDescent="0.3"/>
    <row r="903" ht="26.25" customHeight="1" x14ac:dyDescent="0.3"/>
    <row r="904" ht="26.25" customHeight="1" x14ac:dyDescent="0.3"/>
    <row r="905" ht="26.25" customHeight="1" x14ac:dyDescent="0.3"/>
    <row r="906" ht="26.25" customHeight="1" x14ac:dyDescent="0.3"/>
    <row r="907" ht="26.25" customHeight="1" x14ac:dyDescent="0.3"/>
    <row r="908" ht="26.25" customHeight="1" x14ac:dyDescent="0.3"/>
    <row r="909" ht="26.25" customHeight="1" x14ac:dyDescent="0.3"/>
    <row r="910" ht="26.25" customHeight="1" x14ac:dyDescent="0.3"/>
    <row r="911" ht="26.25" customHeight="1" x14ac:dyDescent="0.3"/>
    <row r="912" ht="26.25" customHeight="1" x14ac:dyDescent="0.3"/>
    <row r="913" ht="26.25" customHeight="1" x14ac:dyDescent="0.3"/>
    <row r="914" ht="26.25" customHeight="1" x14ac:dyDescent="0.3"/>
    <row r="915" ht="26.25" customHeight="1" x14ac:dyDescent="0.3"/>
    <row r="916" ht="26.25" customHeight="1" x14ac:dyDescent="0.3"/>
    <row r="917" ht="26.25" customHeight="1" x14ac:dyDescent="0.3"/>
    <row r="918" ht="26.25" customHeight="1" x14ac:dyDescent="0.3"/>
    <row r="919" ht="26.25" customHeight="1" x14ac:dyDescent="0.3"/>
    <row r="920" ht="26.25" customHeight="1" x14ac:dyDescent="0.3"/>
    <row r="921" ht="26.25" customHeight="1" x14ac:dyDescent="0.3"/>
    <row r="922" ht="26.25" customHeight="1" x14ac:dyDescent="0.3"/>
    <row r="923" ht="26.25" customHeight="1" x14ac:dyDescent="0.3"/>
    <row r="924" ht="26.25" customHeight="1" x14ac:dyDescent="0.3"/>
    <row r="925" ht="26.25" customHeight="1" x14ac:dyDescent="0.3"/>
    <row r="926" ht="26.25" customHeight="1" x14ac:dyDescent="0.3"/>
    <row r="927" ht="26.25" customHeight="1" x14ac:dyDescent="0.3"/>
    <row r="928" ht="26.25" customHeight="1" x14ac:dyDescent="0.3"/>
    <row r="929" ht="26.25" customHeight="1" x14ac:dyDescent="0.3"/>
    <row r="930" ht="26.25" customHeight="1" x14ac:dyDescent="0.3"/>
    <row r="931" ht="26.25" customHeight="1" x14ac:dyDescent="0.3"/>
    <row r="932" ht="26.25" customHeight="1" x14ac:dyDescent="0.3"/>
    <row r="933" ht="26.25" customHeight="1" x14ac:dyDescent="0.3"/>
    <row r="934" ht="26.25" customHeight="1" x14ac:dyDescent="0.3"/>
    <row r="935" ht="26.25" customHeight="1" x14ac:dyDescent="0.3"/>
    <row r="936" ht="26.25" customHeight="1" x14ac:dyDescent="0.3"/>
    <row r="937" ht="26.25" customHeight="1" x14ac:dyDescent="0.3"/>
    <row r="938" ht="26.25" customHeight="1" x14ac:dyDescent="0.3"/>
    <row r="939" ht="26.25" customHeight="1" x14ac:dyDescent="0.3"/>
    <row r="940" ht="26.25" customHeight="1" x14ac:dyDescent="0.3"/>
    <row r="941" ht="26.25" customHeight="1" x14ac:dyDescent="0.3"/>
    <row r="942" ht="26.25" customHeight="1" x14ac:dyDescent="0.3"/>
    <row r="943" ht="26.25" customHeight="1" x14ac:dyDescent="0.3"/>
    <row r="944" ht="26.25" customHeight="1" x14ac:dyDescent="0.3"/>
    <row r="945" ht="26.25" customHeight="1" x14ac:dyDescent="0.3"/>
    <row r="946" ht="26.25" customHeight="1" x14ac:dyDescent="0.3"/>
    <row r="947" ht="26.25" customHeight="1" x14ac:dyDescent="0.3"/>
    <row r="948" ht="26.25" customHeight="1" x14ac:dyDescent="0.3"/>
    <row r="949" ht="26.25" customHeight="1" x14ac:dyDescent="0.3"/>
    <row r="950" ht="26.25" customHeight="1" x14ac:dyDescent="0.3"/>
    <row r="951" ht="26.25" customHeight="1" x14ac:dyDescent="0.3"/>
    <row r="952" ht="26.25" customHeight="1" x14ac:dyDescent="0.3"/>
    <row r="953" ht="26.25" customHeight="1" x14ac:dyDescent="0.3"/>
    <row r="954" ht="26.25" customHeight="1" x14ac:dyDescent="0.3"/>
    <row r="955" ht="26.25" customHeight="1" x14ac:dyDescent="0.3"/>
    <row r="956" ht="26.25" customHeight="1" x14ac:dyDescent="0.3"/>
    <row r="957" ht="26.25" customHeight="1" x14ac:dyDescent="0.3"/>
    <row r="958" ht="26.25" customHeight="1" x14ac:dyDescent="0.3"/>
    <row r="959" ht="26.25" customHeight="1" x14ac:dyDescent="0.3"/>
    <row r="960" ht="26.25" customHeight="1" x14ac:dyDescent="0.3"/>
    <row r="961" ht="26.25" customHeight="1" x14ac:dyDescent="0.3"/>
    <row r="962" ht="26.25" customHeight="1" x14ac:dyDescent="0.3"/>
    <row r="963" ht="26.25" customHeight="1" x14ac:dyDescent="0.3"/>
    <row r="964" ht="26.25" customHeight="1" x14ac:dyDescent="0.3"/>
    <row r="965" ht="26.25" customHeight="1" x14ac:dyDescent="0.3"/>
    <row r="966" ht="26.25" customHeight="1" x14ac:dyDescent="0.3"/>
    <row r="967" ht="26.25" customHeight="1" x14ac:dyDescent="0.3"/>
    <row r="968" ht="26.25" customHeight="1" x14ac:dyDescent="0.3"/>
    <row r="969" ht="26.25" customHeight="1" x14ac:dyDescent="0.3"/>
    <row r="970" ht="26.25" customHeight="1" x14ac:dyDescent="0.3"/>
    <row r="971" ht="26.25" customHeight="1" x14ac:dyDescent="0.3"/>
    <row r="972" ht="26.25" customHeight="1" x14ac:dyDescent="0.3"/>
    <row r="973" ht="26.25" customHeight="1" x14ac:dyDescent="0.3"/>
    <row r="974" ht="26.25" customHeight="1" x14ac:dyDescent="0.3"/>
    <row r="975" ht="26.25" customHeight="1" x14ac:dyDescent="0.3"/>
    <row r="976" ht="26.25" customHeight="1" x14ac:dyDescent="0.3"/>
    <row r="977" ht="26.25" customHeight="1" x14ac:dyDescent="0.3"/>
    <row r="978" ht="26.25" customHeight="1" x14ac:dyDescent="0.3"/>
    <row r="979" ht="26.25" customHeight="1" x14ac:dyDescent="0.3"/>
    <row r="980" ht="26.25" customHeight="1" x14ac:dyDescent="0.3"/>
    <row r="981" ht="26.25" customHeight="1" x14ac:dyDescent="0.3"/>
    <row r="982" ht="26.25" customHeight="1" x14ac:dyDescent="0.3"/>
    <row r="983" ht="26.25" customHeight="1" x14ac:dyDescent="0.3"/>
    <row r="984" ht="26.25" customHeight="1" x14ac:dyDescent="0.3"/>
    <row r="985" ht="26.25" customHeight="1" x14ac:dyDescent="0.3"/>
    <row r="986" ht="26.25" customHeight="1" x14ac:dyDescent="0.3"/>
    <row r="987" ht="26.25" customHeight="1" x14ac:dyDescent="0.3"/>
    <row r="988" ht="26.25" customHeight="1" x14ac:dyDescent="0.3"/>
    <row r="989" ht="26.25" customHeight="1" x14ac:dyDescent="0.3"/>
    <row r="990" ht="26.25" customHeight="1" x14ac:dyDescent="0.3"/>
    <row r="991" ht="26.25" customHeight="1" x14ac:dyDescent="0.3"/>
    <row r="992" ht="26.25" customHeight="1" x14ac:dyDescent="0.3"/>
    <row r="993" ht="26.25" customHeight="1" x14ac:dyDescent="0.3"/>
    <row r="994" ht="26.25" customHeight="1" x14ac:dyDescent="0.3"/>
    <row r="995" ht="26.25" customHeight="1" x14ac:dyDescent="0.3"/>
    <row r="996" ht="26.25" customHeight="1" x14ac:dyDescent="0.3"/>
    <row r="997" ht="26.25" customHeight="1" x14ac:dyDescent="0.3"/>
    <row r="998" ht="26.25" customHeight="1" x14ac:dyDescent="0.3"/>
    <row r="999" ht="26.25" customHeight="1" x14ac:dyDescent="0.3"/>
    <row r="1000" ht="26.25" customHeight="1" x14ac:dyDescent="0.3"/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H4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I9" sqref="I9"/>
    </sheetView>
  </sheetViews>
  <sheetFormatPr defaultColWidth="14.44140625" defaultRowHeight="15" customHeight="1" x14ac:dyDescent="0.3"/>
  <cols>
    <col min="1" max="1" width="11.332031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30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38.109375" customWidth="1"/>
    <col min="16" max="16" width="26.44140625" customWidth="1"/>
    <col min="17" max="40" width="9.109375" customWidth="1"/>
  </cols>
  <sheetData>
    <row r="1" spans="1:40" ht="23.25" customHeight="1" x14ac:dyDescent="0.3">
      <c r="A1" s="57" t="s">
        <v>103</v>
      </c>
      <c r="B1" s="18"/>
      <c r="C1" s="58"/>
      <c r="D1" s="58"/>
      <c r="E1" s="58"/>
      <c r="F1" s="58"/>
      <c r="G1" s="18"/>
      <c r="H1" s="59" t="s">
        <v>40</v>
      </c>
      <c r="I1" s="60">
        <f>SUBTOTAL(9,I4:I11989)</f>
        <v>1872.26</v>
      </c>
      <c r="J1" s="61" t="s">
        <v>57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23.25" customHeight="1" x14ac:dyDescent="0.3">
      <c r="A2" s="122" t="s">
        <v>59</v>
      </c>
      <c r="B2" s="122" t="s">
        <v>104</v>
      </c>
      <c r="C2" s="122" t="s">
        <v>105</v>
      </c>
      <c r="D2" s="122" t="s">
        <v>106</v>
      </c>
      <c r="E2" s="122" t="s">
        <v>107</v>
      </c>
      <c r="F2" s="122" t="s">
        <v>108</v>
      </c>
      <c r="G2" s="126" t="s">
        <v>109</v>
      </c>
      <c r="H2" s="108"/>
      <c r="I2" s="122" t="s">
        <v>110</v>
      </c>
      <c r="J2" s="122" t="s">
        <v>111</v>
      </c>
      <c r="K2" s="124" t="s">
        <v>4</v>
      </c>
      <c r="L2" s="33"/>
      <c r="M2" s="33"/>
      <c r="N2" s="65" t="s">
        <v>112</v>
      </c>
      <c r="O2" s="65" t="s">
        <v>113</v>
      </c>
      <c r="P2" s="65" t="s">
        <v>114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23.25" customHeight="1" x14ac:dyDescent="0.3">
      <c r="A3" s="123"/>
      <c r="B3" s="123"/>
      <c r="C3" s="123"/>
      <c r="D3" s="123"/>
      <c r="E3" s="123"/>
      <c r="F3" s="123"/>
      <c r="G3" s="63" t="s">
        <v>115</v>
      </c>
      <c r="H3" s="62" t="s">
        <v>116</v>
      </c>
      <c r="I3" s="123"/>
      <c r="J3" s="123"/>
      <c r="K3" s="125"/>
      <c r="L3" s="33"/>
      <c r="M3" s="33"/>
      <c r="N3" s="66"/>
      <c r="O3" s="66"/>
      <c r="P3" s="66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23.25" customHeight="1" x14ac:dyDescent="0.6">
      <c r="A4" s="18">
        <v>1</v>
      </c>
      <c r="B4" s="67">
        <v>244053</v>
      </c>
      <c r="C4" s="58" t="s">
        <v>117</v>
      </c>
      <c r="D4" s="68" t="s">
        <v>118</v>
      </c>
      <c r="E4" s="69" t="s">
        <v>119</v>
      </c>
      <c r="F4" s="69" t="s">
        <v>120</v>
      </c>
      <c r="G4" s="69" t="s">
        <v>121</v>
      </c>
      <c r="H4" s="70" t="s">
        <v>122</v>
      </c>
      <c r="I4" s="17">
        <v>155</v>
      </c>
      <c r="J4" s="18" t="s">
        <v>45</v>
      </c>
      <c r="K4" s="18"/>
      <c r="L4" s="18"/>
      <c r="M4" s="18"/>
      <c r="N4" s="71" t="s">
        <v>45</v>
      </c>
      <c r="O4" s="71" t="s">
        <v>120</v>
      </c>
      <c r="P4" s="72" t="s">
        <v>119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spans="1:40" ht="23.25" customHeight="1" x14ac:dyDescent="0.6">
      <c r="A5" s="18">
        <v>2</v>
      </c>
      <c r="B5" s="67">
        <v>244053</v>
      </c>
      <c r="C5" s="58" t="s">
        <v>123</v>
      </c>
      <c r="D5" s="68" t="s">
        <v>124</v>
      </c>
      <c r="E5" s="69" t="s">
        <v>119</v>
      </c>
      <c r="F5" s="69" t="s">
        <v>125</v>
      </c>
      <c r="G5" s="69" t="s">
        <v>126</v>
      </c>
      <c r="H5" s="58"/>
      <c r="I5" s="70">
        <v>142</v>
      </c>
      <c r="J5" s="18" t="s">
        <v>45</v>
      </c>
      <c r="K5" s="18"/>
      <c r="L5" s="18"/>
      <c r="M5" s="18"/>
      <c r="N5" s="71" t="s">
        <v>46</v>
      </c>
      <c r="O5" s="71" t="s">
        <v>127</v>
      </c>
      <c r="P5" s="73" t="s">
        <v>128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1:40" ht="23.25" customHeight="1" x14ac:dyDescent="0.6">
      <c r="A6" s="18">
        <v>3</v>
      </c>
      <c r="B6" s="67">
        <v>244267</v>
      </c>
      <c r="C6" s="58" t="s">
        <v>129</v>
      </c>
      <c r="D6" s="68" t="s">
        <v>130</v>
      </c>
      <c r="E6" s="69" t="s">
        <v>119</v>
      </c>
      <c r="F6" s="69" t="s">
        <v>131</v>
      </c>
      <c r="G6" s="69" t="s">
        <v>121</v>
      </c>
      <c r="H6" s="58" t="s">
        <v>122</v>
      </c>
      <c r="I6" s="70">
        <v>152</v>
      </c>
      <c r="J6" s="18" t="s">
        <v>45</v>
      </c>
      <c r="K6" s="18"/>
      <c r="L6" s="18"/>
      <c r="M6" s="18"/>
      <c r="N6" s="71" t="s">
        <v>47</v>
      </c>
      <c r="O6" s="71" t="s">
        <v>132</v>
      </c>
      <c r="P6" s="72" t="s">
        <v>133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 ht="23.25" customHeight="1" x14ac:dyDescent="0.6">
      <c r="A7" s="18">
        <v>4</v>
      </c>
      <c r="B7" s="18" t="s">
        <v>134</v>
      </c>
      <c r="C7" s="58" t="s">
        <v>135</v>
      </c>
      <c r="D7" s="68" t="s">
        <v>136</v>
      </c>
      <c r="E7" s="69" t="s">
        <v>133</v>
      </c>
      <c r="F7" s="69" t="s">
        <v>131</v>
      </c>
      <c r="G7" s="69" t="s">
        <v>137</v>
      </c>
      <c r="H7" s="58" t="s">
        <v>138</v>
      </c>
      <c r="I7" s="70">
        <v>60</v>
      </c>
      <c r="J7" s="18" t="s">
        <v>45</v>
      </c>
      <c r="K7" s="18"/>
      <c r="L7" s="18"/>
      <c r="M7" s="18"/>
      <c r="N7" s="71" t="s">
        <v>139</v>
      </c>
      <c r="O7" s="71" t="s">
        <v>131</v>
      </c>
      <c r="P7" s="71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23.25" customHeight="1" x14ac:dyDescent="0.6">
      <c r="A8" s="18">
        <v>5</v>
      </c>
      <c r="B8" s="18" t="s">
        <v>140</v>
      </c>
      <c r="C8" s="69" t="s">
        <v>141</v>
      </c>
      <c r="D8" s="68" t="s">
        <v>142</v>
      </c>
      <c r="E8" s="69" t="s">
        <v>119</v>
      </c>
      <c r="F8" s="69" t="s">
        <v>120</v>
      </c>
      <c r="G8" s="69" t="s">
        <v>143</v>
      </c>
      <c r="H8" s="58" t="s">
        <v>144</v>
      </c>
      <c r="I8" s="70">
        <v>138.06</v>
      </c>
      <c r="J8" s="18" t="s">
        <v>45</v>
      </c>
      <c r="K8" s="18"/>
      <c r="L8" s="18"/>
      <c r="M8" s="18"/>
      <c r="N8" s="71"/>
      <c r="O8" s="71" t="s">
        <v>145</v>
      </c>
      <c r="P8" s="71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 ht="23.25" customHeight="1" x14ac:dyDescent="0.6">
      <c r="A9" s="18">
        <v>6</v>
      </c>
      <c r="B9" s="18" t="s">
        <v>146</v>
      </c>
      <c r="C9" s="69" t="s">
        <v>147</v>
      </c>
      <c r="D9" s="68" t="s">
        <v>148</v>
      </c>
      <c r="E9" s="69" t="s">
        <v>119</v>
      </c>
      <c r="F9" s="69" t="s">
        <v>120</v>
      </c>
      <c r="G9" s="58" t="s">
        <v>149</v>
      </c>
      <c r="H9" s="58" t="s">
        <v>150</v>
      </c>
      <c r="I9" s="70">
        <v>1225.2</v>
      </c>
      <c r="J9" s="18" t="s">
        <v>46</v>
      </c>
      <c r="K9" s="18"/>
      <c r="L9" s="18"/>
      <c r="M9" s="18"/>
      <c r="N9" s="71"/>
      <c r="O9" s="71" t="s">
        <v>125</v>
      </c>
      <c r="P9" s="71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 ht="23.25" customHeight="1" x14ac:dyDescent="0.6">
      <c r="A10" s="18"/>
      <c r="B10" s="74"/>
      <c r="C10" s="69"/>
      <c r="D10" s="68"/>
      <c r="E10" s="69"/>
      <c r="F10" s="69"/>
      <c r="G10" s="69"/>
      <c r="H10" s="58"/>
      <c r="I10" s="70"/>
      <c r="J10" s="18"/>
      <c r="K10" s="18"/>
      <c r="L10" s="18"/>
      <c r="M10" s="18"/>
      <c r="N10" s="71"/>
      <c r="O10" s="71" t="s">
        <v>151</v>
      </c>
      <c r="P10" s="71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spans="1:40" ht="23.25" customHeight="1" x14ac:dyDescent="0.6">
      <c r="A11" s="18"/>
      <c r="B11" s="74"/>
      <c r="C11" s="58"/>
      <c r="D11" s="68"/>
      <c r="E11" s="69"/>
      <c r="F11" s="69"/>
      <c r="G11" s="58"/>
      <c r="H11" s="58"/>
      <c r="I11" s="70"/>
      <c r="J11" s="18"/>
      <c r="K11" s="18"/>
      <c r="L11" s="18"/>
      <c r="M11" s="18"/>
      <c r="N11" s="71"/>
      <c r="O11" s="71" t="s">
        <v>152</v>
      </c>
      <c r="P11" s="71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23.25" customHeight="1" x14ac:dyDescent="0.3">
      <c r="A12" s="18"/>
      <c r="B12" s="74"/>
      <c r="C12" s="58"/>
      <c r="D12" s="68"/>
      <c r="E12" s="69"/>
      <c r="F12" s="69"/>
      <c r="G12" s="18"/>
      <c r="H12" s="18"/>
      <c r="I12" s="17"/>
      <c r="J12" s="18"/>
      <c r="K12" s="18"/>
      <c r="L12" s="18"/>
      <c r="M12" s="18"/>
      <c r="N12" s="71"/>
      <c r="O12" s="71" t="s">
        <v>153</v>
      </c>
      <c r="P12" s="71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23.25" customHeight="1" x14ac:dyDescent="0.3">
      <c r="A13" s="18"/>
      <c r="B13" s="74"/>
      <c r="C13" s="58"/>
      <c r="D13" s="68"/>
      <c r="E13" s="69"/>
      <c r="F13" s="69"/>
      <c r="G13" s="18"/>
      <c r="H13" s="18"/>
      <c r="I13" s="17"/>
      <c r="J13" s="18"/>
      <c r="K13" s="18"/>
      <c r="L13" s="18"/>
      <c r="M13" s="18"/>
      <c r="N13" s="71"/>
      <c r="O13" s="71" t="s">
        <v>154</v>
      </c>
      <c r="P13" s="71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1:40" ht="23.25" customHeight="1" x14ac:dyDescent="0.3">
      <c r="A14" s="18"/>
      <c r="B14" s="74"/>
      <c r="C14" s="58"/>
      <c r="D14" s="68"/>
      <c r="E14" s="69"/>
      <c r="F14" s="69"/>
      <c r="G14" s="18"/>
      <c r="H14" s="18"/>
      <c r="I14" s="17"/>
      <c r="J14" s="18"/>
      <c r="K14" s="5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spans="1:40" ht="23.25" customHeight="1" x14ac:dyDescent="0.3">
      <c r="A15" s="18"/>
      <c r="B15" s="74"/>
      <c r="C15" s="58"/>
      <c r="D15" s="68"/>
      <c r="E15" s="69"/>
      <c r="F15" s="69"/>
      <c r="G15" s="18"/>
      <c r="H15" s="18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spans="1:40" ht="23.25" customHeight="1" x14ac:dyDescent="0.3">
      <c r="A16" s="18"/>
      <c r="B16" s="74"/>
      <c r="C16" s="58"/>
      <c r="D16" s="68"/>
      <c r="E16" s="69"/>
      <c r="F16" s="69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spans="1:40" ht="23.25" customHeight="1" x14ac:dyDescent="0.3">
      <c r="A17" s="18"/>
      <c r="B17" s="74"/>
      <c r="C17" s="58"/>
      <c r="D17" s="68"/>
      <c r="E17" s="69"/>
      <c r="F17" s="69"/>
      <c r="G17" s="18"/>
      <c r="H17" s="18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spans="1:40" ht="23.25" customHeight="1" x14ac:dyDescent="0.3">
      <c r="A18" s="18"/>
      <c r="B18" s="18"/>
      <c r="C18" s="58"/>
      <c r="D18" s="58"/>
      <c r="E18" s="58"/>
      <c r="F18" s="58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23.25" customHeight="1" x14ac:dyDescent="0.3">
      <c r="A19" s="18"/>
      <c r="B19" s="18"/>
      <c r="C19" s="58"/>
      <c r="D19" s="58"/>
      <c r="E19" s="58"/>
      <c r="F19" s="58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23.25" customHeight="1" x14ac:dyDescent="0.3">
      <c r="A20" s="18"/>
      <c r="B20" s="18"/>
      <c r="C20" s="58"/>
      <c r="D20" s="58"/>
      <c r="E20" s="58"/>
      <c r="F20" s="58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spans="1:40" ht="23.25" customHeight="1" x14ac:dyDescent="0.3">
      <c r="A21" s="18"/>
      <c r="B21" s="18"/>
      <c r="C21" s="58"/>
      <c r="D21" s="58"/>
      <c r="E21" s="58"/>
      <c r="F21" s="58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ht="23.25" customHeight="1" x14ac:dyDescent="0.3">
      <c r="A22" s="18"/>
      <c r="B22" s="18"/>
      <c r="C22" s="58"/>
      <c r="D22" s="58"/>
      <c r="E22" s="58"/>
      <c r="F22" s="58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1:40" ht="23.25" customHeight="1" x14ac:dyDescent="0.3">
      <c r="A23" s="18"/>
      <c r="B23" s="18"/>
      <c r="C23" s="58"/>
      <c r="D23" s="58"/>
      <c r="E23" s="58"/>
      <c r="F23" s="58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spans="1:40" ht="23.25" customHeight="1" x14ac:dyDescent="0.3">
      <c r="A24" s="18"/>
      <c r="B24" s="18"/>
      <c r="C24" s="58"/>
      <c r="D24" s="58"/>
      <c r="E24" s="58"/>
      <c r="F24" s="58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spans="1:40" ht="23.25" customHeight="1" x14ac:dyDescent="0.3">
      <c r="A25" s="18"/>
      <c r="B25" s="18"/>
      <c r="C25" s="58"/>
      <c r="D25" s="58"/>
      <c r="E25" s="58"/>
      <c r="F25" s="58"/>
      <c r="G25" s="18"/>
      <c r="H25" s="18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spans="1:40" ht="23.25" customHeight="1" x14ac:dyDescent="0.3">
      <c r="A26" s="18"/>
      <c r="B26" s="18"/>
      <c r="C26" s="58"/>
      <c r="D26" s="58"/>
      <c r="E26" s="58"/>
      <c r="F26" s="58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spans="1:40" ht="23.25" customHeight="1" x14ac:dyDescent="0.3">
      <c r="A27" s="18"/>
      <c r="B27" s="18"/>
      <c r="C27" s="58"/>
      <c r="D27" s="58"/>
      <c r="E27" s="58"/>
      <c r="F27" s="58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spans="1:40" ht="23.25" customHeight="1" x14ac:dyDescent="0.3">
      <c r="A28" s="18"/>
      <c r="B28" s="18"/>
      <c r="C28" s="58"/>
      <c r="D28" s="58"/>
      <c r="E28" s="58"/>
      <c r="F28" s="58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spans="1:40" ht="23.25" customHeight="1" x14ac:dyDescent="0.3">
      <c r="A29" s="18"/>
      <c r="B29" s="18"/>
      <c r="C29" s="58"/>
      <c r="D29" s="58"/>
      <c r="E29" s="58"/>
      <c r="F29" s="58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spans="1:40" ht="23.25" customHeight="1" x14ac:dyDescent="0.3">
      <c r="A30" s="18"/>
      <c r="B30" s="18"/>
      <c r="C30" s="58"/>
      <c r="D30" s="58"/>
      <c r="E30" s="58"/>
      <c r="F30" s="58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 ht="23.25" customHeight="1" x14ac:dyDescent="0.3">
      <c r="A31" s="18"/>
      <c r="B31" s="18"/>
      <c r="C31" s="58"/>
      <c r="D31" s="58"/>
      <c r="E31" s="58"/>
      <c r="F31" s="58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spans="1:40" ht="23.25" customHeight="1" x14ac:dyDescent="0.3">
      <c r="A32" s="18"/>
      <c r="B32" s="18"/>
      <c r="C32" s="58"/>
      <c r="D32" s="58"/>
      <c r="E32" s="58"/>
      <c r="F32" s="58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spans="1:40" ht="23.25" customHeight="1" x14ac:dyDescent="0.3">
      <c r="A33" s="18"/>
      <c r="B33" s="18"/>
      <c r="C33" s="58"/>
      <c r="D33" s="58"/>
      <c r="E33" s="58"/>
      <c r="F33" s="58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spans="1:40" ht="23.25" customHeight="1" x14ac:dyDescent="0.3">
      <c r="A34" s="18"/>
      <c r="B34" s="18"/>
      <c r="C34" s="58"/>
      <c r="D34" s="58"/>
      <c r="E34" s="58"/>
      <c r="F34" s="58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spans="1:40" ht="23.25" customHeight="1" x14ac:dyDescent="0.3">
      <c r="A35" s="18"/>
      <c r="B35" s="18"/>
      <c r="C35" s="58"/>
      <c r="D35" s="58"/>
      <c r="E35" s="58"/>
      <c r="F35" s="58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40" ht="23.25" customHeight="1" x14ac:dyDescent="0.3">
      <c r="A36" s="18"/>
      <c r="B36" s="18"/>
      <c r="C36" s="58"/>
      <c r="D36" s="58"/>
      <c r="E36" s="58"/>
      <c r="F36" s="58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40" ht="23.25" customHeight="1" x14ac:dyDescent="0.3">
      <c r="A37" s="18"/>
      <c r="B37" s="18"/>
      <c r="C37" s="58"/>
      <c r="D37" s="58"/>
      <c r="E37" s="58"/>
      <c r="F37" s="58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40" ht="23.25" customHeight="1" x14ac:dyDescent="0.3">
      <c r="A38" s="18"/>
      <c r="B38" s="18"/>
      <c r="C38" s="58"/>
      <c r="D38" s="58"/>
      <c r="E38" s="58"/>
      <c r="F38" s="58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40" ht="23.25" customHeight="1" x14ac:dyDescent="0.3">
      <c r="A39" s="18"/>
      <c r="B39" s="18"/>
      <c r="C39" s="58"/>
      <c r="D39" s="58"/>
      <c r="E39" s="58"/>
      <c r="F39" s="58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 ht="23.25" customHeight="1" x14ac:dyDescent="0.3">
      <c r="A40" s="18"/>
      <c r="B40" s="18"/>
      <c r="C40" s="58"/>
      <c r="D40" s="58"/>
      <c r="E40" s="58"/>
      <c r="F40" s="58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40" ht="23.25" customHeight="1" x14ac:dyDescent="0.3">
      <c r="A41" s="18"/>
      <c r="B41" s="18"/>
      <c r="C41" s="58"/>
      <c r="D41" s="58"/>
      <c r="E41" s="58"/>
      <c r="F41" s="58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40" ht="23.25" customHeight="1" x14ac:dyDescent="0.3">
      <c r="A42" s="18"/>
      <c r="B42" s="18"/>
      <c r="C42" s="58"/>
      <c r="D42" s="58"/>
      <c r="E42" s="58"/>
      <c r="F42" s="58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40" ht="23.25" customHeight="1" x14ac:dyDescent="0.3">
      <c r="A43" s="18"/>
      <c r="B43" s="18"/>
      <c r="C43" s="58"/>
      <c r="D43" s="58"/>
      <c r="E43" s="58"/>
      <c r="F43" s="58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 ht="23.25" customHeight="1" x14ac:dyDescent="0.3">
      <c r="A44" s="18"/>
      <c r="B44" s="18"/>
      <c r="C44" s="58"/>
      <c r="D44" s="58"/>
      <c r="E44" s="58"/>
      <c r="F44" s="58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ht="23.25" customHeight="1" x14ac:dyDescent="0.3">
      <c r="A45" s="18"/>
      <c r="B45" s="18"/>
      <c r="C45" s="58"/>
      <c r="D45" s="58"/>
      <c r="E45" s="58"/>
      <c r="F45" s="58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23.25" customHeight="1" x14ac:dyDescent="0.3">
      <c r="A46" s="18"/>
      <c r="B46" s="18"/>
      <c r="C46" s="58"/>
      <c r="D46" s="58"/>
      <c r="E46" s="58"/>
      <c r="F46" s="58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23.25" customHeight="1" x14ac:dyDescent="0.3">
      <c r="A47" s="18"/>
      <c r="B47" s="18"/>
      <c r="C47" s="58"/>
      <c r="D47" s="58"/>
      <c r="E47" s="58"/>
      <c r="F47" s="58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 ht="23.25" customHeight="1" x14ac:dyDescent="0.3">
      <c r="A48" s="18"/>
      <c r="B48" s="18"/>
      <c r="C48" s="58"/>
      <c r="D48" s="58"/>
      <c r="E48" s="58"/>
      <c r="F48" s="58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40" ht="23.25" customHeight="1" x14ac:dyDescent="0.3">
      <c r="A49" s="18"/>
      <c r="B49" s="18"/>
      <c r="C49" s="58"/>
      <c r="D49" s="58"/>
      <c r="E49" s="58"/>
      <c r="F49" s="58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1:40" ht="23.25" customHeight="1" x14ac:dyDescent="0.3">
      <c r="A50" s="18"/>
      <c r="B50" s="18"/>
      <c r="C50" s="58"/>
      <c r="D50" s="58"/>
      <c r="E50" s="58"/>
      <c r="F50" s="58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0" ht="23.25" customHeight="1" x14ac:dyDescent="0.3">
      <c r="A51" s="18"/>
      <c r="B51" s="18"/>
      <c r="C51" s="58"/>
      <c r="D51" s="58"/>
      <c r="E51" s="58"/>
      <c r="F51" s="58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0" ht="23.25" customHeight="1" x14ac:dyDescent="0.3">
      <c r="A52" s="18"/>
      <c r="B52" s="18"/>
      <c r="C52" s="58"/>
      <c r="D52" s="58"/>
      <c r="E52" s="58"/>
      <c r="F52" s="58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0" ht="23.25" customHeight="1" x14ac:dyDescent="0.3">
      <c r="A53" s="18"/>
      <c r="B53" s="18"/>
      <c r="C53" s="58"/>
      <c r="D53" s="58"/>
      <c r="E53" s="58"/>
      <c r="F53" s="58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0" ht="23.25" customHeight="1" x14ac:dyDescent="0.3">
      <c r="A54" s="18"/>
      <c r="B54" s="18"/>
      <c r="C54" s="58"/>
      <c r="D54" s="58"/>
      <c r="E54" s="58"/>
      <c r="F54" s="58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1:40" ht="23.25" customHeight="1" x14ac:dyDescent="0.3">
      <c r="A55" s="18"/>
      <c r="B55" s="18"/>
      <c r="C55" s="58"/>
      <c r="D55" s="58"/>
      <c r="E55" s="58"/>
      <c r="F55" s="58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1:40" ht="23.25" customHeight="1" x14ac:dyDescent="0.3">
      <c r="A56" s="18"/>
      <c r="B56" s="18"/>
      <c r="C56" s="58"/>
      <c r="D56" s="58"/>
      <c r="E56" s="58"/>
      <c r="F56" s="58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1:40" ht="23.25" customHeight="1" x14ac:dyDescent="0.3">
      <c r="A57" s="18"/>
      <c r="B57" s="18"/>
      <c r="C57" s="58"/>
      <c r="D57" s="58"/>
      <c r="E57" s="58"/>
      <c r="F57" s="58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1:40" ht="23.25" customHeight="1" x14ac:dyDescent="0.3">
      <c r="A58" s="18"/>
      <c r="B58" s="18"/>
      <c r="C58" s="58"/>
      <c r="D58" s="58"/>
      <c r="E58" s="58"/>
      <c r="F58" s="58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spans="1:40" ht="23.25" customHeight="1" x14ac:dyDescent="0.3">
      <c r="A59" s="18"/>
      <c r="B59" s="18"/>
      <c r="C59" s="58"/>
      <c r="D59" s="58"/>
      <c r="E59" s="58"/>
      <c r="F59" s="58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spans="1:40" ht="23.25" customHeight="1" x14ac:dyDescent="0.3">
      <c r="A60" s="18"/>
      <c r="B60" s="18"/>
      <c r="C60" s="58"/>
      <c r="D60" s="58"/>
      <c r="E60" s="58"/>
      <c r="F60" s="58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spans="1:40" ht="23.25" customHeight="1" x14ac:dyDescent="0.3">
      <c r="A61" s="18"/>
      <c r="B61" s="18"/>
      <c r="C61" s="58"/>
      <c r="D61" s="58"/>
      <c r="E61" s="58"/>
      <c r="F61" s="58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spans="1:40" ht="23.25" customHeight="1" x14ac:dyDescent="0.3">
      <c r="A62" s="18"/>
      <c r="B62" s="18"/>
      <c r="C62" s="58"/>
      <c r="D62" s="58"/>
      <c r="E62" s="58"/>
      <c r="F62" s="58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0" ht="23.25" customHeight="1" x14ac:dyDescent="0.3">
      <c r="A63" s="18"/>
      <c r="B63" s="18"/>
      <c r="C63" s="58"/>
      <c r="D63" s="58"/>
      <c r="E63" s="58"/>
      <c r="F63" s="58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0" ht="23.25" customHeight="1" x14ac:dyDescent="0.3">
      <c r="A64" s="18"/>
      <c r="B64" s="18"/>
      <c r="C64" s="58"/>
      <c r="D64" s="58"/>
      <c r="E64" s="58"/>
      <c r="F64" s="58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0" ht="23.25" customHeight="1" x14ac:dyDescent="0.3">
      <c r="A65" s="18"/>
      <c r="B65" s="18"/>
      <c r="C65" s="58"/>
      <c r="D65" s="58"/>
      <c r="E65" s="58"/>
      <c r="F65" s="58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0" ht="23.25" customHeight="1" x14ac:dyDescent="0.3">
      <c r="A66" s="18"/>
      <c r="B66" s="18"/>
      <c r="C66" s="58"/>
      <c r="D66" s="58"/>
      <c r="E66" s="58"/>
      <c r="F66" s="58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 ht="23.25" customHeight="1" x14ac:dyDescent="0.3">
      <c r="A67" s="18"/>
      <c r="B67" s="18"/>
      <c r="C67" s="58"/>
      <c r="D67" s="58"/>
      <c r="E67" s="58"/>
      <c r="F67" s="58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0" ht="23.25" customHeight="1" x14ac:dyDescent="0.3">
      <c r="A68" s="18"/>
      <c r="B68" s="18"/>
      <c r="C68" s="58"/>
      <c r="D68" s="58"/>
      <c r="E68" s="58"/>
      <c r="F68" s="58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1:40" ht="23.25" customHeight="1" x14ac:dyDescent="0.3">
      <c r="A69" s="18"/>
      <c r="B69" s="18"/>
      <c r="C69" s="58"/>
      <c r="D69" s="58"/>
      <c r="E69" s="58"/>
      <c r="F69" s="58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1:40" ht="23.25" customHeight="1" x14ac:dyDescent="0.3">
      <c r="A70" s="18"/>
      <c r="B70" s="18"/>
      <c r="C70" s="58"/>
      <c r="D70" s="58"/>
      <c r="E70" s="58"/>
      <c r="F70" s="58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1:40" ht="23.25" customHeight="1" x14ac:dyDescent="0.3">
      <c r="A71" s="18"/>
      <c r="B71" s="18"/>
      <c r="C71" s="58"/>
      <c r="D71" s="58"/>
      <c r="E71" s="58"/>
      <c r="F71" s="58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1:40" ht="23.25" customHeight="1" x14ac:dyDescent="0.3">
      <c r="A72" s="18"/>
      <c r="B72" s="18"/>
      <c r="C72" s="58"/>
      <c r="D72" s="58"/>
      <c r="E72" s="58"/>
      <c r="F72" s="58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1:40" ht="23.25" customHeight="1" x14ac:dyDescent="0.3">
      <c r="A73" s="18"/>
      <c r="B73" s="18"/>
      <c r="C73" s="58"/>
      <c r="D73" s="58"/>
      <c r="E73" s="58"/>
      <c r="F73" s="58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1:40" ht="23.25" customHeight="1" x14ac:dyDescent="0.3">
      <c r="A74" s="18"/>
      <c r="B74" s="18"/>
      <c r="C74" s="58"/>
      <c r="D74" s="58"/>
      <c r="E74" s="58"/>
      <c r="F74" s="58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1:40" ht="23.25" customHeight="1" x14ac:dyDescent="0.3">
      <c r="A75" s="18"/>
      <c r="B75" s="18"/>
      <c r="C75" s="58"/>
      <c r="D75" s="58"/>
      <c r="E75" s="58"/>
      <c r="F75" s="58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1:40" ht="23.25" customHeight="1" x14ac:dyDescent="0.3">
      <c r="A76" s="18"/>
      <c r="B76" s="18"/>
      <c r="C76" s="58"/>
      <c r="D76" s="58"/>
      <c r="E76" s="58"/>
      <c r="F76" s="58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spans="1:40" ht="23.25" customHeight="1" x14ac:dyDescent="0.3">
      <c r="A77" s="18"/>
      <c r="B77" s="18"/>
      <c r="C77" s="58"/>
      <c r="D77" s="58"/>
      <c r="E77" s="58"/>
      <c r="F77" s="58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spans="1:40" ht="23.25" customHeight="1" x14ac:dyDescent="0.3">
      <c r="A78" s="18"/>
      <c r="B78" s="18"/>
      <c r="C78" s="58"/>
      <c r="D78" s="58"/>
      <c r="E78" s="58"/>
      <c r="F78" s="58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40" ht="23.25" customHeight="1" x14ac:dyDescent="0.3">
      <c r="A79" s="18"/>
      <c r="B79" s="18"/>
      <c r="C79" s="58"/>
      <c r="D79" s="58"/>
      <c r="E79" s="58"/>
      <c r="F79" s="58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spans="1:40" ht="23.25" customHeight="1" x14ac:dyDescent="0.3">
      <c r="A80" s="18"/>
      <c r="B80" s="18"/>
      <c r="C80" s="58"/>
      <c r="D80" s="58"/>
      <c r="E80" s="58"/>
      <c r="F80" s="58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spans="1:40" ht="23.25" customHeight="1" x14ac:dyDescent="0.3">
      <c r="A81" s="18"/>
      <c r="B81" s="18"/>
      <c r="C81" s="58"/>
      <c r="D81" s="58"/>
      <c r="E81" s="58"/>
      <c r="F81" s="58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spans="1:40" ht="23.25" customHeight="1" x14ac:dyDescent="0.3">
      <c r="A82" s="18"/>
      <c r="B82" s="18"/>
      <c r="C82" s="58"/>
      <c r="D82" s="58"/>
      <c r="E82" s="58"/>
      <c r="F82" s="58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spans="1:40" ht="23.25" customHeight="1" x14ac:dyDescent="0.3">
      <c r="A83" s="18"/>
      <c r="B83" s="18"/>
      <c r="C83" s="58"/>
      <c r="D83" s="58"/>
      <c r="E83" s="58"/>
      <c r="F83" s="58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spans="1:40" ht="23.25" customHeight="1" x14ac:dyDescent="0.3">
      <c r="A84" s="18"/>
      <c r="B84" s="18"/>
      <c r="C84" s="58"/>
      <c r="D84" s="58"/>
      <c r="E84" s="58"/>
      <c r="F84" s="58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spans="1:40" ht="23.25" customHeight="1" x14ac:dyDescent="0.3">
      <c r="A85" s="18"/>
      <c r="B85" s="18"/>
      <c r="C85" s="58"/>
      <c r="D85" s="58"/>
      <c r="E85" s="58"/>
      <c r="F85" s="58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spans="1:40" ht="23.25" customHeight="1" x14ac:dyDescent="0.3">
      <c r="A86" s="18"/>
      <c r="B86" s="18"/>
      <c r="C86" s="58"/>
      <c r="D86" s="58"/>
      <c r="E86" s="58"/>
      <c r="F86" s="58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spans="1:40" ht="23.25" customHeight="1" x14ac:dyDescent="0.3">
      <c r="A87" s="18"/>
      <c r="B87" s="18"/>
      <c r="C87" s="58"/>
      <c r="D87" s="58"/>
      <c r="E87" s="58"/>
      <c r="F87" s="58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spans="1:40" ht="23.25" customHeight="1" x14ac:dyDescent="0.3">
      <c r="A88" s="18"/>
      <c r="B88" s="18"/>
      <c r="C88" s="58"/>
      <c r="D88" s="58"/>
      <c r="E88" s="58"/>
      <c r="F88" s="58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spans="1:40" ht="23.25" customHeight="1" x14ac:dyDescent="0.3">
      <c r="A89" s="18"/>
      <c r="B89" s="18"/>
      <c r="C89" s="58"/>
      <c r="D89" s="58"/>
      <c r="E89" s="58"/>
      <c r="F89" s="58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3.25" customHeight="1" x14ac:dyDescent="0.3">
      <c r="A90" s="18"/>
      <c r="B90" s="18"/>
      <c r="C90" s="58"/>
      <c r="D90" s="58"/>
      <c r="E90" s="58"/>
      <c r="F90" s="58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spans="1:40" ht="23.25" customHeight="1" x14ac:dyDescent="0.3">
      <c r="A91" s="18"/>
      <c r="B91" s="18"/>
      <c r="C91" s="58"/>
      <c r="D91" s="58"/>
      <c r="E91" s="58"/>
      <c r="F91" s="58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spans="1:40" ht="23.25" customHeight="1" x14ac:dyDescent="0.3">
      <c r="A92" s="18"/>
      <c r="B92" s="18"/>
      <c r="C92" s="58"/>
      <c r="D92" s="58"/>
      <c r="E92" s="58"/>
      <c r="F92" s="58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spans="1:40" ht="23.25" customHeight="1" x14ac:dyDescent="0.3">
      <c r="A93" s="18"/>
      <c r="B93" s="18"/>
      <c r="C93" s="58"/>
      <c r="D93" s="58"/>
      <c r="E93" s="58"/>
      <c r="F93" s="58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spans="1:40" ht="23.25" customHeight="1" x14ac:dyDescent="0.3">
      <c r="A94" s="18"/>
      <c r="B94" s="18"/>
      <c r="C94" s="58"/>
      <c r="D94" s="58"/>
      <c r="E94" s="58"/>
      <c r="F94" s="58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spans="1:40" ht="23.25" customHeight="1" x14ac:dyDescent="0.3">
      <c r="A95" s="18"/>
      <c r="B95" s="18"/>
      <c r="C95" s="58"/>
      <c r="D95" s="58"/>
      <c r="E95" s="58"/>
      <c r="F95" s="58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spans="1:40" ht="23.25" customHeight="1" x14ac:dyDescent="0.3">
      <c r="A96" s="18"/>
      <c r="B96" s="18"/>
      <c r="C96" s="58"/>
      <c r="D96" s="58"/>
      <c r="E96" s="58"/>
      <c r="F96" s="58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spans="1:40" ht="23.25" customHeight="1" x14ac:dyDescent="0.3">
      <c r="A97" s="18"/>
      <c r="B97" s="18"/>
      <c r="C97" s="58"/>
      <c r="D97" s="58"/>
      <c r="E97" s="58"/>
      <c r="F97" s="58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spans="1:40" ht="23.25" customHeight="1" x14ac:dyDescent="0.3">
      <c r="A98" s="18"/>
      <c r="B98" s="18"/>
      <c r="C98" s="58"/>
      <c r="D98" s="58"/>
      <c r="E98" s="58"/>
      <c r="F98" s="58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spans="1:40" ht="23.25" customHeight="1" x14ac:dyDescent="0.3">
      <c r="A99" s="18"/>
      <c r="B99" s="18"/>
      <c r="C99" s="58"/>
      <c r="D99" s="58"/>
      <c r="E99" s="58"/>
      <c r="F99" s="58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spans="1:40" ht="23.25" customHeight="1" x14ac:dyDescent="0.3">
      <c r="A100" s="18"/>
      <c r="B100" s="18"/>
      <c r="C100" s="58"/>
      <c r="D100" s="58"/>
      <c r="E100" s="58"/>
      <c r="F100" s="58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spans="1:40" ht="23.25" customHeight="1" x14ac:dyDescent="0.3">
      <c r="A101" s="18"/>
      <c r="B101" s="18"/>
      <c r="C101" s="58"/>
      <c r="D101" s="58"/>
      <c r="E101" s="58"/>
      <c r="F101" s="58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spans="1:40" ht="23.25" customHeight="1" x14ac:dyDescent="0.3">
      <c r="A102" s="18"/>
      <c r="B102" s="18"/>
      <c r="C102" s="58"/>
      <c r="D102" s="58"/>
      <c r="E102" s="58"/>
      <c r="F102" s="58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spans="1:40" ht="23.25" customHeight="1" x14ac:dyDescent="0.3">
      <c r="A103" s="18"/>
      <c r="B103" s="18"/>
      <c r="C103" s="58"/>
      <c r="D103" s="58"/>
      <c r="E103" s="58"/>
      <c r="F103" s="58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spans="1:40" ht="23.25" customHeight="1" x14ac:dyDescent="0.3">
      <c r="A104" s="18"/>
      <c r="B104" s="18"/>
      <c r="C104" s="58"/>
      <c r="D104" s="58"/>
      <c r="E104" s="58"/>
      <c r="F104" s="58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spans="1:40" ht="23.25" customHeight="1" x14ac:dyDescent="0.3">
      <c r="A105" s="18"/>
      <c r="B105" s="18"/>
      <c r="C105" s="58"/>
      <c r="D105" s="58"/>
      <c r="E105" s="58"/>
      <c r="F105" s="58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spans="1:40" ht="23.25" customHeight="1" x14ac:dyDescent="0.3">
      <c r="A106" s="18"/>
      <c r="B106" s="18"/>
      <c r="C106" s="58"/>
      <c r="D106" s="58"/>
      <c r="E106" s="58"/>
      <c r="F106" s="58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spans="1:40" ht="23.25" customHeight="1" x14ac:dyDescent="0.3">
      <c r="A107" s="18"/>
      <c r="B107" s="18"/>
      <c r="C107" s="58"/>
      <c r="D107" s="58"/>
      <c r="E107" s="58"/>
      <c r="F107" s="58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spans="1:40" ht="23.25" customHeight="1" x14ac:dyDescent="0.3">
      <c r="A108" s="18"/>
      <c r="B108" s="18"/>
      <c r="C108" s="58"/>
      <c r="D108" s="58"/>
      <c r="E108" s="58"/>
      <c r="F108" s="58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spans="1:40" ht="23.25" customHeight="1" x14ac:dyDescent="0.3">
      <c r="A109" s="18"/>
      <c r="B109" s="18"/>
      <c r="C109" s="58"/>
      <c r="D109" s="58"/>
      <c r="E109" s="58"/>
      <c r="F109" s="58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spans="1:40" ht="23.25" customHeight="1" x14ac:dyDescent="0.3">
      <c r="A110" s="18"/>
      <c r="B110" s="18"/>
      <c r="C110" s="58"/>
      <c r="D110" s="58"/>
      <c r="E110" s="58"/>
      <c r="F110" s="58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spans="1:40" ht="23.25" customHeight="1" x14ac:dyDescent="0.3">
      <c r="A111" s="18"/>
      <c r="B111" s="18"/>
      <c r="C111" s="58"/>
      <c r="D111" s="58"/>
      <c r="E111" s="58"/>
      <c r="F111" s="58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0" ht="23.25" customHeight="1" x14ac:dyDescent="0.3">
      <c r="A112" s="18"/>
      <c r="B112" s="18"/>
      <c r="C112" s="58"/>
      <c r="D112" s="58"/>
      <c r="E112" s="58"/>
      <c r="F112" s="58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spans="1:40" ht="23.25" customHeight="1" x14ac:dyDescent="0.3">
      <c r="A113" s="18"/>
      <c r="B113" s="18"/>
      <c r="C113" s="58"/>
      <c r="D113" s="58"/>
      <c r="E113" s="58"/>
      <c r="F113" s="58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spans="1:40" ht="23.25" customHeight="1" x14ac:dyDescent="0.3">
      <c r="A114" s="18"/>
      <c r="B114" s="18"/>
      <c r="C114" s="58"/>
      <c r="D114" s="58"/>
      <c r="E114" s="58"/>
      <c r="F114" s="58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spans="1:40" ht="23.25" customHeight="1" x14ac:dyDescent="0.3">
      <c r="A115" s="18"/>
      <c r="B115" s="18"/>
      <c r="C115" s="58"/>
      <c r="D115" s="58"/>
      <c r="E115" s="58"/>
      <c r="F115" s="58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spans="1:40" ht="23.25" customHeight="1" x14ac:dyDescent="0.3">
      <c r="A116" s="18"/>
      <c r="B116" s="18"/>
      <c r="C116" s="58"/>
      <c r="D116" s="58"/>
      <c r="E116" s="58"/>
      <c r="F116" s="58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spans="1:40" ht="23.25" customHeight="1" x14ac:dyDescent="0.3">
      <c r="A117" s="18"/>
      <c r="B117" s="18"/>
      <c r="C117" s="58"/>
      <c r="D117" s="58"/>
      <c r="E117" s="58"/>
      <c r="F117" s="58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spans="1:40" ht="23.25" customHeight="1" x14ac:dyDescent="0.3">
      <c r="A118" s="18"/>
      <c r="B118" s="18"/>
      <c r="C118" s="58"/>
      <c r="D118" s="58"/>
      <c r="E118" s="58"/>
      <c r="F118" s="58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spans="1:40" ht="23.25" customHeight="1" x14ac:dyDescent="0.3">
      <c r="A119" s="18"/>
      <c r="B119" s="18"/>
      <c r="C119" s="58"/>
      <c r="D119" s="58"/>
      <c r="E119" s="58"/>
      <c r="F119" s="58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spans="1:40" ht="23.25" customHeight="1" x14ac:dyDescent="0.3">
      <c r="A120" s="18"/>
      <c r="B120" s="18"/>
      <c r="C120" s="58"/>
      <c r="D120" s="58"/>
      <c r="E120" s="58"/>
      <c r="F120" s="58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spans="1:40" ht="23.25" customHeight="1" x14ac:dyDescent="0.3">
      <c r="A121" s="18"/>
      <c r="B121" s="18"/>
      <c r="C121" s="58"/>
      <c r="D121" s="58"/>
      <c r="E121" s="58"/>
      <c r="F121" s="58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spans="1:40" ht="23.25" customHeight="1" x14ac:dyDescent="0.3">
      <c r="A122" s="18"/>
      <c r="B122" s="18"/>
      <c r="C122" s="58"/>
      <c r="D122" s="58"/>
      <c r="E122" s="58"/>
      <c r="F122" s="58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spans="1:40" ht="23.25" customHeight="1" x14ac:dyDescent="0.3">
      <c r="A123" s="18"/>
      <c r="B123" s="18"/>
      <c r="C123" s="58"/>
      <c r="D123" s="58"/>
      <c r="E123" s="58"/>
      <c r="F123" s="58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spans="1:40" ht="23.25" customHeight="1" x14ac:dyDescent="0.3">
      <c r="A124" s="18"/>
      <c r="B124" s="18"/>
      <c r="C124" s="58"/>
      <c r="D124" s="58"/>
      <c r="E124" s="58"/>
      <c r="F124" s="58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spans="1:40" ht="23.25" customHeight="1" x14ac:dyDescent="0.3">
      <c r="A125" s="18"/>
      <c r="B125" s="18"/>
      <c r="C125" s="58"/>
      <c r="D125" s="58"/>
      <c r="E125" s="58"/>
      <c r="F125" s="58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spans="1:40" ht="23.25" customHeight="1" x14ac:dyDescent="0.3">
      <c r="A126" s="18"/>
      <c r="B126" s="18"/>
      <c r="C126" s="58"/>
      <c r="D126" s="58"/>
      <c r="E126" s="58"/>
      <c r="F126" s="58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spans="1:40" ht="23.25" customHeight="1" x14ac:dyDescent="0.3">
      <c r="A127" s="18"/>
      <c r="B127" s="18"/>
      <c r="C127" s="58"/>
      <c r="D127" s="58"/>
      <c r="E127" s="58"/>
      <c r="F127" s="58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spans="1:40" ht="23.25" customHeight="1" x14ac:dyDescent="0.3">
      <c r="A128" s="18"/>
      <c r="B128" s="18"/>
      <c r="C128" s="58"/>
      <c r="D128" s="58"/>
      <c r="E128" s="58"/>
      <c r="F128" s="58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spans="1:40" ht="23.25" customHeight="1" x14ac:dyDescent="0.3">
      <c r="A129" s="18"/>
      <c r="B129" s="18"/>
      <c r="C129" s="58"/>
      <c r="D129" s="58"/>
      <c r="E129" s="58"/>
      <c r="F129" s="58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spans="1:40" ht="23.25" customHeight="1" x14ac:dyDescent="0.3">
      <c r="A130" s="18"/>
      <c r="B130" s="18"/>
      <c r="C130" s="58"/>
      <c r="D130" s="58"/>
      <c r="E130" s="58"/>
      <c r="F130" s="58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spans="1:40" ht="23.25" customHeight="1" x14ac:dyDescent="0.3">
      <c r="A131" s="18"/>
      <c r="B131" s="18"/>
      <c r="C131" s="58"/>
      <c r="D131" s="58"/>
      <c r="E131" s="58"/>
      <c r="F131" s="58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spans="1:40" ht="23.25" customHeight="1" x14ac:dyDescent="0.3">
      <c r="A132" s="18"/>
      <c r="B132" s="18"/>
      <c r="C132" s="58"/>
      <c r="D132" s="58"/>
      <c r="E132" s="58"/>
      <c r="F132" s="58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spans="1:40" ht="23.25" customHeight="1" x14ac:dyDescent="0.3">
      <c r="A133" s="18"/>
      <c r="B133" s="18"/>
      <c r="C133" s="58"/>
      <c r="D133" s="58"/>
      <c r="E133" s="58"/>
      <c r="F133" s="58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spans="1:40" ht="23.25" customHeight="1" x14ac:dyDescent="0.3">
      <c r="A134" s="18"/>
      <c r="B134" s="18"/>
      <c r="C134" s="58"/>
      <c r="D134" s="58"/>
      <c r="E134" s="58"/>
      <c r="F134" s="58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spans="1:40" ht="23.25" customHeight="1" x14ac:dyDescent="0.3">
      <c r="A135" s="18"/>
      <c r="B135" s="18"/>
      <c r="C135" s="58"/>
      <c r="D135" s="58"/>
      <c r="E135" s="58"/>
      <c r="F135" s="58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spans="1:40" ht="23.25" customHeight="1" x14ac:dyDescent="0.3">
      <c r="A136" s="18"/>
      <c r="B136" s="18"/>
      <c r="C136" s="58"/>
      <c r="D136" s="58"/>
      <c r="E136" s="58"/>
      <c r="F136" s="58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spans="1:40" ht="23.25" customHeight="1" x14ac:dyDescent="0.3">
      <c r="A137" s="18"/>
      <c r="B137" s="18"/>
      <c r="C137" s="58"/>
      <c r="D137" s="58"/>
      <c r="E137" s="58"/>
      <c r="F137" s="58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40" ht="23.25" customHeight="1" x14ac:dyDescent="0.3">
      <c r="A138" s="18"/>
      <c r="B138" s="18"/>
      <c r="C138" s="58"/>
      <c r="D138" s="58"/>
      <c r="E138" s="58"/>
      <c r="F138" s="58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spans="1:40" ht="23.25" customHeight="1" x14ac:dyDescent="0.3">
      <c r="A139" s="18"/>
      <c r="B139" s="18"/>
      <c r="C139" s="58"/>
      <c r="D139" s="58"/>
      <c r="E139" s="58"/>
      <c r="F139" s="58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spans="1:40" ht="23.25" customHeight="1" x14ac:dyDescent="0.3">
      <c r="A140" s="18"/>
      <c r="B140" s="18"/>
      <c r="C140" s="58"/>
      <c r="D140" s="58"/>
      <c r="E140" s="58"/>
      <c r="F140" s="58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spans="1:40" ht="23.25" customHeight="1" x14ac:dyDescent="0.3">
      <c r="A141" s="18"/>
      <c r="B141" s="18"/>
      <c r="C141" s="58"/>
      <c r="D141" s="58"/>
      <c r="E141" s="58"/>
      <c r="F141" s="58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spans="1:40" ht="23.25" customHeight="1" x14ac:dyDescent="0.3">
      <c r="A142" s="18"/>
      <c r="B142" s="18"/>
      <c r="C142" s="58"/>
      <c r="D142" s="58"/>
      <c r="E142" s="58"/>
      <c r="F142" s="58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spans="1:40" ht="23.25" customHeight="1" x14ac:dyDescent="0.3">
      <c r="A143" s="18"/>
      <c r="B143" s="18"/>
      <c r="C143" s="58"/>
      <c r="D143" s="58"/>
      <c r="E143" s="58"/>
      <c r="F143" s="58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spans="1:40" ht="23.25" customHeight="1" x14ac:dyDescent="0.3">
      <c r="A144" s="18"/>
      <c r="B144" s="18"/>
      <c r="C144" s="58"/>
      <c r="D144" s="58"/>
      <c r="E144" s="58"/>
      <c r="F144" s="58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spans="1:40" ht="23.25" customHeight="1" x14ac:dyDescent="0.3">
      <c r="A145" s="18"/>
      <c r="B145" s="18"/>
      <c r="C145" s="58"/>
      <c r="D145" s="58"/>
      <c r="E145" s="58"/>
      <c r="F145" s="58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spans="1:40" ht="23.25" customHeight="1" x14ac:dyDescent="0.3">
      <c r="A146" s="18"/>
      <c r="B146" s="18"/>
      <c r="C146" s="58"/>
      <c r="D146" s="58"/>
      <c r="E146" s="58"/>
      <c r="F146" s="58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spans="1:40" ht="23.25" customHeight="1" x14ac:dyDescent="0.3">
      <c r="A147" s="18"/>
      <c r="B147" s="18"/>
      <c r="C147" s="58"/>
      <c r="D147" s="58"/>
      <c r="E147" s="58"/>
      <c r="F147" s="58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spans="1:40" ht="23.25" customHeight="1" x14ac:dyDescent="0.3">
      <c r="A148" s="18"/>
      <c r="B148" s="18"/>
      <c r="C148" s="58"/>
      <c r="D148" s="58"/>
      <c r="E148" s="58"/>
      <c r="F148" s="58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spans="1:40" ht="23.25" customHeight="1" x14ac:dyDescent="0.3">
      <c r="A149" s="18"/>
      <c r="B149" s="18"/>
      <c r="C149" s="58"/>
      <c r="D149" s="58"/>
      <c r="E149" s="58"/>
      <c r="F149" s="58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spans="1:40" ht="23.25" customHeight="1" x14ac:dyDescent="0.3">
      <c r="A150" s="18"/>
      <c r="B150" s="18"/>
      <c r="C150" s="58"/>
      <c r="D150" s="58"/>
      <c r="E150" s="58"/>
      <c r="F150" s="58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spans="1:40" ht="23.25" customHeight="1" x14ac:dyDescent="0.3">
      <c r="A151" s="18"/>
      <c r="B151" s="18"/>
      <c r="C151" s="58"/>
      <c r="D151" s="58"/>
      <c r="E151" s="58"/>
      <c r="F151" s="58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spans="1:40" ht="23.25" customHeight="1" x14ac:dyDescent="0.3">
      <c r="A152" s="18"/>
      <c r="B152" s="18"/>
      <c r="C152" s="58"/>
      <c r="D152" s="58"/>
      <c r="E152" s="58"/>
      <c r="F152" s="58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spans="1:40" ht="23.25" customHeight="1" x14ac:dyDescent="0.3">
      <c r="A153" s="18"/>
      <c r="B153" s="18"/>
      <c r="C153" s="58"/>
      <c r="D153" s="58"/>
      <c r="E153" s="58"/>
      <c r="F153" s="58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spans="1:40" ht="23.25" customHeight="1" x14ac:dyDescent="0.3">
      <c r="A154" s="18"/>
      <c r="B154" s="18"/>
      <c r="C154" s="58"/>
      <c r="D154" s="58"/>
      <c r="E154" s="58"/>
      <c r="F154" s="58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spans="1:40" ht="23.25" customHeight="1" x14ac:dyDescent="0.3">
      <c r="A155" s="18"/>
      <c r="B155" s="18"/>
      <c r="C155" s="58"/>
      <c r="D155" s="58"/>
      <c r="E155" s="58"/>
      <c r="F155" s="58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spans="1:40" ht="23.25" customHeight="1" x14ac:dyDescent="0.3">
      <c r="A156" s="18"/>
      <c r="B156" s="18"/>
      <c r="C156" s="58"/>
      <c r="D156" s="58"/>
      <c r="E156" s="58"/>
      <c r="F156" s="58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spans="1:40" ht="23.25" customHeight="1" x14ac:dyDescent="0.3">
      <c r="A157" s="18"/>
      <c r="B157" s="18"/>
      <c r="C157" s="58"/>
      <c r="D157" s="58"/>
      <c r="E157" s="58"/>
      <c r="F157" s="58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spans="1:40" ht="23.25" customHeight="1" x14ac:dyDescent="0.3">
      <c r="A158" s="18"/>
      <c r="B158" s="18"/>
      <c r="C158" s="58"/>
      <c r="D158" s="58"/>
      <c r="E158" s="58"/>
      <c r="F158" s="58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spans="1:40" ht="23.25" customHeight="1" x14ac:dyDescent="0.3">
      <c r="A159" s="18"/>
      <c r="B159" s="18"/>
      <c r="C159" s="58"/>
      <c r="D159" s="58"/>
      <c r="E159" s="58"/>
      <c r="F159" s="58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spans="1:40" ht="23.25" customHeight="1" x14ac:dyDescent="0.3">
      <c r="A160" s="18"/>
      <c r="B160" s="18"/>
      <c r="C160" s="58"/>
      <c r="D160" s="58"/>
      <c r="E160" s="58"/>
      <c r="F160" s="58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spans="1:40" ht="23.25" customHeight="1" x14ac:dyDescent="0.3">
      <c r="A161" s="18"/>
      <c r="B161" s="18"/>
      <c r="C161" s="58"/>
      <c r="D161" s="58"/>
      <c r="E161" s="58"/>
      <c r="F161" s="58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spans="1:40" ht="23.25" customHeight="1" x14ac:dyDescent="0.3">
      <c r="A162" s="18"/>
      <c r="B162" s="18"/>
      <c r="C162" s="58"/>
      <c r="D162" s="58"/>
      <c r="E162" s="58"/>
      <c r="F162" s="58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spans="1:40" ht="23.25" customHeight="1" x14ac:dyDescent="0.3">
      <c r="A163" s="18"/>
      <c r="B163" s="18"/>
      <c r="C163" s="58"/>
      <c r="D163" s="58"/>
      <c r="E163" s="58"/>
      <c r="F163" s="58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spans="1:40" ht="23.25" customHeight="1" x14ac:dyDescent="0.3">
      <c r="A164" s="18"/>
      <c r="B164" s="18"/>
      <c r="C164" s="58"/>
      <c r="D164" s="58"/>
      <c r="E164" s="58"/>
      <c r="F164" s="58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spans="1:40" ht="23.25" customHeight="1" x14ac:dyDescent="0.3">
      <c r="A165" s="18"/>
      <c r="B165" s="18"/>
      <c r="C165" s="58"/>
      <c r="D165" s="58"/>
      <c r="E165" s="58"/>
      <c r="F165" s="58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spans="1:40" ht="23.25" customHeight="1" x14ac:dyDescent="0.3">
      <c r="A166" s="18"/>
      <c r="B166" s="18"/>
      <c r="C166" s="58"/>
      <c r="D166" s="58"/>
      <c r="E166" s="58"/>
      <c r="F166" s="58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spans="1:40" ht="23.25" customHeight="1" x14ac:dyDescent="0.3">
      <c r="A167" s="18"/>
      <c r="B167" s="18"/>
      <c r="C167" s="58"/>
      <c r="D167" s="58"/>
      <c r="E167" s="58"/>
      <c r="F167" s="58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spans="1:40" ht="23.25" customHeight="1" x14ac:dyDescent="0.3">
      <c r="A168" s="18"/>
      <c r="B168" s="18"/>
      <c r="C168" s="58"/>
      <c r="D168" s="58"/>
      <c r="E168" s="58"/>
      <c r="F168" s="58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spans="1:40" ht="23.25" customHeight="1" x14ac:dyDescent="0.3">
      <c r="A169" s="18"/>
      <c r="B169" s="18"/>
      <c r="C169" s="58"/>
      <c r="D169" s="58"/>
      <c r="E169" s="58"/>
      <c r="F169" s="58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spans="1:40" ht="23.25" customHeight="1" x14ac:dyDescent="0.3">
      <c r="A170" s="18"/>
      <c r="B170" s="18"/>
      <c r="C170" s="58"/>
      <c r="D170" s="58"/>
      <c r="E170" s="58"/>
      <c r="F170" s="58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spans="1:40" ht="23.25" customHeight="1" x14ac:dyDescent="0.3">
      <c r="A171" s="18"/>
      <c r="B171" s="18"/>
      <c r="C171" s="58"/>
      <c r="D171" s="58"/>
      <c r="E171" s="58"/>
      <c r="F171" s="58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spans="1:40" ht="23.25" customHeight="1" x14ac:dyDescent="0.3">
      <c r="A172" s="18"/>
      <c r="B172" s="18"/>
      <c r="C172" s="58"/>
      <c r="D172" s="58"/>
      <c r="E172" s="58"/>
      <c r="F172" s="58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spans="1:40" ht="23.25" customHeight="1" x14ac:dyDescent="0.3">
      <c r="A173" s="18"/>
      <c r="B173" s="18"/>
      <c r="C173" s="58"/>
      <c r="D173" s="58"/>
      <c r="E173" s="58"/>
      <c r="F173" s="58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spans="1:40" ht="23.25" customHeight="1" x14ac:dyDescent="0.3">
      <c r="A174" s="18"/>
      <c r="B174" s="18"/>
      <c r="C174" s="58"/>
      <c r="D174" s="58"/>
      <c r="E174" s="58"/>
      <c r="F174" s="58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spans="1:40" ht="23.25" customHeight="1" x14ac:dyDescent="0.3">
      <c r="A175" s="18"/>
      <c r="B175" s="18"/>
      <c r="C175" s="58"/>
      <c r="D175" s="58"/>
      <c r="E175" s="58"/>
      <c r="F175" s="58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spans="1:40" ht="23.25" customHeight="1" x14ac:dyDescent="0.3">
      <c r="A176" s="18"/>
      <c r="B176" s="18"/>
      <c r="C176" s="58"/>
      <c r="D176" s="58"/>
      <c r="E176" s="58"/>
      <c r="F176" s="58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spans="1:40" ht="23.25" customHeight="1" x14ac:dyDescent="0.3">
      <c r="A177" s="18"/>
      <c r="B177" s="18"/>
      <c r="C177" s="58"/>
      <c r="D177" s="58"/>
      <c r="E177" s="58"/>
      <c r="F177" s="58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spans="1:40" ht="23.25" customHeight="1" x14ac:dyDescent="0.3">
      <c r="A178" s="18"/>
      <c r="B178" s="18"/>
      <c r="C178" s="58"/>
      <c r="D178" s="58"/>
      <c r="E178" s="58"/>
      <c r="F178" s="58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spans="1:40" ht="23.25" customHeight="1" x14ac:dyDescent="0.3">
      <c r="A179" s="18"/>
      <c r="B179" s="18"/>
      <c r="C179" s="58"/>
      <c r="D179" s="58"/>
      <c r="E179" s="58"/>
      <c r="F179" s="58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spans="1:40" ht="23.25" customHeight="1" x14ac:dyDescent="0.3">
      <c r="A180" s="18"/>
      <c r="B180" s="18"/>
      <c r="C180" s="58"/>
      <c r="D180" s="58"/>
      <c r="E180" s="58"/>
      <c r="F180" s="58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spans="1:40" ht="23.25" customHeight="1" x14ac:dyDescent="0.3">
      <c r="A181" s="18"/>
      <c r="B181" s="18"/>
      <c r="C181" s="58"/>
      <c r="D181" s="58"/>
      <c r="E181" s="58"/>
      <c r="F181" s="58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spans="1:40" ht="23.25" customHeight="1" x14ac:dyDescent="0.3">
      <c r="A182" s="18"/>
      <c r="B182" s="18"/>
      <c r="C182" s="58"/>
      <c r="D182" s="58"/>
      <c r="E182" s="58"/>
      <c r="F182" s="58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spans="1:40" ht="23.25" customHeight="1" x14ac:dyDescent="0.3">
      <c r="A183" s="18"/>
      <c r="B183" s="18"/>
      <c r="C183" s="58"/>
      <c r="D183" s="58"/>
      <c r="E183" s="58"/>
      <c r="F183" s="58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spans="1:40" ht="23.25" customHeight="1" x14ac:dyDescent="0.3">
      <c r="A184" s="18"/>
      <c r="B184" s="18"/>
      <c r="C184" s="58"/>
      <c r="D184" s="58"/>
      <c r="E184" s="58"/>
      <c r="F184" s="58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spans="1:40" ht="23.25" customHeight="1" x14ac:dyDescent="0.3">
      <c r="A185" s="18"/>
      <c r="B185" s="18"/>
      <c r="C185" s="58"/>
      <c r="D185" s="58"/>
      <c r="E185" s="58"/>
      <c r="F185" s="58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spans="1:40" ht="23.25" customHeight="1" x14ac:dyDescent="0.3">
      <c r="A186" s="18"/>
      <c r="B186" s="18"/>
      <c r="C186" s="58"/>
      <c r="D186" s="58"/>
      <c r="E186" s="58"/>
      <c r="F186" s="58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spans="1:40" ht="23.25" customHeight="1" x14ac:dyDescent="0.3">
      <c r="A187" s="18"/>
      <c r="B187" s="18"/>
      <c r="C187" s="58"/>
      <c r="D187" s="58"/>
      <c r="E187" s="58"/>
      <c r="F187" s="58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spans="1:40" ht="23.25" customHeight="1" x14ac:dyDescent="0.3">
      <c r="A188" s="18"/>
      <c r="B188" s="18"/>
      <c r="C188" s="58"/>
      <c r="D188" s="58"/>
      <c r="E188" s="58"/>
      <c r="F188" s="58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spans="1:40" ht="23.25" customHeight="1" x14ac:dyDescent="0.3">
      <c r="A189" s="18"/>
      <c r="B189" s="18"/>
      <c r="C189" s="58"/>
      <c r="D189" s="58"/>
      <c r="E189" s="58"/>
      <c r="F189" s="58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spans="1:40" ht="23.25" customHeight="1" x14ac:dyDescent="0.3">
      <c r="A190" s="18"/>
      <c r="B190" s="18"/>
      <c r="C190" s="58"/>
      <c r="D190" s="58"/>
      <c r="E190" s="58"/>
      <c r="F190" s="58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spans="1:40" ht="23.25" customHeight="1" x14ac:dyDescent="0.3">
      <c r="A191" s="18"/>
      <c r="B191" s="18"/>
      <c r="C191" s="58"/>
      <c r="D191" s="58"/>
      <c r="E191" s="58"/>
      <c r="F191" s="58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spans="1:40" ht="23.25" customHeight="1" x14ac:dyDescent="0.3">
      <c r="A192" s="18"/>
      <c r="B192" s="18"/>
      <c r="C192" s="58"/>
      <c r="D192" s="58"/>
      <c r="E192" s="58"/>
      <c r="F192" s="58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spans="1:40" ht="23.25" customHeight="1" x14ac:dyDescent="0.3">
      <c r="A193" s="18"/>
      <c r="B193" s="18"/>
      <c r="C193" s="58"/>
      <c r="D193" s="58"/>
      <c r="E193" s="58"/>
      <c r="F193" s="58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spans="1:40" ht="23.25" customHeight="1" x14ac:dyDescent="0.3">
      <c r="A194" s="18"/>
      <c r="B194" s="18"/>
      <c r="C194" s="58"/>
      <c r="D194" s="58"/>
      <c r="E194" s="58"/>
      <c r="F194" s="58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spans="1:40" ht="23.25" customHeight="1" x14ac:dyDescent="0.3">
      <c r="A195" s="18"/>
      <c r="B195" s="18"/>
      <c r="C195" s="58"/>
      <c r="D195" s="58"/>
      <c r="E195" s="58"/>
      <c r="F195" s="58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spans="1:40" ht="23.25" customHeight="1" x14ac:dyDescent="0.3">
      <c r="A196" s="18"/>
      <c r="B196" s="18"/>
      <c r="C196" s="58"/>
      <c r="D196" s="58"/>
      <c r="E196" s="58"/>
      <c r="F196" s="58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spans="1:40" ht="23.25" customHeight="1" x14ac:dyDescent="0.3">
      <c r="A197" s="18"/>
      <c r="B197" s="18"/>
      <c r="C197" s="58"/>
      <c r="D197" s="58"/>
      <c r="E197" s="58"/>
      <c r="F197" s="58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spans="1:40" ht="23.25" customHeight="1" x14ac:dyDescent="0.3">
      <c r="A198" s="18"/>
      <c r="B198" s="18"/>
      <c r="C198" s="58"/>
      <c r="D198" s="58"/>
      <c r="E198" s="58"/>
      <c r="F198" s="58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spans="1:40" ht="23.25" customHeight="1" x14ac:dyDescent="0.3">
      <c r="A199" s="18"/>
      <c r="B199" s="18"/>
      <c r="C199" s="58"/>
      <c r="D199" s="58"/>
      <c r="E199" s="58"/>
      <c r="F199" s="58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spans="1:40" ht="23.25" customHeight="1" x14ac:dyDescent="0.3">
      <c r="A200" s="18"/>
      <c r="B200" s="18"/>
      <c r="C200" s="58"/>
      <c r="D200" s="58"/>
      <c r="E200" s="58"/>
      <c r="F200" s="58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spans="1:40" ht="23.25" customHeight="1" x14ac:dyDescent="0.3">
      <c r="A201" s="18"/>
      <c r="B201" s="18"/>
      <c r="C201" s="58"/>
      <c r="D201" s="58"/>
      <c r="E201" s="58"/>
      <c r="F201" s="58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spans="1:40" ht="23.25" customHeight="1" x14ac:dyDescent="0.3">
      <c r="A202" s="18"/>
      <c r="B202" s="18"/>
      <c r="C202" s="58"/>
      <c r="D202" s="58"/>
      <c r="E202" s="58"/>
      <c r="F202" s="58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 spans="1:40" ht="23.25" customHeight="1" x14ac:dyDescent="0.3">
      <c r="A203" s="18"/>
      <c r="B203" s="18"/>
      <c r="C203" s="58"/>
      <c r="D203" s="58"/>
      <c r="E203" s="58"/>
      <c r="F203" s="58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 spans="1:40" ht="23.25" customHeight="1" x14ac:dyDescent="0.3">
      <c r="A204" s="18"/>
      <c r="B204" s="18"/>
      <c r="C204" s="58"/>
      <c r="D204" s="58"/>
      <c r="E204" s="58"/>
      <c r="F204" s="58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 spans="1:40" ht="23.25" customHeight="1" x14ac:dyDescent="0.3">
      <c r="A205" s="18"/>
      <c r="B205" s="18"/>
      <c r="C205" s="58"/>
      <c r="D205" s="58"/>
      <c r="E205" s="58"/>
      <c r="F205" s="58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 spans="1:40" ht="23.25" customHeight="1" x14ac:dyDescent="0.3">
      <c r="A206" s="18"/>
      <c r="B206" s="18"/>
      <c r="C206" s="58"/>
      <c r="D206" s="58"/>
      <c r="E206" s="58"/>
      <c r="F206" s="58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 spans="1:40" ht="23.25" customHeight="1" x14ac:dyDescent="0.3">
      <c r="A207" s="18"/>
      <c r="B207" s="18"/>
      <c r="C207" s="58"/>
      <c r="D207" s="58"/>
      <c r="E207" s="58"/>
      <c r="F207" s="58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 spans="1:40" ht="23.25" customHeight="1" x14ac:dyDescent="0.3">
      <c r="A208" s="18"/>
      <c r="B208" s="18"/>
      <c r="C208" s="58"/>
      <c r="D208" s="58"/>
      <c r="E208" s="58"/>
      <c r="F208" s="58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 spans="1:40" ht="23.25" customHeight="1" x14ac:dyDescent="0.3">
      <c r="A209" s="18"/>
      <c r="B209" s="18"/>
      <c r="C209" s="58"/>
      <c r="D209" s="58"/>
      <c r="E209" s="58"/>
      <c r="F209" s="58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 spans="1:40" ht="23.25" customHeight="1" x14ac:dyDescent="0.3">
      <c r="A210" s="18"/>
      <c r="B210" s="18"/>
      <c r="C210" s="58"/>
      <c r="D210" s="58"/>
      <c r="E210" s="58"/>
      <c r="F210" s="58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 spans="1:40" ht="23.25" customHeight="1" x14ac:dyDescent="0.3">
      <c r="A211" s="18"/>
      <c r="B211" s="18"/>
      <c r="C211" s="58"/>
      <c r="D211" s="58"/>
      <c r="E211" s="58"/>
      <c r="F211" s="58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 spans="1:40" ht="23.25" customHeight="1" x14ac:dyDescent="0.3">
      <c r="A212" s="18"/>
      <c r="B212" s="18"/>
      <c r="C212" s="58"/>
      <c r="D212" s="58"/>
      <c r="E212" s="58"/>
      <c r="F212" s="58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 spans="1:40" ht="23.25" customHeight="1" x14ac:dyDescent="0.3">
      <c r="A213" s="18"/>
      <c r="B213" s="18"/>
      <c r="C213" s="58"/>
      <c r="D213" s="58"/>
      <c r="E213" s="58"/>
      <c r="F213" s="58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 spans="1:40" ht="23.25" customHeight="1" x14ac:dyDescent="0.3">
      <c r="A214" s="18"/>
      <c r="B214" s="18"/>
      <c r="C214" s="58"/>
      <c r="D214" s="58"/>
      <c r="E214" s="58"/>
      <c r="F214" s="58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 spans="1:40" ht="23.25" customHeight="1" x14ac:dyDescent="0.3">
      <c r="A215" s="18"/>
      <c r="B215" s="18"/>
      <c r="C215" s="58"/>
      <c r="D215" s="58"/>
      <c r="E215" s="58"/>
      <c r="F215" s="58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 spans="1:40" ht="23.25" customHeight="1" x14ac:dyDescent="0.3">
      <c r="A216" s="18"/>
      <c r="B216" s="18"/>
      <c r="C216" s="58"/>
      <c r="D216" s="58"/>
      <c r="E216" s="58"/>
      <c r="F216" s="58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 spans="1:40" ht="23.25" customHeight="1" x14ac:dyDescent="0.3">
      <c r="A217" s="18"/>
      <c r="B217" s="18"/>
      <c r="C217" s="58"/>
      <c r="D217" s="58"/>
      <c r="E217" s="58"/>
      <c r="F217" s="58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 spans="1:40" ht="23.25" customHeight="1" x14ac:dyDescent="0.3">
      <c r="A218" s="18"/>
      <c r="B218" s="18"/>
      <c r="C218" s="58"/>
      <c r="D218" s="58"/>
      <c r="E218" s="58"/>
      <c r="F218" s="58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 spans="1:40" ht="23.25" customHeight="1" x14ac:dyDescent="0.3">
      <c r="A219" s="18"/>
      <c r="B219" s="18"/>
      <c r="C219" s="58"/>
      <c r="D219" s="58"/>
      <c r="E219" s="58"/>
      <c r="F219" s="58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 spans="1:40" ht="23.25" customHeight="1" x14ac:dyDescent="0.3">
      <c r="A220" s="18"/>
      <c r="B220" s="18"/>
      <c r="C220" s="58"/>
      <c r="D220" s="58"/>
      <c r="E220" s="58"/>
      <c r="F220" s="58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 spans="1:40" ht="23.25" customHeight="1" x14ac:dyDescent="0.3">
      <c r="A221" s="18"/>
      <c r="B221" s="18"/>
      <c r="C221" s="58"/>
      <c r="D221" s="58"/>
      <c r="E221" s="58"/>
      <c r="F221" s="58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 spans="1:40" ht="23.25" customHeight="1" x14ac:dyDescent="0.3">
      <c r="A222" s="18"/>
      <c r="B222" s="18"/>
      <c r="C222" s="58"/>
      <c r="D222" s="58"/>
      <c r="E222" s="58"/>
      <c r="F222" s="58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 spans="1:40" ht="23.25" customHeight="1" x14ac:dyDescent="0.3">
      <c r="A223" s="18"/>
      <c r="B223" s="18"/>
      <c r="C223" s="58"/>
      <c r="D223" s="58"/>
      <c r="E223" s="58"/>
      <c r="F223" s="58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 spans="1:40" ht="23.25" customHeight="1" x14ac:dyDescent="0.3">
      <c r="A224" s="18"/>
      <c r="B224" s="18"/>
      <c r="C224" s="58"/>
      <c r="D224" s="58"/>
      <c r="E224" s="58"/>
      <c r="F224" s="58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 spans="1:40" ht="23.25" customHeight="1" x14ac:dyDescent="0.3">
      <c r="A225" s="18"/>
      <c r="B225" s="18"/>
      <c r="C225" s="58"/>
      <c r="D225" s="58"/>
      <c r="E225" s="58"/>
      <c r="F225" s="58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 spans="1:40" ht="23.25" customHeight="1" x14ac:dyDescent="0.3">
      <c r="A226" s="18"/>
      <c r="B226" s="18"/>
      <c r="C226" s="58"/>
      <c r="D226" s="58"/>
      <c r="E226" s="58"/>
      <c r="F226" s="58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 spans="1:40" ht="23.25" customHeight="1" x14ac:dyDescent="0.3">
      <c r="A227" s="18"/>
      <c r="B227" s="18"/>
      <c r="C227" s="58"/>
      <c r="D227" s="58"/>
      <c r="E227" s="58"/>
      <c r="F227" s="58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 spans="1:40" ht="23.25" customHeight="1" x14ac:dyDescent="0.3">
      <c r="A228" s="18"/>
      <c r="B228" s="18"/>
      <c r="C228" s="58"/>
      <c r="D228" s="58"/>
      <c r="E228" s="58"/>
      <c r="F228" s="58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 spans="1:40" ht="23.25" customHeight="1" x14ac:dyDescent="0.3">
      <c r="A229" s="18"/>
      <c r="B229" s="18"/>
      <c r="C229" s="58"/>
      <c r="D229" s="58"/>
      <c r="E229" s="58"/>
      <c r="F229" s="58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 spans="1:40" ht="23.25" customHeight="1" x14ac:dyDescent="0.3">
      <c r="A230" s="18"/>
      <c r="B230" s="18"/>
      <c r="C230" s="58"/>
      <c r="D230" s="58"/>
      <c r="E230" s="58"/>
      <c r="F230" s="58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 spans="1:40" ht="23.25" customHeight="1" x14ac:dyDescent="0.3">
      <c r="A231" s="18"/>
      <c r="B231" s="18"/>
      <c r="C231" s="58"/>
      <c r="D231" s="58"/>
      <c r="E231" s="58"/>
      <c r="F231" s="58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 spans="1:40" ht="23.25" customHeight="1" x14ac:dyDescent="0.3">
      <c r="A232" s="18"/>
      <c r="B232" s="18"/>
      <c r="C232" s="58"/>
      <c r="D232" s="58"/>
      <c r="E232" s="58"/>
      <c r="F232" s="58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 spans="1:40" ht="23.25" customHeight="1" x14ac:dyDescent="0.3">
      <c r="A233" s="18"/>
      <c r="B233" s="18"/>
      <c r="C233" s="58"/>
      <c r="D233" s="58"/>
      <c r="E233" s="58"/>
      <c r="F233" s="58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 spans="1:40" ht="23.25" customHeight="1" x14ac:dyDescent="0.3">
      <c r="A234" s="18"/>
      <c r="B234" s="18"/>
      <c r="C234" s="58"/>
      <c r="D234" s="58"/>
      <c r="E234" s="58"/>
      <c r="F234" s="58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 spans="1:40" ht="23.25" customHeight="1" x14ac:dyDescent="0.3">
      <c r="A235" s="18"/>
      <c r="B235" s="18"/>
      <c r="C235" s="58"/>
      <c r="D235" s="58"/>
      <c r="E235" s="58"/>
      <c r="F235" s="58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 spans="1:40" ht="23.25" customHeight="1" x14ac:dyDescent="0.3">
      <c r="A236" s="18"/>
      <c r="B236" s="18"/>
      <c r="C236" s="58"/>
      <c r="D236" s="58"/>
      <c r="E236" s="58"/>
      <c r="F236" s="58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 spans="1:40" ht="23.25" customHeight="1" x14ac:dyDescent="0.3">
      <c r="A237" s="18"/>
      <c r="B237" s="18"/>
      <c r="C237" s="58"/>
      <c r="D237" s="58"/>
      <c r="E237" s="58"/>
      <c r="F237" s="58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 spans="1:40" ht="23.25" customHeight="1" x14ac:dyDescent="0.3">
      <c r="A238" s="18"/>
      <c r="B238" s="18"/>
      <c r="C238" s="58"/>
      <c r="D238" s="58"/>
      <c r="E238" s="58"/>
      <c r="F238" s="58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 spans="1:40" ht="23.25" customHeight="1" x14ac:dyDescent="0.3">
      <c r="A239" s="18"/>
      <c r="B239" s="18"/>
      <c r="C239" s="58"/>
      <c r="D239" s="58"/>
      <c r="E239" s="58"/>
      <c r="F239" s="58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 spans="1:40" ht="23.25" customHeight="1" x14ac:dyDescent="0.3">
      <c r="A240" s="18"/>
      <c r="B240" s="18"/>
      <c r="C240" s="58"/>
      <c r="D240" s="58"/>
      <c r="E240" s="58"/>
      <c r="F240" s="58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 spans="1:40" ht="23.25" customHeight="1" x14ac:dyDescent="0.3">
      <c r="A241" s="18"/>
      <c r="B241" s="18"/>
      <c r="C241" s="58"/>
      <c r="D241" s="58"/>
      <c r="E241" s="58"/>
      <c r="F241" s="58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 spans="1:40" ht="23.25" customHeight="1" x14ac:dyDescent="0.3">
      <c r="A242" s="18"/>
      <c r="B242" s="18"/>
      <c r="C242" s="58"/>
      <c r="D242" s="58"/>
      <c r="E242" s="58"/>
      <c r="F242" s="58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 spans="1:40" ht="23.25" customHeight="1" x14ac:dyDescent="0.3">
      <c r="A243" s="18"/>
      <c r="B243" s="18"/>
      <c r="C243" s="58"/>
      <c r="D243" s="58"/>
      <c r="E243" s="58"/>
      <c r="F243" s="58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 spans="1:40" ht="23.25" customHeight="1" x14ac:dyDescent="0.3">
      <c r="A244" s="18"/>
      <c r="B244" s="18"/>
      <c r="C244" s="58"/>
      <c r="D244" s="58"/>
      <c r="E244" s="58"/>
      <c r="F244" s="58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 spans="1:40" ht="23.25" customHeight="1" x14ac:dyDescent="0.3">
      <c r="A245" s="18"/>
      <c r="B245" s="18"/>
      <c r="C245" s="58"/>
      <c r="D245" s="58"/>
      <c r="E245" s="58"/>
      <c r="F245" s="58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 spans="1:40" ht="23.25" customHeight="1" x14ac:dyDescent="0.3">
      <c r="A246" s="18"/>
      <c r="B246" s="18"/>
      <c r="C246" s="58"/>
      <c r="D246" s="58"/>
      <c r="E246" s="58"/>
      <c r="F246" s="58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 spans="1:40" ht="23.25" customHeight="1" x14ac:dyDescent="0.3">
      <c r="A247" s="18"/>
      <c r="B247" s="18"/>
      <c r="C247" s="58"/>
      <c r="D247" s="58"/>
      <c r="E247" s="58"/>
      <c r="F247" s="58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 spans="1:40" ht="23.25" customHeight="1" x14ac:dyDescent="0.3">
      <c r="A248" s="18"/>
      <c r="B248" s="18"/>
      <c r="C248" s="58"/>
      <c r="D248" s="58"/>
      <c r="E248" s="58"/>
      <c r="F248" s="58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 spans="1:40" ht="23.25" customHeight="1" x14ac:dyDescent="0.3">
      <c r="A249" s="18"/>
      <c r="B249" s="18"/>
      <c r="C249" s="58"/>
      <c r="D249" s="58"/>
      <c r="E249" s="58"/>
      <c r="F249" s="58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 spans="1:40" ht="23.25" customHeight="1" x14ac:dyDescent="0.3">
      <c r="A250" s="18"/>
      <c r="B250" s="18"/>
      <c r="C250" s="58"/>
      <c r="D250" s="58"/>
      <c r="E250" s="58"/>
      <c r="F250" s="58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 spans="1:40" ht="23.25" customHeight="1" x14ac:dyDescent="0.3">
      <c r="A251" s="18"/>
      <c r="B251" s="18"/>
      <c r="C251" s="58"/>
      <c r="D251" s="58"/>
      <c r="E251" s="58"/>
      <c r="F251" s="58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 spans="1:40" ht="23.25" customHeight="1" x14ac:dyDescent="0.3">
      <c r="A252" s="18"/>
      <c r="B252" s="18"/>
      <c r="C252" s="58"/>
      <c r="D252" s="58"/>
      <c r="E252" s="58"/>
      <c r="F252" s="58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 spans="1:40" ht="23.25" customHeight="1" x14ac:dyDescent="0.3">
      <c r="A253" s="18"/>
      <c r="B253" s="18"/>
      <c r="C253" s="58"/>
      <c r="D253" s="58"/>
      <c r="E253" s="58"/>
      <c r="F253" s="58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 spans="1:40" ht="23.25" customHeight="1" x14ac:dyDescent="0.3">
      <c r="A254" s="18"/>
      <c r="B254" s="18"/>
      <c r="C254" s="58"/>
      <c r="D254" s="58"/>
      <c r="E254" s="58"/>
      <c r="F254" s="58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 spans="1:40" ht="23.25" customHeight="1" x14ac:dyDescent="0.3">
      <c r="A255" s="18"/>
      <c r="B255" s="18"/>
      <c r="C255" s="58"/>
      <c r="D255" s="58"/>
      <c r="E255" s="58"/>
      <c r="F255" s="58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 spans="1:40" ht="23.25" customHeight="1" x14ac:dyDescent="0.3">
      <c r="A256" s="18"/>
      <c r="B256" s="18"/>
      <c r="C256" s="58"/>
      <c r="D256" s="58"/>
      <c r="E256" s="58"/>
      <c r="F256" s="58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 spans="1:40" ht="23.25" customHeight="1" x14ac:dyDescent="0.3">
      <c r="A257" s="18"/>
      <c r="B257" s="18"/>
      <c r="C257" s="58"/>
      <c r="D257" s="58"/>
      <c r="E257" s="58"/>
      <c r="F257" s="58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 spans="1:40" ht="23.25" customHeight="1" x14ac:dyDescent="0.3">
      <c r="A258" s="18"/>
      <c r="B258" s="18"/>
      <c r="C258" s="58"/>
      <c r="D258" s="58"/>
      <c r="E258" s="58"/>
      <c r="F258" s="58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 spans="1:40" ht="23.25" customHeight="1" x14ac:dyDescent="0.3">
      <c r="A259" s="18"/>
      <c r="B259" s="18"/>
      <c r="C259" s="58"/>
      <c r="D259" s="58"/>
      <c r="E259" s="58"/>
      <c r="F259" s="58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 spans="1:40" ht="23.25" customHeight="1" x14ac:dyDescent="0.3">
      <c r="A260" s="18"/>
      <c r="B260" s="18"/>
      <c r="C260" s="58"/>
      <c r="D260" s="58"/>
      <c r="E260" s="58"/>
      <c r="F260" s="58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 spans="1:40" ht="23.25" customHeight="1" x14ac:dyDescent="0.3">
      <c r="A261" s="18"/>
      <c r="B261" s="18"/>
      <c r="C261" s="58"/>
      <c r="D261" s="58"/>
      <c r="E261" s="58"/>
      <c r="F261" s="58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 spans="1:40" ht="23.25" customHeight="1" x14ac:dyDescent="0.3">
      <c r="A262" s="18"/>
      <c r="B262" s="18"/>
      <c r="C262" s="58"/>
      <c r="D262" s="58"/>
      <c r="E262" s="58"/>
      <c r="F262" s="58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 spans="1:40" ht="23.25" customHeight="1" x14ac:dyDescent="0.3">
      <c r="A263" s="18"/>
      <c r="B263" s="18"/>
      <c r="C263" s="58"/>
      <c r="D263" s="58"/>
      <c r="E263" s="58"/>
      <c r="F263" s="58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 spans="1:40" ht="23.25" customHeight="1" x14ac:dyDescent="0.3">
      <c r="A264" s="18"/>
      <c r="B264" s="18"/>
      <c r="C264" s="58"/>
      <c r="D264" s="58"/>
      <c r="E264" s="58"/>
      <c r="F264" s="58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 spans="1:40" ht="23.25" customHeight="1" x14ac:dyDescent="0.3">
      <c r="A265" s="18"/>
      <c r="B265" s="18"/>
      <c r="C265" s="58"/>
      <c r="D265" s="58"/>
      <c r="E265" s="58"/>
      <c r="F265" s="58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 spans="1:40" ht="23.25" customHeight="1" x14ac:dyDescent="0.3">
      <c r="A266" s="18"/>
      <c r="B266" s="18"/>
      <c r="C266" s="58"/>
      <c r="D266" s="58"/>
      <c r="E266" s="58"/>
      <c r="F266" s="58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 spans="1:40" ht="23.25" customHeight="1" x14ac:dyDescent="0.3">
      <c r="A267" s="18"/>
      <c r="B267" s="18"/>
      <c r="C267" s="58"/>
      <c r="D267" s="58"/>
      <c r="E267" s="58"/>
      <c r="F267" s="58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 spans="1:40" ht="23.25" customHeight="1" x14ac:dyDescent="0.3">
      <c r="A268" s="18"/>
      <c r="B268" s="18"/>
      <c r="C268" s="58"/>
      <c r="D268" s="58"/>
      <c r="E268" s="58"/>
      <c r="F268" s="58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 spans="1:40" ht="23.25" customHeight="1" x14ac:dyDescent="0.3">
      <c r="A269" s="18"/>
      <c r="B269" s="18"/>
      <c r="C269" s="58"/>
      <c r="D269" s="58"/>
      <c r="E269" s="58"/>
      <c r="F269" s="58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 spans="1:40" ht="23.25" customHeight="1" x14ac:dyDescent="0.3">
      <c r="A270" s="18"/>
      <c r="B270" s="18"/>
      <c r="C270" s="58"/>
      <c r="D270" s="58"/>
      <c r="E270" s="58"/>
      <c r="F270" s="58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 spans="1:40" ht="23.25" customHeight="1" x14ac:dyDescent="0.3">
      <c r="A271" s="18"/>
      <c r="B271" s="18"/>
      <c r="C271" s="58"/>
      <c r="D271" s="58"/>
      <c r="E271" s="58"/>
      <c r="F271" s="58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 spans="1:40" ht="23.25" customHeight="1" x14ac:dyDescent="0.3">
      <c r="A272" s="18"/>
      <c r="B272" s="18"/>
      <c r="C272" s="58"/>
      <c r="D272" s="58"/>
      <c r="E272" s="58"/>
      <c r="F272" s="58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 spans="1:40" ht="23.25" customHeight="1" x14ac:dyDescent="0.3">
      <c r="A273" s="18"/>
      <c r="B273" s="18"/>
      <c r="C273" s="58"/>
      <c r="D273" s="58"/>
      <c r="E273" s="58"/>
      <c r="F273" s="58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 spans="1:40" ht="23.25" customHeight="1" x14ac:dyDescent="0.3">
      <c r="A274" s="18"/>
      <c r="B274" s="18"/>
      <c r="C274" s="58"/>
      <c r="D274" s="58"/>
      <c r="E274" s="58"/>
      <c r="F274" s="58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 spans="1:40" ht="23.25" customHeight="1" x14ac:dyDescent="0.3">
      <c r="A275" s="18"/>
      <c r="B275" s="18"/>
      <c r="C275" s="58"/>
      <c r="D275" s="58"/>
      <c r="E275" s="58"/>
      <c r="F275" s="58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 spans="1:40" ht="23.25" customHeight="1" x14ac:dyDescent="0.3">
      <c r="A276" s="18"/>
      <c r="B276" s="18"/>
      <c r="C276" s="58"/>
      <c r="D276" s="58"/>
      <c r="E276" s="58"/>
      <c r="F276" s="58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 spans="1:40" ht="23.25" customHeight="1" x14ac:dyDescent="0.3">
      <c r="A277" s="18"/>
      <c r="B277" s="18"/>
      <c r="C277" s="58"/>
      <c r="D277" s="58"/>
      <c r="E277" s="58"/>
      <c r="F277" s="58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 spans="1:40" ht="23.25" customHeight="1" x14ac:dyDescent="0.3">
      <c r="A278" s="18"/>
      <c r="B278" s="18"/>
      <c r="C278" s="58"/>
      <c r="D278" s="58"/>
      <c r="E278" s="58"/>
      <c r="F278" s="58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 spans="1:40" ht="23.25" customHeight="1" x14ac:dyDescent="0.3">
      <c r="A279" s="18"/>
      <c r="B279" s="18"/>
      <c r="C279" s="58"/>
      <c r="D279" s="58"/>
      <c r="E279" s="58"/>
      <c r="F279" s="58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 spans="1:40" ht="23.25" customHeight="1" x14ac:dyDescent="0.3">
      <c r="A280" s="18"/>
      <c r="B280" s="18"/>
      <c r="C280" s="58"/>
      <c r="D280" s="58"/>
      <c r="E280" s="58"/>
      <c r="F280" s="58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 spans="1:40" ht="23.25" customHeight="1" x14ac:dyDescent="0.3">
      <c r="A281" s="18"/>
      <c r="B281" s="18"/>
      <c r="C281" s="58"/>
      <c r="D281" s="58"/>
      <c r="E281" s="58"/>
      <c r="F281" s="58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 spans="1:40" ht="23.25" customHeight="1" x14ac:dyDescent="0.3">
      <c r="A282" s="18"/>
      <c r="B282" s="18"/>
      <c r="C282" s="58"/>
      <c r="D282" s="58"/>
      <c r="E282" s="58"/>
      <c r="F282" s="58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 spans="1:40" ht="23.25" customHeight="1" x14ac:dyDescent="0.3">
      <c r="A283" s="18"/>
      <c r="B283" s="18"/>
      <c r="C283" s="58"/>
      <c r="D283" s="58"/>
      <c r="E283" s="58"/>
      <c r="F283" s="58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 spans="1:40" ht="23.25" customHeight="1" x14ac:dyDescent="0.3">
      <c r="A284" s="18"/>
      <c r="B284" s="18"/>
      <c r="C284" s="58"/>
      <c r="D284" s="58"/>
      <c r="E284" s="58"/>
      <c r="F284" s="58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 spans="1:40" ht="23.25" customHeight="1" x14ac:dyDescent="0.3">
      <c r="A285" s="18"/>
      <c r="B285" s="18"/>
      <c r="C285" s="58"/>
      <c r="D285" s="58"/>
      <c r="E285" s="58"/>
      <c r="F285" s="58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 spans="1:40" ht="23.25" customHeight="1" x14ac:dyDescent="0.3">
      <c r="A286" s="18"/>
      <c r="B286" s="18"/>
      <c r="C286" s="58"/>
      <c r="D286" s="58"/>
      <c r="E286" s="58"/>
      <c r="F286" s="58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 spans="1:40" ht="23.25" customHeight="1" x14ac:dyDescent="0.3">
      <c r="A287" s="18"/>
      <c r="B287" s="18"/>
      <c r="C287" s="58"/>
      <c r="D287" s="58"/>
      <c r="E287" s="58"/>
      <c r="F287" s="58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 spans="1:40" ht="23.25" customHeight="1" x14ac:dyDescent="0.3">
      <c r="A288" s="18"/>
      <c r="B288" s="18"/>
      <c r="C288" s="58"/>
      <c r="D288" s="58"/>
      <c r="E288" s="58"/>
      <c r="F288" s="58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 spans="1:40" ht="23.25" customHeight="1" x14ac:dyDescent="0.3">
      <c r="A289" s="18"/>
      <c r="B289" s="18"/>
      <c r="C289" s="58"/>
      <c r="D289" s="58"/>
      <c r="E289" s="58"/>
      <c r="F289" s="58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 spans="1:40" ht="23.25" customHeight="1" x14ac:dyDescent="0.3">
      <c r="A290" s="18"/>
      <c r="B290" s="18"/>
      <c r="C290" s="58"/>
      <c r="D290" s="58"/>
      <c r="E290" s="58"/>
      <c r="F290" s="58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 spans="1:40" ht="23.25" customHeight="1" x14ac:dyDescent="0.3">
      <c r="A291" s="18"/>
      <c r="B291" s="18"/>
      <c r="C291" s="58"/>
      <c r="D291" s="58"/>
      <c r="E291" s="58"/>
      <c r="F291" s="58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 spans="1:40" ht="23.25" customHeight="1" x14ac:dyDescent="0.3">
      <c r="A292" s="18"/>
      <c r="B292" s="18"/>
      <c r="C292" s="58"/>
      <c r="D292" s="58"/>
      <c r="E292" s="58"/>
      <c r="F292" s="58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 spans="1:40" ht="23.25" customHeight="1" x14ac:dyDescent="0.3">
      <c r="A293" s="18"/>
      <c r="B293" s="18"/>
      <c r="C293" s="58"/>
      <c r="D293" s="58"/>
      <c r="E293" s="58"/>
      <c r="F293" s="58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 spans="1:40" ht="23.25" customHeight="1" x14ac:dyDescent="0.3">
      <c r="A294" s="18"/>
      <c r="B294" s="18"/>
      <c r="C294" s="58"/>
      <c r="D294" s="58"/>
      <c r="E294" s="58"/>
      <c r="F294" s="58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 spans="1:40" ht="23.25" customHeight="1" x14ac:dyDescent="0.3">
      <c r="A295" s="18"/>
      <c r="B295" s="18"/>
      <c r="C295" s="58"/>
      <c r="D295" s="58"/>
      <c r="E295" s="58"/>
      <c r="F295" s="58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 spans="1:40" ht="23.25" customHeight="1" x14ac:dyDescent="0.3">
      <c r="A296" s="18"/>
      <c r="B296" s="18"/>
      <c r="C296" s="58"/>
      <c r="D296" s="58"/>
      <c r="E296" s="58"/>
      <c r="F296" s="58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 spans="1:40" ht="23.25" customHeight="1" x14ac:dyDescent="0.3">
      <c r="A297" s="18"/>
      <c r="B297" s="18"/>
      <c r="C297" s="58"/>
      <c r="D297" s="58"/>
      <c r="E297" s="58"/>
      <c r="F297" s="58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 spans="1:40" ht="23.25" customHeight="1" x14ac:dyDescent="0.3">
      <c r="A298" s="18"/>
      <c r="B298" s="18"/>
      <c r="C298" s="58"/>
      <c r="D298" s="58"/>
      <c r="E298" s="58"/>
      <c r="F298" s="58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 spans="1:40" ht="23.25" customHeight="1" x14ac:dyDescent="0.3">
      <c r="A299" s="18"/>
      <c r="B299" s="18"/>
      <c r="C299" s="58"/>
      <c r="D299" s="58"/>
      <c r="E299" s="58"/>
      <c r="F299" s="58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 spans="1:40" ht="23.25" customHeight="1" x14ac:dyDescent="0.3">
      <c r="A300" s="18"/>
      <c r="B300" s="18"/>
      <c r="C300" s="58"/>
      <c r="D300" s="58"/>
      <c r="E300" s="58"/>
      <c r="F300" s="58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 spans="1:40" ht="23.25" customHeight="1" x14ac:dyDescent="0.3">
      <c r="A301" s="18"/>
      <c r="B301" s="18"/>
      <c r="C301" s="58"/>
      <c r="D301" s="58"/>
      <c r="E301" s="58"/>
      <c r="F301" s="58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 spans="1:40" ht="23.25" customHeight="1" x14ac:dyDescent="0.3">
      <c r="A302" s="18"/>
      <c r="B302" s="18"/>
      <c r="C302" s="58"/>
      <c r="D302" s="58"/>
      <c r="E302" s="58"/>
      <c r="F302" s="58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 spans="1:40" ht="23.25" customHeight="1" x14ac:dyDescent="0.3">
      <c r="A303" s="18"/>
      <c r="B303" s="18"/>
      <c r="C303" s="58"/>
      <c r="D303" s="58"/>
      <c r="E303" s="58"/>
      <c r="F303" s="58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 spans="1:40" ht="23.25" customHeight="1" x14ac:dyDescent="0.3">
      <c r="A304" s="18"/>
      <c r="B304" s="18"/>
      <c r="C304" s="58"/>
      <c r="D304" s="58"/>
      <c r="E304" s="58"/>
      <c r="F304" s="58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 spans="1:40" ht="23.25" customHeight="1" x14ac:dyDescent="0.3">
      <c r="A305" s="18"/>
      <c r="B305" s="18"/>
      <c r="C305" s="58"/>
      <c r="D305" s="58"/>
      <c r="E305" s="58"/>
      <c r="F305" s="58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 spans="1:40" ht="23.25" customHeight="1" x14ac:dyDescent="0.3">
      <c r="A306" s="18"/>
      <c r="B306" s="18"/>
      <c r="C306" s="58"/>
      <c r="D306" s="58"/>
      <c r="E306" s="58"/>
      <c r="F306" s="58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 spans="1:40" ht="23.25" customHeight="1" x14ac:dyDescent="0.3">
      <c r="A307" s="18"/>
      <c r="B307" s="18"/>
      <c r="C307" s="58"/>
      <c r="D307" s="58"/>
      <c r="E307" s="58"/>
      <c r="F307" s="58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 spans="1:40" ht="23.25" customHeight="1" x14ac:dyDescent="0.3">
      <c r="A308" s="18"/>
      <c r="B308" s="18"/>
      <c r="C308" s="58"/>
      <c r="D308" s="58"/>
      <c r="E308" s="58"/>
      <c r="F308" s="58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 spans="1:40" ht="23.25" customHeight="1" x14ac:dyDescent="0.3">
      <c r="A309" s="18"/>
      <c r="B309" s="18"/>
      <c r="C309" s="58"/>
      <c r="D309" s="58"/>
      <c r="E309" s="58"/>
      <c r="F309" s="58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 spans="1:40" ht="23.25" customHeight="1" x14ac:dyDescent="0.3">
      <c r="A310" s="18"/>
      <c r="B310" s="18"/>
      <c r="C310" s="58"/>
      <c r="D310" s="58"/>
      <c r="E310" s="58"/>
      <c r="F310" s="58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 spans="1:40" ht="23.25" customHeight="1" x14ac:dyDescent="0.3">
      <c r="A311" s="18"/>
      <c r="B311" s="18"/>
      <c r="C311" s="58"/>
      <c r="D311" s="58"/>
      <c r="E311" s="58"/>
      <c r="F311" s="58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 spans="1:40" ht="23.25" customHeight="1" x14ac:dyDescent="0.3">
      <c r="A312" s="18"/>
      <c r="B312" s="18"/>
      <c r="C312" s="58"/>
      <c r="D312" s="58"/>
      <c r="E312" s="58"/>
      <c r="F312" s="58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 spans="1:40" ht="23.25" customHeight="1" x14ac:dyDescent="0.3">
      <c r="A313" s="18"/>
      <c r="B313" s="18"/>
      <c r="C313" s="58"/>
      <c r="D313" s="58"/>
      <c r="E313" s="58"/>
      <c r="F313" s="58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 spans="1:40" ht="23.25" customHeight="1" x14ac:dyDescent="0.3">
      <c r="A314" s="18"/>
      <c r="B314" s="18"/>
      <c r="C314" s="58"/>
      <c r="D314" s="58"/>
      <c r="E314" s="58"/>
      <c r="F314" s="58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 spans="1:40" ht="23.25" customHeight="1" x14ac:dyDescent="0.3">
      <c r="A315" s="18"/>
      <c r="B315" s="18"/>
      <c r="C315" s="58"/>
      <c r="D315" s="58"/>
      <c r="E315" s="58"/>
      <c r="F315" s="58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 spans="1:40" ht="23.25" customHeight="1" x14ac:dyDescent="0.3">
      <c r="A316" s="18"/>
      <c r="B316" s="18"/>
      <c r="C316" s="58"/>
      <c r="D316" s="58"/>
      <c r="E316" s="58"/>
      <c r="F316" s="58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 spans="1:40" ht="23.25" customHeight="1" x14ac:dyDescent="0.3">
      <c r="A317" s="18"/>
      <c r="B317" s="18"/>
      <c r="C317" s="58"/>
      <c r="D317" s="58"/>
      <c r="E317" s="58"/>
      <c r="F317" s="58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 spans="1:40" ht="23.25" customHeight="1" x14ac:dyDescent="0.3">
      <c r="A318" s="18"/>
      <c r="B318" s="18"/>
      <c r="C318" s="58"/>
      <c r="D318" s="58"/>
      <c r="E318" s="58"/>
      <c r="F318" s="58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 spans="1:40" ht="23.25" customHeight="1" x14ac:dyDescent="0.3">
      <c r="A319" s="18"/>
      <c r="B319" s="18"/>
      <c r="C319" s="58"/>
      <c r="D319" s="58"/>
      <c r="E319" s="58"/>
      <c r="F319" s="58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 spans="1:40" ht="23.25" customHeight="1" x14ac:dyDescent="0.3">
      <c r="A320" s="18"/>
      <c r="B320" s="18"/>
      <c r="C320" s="58"/>
      <c r="D320" s="58"/>
      <c r="E320" s="58"/>
      <c r="F320" s="58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 spans="1:40" ht="23.25" customHeight="1" x14ac:dyDescent="0.3">
      <c r="A321" s="18"/>
      <c r="B321" s="18"/>
      <c r="C321" s="58"/>
      <c r="D321" s="58"/>
      <c r="E321" s="58"/>
      <c r="F321" s="58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 spans="1:40" ht="23.25" customHeight="1" x14ac:dyDescent="0.3">
      <c r="A322" s="18"/>
      <c r="B322" s="18"/>
      <c r="C322" s="58"/>
      <c r="D322" s="58"/>
      <c r="E322" s="58"/>
      <c r="F322" s="58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 spans="1:40" ht="23.25" customHeight="1" x14ac:dyDescent="0.3">
      <c r="A323" s="18"/>
      <c r="B323" s="18"/>
      <c r="C323" s="58"/>
      <c r="D323" s="58"/>
      <c r="E323" s="58"/>
      <c r="F323" s="58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 spans="1:40" ht="23.25" customHeight="1" x14ac:dyDescent="0.3">
      <c r="A324" s="18"/>
      <c r="B324" s="18"/>
      <c r="C324" s="58"/>
      <c r="D324" s="58"/>
      <c r="E324" s="58"/>
      <c r="F324" s="58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 spans="1:40" ht="23.25" customHeight="1" x14ac:dyDescent="0.3">
      <c r="A325" s="18"/>
      <c r="B325" s="18"/>
      <c r="C325" s="58"/>
      <c r="D325" s="58"/>
      <c r="E325" s="58"/>
      <c r="F325" s="58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 spans="1:40" ht="23.25" customHeight="1" x14ac:dyDescent="0.3">
      <c r="A326" s="18"/>
      <c r="B326" s="18"/>
      <c r="C326" s="58"/>
      <c r="D326" s="58"/>
      <c r="E326" s="58"/>
      <c r="F326" s="58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 spans="1:40" ht="23.25" customHeight="1" x14ac:dyDescent="0.3">
      <c r="A327" s="18"/>
      <c r="B327" s="18"/>
      <c r="C327" s="58"/>
      <c r="D327" s="58"/>
      <c r="E327" s="58"/>
      <c r="F327" s="58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 spans="1:40" ht="23.25" customHeight="1" x14ac:dyDescent="0.3">
      <c r="A328" s="18"/>
      <c r="B328" s="18"/>
      <c r="C328" s="58"/>
      <c r="D328" s="58"/>
      <c r="E328" s="58"/>
      <c r="F328" s="58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 spans="1:40" ht="23.25" customHeight="1" x14ac:dyDescent="0.3">
      <c r="A329" s="18"/>
      <c r="B329" s="18"/>
      <c r="C329" s="58"/>
      <c r="D329" s="58"/>
      <c r="E329" s="58"/>
      <c r="F329" s="58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 spans="1:40" ht="23.25" customHeight="1" x14ac:dyDescent="0.3">
      <c r="A330" s="18"/>
      <c r="B330" s="18"/>
      <c r="C330" s="58"/>
      <c r="D330" s="58"/>
      <c r="E330" s="58"/>
      <c r="F330" s="58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 spans="1:40" ht="23.25" customHeight="1" x14ac:dyDescent="0.3">
      <c r="A331" s="18"/>
      <c r="B331" s="18"/>
      <c r="C331" s="58"/>
      <c r="D331" s="58"/>
      <c r="E331" s="58"/>
      <c r="F331" s="58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 spans="1:40" ht="23.25" customHeight="1" x14ac:dyDescent="0.3">
      <c r="A332" s="18"/>
      <c r="B332" s="18"/>
      <c r="C332" s="58"/>
      <c r="D332" s="58"/>
      <c r="E332" s="58"/>
      <c r="F332" s="58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 spans="1:40" ht="23.25" customHeight="1" x14ac:dyDescent="0.3">
      <c r="A333" s="18"/>
      <c r="B333" s="18"/>
      <c r="C333" s="58"/>
      <c r="D333" s="58"/>
      <c r="E333" s="58"/>
      <c r="F333" s="58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 spans="1:40" ht="23.25" customHeight="1" x14ac:dyDescent="0.3">
      <c r="A334" s="18"/>
      <c r="B334" s="18"/>
      <c r="C334" s="58"/>
      <c r="D334" s="58"/>
      <c r="E334" s="58"/>
      <c r="F334" s="58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 spans="1:40" ht="23.25" customHeight="1" x14ac:dyDescent="0.3">
      <c r="A335" s="18"/>
      <c r="B335" s="18"/>
      <c r="C335" s="58"/>
      <c r="D335" s="58"/>
      <c r="E335" s="58"/>
      <c r="F335" s="58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 spans="1:40" ht="23.25" customHeight="1" x14ac:dyDescent="0.3">
      <c r="A336" s="18"/>
      <c r="B336" s="18"/>
      <c r="C336" s="58"/>
      <c r="D336" s="58"/>
      <c r="E336" s="58"/>
      <c r="F336" s="58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 spans="1:40" ht="23.25" customHeight="1" x14ac:dyDescent="0.3">
      <c r="A337" s="18"/>
      <c r="B337" s="18"/>
      <c r="C337" s="58"/>
      <c r="D337" s="58"/>
      <c r="E337" s="58"/>
      <c r="F337" s="58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 spans="1:40" ht="23.25" customHeight="1" x14ac:dyDescent="0.3">
      <c r="A338" s="18"/>
      <c r="B338" s="18"/>
      <c r="C338" s="58"/>
      <c r="D338" s="58"/>
      <c r="E338" s="58"/>
      <c r="F338" s="58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 spans="1:40" ht="23.25" customHeight="1" x14ac:dyDescent="0.3">
      <c r="A339" s="18"/>
      <c r="B339" s="18"/>
      <c r="C339" s="58"/>
      <c r="D339" s="58"/>
      <c r="E339" s="58"/>
      <c r="F339" s="58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 spans="1:40" ht="23.25" customHeight="1" x14ac:dyDescent="0.3">
      <c r="A340" s="18"/>
      <c r="B340" s="18"/>
      <c r="C340" s="58"/>
      <c r="D340" s="58"/>
      <c r="E340" s="58"/>
      <c r="F340" s="58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 spans="1:40" ht="23.25" customHeight="1" x14ac:dyDescent="0.3">
      <c r="A341" s="18"/>
      <c r="B341" s="18"/>
      <c r="C341" s="58"/>
      <c r="D341" s="58"/>
      <c r="E341" s="58"/>
      <c r="F341" s="58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 spans="1:40" ht="23.25" customHeight="1" x14ac:dyDescent="0.3">
      <c r="A342" s="18"/>
      <c r="B342" s="18"/>
      <c r="C342" s="58"/>
      <c r="D342" s="58"/>
      <c r="E342" s="58"/>
      <c r="F342" s="58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 spans="1:40" ht="23.25" customHeight="1" x14ac:dyDescent="0.3">
      <c r="A343" s="18"/>
      <c r="B343" s="18"/>
      <c r="C343" s="58"/>
      <c r="D343" s="58"/>
      <c r="E343" s="58"/>
      <c r="F343" s="58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 spans="1:40" ht="23.25" customHeight="1" x14ac:dyDescent="0.3">
      <c r="A344" s="18"/>
      <c r="B344" s="18"/>
      <c r="C344" s="58"/>
      <c r="D344" s="58"/>
      <c r="E344" s="58"/>
      <c r="F344" s="58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 spans="1:40" ht="23.25" customHeight="1" x14ac:dyDescent="0.3">
      <c r="A345" s="18"/>
      <c r="B345" s="18"/>
      <c r="C345" s="58"/>
      <c r="D345" s="58"/>
      <c r="E345" s="58"/>
      <c r="F345" s="58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 spans="1:40" ht="23.25" customHeight="1" x14ac:dyDescent="0.3">
      <c r="A346" s="18"/>
      <c r="B346" s="18"/>
      <c r="C346" s="58"/>
      <c r="D346" s="58"/>
      <c r="E346" s="58"/>
      <c r="F346" s="58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 spans="1:40" ht="23.25" customHeight="1" x14ac:dyDescent="0.3">
      <c r="A347" s="18"/>
      <c r="B347" s="18"/>
      <c r="C347" s="58"/>
      <c r="D347" s="58"/>
      <c r="E347" s="58"/>
      <c r="F347" s="58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 spans="1:40" ht="23.25" customHeight="1" x14ac:dyDescent="0.3">
      <c r="A348" s="18"/>
      <c r="B348" s="18"/>
      <c r="C348" s="58"/>
      <c r="D348" s="58"/>
      <c r="E348" s="58"/>
      <c r="F348" s="58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 spans="1:40" ht="23.25" customHeight="1" x14ac:dyDescent="0.3">
      <c r="A349" s="18"/>
      <c r="B349" s="18"/>
      <c r="C349" s="58"/>
      <c r="D349" s="58"/>
      <c r="E349" s="58"/>
      <c r="F349" s="58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 spans="1:40" ht="23.25" customHeight="1" x14ac:dyDescent="0.3">
      <c r="A350" s="18"/>
      <c r="B350" s="18"/>
      <c r="C350" s="58"/>
      <c r="D350" s="58"/>
      <c r="E350" s="58"/>
      <c r="F350" s="58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 spans="1:40" ht="23.25" customHeight="1" x14ac:dyDescent="0.3">
      <c r="A351" s="18"/>
      <c r="B351" s="18"/>
      <c r="C351" s="58"/>
      <c r="D351" s="58"/>
      <c r="E351" s="58"/>
      <c r="F351" s="58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 spans="1:40" ht="23.25" customHeight="1" x14ac:dyDescent="0.3">
      <c r="A352" s="18"/>
      <c r="B352" s="18"/>
      <c r="C352" s="58"/>
      <c r="D352" s="58"/>
      <c r="E352" s="58"/>
      <c r="F352" s="58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 spans="1:40" ht="23.25" customHeight="1" x14ac:dyDescent="0.3">
      <c r="A353" s="18"/>
      <c r="B353" s="18"/>
      <c r="C353" s="58"/>
      <c r="D353" s="58"/>
      <c r="E353" s="58"/>
      <c r="F353" s="58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 spans="1:40" ht="23.25" customHeight="1" x14ac:dyDescent="0.3">
      <c r="A354" s="18"/>
      <c r="B354" s="18"/>
      <c r="C354" s="58"/>
      <c r="D354" s="58"/>
      <c r="E354" s="58"/>
      <c r="F354" s="58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 spans="1:40" ht="23.25" customHeight="1" x14ac:dyDescent="0.3">
      <c r="A355" s="18"/>
      <c r="B355" s="18"/>
      <c r="C355" s="58"/>
      <c r="D355" s="58"/>
      <c r="E355" s="58"/>
      <c r="F355" s="58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 spans="1:40" ht="23.25" customHeight="1" x14ac:dyDescent="0.3">
      <c r="A356" s="18"/>
      <c r="B356" s="18"/>
      <c r="C356" s="58"/>
      <c r="D356" s="58"/>
      <c r="E356" s="58"/>
      <c r="F356" s="58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 spans="1:40" ht="23.25" customHeight="1" x14ac:dyDescent="0.3">
      <c r="A357" s="18"/>
      <c r="B357" s="18"/>
      <c r="C357" s="58"/>
      <c r="D357" s="58"/>
      <c r="E357" s="58"/>
      <c r="F357" s="58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 spans="1:40" ht="23.25" customHeight="1" x14ac:dyDescent="0.3">
      <c r="A358" s="18"/>
      <c r="B358" s="18"/>
      <c r="C358" s="58"/>
      <c r="D358" s="58"/>
      <c r="E358" s="58"/>
      <c r="F358" s="58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 spans="1:40" ht="23.25" customHeight="1" x14ac:dyDescent="0.3">
      <c r="A359" s="18"/>
      <c r="B359" s="18"/>
      <c r="C359" s="58"/>
      <c r="D359" s="58"/>
      <c r="E359" s="58"/>
      <c r="F359" s="58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 spans="1:40" ht="23.25" customHeight="1" x14ac:dyDescent="0.3">
      <c r="A360" s="18"/>
      <c r="B360" s="18"/>
      <c r="C360" s="58"/>
      <c r="D360" s="58"/>
      <c r="E360" s="58"/>
      <c r="F360" s="58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 spans="1:40" ht="23.25" customHeight="1" x14ac:dyDescent="0.3">
      <c r="A361" s="18"/>
      <c r="B361" s="18"/>
      <c r="C361" s="58"/>
      <c r="D361" s="58"/>
      <c r="E361" s="58"/>
      <c r="F361" s="58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 spans="1:40" ht="23.25" customHeight="1" x14ac:dyDescent="0.3">
      <c r="A362" s="18"/>
      <c r="B362" s="18"/>
      <c r="C362" s="58"/>
      <c r="D362" s="58"/>
      <c r="E362" s="58"/>
      <c r="F362" s="58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 spans="1:40" ht="23.25" customHeight="1" x14ac:dyDescent="0.3">
      <c r="A363" s="18"/>
      <c r="B363" s="18"/>
      <c r="C363" s="58"/>
      <c r="D363" s="58"/>
      <c r="E363" s="58"/>
      <c r="F363" s="58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 spans="1:40" ht="23.25" customHeight="1" x14ac:dyDescent="0.3">
      <c r="A364" s="18"/>
      <c r="B364" s="18"/>
      <c r="C364" s="58"/>
      <c r="D364" s="58"/>
      <c r="E364" s="58"/>
      <c r="F364" s="58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 spans="1:40" ht="23.25" customHeight="1" x14ac:dyDescent="0.3">
      <c r="A365" s="18"/>
      <c r="B365" s="18"/>
      <c r="C365" s="58"/>
      <c r="D365" s="58"/>
      <c r="E365" s="58"/>
      <c r="F365" s="58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 spans="1:40" ht="23.25" customHeight="1" x14ac:dyDescent="0.3">
      <c r="A366" s="18"/>
      <c r="B366" s="18"/>
      <c r="C366" s="58"/>
      <c r="D366" s="58"/>
      <c r="E366" s="58"/>
      <c r="F366" s="58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 spans="1:40" ht="23.25" customHeight="1" x14ac:dyDescent="0.3">
      <c r="A367" s="18"/>
      <c r="B367" s="18"/>
      <c r="C367" s="58"/>
      <c r="D367" s="58"/>
      <c r="E367" s="58"/>
      <c r="F367" s="58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 spans="1:40" ht="23.25" customHeight="1" x14ac:dyDescent="0.3">
      <c r="A368" s="18"/>
      <c r="B368" s="18"/>
      <c r="C368" s="58"/>
      <c r="D368" s="58"/>
      <c r="E368" s="58"/>
      <c r="F368" s="58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 spans="1:40" ht="23.25" customHeight="1" x14ac:dyDescent="0.3">
      <c r="A369" s="18"/>
      <c r="B369" s="18"/>
      <c r="C369" s="58"/>
      <c r="D369" s="58"/>
      <c r="E369" s="58"/>
      <c r="F369" s="58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 spans="1:40" ht="23.25" customHeight="1" x14ac:dyDescent="0.3">
      <c r="A370" s="18"/>
      <c r="B370" s="18"/>
      <c r="C370" s="58"/>
      <c r="D370" s="58"/>
      <c r="E370" s="58"/>
      <c r="F370" s="58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 spans="1:40" ht="23.25" customHeight="1" x14ac:dyDescent="0.3">
      <c r="A371" s="18"/>
      <c r="B371" s="18"/>
      <c r="C371" s="58"/>
      <c r="D371" s="58"/>
      <c r="E371" s="58"/>
      <c r="F371" s="58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 spans="1:40" ht="23.25" customHeight="1" x14ac:dyDescent="0.3">
      <c r="A372" s="18"/>
      <c r="B372" s="18"/>
      <c r="C372" s="58"/>
      <c r="D372" s="58"/>
      <c r="E372" s="58"/>
      <c r="F372" s="58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 spans="1:40" ht="23.25" customHeight="1" x14ac:dyDescent="0.3">
      <c r="A373" s="18"/>
      <c r="B373" s="18"/>
      <c r="C373" s="58"/>
      <c r="D373" s="58"/>
      <c r="E373" s="58"/>
      <c r="F373" s="58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 spans="1:40" ht="23.25" customHeight="1" x14ac:dyDescent="0.3">
      <c r="A374" s="18"/>
      <c r="B374" s="18"/>
      <c r="C374" s="58"/>
      <c r="D374" s="58"/>
      <c r="E374" s="58"/>
      <c r="F374" s="58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 spans="1:40" ht="23.25" customHeight="1" x14ac:dyDescent="0.3">
      <c r="A375" s="18"/>
      <c r="B375" s="18"/>
      <c r="C375" s="58"/>
      <c r="D375" s="58"/>
      <c r="E375" s="58"/>
      <c r="F375" s="58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 spans="1:40" ht="23.25" customHeight="1" x14ac:dyDescent="0.3">
      <c r="A376" s="18"/>
      <c r="B376" s="18"/>
      <c r="C376" s="58"/>
      <c r="D376" s="58"/>
      <c r="E376" s="58"/>
      <c r="F376" s="58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 spans="1:40" ht="23.25" customHeight="1" x14ac:dyDescent="0.3">
      <c r="A377" s="18"/>
      <c r="B377" s="18"/>
      <c r="C377" s="58"/>
      <c r="D377" s="58"/>
      <c r="E377" s="58"/>
      <c r="F377" s="58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 spans="1:40" ht="23.25" customHeight="1" x14ac:dyDescent="0.3">
      <c r="A378" s="18"/>
      <c r="B378" s="18"/>
      <c r="C378" s="58"/>
      <c r="D378" s="58"/>
      <c r="E378" s="58"/>
      <c r="F378" s="58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 spans="1:40" ht="23.25" customHeight="1" x14ac:dyDescent="0.3">
      <c r="A379" s="18"/>
      <c r="B379" s="18"/>
      <c r="C379" s="58"/>
      <c r="D379" s="58"/>
      <c r="E379" s="58"/>
      <c r="F379" s="58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 spans="1:40" ht="23.25" customHeight="1" x14ac:dyDescent="0.3">
      <c r="A380" s="18"/>
      <c r="B380" s="18"/>
      <c r="C380" s="58"/>
      <c r="D380" s="58"/>
      <c r="E380" s="58"/>
      <c r="F380" s="58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 spans="1:40" ht="23.25" customHeight="1" x14ac:dyDescent="0.3">
      <c r="A381" s="18"/>
      <c r="B381" s="18"/>
      <c r="C381" s="58"/>
      <c r="D381" s="58"/>
      <c r="E381" s="58"/>
      <c r="F381" s="58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 spans="1:40" ht="23.25" customHeight="1" x14ac:dyDescent="0.3">
      <c r="A382" s="18"/>
      <c r="B382" s="18"/>
      <c r="C382" s="58"/>
      <c r="D382" s="58"/>
      <c r="E382" s="58"/>
      <c r="F382" s="58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 spans="1:40" ht="23.25" customHeight="1" x14ac:dyDescent="0.3">
      <c r="A383" s="18"/>
      <c r="B383" s="18"/>
      <c r="C383" s="58"/>
      <c r="D383" s="58"/>
      <c r="E383" s="58"/>
      <c r="F383" s="58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 spans="1:40" ht="23.25" customHeight="1" x14ac:dyDescent="0.3">
      <c r="A384" s="18"/>
      <c r="B384" s="18"/>
      <c r="C384" s="58"/>
      <c r="D384" s="58"/>
      <c r="E384" s="58"/>
      <c r="F384" s="58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 spans="1:40" ht="23.25" customHeight="1" x14ac:dyDescent="0.3">
      <c r="A385" s="18"/>
      <c r="B385" s="18"/>
      <c r="C385" s="58"/>
      <c r="D385" s="58"/>
      <c r="E385" s="58"/>
      <c r="F385" s="58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 spans="1:40" ht="23.25" customHeight="1" x14ac:dyDescent="0.3">
      <c r="A386" s="18"/>
      <c r="B386" s="18"/>
      <c r="C386" s="58"/>
      <c r="D386" s="58"/>
      <c r="E386" s="58"/>
      <c r="F386" s="58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 spans="1:40" ht="23.25" customHeight="1" x14ac:dyDescent="0.3">
      <c r="A387" s="18"/>
      <c r="B387" s="18"/>
      <c r="C387" s="58"/>
      <c r="D387" s="58"/>
      <c r="E387" s="58"/>
      <c r="F387" s="58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 spans="1:40" ht="23.25" customHeight="1" x14ac:dyDescent="0.3">
      <c r="A388" s="18"/>
      <c r="B388" s="18"/>
      <c r="C388" s="58"/>
      <c r="D388" s="58"/>
      <c r="E388" s="58"/>
      <c r="F388" s="58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 spans="1:40" ht="23.25" customHeight="1" x14ac:dyDescent="0.3">
      <c r="A389" s="18"/>
      <c r="B389" s="18"/>
      <c r="C389" s="58"/>
      <c r="D389" s="58"/>
      <c r="E389" s="58"/>
      <c r="F389" s="58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 spans="1:40" ht="23.25" customHeight="1" x14ac:dyDescent="0.3">
      <c r="A390" s="18"/>
      <c r="B390" s="18"/>
      <c r="C390" s="58"/>
      <c r="D390" s="58"/>
      <c r="E390" s="58"/>
      <c r="F390" s="58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 spans="1:40" ht="23.25" customHeight="1" x14ac:dyDescent="0.3">
      <c r="A391" s="18"/>
      <c r="B391" s="18"/>
      <c r="C391" s="58"/>
      <c r="D391" s="58"/>
      <c r="E391" s="58"/>
      <c r="F391" s="58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 spans="1:40" ht="23.25" customHeight="1" x14ac:dyDescent="0.3">
      <c r="A392" s="18"/>
      <c r="B392" s="18"/>
      <c r="C392" s="58"/>
      <c r="D392" s="58"/>
      <c r="E392" s="58"/>
      <c r="F392" s="58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 spans="1:40" ht="23.25" customHeight="1" x14ac:dyDescent="0.3">
      <c r="A393" s="18"/>
      <c r="B393" s="18"/>
      <c r="C393" s="58"/>
      <c r="D393" s="58"/>
      <c r="E393" s="58"/>
      <c r="F393" s="58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 spans="1:40" ht="23.25" customHeight="1" x14ac:dyDescent="0.3">
      <c r="A394" s="18"/>
      <c r="B394" s="18"/>
      <c r="C394" s="58"/>
      <c r="D394" s="58"/>
      <c r="E394" s="58"/>
      <c r="F394" s="58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 spans="1:40" ht="23.25" customHeight="1" x14ac:dyDescent="0.3">
      <c r="A395" s="18"/>
      <c r="B395" s="18"/>
      <c r="C395" s="58"/>
      <c r="D395" s="58"/>
      <c r="E395" s="58"/>
      <c r="F395" s="58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 spans="1:40" ht="23.25" customHeight="1" x14ac:dyDescent="0.3">
      <c r="A396" s="18"/>
      <c r="B396" s="18"/>
      <c r="C396" s="58"/>
      <c r="D396" s="58"/>
      <c r="E396" s="58"/>
      <c r="F396" s="58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 spans="1:40" ht="23.25" customHeight="1" x14ac:dyDescent="0.3">
      <c r="A397" s="18"/>
      <c r="B397" s="18"/>
      <c r="C397" s="58"/>
      <c r="D397" s="58"/>
      <c r="E397" s="58"/>
      <c r="F397" s="58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 spans="1:40" ht="23.25" customHeight="1" x14ac:dyDescent="0.3">
      <c r="A398" s="18"/>
      <c r="B398" s="18"/>
      <c r="C398" s="58"/>
      <c r="D398" s="58"/>
      <c r="E398" s="58"/>
      <c r="F398" s="58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 spans="1:40" ht="23.25" customHeight="1" x14ac:dyDescent="0.3">
      <c r="A399" s="18"/>
      <c r="B399" s="18"/>
      <c r="C399" s="58"/>
      <c r="D399" s="58"/>
      <c r="E399" s="58"/>
      <c r="F399" s="58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 spans="1:40" ht="23.25" customHeight="1" x14ac:dyDescent="0.3">
      <c r="A400" s="18"/>
      <c r="B400" s="18"/>
      <c r="C400" s="58"/>
      <c r="D400" s="58"/>
      <c r="E400" s="58"/>
      <c r="F400" s="58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 spans="1:40" ht="23.25" customHeight="1" x14ac:dyDescent="0.3">
      <c r="A401" s="18"/>
      <c r="B401" s="18"/>
      <c r="C401" s="58"/>
      <c r="D401" s="58"/>
      <c r="E401" s="58"/>
      <c r="F401" s="58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 spans="1:40" ht="23.25" customHeight="1" x14ac:dyDescent="0.3">
      <c r="A402" s="18"/>
      <c r="B402" s="18"/>
      <c r="C402" s="58"/>
      <c r="D402" s="58"/>
      <c r="E402" s="58"/>
      <c r="F402" s="58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 spans="1:40" ht="23.25" customHeight="1" x14ac:dyDescent="0.3">
      <c r="A403" s="18"/>
      <c r="B403" s="18"/>
      <c r="C403" s="58"/>
      <c r="D403" s="58"/>
      <c r="E403" s="58"/>
      <c r="F403" s="58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 spans="1:40" ht="23.25" customHeight="1" x14ac:dyDescent="0.3">
      <c r="A404" s="18"/>
      <c r="B404" s="18"/>
      <c r="C404" s="58"/>
      <c r="D404" s="58"/>
      <c r="E404" s="58"/>
      <c r="F404" s="58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 spans="1:40" ht="23.25" customHeight="1" x14ac:dyDescent="0.3">
      <c r="A405" s="18"/>
      <c r="B405" s="18"/>
      <c r="C405" s="58"/>
      <c r="D405" s="58"/>
      <c r="E405" s="58"/>
      <c r="F405" s="58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 spans="1:40" ht="23.25" customHeight="1" x14ac:dyDescent="0.3">
      <c r="A406" s="18"/>
      <c r="B406" s="18"/>
      <c r="C406" s="58"/>
      <c r="D406" s="58"/>
      <c r="E406" s="58"/>
      <c r="F406" s="58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 spans="1:40" ht="23.25" customHeight="1" x14ac:dyDescent="0.3">
      <c r="A407" s="18"/>
      <c r="B407" s="18"/>
      <c r="C407" s="58"/>
      <c r="D407" s="58"/>
      <c r="E407" s="58"/>
      <c r="F407" s="58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 spans="1:40" ht="23.25" customHeight="1" x14ac:dyDescent="0.3">
      <c r="A408" s="18"/>
      <c r="B408" s="18"/>
      <c r="C408" s="58"/>
      <c r="D408" s="58"/>
      <c r="E408" s="58"/>
      <c r="F408" s="58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 spans="1:40" ht="23.25" customHeight="1" x14ac:dyDescent="0.3">
      <c r="A409" s="18"/>
      <c r="B409" s="18"/>
      <c r="C409" s="58"/>
      <c r="D409" s="58"/>
      <c r="E409" s="58"/>
      <c r="F409" s="58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 spans="1:40" ht="23.25" customHeight="1" x14ac:dyDescent="0.3">
      <c r="A410" s="18"/>
      <c r="B410" s="18"/>
      <c r="C410" s="58"/>
      <c r="D410" s="58"/>
      <c r="E410" s="58"/>
      <c r="F410" s="58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 spans="1:40" ht="23.25" customHeight="1" x14ac:dyDescent="0.3">
      <c r="A411" s="18"/>
      <c r="B411" s="18"/>
      <c r="C411" s="58"/>
      <c r="D411" s="58"/>
      <c r="E411" s="58"/>
      <c r="F411" s="58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 spans="1:40" ht="23.25" customHeight="1" x14ac:dyDescent="0.3">
      <c r="A412" s="18"/>
      <c r="B412" s="18"/>
      <c r="C412" s="58"/>
      <c r="D412" s="58"/>
      <c r="E412" s="58"/>
      <c r="F412" s="58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 spans="1:40" ht="23.25" customHeight="1" x14ac:dyDescent="0.3">
      <c r="A413" s="18"/>
      <c r="B413" s="18"/>
      <c r="C413" s="58"/>
      <c r="D413" s="58"/>
      <c r="E413" s="58"/>
      <c r="F413" s="58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 spans="1:40" ht="23.25" customHeight="1" x14ac:dyDescent="0.3">
      <c r="A414" s="18"/>
      <c r="B414" s="18"/>
      <c r="C414" s="58"/>
      <c r="D414" s="58"/>
      <c r="E414" s="58"/>
      <c r="F414" s="58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 spans="1:40" ht="23.25" customHeight="1" x14ac:dyDescent="0.3">
      <c r="A415" s="18"/>
      <c r="B415" s="18"/>
      <c r="C415" s="58"/>
      <c r="D415" s="58"/>
      <c r="E415" s="58"/>
      <c r="F415" s="58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 spans="1:40" ht="23.25" customHeight="1" x14ac:dyDescent="0.3">
      <c r="A416" s="18"/>
      <c r="B416" s="18"/>
      <c r="C416" s="58"/>
      <c r="D416" s="58"/>
      <c r="E416" s="58"/>
      <c r="F416" s="58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 spans="1:40" ht="23.25" customHeight="1" x14ac:dyDescent="0.3">
      <c r="A417" s="18"/>
      <c r="B417" s="18"/>
      <c r="C417" s="58"/>
      <c r="D417" s="58"/>
      <c r="E417" s="58"/>
      <c r="F417" s="58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 spans="1:40" ht="23.25" customHeight="1" x14ac:dyDescent="0.3">
      <c r="A418" s="18"/>
      <c r="B418" s="18"/>
      <c r="C418" s="58"/>
      <c r="D418" s="58"/>
      <c r="E418" s="58"/>
      <c r="F418" s="58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 spans="1:40" ht="23.25" customHeight="1" x14ac:dyDescent="0.3">
      <c r="A419" s="18"/>
      <c r="B419" s="18"/>
      <c r="C419" s="58"/>
      <c r="D419" s="58"/>
      <c r="E419" s="58"/>
      <c r="F419" s="58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 spans="1:40" ht="23.25" customHeight="1" x14ac:dyDescent="0.3">
      <c r="A420" s="18"/>
      <c r="B420" s="18"/>
      <c r="C420" s="58"/>
      <c r="D420" s="58"/>
      <c r="E420" s="58"/>
      <c r="F420" s="58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 spans="1:40" ht="23.25" customHeight="1" x14ac:dyDescent="0.3">
      <c r="A421" s="18"/>
      <c r="B421" s="18"/>
      <c r="C421" s="58"/>
      <c r="D421" s="58"/>
      <c r="E421" s="58"/>
      <c r="F421" s="58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 spans="1:40" ht="23.25" customHeight="1" x14ac:dyDescent="0.3">
      <c r="A422" s="18"/>
      <c r="B422" s="18"/>
      <c r="C422" s="58"/>
      <c r="D422" s="58"/>
      <c r="E422" s="58"/>
      <c r="F422" s="58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 spans="1:40" ht="23.25" customHeight="1" x14ac:dyDescent="0.3">
      <c r="A423" s="18"/>
      <c r="B423" s="18"/>
      <c r="C423" s="58"/>
      <c r="D423" s="58"/>
      <c r="E423" s="58"/>
      <c r="F423" s="58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 spans="1:40" ht="23.25" customHeight="1" x14ac:dyDescent="0.3">
      <c r="A424" s="18"/>
      <c r="B424" s="18"/>
      <c r="C424" s="58"/>
      <c r="D424" s="58"/>
      <c r="E424" s="58"/>
      <c r="F424" s="58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 spans="1:40" ht="23.25" customHeight="1" x14ac:dyDescent="0.3">
      <c r="A425" s="18"/>
      <c r="B425" s="18"/>
      <c r="C425" s="58"/>
      <c r="D425" s="58"/>
      <c r="E425" s="58"/>
      <c r="F425" s="58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 spans="1:40" ht="23.25" customHeight="1" x14ac:dyDescent="0.3">
      <c r="A426" s="18"/>
      <c r="B426" s="18"/>
      <c r="C426" s="58"/>
      <c r="D426" s="58"/>
      <c r="E426" s="58"/>
      <c r="F426" s="58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 spans="1:40" ht="23.25" customHeight="1" x14ac:dyDescent="0.3">
      <c r="A427" s="18"/>
      <c r="B427" s="18"/>
      <c r="C427" s="58"/>
      <c r="D427" s="58"/>
      <c r="E427" s="58"/>
      <c r="F427" s="58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 spans="1:40" ht="23.25" customHeight="1" x14ac:dyDescent="0.3">
      <c r="A428" s="18"/>
      <c r="B428" s="18"/>
      <c r="C428" s="58"/>
      <c r="D428" s="58"/>
      <c r="E428" s="58"/>
      <c r="F428" s="58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 spans="1:40" ht="23.25" customHeight="1" x14ac:dyDescent="0.3">
      <c r="A429" s="18"/>
      <c r="B429" s="18"/>
      <c r="C429" s="58"/>
      <c r="D429" s="58"/>
      <c r="E429" s="58"/>
      <c r="F429" s="58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 spans="1:40" ht="23.25" customHeight="1" x14ac:dyDescent="0.3">
      <c r="A430" s="18"/>
      <c r="B430" s="18"/>
      <c r="C430" s="58"/>
      <c r="D430" s="58"/>
      <c r="E430" s="58"/>
      <c r="F430" s="58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 spans="1:40" ht="23.25" customHeight="1" x14ac:dyDescent="0.3">
      <c r="A431" s="18"/>
      <c r="B431" s="18"/>
      <c r="C431" s="58"/>
      <c r="D431" s="58"/>
      <c r="E431" s="58"/>
      <c r="F431" s="58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 spans="1:40" ht="23.25" customHeight="1" x14ac:dyDescent="0.3">
      <c r="A432" s="18"/>
      <c r="B432" s="18"/>
      <c r="C432" s="58"/>
      <c r="D432" s="58"/>
      <c r="E432" s="58"/>
      <c r="F432" s="58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 spans="1:40" ht="23.25" customHeight="1" x14ac:dyDescent="0.3">
      <c r="A433" s="18"/>
      <c r="B433" s="18"/>
      <c r="C433" s="58"/>
      <c r="D433" s="58"/>
      <c r="E433" s="58"/>
      <c r="F433" s="58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 spans="1:40" ht="23.25" customHeight="1" x14ac:dyDescent="0.3">
      <c r="A434" s="18"/>
      <c r="B434" s="18"/>
      <c r="C434" s="58"/>
      <c r="D434" s="58"/>
      <c r="E434" s="58"/>
      <c r="F434" s="58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 spans="1:40" ht="23.25" customHeight="1" x14ac:dyDescent="0.3">
      <c r="A435" s="18"/>
      <c r="B435" s="18"/>
      <c r="C435" s="58"/>
      <c r="D435" s="58"/>
      <c r="E435" s="58"/>
      <c r="F435" s="58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 spans="1:40" ht="23.25" customHeight="1" x14ac:dyDescent="0.3">
      <c r="A436" s="18"/>
      <c r="B436" s="18"/>
      <c r="C436" s="58"/>
      <c r="D436" s="58"/>
      <c r="E436" s="58"/>
      <c r="F436" s="58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 spans="1:40" ht="23.25" customHeight="1" x14ac:dyDescent="0.3">
      <c r="A437" s="18"/>
      <c r="B437" s="18"/>
      <c r="C437" s="58"/>
      <c r="D437" s="58"/>
      <c r="E437" s="58"/>
      <c r="F437" s="58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 spans="1:40" ht="23.25" customHeight="1" x14ac:dyDescent="0.3">
      <c r="A438" s="18"/>
      <c r="B438" s="18"/>
      <c r="C438" s="58"/>
      <c r="D438" s="58"/>
      <c r="E438" s="58"/>
      <c r="F438" s="58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 spans="1:40" ht="23.25" customHeight="1" x14ac:dyDescent="0.3">
      <c r="A439" s="18"/>
      <c r="B439" s="18"/>
      <c r="C439" s="58"/>
      <c r="D439" s="58"/>
      <c r="E439" s="58"/>
      <c r="F439" s="58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 spans="1:40" ht="23.25" customHeight="1" x14ac:dyDescent="0.3">
      <c r="A440" s="18"/>
      <c r="B440" s="18"/>
      <c r="C440" s="58"/>
      <c r="D440" s="58"/>
      <c r="E440" s="58"/>
      <c r="F440" s="58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 spans="1:40" ht="23.25" customHeight="1" x14ac:dyDescent="0.3">
      <c r="A441" s="18"/>
      <c r="B441" s="18"/>
      <c r="C441" s="58"/>
      <c r="D441" s="58"/>
      <c r="E441" s="58"/>
      <c r="F441" s="58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 spans="1:40" ht="23.25" customHeight="1" x14ac:dyDescent="0.3">
      <c r="A442" s="18"/>
      <c r="B442" s="18"/>
      <c r="C442" s="58"/>
      <c r="D442" s="58"/>
      <c r="E442" s="58"/>
      <c r="F442" s="58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 spans="1:40" ht="23.25" customHeight="1" x14ac:dyDescent="0.3">
      <c r="A443" s="18"/>
      <c r="B443" s="18"/>
      <c r="C443" s="58"/>
      <c r="D443" s="58"/>
      <c r="E443" s="58"/>
      <c r="F443" s="58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 spans="1:40" ht="23.25" customHeight="1" x14ac:dyDescent="0.3">
      <c r="A444" s="18"/>
      <c r="B444" s="18"/>
      <c r="C444" s="58"/>
      <c r="D444" s="58"/>
      <c r="E444" s="58"/>
      <c r="F444" s="58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 spans="1:40" ht="23.25" customHeight="1" x14ac:dyDescent="0.3">
      <c r="A445" s="18"/>
      <c r="B445" s="18"/>
      <c r="C445" s="58"/>
      <c r="D445" s="58"/>
      <c r="E445" s="58"/>
      <c r="F445" s="58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 spans="1:40" ht="23.25" customHeight="1" x14ac:dyDescent="0.3">
      <c r="A446" s="18"/>
      <c r="B446" s="18"/>
      <c r="C446" s="58"/>
      <c r="D446" s="58"/>
      <c r="E446" s="58"/>
      <c r="F446" s="58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 spans="1:40" ht="23.25" customHeight="1" x14ac:dyDescent="0.3">
      <c r="A447" s="18"/>
      <c r="B447" s="18"/>
      <c r="C447" s="58"/>
      <c r="D447" s="58"/>
      <c r="E447" s="58"/>
      <c r="F447" s="58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 spans="1:40" ht="23.25" customHeight="1" x14ac:dyDescent="0.3">
      <c r="A448" s="18"/>
      <c r="B448" s="18"/>
      <c r="C448" s="58"/>
      <c r="D448" s="58"/>
      <c r="E448" s="58"/>
      <c r="F448" s="58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 spans="1:40" ht="23.25" customHeight="1" x14ac:dyDescent="0.3">
      <c r="A449" s="18"/>
      <c r="B449" s="18"/>
      <c r="C449" s="58"/>
      <c r="D449" s="58"/>
      <c r="E449" s="58"/>
      <c r="F449" s="58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 spans="1:40" ht="23.25" customHeight="1" x14ac:dyDescent="0.3">
      <c r="A450" s="18"/>
      <c r="B450" s="18"/>
      <c r="C450" s="58"/>
      <c r="D450" s="58"/>
      <c r="E450" s="58"/>
      <c r="F450" s="58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 spans="1:40" ht="23.25" customHeight="1" x14ac:dyDescent="0.3">
      <c r="A451" s="18"/>
      <c r="B451" s="18"/>
      <c r="C451" s="58"/>
      <c r="D451" s="58"/>
      <c r="E451" s="58"/>
      <c r="F451" s="58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 spans="1:40" ht="23.25" customHeight="1" x14ac:dyDescent="0.3">
      <c r="A452" s="18"/>
      <c r="B452" s="18"/>
      <c r="C452" s="58"/>
      <c r="D452" s="58"/>
      <c r="E452" s="58"/>
      <c r="F452" s="58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 spans="1:40" ht="23.25" customHeight="1" x14ac:dyDescent="0.3">
      <c r="A453" s="18"/>
      <c r="B453" s="18"/>
      <c r="C453" s="58"/>
      <c r="D453" s="58"/>
      <c r="E453" s="58"/>
      <c r="F453" s="58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 spans="1:40" ht="23.25" customHeight="1" x14ac:dyDescent="0.3">
      <c r="A454" s="18"/>
      <c r="B454" s="18"/>
      <c r="C454" s="58"/>
      <c r="D454" s="58"/>
      <c r="E454" s="58"/>
      <c r="F454" s="58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 spans="1:40" ht="23.25" customHeight="1" x14ac:dyDescent="0.3">
      <c r="A455" s="18"/>
      <c r="B455" s="18"/>
      <c r="C455" s="58"/>
      <c r="D455" s="58"/>
      <c r="E455" s="58"/>
      <c r="F455" s="58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 spans="1:40" ht="23.25" customHeight="1" x14ac:dyDescent="0.3">
      <c r="A456" s="18"/>
      <c r="B456" s="18"/>
      <c r="C456" s="58"/>
      <c r="D456" s="58"/>
      <c r="E456" s="58"/>
      <c r="F456" s="58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 spans="1:40" ht="23.25" customHeight="1" x14ac:dyDescent="0.3">
      <c r="A457" s="18"/>
      <c r="B457" s="18"/>
      <c r="C457" s="58"/>
      <c r="D457" s="58"/>
      <c r="E457" s="58"/>
      <c r="F457" s="58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 spans="1:40" ht="23.25" customHeight="1" x14ac:dyDescent="0.3">
      <c r="A458" s="18"/>
      <c r="B458" s="18"/>
      <c r="C458" s="58"/>
      <c r="D458" s="58"/>
      <c r="E458" s="58"/>
      <c r="F458" s="58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 spans="1:40" ht="23.25" customHeight="1" x14ac:dyDescent="0.3">
      <c r="A459" s="18"/>
      <c r="B459" s="18"/>
      <c r="C459" s="58"/>
      <c r="D459" s="58"/>
      <c r="E459" s="58"/>
      <c r="F459" s="58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 spans="1:40" ht="23.25" customHeight="1" x14ac:dyDescent="0.3">
      <c r="A460" s="18"/>
      <c r="B460" s="18"/>
      <c r="C460" s="58"/>
      <c r="D460" s="58"/>
      <c r="E460" s="58"/>
      <c r="F460" s="58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 spans="1:40" ht="23.25" customHeight="1" x14ac:dyDescent="0.3">
      <c r="A461" s="18"/>
      <c r="B461" s="18"/>
      <c r="C461" s="58"/>
      <c r="D461" s="58"/>
      <c r="E461" s="58"/>
      <c r="F461" s="58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 spans="1:40" ht="23.25" customHeight="1" x14ac:dyDescent="0.3">
      <c r="A462" s="18"/>
      <c r="B462" s="18"/>
      <c r="C462" s="58"/>
      <c r="D462" s="58"/>
      <c r="E462" s="58"/>
      <c r="F462" s="58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 spans="1:40" ht="23.25" customHeight="1" x14ac:dyDescent="0.3">
      <c r="A463" s="18"/>
      <c r="B463" s="18"/>
      <c r="C463" s="58"/>
      <c r="D463" s="58"/>
      <c r="E463" s="58"/>
      <c r="F463" s="58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 spans="1:40" ht="23.25" customHeight="1" x14ac:dyDescent="0.3">
      <c r="A464" s="18"/>
      <c r="B464" s="18"/>
      <c r="C464" s="58"/>
      <c r="D464" s="58"/>
      <c r="E464" s="58"/>
      <c r="F464" s="58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 spans="1:40" ht="23.25" customHeight="1" x14ac:dyDescent="0.3">
      <c r="A465" s="18"/>
      <c r="B465" s="18"/>
      <c r="C465" s="58"/>
      <c r="D465" s="58"/>
      <c r="E465" s="58"/>
      <c r="F465" s="58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 spans="1:40" ht="23.25" customHeight="1" x14ac:dyDescent="0.3">
      <c r="A466" s="18"/>
      <c r="B466" s="18"/>
      <c r="C466" s="58"/>
      <c r="D466" s="58"/>
      <c r="E466" s="58"/>
      <c r="F466" s="58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 spans="1:40" ht="23.25" customHeight="1" x14ac:dyDescent="0.3">
      <c r="A467" s="18"/>
      <c r="B467" s="18"/>
      <c r="C467" s="58"/>
      <c r="D467" s="58"/>
      <c r="E467" s="58"/>
      <c r="F467" s="58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 spans="1:40" ht="23.25" customHeight="1" x14ac:dyDescent="0.3">
      <c r="A468" s="18"/>
      <c r="B468" s="18"/>
      <c r="C468" s="58"/>
      <c r="D468" s="58"/>
      <c r="E468" s="58"/>
      <c r="F468" s="58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 spans="1:40" ht="23.25" customHeight="1" x14ac:dyDescent="0.3">
      <c r="A469" s="18"/>
      <c r="B469" s="18"/>
      <c r="C469" s="58"/>
      <c r="D469" s="58"/>
      <c r="E469" s="58"/>
      <c r="F469" s="58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 spans="1:40" ht="23.25" customHeight="1" x14ac:dyDescent="0.3">
      <c r="A470" s="18"/>
      <c r="B470" s="18"/>
      <c r="C470" s="58"/>
      <c r="D470" s="58"/>
      <c r="E470" s="58"/>
      <c r="F470" s="58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 spans="1:40" ht="23.25" customHeight="1" x14ac:dyDescent="0.3">
      <c r="A471" s="18"/>
      <c r="B471" s="18"/>
      <c r="C471" s="58"/>
      <c r="D471" s="58"/>
      <c r="E471" s="58"/>
      <c r="F471" s="58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 spans="1:40" ht="23.25" customHeight="1" x14ac:dyDescent="0.3">
      <c r="A472" s="18"/>
      <c r="B472" s="18"/>
      <c r="C472" s="58"/>
      <c r="D472" s="58"/>
      <c r="E472" s="58"/>
      <c r="F472" s="58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 spans="1:40" ht="23.25" customHeight="1" x14ac:dyDescent="0.3">
      <c r="A473" s="18"/>
      <c r="B473" s="18"/>
      <c r="C473" s="58"/>
      <c r="D473" s="58"/>
      <c r="E473" s="58"/>
      <c r="F473" s="58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 spans="1:40" ht="23.25" customHeight="1" x14ac:dyDescent="0.3">
      <c r="A474" s="18"/>
      <c r="B474" s="18"/>
      <c r="C474" s="58"/>
      <c r="D474" s="58"/>
      <c r="E474" s="58"/>
      <c r="F474" s="58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 spans="1:40" ht="23.25" customHeight="1" x14ac:dyDescent="0.3">
      <c r="A475" s="18"/>
      <c r="B475" s="18"/>
      <c r="C475" s="58"/>
      <c r="D475" s="58"/>
      <c r="E475" s="58"/>
      <c r="F475" s="58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 spans="1:40" ht="23.25" customHeight="1" x14ac:dyDescent="0.3">
      <c r="A476" s="18"/>
      <c r="B476" s="18"/>
      <c r="C476" s="58"/>
      <c r="D476" s="58"/>
      <c r="E476" s="58"/>
      <c r="F476" s="58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 spans="1:40" ht="23.25" customHeight="1" x14ac:dyDescent="0.3">
      <c r="A477" s="18"/>
      <c r="B477" s="18"/>
      <c r="C477" s="58"/>
      <c r="D477" s="58"/>
      <c r="E477" s="58"/>
      <c r="F477" s="58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 spans="1:40" ht="23.25" customHeight="1" x14ac:dyDescent="0.3">
      <c r="A478" s="18"/>
      <c r="B478" s="18"/>
      <c r="C478" s="58"/>
      <c r="D478" s="58"/>
      <c r="E478" s="58"/>
      <c r="F478" s="58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 spans="1:40" ht="23.25" customHeight="1" x14ac:dyDescent="0.3">
      <c r="A479" s="18"/>
      <c r="B479" s="18"/>
      <c r="C479" s="58"/>
      <c r="D479" s="58"/>
      <c r="E479" s="58"/>
      <c r="F479" s="58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 spans="1:40" ht="23.25" customHeight="1" x14ac:dyDescent="0.3">
      <c r="A480" s="18"/>
      <c r="B480" s="18"/>
      <c r="C480" s="58"/>
      <c r="D480" s="58"/>
      <c r="E480" s="58"/>
      <c r="F480" s="58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 spans="1:40" ht="23.25" customHeight="1" x14ac:dyDescent="0.3">
      <c r="A481" s="18"/>
      <c r="B481" s="18"/>
      <c r="C481" s="58"/>
      <c r="D481" s="58"/>
      <c r="E481" s="58"/>
      <c r="F481" s="58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 spans="1:40" ht="23.25" customHeight="1" x14ac:dyDescent="0.3">
      <c r="A482" s="18"/>
      <c r="B482" s="18"/>
      <c r="C482" s="58"/>
      <c r="D482" s="58"/>
      <c r="E482" s="58"/>
      <c r="F482" s="58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 spans="1:40" ht="23.25" customHeight="1" x14ac:dyDescent="0.3">
      <c r="A483" s="18"/>
      <c r="B483" s="18"/>
      <c r="C483" s="58"/>
      <c r="D483" s="58"/>
      <c r="E483" s="58"/>
      <c r="F483" s="58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 spans="1:40" ht="23.25" customHeight="1" x14ac:dyDescent="0.3">
      <c r="A484" s="18"/>
      <c r="B484" s="18"/>
      <c r="C484" s="58"/>
      <c r="D484" s="58"/>
      <c r="E484" s="58"/>
      <c r="F484" s="58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 spans="1:40" ht="23.25" customHeight="1" x14ac:dyDescent="0.3">
      <c r="A485" s="18"/>
      <c r="B485" s="18"/>
      <c r="C485" s="58"/>
      <c r="D485" s="58"/>
      <c r="E485" s="58"/>
      <c r="F485" s="58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 spans="1:40" ht="23.25" customHeight="1" x14ac:dyDescent="0.3">
      <c r="A486" s="18"/>
      <c r="B486" s="18"/>
      <c r="C486" s="58"/>
      <c r="D486" s="58"/>
      <c r="E486" s="58"/>
      <c r="F486" s="58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 spans="1:40" ht="23.25" customHeight="1" x14ac:dyDescent="0.3">
      <c r="A487" s="18"/>
      <c r="B487" s="18"/>
      <c r="C487" s="58"/>
      <c r="D487" s="58"/>
      <c r="E487" s="58"/>
      <c r="F487" s="58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 spans="1:40" ht="23.25" customHeight="1" x14ac:dyDescent="0.3">
      <c r="A488" s="18"/>
      <c r="B488" s="18"/>
      <c r="C488" s="58"/>
      <c r="D488" s="58"/>
      <c r="E488" s="58"/>
      <c r="F488" s="58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 spans="1:40" ht="23.25" customHeight="1" x14ac:dyDescent="0.3">
      <c r="A489" s="18"/>
      <c r="B489" s="18"/>
      <c r="C489" s="58"/>
      <c r="D489" s="58"/>
      <c r="E489" s="58"/>
      <c r="F489" s="58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 spans="1:40" ht="23.25" customHeight="1" x14ac:dyDescent="0.3">
      <c r="A490" s="18"/>
      <c r="B490" s="18"/>
      <c r="C490" s="58"/>
      <c r="D490" s="58"/>
      <c r="E490" s="58"/>
      <c r="F490" s="58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 spans="1:40" ht="23.25" customHeight="1" x14ac:dyDescent="0.3">
      <c r="A491" s="18"/>
      <c r="B491" s="18"/>
      <c r="C491" s="58"/>
      <c r="D491" s="58"/>
      <c r="E491" s="58"/>
      <c r="F491" s="58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 spans="1:40" ht="23.25" customHeight="1" x14ac:dyDescent="0.3">
      <c r="A492" s="18"/>
      <c r="B492" s="18"/>
      <c r="C492" s="58"/>
      <c r="D492" s="58"/>
      <c r="E492" s="58"/>
      <c r="F492" s="58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 spans="1:40" ht="23.25" customHeight="1" x14ac:dyDescent="0.3">
      <c r="A493" s="18"/>
      <c r="B493" s="18"/>
      <c r="C493" s="58"/>
      <c r="D493" s="58"/>
      <c r="E493" s="58"/>
      <c r="F493" s="58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 spans="1:40" ht="23.25" customHeight="1" x14ac:dyDescent="0.3">
      <c r="A494" s="18"/>
      <c r="B494" s="18"/>
      <c r="C494" s="58"/>
      <c r="D494" s="58"/>
      <c r="E494" s="58"/>
      <c r="F494" s="58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 spans="1:40" ht="23.25" customHeight="1" x14ac:dyDescent="0.3">
      <c r="A495" s="18"/>
      <c r="B495" s="18"/>
      <c r="C495" s="58"/>
      <c r="D495" s="58"/>
      <c r="E495" s="58"/>
      <c r="F495" s="58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 spans="1:40" ht="23.25" customHeight="1" x14ac:dyDescent="0.3">
      <c r="A496" s="18"/>
      <c r="B496" s="18"/>
      <c r="C496" s="58"/>
      <c r="D496" s="58"/>
      <c r="E496" s="58"/>
      <c r="F496" s="58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 spans="1:40" ht="23.25" customHeight="1" x14ac:dyDescent="0.3">
      <c r="A497" s="18"/>
      <c r="B497" s="18"/>
      <c r="C497" s="58"/>
      <c r="D497" s="58"/>
      <c r="E497" s="58"/>
      <c r="F497" s="58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 spans="1:40" ht="23.25" customHeight="1" x14ac:dyDescent="0.3">
      <c r="A498" s="18"/>
      <c r="B498" s="18"/>
      <c r="C498" s="58"/>
      <c r="D498" s="58"/>
      <c r="E498" s="58"/>
      <c r="F498" s="58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 spans="1:40" ht="23.25" customHeight="1" x14ac:dyDescent="0.3">
      <c r="A499" s="18"/>
      <c r="B499" s="18"/>
      <c r="C499" s="58"/>
      <c r="D499" s="58"/>
      <c r="E499" s="58"/>
      <c r="F499" s="58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 spans="1:40" ht="23.25" customHeight="1" x14ac:dyDescent="0.3">
      <c r="A500" s="18"/>
      <c r="B500" s="18"/>
      <c r="C500" s="58"/>
      <c r="D500" s="58"/>
      <c r="E500" s="58"/>
      <c r="F500" s="58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 spans="1:40" ht="23.25" customHeight="1" x14ac:dyDescent="0.3">
      <c r="A501" s="18"/>
      <c r="B501" s="18"/>
      <c r="C501" s="58"/>
      <c r="D501" s="58"/>
      <c r="E501" s="58"/>
      <c r="F501" s="58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 spans="1:40" ht="23.25" customHeight="1" x14ac:dyDescent="0.3">
      <c r="A502" s="18"/>
      <c r="B502" s="18"/>
      <c r="C502" s="58"/>
      <c r="D502" s="58"/>
      <c r="E502" s="58"/>
      <c r="F502" s="58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 spans="1:40" ht="23.25" customHeight="1" x14ac:dyDescent="0.3">
      <c r="A503" s="18"/>
      <c r="B503" s="18"/>
      <c r="C503" s="58"/>
      <c r="D503" s="58"/>
      <c r="E503" s="58"/>
      <c r="F503" s="58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 spans="1:40" ht="23.25" customHeight="1" x14ac:dyDescent="0.3">
      <c r="A504" s="18"/>
      <c r="B504" s="18"/>
      <c r="C504" s="58"/>
      <c r="D504" s="58"/>
      <c r="E504" s="58"/>
      <c r="F504" s="58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 spans="1:40" ht="23.25" customHeight="1" x14ac:dyDescent="0.3">
      <c r="A505" s="18"/>
      <c r="B505" s="18"/>
      <c r="C505" s="58"/>
      <c r="D505" s="58"/>
      <c r="E505" s="58"/>
      <c r="F505" s="58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 spans="1:40" ht="23.25" customHeight="1" x14ac:dyDescent="0.3">
      <c r="A506" s="18"/>
      <c r="B506" s="18"/>
      <c r="C506" s="58"/>
      <c r="D506" s="58"/>
      <c r="E506" s="58"/>
      <c r="F506" s="58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 spans="1:40" ht="23.25" customHeight="1" x14ac:dyDescent="0.3">
      <c r="A507" s="18"/>
      <c r="B507" s="18"/>
      <c r="C507" s="58"/>
      <c r="D507" s="58"/>
      <c r="E507" s="58"/>
      <c r="F507" s="58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 spans="1:40" ht="23.25" customHeight="1" x14ac:dyDescent="0.3">
      <c r="A508" s="18"/>
      <c r="B508" s="18"/>
      <c r="C508" s="58"/>
      <c r="D508" s="58"/>
      <c r="E508" s="58"/>
      <c r="F508" s="58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 spans="1:40" ht="23.25" customHeight="1" x14ac:dyDescent="0.3">
      <c r="A509" s="18"/>
      <c r="B509" s="18"/>
      <c r="C509" s="58"/>
      <c r="D509" s="58"/>
      <c r="E509" s="58"/>
      <c r="F509" s="58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 spans="1:40" ht="23.25" customHeight="1" x14ac:dyDescent="0.3">
      <c r="A510" s="18"/>
      <c r="B510" s="18"/>
      <c r="C510" s="58"/>
      <c r="D510" s="58"/>
      <c r="E510" s="58"/>
      <c r="F510" s="58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 spans="1:40" ht="23.25" customHeight="1" x14ac:dyDescent="0.3">
      <c r="A511" s="18"/>
      <c r="B511" s="18"/>
      <c r="C511" s="58"/>
      <c r="D511" s="58"/>
      <c r="E511" s="58"/>
      <c r="F511" s="58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 spans="1:40" ht="23.25" customHeight="1" x14ac:dyDescent="0.3">
      <c r="A512" s="18"/>
      <c r="B512" s="18"/>
      <c r="C512" s="58"/>
      <c r="D512" s="58"/>
      <c r="E512" s="58"/>
      <c r="F512" s="58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 spans="1:40" ht="23.25" customHeight="1" x14ac:dyDescent="0.3">
      <c r="A513" s="18"/>
      <c r="B513" s="18"/>
      <c r="C513" s="58"/>
      <c r="D513" s="58"/>
      <c r="E513" s="58"/>
      <c r="F513" s="58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 spans="1:40" ht="23.25" customHeight="1" x14ac:dyDescent="0.3">
      <c r="A514" s="18"/>
      <c r="B514" s="18"/>
      <c r="C514" s="58"/>
      <c r="D514" s="58"/>
      <c r="E514" s="58"/>
      <c r="F514" s="58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 spans="1:40" ht="23.25" customHeight="1" x14ac:dyDescent="0.3">
      <c r="A515" s="18"/>
      <c r="B515" s="18"/>
      <c r="C515" s="58"/>
      <c r="D515" s="58"/>
      <c r="E515" s="58"/>
      <c r="F515" s="58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 spans="1:40" ht="23.25" customHeight="1" x14ac:dyDescent="0.3">
      <c r="A516" s="18"/>
      <c r="B516" s="18"/>
      <c r="C516" s="58"/>
      <c r="D516" s="58"/>
      <c r="E516" s="58"/>
      <c r="F516" s="58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 spans="1:40" ht="23.25" customHeight="1" x14ac:dyDescent="0.3">
      <c r="A517" s="18"/>
      <c r="B517" s="18"/>
      <c r="C517" s="58"/>
      <c r="D517" s="58"/>
      <c r="E517" s="58"/>
      <c r="F517" s="58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 spans="1:40" ht="23.25" customHeight="1" x14ac:dyDescent="0.3">
      <c r="A518" s="18"/>
      <c r="B518" s="18"/>
      <c r="C518" s="58"/>
      <c r="D518" s="58"/>
      <c r="E518" s="58"/>
      <c r="F518" s="58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 spans="1:40" ht="23.25" customHeight="1" x14ac:dyDescent="0.3">
      <c r="A519" s="18"/>
      <c r="B519" s="18"/>
      <c r="C519" s="58"/>
      <c r="D519" s="58"/>
      <c r="E519" s="58"/>
      <c r="F519" s="58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 spans="1:40" ht="23.25" customHeight="1" x14ac:dyDescent="0.3">
      <c r="A520" s="18"/>
      <c r="B520" s="18"/>
      <c r="C520" s="58"/>
      <c r="D520" s="58"/>
      <c r="E520" s="58"/>
      <c r="F520" s="58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 spans="1:40" ht="23.25" customHeight="1" x14ac:dyDescent="0.3">
      <c r="A521" s="18"/>
      <c r="B521" s="18"/>
      <c r="C521" s="58"/>
      <c r="D521" s="58"/>
      <c r="E521" s="58"/>
      <c r="F521" s="58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 spans="1:40" ht="23.25" customHeight="1" x14ac:dyDescent="0.3">
      <c r="A522" s="18"/>
      <c r="B522" s="18"/>
      <c r="C522" s="58"/>
      <c r="D522" s="58"/>
      <c r="E522" s="58"/>
      <c r="F522" s="58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 spans="1:40" ht="23.25" customHeight="1" x14ac:dyDescent="0.3">
      <c r="A523" s="18"/>
      <c r="B523" s="18"/>
      <c r="C523" s="58"/>
      <c r="D523" s="58"/>
      <c r="E523" s="58"/>
      <c r="F523" s="58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 spans="1:40" ht="23.25" customHeight="1" x14ac:dyDescent="0.3">
      <c r="A524" s="18"/>
      <c r="B524" s="18"/>
      <c r="C524" s="58"/>
      <c r="D524" s="58"/>
      <c r="E524" s="58"/>
      <c r="F524" s="58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 spans="1:40" ht="23.25" customHeight="1" x14ac:dyDescent="0.3">
      <c r="A525" s="18"/>
      <c r="B525" s="18"/>
      <c r="C525" s="58"/>
      <c r="D525" s="58"/>
      <c r="E525" s="58"/>
      <c r="F525" s="58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 spans="1:40" ht="23.25" customHeight="1" x14ac:dyDescent="0.3">
      <c r="A526" s="18"/>
      <c r="B526" s="18"/>
      <c r="C526" s="58"/>
      <c r="D526" s="58"/>
      <c r="E526" s="58"/>
      <c r="F526" s="58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 spans="1:40" ht="23.25" customHeight="1" x14ac:dyDescent="0.3">
      <c r="A527" s="18"/>
      <c r="B527" s="18"/>
      <c r="C527" s="58"/>
      <c r="D527" s="58"/>
      <c r="E527" s="58"/>
      <c r="F527" s="58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 spans="1:40" ht="23.25" customHeight="1" x14ac:dyDescent="0.3">
      <c r="A528" s="18"/>
      <c r="B528" s="18"/>
      <c r="C528" s="58"/>
      <c r="D528" s="58"/>
      <c r="E528" s="58"/>
      <c r="F528" s="58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 spans="1:40" ht="23.25" customHeight="1" x14ac:dyDescent="0.3">
      <c r="A529" s="18"/>
      <c r="B529" s="18"/>
      <c r="C529" s="58"/>
      <c r="D529" s="58"/>
      <c r="E529" s="58"/>
      <c r="F529" s="58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 spans="1:40" ht="23.25" customHeight="1" x14ac:dyDescent="0.3">
      <c r="A530" s="18"/>
      <c r="B530" s="18"/>
      <c r="C530" s="58"/>
      <c r="D530" s="58"/>
      <c r="E530" s="58"/>
      <c r="F530" s="58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 spans="1:40" ht="23.25" customHeight="1" x14ac:dyDescent="0.3">
      <c r="A531" s="18"/>
      <c r="B531" s="18"/>
      <c r="C531" s="58"/>
      <c r="D531" s="58"/>
      <c r="E531" s="58"/>
      <c r="F531" s="58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 spans="1:40" ht="23.25" customHeight="1" x14ac:dyDescent="0.3">
      <c r="A532" s="18"/>
      <c r="B532" s="18"/>
      <c r="C532" s="58"/>
      <c r="D532" s="58"/>
      <c r="E532" s="58"/>
      <c r="F532" s="58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 spans="1:40" ht="23.25" customHeight="1" x14ac:dyDescent="0.3">
      <c r="A533" s="18"/>
      <c r="B533" s="18"/>
      <c r="C533" s="58"/>
      <c r="D533" s="58"/>
      <c r="E533" s="58"/>
      <c r="F533" s="58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 spans="1:40" ht="23.25" customHeight="1" x14ac:dyDescent="0.3">
      <c r="A534" s="18"/>
      <c r="B534" s="18"/>
      <c r="C534" s="58"/>
      <c r="D534" s="58"/>
      <c r="E534" s="58"/>
      <c r="F534" s="58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 spans="1:40" ht="23.25" customHeight="1" x14ac:dyDescent="0.3">
      <c r="A535" s="18"/>
      <c r="B535" s="18"/>
      <c r="C535" s="58"/>
      <c r="D535" s="58"/>
      <c r="E535" s="58"/>
      <c r="F535" s="58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 spans="1:40" ht="23.25" customHeight="1" x14ac:dyDescent="0.3">
      <c r="A536" s="18"/>
      <c r="B536" s="18"/>
      <c r="C536" s="58"/>
      <c r="D536" s="58"/>
      <c r="E536" s="58"/>
      <c r="F536" s="58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 spans="1:40" ht="23.25" customHeight="1" x14ac:dyDescent="0.3">
      <c r="A537" s="18"/>
      <c r="B537" s="18"/>
      <c r="C537" s="58"/>
      <c r="D537" s="58"/>
      <c r="E537" s="58"/>
      <c r="F537" s="58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 spans="1:40" ht="23.25" customHeight="1" x14ac:dyDescent="0.3">
      <c r="A538" s="18"/>
      <c r="B538" s="18"/>
      <c r="C538" s="58"/>
      <c r="D538" s="58"/>
      <c r="E538" s="58"/>
      <c r="F538" s="58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 spans="1:40" ht="23.25" customHeight="1" x14ac:dyDescent="0.3">
      <c r="A539" s="18"/>
      <c r="B539" s="18"/>
      <c r="C539" s="58"/>
      <c r="D539" s="58"/>
      <c r="E539" s="58"/>
      <c r="F539" s="58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 spans="1:40" ht="23.25" customHeight="1" x14ac:dyDescent="0.3">
      <c r="A540" s="18"/>
      <c r="B540" s="18"/>
      <c r="C540" s="58"/>
      <c r="D540" s="58"/>
      <c r="E540" s="58"/>
      <c r="F540" s="58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 spans="1:40" ht="23.25" customHeight="1" x14ac:dyDescent="0.3">
      <c r="A541" s="18"/>
      <c r="B541" s="18"/>
      <c r="C541" s="58"/>
      <c r="D541" s="58"/>
      <c r="E541" s="58"/>
      <c r="F541" s="58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 spans="1:40" ht="23.25" customHeight="1" x14ac:dyDescent="0.3">
      <c r="A542" s="18"/>
      <c r="B542" s="18"/>
      <c r="C542" s="58"/>
      <c r="D542" s="58"/>
      <c r="E542" s="58"/>
      <c r="F542" s="58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 spans="1:40" ht="23.25" customHeight="1" x14ac:dyDescent="0.3">
      <c r="A543" s="18"/>
      <c r="B543" s="18"/>
      <c r="C543" s="58"/>
      <c r="D543" s="58"/>
      <c r="E543" s="58"/>
      <c r="F543" s="58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 spans="1:40" ht="23.25" customHeight="1" x14ac:dyDescent="0.3">
      <c r="A544" s="18"/>
      <c r="B544" s="18"/>
      <c r="C544" s="58"/>
      <c r="D544" s="58"/>
      <c r="E544" s="58"/>
      <c r="F544" s="58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 spans="1:40" ht="23.25" customHeight="1" x14ac:dyDescent="0.3">
      <c r="A545" s="18"/>
      <c r="B545" s="18"/>
      <c r="C545" s="58"/>
      <c r="D545" s="58"/>
      <c r="E545" s="58"/>
      <c r="F545" s="58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 spans="1:40" ht="23.25" customHeight="1" x14ac:dyDescent="0.3">
      <c r="A546" s="18"/>
      <c r="B546" s="18"/>
      <c r="C546" s="58"/>
      <c r="D546" s="58"/>
      <c r="E546" s="58"/>
      <c r="F546" s="58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 spans="1:40" ht="23.25" customHeight="1" x14ac:dyDescent="0.3">
      <c r="A547" s="18"/>
      <c r="B547" s="18"/>
      <c r="C547" s="58"/>
      <c r="D547" s="58"/>
      <c r="E547" s="58"/>
      <c r="F547" s="58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 spans="1:40" ht="23.25" customHeight="1" x14ac:dyDescent="0.3">
      <c r="A548" s="18"/>
      <c r="B548" s="18"/>
      <c r="C548" s="58"/>
      <c r="D548" s="58"/>
      <c r="E548" s="58"/>
      <c r="F548" s="58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 spans="1:40" ht="23.25" customHeight="1" x14ac:dyDescent="0.3">
      <c r="A549" s="18"/>
      <c r="B549" s="18"/>
      <c r="C549" s="58"/>
      <c r="D549" s="58"/>
      <c r="E549" s="58"/>
      <c r="F549" s="58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 spans="1:40" ht="23.25" customHeight="1" x14ac:dyDescent="0.3">
      <c r="A550" s="18"/>
      <c r="B550" s="18"/>
      <c r="C550" s="58"/>
      <c r="D550" s="58"/>
      <c r="E550" s="58"/>
      <c r="F550" s="58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 spans="1:40" ht="23.25" customHeight="1" x14ac:dyDescent="0.3">
      <c r="A551" s="18"/>
      <c r="B551" s="18"/>
      <c r="C551" s="58"/>
      <c r="D551" s="58"/>
      <c r="E551" s="58"/>
      <c r="F551" s="58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 spans="1:40" ht="23.25" customHeight="1" x14ac:dyDescent="0.3">
      <c r="A552" s="18"/>
      <c r="B552" s="18"/>
      <c r="C552" s="58"/>
      <c r="D552" s="58"/>
      <c r="E552" s="58"/>
      <c r="F552" s="58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 spans="1:40" ht="23.25" customHeight="1" x14ac:dyDescent="0.3">
      <c r="A553" s="18"/>
      <c r="B553" s="18"/>
      <c r="C553" s="58"/>
      <c r="D553" s="58"/>
      <c r="E553" s="58"/>
      <c r="F553" s="58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 spans="1:40" ht="23.25" customHeight="1" x14ac:dyDescent="0.3">
      <c r="A554" s="18"/>
      <c r="B554" s="18"/>
      <c r="C554" s="58"/>
      <c r="D554" s="58"/>
      <c r="E554" s="58"/>
      <c r="F554" s="58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 spans="1:40" ht="23.25" customHeight="1" x14ac:dyDescent="0.3">
      <c r="A555" s="18"/>
      <c r="B555" s="18"/>
      <c r="C555" s="58"/>
      <c r="D555" s="58"/>
      <c r="E555" s="58"/>
      <c r="F555" s="58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 spans="1:40" ht="23.25" customHeight="1" x14ac:dyDescent="0.3">
      <c r="A556" s="18"/>
      <c r="B556" s="18"/>
      <c r="C556" s="58"/>
      <c r="D556" s="58"/>
      <c r="E556" s="58"/>
      <c r="F556" s="58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 spans="1:40" ht="23.25" customHeight="1" x14ac:dyDescent="0.3">
      <c r="A557" s="18"/>
      <c r="B557" s="18"/>
      <c r="C557" s="58"/>
      <c r="D557" s="58"/>
      <c r="E557" s="58"/>
      <c r="F557" s="58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 spans="1:40" ht="23.25" customHeight="1" x14ac:dyDescent="0.3">
      <c r="A558" s="18"/>
      <c r="B558" s="18"/>
      <c r="C558" s="58"/>
      <c r="D558" s="58"/>
      <c r="E558" s="58"/>
      <c r="F558" s="58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 spans="1:40" ht="23.25" customHeight="1" x14ac:dyDescent="0.3">
      <c r="A559" s="18"/>
      <c r="B559" s="18"/>
      <c r="C559" s="58"/>
      <c r="D559" s="58"/>
      <c r="E559" s="58"/>
      <c r="F559" s="58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 spans="1:40" ht="23.25" customHeight="1" x14ac:dyDescent="0.3">
      <c r="A560" s="18"/>
      <c r="B560" s="18"/>
      <c r="C560" s="58"/>
      <c r="D560" s="58"/>
      <c r="E560" s="58"/>
      <c r="F560" s="58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 spans="1:40" ht="23.25" customHeight="1" x14ac:dyDescent="0.3">
      <c r="A561" s="18"/>
      <c r="B561" s="18"/>
      <c r="C561" s="58"/>
      <c r="D561" s="58"/>
      <c r="E561" s="58"/>
      <c r="F561" s="58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 spans="1:40" ht="23.25" customHeight="1" x14ac:dyDescent="0.3">
      <c r="A562" s="18"/>
      <c r="B562" s="18"/>
      <c r="C562" s="58"/>
      <c r="D562" s="58"/>
      <c r="E562" s="58"/>
      <c r="F562" s="58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 spans="1:40" ht="23.25" customHeight="1" x14ac:dyDescent="0.3">
      <c r="A563" s="18"/>
      <c r="B563" s="18"/>
      <c r="C563" s="58"/>
      <c r="D563" s="58"/>
      <c r="E563" s="58"/>
      <c r="F563" s="58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 spans="1:40" ht="23.25" customHeight="1" x14ac:dyDescent="0.3">
      <c r="A564" s="18"/>
      <c r="B564" s="18"/>
      <c r="C564" s="58"/>
      <c r="D564" s="58"/>
      <c r="E564" s="58"/>
      <c r="F564" s="58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 spans="1:40" ht="23.25" customHeight="1" x14ac:dyDescent="0.3">
      <c r="A565" s="18"/>
      <c r="B565" s="18"/>
      <c r="C565" s="58"/>
      <c r="D565" s="58"/>
      <c r="E565" s="58"/>
      <c r="F565" s="58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 spans="1:40" ht="23.25" customHeight="1" x14ac:dyDescent="0.3">
      <c r="A566" s="18"/>
      <c r="B566" s="18"/>
      <c r="C566" s="58"/>
      <c r="D566" s="58"/>
      <c r="E566" s="58"/>
      <c r="F566" s="58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 spans="1:40" ht="23.25" customHeight="1" x14ac:dyDescent="0.3">
      <c r="A567" s="18"/>
      <c r="B567" s="18"/>
      <c r="C567" s="58"/>
      <c r="D567" s="58"/>
      <c r="E567" s="58"/>
      <c r="F567" s="58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 spans="1:40" ht="23.25" customHeight="1" x14ac:dyDescent="0.3">
      <c r="A568" s="18"/>
      <c r="B568" s="18"/>
      <c r="C568" s="58"/>
      <c r="D568" s="58"/>
      <c r="E568" s="58"/>
      <c r="F568" s="58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 spans="1:40" ht="23.25" customHeight="1" x14ac:dyDescent="0.3">
      <c r="A569" s="18"/>
      <c r="B569" s="18"/>
      <c r="C569" s="58"/>
      <c r="D569" s="58"/>
      <c r="E569" s="58"/>
      <c r="F569" s="58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 spans="1:40" ht="23.25" customHeight="1" x14ac:dyDescent="0.3">
      <c r="A570" s="18"/>
      <c r="B570" s="18"/>
      <c r="C570" s="58"/>
      <c r="D570" s="58"/>
      <c r="E570" s="58"/>
      <c r="F570" s="58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 spans="1:40" ht="23.25" customHeight="1" x14ac:dyDescent="0.3">
      <c r="A571" s="18"/>
      <c r="B571" s="18"/>
      <c r="C571" s="58"/>
      <c r="D571" s="58"/>
      <c r="E571" s="58"/>
      <c r="F571" s="58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 spans="1:40" ht="23.25" customHeight="1" x14ac:dyDescent="0.3">
      <c r="A572" s="18"/>
      <c r="B572" s="18"/>
      <c r="C572" s="58"/>
      <c r="D572" s="58"/>
      <c r="E572" s="58"/>
      <c r="F572" s="58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 spans="1:40" ht="23.25" customHeight="1" x14ac:dyDescent="0.3">
      <c r="A573" s="18"/>
      <c r="B573" s="18"/>
      <c r="C573" s="58"/>
      <c r="D573" s="58"/>
      <c r="E573" s="58"/>
      <c r="F573" s="58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 spans="1:40" ht="23.25" customHeight="1" x14ac:dyDescent="0.3">
      <c r="A574" s="18"/>
      <c r="B574" s="18"/>
      <c r="C574" s="58"/>
      <c r="D574" s="58"/>
      <c r="E574" s="58"/>
      <c r="F574" s="58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 spans="1:40" ht="23.25" customHeight="1" x14ac:dyDescent="0.3">
      <c r="A575" s="18"/>
      <c r="B575" s="18"/>
      <c r="C575" s="58"/>
      <c r="D575" s="58"/>
      <c r="E575" s="58"/>
      <c r="F575" s="58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 spans="1:40" ht="23.25" customHeight="1" x14ac:dyDescent="0.3">
      <c r="A576" s="18"/>
      <c r="B576" s="18"/>
      <c r="C576" s="58"/>
      <c r="D576" s="58"/>
      <c r="E576" s="58"/>
      <c r="F576" s="58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 spans="1:40" ht="23.25" customHeight="1" x14ac:dyDescent="0.3">
      <c r="A577" s="18"/>
      <c r="B577" s="18"/>
      <c r="C577" s="58"/>
      <c r="D577" s="58"/>
      <c r="E577" s="58"/>
      <c r="F577" s="58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 spans="1:40" ht="23.25" customHeight="1" x14ac:dyDescent="0.3">
      <c r="A578" s="18"/>
      <c r="B578" s="18"/>
      <c r="C578" s="58"/>
      <c r="D578" s="58"/>
      <c r="E578" s="58"/>
      <c r="F578" s="58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 spans="1:40" ht="23.25" customHeight="1" x14ac:dyDescent="0.3">
      <c r="A579" s="18"/>
      <c r="B579" s="18"/>
      <c r="C579" s="58"/>
      <c r="D579" s="58"/>
      <c r="E579" s="58"/>
      <c r="F579" s="58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 spans="1:40" ht="23.25" customHeight="1" x14ac:dyDescent="0.3">
      <c r="A580" s="18"/>
      <c r="B580" s="18"/>
      <c r="C580" s="58"/>
      <c r="D580" s="58"/>
      <c r="E580" s="58"/>
      <c r="F580" s="58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 spans="1:40" ht="23.25" customHeight="1" x14ac:dyDescent="0.3">
      <c r="A581" s="18"/>
      <c r="B581" s="18"/>
      <c r="C581" s="58"/>
      <c r="D581" s="58"/>
      <c r="E581" s="58"/>
      <c r="F581" s="58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 spans="1:40" ht="23.25" customHeight="1" x14ac:dyDescent="0.3">
      <c r="A582" s="18"/>
      <c r="B582" s="18"/>
      <c r="C582" s="58"/>
      <c r="D582" s="58"/>
      <c r="E582" s="58"/>
      <c r="F582" s="58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 spans="1:40" ht="23.25" customHeight="1" x14ac:dyDescent="0.3">
      <c r="A583" s="18"/>
      <c r="B583" s="18"/>
      <c r="C583" s="58"/>
      <c r="D583" s="58"/>
      <c r="E583" s="58"/>
      <c r="F583" s="58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 spans="1:40" ht="23.25" customHeight="1" x14ac:dyDescent="0.3">
      <c r="A584" s="18"/>
      <c r="B584" s="18"/>
      <c r="C584" s="58"/>
      <c r="D584" s="58"/>
      <c r="E584" s="58"/>
      <c r="F584" s="58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 spans="1:40" ht="23.25" customHeight="1" x14ac:dyDescent="0.3">
      <c r="A585" s="18"/>
      <c r="B585" s="18"/>
      <c r="C585" s="58"/>
      <c r="D585" s="58"/>
      <c r="E585" s="58"/>
      <c r="F585" s="58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 spans="1:40" ht="23.25" customHeight="1" x14ac:dyDescent="0.3">
      <c r="A586" s="18"/>
      <c r="B586" s="18"/>
      <c r="C586" s="58"/>
      <c r="D586" s="58"/>
      <c r="E586" s="58"/>
      <c r="F586" s="58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 spans="1:40" ht="23.25" customHeight="1" x14ac:dyDescent="0.3">
      <c r="A587" s="18"/>
      <c r="B587" s="18"/>
      <c r="C587" s="58"/>
      <c r="D587" s="58"/>
      <c r="E587" s="58"/>
      <c r="F587" s="58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 spans="1:40" ht="23.25" customHeight="1" x14ac:dyDescent="0.3">
      <c r="A588" s="18"/>
      <c r="B588" s="18"/>
      <c r="C588" s="58"/>
      <c r="D588" s="58"/>
      <c r="E588" s="58"/>
      <c r="F588" s="58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 spans="1:40" ht="23.25" customHeight="1" x14ac:dyDescent="0.3">
      <c r="A589" s="18"/>
      <c r="B589" s="18"/>
      <c r="C589" s="58"/>
      <c r="D589" s="58"/>
      <c r="E589" s="58"/>
      <c r="F589" s="58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 spans="1:40" ht="23.25" customHeight="1" x14ac:dyDescent="0.3">
      <c r="A590" s="18"/>
      <c r="B590" s="18"/>
      <c r="C590" s="58"/>
      <c r="D590" s="58"/>
      <c r="E590" s="58"/>
      <c r="F590" s="58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 spans="1:40" ht="23.25" customHeight="1" x14ac:dyDescent="0.3">
      <c r="A591" s="18"/>
      <c r="B591" s="18"/>
      <c r="C591" s="58"/>
      <c r="D591" s="58"/>
      <c r="E591" s="58"/>
      <c r="F591" s="58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 spans="1:40" ht="23.25" customHeight="1" x14ac:dyDescent="0.3">
      <c r="A592" s="18"/>
      <c r="B592" s="18"/>
      <c r="C592" s="58"/>
      <c r="D592" s="58"/>
      <c r="E592" s="58"/>
      <c r="F592" s="58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 spans="1:40" ht="23.25" customHeight="1" x14ac:dyDescent="0.3">
      <c r="A593" s="18"/>
      <c r="B593" s="18"/>
      <c r="C593" s="58"/>
      <c r="D593" s="58"/>
      <c r="E593" s="58"/>
      <c r="F593" s="58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 spans="1:40" ht="23.25" customHeight="1" x14ac:dyDescent="0.3">
      <c r="A594" s="18"/>
      <c r="B594" s="18"/>
      <c r="C594" s="58"/>
      <c r="D594" s="58"/>
      <c r="E594" s="58"/>
      <c r="F594" s="58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 spans="1:40" ht="23.25" customHeight="1" x14ac:dyDescent="0.3">
      <c r="A595" s="18"/>
      <c r="B595" s="18"/>
      <c r="C595" s="58"/>
      <c r="D595" s="58"/>
      <c r="E595" s="58"/>
      <c r="F595" s="58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 spans="1:40" ht="23.25" customHeight="1" x14ac:dyDescent="0.3">
      <c r="A596" s="18"/>
      <c r="B596" s="18"/>
      <c r="C596" s="58"/>
      <c r="D596" s="58"/>
      <c r="E596" s="58"/>
      <c r="F596" s="58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 spans="1:40" ht="23.25" customHeight="1" x14ac:dyDescent="0.3">
      <c r="A597" s="18"/>
      <c r="B597" s="18"/>
      <c r="C597" s="58"/>
      <c r="D597" s="58"/>
      <c r="E597" s="58"/>
      <c r="F597" s="58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 spans="1:40" ht="23.25" customHeight="1" x14ac:dyDescent="0.3">
      <c r="A598" s="18"/>
      <c r="B598" s="18"/>
      <c r="C598" s="58"/>
      <c r="D598" s="58"/>
      <c r="E598" s="58"/>
      <c r="F598" s="58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 spans="1:40" ht="23.25" customHeight="1" x14ac:dyDescent="0.3">
      <c r="A599" s="18"/>
      <c r="B599" s="18"/>
      <c r="C599" s="58"/>
      <c r="D599" s="58"/>
      <c r="E599" s="58"/>
      <c r="F599" s="58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 spans="1:40" ht="23.25" customHeight="1" x14ac:dyDescent="0.3">
      <c r="A600" s="18"/>
      <c r="B600" s="18"/>
      <c r="C600" s="58"/>
      <c r="D600" s="58"/>
      <c r="E600" s="58"/>
      <c r="F600" s="58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 spans="1:40" ht="23.25" customHeight="1" x14ac:dyDescent="0.3">
      <c r="A601" s="18"/>
      <c r="B601" s="18"/>
      <c r="C601" s="58"/>
      <c r="D601" s="58"/>
      <c r="E601" s="58"/>
      <c r="F601" s="58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 spans="1:40" ht="23.25" customHeight="1" x14ac:dyDescent="0.3">
      <c r="A602" s="18"/>
      <c r="B602" s="18"/>
      <c r="C602" s="58"/>
      <c r="D602" s="58"/>
      <c r="E602" s="58"/>
      <c r="F602" s="58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 spans="1:40" ht="23.25" customHeight="1" x14ac:dyDescent="0.3">
      <c r="A603" s="18"/>
      <c r="B603" s="18"/>
      <c r="C603" s="58"/>
      <c r="D603" s="58"/>
      <c r="E603" s="58"/>
      <c r="F603" s="58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 spans="1:40" ht="23.25" customHeight="1" x14ac:dyDescent="0.3">
      <c r="A604" s="18"/>
      <c r="B604" s="18"/>
      <c r="C604" s="58"/>
      <c r="D604" s="58"/>
      <c r="E604" s="58"/>
      <c r="F604" s="58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 spans="1:40" ht="23.25" customHeight="1" x14ac:dyDescent="0.3">
      <c r="A605" s="18"/>
      <c r="B605" s="18"/>
      <c r="C605" s="58"/>
      <c r="D605" s="58"/>
      <c r="E605" s="58"/>
      <c r="F605" s="58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 spans="1:40" ht="23.25" customHeight="1" x14ac:dyDescent="0.3">
      <c r="A606" s="18"/>
      <c r="B606" s="18"/>
      <c r="C606" s="58"/>
      <c r="D606" s="58"/>
      <c r="E606" s="58"/>
      <c r="F606" s="58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 spans="1:40" ht="23.25" customHeight="1" x14ac:dyDescent="0.3">
      <c r="A607" s="18"/>
      <c r="B607" s="18"/>
      <c r="C607" s="58"/>
      <c r="D607" s="58"/>
      <c r="E607" s="58"/>
      <c r="F607" s="58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 spans="1:40" ht="23.25" customHeight="1" x14ac:dyDescent="0.3">
      <c r="A608" s="18"/>
      <c r="B608" s="18"/>
      <c r="C608" s="58"/>
      <c r="D608" s="58"/>
      <c r="E608" s="58"/>
      <c r="F608" s="58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 spans="1:40" ht="23.25" customHeight="1" x14ac:dyDescent="0.3">
      <c r="A609" s="18"/>
      <c r="B609" s="18"/>
      <c r="C609" s="58"/>
      <c r="D609" s="58"/>
      <c r="E609" s="58"/>
      <c r="F609" s="58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 spans="1:40" ht="23.25" customHeight="1" x14ac:dyDescent="0.3">
      <c r="A610" s="18"/>
      <c r="B610" s="18"/>
      <c r="C610" s="58"/>
      <c r="D610" s="58"/>
      <c r="E610" s="58"/>
      <c r="F610" s="58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 spans="1:40" ht="23.25" customHeight="1" x14ac:dyDescent="0.3">
      <c r="A611" s="18"/>
      <c r="B611" s="18"/>
      <c r="C611" s="58"/>
      <c r="D611" s="58"/>
      <c r="E611" s="58"/>
      <c r="F611" s="58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 spans="1:40" ht="23.25" customHeight="1" x14ac:dyDescent="0.3">
      <c r="A612" s="18"/>
      <c r="B612" s="18"/>
      <c r="C612" s="58"/>
      <c r="D612" s="58"/>
      <c r="E612" s="58"/>
      <c r="F612" s="58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 spans="1:40" ht="23.25" customHeight="1" x14ac:dyDescent="0.3">
      <c r="A613" s="18"/>
      <c r="B613" s="18"/>
      <c r="C613" s="58"/>
      <c r="D613" s="58"/>
      <c r="E613" s="58"/>
      <c r="F613" s="58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 spans="1:40" ht="23.25" customHeight="1" x14ac:dyDescent="0.3">
      <c r="A614" s="18"/>
      <c r="B614" s="18"/>
      <c r="C614" s="58"/>
      <c r="D614" s="58"/>
      <c r="E614" s="58"/>
      <c r="F614" s="58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 spans="1:40" ht="23.25" customHeight="1" x14ac:dyDescent="0.3">
      <c r="A615" s="18"/>
      <c r="B615" s="18"/>
      <c r="C615" s="58"/>
      <c r="D615" s="58"/>
      <c r="E615" s="58"/>
      <c r="F615" s="58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 spans="1:40" ht="23.25" customHeight="1" x14ac:dyDescent="0.3">
      <c r="A616" s="18"/>
      <c r="B616" s="18"/>
      <c r="C616" s="58"/>
      <c r="D616" s="58"/>
      <c r="E616" s="58"/>
      <c r="F616" s="58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 spans="1:40" ht="23.25" customHeight="1" x14ac:dyDescent="0.3">
      <c r="A617" s="18"/>
      <c r="B617" s="18"/>
      <c r="C617" s="58"/>
      <c r="D617" s="58"/>
      <c r="E617" s="58"/>
      <c r="F617" s="58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 spans="1:40" ht="23.25" customHeight="1" x14ac:dyDescent="0.3">
      <c r="A618" s="18"/>
      <c r="B618" s="18"/>
      <c r="C618" s="58"/>
      <c r="D618" s="58"/>
      <c r="E618" s="58"/>
      <c r="F618" s="58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 spans="1:40" ht="23.25" customHeight="1" x14ac:dyDescent="0.3">
      <c r="A619" s="18"/>
      <c r="B619" s="18"/>
      <c r="C619" s="58"/>
      <c r="D619" s="58"/>
      <c r="E619" s="58"/>
      <c r="F619" s="58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 spans="1:40" ht="23.25" customHeight="1" x14ac:dyDescent="0.3">
      <c r="A620" s="18"/>
      <c r="B620" s="18"/>
      <c r="C620" s="58"/>
      <c r="D620" s="58"/>
      <c r="E620" s="58"/>
      <c r="F620" s="58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 spans="1:40" ht="23.25" customHeight="1" x14ac:dyDescent="0.3">
      <c r="A621" s="18"/>
      <c r="B621" s="18"/>
      <c r="C621" s="58"/>
      <c r="D621" s="58"/>
      <c r="E621" s="58"/>
      <c r="F621" s="58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 spans="1:40" ht="23.25" customHeight="1" x14ac:dyDescent="0.3">
      <c r="A622" s="18"/>
      <c r="B622" s="18"/>
      <c r="C622" s="58"/>
      <c r="D622" s="58"/>
      <c r="E622" s="58"/>
      <c r="F622" s="58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 spans="1:40" ht="23.25" customHeight="1" x14ac:dyDescent="0.3">
      <c r="A623" s="18"/>
      <c r="B623" s="18"/>
      <c r="C623" s="58"/>
      <c r="D623" s="58"/>
      <c r="E623" s="58"/>
      <c r="F623" s="58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 spans="1:40" ht="23.25" customHeight="1" x14ac:dyDescent="0.3">
      <c r="A624" s="18"/>
      <c r="B624" s="18"/>
      <c r="C624" s="58"/>
      <c r="D624" s="58"/>
      <c r="E624" s="58"/>
      <c r="F624" s="58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 spans="1:40" ht="23.25" customHeight="1" x14ac:dyDescent="0.3">
      <c r="A625" s="18"/>
      <c r="B625" s="18"/>
      <c r="C625" s="58"/>
      <c r="D625" s="58"/>
      <c r="E625" s="58"/>
      <c r="F625" s="58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 spans="1:40" ht="23.25" customHeight="1" x14ac:dyDescent="0.3">
      <c r="A626" s="18"/>
      <c r="B626" s="18"/>
      <c r="C626" s="58"/>
      <c r="D626" s="58"/>
      <c r="E626" s="58"/>
      <c r="F626" s="58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 spans="1:40" ht="23.25" customHeight="1" x14ac:dyDescent="0.3">
      <c r="A627" s="18"/>
      <c r="B627" s="18"/>
      <c r="C627" s="58"/>
      <c r="D627" s="58"/>
      <c r="E627" s="58"/>
      <c r="F627" s="58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 spans="1:40" ht="23.25" customHeight="1" x14ac:dyDescent="0.3">
      <c r="A628" s="18"/>
      <c r="B628" s="18"/>
      <c r="C628" s="58"/>
      <c r="D628" s="58"/>
      <c r="E628" s="58"/>
      <c r="F628" s="58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 spans="1:40" ht="23.25" customHeight="1" x14ac:dyDescent="0.3">
      <c r="A629" s="18"/>
      <c r="B629" s="18"/>
      <c r="C629" s="58"/>
      <c r="D629" s="58"/>
      <c r="E629" s="58"/>
      <c r="F629" s="58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 spans="1:40" ht="23.25" customHeight="1" x14ac:dyDescent="0.3">
      <c r="A630" s="18"/>
      <c r="B630" s="18"/>
      <c r="C630" s="58"/>
      <c r="D630" s="58"/>
      <c r="E630" s="58"/>
      <c r="F630" s="58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 spans="1:40" ht="23.25" customHeight="1" x14ac:dyDescent="0.3">
      <c r="A631" s="18"/>
      <c r="B631" s="18"/>
      <c r="C631" s="58"/>
      <c r="D631" s="58"/>
      <c r="E631" s="58"/>
      <c r="F631" s="58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 spans="1:40" ht="23.25" customHeight="1" x14ac:dyDescent="0.3">
      <c r="A632" s="18"/>
      <c r="B632" s="18"/>
      <c r="C632" s="58"/>
      <c r="D632" s="58"/>
      <c r="E632" s="58"/>
      <c r="F632" s="58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 spans="1:40" ht="23.25" customHeight="1" x14ac:dyDescent="0.3">
      <c r="A633" s="18"/>
      <c r="B633" s="18"/>
      <c r="C633" s="58"/>
      <c r="D633" s="58"/>
      <c r="E633" s="58"/>
      <c r="F633" s="58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 spans="1:40" ht="23.25" customHeight="1" x14ac:dyDescent="0.3">
      <c r="A634" s="18"/>
      <c r="B634" s="18"/>
      <c r="C634" s="58"/>
      <c r="D634" s="58"/>
      <c r="E634" s="58"/>
      <c r="F634" s="58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 spans="1:40" ht="23.25" customHeight="1" x14ac:dyDescent="0.3">
      <c r="A635" s="18"/>
      <c r="B635" s="18"/>
      <c r="C635" s="58"/>
      <c r="D635" s="58"/>
      <c r="E635" s="58"/>
      <c r="F635" s="58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 spans="1:40" ht="23.25" customHeight="1" x14ac:dyDescent="0.3">
      <c r="A636" s="18"/>
      <c r="B636" s="18"/>
      <c r="C636" s="58"/>
      <c r="D636" s="58"/>
      <c r="E636" s="58"/>
      <c r="F636" s="58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 spans="1:40" ht="23.25" customHeight="1" x14ac:dyDescent="0.3">
      <c r="A637" s="18"/>
      <c r="B637" s="18"/>
      <c r="C637" s="58"/>
      <c r="D637" s="58"/>
      <c r="E637" s="58"/>
      <c r="F637" s="58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 spans="1:40" ht="23.25" customHeight="1" x14ac:dyDescent="0.3">
      <c r="A638" s="18"/>
      <c r="B638" s="18"/>
      <c r="C638" s="58"/>
      <c r="D638" s="58"/>
      <c r="E638" s="58"/>
      <c r="F638" s="58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 spans="1:40" ht="23.25" customHeight="1" x14ac:dyDescent="0.3">
      <c r="A639" s="18"/>
      <c r="B639" s="18"/>
      <c r="C639" s="58"/>
      <c r="D639" s="58"/>
      <c r="E639" s="58"/>
      <c r="F639" s="58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 spans="1:40" ht="23.25" customHeight="1" x14ac:dyDescent="0.3">
      <c r="A640" s="18"/>
      <c r="B640" s="18"/>
      <c r="C640" s="58"/>
      <c r="D640" s="58"/>
      <c r="E640" s="58"/>
      <c r="F640" s="58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 spans="1:40" ht="23.25" customHeight="1" x14ac:dyDescent="0.3">
      <c r="A641" s="18"/>
      <c r="B641" s="18"/>
      <c r="C641" s="58"/>
      <c r="D641" s="58"/>
      <c r="E641" s="58"/>
      <c r="F641" s="58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 spans="1:40" ht="23.25" customHeight="1" x14ac:dyDescent="0.3">
      <c r="A642" s="18"/>
      <c r="B642" s="18"/>
      <c r="C642" s="58"/>
      <c r="D642" s="58"/>
      <c r="E642" s="58"/>
      <c r="F642" s="58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 spans="1:40" ht="23.25" customHeight="1" x14ac:dyDescent="0.3">
      <c r="A643" s="18"/>
      <c r="B643" s="18"/>
      <c r="C643" s="58"/>
      <c r="D643" s="58"/>
      <c r="E643" s="58"/>
      <c r="F643" s="58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 spans="1:40" ht="23.25" customHeight="1" x14ac:dyDescent="0.3">
      <c r="A644" s="18"/>
      <c r="B644" s="18"/>
      <c r="C644" s="58"/>
      <c r="D644" s="58"/>
      <c r="E644" s="58"/>
      <c r="F644" s="58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 spans="1:40" ht="23.25" customHeight="1" x14ac:dyDescent="0.3">
      <c r="A645" s="18"/>
      <c r="B645" s="18"/>
      <c r="C645" s="58"/>
      <c r="D645" s="58"/>
      <c r="E645" s="58"/>
      <c r="F645" s="58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 spans="1:40" ht="23.25" customHeight="1" x14ac:dyDescent="0.3">
      <c r="A646" s="18"/>
      <c r="B646" s="18"/>
      <c r="C646" s="58"/>
      <c r="D646" s="58"/>
      <c r="E646" s="58"/>
      <c r="F646" s="58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 spans="1:40" ht="23.25" customHeight="1" x14ac:dyDescent="0.3">
      <c r="A647" s="18"/>
      <c r="B647" s="18"/>
      <c r="C647" s="58"/>
      <c r="D647" s="58"/>
      <c r="E647" s="58"/>
      <c r="F647" s="58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 spans="1:40" ht="23.25" customHeight="1" x14ac:dyDescent="0.3">
      <c r="A648" s="18"/>
      <c r="B648" s="18"/>
      <c r="C648" s="58"/>
      <c r="D648" s="58"/>
      <c r="E648" s="58"/>
      <c r="F648" s="58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 spans="1:40" ht="23.25" customHeight="1" x14ac:dyDescent="0.3">
      <c r="A649" s="18"/>
      <c r="B649" s="18"/>
      <c r="C649" s="58"/>
      <c r="D649" s="58"/>
      <c r="E649" s="58"/>
      <c r="F649" s="58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 spans="1:40" ht="23.25" customHeight="1" x14ac:dyDescent="0.3">
      <c r="A650" s="18"/>
      <c r="B650" s="18"/>
      <c r="C650" s="58"/>
      <c r="D650" s="58"/>
      <c r="E650" s="58"/>
      <c r="F650" s="58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 spans="1:40" ht="23.25" customHeight="1" x14ac:dyDescent="0.3">
      <c r="A651" s="18"/>
      <c r="B651" s="18"/>
      <c r="C651" s="58"/>
      <c r="D651" s="58"/>
      <c r="E651" s="58"/>
      <c r="F651" s="58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 spans="1:40" ht="23.25" customHeight="1" x14ac:dyDescent="0.3">
      <c r="A652" s="18"/>
      <c r="B652" s="18"/>
      <c r="C652" s="58"/>
      <c r="D652" s="58"/>
      <c r="E652" s="58"/>
      <c r="F652" s="58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 spans="1:40" ht="23.25" customHeight="1" x14ac:dyDescent="0.3">
      <c r="A653" s="18"/>
      <c r="B653" s="18"/>
      <c r="C653" s="58"/>
      <c r="D653" s="58"/>
      <c r="E653" s="58"/>
      <c r="F653" s="58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 spans="1:40" ht="23.25" customHeight="1" x14ac:dyDescent="0.3">
      <c r="A654" s="18"/>
      <c r="B654" s="18"/>
      <c r="C654" s="58"/>
      <c r="D654" s="58"/>
      <c r="E654" s="58"/>
      <c r="F654" s="58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 spans="1:40" ht="23.25" customHeight="1" x14ac:dyDescent="0.3">
      <c r="A655" s="18"/>
      <c r="B655" s="18"/>
      <c r="C655" s="58"/>
      <c r="D655" s="58"/>
      <c r="E655" s="58"/>
      <c r="F655" s="58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 spans="1:40" ht="23.25" customHeight="1" x14ac:dyDescent="0.3">
      <c r="A656" s="18"/>
      <c r="B656" s="18"/>
      <c r="C656" s="58"/>
      <c r="D656" s="58"/>
      <c r="E656" s="58"/>
      <c r="F656" s="58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 spans="1:40" ht="23.25" customHeight="1" x14ac:dyDescent="0.3">
      <c r="A657" s="18"/>
      <c r="B657" s="18"/>
      <c r="C657" s="58"/>
      <c r="D657" s="58"/>
      <c r="E657" s="58"/>
      <c r="F657" s="58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 spans="1:40" ht="23.25" customHeight="1" x14ac:dyDescent="0.3">
      <c r="A658" s="18"/>
      <c r="B658" s="18"/>
      <c r="C658" s="58"/>
      <c r="D658" s="58"/>
      <c r="E658" s="58"/>
      <c r="F658" s="58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 spans="1:40" ht="23.25" customHeight="1" x14ac:dyDescent="0.3">
      <c r="A659" s="18"/>
      <c r="B659" s="18"/>
      <c r="C659" s="58"/>
      <c r="D659" s="58"/>
      <c r="E659" s="58"/>
      <c r="F659" s="58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 spans="1:40" ht="23.25" customHeight="1" x14ac:dyDescent="0.3">
      <c r="A660" s="18"/>
      <c r="B660" s="18"/>
      <c r="C660" s="58"/>
      <c r="D660" s="58"/>
      <c r="E660" s="58"/>
      <c r="F660" s="58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 spans="1:40" ht="23.25" customHeight="1" x14ac:dyDescent="0.3">
      <c r="A661" s="18"/>
      <c r="B661" s="18"/>
      <c r="C661" s="58"/>
      <c r="D661" s="58"/>
      <c r="E661" s="58"/>
      <c r="F661" s="58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 spans="1:40" ht="23.25" customHeight="1" x14ac:dyDescent="0.3">
      <c r="A662" s="18"/>
      <c r="B662" s="18"/>
      <c r="C662" s="58"/>
      <c r="D662" s="58"/>
      <c r="E662" s="58"/>
      <c r="F662" s="58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 spans="1:40" ht="23.25" customHeight="1" x14ac:dyDescent="0.3">
      <c r="A663" s="18"/>
      <c r="B663" s="18"/>
      <c r="C663" s="58"/>
      <c r="D663" s="58"/>
      <c r="E663" s="58"/>
      <c r="F663" s="58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 spans="1:40" ht="23.25" customHeight="1" x14ac:dyDescent="0.3">
      <c r="A664" s="18"/>
      <c r="B664" s="18"/>
      <c r="C664" s="58"/>
      <c r="D664" s="58"/>
      <c r="E664" s="58"/>
      <c r="F664" s="58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 spans="1:40" ht="23.25" customHeight="1" x14ac:dyDescent="0.3">
      <c r="A665" s="18"/>
      <c r="B665" s="18"/>
      <c r="C665" s="58"/>
      <c r="D665" s="58"/>
      <c r="E665" s="58"/>
      <c r="F665" s="58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 spans="1:40" ht="23.25" customHeight="1" x14ac:dyDescent="0.3">
      <c r="A666" s="18"/>
      <c r="B666" s="18"/>
      <c r="C666" s="58"/>
      <c r="D666" s="58"/>
      <c r="E666" s="58"/>
      <c r="F666" s="58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 spans="1:40" ht="23.25" customHeight="1" x14ac:dyDescent="0.3">
      <c r="A667" s="18"/>
      <c r="B667" s="18"/>
      <c r="C667" s="58"/>
      <c r="D667" s="58"/>
      <c r="E667" s="58"/>
      <c r="F667" s="58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 spans="1:40" ht="23.25" customHeight="1" x14ac:dyDescent="0.3">
      <c r="A668" s="18"/>
      <c r="B668" s="18"/>
      <c r="C668" s="58"/>
      <c r="D668" s="58"/>
      <c r="E668" s="58"/>
      <c r="F668" s="58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 spans="1:40" ht="23.25" customHeight="1" x14ac:dyDescent="0.3">
      <c r="A669" s="18"/>
      <c r="B669" s="18"/>
      <c r="C669" s="58"/>
      <c r="D669" s="58"/>
      <c r="E669" s="58"/>
      <c r="F669" s="58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 spans="1:40" ht="23.25" customHeight="1" x14ac:dyDescent="0.3">
      <c r="A670" s="18"/>
      <c r="B670" s="18"/>
      <c r="C670" s="58"/>
      <c r="D670" s="58"/>
      <c r="E670" s="58"/>
      <c r="F670" s="58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 spans="1:40" ht="23.25" customHeight="1" x14ac:dyDescent="0.3">
      <c r="A671" s="18"/>
      <c r="B671" s="18"/>
      <c r="C671" s="58"/>
      <c r="D671" s="58"/>
      <c r="E671" s="58"/>
      <c r="F671" s="58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 spans="1:40" ht="23.25" customHeight="1" x14ac:dyDescent="0.3">
      <c r="A672" s="18"/>
      <c r="B672" s="18"/>
      <c r="C672" s="58"/>
      <c r="D672" s="58"/>
      <c r="E672" s="58"/>
      <c r="F672" s="58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 spans="1:40" ht="23.25" customHeight="1" x14ac:dyDescent="0.3">
      <c r="A673" s="18"/>
      <c r="B673" s="18"/>
      <c r="C673" s="58"/>
      <c r="D673" s="58"/>
      <c r="E673" s="58"/>
      <c r="F673" s="58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 spans="1:40" ht="23.25" customHeight="1" x14ac:dyDescent="0.3">
      <c r="A674" s="18"/>
      <c r="B674" s="18"/>
      <c r="C674" s="58"/>
      <c r="D674" s="58"/>
      <c r="E674" s="58"/>
      <c r="F674" s="58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 spans="1:40" ht="23.25" customHeight="1" x14ac:dyDescent="0.3">
      <c r="A675" s="18"/>
      <c r="B675" s="18"/>
      <c r="C675" s="58"/>
      <c r="D675" s="58"/>
      <c r="E675" s="58"/>
      <c r="F675" s="58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 spans="1:40" ht="23.25" customHeight="1" x14ac:dyDescent="0.3">
      <c r="A676" s="18"/>
      <c r="B676" s="18"/>
      <c r="C676" s="58"/>
      <c r="D676" s="58"/>
      <c r="E676" s="58"/>
      <c r="F676" s="58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 spans="1:40" ht="23.25" customHeight="1" x14ac:dyDescent="0.3">
      <c r="A677" s="18"/>
      <c r="B677" s="18"/>
      <c r="C677" s="58"/>
      <c r="D677" s="58"/>
      <c r="E677" s="58"/>
      <c r="F677" s="58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 spans="1:40" ht="23.25" customHeight="1" x14ac:dyDescent="0.3">
      <c r="A678" s="18"/>
      <c r="B678" s="18"/>
      <c r="C678" s="58"/>
      <c r="D678" s="58"/>
      <c r="E678" s="58"/>
      <c r="F678" s="58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 spans="1:40" ht="23.25" customHeight="1" x14ac:dyDescent="0.3">
      <c r="A679" s="18"/>
      <c r="B679" s="18"/>
      <c r="C679" s="58"/>
      <c r="D679" s="58"/>
      <c r="E679" s="58"/>
      <c r="F679" s="58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 spans="1:40" ht="23.25" customHeight="1" x14ac:dyDescent="0.3">
      <c r="A680" s="18"/>
      <c r="B680" s="18"/>
      <c r="C680" s="58"/>
      <c r="D680" s="58"/>
      <c r="E680" s="58"/>
      <c r="F680" s="58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 spans="1:40" ht="23.25" customHeight="1" x14ac:dyDescent="0.3">
      <c r="A681" s="18"/>
      <c r="B681" s="18"/>
      <c r="C681" s="58"/>
      <c r="D681" s="58"/>
      <c r="E681" s="58"/>
      <c r="F681" s="58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 spans="1:40" ht="23.25" customHeight="1" x14ac:dyDescent="0.3">
      <c r="A682" s="18"/>
      <c r="B682" s="18"/>
      <c r="C682" s="58"/>
      <c r="D682" s="58"/>
      <c r="E682" s="58"/>
      <c r="F682" s="58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 spans="1:40" ht="23.25" customHeight="1" x14ac:dyDescent="0.3">
      <c r="A683" s="18"/>
      <c r="B683" s="18"/>
      <c r="C683" s="58"/>
      <c r="D683" s="58"/>
      <c r="E683" s="58"/>
      <c r="F683" s="58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 spans="1:40" ht="23.25" customHeight="1" x14ac:dyDescent="0.3">
      <c r="A684" s="18"/>
      <c r="B684" s="18"/>
      <c r="C684" s="58"/>
      <c r="D684" s="58"/>
      <c r="E684" s="58"/>
      <c r="F684" s="58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 spans="1:40" ht="23.25" customHeight="1" x14ac:dyDescent="0.3">
      <c r="A685" s="18"/>
      <c r="B685" s="18"/>
      <c r="C685" s="58"/>
      <c r="D685" s="58"/>
      <c r="E685" s="58"/>
      <c r="F685" s="58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 spans="1:40" ht="23.25" customHeight="1" x14ac:dyDescent="0.3">
      <c r="A686" s="18"/>
      <c r="B686" s="18"/>
      <c r="C686" s="58"/>
      <c r="D686" s="58"/>
      <c r="E686" s="58"/>
      <c r="F686" s="58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 spans="1:40" ht="23.25" customHeight="1" x14ac:dyDescent="0.3">
      <c r="A687" s="18"/>
      <c r="B687" s="18"/>
      <c r="C687" s="58"/>
      <c r="D687" s="58"/>
      <c r="E687" s="58"/>
      <c r="F687" s="58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 spans="1:40" ht="23.25" customHeight="1" x14ac:dyDescent="0.3">
      <c r="A688" s="18"/>
      <c r="B688" s="18"/>
      <c r="C688" s="58"/>
      <c r="D688" s="58"/>
      <c r="E688" s="58"/>
      <c r="F688" s="58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 spans="1:40" ht="23.25" customHeight="1" x14ac:dyDescent="0.3">
      <c r="A689" s="18"/>
      <c r="B689" s="18"/>
      <c r="C689" s="58"/>
      <c r="D689" s="58"/>
      <c r="E689" s="58"/>
      <c r="F689" s="58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 spans="1:40" ht="23.25" customHeight="1" x14ac:dyDescent="0.3">
      <c r="A690" s="18"/>
      <c r="B690" s="18"/>
      <c r="C690" s="58"/>
      <c r="D690" s="58"/>
      <c r="E690" s="58"/>
      <c r="F690" s="58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 spans="1:40" ht="23.25" customHeight="1" x14ac:dyDescent="0.3">
      <c r="A691" s="18"/>
      <c r="B691" s="18"/>
      <c r="C691" s="58"/>
      <c r="D691" s="58"/>
      <c r="E691" s="58"/>
      <c r="F691" s="58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 spans="1:40" ht="23.25" customHeight="1" x14ac:dyDescent="0.3">
      <c r="A692" s="18"/>
      <c r="B692" s="18"/>
      <c r="C692" s="58"/>
      <c r="D692" s="58"/>
      <c r="E692" s="58"/>
      <c r="F692" s="58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 spans="1:40" ht="23.25" customHeight="1" x14ac:dyDescent="0.3">
      <c r="A693" s="18"/>
      <c r="B693" s="18"/>
      <c r="C693" s="58"/>
      <c r="D693" s="58"/>
      <c r="E693" s="58"/>
      <c r="F693" s="58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 spans="1:40" ht="23.25" customHeight="1" x14ac:dyDescent="0.3">
      <c r="A694" s="18"/>
      <c r="B694" s="18"/>
      <c r="C694" s="58"/>
      <c r="D694" s="58"/>
      <c r="E694" s="58"/>
      <c r="F694" s="58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 spans="1:40" ht="23.25" customHeight="1" x14ac:dyDescent="0.3">
      <c r="A695" s="18"/>
      <c r="B695" s="18"/>
      <c r="C695" s="58"/>
      <c r="D695" s="58"/>
      <c r="E695" s="58"/>
      <c r="F695" s="58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 spans="1:40" ht="23.25" customHeight="1" x14ac:dyDescent="0.3">
      <c r="A696" s="18"/>
      <c r="B696" s="18"/>
      <c r="C696" s="58"/>
      <c r="D696" s="58"/>
      <c r="E696" s="58"/>
      <c r="F696" s="58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 spans="1:40" ht="23.25" customHeight="1" x14ac:dyDescent="0.3">
      <c r="A697" s="18"/>
      <c r="B697" s="18"/>
      <c r="C697" s="58"/>
      <c r="D697" s="58"/>
      <c r="E697" s="58"/>
      <c r="F697" s="58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 spans="1:40" ht="23.25" customHeight="1" x14ac:dyDescent="0.3">
      <c r="A698" s="18"/>
      <c r="B698" s="18"/>
      <c r="C698" s="58"/>
      <c r="D698" s="58"/>
      <c r="E698" s="58"/>
      <c r="F698" s="58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 spans="1:40" ht="23.25" customHeight="1" x14ac:dyDescent="0.3">
      <c r="A699" s="18"/>
      <c r="B699" s="18"/>
      <c r="C699" s="58"/>
      <c r="D699" s="58"/>
      <c r="E699" s="58"/>
      <c r="F699" s="58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 spans="1:40" ht="23.25" customHeight="1" x14ac:dyDescent="0.3">
      <c r="A700" s="18"/>
      <c r="B700" s="18"/>
      <c r="C700" s="58"/>
      <c r="D700" s="58"/>
      <c r="E700" s="58"/>
      <c r="F700" s="58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 spans="1:40" ht="23.25" customHeight="1" x14ac:dyDescent="0.3">
      <c r="A701" s="18"/>
      <c r="B701" s="18"/>
      <c r="C701" s="58"/>
      <c r="D701" s="58"/>
      <c r="E701" s="58"/>
      <c r="F701" s="58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 spans="1:40" ht="23.25" customHeight="1" x14ac:dyDescent="0.3">
      <c r="A702" s="18"/>
      <c r="B702" s="18"/>
      <c r="C702" s="58"/>
      <c r="D702" s="58"/>
      <c r="E702" s="58"/>
      <c r="F702" s="58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 spans="1:40" ht="23.25" customHeight="1" x14ac:dyDescent="0.3">
      <c r="A703" s="18"/>
      <c r="B703" s="18"/>
      <c r="C703" s="58"/>
      <c r="D703" s="58"/>
      <c r="E703" s="58"/>
      <c r="F703" s="58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 spans="1:40" ht="23.25" customHeight="1" x14ac:dyDescent="0.3">
      <c r="A704" s="18"/>
      <c r="B704" s="18"/>
      <c r="C704" s="58"/>
      <c r="D704" s="58"/>
      <c r="E704" s="58"/>
      <c r="F704" s="58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 spans="1:40" ht="23.25" customHeight="1" x14ac:dyDescent="0.3">
      <c r="A705" s="18"/>
      <c r="B705" s="18"/>
      <c r="C705" s="58"/>
      <c r="D705" s="58"/>
      <c r="E705" s="58"/>
      <c r="F705" s="58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 spans="1:40" ht="23.25" customHeight="1" x14ac:dyDescent="0.3">
      <c r="A706" s="18"/>
      <c r="B706" s="18"/>
      <c r="C706" s="58"/>
      <c r="D706" s="58"/>
      <c r="E706" s="58"/>
      <c r="F706" s="58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 spans="1:40" ht="23.25" customHeight="1" x14ac:dyDescent="0.3">
      <c r="A707" s="18"/>
      <c r="B707" s="18"/>
      <c r="C707" s="58"/>
      <c r="D707" s="58"/>
      <c r="E707" s="58"/>
      <c r="F707" s="58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 spans="1:40" ht="23.25" customHeight="1" x14ac:dyDescent="0.3">
      <c r="A708" s="18"/>
      <c r="B708" s="18"/>
      <c r="C708" s="58"/>
      <c r="D708" s="58"/>
      <c r="E708" s="58"/>
      <c r="F708" s="58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 spans="1:40" ht="23.25" customHeight="1" x14ac:dyDescent="0.3">
      <c r="A709" s="18"/>
      <c r="B709" s="18"/>
      <c r="C709" s="58"/>
      <c r="D709" s="58"/>
      <c r="E709" s="58"/>
      <c r="F709" s="58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 spans="1:40" ht="23.25" customHeight="1" x14ac:dyDescent="0.3">
      <c r="A710" s="18"/>
      <c r="B710" s="18"/>
      <c r="C710" s="58"/>
      <c r="D710" s="58"/>
      <c r="E710" s="58"/>
      <c r="F710" s="58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 spans="1:40" ht="23.25" customHeight="1" x14ac:dyDescent="0.3">
      <c r="A711" s="18"/>
      <c r="B711" s="18"/>
      <c r="C711" s="58"/>
      <c r="D711" s="58"/>
      <c r="E711" s="58"/>
      <c r="F711" s="58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 spans="1:40" ht="23.25" customHeight="1" x14ac:dyDescent="0.3">
      <c r="A712" s="18"/>
      <c r="B712" s="18"/>
      <c r="C712" s="58"/>
      <c r="D712" s="58"/>
      <c r="E712" s="58"/>
      <c r="F712" s="58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 spans="1:40" ht="23.25" customHeight="1" x14ac:dyDescent="0.3">
      <c r="A713" s="18"/>
      <c r="B713" s="18"/>
      <c r="C713" s="58"/>
      <c r="D713" s="58"/>
      <c r="E713" s="58"/>
      <c r="F713" s="58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 spans="1:40" ht="23.25" customHeight="1" x14ac:dyDescent="0.3">
      <c r="A714" s="18"/>
      <c r="B714" s="18"/>
      <c r="C714" s="58"/>
      <c r="D714" s="58"/>
      <c r="E714" s="58"/>
      <c r="F714" s="58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 spans="1:40" ht="23.25" customHeight="1" x14ac:dyDescent="0.3">
      <c r="A715" s="18"/>
      <c r="B715" s="18"/>
      <c r="C715" s="58"/>
      <c r="D715" s="58"/>
      <c r="E715" s="58"/>
      <c r="F715" s="58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 spans="1:40" ht="23.25" customHeight="1" x14ac:dyDescent="0.3">
      <c r="A716" s="18"/>
      <c r="B716" s="18"/>
      <c r="C716" s="58"/>
      <c r="D716" s="58"/>
      <c r="E716" s="58"/>
      <c r="F716" s="58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 spans="1:40" ht="23.25" customHeight="1" x14ac:dyDescent="0.3">
      <c r="A717" s="18"/>
      <c r="B717" s="18"/>
      <c r="C717" s="58"/>
      <c r="D717" s="58"/>
      <c r="E717" s="58"/>
      <c r="F717" s="58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 spans="1:40" ht="23.25" customHeight="1" x14ac:dyDescent="0.3">
      <c r="A718" s="18"/>
      <c r="B718" s="18"/>
      <c r="C718" s="58"/>
      <c r="D718" s="58"/>
      <c r="E718" s="58"/>
      <c r="F718" s="58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 spans="1:40" ht="23.25" customHeight="1" x14ac:dyDescent="0.3">
      <c r="A719" s="18"/>
      <c r="B719" s="18"/>
      <c r="C719" s="58"/>
      <c r="D719" s="58"/>
      <c r="E719" s="58"/>
      <c r="F719" s="58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 spans="1:40" ht="23.25" customHeight="1" x14ac:dyDescent="0.3">
      <c r="A720" s="18"/>
      <c r="B720" s="18"/>
      <c r="C720" s="58"/>
      <c r="D720" s="58"/>
      <c r="E720" s="58"/>
      <c r="F720" s="58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 spans="1:40" ht="23.25" customHeight="1" x14ac:dyDescent="0.3">
      <c r="A721" s="18"/>
      <c r="B721" s="18"/>
      <c r="C721" s="58"/>
      <c r="D721" s="58"/>
      <c r="E721" s="58"/>
      <c r="F721" s="58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 spans="1:40" ht="23.25" customHeight="1" x14ac:dyDescent="0.3">
      <c r="A722" s="18"/>
      <c r="B722" s="18"/>
      <c r="C722" s="58"/>
      <c r="D722" s="58"/>
      <c r="E722" s="58"/>
      <c r="F722" s="58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 spans="1:40" ht="23.25" customHeight="1" x14ac:dyDescent="0.3">
      <c r="A723" s="18"/>
      <c r="B723" s="18"/>
      <c r="C723" s="58"/>
      <c r="D723" s="58"/>
      <c r="E723" s="58"/>
      <c r="F723" s="58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 spans="1:40" ht="23.25" customHeight="1" x14ac:dyDescent="0.3">
      <c r="A724" s="18"/>
      <c r="B724" s="18"/>
      <c r="C724" s="58"/>
      <c r="D724" s="58"/>
      <c r="E724" s="58"/>
      <c r="F724" s="58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 spans="1:40" ht="23.25" customHeight="1" x14ac:dyDescent="0.3">
      <c r="A725" s="18"/>
      <c r="B725" s="18"/>
      <c r="C725" s="58"/>
      <c r="D725" s="58"/>
      <c r="E725" s="58"/>
      <c r="F725" s="58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 spans="1:40" ht="23.25" customHeight="1" x14ac:dyDescent="0.3">
      <c r="A726" s="18"/>
      <c r="B726" s="18"/>
      <c r="C726" s="58"/>
      <c r="D726" s="58"/>
      <c r="E726" s="58"/>
      <c r="F726" s="58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 spans="1:40" ht="23.25" customHeight="1" x14ac:dyDescent="0.3">
      <c r="A727" s="18"/>
      <c r="B727" s="18"/>
      <c r="C727" s="58"/>
      <c r="D727" s="58"/>
      <c r="E727" s="58"/>
      <c r="F727" s="58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 spans="1:40" ht="23.25" customHeight="1" x14ac:dyDescent="0.3">
      <c r="A728" s="18"/>
      <c r="B728" s="18"/>
      <c r="C728" s="58"/>
      <c r="D728" s="58"/>
      <c r="E728" s="58"/>
      <c r="F728" s="58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 spans="1:40" ht="23.25" customHeight="1" x14ac:dyDescent="0.3">
      <c r="A729" s="18"/>
      <c r="B729" s="18"/>
      <c r="C729" s="58"/>
      <c r="D729" s="58"/>
      <c r="E729" s="58"/>
      <c r="F729" s="58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 spans="1:40" ht="23.25" customHeight="1" x14ac:dyDescent="0.3">
      <c r="A730" s="18"/>
      <c r="B730" s="18"/>
      <c r="C730" s="58"/>
      <c r="D730" s="58"/>
      <c r="E730" s="58"/>
      <c r="F730" s="58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 spans="1:40" ht="23.25" customHeight="1" x14ac:dyDescent="0.3">
      <c r="A731" s="18"/>
      <c r="B731" s="18"/>
      <c r="C731" s="58"/>
      <c r="D731" s="58"/>
      <c r="E731" s="58"/>
      <c r="F731" s="58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 spans="1:40" ht="23.25" customHeight="1" x14ac:dyDescent="0.3">
      <c r="A732" s="18"/>
      <c r="B732" s="18"/>
      <c r="C732" s="58"/>
      <c r="D732" s="58"/>
      <c r="E732" s="58"/>
      <c r="F732" s="58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 spans="1:40" ht="23.25" customHeight="1" x14ac:dyDescent="0.3">
      <c r="A733" s="18"/>
      <c r="B733" s="18"/>
      <c r="C733" s="58"/>
      <c r="D733" s="58"/>
      <c r="E733" s="58"/>
      <c r="F733" s="58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 spans="1:40" ht="23.25" customHeight="1" x14ac:dyDescent="0.3">
      <c r="A734" s="18"/>
      <c r="B734" s="18"/>
      <c r="C734" s="58"/>
      <c r="D734" s="58"/>
      <c r="E734" s="58"/>
      <c r="F734" s="58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 spans="1:40" ht="23.25" customHeight="1" x14ac:dyDescent="0.3">
      <c r="A735" s="18"/>
      <c r="B735" s="18"/>
      <c r="C735" s="58"/>
      <c r="D735" s="58"/>
      <c r="E735" s="58"/>
      <c r="F735" s="58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 spans="1:40" ht="23.25" customHeight="1" x14ac:dyDescent="0.3">
      <c r="A736" s="18"/>
      <c r="B736" s="18"/>
      <c r="C736" s="58"/>
      <c r="D736" s="58"/>
      <c r="E736" s="58"/>
      <c r="F736" s="58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 spans="1:40" ht="23.25" customHeight="1" x14ac:dyDescent="0.3">
      <c r="A737" s="18"/>
      <c r="B737" s="18"/>
      <c r="C737" s="58"/>
      <c r="D737" s="58"/>
      <c r="E737" s="58"/>
      <c r="F737" s="58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 spans="1:40" ht="23.25" customHeight="1" x14ac:dyDescent="0.3">
      <c r="A738" s="18"/>
      <c r="B738" s="18"/>
      <c r="C738" s="58"/>
      <c r="D738" s="58"/>
      <c r="E738" s="58"/>
      <c r="F738" s="58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 spans="1:40" ht="23.25" customHeight="1" x14ac:dyDescent="0.3">
      <c r="A739" s="18"/>
      <c r="B739" s="18"/>
      <c r="C739" s="58"/>
      <c r="D739" s="58"/>
      <c r="E739" s="58"/>
      <c r="F739" s="58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 spans="1:40" ht="23.25" customHeight="1" x14ac:dyDescent="0.3">
      <c r="A740" s="18"/>
      <c r="B740" s="18"/>
      <c r="C740" s="58"/>
      <c r="D740" s="58"/>
      <c r="E740" s="58"/>
      <c r="F740" s="58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 spans="1:40" ht="23.25" customHeight="1" x14ac:dyDescent="0.3">
      <c r="A741" s="18"/>
      <c r="B741" s="18"/>
      <c r="C741" s="58"/>
      <c r="D741" s="58"/>
      <c r="E741" s="58"/>
      <c r="F741" s="58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 spans="1:40" ht="23.25" customHeight="1" x14ac:dyDescent="0.3">
      <c r="A742" s="18"/>
      <c r="B742" s="18"/>
      <c r="C742" s="58"/>
      <c r="D742" s="58"/>
      <c r="E742" s="58"/>
      <c r="F742" s="58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 spans="1:40" ht="23.25" customHeight="1" x14ac:dyDescent="0.3">
      <c r="A743" s="18"/>
      <c r="B743" s="18"/>
      <c r="C743" s="58"/>
      <c r="D743" s="58"/>
      <c r="E743" s="58"/>
      <c r="F743" s="58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 spans="1:40" ht="23.25" customHeight="1" x14ac:dyDescent="0.3">
      <c r="A744" s="18"/>
      <c r="B744" s="18"/>
      <c r="C744" s="58"/>
      <c r="D744" s="58"/>
      <c r="E744" s="58"/>
      <c r="F744" s="58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 spans="1:40" ht="23.25" customHeight="1" x14ac:dyDescent="0.3">
      <c r="A745" s="18"/>
      <c r="B745" s="18"/>
      <c r="C745" s="58"/>
      <c r="D745" s="58"/>
      <c r="E745" s="58"/>
      <c r="F745" s="58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 spans="1:40" ht="23.25" customHeight="1" x14ac:dyDescent="0.3">
      <c r="A746" s="18"/>
      <c r="B746" s="18"/>
      <c r="C746" s="58"/>
      <c r="D746" s="58"/>
      <c r="E746" s="58"/>
      <c r="F746" s="58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 spans="1:40" ht="23.25" customHeight="1" x14ac:dyDescent="0.3">
      <c r="A747" s="18"/>
      <c r="B747" s="18"/>
      <c r="C747" s="58"/>
      <c r="D747" s="58"/>
      <c r="E747" s="58"/>
      <c r="F747" s="58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 spans="1:40" ht="23.25" customHeight="1" x14ac:dyDescent="0.3">
      <c r="A748" s="18"/>
      <c r="B748" s="18"/>
      <c r="C748" s="58"/>
      <c r="D748" s="58"/>
      <c r="E748" s="58"/>
      <c r="F748" s="58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 spans="1:40" ht="23.25" customHeight="1" x14ac:dyDescent="0.3">
      <c r="A749" s="18"/>
      <c r="B749" s="18"/>
      <c r="C749" s="58"/>
      <c r="D749" s="58"/>
      <c r="E749" s="58"/>
      <c r="F749" s="58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 spans="1:40" ht="23.25" customHeight="1" x14ac:dyDescent="0.3">
      <c r="A750" s="18"/>
      <c r="B750" s="18"/>
      <c r="C750" s="58"/>
      <c r="D750" s="58"/>
      <c r="E750" s="58"/>
      <c r="F750" s="58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 spans="1:40" ht="23.25" customHeight="1" x14ac:dyDescent="0.3">
      <c r="A751" s="18"/>
      <c r="B751" s="18"/>
      <c r="C751" s="58"/>
      <c r="D751" s="58"/>
      <c r="E751" s="58"/>
      <c r="F751" s="58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 spans="1:40" ht="23.25" customHeight="1" x14ac:dyDescent="0.3">
      <c r="A752" s="18"/>
      <c r="B752" s="18"/>
      <c r="C752" s="58"/>
      <c r="D752" s="58"/>
      <c r="E752" s="58"/>
      <c r="F752" s="58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 spans="1:40" ht="23.25" customHeight="1" x14ac:dyDescent="0.3">
      <c r="A753" s="18"/>
      <c r="B753" s="18"/>
      <c r="C753" s="58"/>
      <c r="D753" s="58"/>
      <c r="E753" s="58"/>
      <c r="F753" s="58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 spans="1:40" ht="23.25" customHeight="1" x14ac:dyDescent="0.3">
      <c r="A754" s="18"/>
      <c r="B754" s="18"/>
      <c r="C754" s="58"/>
      <c r="D754" s="58"/>
      <c r="E754" s="58"/>
      <c r="F754" s="58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 spans="1:40" ht="23.25" customHeight="1" x14ac:dyDescent="0.3">
      <c r="A755" s="18"/>
      <c r="B755" s="18"/>
      <c r="C755" s="58"/>
      <c r="D755" s="58"/>
      <c r="E755" s="58"/>
      <c r="F755" s="58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 spans="1:40" ht="23.25" customHeight="1" x14ac:dyDescent="0.3">
      <c r="A756" s="18"/>
      <c r="B756" s="18"/>
      <c r="C756" s="58"/>
      <c r="D756" s="58"/>
      <c r="E756" s="58"/>
      <c r="F756" s="58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 spans="1:40" ht="23.25" customHeight="1" x14ac:dyDescent="0.3">
      <c r="A757" s="18"/>
      <c r="B757" s="18"/>
      <c r="C757" s="58"/>
      <c r="D757" s="58"/>
      <c r="E757" s="58"/>
      <c r="F757" s="58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 spans="1:40" ht="23.25" customHeight="1" x14ac:dyDescent="0.3">
      <c r="A758" s="18"/>
      <c r="B758" s="18"/>
      <c r="C758" s="58"/>
      <c r="D758" s="58"/>
      <c r="E758" s="58"/>
      <c r="F758" s="58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 spans="1:40" ht="23.25" customHeight="1" x14ac:dyDescent="0.3">
      <c r="A759" s="18"/>
      <c r="B759" s="18"/>
      <c r="C759" s="58"/>
      <c r="D759" s="58"/>
      <c r="E759" s="58"/>
      <c r="F759" s="58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 spans="1:40" ht="23.25" customHeight="1" x14ac:dyDescent="0.3">
      <c r="A760" s="18"/>
      <c r="B760" s="18"/>
      <c r="C760" s="58"/>
      <c r="D760" s="58"/>
      <c r="E760" s="58"/>
      <c r="F760" s="58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 spans="1:40" ht="23.25" customHeight="1" x14ac:dyDescent="0.3">
      <c r="A761" s="18"/>
      <c r="B761" s="18"/>
      <c r="C761" s="58"/>
      <c r="D761" s="58"/>
      <c r="E761" s="58"/>
      <c r="F761" s="58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 spans="1:40" ht="23.25" customHeight="1" x14ac:dyDescent="0.3">
      <c r="A762" s="18"/>
      <c r="B762" s="18"/>
      <c r="C762" s="58"/>
      <c r="D762" s="58"/>
      <c r="E762" s="58"/>
      <c r="F762" s="58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 spans="1:40" ht="23.25" customHeight="1" x14ac:dyDescent="0.3">
      <c r="A763" s="18"/>
      <c r="B763" s="18"/>
      <c r="C763" s="58"/>
      <c r="D763" s="58"/>
      <c r="E763" s="58"/>
      <c r="F763" s="58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 spans="1:40" ht="23.25" customHeight="1" x14ac:dyDescent="0.3">
      <c r="A764" s="18"/>
      <c r="B764" s="18"/>
      <c r="C764" s="58"/>
      <c r="D764" s="58"/>
      <c r="E764" s="58"/>
      <c r="F764" s="58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 spans="1:40" ht="23.25" customHeight="1" x14ac:dyDescent="0.3">
      <c r="A765" s="18"/>
      <c r="B765" s="18"/>
      <c r="C765" s="58"/>
      <c r="D765" s="58"/>
      <c r="E765" s="58"/>
      <c r="F765" s="58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 spans="1:40" ht="23.25" customHeight="1" x14ac:dyDescent="0.3">
      <c r="A766" s="18"/>
      <c r="B766" s="18"/>
      <c r="C766" s="58"/>
      <c r="D766" s="58"/>
      <c r="E766" s="58"/>
      <c r="F766" s="58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 spans="1:40" ht="23.25" customHeight="1" x14ac:dyDescent="0.3">
      <c r="A767" s="18"/>
      <c r="B767" s="18"/>
      <c r="C767" s="58"/>
      <c r="D767" s="58"/>
      <c r="E767" s="58"/>
      <c r="F767" s="58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 spans="1:40" ht="23.25" customHeight="1" x14ac:dyDescent="0.3">
      <c r="A768" s="18"/>
      <c r="B768" s="18"/>
      <c r="C768" s="58"/>
      <c r="D768" s="58"/>
      <c r="E768" s="58"/>
      <c r="F768" s="58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 spans="1:40" ht="23.25" customHeight="1" x14ac:dyDescent="0.3">
      <c r="A769" s="18"/>
      <c r="B769" s="18"/>
      <c r="C769" s="58"/>
      <c r="D769" s="58"/>
      <c r="E769" s="58"/>
      <c r="F769" s="58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 spans="1:40" ht="23.25" customHeight="1" x14ac:dyDescent="0.3">
      <c r="A770" s="18"/>
      <c r="B770" s="18"/>
      <c r="C770" s="58"/>
      <c r="D770" s="58"/>
      <c r="E770" s="58"/>
      <c r="F770" s="58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 spans="1:40" ht="23.25" customHeight="1" x14ac:dyDescent="0.3">
      <c r="A771" s="18"/>
      <c r="B771" s="18"/>
      <c r="C771" s="58"/>
      <c r="D771" s="58"/>
      <c r="E771" s="58"/>
      <c r="F771" s="58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 spans="1:40" ht="23.25" customHeight="1" x14ac:dyDescent="0.3">
      <c r="A772" s="18"/>
      <c r="B772" s="18"/>
      <c r="C772" s="58"/>
      <c r="D772" s="58"/>
      <c r="E772" s="58"/>
      <c r="F772" s="58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 spans="1:40" ht="23.25" customHeight="1" x14ac:dyDescent="0.3">
      <c r="A773" s="18"/>
      <c r="B773" s="18"/>
      <c r="C773" s="58"/>
      <c r="D773" s="58"/>
      <c r="E773" s="58"/>
      <c r="F773" s="58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 spans="1:40" ht="23.25" customHeight="1" x14ac:dyDescent="0.3">
      <c r="A774" s="18"/>
      <c r="B774" s="18"/>
      <c r="C774" s="58"/>
      <c r="D774" s="58"/>
      <c r="E774" s="58"/>
      <c r="F774" s="58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 spans="1:40" ht="23.25" customHeight="1" x14ac:dyDescent="0.3">
      <c r="A775" s="18"/>
      <c r="B775" s="18"/>
      <c r="C775" s="58"/>
      <c r="D775" s="58"/>
      <c r="E775" s="58"/>
      <c r="F775" s="58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 spans="1:40" ht="23.25" customHeight="1" x14ac:dyDescent="0.3">
      <c r="A776" s="18"/>
      <c r="B776" s="18"/>
      <c r="C776" s="58"/>
      <c r="D776" s="58"/>
      <c r="E776" s="58"/>
      <c r="F776" s="58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 spans="1:40" ht="23.25" customHeight="1" x14ac:dyDescent="0.3">
      <c r="A777" s="18"/>
      <c r="B777" s="18"/>
      <c r="C777" s="58"/>
      <c r="D777" s="58"/>
      <c r="E777" s="58"/>
      <c r="F777" s="58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 spans="1:40" ht="23.25" customHeight="1" x14ac:dyDescent="0.3">
      <c r="A778" s="18"/>
      <c r="B778" s="18"/>
      <c r="C778" s="58"/>
      <c r="D778" s="58"/>
      <c r="E778" s="58"/>
      <c r="F778" s="58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 spans="1:40" ht="23.25" customHeight="1" x14ac:dyDescent="0.3">
      <c r="A779" s="18"/>
      <c r="B779" s="18"/>
      <c r="C779" s="58"/>
      <c r="D779" s="58"/>
      <c r="E779" s="58"/>
      <c r="F779" s="58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 spans="1:40" ht="23.25" customHeight="1" x14ac:dyDescent="0.3">
      <c r="A780" s="18"/>
      <c r="B780" s="18"/>
      <c r="C780" s="58"/>
      <c r="D780" s="58"/>
      <c r="E780" s="58"/>
      <c r="F780" s="58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 spans="1:40" ht="23.25" customHeight="1" x14ac:dyDescent="0.3">
      <c r="A781" s="18"/>
      <c r="B781" s="18"/>
      <c r="C781" s="58"/>
      <c r="D781" s="58"/>
      <c r="E781" s="58"/>
      <c r="F781" s="58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 spans="1:40" ht="23.25" customHeight="1" x14ac:dyDescent="0.3">
      <c r="A782" s="18"/>
      <c r="B782" s="18"/>
      <c r="C782" s="58"/>
      <c r="D782" s="58"/>
      <c r="E782" s="58"/>
      <c r="F782" s="58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 spans="1:40" ht="23.25" customHeight="1" x14ac:dyDescent="0.3">
      <c r="A783" s="18"/>
      <c r="B783" s="18"/>
      <c r="C783" s="58"/>
      <c r="D783" s="58"/>
      <c r="E783" s="58"/>
      <c r="F783" s="58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 spans="1:40" ht="23.25" customHeight="1" x14ac:dyDescent="0.3">
      <c r="A784" s="18"/>
      <c r="B784" s="18"/>
      <c r="C784" s="58"/>
      <c r="D784" s="58"/>
      <c r="E784" s="58"/>
      <c r="F784" s="58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 spans="1:40" ht="23.25" customHeight="1" x14ac:dyDescent="0.3">
      <c r="A785" s="18"/>
      <c r="B785" s="18"/>
      <c r="C785" s="58"/>
      <c r="D785" s="58"/>
      <c r="E785" s="58"/>
      <c r="F785" s="58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 spans="1:40" ht="23.25" customHeight="1" x14ac:dyDescent="0.3">
      <c r="A786" s="18"/>
      <c r="B786" s="18"/>
      <c r="C786" s="58"/>
      <c r="D786" s="58"/>
      <c r="E786" s="58"/>
      <c r="F786" s="58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 spans="1:40" ht="23.25" customHeight="1" x14ac:dyDescent="0.3">
      <c r="A787" s="18"/>
      <c r="B787" s="18"/>
      <c r="C787" s="58"/>
      <c r="D787" s="58"/>
      <c r="E787" s="58"/>
      <c r="F787" s="58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 spans="1:40" ht="23.25" customHeight="1" x14ac:dyDescent="0.3">
      <c r="A788" s="18"/>
      <c r="B788" s="18"/>
      <c r="C788" s="58"/>
      <c r="D788" s="58"/>
      <c r="E788" s="58"/>
      <c r="F788" s="58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 spans="1:40" ht="23.25" customHeight="1" x14ac:dyDescent="0.3">
      <c r="A789" s="18"/>
      <c r="B789" s="18"/>
      <c r="C789" s="58"/>
      <c r="D789" s="58"/>
      <c r="E789" s="58"/>
      <c r="F789" s="58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 spans="1:40" ht="23.25" customHeight="1" x14ac:dyDescent="0.3">
      <c r="A790" s="18"/>
      <c r="B790" s="18"/>
      <c r="C790" s="58"/>
      <c r="D790" s="58"/>
      <c r="E790" s="58"/>
      <c r="F790" s="58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 spans="1:40" ht="23.25" customHeight="1" x14ac:dyDescent="0.3">
      <c r="A791" s="18"/>
      <c r="B791" s="18"/>
      <c r="C791" s="58"/>
      <c r="D791" s="58"/>
      <c r="E791" s="58"/>
      <c r="F791" s="58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 spans="1:40" ht="23.25" customHeight="1" x14ac:dyDescent="0.3">
      <c r="A792" s="18"/>
      <c r="B792" s="18"/>
      <c r="C792" s="58"/>
      <c r="D792" s="58"/>
      <c r="E792" s="58"/>
      <c r="F792" s="58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 spans="1:40" ht="23.25" customHeight="1" x14ac:dyDescent="0.3">
      <c r="A793" s="18"/>
      <c r="B793" s="18"/>
      <c r="C793" s="58"/>
      <c r="D793" s="58"/>
      <c r="E793" s="58"/>
      <c r="F793" s="58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 spans="1:40" ht="23.25" customHeight="1" x14ac:dyDescent="0.3">
      <c r="A794" s="18"/>
      <c r="B794" s="18"/>
      <c r="C794" s="58"/>
      <c r="D794" s="58"/>
      <c r="E794" s="58"/>
      <c r="F794" s="58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 spans="1:40" ht="23.25" customHeight="1" x14ac:dyDescent="0.3">
      <c r="A795" s="18"/>
      <c r="B795" s="18"/>
      <c r="C795" s="58"/>
      <c r="D795" s="58"/>
      <c r="E795" s="58"/>
      <c r="F795" s="58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 spans="1:40" ht="23.25" customHeight="1" x14ac:dyDescent="0.3">
      <c r="A796" s="18"/>
      <c r="B796" s="18"/>
      <c r="C796" s="58"/>
      <c r="D796" s="58"/>
      <c r="E796" s="58"/>
      <c r="F796" s="58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 spans="1:40" ht="23.25" customHeight="1" x14ac:dyDescent="0.3">
      <c r="A797" s="18"/>
      <c r="B797" s="18"/>
      <c r="C797" s="58"/>
      <c r="D797" s="58"/>
      <c r="E797" s="58"/>
      <c r="F797" s="58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 spans="1:40" ht="23.25" customHeight="1" x14ac:dyDescent="0.3">
      <c r="A798" s="18"/>
      <c r="B798" s="18"/>
      <c r="C798" s="58"/>
      <c r="D798" s="58"/>
      <c r="E798" s="58"/>
      <c r="F798" s="58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 spans="1:40" ht="23.25" customHeight="1" x14ac:dyDescent="0.3">
      <c r="A799" s="18"/>
      <c r="B799" s="18"/>
      <c r="C799" s="58"/>
      <c r="D799" s="58"/>
      <c r="E799" s="58"/>
      <c r="F799" s="58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 spans="1:40" ht="23.25" customHeight="1" x14ac:dyDescent="0.3">
      <c r="A800" s="18"/>
      <c r="B800" s="18"/>
      <c r="C800" s="58"/>
      <c r="D800" s="58"/>
      <c r="E800" s="58"/>
      <c r="F800" s="58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 spans="1:40" ht="23.25" customHeight="1" x14ac:dyDescent="0.3">
      <c r="A801" s="18"/>
      <c r="B801" s="18"/>
      <c r="C801" s="58"/>
      <c r="D801" s="58"/>
      <c r="E801" s="58"/>
      <c r="F801" s="58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 spans="1:40" ht="23.25" customHeight="1" x14ac:dyDescent="0.3">
      <c r="A802" s="18"/>
      <c r="B802" s="18"/>
      <c r="C802" s="58"/>
      <c r="D802" s="58"/>
      <c r="E802" s="58"/>
      <c r="F802" s="58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 spans="1:40" ht="23.25" customHeight="1" x14ac:dyDescent="0.3">
      <c r="A803" s="18"/>
      <c r="B803" s="18"/>
      <c r="C803" s="58"/>
      <c r="D803" s="58"/>
      <c r="E803" s="58"/>
      <c r="F803" s="58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 spans="1:40" ht="23.25" customHeight="1" x14ac:dyDescent="0.3">
      <c r="A804" s="18"/>
      <c r="B804" s="18"/>
      <c r="C804" s="58"/>
      <c r="D804" s="58"/>
      <c r="E804" s="58"/>
      <c r="F804" s="58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 spans="1:40" ht="23.25" customHeight="1" x14ac:dyDescent="0.3">
      <c r="A805" s="18"/>
      <c r="B805" s="18"/>
      <c r="C805" s="58"/>
      <c r="D805" s="58"/>
      <c r="E805" s="58"/>
      <c r="F805" s="58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 spans="1:40" ht="23.25" customHeight="1" x14ac:dyDescent="0.3">
      <c r="A806" s="18"/>
      <c r="B806" s="18"/>
      <c r="C806" s="58"/>
      <c r="D806" s="58"/>
      <c r="E806" s="58"/>
      <c r="F806" s="58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 spans="1:40" ht="23.25" customHeight="1" x14ac:dyDescent="0.3">
      <c r="A807" s="18"/>
      <c r="B807" s="18"/>
      <c r="C807" s="58"/>
      <c r="D807" s="58"/>
      <c r="E807" s="58"/>
      <c r="F807" s="58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 spans="1:40" ht="23.25" customHeight="1" x14ac:dyDescent="0.3">
      <c r="A808" s="18"/>
      <c r="B808" s="18"/>
      <c r="C808" s="58"/>
      <c r="D808" s="58"/>
      <c r="E808" s="58"/>
      <c r="F808" s="58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 spans="1:40" ht="23.25" customHeight="1" x14ac:dyDescent="0.3">
      <c r="A809" s="18"/>
      <c r="B809" s="18"/>
      <c r="C809" s="58"/>
      <c r="D809" s="58"/>
      <c r="E809" s="58"/>
      <c r="F809" s="58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 spans="1:40" ht="23.25" customHeight="1" x14ac:dyDescent="0.3">
      <c r="A810" s="18"/>
      <c r="B810" s="18"/>
      <c r="C810" s="58"/>
      <c r="D810" s="58"/>
      <c r="E810" s="58"/>
      <c r="F810" s="58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 spans="1:40" ht="23.25" customHeight="1" x14ac:dyDescent="0.3">
      <c r="A811" s="18"/>
      <c r="B811" s="18"/>
      <c r="C811" s="58"/>
      <c r="D811" s="58"/>
      <c r="E811" s="58"/>
      <c r="F811" s="58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 spans="1:40" ht="23.25" customHeight="1" x14ac:dyDescent="0.3">
      <c r="A812" s="18"/>
      <c r="B812" s="18"/>
      <c r="C812" s="58"/>
      <c r="D812" s="58"/>
      <c r="E812" s="58"/>
      <c r="F812" s="58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 spans="1:40" ht="23.25" customHeight="1" x14ac:dyDescent="0.3">
      <c r="A813" s="18"/>
      <c r="B813" s="18"/>
      <c r="C813" s="58"/>
      <c r="D813" s="58"/>
      <c r="E813" s="58"/>
      <c r="F813" s="58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 spans="1:40" ht="23.25" customHeight="1" x14ac:dyDescent="0.3">
      <c r="A814" s="18"/>
      <c r="B814" s="18"/>
      <c r="C814" s="58"/>
      <c r="D814" s="58"/>
      <c r="E814" s="58"/>
      <c r="F814" s="58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 spans="1:40" ht="23.25" customHeight="1" x14ac:dyDescent="0.3">
      <c r="A815" s="18"/>
      <c r="B815" s="18"/>
      <c r="C815" s="58"/>
      <c r="D815" s="58"/>
      <c r="E815" s="58"/>
      <c r="F815" s="58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 spans="1:40" ht="23.25" customHeight="1" x14ac:dyDescent="0.3">
      <c r="A816" s="18"/>
      <c r="B816" s="18"/>
      <c r="C816" s="58"/>
      <c r="D816" s="58"/>
      <c r="E816" s="58"/>
      <c r="F816" s="58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 spans="1:40" ht="23.25" customHeight="1" x14ac:dyDescent="0.3">
      <c r="A817" s="18"/>
      <c r="B817" s="18"/>
      <c r="C817" s="58"/>
      <c r="D817" s="58"/>
      <c r="E817" s="58"/>
      <c r="F817" s="58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 spans="1:40" ht="23.25" customHeight="1" x14ac:dyDescent="0.3">
      <c r="A818" s="18"/>
      <c r="B818" s="18"/>
      <c r="C818" s="58"/>
      <c r="D818" s="58"/>
      <c r="E818" s="58"/>
      <c r="F818" s="58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 spans="1:40" ht="23.25" customHeight="1" x14ac:dyDescent="0.3">
      <c r="A819" s="18"/>
      <c r="B819" s="18"/>
      <c r="C819" s="58"/>
      <c r="D819" s="58"/>
      <c r="E819" s="58"/>
      <c r="F819" s="58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 spans="1:40" ht="23.25" customHeight="1" x14ac:dyDescent="0.3">
      <c r="A820" s="18"/>
      <c r="B820" s="18"/>
      <c r="C820" s="58"/>
      <c r="D820" s="58"/>
      <c r="E820" s="58"/>
      <c r="F820" s="58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 spans="1:40" ht="23.25" customHeight="1" x14ac:dyDescent="0.3">
      <c r="A821" s="18"/>
      <c r="B821" s="18"/>
      <c r="C821" s="58"/>
      <c r="D821" s="58"/>
      <c r="E821" s="58"/>
      <c r="F821" s="58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 spans="1:40" ht="23.25" customHeight="1" x14ac:dyDescent="0.3">
      <c r="A822" s="18"/>
      <c r="B822" s="18"/>
      <c r="C822" s="58"/>
      <c r="D822" s="58"/>
      <c r="E822" s="58"/>
      <c r="F822" s="58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 spans="1:40" ht="23.25" customHeight="1" x14ac:dyDescent="0.3">
      <c r="A823" s="18"/>
      <c r="B823" s="18"/>
      <c r="C823" s="58"/>
      <c r="D823" s="58"/>
      <c r="E823" s="58"/>
      <c r="F823" s="58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 spans="1:40" ht="23.25" customHeight="1" x14ac:dyDescent="0.3">
      <c r="A824" s="18"/>
      <c r="B824" s="18"/>
      <c r="C824" s="58"/>
      <c r="D824" s="58"/>
      <c r="E824" s="58"/>
      <c r="F824" s="58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 spans="1:40" ht="23.25" customHeight="1" x14ac:dyDescent="0.3">
      <c r="A825" s="18"/>
      <c r="B825" s="18"/>
      <c r="C825" s="58"/>
      <c r="D825" s="58"/>
      <c r="E825" s="58"/>
      <c r="F825" s="58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 spans="1:40" ht="23.25" customHeight="1" x14ac:dyDescent="0.3">
      <c r="A826" s="18"/>
      <c r="B826" s="18"/>
      <c r="C826" s="58"/>
      <c r="D826" s="58"/>
      <c r="E826" s="58"/>
      <c r="F826" s="58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 spans="1:40" ht="23.25" customHeight="1" x14ac:dyDescent="0.3">
      <c r="A827" s="18"/>
      <c r="B827" s="18"/>
      <c r="C827" s="58"/>
      <c r="D827" s="58"/>
      <c r="E827" s="58"/>
      <c r="F827" s="58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 spans="1:40" ht="23.25" customHeight="1" x14ac:dyDescent="0.3">
      <c r="A828" s="18"/>
      <c r="B828" s="18"/>
      <c r="C828" s="58"/>
      <c r="D828" s="58"/>
      <c r="E828" s="58"/>
      <c r="F828" s="58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 spans="1:40" ht="23.25" customHeight="1" x14ac:dyDescent="0.3">
      <c r="A829" s="18"/>
      <c r="B829" s="18"/>
      <c r="C829" s="58"/>
      <c r="D829" s="58"/>
      <c r="E829" s="58"/>
      <c r="F829" s="58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 spans="1:40" ht="23.25" customHeight="1" x14ac:dyDescent="0.3">
      <c r="A830" s="18"/>
      <c r="B830" s="18"/>
      <c r="C830" s="58"/>
      <c r="D830" s="58"/>
      <c r="E830" s="58"/>
      <c r="F830" s="58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 spans="1:40" ht="23.25" customHeight="1" x14ac:dyDescent="0.3">
      <c r="A831" s="18"/>
      <c r="B831" s="18"/>
      <c r="C831" s="58"/>
      <c r="D831" s="58"/>
      <c r="E831" s="58"/>
      <c r="F831" s="58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 spans="1:40" ht="23.25" customHeight="1" x14ac:dyDescent="0.3">
      <c r="A832" s="18"/>
      <c r="B832" s="18"/>
      <c r="C832" s="58"/>
      <c r="D832" s="58"/>
      <c r="E832" s="58"/>
      <c r="F832" s="58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 spans="1:40" ht="23.25" customHeight="1" x14ac:dyDescent="0.3">
      <c r="A833" s="18"/>
      <c r="B833" s="18"/>
      <c r="C833" s="58"/>
      <c r="D833" s="58"/>
      <c r="E833" s="58"/>
      <c r="F833" s="58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 spans="1:40" ht="23.25" customHeight="1" x14ac:dyDescent="0.3">
      <c r="A834" s="18"/>
      <c r="B834" s="18"/>
      <c r="C834" s="58"/>
      <c r="D834" s="58"/>
      <c r="E834" s="58"/>
      <c r="F834" s="58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 spans="1:40" ht="23.25" customHeight="1" x14ac:dyDescent="0.3">
      <c r="A835" s="18"/>
      <c r="B835" s="18"/>
      <c r="C835" s="58"/>
      <c r="D835" s="58"/>
      <c r="E835" s="58"/>
      <c r="F835" s="58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 spans="1:40" ht="23.25" customHeight="1" x14ac:dyDescent="0.3">
      <c r="A836" s="18"/>
      <c r="B836" s="18"/>
      <c r="C836" s="58"/>
      <c r="D836" s="58"/>
      <c r="E836" s="58"/>
      <c r="F836" s="58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 spans="1:40" ht="23.25" customHeight="1" x14ac:dyDescent="0.3">
      <c r="A837" s="18"/>
      <c r="B837" s="18"/>
      <c r="C837" s="58"/>
      <c r="D837" s="58"/>
      <c r="E837" s="58"/>
      <c r="F837" s="58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 spans="1:40" ht="23.25" customHeight="1" x14ac:dyDescent="0.3">
      <c r="A838" s="18"/>
      <c r="B838" s="18"/>
      <c r="C838" s="58"/>
      <c r="D838" s="58"/>
      <c r="E838" s="58"/>
      <c r="F838" s="58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 spans="1:40" ht="23.25" customHeight="1" x14ac:dyDescent="0.3">
      <c r="A839" s="18"/>
      <c r="B839" s="18"/>
      <c r="C839" s="58"/>
      <c r="D839" s="58"/>
      <c r="E839" s="58"/>
      <c r="F839" s="58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 spans="1:40" ht="23.25" customHeight="1" x14ac:dyDescent="0.3">
      <c r="A840" s="18"/>
      <c r="B840" s="18"/>
      <c r="C840" s="58"/>
      <c r="D840" s="58"/>
      <c r="E840" s="58"/>
      <c r="F840" s="58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 spans="1:40" ht="23.25" customHeight="1" x14ac:dyDescent="0.3">
      <c r="A841" s="18"/>
      <c r="B841" s="18"/>
      <c r="C841" s="58"/>
      <c r="D841" s="58"/>
      <c r="E841" s="58"/>
      <c r="F841" s="58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 spans="1:40" ht="23.25" customHeight="1" x14ac:dyDescent="0.3">
      <c r="A842" s="18"/>
      <c r="B842" s="18"/>
      <c r="C842" s="58"/>
      <c r="D842" s="58"/>
      <c r="E842" s="58"/>
      <c r="F842" s="58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 spans="1:40" ht="23.25" customHeight="1" x14ac:dyDescent="0.3">
      <c r="A843" s="18"/>
      <c r="B843" s="18"/>
      <c r="C843" s="58"/>
      <c r="D843" s="58"/>
      <c r="E843" s="58"/>
      <c r="F843" s="58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 spans="1:40" ht="23.25" customHeight="1" x14ac:dyDescent="0.3">
      <c r="A844" s="18"/>
      <c r="B844" s="18"/>
      <c r="C844" s="58"/>
      <c r="D844" s="58"/>
      <c r="E844" s="58"/>
      <c r="F844" s="58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 spans="1:40" ht="23.25" customHeight="1" x14ac:dyDescent="0.3">
      <c r="A845" s="18"/>
      <c r="B845" s="18"/>
      <c r="C845" s="58"/>
      <c r="D845" s="58"/>
      <c r="E845" s="58"/>
      <c r="F845" s="58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 spans="1:40" ht="23.25" customHeight="1" x14ac:dyDescent="0.3">
      <c r="A846" s="18"/>
      <c r="B846" s="18"/>
      <c r="C846" s="58"/>
      <c r="D846" s="58"/>
      <c r="E846" s="58"/>
      <c r="F846" s="58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 spans="1:40" ht="23.25" customHeight="1" x14ac:dyDescent="0.3">
      <c r="A847" s="18"/>
      <c r="B847" s="18"/>
      <c r="C847" s="58"/>
      <c r="D847" s="58"/>
      <c r="E847" s="58"/>
      <c r="F847" s="58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 spans="1:40" ht="23.25" customHeight="1" x14ac:dyDescent="0.3">
      <c r="A848" s="18"/>
      <c r="B848" s="18"/>
      <c r="C848" s="58"/>
      <c r="D848" s="58"/>
      <c r="E848" s="58"/>
      <c r="F848" s="58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 spans="1:40" ht="23.25" customHeight="1" x14ac:dyDescent="0.3">
      <c r="A849" s="18"/>
      <c r="B849" s="18"/>
      <c r="C849" s="58"/>
      <c r="D849" s="58"/>
      <c r="E849" s="58"/>
      <c r="F849" s="58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 spans="1:40" ht="23.25" customHeight="1" x14ac:dyDescent="0.3">
      <c r="A850" s="18"/>
      <c r="B850" s="18"/>
      <c r="C850" s="58"/>
      <c r="D850" s="58"/>
      <c r="E850" s="58"/>
      <c r="F850" s="58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 spans="1:40" ht="23.25" customHeight="1" x14ac:dyDescent="0.3">
      <c r="A851" s="18"/>
      <c r="B851" s="18"/>
      <c r="C851" s="58"/>
      <c r="D851" s="58"/>
      <c r="E851" s="58"/>
      <c r="F851" s="58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 spans="1:40" ht="23.25" customHeight="1" x14ac:dyDescent="0.3">
      <c r="A852" s="18"/>
      <c r="B852" s="18"/>
      <c r="C852" s="58"/>
      <c r="D852" s="58"/>
      <c r="E852" s="58"/>
      <c r="F852" s="58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 spans="1:40" ht="23.25" customHeight="1" x14ac:dyDescent="0.3">
      <c r="A853" s="18"/>
      <c r="B853" s="18"/>
      <c r="C853" s="58"/>
      <c r="D853" s="58"/>
      <c r="E853" s="58"/>
      <c r="F853" s="58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 spans="1:40" ht="23.25" customHeight="1" x14ac:dyDescent="0.3">
      <c r="A854" s="18"/>
      <c r="B854" s="18"/>
      <c r="C854" s="58"/>
      <c r="D854" s="58"/>
      <c r="E854" s="58"/>
      <c r="F854" s="58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 spans="1:40" ht="23.25" customHeight="1" x14ac:dyDescent="0.3">
      <c r="A855" s="18"/>
      <c r="B855" s="18"/>
      <c r="C855" s="58"/>
      <c r="D855" s="58"/>
      <c r="E855" s="58"/>
      <c r="F855" s="58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 spans="1:40" ht="23.25" customHeight="1" x14ac:dyDescent="0.3">
      <c r="A856" s="18"/>
      <c r="B856" s="18"/>
      <c r="C856" s="58"/>
      <c r="D856" s="58"/>
      <c r="E856" s="58"/>
      <c r="F856" s="58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 spans="1:40" ht="23.25" customHeight="1" x14ac:dyDescent="0.3">
      <c r="A857" s="18"/>
      <c r="B857" s="18"/>
      <c r="C857" s="58"/>
      <c r="D857" s="58"/>
      <c r="E857" s="58"/>
      <c r="F857" s="58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 spans="1:40" ht="23.25" customHeight="1" x14ac:dyDescent="0.3">
      <c r="A858" s="18"/>
      <c r="B858" s="18"/>
      <c r="C858" s="58"/>
      <c r="D858" s="58"/>
      <c r="E858" s="58"/>
      <c r="F858" s="58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 spans="1:40" ht="23.25" customHeight="1" x14ac:dyDescent="0.3">
      <c r="A859" s="18"/>
      <c r="B859" s="18"/>
      <c r="C859" s="58"/>
      <c r="D859" s="58"/>
      <c r="E859" s="58"/>
      <c r="F859" s="58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 spans="1:40" ht="23.25" customHeight="1" x14ac:dyDescent="0.3">
      <c r="A860" s="18"/>
      <c r="B860" s="18"/>
      <c r="C860" s="58"/>
      <c r="D860" s="58"/>
      <c r="E860" s="58"/>
      <c r="F860" s="58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 spans="1:40" ht="23.25" customHeight="1" x14ac:dyDescent="0.3">
      <c r="A861" s="18"/>
      <c r="B861" s="18"/>
      <c r="C861" s="58"/>
      <c r="D861" s="58"/>
      <c r="E861" s="58"/>
      <c r="F861" s="58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 spans="1:40" ht="23.25" customHeight="1" x14ac:dyDescent="0.3">
      <c r="A862" s="18"/>
      <c r="B862" s="18"/>
      <c r="C862" s="58"/>
      <c r="D862" s="58"/>
      <c r="E862" s="58"/>
      <c r="F862" s="58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 spans="1:40" ht="23.25" customHeight="1" x14ac:dyDescent="0.3">
      <c r="A863" s="18"/>
      <c r="B863" s="18"/>
      <c r="C863" s="58"/>
      <c r="D863" s="58"/>
      <c r="E863" s="58"/>
      <c r="F863" s="58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 spans="1:40" ht="23.25" customHeight="1" x14ac:dyDescent="0.3">
      <c r="A864" s="18"/>
      <c r="B864" s="18"/>
      <c r="C864" s="58"/>
      <c r="D864" s="58"/>
      <c r="E864" s="58"/>
      <c r="F864" s="58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 spans="1:40" ht="23.25" customHeight="1" x14ac:dyDescent="0.3">
      <c r="A865" s="18"/>
      <c r="B865" s="18"/>
      <c r="C865" s="58"/>
      <c r="D865" s="58"/>
      <c r="E865" s="58"/>
      <c r="F865" s="58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 spans="1:40" ht="23.25" customHeight="1" x14ac:dyDescent="0.3">
      <c r="A866" s="18"/>
      <c r="B866" s="18"/>
      <c r="C866" s="58"/>
      <c r="D866" s="58"/>
      <c r="E866" s="58"/>
      <c r="F866" s="58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 spans="1:40" ht="23.25" customHeight="1" x14ac:dyDescent="0.3">
      <c r="A867" s="18"/>
      <c r="B867" s="18"/>
      <c r="C867" s="58"/>
      <c r="D867" s="58"/>
      <c r="E867" s="58"/>
      <c r="F867" s="58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 spans="1:40" ht="23.25" customHeight="1" x14ac:dyDescent="0.3">
      <c r="A868" s="18"/>
      <c r="B868" s="18"/>
      <c r="C868" s="58"/>
      <c r="D868" s="58"/>
      <c r="E868" s="58"/>
      <c r="F868" s="58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 spans="1:40" ht="23.25" customHeight="1" x14ac:dyDescent="0.3">
      <c r="A869" s="18"/>
      <c r="B869" s="18"/>
      <c r="C869" s="58"/>
      <c r="D869" s="58"/>
      <c r="E869" s="58"/>
      <c r="F869" s="58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 spans="1:40" ht="23.25" customHeight="1" x14ac:dyDescent="0.3">
      <c r="A870" s="18"/>
      <c r="B870" s="18"/>
      <c r="C870" s="58"/>
      <c r="D870" s="58"/>
      <c r="E870" s="58"/>
      <c r="F870" s="58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 spans="1:40" ht="23.25" customHeight="1" x14ac:dyDescent="0.3">
      <c r="A871" s="18"/>
      <c r="B871" s="18"/>
      <c r="C871" s="58"/>
      <c r="D871" s="58"/>
      <c r="E871" s="58"/>
      <c r="F871" s="58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 spans="1:40" ht="23.25" customHeight="1" x14ac:dyDescent="0.3">
      <c r="A872" s="18"/>
      <c r="B872" s="18"/>
      <c r="C872" s="58"/>
      <c r="D872" s="58"/>
      <c r="E872" s="58"/>
      <c r="F872" s="58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 spans="1:40" ht="23.25" customHeight="1" x14ac:dyDescent="0.3">
      <c r="A873" s="18"/>
      <c r="B873" s="18"/>
      <c r="C873" s="58"/>
      <c r="D873" s="58"/>
      <c r="E873" s="58"/>
      <c r="F873" s="58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 spans="1:40" ht="23.25" customHeight="1" x14ac:dyDescent="0.3">
      <c r="A874" s="18"/>
      <c r="B874" s="18"/>
      <c r="C874" s="58"/>
      <c r="D874" s="58"/>
      <c r="E874" s="58"/>
      <c r="F874" s="58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 spans="1:40" ht="23.25" customHeight="1" x14ac:dyDescent="0.3">
      <c r="A875" s="18"/>
      <c r="B875" s="18"/>
      <c r="C875" s="58"/>
      <c r="D875" s="58"/>
      <c r="E875" s="58"/>
      <c r="F875" s="58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 spans="1:40" ht="23.25" customHeight="1" x14ac:dyDescent="0.3">
      <c r="A876" s="18"/>
      <c r="B876" s="18"/>
      <c r="C876" s="58"/>
      <c r="D876" s="58"/>
      <c r="E876" s="58"/>
      <c r="F876" s="58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 spans="1:40" ht="23.25" customHeight="1" x14ac:dyDescent="0.3">
      <c r="A877" s="18"/>
      <c r="B877" s="18"/>
      <c r="C877" s="58"/>
      <c r="D877" s="58"/>
      <c r="E877" s="58"/>
      <c r="F877" s="58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 spans="1:40" ht="23.25" customHeight="1" x14ac:dyDescent="0.3">
      <c r="A878" s="18"/>
      <c r="B878" s="18"/>
      <c r="C878" s="58"/>
      <c r="D878" s="58"/>
      <c r="E878" s="58"/>
      <c r="F878" s="58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 spans="1:40" ht="23.25" customHeight="1" x14ac:dyDescent="0.3">
      <c r="A879" s="18"/>
      <c r="B879" s="18"/>
      <c r="C879" s="58"/>
      <c r="D879" s="58"/>
      <c r="E879" s="58"/>
      <c r="F879" s="58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 spans="1:40" ht="23.25" customHeight="1" x14ac:dyDescent="0.3">
      <c r="A880" s="18"/>
      <c r="B880" s="18"/>
      <c r="C880" s="58"/>
      <c r="D880" s="58"/>
      <c r="E880" s="58"/>
      <c r="F880" s="58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 spans="1:40" ht="23.25" customHeight="1" x14ac:dyDescent="0.3">
      <c r="A881" s="18"/>
      <c r="B881" s="18"/>
      <c r="C881" s="58"/>
      <c r="D881" s="58"/>
      <c r="E881" s="58"/>
      <c r="F881" s="58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 spans="1:40" ht="23.25" customHeight="1" x14ac:dyDescent="0.3">
      <c r="A882" s="18"/>
      <c r="B882" s="18"/>
      <c r="C882" s="58"/>
      <c r="D882" s="58"/>
      <c r="E882" s="58"/>
      <c r="F882" s="58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 spans="1:40" ht="23.25" customHeight="1" x14ac:dyDescent="0.3">
      <c r="A883" s="18"/>
      <c r="B883" s="18"/>
      <c r="C883" s="58"/>
      <c r="D883" s="58"/>
      <c r="E883" s="58"/>
      <c r="F883" s="58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 spans="1:40" ht="23.25" customHeight="1" x14ac:dyDescent="0.3">
      <c r="A884" s="18"/>
      <c r="B884" s="18"/>
      <c r="C884" s="58"/>
      <c r="D884" s="58"/>
      <c r="E884" s="58"/>
      <c r="F884" s="58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 spans="1:40" ht="23.25" customHeight="1" x14ac:dyDescent="0.3">
      <c r="A885" s="18"/>
      <c r="B885" s="18"/>
      <c r="C885" s="58"/>
      <c r="D885" s="58"/>
      <c r="E885" s="58"/>
      <c r="F885" s="58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 spans="1:40" ht="23.25" customHeight="1" x14ac:dyDescent="0.3">
      <c r="A886" s="18"/>
      <c r="B886" s="18"/>
      <c r="C886" s="58"/>
      <c r="D886" s="58"/>
      <c r="E886" s="58"/>
      <c r="F886" s="58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 spans="1:40" ht="23.25" customHeight="1" x14ac:dyDescent="0.3">
      <c r="A887" s="18"/>
      <c r="B887" s="18"/>
      <c r="C887" s="58"/>
      <c r="D887" s="58"/>
      <c r="E887" s="58"/>
      <c r="F887" s="58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 spans="1:40" ht="23.25" customHeight="1" x14ac:dyDescent="0.3">
      <c r="A888" s="18"/>
      <c r="B888" s="18"/>
      <c r="C888" s="58"/>
      <c r="D888" s="58"/>
      <c r="E888" s="58"/>
      <c r="F888" s="58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 spans="1:40" ht="23.25" customHeight="1" x14ac:dyDescent="0.3">
      <c r="A889" s="18"/>
      <c r="B889" s="18"/>
      <c r="C889" s="58"/>
      <c r="D889" s="58"/>
      <c r="E889" s="58"/>
      <c r="F889" s="58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 spans="1:40" ht="23.25" customHeight="1" x14ac:dyDescent="0.3">
      <c r="A890" s="18"/>
      <c r="B890" s="18"/>
      <c r="C890" s="58"/>
      <c r="D890" s="58"/>
      <c r="E890" s="58"/>
      <c r="F890" s="58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 spans="1:40" ht="23.25" customHeight="1" x14ac:dyDescent="0.3">
      <c r="A891" s="18"/>
      <c r="B891" s="18"/>
      <c r="C891" s="58"/>
      <c r="D891" s="58"/>
      <c r="E891" s="58"/>
      <c r="F891" s="58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 spans="1:40" ht="23.25" customHeight="1" x14ac:dyDescent="0.3">
      <c r="A892" s="18"/>
      <c r="B892" s="18"/>
      <c r="C892" s="58"/>
      <c r="D892" s="58"/>
      <c r="E892" s="58"/>
      <c r="F892" s="58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 spans="1:40" ht="23.25" customHeight="1" x14ac:dyDescent="0.3">
      <c r="A893" s="18"/>
      <c r="B893" s="18"/>
      <c r="C893" s="58"/>
      <c r="D893" s="58"/>
      <c r="E893" s="58"/>
      <c r="F893" s="58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 spans="1:40" ht="23.25" customHeight="1" x14ac:dyDescent="0.3">
      <c r="A894" s="18"/>
      <c r="B894" s="18"/>
      <c r="C894" s="58"/>
      <c r="D894" s="58"/>
      <c r="E894" s="58"/>
      <c r="F894" s="58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 spans="1:40" ht="23.25" customHeight="1" x14ac:dyDescent="0.3">
      <c r="A895" s="18"/>
      <c r="B895" s="18"/>
      <c r="C895" s="58"/>
      <c r="D895" s="58"/>
      <c r="E895" s="58"/>
      <c r="F895" s="58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 spans="1:40" ht="23.25" customHeight="1" x14ac:dyDescent="0.3">
      <c r="A896" s="18"/>
      <c r="B896" s="18"/>
      <c r="C896" s="58"/>
      <c r="D896" s="58"/>
      <c r="E896" s="58"/>
      <c r="F896" s="58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 spans="1:40" ht="23.25" customHeight="1" x14ac:dyDescent="0.3">
      <c r="A897" s="18"/>
      <c r="B897" s="18"/>
      <c r="C897" s="58"/>
      <c r="D897" s="58"/>
      <c r="E897" s="58"/>
      <c r="F897" s="58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 spans="1:40" ht="23.25" customHeight="1" x14ac:dyDescent="0.3">
      <c r="A898" s="18"/>
      <c r="B898" s="18"/>
      <c r="C898" s="58"/>
      <c r="D898" s="58"/>
      <c r="E898" s="58"/>
      <c r="F898" s="58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 spans="1:40" ht="23.25" customHeight="1" x14ac:dyDescent="0.3">
      <c r="A899" s="18"/>
      <c r="B899" s="18"/>
      <c r="C899" s="58"/>
      <c r="D899" s="58"/>
      <c r="E899" s="58"/>
      <c r="F899" s="58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 spans="1:40" ht="23.25" customHeight="1" x14ac:dyDescent="0.3">
      <c r="A900" s="18"/>
      <c r="B900" s="18"/>
      <c r="C900" s="58"/>
      <c r="D900" s="58"/>
      <c r="E900" s="58"/>
      <c r="F900" s="58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 spans="1:40" ht="23.25" customHeight="1" x14ac:dyDescent="0.3">
      <c r="A901" s="18"/>
      <c r="B901" s="18"/>
      <c r="C901" s="58"/>
      <c r="D901" s="58"/>
      <c r="E901" s="58"/>
      <c r="F901" s="58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 spans="1:40" ht="23.25" customHeight="1" x14ac:dyDescent="0.3">
      <c r="A902" s="18"/>
      <c r="B902" s="18"/>
      <c r="C902" s="58"/>
      <c r="D902" s="58"/>
      <c r="E902" s="58"/>
      <c r="F902" s="58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 spans="1:40" ht="23.25" customHeight="1" x14ac:dyDescent="0.3">
      <c r="A903" s="18"/>
      <c r="B903" s="18"/>
      <c r="C903" s="58"/>
      <c r="D903" s="58"/>
      <c r="E903" s="58"/>
      <c r="F903" s="58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 spans="1:40" ht="23.25" customHeight="1" x14ac:dyDescent="0.3">
      <c r="A904" s="18"/>
      <c r="B904" s="18"/>
      <c r="C904" s="58"/>
      <c r="D904" s="58"/>
      <c r="E904" s="58"/>
      <c r="F904" s="58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 spans="1:40" ht="23.25" customHeight="1" x14ac:dyDescent="0.3">
      <c r="A905" s="18"/>
      <c r="B905" s="18"/>
      <c r="C905" s="58"/>
      <c r="D905" s="58"/>
      <c r="E905" s="58"/>
      <c r="F905" s="58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 spans="1:40" ht="23.25" customHeight="1" x14ac:dyDescent="0.3">
      <c r="A906" s="18"/>
      <c r="B906" s="18"/>
      <c r="C906" s="58"/>
      <c r="D906" s="58"/>
      <c r="E906" s="58"/>
      <c r="F906" s="58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 spans="1:40" ht="23.25" customHeight="1" x14ac:dyDescent="0.3">
      <c r="A907" s="18"/>
      <c r="B907" s="18"/>
      <c r="C907" s="58"/>
      <c r="D907" s="58"/>
      <c r="E907" s="58"/>
      <c r="F907" s="58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 spans="1:40" ht="23.25" customHeight="1" x14ac:dyDescent="0.3">
      <c r="A908" s="18"/>
      <c r="B908" s="18"/>
      <c r="C908" s="58"/>
      <c r="D908" s="58"/>
      <c r="E908" s="58"/>
      <c r="F908" s="58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 spans="1:40" ht="23.25" customHeight="1" x14ac:dyDescent="0.3">
      <c r="A909" s="18"/>
      <c r="B909" s="18"/>
      <c r="C909" s="58"/>
      <c r="D909" s="58"/>
      <c r="E909" s="58"/>
      <c r="F909" s="58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 spans="1:40" ht="23.25" customHeight="1" x14ac:dyDescent="0.3">
      <c r="A910" s="18"/>
      <c r="B910" s="18"/>
      <c r="C910" s="58"/>
      <c r="D910" s="58"/>
      <c r="E910" s="58"/>
      <c r="F910" s="58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 spans="1:40" ht="23.25" customHeight="1" x14ac:dyDescent="0.3">
      <c r="A911" s="18"/>
      <c r="B911" s="18"/>
      <c r="C911" s="58"/>
      <c r="D911" s="58"/>
      <c r="E911" s="58"/>
      <c r="F911" s="58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 spans="1:40" ht="23.25" customHeight="1" x14ac:dyDescent="0.3">
      <c r="A912" s="18"/>
      <c r="B912" s="18"/>
      <c r="C912" s="58"/>
      <c r="D912" s="58"/>
      <c r="E912" s="58"/>
      <c r="F912" s="58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 spans="1:40" ht="23.25" customHeight="1" x14ac:dyDescent="0.3">
      <c r="A913" s="18"/>
      <c r="B913" s="18"/>
      <c r="C913" s="58"/>
      <c r="D913" s="58"/>
      <c r="E913" s="58"/>
      <c r="F913" s="58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 spans="1:40" ht="23.25" customHeight="1" x14ac:dyDescent="0.3">
      <c r="A914" s="18"/>
      <c r="B914" s="18"/>
      <c r="C914" s="58"/>
      <c r="D914" s="58"/>
      <c r="E914" s="58"/>
      <c r="F914" s="58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 spans="1:40" ht="23.25" customHeight="1" x14ac:dyDescent="0.3">
      <c r="A915" s="18"/>
      <c r="B915" s="18"/>
      <c r="C915" s="58"/>
      <c r="D915" s="58"/>
      <c r="E915" s="58"/>
      <c r="F915" s="58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 spans="1:40" ht="23.25" customHeight="1" x14ac:dyDescent="0.3">
      <c r="A916" s="18"/>
      <c r="B916" s="18"/>
      <c r="C916" s="58"/>
      <c r="D916" s="58"/>
      <c r="E916" s="58"/>
      <c r="F916" s="58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 spans="1:40" ht="23.25" customHeight="1" x14ac:dyDescent="0.3">
      <c r="A917" s="18"/>
      <c r="B917" s="18"/>
      <c r="C917" s="58"/>
      <c r="D917" s="58"/>
      <c r="E917" s="58"/>
      <c r="F917" s="58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 spans="1:40" ht="23.25" customHeight="1" x14ac:dyDescent="0.3">
      <c r="A918" s="18"/>
      <c r="B918" s="18"/>
      <c r="C918" s="58"/>
      <c r="D918" s="58"/>
      <c r="E918" s="58"/>
      <c r="F918" s="58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 spans="1:40" ht="23.25" customHeight="1" x14ac:dyDescent="0.3">
      <c r="A919" s="18"/>
      <c r="B919" s="18"/>
      <c r="C919" s="58"/>
      <c r="D919" s="58"/>
      <c r="E919" s="58"/>
      <c r="F919" s="58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 spans="1:40" ht="23.25" customHeight="1" x14ac:dyDescent="0.3">
      <c r="A920" s="18"/>
      <c r="B920" s="18"/>
      <c r="C920" s="58"/>
      <c r="D920" s="58"/>
      <c r="E920" s="58"/>
      <c r="F920" s="58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 spans="1:40" ht="23.25" customHeight="1" x14ac:dyDescent="0.3">
      <c r="A921" s="18"/>
      <c r="B921" s="18"/>
      <c r="C921" s="58"/>
      <c r="D921" s="58"/>
      <c r="E921" s="58"/>
      <c r="F921" s="58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 spans="1:40" ht="23.25" customHeight="1" x14ac:dyDescent="0.3">
      <c r="A922" s="18"/>
      <c r="B922" s="18"/>
      <c r="C922" s="58"/>
      <c r="D922" s="58"/>
      <c r="E922" s="58"/>
      <c r="F922" s="58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 spans="1:40" ht="23.25" customHeight="1" x14ac:dyDescent="0.3">
      <c r="A923" s="18"/>
      <c r="B923" s="18"/>
      <c r="C923" s="58"/>
      <c r="D923" s="58"/>
      <c r="E923" s="58"/>
      <c r="F923" s="58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 spans="1:40" ht="23.25" customHeight="1" x14ac:dyDescent="0.3">
      <c r="A924" s="18"/>
      <c r="B924" s="18"/>
      <c r="C924" s="58"/>
      <c r="D924" s="58"/>
      <c r="E924" s="58"/>
      <c r="F924" s="58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 spans="1:40" ht="23.25" customHeight="1" x14ac:dyDescent="0.3">
      <c r="A925" s="18"/>
      <c r="B925" s="18"/>
      <c r="C925" s="58"/>
      <c r="D925" s="58"/>
      <c r="E925" s="58"/>
      <c r="F925" s="58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 spans="1:40" ht="23.25" customHeight="1" x14ac:dyDescent="0.3">
      <c r="A926" s="18"/>
      <c r="B926" s="18"/>
      <c r="C926" s="58"/>
      <c r="D926" s="58"/>
      <c r="E926" s="58"/>
      <c r="F926" s="58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 spans="1:40" ht="23.25" customHeight="1" x14ac:dyDescent="0.3">
      <c r="A927" s="18"/>
      <c r="B927" s="18"/>
      <c r="C927" s="58"/>
      <c r="D927" s="58"/>
      <c r="E927" s="58"/>
      <c r="F927" s="58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 spans="1:40" ht="23.25" customHeight="1" x14ac:dyDescent="0.3">
      <c r="A928" s="18"/>
      <c r="B928" s="18"/>
      <c r="C928" s="58"/>
      <c r="D928" s="58"/>
      <c r="E928" s="58"/>
      <c r="F928" s="58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 spans="1:40" ht="23.25" customHeight="1" x14ac:dyDescent="0.3">
      <c r="A929" s="18"/>
      <c r="B929" s="18"/>
      <c r="C929" s="58"/>
      <c r="D929" s="58"/>
      <c r="E929" s="58"/>
      <c r="F929" s="58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 spans="1:40" ht="23.25" customHeight="1" x14ac:dyDescent="0.3">
      <c r="A930" s="18"/>
      <c r="B930" s="18"/>
      <c r="C930" s="58"/>
      <c r="D930" s="58"/>
      <c r="E930" s="58"/>
      <c r="F930" s="58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 spans="1:40" ht="23.25" customHeight="1" x14ac:dyDescent="0.3">
      <c r="A931" s="18"/>
      <c r="B931" s="18"/>
      <c r="C931" s="58"/>
      <c r="D931" s="58"/>
      <c r="E931" s="58"/>
      <c r="F931" s="58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 spans="1:40" ht="23.25" customHeight="1" x14ac:dyDescent="0.3">
      <c r="A932" s="18"/>
      <c r="B932" s="18"/>
      <c r="C932" s="58"/>
      <c r="D932" s="58"/>
      <c r="E932" s="58"/>
      <c r="F932" s="58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 spans="1:40" ht="23.25" customHeight="1" x14ac:dyDescent="0.3">
      <c r="A933" s="18"/>
      <c r="B933" s="18"/>
      <c r="C933" s="58"/>
      <c r="D933" s="58"/>
      <c r="E933" s="58"/>
      <c r="F933" s="58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 spans="1:40" ht="23.25" customHeight="1" x14ac:dyDescent="0.3">
      <c r="A934" s="18"/>
      <c r="B934" s="18"/>
      <c r="C934" s="58"/>
      <c r="D934" s="58"/>
      <c r="E934" s="58"/>
      <c r="F934" s="58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 spans="1:40" ht="23.25" customHeight="1" x14ac:dyDescent="0.3">
      <c r="A935" s="18"/>
      <c r="B935" s="18"/>
      <c r="C935" s="58"/>
      <c r="D935" s="58"/>
      <c r="E935" s="58"/>
      <c r="F935" s="58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 spans="1:40" ht="23.25" customHeight="1" x14ac:dyDescent="0.3">
      <c r="A936" s="18"/>
      <c r="B936" s="18"/>
      <c r="C936" s="58"/>
      <c r="D936" s="58"/>
      <c r="E936" s="58"/>
      <c r="F936" s="58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 spans="1:40" ht="23.25" customHeight="1" x14ac:dyDescent="0.3">
      <c r="A937" s="18"/>
      <c r="B937" s="18"/>
      <c r="C937" s="58"/>
      <c r="D937" s="58"/>
      <c r="E937" s="58"/>
      <c r="F937" s="58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 spans="1:40" ht="23.25" customHeight="1" x14ac:dyDescent="0.3">
      <c r="A938" s="18"/>
      <c r="B938" s="18"/>
      <c r="C938" s="58"/>
      <c r="D938" s="58"/>
      <c r="E938" s="58"/>
      <c r="F938" s="58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 spans="1:40" ht="23.25" customHeight="1" x14ac:dyDescent="0.3">
      <c r="A939" s="18"/>
      <c r="B939" s="18"/>
      <c r="C939" s="58"/>
      <c r="D939" s="58"/>
      <c r="E939" s="58"/>
      <c r="F939" s="58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 spans="1:40" ht="23.25" customHeight="1" x14ac:dyDescent="0.3">
      <c r="A940" s="18"/>
      <c r="B940" s="18"/>
      <c r="C940" s="58"/>
      <c r="D940" s="58"/>
      <c r="E940" s="58"/>
      <c r="F940" s="58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 spans="1:40" ht="23.25" customHeight="1" x14ac:dyDescent="0.3">
      <c r="A941" s="18"/>
      <c r="B941" s="18"/>
      <c r="C941" s="58"/>
      <c r="D941" s="58"/>
      <c r="E941" s="58"/>
      <c r="F941" s="58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 spans="1:40" ht="23.25" customHeight="1" x14ac:dyDescent="0.3">
      <c r="A942" s="18"/>
      <c r="B942" s="18"/>
      <c r="C942" s="58"/>
      <c r="D942" s="58"/>
      <c r="E942" s="58"/>
      <c r="F942" s="58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 spans="1:40" ht="23.25" customHeight="1" x14ac:dyDescent="0.3">
      <c r="A943" s="18"/>
      <c r="B943" s="18"/>
      <c r="C943" s="58"/>
      <c r="D943" s="58"/>
      <c r="E943" s="58"/>
      <c r="F943" s="58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 spans="1:40" ht="23.25" customHeight="1" x14ac:dyDescent="0.3">
      <c r="A944" s="18"/>
      <c r="B944" s="18"/>
      <c r="C944" s="58"/>
      <c r="D944" s="58"/>
      <c r="E944" s="58"/>
      <c r="F944" s="58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 spans="1:40" ht="23.25" customHeight="1" x14ac:dyDescent="0.3">
      <c r="A945" s="18"/>
      <c r="B945" s="18"/>
      <c r="C945" s="58"/>
      <c r="D945" s="58"/>
      <c r="E945" s="58"/>
      <c r="F945" s="58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 spans="1:40" ht="23.25" customHeight="1" x14ac:dyDescent="0.3">
      <c r="A946" s="18"/>
      <c r="B946" s="18"/>
      <c r="C946" s="58"/>
      <c r="D946" s="58"/>
      <c r="E946" s="58"/>
      <c r="F946" s="58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 spans="1:40" ht="23.25" customHeight="1" x14ac:dyDescent="0.3">
      <c r="A947" s="18"/>
      <c r="B947" s="18"/>
      <c r="C947" s="58"/>
      <c r="D947" s="58"/>
      <c r="E947" s="58"/>
      <c r="F947" s="58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 spans="1:40" ht="23.25" customHeight="1" x14ac:dyDescent="0.3">
      <c r="A948" s="18"/>
      <c r="B948" s="18"/>
      <c r="C948" s="58"/>
      <c r="D948" s="58"/>
      <c r="E948" s="58"/>
      <c r="F948" s="58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 spans="1:40" ht="23.25" customHeight="1" x14ac:dyDescent="0.3">
      <c r="A949" s="18"/>
      <c r="B949" s="18"/>
      <c r="C949" s="58"/>
      <c r="D949" s="58"/>
      <c r="E949" s="58"/>
      <c r="F949" s="58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 spans="1:40" ht="23.25" customHeight="1" x14ac:dyDescent="0.3">
      <c r="A950" s="18"/>
      <c r="B950" s="18"/>
      <c r="C950" s="58"/>
      <c r="D950" s="58"/>
      <c r="E950" s="58"/>
      <c r="F950" s="58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 spans="1:40" ht="23.25" customHeight="1" x14ac:dyDescent="0.3">
      <c r="A951" s="18"/>
      <c r="B951" s="18"/>
      <c r="C951" s="58"/>
      <c r="D951" s="58"/>
      <c r="E951" s="58"/>
      <c r="F951" s="58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 spans="1:40" ht="23.25" customHeight="1" x14ac:dyDescent="0.3">
      <c r="A952" s="18"/>
      <c r="B952" s="18"/>
      <c r="C952" s="58"/>
      <c r="D952" s="58"/>
      <c r="E952" s="58"/>
      <c r="F952" s="58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 spans="1:40" ht="23.25" customHeight="1" x14ac:dyDescent="0.3">
      <c r="A953" s="18"/>
      <c r="B953" s="18"/>
      <c r="C953" s="58"/>
      <c r="D953" s="58"/>
      <c r="E953" s="58"/>
      <c r="F953" s="58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 spans="1:40" ht="23.25" customHeight="1" x14ac:dyDescent="0.3">
      <c r="A954" s="18"/>
      <c r="B954" s="18"/>
      <c r="C954" s="58"/>
      <c r="D954" s="58"/>
      <c r="E954" s="58"/>
      <c r="F954" s="58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 spans="1:40" ht="23.25" customHeight="1" x14ac:dyDescent="0.3">
      <c r="A955" s="18"/>
      <c r="B955" s="18"/>
      <c r="C955" s="58"/>
      <c r="D955" s="58"/>
      <c r="E955" s="58"/>
      <c r="F955" s="58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 spans="1:40" ht="23.25" customHeight="1" x14ac:dyDescent="0.3">
      <c r="A956" s="18"/>
      <c r="B956" s="18"/>
      <c r="C956" s="58"/>
      <c r="D956" s="58"/>
      <c r="E956" s="58"/>
      <c r="F956" s="58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 spans="1:40" ht="23.25" customHeight="1" x14ac:dyDescent="0.3">
      <c r="A957" s="18"/>
      <c r="B957" s="18"/>
      <c r="C957" s="58"/>
      <c r="D957" s="58"/>
      <c r="E957" s="58"/>
      <c r="F957" s="58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 spans="1:40" ht="23.25" customHeight="1" x14ac:dyDescent="0.3">
      <c r="A958" s="18"/>
      <c r="B958" s="18"/>
      <c r="C958" s="58"/>
      <c r="D958" s="58"/>
      <c r="E958" s="58"/>
      <c r="F958" s="58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 spans="1:40" ht="23.25" customHeight="1" x14ac:dyDescent="0.3">
      <c r="A959" s="18"/>
      <c r="B959" s="18"/>
      <c r="C959" s="58"/>
      <c r="D959" s="58"/>
      <c r="E959" s="58"/>
      <c r="F959" s="58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 spans="1:40" ht="23.25" customHeight="1" x14ac:dyDescent="0.3">
      <c r="A960" s="18"/>
      <c r="B960" s="18"/>
      <c r="C960" s="58"/>
      <c r="D960" s="58"/>
      <c r="E960" s="58"/>
      <c r="F960" s="58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 spans="1:40" ht="23.25" customHeight="1" x14ac:dyDescent="0.3">
      <c r="A961" s="18"/>
      <c r="B961" s="18"/>
      <c r="C961" s="58"/>
      <c r="D961" s="58"/>
      <c r="E961" s="58"/>
      <c r="F961" s="58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 spans="1:40" ht="23.25" customHeight="1" x14ac:dyDescent="0.3">
      <c r="A962" s="18"/>
      <c r="B962" s="18"/>
      <c r="C962" s="58"/>
      <c r="D962" s="58"/>
      <c r="E962" s="58"/>
      <c r="F962" s="58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 spans="1:40" ht="23.25" customHeight="1" x14ac:dyDescent="0.3">
      <c r="A963" s="18"/>
      <c r="B963" s="18"/>
      <c r="C963" s="58"/>
      <c r="D963" s="58"/>
      <c r="E963" s="58"/>
      <c r="F963" s="58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 spans="1:40" ht="23.25" customHeight="1" x14ac:dyDescent="0.3">
      <c r="A964" s="18"/>
      <c r="B964" s="18"/>
      <c r="C964" s="58"/>
      <c r="D964" s="58"/>
      <c r="E964" s="58"/>
      <c r="F964" s="58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 spans="1:40" ht="23.25" customHeight="1" x14ac:dyDescent="0.3">
      <c r="A965" s="18"/>
      <c r="B965" s="18"/>
      <c r="C965" s="58"/>
      <c r="D965" s="58"/>
      <c r="E965" s="58"/>
      <c r="F965" s="58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 spans="1:40" ht="23.25" customHeight="1" x14ac:dyDescent="0.3">
      <c r="A966" s="18"/>
      <c r="B966" s="18"/>
      <c r="C966" s="58"/>
      <c r="D966" s="58"/>
      <c r="E966" s="58"/>
      <c r="F966" s="58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 spans="1:40" ht="23.25" customHeight="1" x14ac:dyDescent="0.3">
      <c r="A967" s="18"/>
      <c r="B967" s="18"/>
      <c r="C967" s="58"/>
      <c r="D967" s="58"/>
      <c r="E967" s="58"/>
      <c r="F967" s="58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 spans="1:40" ht="23.25" customHeight="1" x14ac:dyDescent="0.3">
      <c r="A968" s="18"/>
      <c r="B968" s="18"/>
      <c r="C968" s="58"/>
      <c r="D968" s="58"/>
      <c r="E968" s="58"/>
      <c r="F968" s="58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 spans="1:40" ht="23.25" customHeight="1" x14ac:dyDescent="0.3">
      <c r="A969" s="18"/>
      <c r="B969" s="18"/>
      <c r="C969" s="58"/>
      <c r="D969" s="58"/>
      <c r="E969" s="58"/>
      <c r="F969" s="58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 spans="1:40" ht="23.25" customHeight="1" x14ac:dyDescent="0.3">
      <c r="A970" s="18"/>
      <c r="B970" s="18"/>
      <c r="C970" s="58"/>
      <c r="D970" s="58"/>
      <c r="E970" s="58"/>
      <c r="F970" s="58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 spans="1:40" ht="23.25" customHeight="1" x14ac:dyDescent="0.3">
      <c r="A971" s="18"/>
      <c r="B971" s="18"/>
      <c r="C971" s="58"/>
      <c r="D971" s="58"/>
      <c r="E971" s="58"/>
      <c r="F971" s="58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 spans="1:40" ht="23.25" customHeight="1" x14ac:dyDescent="0.3">
      <c r="A972" s="18"/>
      <c r="B972" s="18"/>
      <c r="C972" s="58"/>
      <c r="D972" s="58"/>
      <c r="E972" s="58"/>
      <c r="F972" s="58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 spans="1:40" ht="23.25" customHeight="1" x14ac:dyDescent="0.3">
      <c r="A973" s="18"/>
      <c r="B973" s="18"/>
      <c r="C973" s="58"/>
      <c r="D973" s="58"/>
      <c r="E973" s="58"/>
      <c r="F973" s="58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 spans="1:40" ht="23.25" customHeight="1" x14ac:dyDescent="0.3">
      <c r="A974" s="18"/>
      <c r="B974" s="18"/>
      <c r="C974" s="58"/>
      <c r="D974" s="58"/>
      <c r="E974" s="58"/>
      <c r="F974" s="58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 spans="1:40" ht="23.25" customHeight="1" x14ac:dyDescent="0.3">
      <c r="A975" s="18"/>
      <c r="B975" s="18"/>
      <c r="C975" s="58"/>
      <c r="D975" s="58"/>
      <c r="E975" s="58"/>
      <c r="F975" s="58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 spans="1:40" ht="23.25" customHeight="1" x14ac:dyDescent="0.3">
      <c r="A976" s="18"/>
      <c r="B976" s="18"/>
      <c r="C976" s="58"/>
      <c r="D976" s="58"/>
      <c r="E976" s="58"/>
      <c r="F976" s="58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 spans="1:40" ht="23.25" customHeight="1" x14ac:dyDescent="0.3">
      <c r="A977" s="18"/>
      <c r="B977" s="18"/>
      <c r="C977" s="58"/>
      <c r="D977" s="58"/>
      <c r="E977" s="58"/>
      <c r="F977" s="58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 spans="1:40" ht="23.25" customHeight="1" x14ac:dyDescent="0.3">
      <c r="A978" s="18"/>
      <c r="B978" s="18"/>
      <c r="C978" s="58"/>
      <c r="D978" s="58"/>
      <c r="E978" s="58"/>
      <c r="F978" s="58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 spans="1:40" ht="23.25" customHeight="1" x14ac:dyDescent="0.3">
      <c r="A979" s="18"/>
      <c r="B979" s="18"/>
      <c r="C979" s="58"/>
      <c r="D979" s="58"/>
      <c r="E979" s="58"/>
      <c r="F979" s="58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 spans="1:40" ht="23.25" customHeight="1" x14ac:dyDescent="0.3">
      <c r="A980" s="18"/>
      <c r="B980" s="18"/>
      <c r="C980" s="58"/>
      <c r="D980" s="58"/>
      <c r="E980" s="58"/>
      <c r="F980" s="58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 spans="1:40" ht="23.25" customHeight="1" x14ac:dyDescent="0.3">
      <c r="A981" s="18"/>
      <c r="B981" s="18"/>
      <c r="C981" s="58"/>
      <c r="D981" s="58"/>
      <c r="E981" s="58"/>
      <c r="F981" s="58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 spans="1:40" ht="23.25" customHeight="1" x14ac:dyDescent="0.3">
      <c r="A982" s="18"/>
      <c r="B982" s="18"/>
      <c r="C982" s="58"/>
      <c r="D982" s="58"/>
      <c r="E982" s="58"/>
      <c r="F982" s="58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 spans="1:40" ht="23.25" customHeight="1" x14ac:dyDescent="0.3">
      <c r="A983" s="18"/>
      <c r="B983" s="18"/>
      <c r="C983" s="58"/>
      <c r="D983" s="58"/>
      <c r="E983" s="58"/>
      <c r="F983" s="58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 spans="1:40" ht="23.25" customHeight="1" x14ac:dyDescent="0.3">
      <c r="A984" s="18"/>
      <c r="B984" s="18"/>
      <c r="C984" s="58"/>
      <c r="D984" s="58"/>
      <c r="E984" s="58"/>
      <c r="F984" s="58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 spans="1:40" ht="23.25" customHeight="1" x14ac:dyDescent="0.3">
      <c r="A985" s="18"/>
      <c r="B985" s="18"/>
      <c r="C985" s="58"/>
      <c r="D985" s="58"/>
      <c r="E985" s="58"/>
      <c r="F985" s="58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 spans="1:40" ht="23.25" customHeight="1" x14ac:dyDescent="0.3">
      <c r="A986" s="18"/>
      <c r="B986" s="18"/>
      <c r="C986" s="58"/>
      <c r="D986" s="58"/>
      <c r="E986" s="58"/>
      <c r="F986" s="58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 spans="1:40" ht="23.25" customHeight="1" x14ac:dyDescent="0.3">
      <c r="A987" s="18"/>
      <c r="B987" s="18"/>
      <c r="C987" s="58"/>
      <c r="D987" s="58"/>
      <c r="E987" s="58"/>
      <c r="F987" s="58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 spans="1:40" ht="23.25" customHeight="1" x14ac:dyDescent="0.3">
      <c r="A988" s="18"/>
      <c r="B988" s="18"/>
      <c r="C988" s="58"/>
      <c r="D988" s="58"/>
      <c r="E988" s="58"/>
      <c r="F988" s="58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 spans="1:40" ht="23.25" customHeight="1" x14ac:dyDescent="0.3">
      <c r="A989" s="18"/>
      <c r="B989" s="18"/>
      <c r="C989" s="58"/>
      <c r="D989" s="58"/>
      <c r="E989" s="58"/>
      <c r="F989" s="58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 spans="1:40" ht="23.25" customHeight="1" x14ac:dyDescent="0.3">
      <c r="A990" s="18"/>
      <c r="B990" s="18"/>
      <c r="C990" s="58"/>
      <c r="D990" s="58"/>
      <c r="E990" s="58"/>
      <c r="F990" s="58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 spans="1:40" ht="23.25" customHeight="1" x14ac:dyDescent="0.3">
      <c r="A991" s="18"/>
      <c r="B991" s="18"/>
      <c r="C991" s="58"/>
      <c r="D991" s="58"/>
      <c r="E991" s="58"/>
      <c r="F991" s="58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 spans="1:40" ht="23.25" customHeight="1" x14ac:dyDescent="0.3">
      <c r="A992" s="18"/>
      <c r="B992" s="18"/>
      <c r="C992" s="58"/>
      <c r="D992" s="58"/>
      <c r="E992" s="58"/>
      <c r="F992" s="58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 spans="1:40" ht="23.25" customHeight="1" x14ac:dyDescent="0.3">
      <c r="A993" s="18"/>
      <c r="B993" s="18"/>
      <c r="C993" s="58"/>
      <c r="D993" s="58"/>
      <c r="E993" s="58"/>
      <c r="F993" s="58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 spans="1:40" ht="23.25" customHeight="1" x14ac:dyDescent="0.3">
      <c r="A994" s="18"/>
      <c r="B994" s="18"/>
      <c r="C994" s="58"/>
      <c r="D994" s="58"/>
      <c r="E994" s="58"/>
      <c r="F994" s="58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  <row r="995" spans="1:40" ht="23.25" customHeight="1" x14ac:dyDescent="0.3">
      <c r="A995" s="18"/>
      <c r="B995" s="18"/>
      <c r="C995" s="58"/>
      <c r="D995" s="58"/>
      <c r="E995" s="58"/>
      <c r="F995" s="58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</row>
    <row r="996" spans="1:40" ht="23.25" customHeight="1" x14ac:dyDescent="0.3">
      <c r="A996" s="18"/>
      <c r="B996" s="18"/>
      <c r="C996" s="58"/>
      <c r="D996" s="58"/>
      <c r="E996" s="58"/>
      <c r="F996" s="58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</row>
    <row r="997" spans="1:40" ht="23.25" customHeight="1" x14ac:dyDescent="0.3">
      <c r="A997" s="18"/>
      <c r="B997" s="18"/>
      <c r="C997" s="58"/>
      <c r="D997" s="58"/>
      <c r="E997" s="58"/>
      <c r="F997" s="58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</row>
    <row r="998" spans="1:40" ht="23.25" customHeight="1" x14ac:dyDescent="0.3">
      <c r="A998" s="18"/>
      <c r="B998" s="18"/>
      <c r="C998" s="58"/>
      <c r="D998" s="58"/>
      <c r="E998" s="58"/>
      <c r="F998" s="58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</row>
    <row r="999" spans="1:40" ht="23.25" customHeight="1" x14ac:dyDescent="0.3">
      <c r="A999" s="18"/>
      <c r="B999" s="18"/>
      <c r="C999" s="58"/>
      <c r="D999" s="58"/>
      <c r="E999" s="58"/>
      <c r="F999" s="58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</row>
    <row r="1000" spans="1:40" ht="23.25" customHeight="1" x14ac:dyDescent="0.3">
      <c r="A1000" s="18"/>
      <c r="B1000" s="18"/>
      <c r="C1000" s="58"/>
      <c r="D1000" s="58"/>
      <c r="E1000" s="58"/>
      <c r="F1000" s="58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</row>
  </sheetData>
  <autoFilter ref="A3:AN17" xr:uid="{00000000-0009-0000-0000-000004000000}"/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5 J6 J7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997"/>
  <sheetViews>
    <sheetView workbookViewId="0">
      <pane xSplit="4" ySplit="3" topLeftCell="E4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J11" sqref="J11"/>
    </sheetView>
  </sheetViews>
  <sheetFormatPr defaultColWidth="14.44140625" defaultRowHeight="15" customHeight="1" x14ac:dyDescent="0.3"/>
  <cols>
    <col min="1" max="1" width="12.88671875" customWidth="1"/>
    <col min="2" max="2" width="19.109375" customWidth="1"/>
    <col min="3" max="3" width="18" customWidth="1"/>
    <col min="4" max="4" width="17.6640625" customWidth="1"/>
    <col min="5" max="5" width="20.109375" customWidth="1"/>
    <col min="6" max="6" width="24.44140625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7.55468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57" t="s">
        <v>155</v>
      </c>
      <c r="B1" s="18"/>
      <c r="C1" s="58"/>
      <c r="D1" s="58"/>
      <c r="E1" s="58"/>
      <c r="F1" s="58"/>
      <c r="G1" s="18"/>
      <c r="H1" s="59" t="s">
        <v>40</v>
      </c>
      <c r="I1" s="60">
        <f>SUBTOTAL(9,I4:I11997)</f>
        <v>2573</v>
      </c>
      <c r="J1" s="61" t="s">
        <v>57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27" t="s">
        <v>59</v>
      </c>
      <c r="B2" s="127" t="s">
        <v>104</v>
      </c>
      <c r="C2" s="127" t="s">
        <v>105</v>
      </c>
      <c r="D2" s="127" t="s">
        <v>106</v>
      </c>
      <c r="E2" s="127" t="s">
        <v>107</v>
      </c>
      <c r="F2" s="127" t="s">
        <v>108</v>
      </c>
      <c r="G2" s="129" t="s">
        <v>109</v>
      </c>
      <c r="H2" s="108"/>
      <c r="I2" s="127" t="s">
        <v>110</v>
      </c>
      <c r="J2" s="127" t="s">
        <v>111</v>
      </c>
      <c r="K2" s="64" t="s">
        <v>4</v>
      </c>
      <c r="L2" s="33"/>
      <c r="M2" s="65" t="s">
        <v>112</v>
      </c>
      <c r="N2" s="65" t="s">
        <v>113</v>
      </c>
      <c r="O2" s="65" t="s">
        <v>114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28"/>
      <c r="B3" s="128"/>
      <c r="C3" s="128"/>
      <c r="D3" s="128"/>
      <c r="E3" s="128"/>
      <c r="F3" s="128"/>
      <c r="G3" s="75" t="s">
        <v>115</v>
      </c>
      <c r="H3" s="75" t="s">
        <v>116</v>
      </c>
      <c r="I3" s="128"/>
      <c r="J3" s="128"/>
      <c r="K3" s="64"/>
      <c r="L3" s="33"/>
      <c r="M3" s="66"/>
      <c r="N3" s="66"/>
      <c r="O3" s="66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67">
        <v>243993</v>
      </c>
      <c r="C4" s="58" t="s">
        <v>156</v>
      </c>
      <c r="D4" s="58" t="s">
        <v>157</v>
      </c>
      <c r="E4" s="58" t="s">
        <v>158</v>
      </c>
      <c r="F4" s="69" t="s">
        <v>159</v>
      </c>
      <c r="G4" s="9"/>
      <c r="H4" s="58"/>
      <c r="I4" s="70">
        <v>183</v>
      </c>
      <c r="J4" s="18" t="s">
        <v>45</v>
      </c>
      <c r="K4" s="18"/>
      <c r="L4" s="18"/>
      <c r="M4" s="71" t="s">
        <v>45</v>
      </c>
      <c r="N4" s="71" t="s">
        <v>159</v>
      </c>
      <c r="O4" s="72" t="s">
        <v>119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74">
        <v>244298</v>
      </c>
      <c r="C5" s="58" t="s">
        <v>160</v>
      </c>
      <c r="D5" s="58" t="s">
        <v>161</v>
      </c>
      <c r="E5" s="58" t="s">
        <v>158</v>
      </c>
      <c r="F5" s="69" t="s">
        <v>162</v>
      </c>
      <c r="G5" s="9"/>
      <c r="H5" s="58"/>
      <c r="I5" s="70">
        <v>150</v>
      </c>
      <c r="J5" s="18" t="s">
        <v>45</v>
      </c>
      <c r="K5" s="18"/>
      <c r="L5" s="18"/>
      <c r="M5" s="71" t="s">
        <v>46</v>
      </c>
      <c r="N5" s="71" t="s">
        <v>162</v>
      </c>
      <c r="O5" s="73" t="s">
        <v>128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18" t="s">
        <v>163</v>
      </c>
      <c r="C6" s="68" t="s">
        <v>164</v>
      </c>
      <c r="D6" s="58" t="s">
        <v>165</v>
      </c>
      <c r="E6" s="58" t="s">
        <v>158</v>
      </c>
      <c r="F6" s="69" t="s">
        <v>159</v>
      </c>
      <c r="G6" s="18"/>
      <c r="H6" s="58"/>
      <c r="I6" s="70">
        <v>1546</v>
      </c>
      <c r="J6" s="18" t="s">
        <v>45</v>
      </c>
      <c r="K6" s="18"/>
      <c r="L6" s="18"/>
      <c r="M6" s="71" t="s">
        <v>47</v>
      </c>
      <c r="N6" s="71"/>
      <c r="O6" s="72" t="s">
        <v>133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18" t="s">
        <v>163</v>
      </c>
      <c r="C7" s="58" t="s">
        <v>166</v>
      </c>
      <c r="D7" s="58" t="s">
        <v>167</v>
      </c>
      <c r="E7" s="58" t="s">
        <v>158</v>
      </c>
      <c r="F7" s="69" t="s">
        <v>159</v>
      </c>
      <c r="G7" s="18"/>
      <c r="H7" s="58"/>
      <c r="I7" s="70">
        <v>111</v>
      </c>
      <c r="J7" s="18" t="s">
        <v>45</v>
      </c>
      <c r="K7" s="18"/>
      <c r="L7" s="18"/>
      <c r="M7" s="71" t="s">
        <v>139</v>
      </c>
      <c r="N7" s="71"/>
      <c r="O7" s="71" t="s">
        <v>168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18" t="s">
        <v>163</v>
      </c>
      <c r="C8" s="58" t="s">
        <v>169</v>
      </c>
      <c r="D8" s="58" t="s">
        <v>170</v>
      </c>
      <c r="E8" s="58" t="s">
        <v>158</v>
      </c>
      <c r="F8" s="69" t="s">
        <v>162</v>
      </c>
      <c r="G8" s="18"/>
      <c r="H8" s="58"/>
      <c r="I8" s="70">
        <v>366</v>
      </c>
      <c r="J8" s="18" t="s">
        <v>45</v>
      </c>
      <c r="K8" s="18"/>
      <c r="L8" s="18"/>
      <c r="M8" s="71" t="s">
        <v>171</v>
      </c>
      <c r="N8" s="71"/>
      <c r="O8" s="71" t="s">
        <v>158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18" t="s">
        <v>172</v>
      </c>
      <c r="C9" s="58" t="s">
        <v>173</v>
      </c>
      <c r="D9" s="58" t="s">
        <v>174</v>
      </c>
      <c r="E9" s="58" t="s">
        <v>158</v>
      </c>
      <c r="F9" s="69" t="s">
        <v>162</v>
      </c>
      <c r="G9" s="18"/>
      <c r="H9" s="58"/>
      <c r="I9" s="70">
        <v>50</v>
      </c>
      <c r="J9" s="18" t="s">
        <v>45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18" t="s">
        <v>172</v>
      </c>
      <c r="C10" s="18" t="s">
        <v>175</v>
      </c>
      <c r="D10" s="58" t="s">
        <v>176</v>
      </c>
      <c r="E10" s="58" t="s">
        <v>158</v>
      </c>
      <c r="F10" s="69" t="s">
        <v>162</v>
      </c>
      <c r="G10" s="18"/>
      <c r="H10" s="58"/>
      <c r="I10" s="70">
        <v>50</v>
      </c>
      <c r="J10" s="18" t="s">
        <v>45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9.25" customHeight="1" x14ac:dyDescent="0.6">
      <c r="A11" s="18">
        <v>8</v>
      </c>
      <c r="B11" s="18" t="s">
        <v>140</v>
      </c>
      <c r="C11" s="58" t="s">
        <v>177</v>
      </c>
      <c r="D11" s="18" t="s">
        <v>178</v>
      </c>
      <c r="E11" s="58" t="s">
        <v>158</v>
      </c>
      <c r="F11" s="58" t="s">
        <v>159</v>
      </c>
      <c r="G11" s="18"/>
      <c r="H11" s="18"/>
      <c r="I11" s="70">
        <v>117</v>
      </c>
      <c r="J11" s="18" t="s">
        <v>171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9.25" customHeight="1" x14ac:dyDescent="0.3">
      <c r="A12" s="18">
        <v>9</v>
      </c>
      <c r="B12" s="18"/>
      <c r="C12" s="58"/>
      <c r="D12" s="18"/>
      <c r="E12" s="58"/>
      <c r="F12" s="5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4"/>
      <c r="C13" s="69"/>
      <c r="D13" s="69"/>
      <c r="E13" s="69"/>
      <c r="F13" s="69"/>
      <c r="G13" s="18"/>
      <c r="H13" s="58"/>
      <c r="I13" s="5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76" t="s">
        <v>179</v>
      </c>
      <c r="B14" s="77" t="s">
        <v>180</v>
      </c>
      <c r="C14" s="78"/>
      <c r="D14" s="18"/>
      <c r="E14" s="58"/>
      <c r="F14" s="58"/>
      <c r="G14" s="18"/>
      <c r="H14" s="58"/>
      <c r="I14" s="5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74"/>
      <c r="C15" s="69"/>
      <c r="D15" s="18"/>
      <c r="E15" s="58"/>
      <c r="F15" s="58"/>
      <c r="G15" s="18"/>
      <c r="H15" s="18"/>
      <c r="I15" s="58"/>
      <c r="J15" s="18"/>
      <c r="K15" s="18"/>
      <c r="L15" s="18"/>
      <c r="M15" s="18"/>
      <c r="N15" s="18"/>
      <c r="O15" s="18"/>
      <c r="P15" s="18"/>
      <c r="Q15" s="18"/>
      <c r="R15" s="69"/>
      <c r="S15" s="18"/>
      <c r="T15" s="18"/>
      <c r="U15" s="18"/>
      <c r="V15" s="58"/>
      <c r="W15" s="18"/>
      <c r="X15" s="18"/>
      <c r="Y15" s="18"/>
      <c r="Z15" s="18"/>
    </row>
    <row r="16" spans="1:26" ht="23.25" customHeight="1" x14ac:dyDescent="0.3">
      <c r="A16" s="18"/>
      <c r="B16" s="74"/>
      <c r="C16" s="58"/>
      <c r="D16" s="18"/>
      <c r="E16" s="58"/>
      <c r="F16" s="58"/>
      <c r="G16" s="18"/>
      <c r="H16" s="58"/>
      <c r="I16" s="5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74"/>
      <c r="C17" s="58"/>
      <c r="D17" s="18"/>
      <c r="E17" s="58"/>
      <c r="F17" s="58"/>
      <c r="G17" s="18"/>
      <c r="H17" s="58"/>
      <c r="I17" s="5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74"/>
      <c r="C18" s="69"/>
      <c r="D18" s="69"/>
      <c r="E18" s="69"/>
      <c r="F18" s="69"/>
      <c r="G18" s="18"/>
      <c r="H18" s="58"/>
      <c r="I18" s="5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74"/>
      <c r="C19" s="58"/>
      <c r="D19" s="58"/>
      <c r="E19" s="58"/>
      <c r="F19" s="58"/>
      <c r="G19" s="18"/>
      <c r="H19" s="58"/>
      <c r="I19" s="5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74"/>
      <c r="C20" s="58"/>
      <c r="D20" s="58"/>
      <c r="E20" s="58"/>
      <c r="F20" s="58"/>
      <c r="G20" s="18"/>
      <c r="H20" s="58"/>
      <c r="I20" s="5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4"/>
      <c r="C21" s="69"/>
      <c r="D21" s="69"/>
      <c r="E21" s="69"/>
      <c r="F21" s="69"/>
      <c r="G21" s="18"/>
      <c r="H21" s="58"/>
      <c r="I21" s="5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4"/>
      <c r="C22" s="58"/>
      <c r="D22" s="58"/>
      <c r="E22" s="58"/>
      <c r="F22" s="58"/>
      <c r="G22" s="18"/>
      <c r="H22" s="58"/>
      <c r="I22" s="5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18"/>
      <c r="C23" s="58"/>
      <c r="D23" s="58"/>
      <c r="E23" s="58"/>
      <c r="F23" s="5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18"/>
      <c r="C24" s="58"/>
      <c r="D24" s="58"/>
      <c r="E24" s="58"/>
      <c r="F24" s="5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18"/>
      <c r="C25" s="58"/>
      <c r="D25" s="58"/>
      <c r="E25" s="58"/>
      <c r="F25" s="5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18"/>
      <c r="C26" s="58"/>
      <c r="D26" s="58"/>
      <c r="E26" s="58"/>
      <c r="F26" s="5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18"/>
      <c r="C27" s="58"/>
      <c r="D27" s="58"/>
      <c r="E27" s="58"/>
      <c r="F27" s="5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18"/>
      <c r="C28" s="58"/>
      <c r="D28" s="58"/>
      <c r="E28" s="58"/>
      <c r="F28" s="5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18"/>
      <c r="C29" s="58"/>
      <c r="D29" s="58"/>
      <c r="E29" s="58"/>
      <c r="F29" s="5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18"/>
      <c r="C30" s="58"/>
      <c r="D30" s="58"/>
      <c r="E30" s="58"/>
      <c r="F30" s="5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18"/>
      <c r="C31" s="58"/>
      <c r="D31" s="58"/>
      <c r="E31" s="58"/>
      <c r="F31" s="5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18"/>
      <c r="C32" s="58"/>
      <c r="D32" s="58"/>
      <c r="E32" s="58"/>
      <c r="F32" s="5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18"/>
      <c r="C33" s="58"/>
      <c r="D33" s="58"/>
      <c r="E33" s="58"/>
      <c r="F33" s="5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18"/>
      <c r="C34" s="58"/>
      <c r="D34" s="58"/>
      <c r="E34" s="58"/>
      <c r="F34" s="5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18"/>
      <c r="C35" s="58"/>
      <c r="D35" s="58"/>
      <c r="E35" s="58"/>
      <c r="F35" s="5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58"/>
      <c r="D36" s="58"/>
      <c r="E36" s="58"/>
      <c r="F36" s="5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58"/>
      <c r="D37" s="58"/>
      <c r="E37" s="58"/>
      <c r="F37" s="5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58"/>
      <c r="D38" s="58"/>
      <c r="E38" s="58"/>
      <c r="F38" s="5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58"/>
      <c r="D39" s="58"/>
      <c r="E39" s="58"/>
      <c r="F39" s="5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58"/>
      <c r="D40" s="58"/>
      <c r="E40" s="58"/>
      <c r="F40" s="5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58"/>
      <c r="D41" s="58"/>
      <c r="E41" s="58"/>
      <c r="F41" s="5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58"/>
      <c r="D42" s="58"/>
      <c r="E42" s="58"/>
      <c r="F42" s="5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58"/>
      <c r="D43" s="58"/>
      <c r="E43" s="58"/>
      <c r="F43" s="5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58"/>
      <c r="D44" s="58"/>
      <c r="E44" s="58"/>
      <c r="F44" s="5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58"/>
      <c r="D45" s="58"/>
      <c r="E45" s="58"/>
      <c r="F45" s="5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58"/>
      <c r="D46" s="58"/>
      <c r="E46" s="58"/>
      <c r="F46" s="5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58"/>
      <c r="D47" s="58"/>
      <c r="E47" s="58"/>
      <c r="F47" s="5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58"/>
      <c r="D48" s="58"/>
      <c r="E48" s="58"/>
      <c r="F48" s="5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58"/>
      <c r="D49" s="58"/>
      <c r="E49" s="58"/>
      <c r="F49" s="5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58"/>
      <c r="D50" s="58"/>
      <c r="E50" s="58"/>
      <c r="F50" s="5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58"/>
      <c r="D51" s="58"/>
      <c r="E51" s="58"/>
      <c r="F51" s="5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58"/>
      <c r="D52" s="58"/>
      <c r="E52" s="58"/>
      <c r="F52" s="5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58"/>
      <c r="D53" s="58"/>
      <c r="E53" s="58"/>
      <c r="F53" s="5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58"/>
      <c r="D54" s="58"/>
      <c r="E54" s="58"/>
      <c r="F54" s="5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58"/>
      <c r="D55" s="58"/>
      <c r="E55" s="58"/>
      <c r="F55" s="5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58"/>
      <c r="D56" s="58"/>
      <c r="E56" s="58"/>
      <c r="F56" s="5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58"/>
      <c r="D57" s="58"/>
      <c r="E57" s="58"/>
      <c r="F57" s="5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58"/>
      <c r="D58" s="58"/>
      <c r="E58" s="58"/>
      <c r="F58" s="5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58"/>
      <c r="D59" s="58"/>
      <c r="E59" s="58"/>
      <c r="F59" s="5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58"/>
      <c r="D60" s="58"/>
      <c r="E60" s="58"/>
      <c r="F60" s="5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58"/>
      <c r="D61" s="58"/>
      <c r="E61" s="58"/>
      <c r="F61" s="5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58"/>
      <c r="D62" s="58"/>
      <c r="E62" s="58"/>
      <c r="F62" s="5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58"/>
      <c r="D63" s="58"/>
      <c r="E63" s="58"/>
      <c r="F63" s="5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58"/>
      <c r="D64" s="58"/>
      <c r="E64" s="58"/>
      <c r="F64" s="5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58"/>
      <c r="D65" s="58"/>
      <c r="E65" s="58"/>
      <c r="F65" s="5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58"/>
      <c r="D66" s="58"/>
      <c r="E66" s="58"/>
      <c r="F66" s="5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58"/>
      <c r="D67" s="58"/>
      <c r="E67" s="58"/>
      <c r="F67" s="5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58"/>
      <c r="D68" s="58"/>
      <c r="E68" s="58"/>
      <c r="F68" s="5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58"/>
      <c r="D69" s="58"/>
      <c r="E69" s="58"/>
      <c r="F69" s="5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58"/>
      <c r="D70" s="58"/>
      <c r="E70" s="58"/>
      <c r="F70" s="5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58"/>
      <c r="D71" s="58"/>
      <c r="E71" s="58"/>
      <c r="F71" s="5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58"/>
      <c r="D72" s="58"/>
      <c r="E72" s="58"/>
      <c r="F72" s="5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58"/>
      <c r="D73" s="58"/>
      <c r="E73" s="58"/>
      <c r="F73" s="5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58"/>
      <c r="D74" s="58"/>
      <c r="E74" s="58"/>
      <c r="F74" s="5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58"/>
      <c r="D75" s="58"/>
      <c r="E75" s="58"/>
      <c r="F75" s="5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58"/>
      <c r="D76" s="58"/>
      <c r="E76" s="58"/>
      <c r="F76" s="5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58"/>
      <c r="D77" s="58"/>
      <c r="E77" s="58"/>
      <c r="F77" s="5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58"/>
      <c r="D78" s="58"/>
      <c r="E78" s="58"/>
      <c r="F78" s="5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58"/>
      <c r="D79" s="58"/>
      <c r="E79" s="58"/>
      <c r="F79" s="5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58"/>
      <c r="D80" s="58"/>
      <c r="E80" s="58"/>
      <c r="F80" s="5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58"/>
      <c r="D81" s="58"/>
      <c r="E81" s="58"/>
      <c r="F81" s="5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58"/>
      <c r="D82" s="58"/>
      <c r="E82" s="58"/>
      <c r="F82" s="5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58"/>
      <c r="D83" s="58"/>
      <c r="E83" s="58"/>
      <c r="F83" s="5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58"/>
      <c r="D84" s="58"/>
      <c r="E84" s="58"/>
      <c r="F84" s="5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58"/>
      <c r="D85" s="58"/>
      <c r="E85" s="58"/>
      <c r="F85" s="5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58"/>
      <c r="D86" s="58"/>
      <c r="E86" s="58"/>
      <c r="F86" s="5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58"/>
      <c r="D87" s="58"/>
      <c r="E87" s="58"/>
      <c r="F87" s="5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58"/>
      <c r="D88" s="58"/>
      <c r="E88" s="58"/>
      <c r="F88" s="5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58"/>
      <c r="D89" s="58"/>
      <c r="E89" s="58"/>
      <c r="F89" s="5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58"/>
      <c r="D90" s="58"/>
      <c r="E90" s="58"/>
      <c r="F90" s="5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58"/>
      <c r="D91" s="58"/>
      <c r="E91" s="58"/>
      <c r="F91" s="5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58"/>
      <c r="D92" s="58"/>
      <c r="E92" s="58"/>
      <c r="F92" s="5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58"/>
      <c r="D93" s="58"/>
      <c r="E93" s="58"/>
      <c r="F93" s="5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58"/>
      <c r="D94" s="58"/>
      <c r="E94" s="58"/>
      <c r="F94" s="5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58"/>
      <c r="D95" s="58"/>
      <c r="E95" s="58"/>
      <c r="F95" s="5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58"/>
      <c r="D96" s="58"/>
      <c r="E96" s="58"/>
      <c r="F96" s="5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58"/>
      <c r="D97" s="58"/>
      <c r="E97" s="58"/>
      <c r="F97" s="5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58"/>
      <c r="D98" s="58"/>
      <c r="E98" s="58"/>
      <c r="F98" s="5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58"/>
      <c r="D99" s="58"/>
      <c r="E99" s="58"/>
      <c r="F99" s="5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58"/>
      <c r="D100" s="58"/>
      <c r="E100" s="58"/>
      <c r="F100" s="5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58"/>
      <c r="D101" s="58"/>
      <c r="E101" s="58"/>
      <c r="F101" s="5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58"/>
      <c r="D102" s="58"/>
      <c r="E102" s="58"/>
      <c r="F102" s="5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58"/>
      <c r="D103" s="58"/>
      <c r="E103" s="58"/>
      <c r="F103" s="5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58"/>
      <c r="D104" s="58"/>
      <c r="E104" s="58"/>
      <c r="F104" s="5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58"/>
      <c r="D105" s="58"/>
      <c r="E105" s="58"/>
      <c r="F105" s="5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58"/>
      <c r="D106" s="58"/>
      <c r="E106" s="58"/>
      <c r="F106" s="5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58"/>
      <c r="D107" s="58"/>
      <c r="E107" s="58"/>
      <c r="F107" s="5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58"/>
      <c r="D108" s="58"/>
      <c r="E108" s="58"/>
      <c r="F108" s="5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58"/>
      <c r="D109" s="58"/>
      <c r="E109" s="58"/>
      <c r="F109" s="5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58"/>
      <c r="D110" s="58"/>
      <c r="E110" s="58"/>
      <c r="F110" s="5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58"/>
      <c r="D111" s="58"/>
      <c r="E111" s="58"/>
      <c r="F111" s="5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58"/>
      <c r="D112" s="58"/>
      <c r="E112" s="58"/>
      <c r="F112" s="5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58"/>
      <c r="D113" s="58"/>
      <c r="E113" s="58"/>
      <c r="F113" s="5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58"/>
      <c r="D114" s="58"/>
      <c r="E114" s="58"/>
      <c r="F114" s="5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58"/>
      <c r="D115" s="58"/>
      <c r="E115" s="58"/>
      <c r="F115" s="5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58"/>
      <c r="D116" s="58"/>
      <c r="E116" s="58"/>
      <c r="F116" s="5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58"/>
      <c r="D117" s="58"/>
      <c r="E117" s="58"/>
      <c r="F117" s="5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58"/>
      <c r="D118" s="58"/>
      <c r="E118" s="58"/>
      <c r="F118" s="5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58"/>
      <c r="D119" s="58"/>
      <c r="E119" s="58"/>
      <c r="F119" s="5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58"/>
      <c r="D120" s="58"/>
      <c r="E120" s="58"/>
      <c r="F120" s="5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58"/>
      <c r="D121" s="58"/>
      <c r="E121" s="58"/>
      <c r="F121" s="5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58"/>
      <c r="D122" s="58"/>
      <c r="E122" s="58"/>
      <c r="F122" s="5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58"/>
      <c r="D123" s="58"/>
      <c r="E123" s="58"/>
      <c r="F123" s="5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58"/>
      <c r="D124" s="58"/>
      <c r="E124" s="58"/>
      <c r="F124" s="5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58"/>
      <c r="D125" s="58"/>
      <c r="E125" s="58"/>
      <c r="F125" s="5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58"/>
      <c r="D126" s="58"/>
      <c r="E126" s="58"/>
      <c r="F126" s="5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58"/>
      <c r="D127" s="58"/>
      <c r="E127" s="58"/>
      <c r="F127" s="5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58"/>
      <c r="D128" s="58"/>
      <c r="E128" s="58"/>
      <c r="F128" s="5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58"/>
      <c r="D129" s="58"/>
      <c r="E129" s="58"/>
      <c r="F129" s="5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58"/>
      <c r="D130" s="58"/>
      <c r="E130" s="58"/>
      <c r="F130" s="5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58"/>
      <c r="D131" s="58"/>
      <c r="E131" s="58"/>
      <c r="F131" s="5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58"/>
      <c r="D132" s="58"/>
      <c r="E132" s="58"/>
      <c r="F132" s="5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58"/>
      <c r="D133" s="58"/>
      <c r="E133" s="58"/>
      <c r="F133" s="5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58"/>
      <c r="D134" s="58"/>
      <c r="E134" s="58"/>
      <c r="F134" s="5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58"/>
      <c r="D135" s="58"/>
      <c r="E135" s="58"/>
      <c r="F135" s="5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58"/>
      <c r="D136" s="58"/>
      <c r="E136" s="58"/>
      <c r="F136" s="5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58"/>
      <c r="D137" s="58"/>
      <c r="E137" s="58"/>
      <c r="F137" s="5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58"/>
      <c r="D138" s="58"/>
      <c r="E138" s="58"/>
      <c r="F138" s="5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58"/>
      <c r="D139" s="58"/>
      <c r="E139" s="58"/>
      <c r="F139" s="5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58"/>
      <c r="D140" s="58"/>
      <c r="E140" s="58"/>
      <c r="F140" s="5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58"/>
      <c r="D141" s="58"/>
      <c r="E141" s="58"/>
      <c r="F141" s="5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58"/>
      <c r="D142" s="58"/>
      <c r="E142" s="58"/>
      <c r="F142" s="5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58"/>
      <c r="D143" s="58"/>
      <c r="E143" s="58"/>
      <c r="F143" s="5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58"/>
      <c r="D144" s="58"/>
      <c r="E144" s="58"/>
      <c r="F144" s="5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58"/>
      <c r="D145" s="58"/>
      <c r="E145" s="58"/>
      <c r="F145" s="5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8"/>
      <c r="D146" s="58"/>
      <c r="E146" s="58"/>
      <c r="F146" s="5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8"/>
      <c r="D147" s="58"/>
      <c r="E147" s="58"/>
      <c r="F147" s="5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8"/>
      <c r="D148" s="58"/>
      <c r="E148" s="58"/>
      <c r="F148" s="5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8"/>
      <c r="D149" s="58"/>
      <c r="E149" s="58"/>
      <c r="F149" s="5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8"/>
      <c r="D150" s="58"/>
      <c r="E150" s="58"/>
      <c r="F150" s="5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8"/>
      <c r="D151" s="58"/>
      <c r="E151" s="58"/>
      <c r="F151" s="5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8"/>
      <c r="D152" s="58"/>
      <c r="E152" s="58"/>
      <c r="F152" s="5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8"/>
      <c r="D153" s="58"/>
      <c r="E153" s="58"/>
      <c r="F153" s="5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8"/>
      <c r="D154" s="58"/>
      <c r="E154" s="58"/>
      <c r="F154" s="5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8"/>
      <c r="D155" s="58"/>
      <c r="E155" s="58"/>
      <c r="F155" s="5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8"/>
      <c r="D156" s="58"/>
      <c r="E156" s="58"/>
      <c r="F156" s="5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8"/>
      <c r="D157" s="58"/>
      <c r="E157" s="58"/>
      <c r="F157" s="5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8"/>
      <c r="D158" s="58"/>
      <c r="E158" s="58"/>
      <c r="F158" s="5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8"/>
      <c r="D159" s="58"/>
      <c r="E159" s="58"/>
      <c r="F159" s="5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8"/>
      <c r="D160" s="58"/>
      <c r="E160" s="58"/>
      <c r="F160" s="5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8"/>
      <c r="D161" s="58"/>
      <c r="E161" s="58"/>
      <c r="F161" s="5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8"/>
      <c r="D162" s="58"/>
      <c r="E162" s="58"/>
      <c r="F162" s="5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8"/>
      <c r="D163" s="58"/>
      <c r="E163" s="58"/>
      <c r="F163" s="5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8"/>
      <c r="D164" s="58"/>
      <c r="E164" s="58"/>
      <c r="F164" s="5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8"/>
      <c r="D165" s="58"/>
      <c r="E165" s="58"/>
      <c r="F165" s="5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8"/>
      <c r="D166" s="58"/>
      <c r="E166" s="58"/>
      <c r="F166" s="5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8"/>
      <c r="D167" s="58"/>
      <c r="E167" s="58"/>
      <c r="F167" s="5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8"/>
      <c r="D168" s="58"/>
      <c r="E168" s="58"/>
      <c r="F168" s="5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8"/>
      <c r="D169" s="58"/>
      <c r="E169" s="58"/>
      <c r="F169" s="5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8"/>
      <c r="D170" s="58"/>
      <c r="E170" s="58"/>
      <c r="F170" s="5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8"/>
      <c r="D171" s="58"/>
      <c r="E171" s="58"/>
      <c r="F171" s="5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8"/>
      <c r="D172" s="58"/>
      <c r="E172" s="58"/>
      <c r="F172" s="5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8"/>
      <c r="D173" s="58"/>
      <c r="E173" s="58"/>
      <c r="F173" s="5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8"/>
      <c r="D174" s="58"/>
      <c r="E174" s="58"/>
      <c r="F174" s="5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8"/>
      <c r="D175" s="58"/>
      <c r="E175" s="58"/>
      <c r="F175" s="5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8"/>
      <c r="D176" s="58"/>
      <c r="E176" s="58"/>
      <c r="F176" s="5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8"/>
      <c r="D177" s="58"/>
      <c r="E177" s="58"/>
      <c r="F177" s="5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8"/>
      <c r="D178" s="58"/>
      <c r="E178" s="58"/>
      <c r="F178" s="5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8"/>
      <c r="D179" s="58"/>
      <c r="E179" s="58"/>
      <c r="F179" s="5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8"/>
      <c r="D180" s="58"/>
      <c r="E180" s="58"/>
      <c r="F180" s="5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8"/>
      <c r="D181" s="58"/>
      <c r="E181" s="58"/>
      <c r="F181" s="5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8"/>
      <c r="D182" s="58"/>
      <c r="E182" s="58"/>
      <c r="F182" s="5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8"/>
      <c r="D183" s="58"/>
      <c r="E183" s="58"/>
      <c r="F183" s="5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8"/>
      <c r="D184" s="58"/>
      <c r="E184" s="58"/>
      <c r="F184" s="5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8"/>
      <c r="D185" s="58"/>
      <c r="E185" s="58"/>
      <c r="F185" s="5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8"/>
      <c r="D186" s="58"/>
      <c r="E186" s="58"/>
      <c r="F186" s="5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8"/>
      <c r="D187" s="58"/>
      <c r="E187" s="58"/>
      <c r="F187" s="5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8"/>
      <c r="D188" s="58"/>
      <c r="E188" s="58"/>
      <c r="F188" s="5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8"/>
      <c r="D189" s="58"/>
      <c r="E189" s="58"/>
      <c r="F189" s="5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8"/>
      <c r="D190" s="58"/>
      <c r="E190" s="58"/>
      <c r="F190" s="5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8"/>
      <c r="D191" s="58"/>
      <c r="E191" s="58"/>
      <c r="F191" s="5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8"/>
      <c r="D192" s="58"/>
      <c r="E192" s="58"/>
      <c r="F192" s="5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8"/>
      <c r="D193" s="58"/>
      <c r="E193" s="58"/>
      <c r="F193" s="5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8"/>
      <c r="D194" s="58"/>
      <c r="E194" s="58"/>
      <c r="F194" s="5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8"/>
      <c r="D195" s="58"/>
      <c r="E195" s="58"/>
      <c r="F195" s="5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8"/>
      <c r="D196" s="58"/>
      <c r="E196" s="58"/>
      <c r="F196" s="5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8"/>
      <c r="D197" s="58"/>
      <c r="E197" s="58"/>
      <c r="F197" s="5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8"/>
      <c r="D198" s="58"/>
      <c r="E198" s="58"/>
      <c r="F198" s="5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8"/>
      <c r="D199" s="58"/>
      <c r="E199" s="58"/>
      <c r="F199" s="5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8"/>
      <c r="D200" s="58"/>
      <c r="E200" s="58"/>
      <c r="F200" s="5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8"/>
      <c r="D201" s="58"/>
      <c r="E201" s="58"/>
      <c r="F201" s="5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8"/>
      <c r="D202" s="58"/>
      <c r="E202" s="58"/>
      <c r="F202" s="5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8"/>
      <c r="D203" s="58"/>
      <c r="E203" s="58"/>
      <c r="F203" s="5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8"/>
      <c r="D204" s="58"/>
      <c r="E204" s="58"/>
      <c r="F204" s="5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8"/>
      <c r="D205" s="58"/>
      <c r="E205" s="58"/>
      <c r="F205" s="5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8"/>
      <c r="D206" s="58"/>
      <c r="E206" s="58"/>
      <c r="F206" s="5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8"/>
      <c r="D207" s="58"/>
      <c r="E207" s="58"/>
      <c r="F207" s="5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8"/>
      <c r="D208" s="58"/>
      <c r="E208" s="58"/>
      <c r="F208" s="5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8"/>
      <c r="D209" s="58"/>
      <c r="E209" s="58"/>
      <c r="F209" s="5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8"/>
      <c r="D210" s="58"/>
      <c r="E210" s="58"/>
      <c r="F210" s="5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8"/>
      <c r="D211" s="58"/>
      <c r="E211" s="58"/>
      <c r="F211" s="5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8"/>
      <c r="D212" s="58"/>
      <c r="E212" s="58"/>
      <c r="F212" s="5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8"/>
      <c r="D213" s="58"/>
      <c r="E213" s="58"/>
      <c r="F213" s="5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8"/>
      <c r="D214" s="58"/>
      <c r="E214" s="58"/>
      <c r="F214" s="5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8"/>
      <c r="D215" s="58"/>
      <c r="E215" s="58"/>
      <c r="F215" s="5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8"/>
      <c r="D216" s="58"/>
      <c r="E216" s="58"/>
      <c r="F216" s="5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8"/>
      <c r="D217" s="58"/>
      <c r="E217" s="58"/>
      <c r="F217" s="5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8"/>
      <c r="D218" s="58"/>
      <c r="E218" s="58"/>
      <c r="F218" s="5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8"/>
      <c r="D219" s="58"/>
      <c r="E219" s="58"/>
      <c r="F219" s="5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8"/>
      <c r="D220" s="58"/>
      <c r="E220" s="58"/>
      <c r="F220" s="5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8"/>
      <c r="D221" s="58"/>
      <c r="E221" s="58"/>
      <c r="F221" s="5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8"/>
      <c r="D222" s="58"/>
      <c r="E222" s="58"/>
      <c r="F222" s="5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8"/>
      <c r="D223" s="58"/>
      <c r="E223" s="58"/>
      <c r="F223" s="5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8"/>
      <c r="D224" s="58"/>
      <c r="E224" s="58"/>
      <c r="F224" s="5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8"/>
      <c r="D225" s="58"/>
      <c r="E225" s="58"/>
      <c r="F225" s="5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8"/>
      <c r="D226" s="58"/>
      <c r="E226" s="58"/>
      <c r="F226" s="5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8"/>
      <c r="D227" s="58"/>
      <c r="E227" s="58"/>
      <c r="F227" s="5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8"/>
      <c r="D228" s="58"/>
      <c r="E228" s="58"/>
      <c r="F228" s="5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8"/>
      <c r="D229" s="58"/>
      <c r="E229" s="58"/>
      <c r="F229" s="5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8"/>
      <c r="D230" s="58"/>
      <c r="E230" s="58"/>
      <c r="F230" s="5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8"/>
      <c r="D231" s="58"/>
      <c r="E231" s="58"/>
      <c r="F231" s="5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8"/>
      <c r="D232" s="58"/>
      <c r="E232" s="58"/>
      <c r="F232" s="5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8"/>
      <c r="D233" s="58"/>
      <c r="E233" s="58"/>
      <c r="F233" s="5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8"/>
      <c r="D234" s="58"/>
      <c r="E234" s="58"/>
      <c r="F234" s="5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8"/>
      <c r="D235" s="58"/>
      <c r="E235" s="58"/>
      <c r="F235" s="5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8"/>
      <c r="D236" s="58"/>
      <c r="E236" s="58"/>
      <c r="F236" s="5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8"/>
      <c r="D237" s="58"/>
      <c r="E237" s="58"/>
      <c r="F237" s="5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8"/>
      <c r="D238" s="58"/>
      <c r="E238" s="58"/>
      <c r="F238" s="5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8"/>
      <c r="D239" s="58"/>
      <c r="E239" s="58"/>
      <c r="F239" s="5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8"/>
      <c r="D240" s="58"/>
      <c r="E240" s="58"/>
      <c r="F240" s="5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8"/>
      <c r="D241" s="58"/>
      <c r="E241" s="58"/>
      <c r="F241" s="5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8"/>
      <c r="D242" s="58"/>
      <c r="E242" s="58"/>
      <c r="F242" s="5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8"/>
      <c r="D243" s="58"/>
      <c r="E243" s="58"/>
      <c r="F243" s="5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8"/>
      <c r="D244" s="58"/>
      <c r="E244" s="58"/>
      <c r="F244" s="5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8"/>
      <c r="D245" s="58"/>
      <c r="E245" s="58"/>
      <c r="F245" s="5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8"/>
      <c r="D246" s="58"/>
      <c r="E246" s="58"/>
      <c r="F246" s="5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8"/>
      <c r="D247" s="58"/>
      <c r="E247" s="58"/>
      <c r="F247" s="5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8"/>
      <c r="D248" s="58"/>
      <c r="E248" s="58"/>
      <c r="F248" s="5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8"/>
      <c r="D249" s="58"/>
      <c r="E249" s="58"/>
      <c r="F249" s="5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8"/>
      <c r="D250" s="58"/>
      <c r="E250" s="58"/>
      <c r="F250" s="5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8"/>
      <c r="D251" s="58"/>
      <c r="E251" s="58"/>
      <c r="F251" s="5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8"/>
      <c r="D252" s="58"/>
      <c r="E252" s="58"/>
      <c r="F252" s="5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8"/>
      <c r="D253" s="58"/>
      <c r="E253" s="58"/>
      <c r="F253" s="5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8"/>
      <c r="D254" s="58"/>
      <c r="E254" s="58"/>
      <c r="F254" s="5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8"/>
      <c r="D255" s="58"/>
      <c r="E255" s="58"/>
      <c r="F255" s="5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8"/>
      <c r="D256" s="58"/>
      <c r="E256" s="58"/>
      <c r="F256" s="5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8"/>
      <c r="D257" s="58"/>
      <c r="E257" s="58"/>
      <c r="F257" s="5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8"/>
      <c r="D258" s="58"/>
      <c r="E258" s="58"/>
      <c r="F258" s="5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8"/>
      <c r="D259" s="58"/>
      <c r="E259" s="58"/>
      <c r="F259" s="5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8"/>
      <c r="D260" s="58"/>
      <c r="E260" s="58"/>
      <c r="F260" s="5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8"/>
      <c r="D261" s="58"/>
      <c r="E261" s="58"/>
      <c r="F261" s="5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8"/>
      <c r="D262" s="58"/>
      <c r="E262" s="58"/>
      <c r="F262" s="5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8"/>
      <c r="D263" s="58"/>
      <c r="E263" s="58"/>
      <c r="F263" s="5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8"/>
      <c r="D264" s="58"/>
      <c r="E264" s="58"/>
      <c r="F264" s="5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8"/>
      <c r="D265" s="58"/>
      <c r="E265" s="58"/>
      <c r="F265" s="5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8"/>
      <c r="D266" s="58"/>
      <c r="E266" s="58"/>
      <c r="F266" s="5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8"/>
      <c r="D267" s="58"/>
      <c r="E267" s="58"/>
      <c r="F267" s="5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8"/>
      <c r="D268" s="58"/>
      <c r="E268" s="58"/>
      <c r="F268" s="5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8"/>
      <c r="D269" s="58"/>
      <c r="E269" s="58"/>
      <c r="F269" s="5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8"/>
      <c r="D270" s="58"/>
      <c r="E270" s="58"/>
      <c r="F270" s="5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8"/>
      <c r="D271" s="58"/>
      <c r="E271" s="58"/>
      <c r="F271" s="5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8"/>
      <c r="D272" s="58"/>
      <c r="E272" s="58"/>
      <c r="F272" s="5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8"/>
      <c r="D273" s="58"/>
      <c r="E273" s="58"/>
      <c r="F273" s="5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8"/>
      <c r="D274" s="58"/>
      <c r="E274" s="58"/>
      <c r="F274" s="5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8"/>
      <c r="D275" s="58"/>
      <c r="E275" s="58"/>
      <c r="F275" s="5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8"/>
      <c r="D276" s="58"/>
      <c r="E276" s="58"/>
      <c r="F276" s="5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8"/>
      <c r="D277" s="58"/>
      <c r="E277" s="58"/>
      <c r="F277" s="5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8"/>
      <c r="D278" s="58"/>
      <c r="E278" s="58"/>
      <c r="F278" s="5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8"/>
      <c r="D279" s="58"/>
      <c r="E279" s="58"/>
      <c r="F279" s="5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8"/>
      <c r="D280" s="58"/>
      <c r="E280" s="58"/>
      <c r="F280" s="5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8"/>
      <c r="D281" s="58"/>
      <c r="E281" s="58"/>
      <c r="F281" s="5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8"/>
      <c r="D282" s="58"/>
      <c r="E282" s="58"/>
      <c r="F282" s="5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8"/>
      <c r="D283" s="58"/>
      <c r="E283" s="58"/>
      <c r="F283" s="5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8"/>
      <c r="D284" s="58"/>
      <c r="E284" s="58"/>
      <c r="F284" s="5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8"/>
      <c r="D285" s="58"/>
      <c r="E285" s="58"/>
      <c r="F285" s="5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8"/>
      <c r="D286" s="58"/>
      <c r="E286" s="58"/>
      <c r="F286" s="5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8"/>
      <c r="D287" s="58"/>
      <c r="E287" s="58"/>
      <c r="F287" s="5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8"/>
      <c r="D288" s="58"/>
      <c r="E288" s="58"/>
      <c r="F288" s="5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8"/>
      <c r="D289" s="58"/>
      <c r="E289" s="58"/>
      <c r="F289" s="5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8"/>
      <c r="D290" s="58"/>
      <c r="E290" s="58"/>
      <c r="F290" s="5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8"/>
      <c r="D291" s="58"/>
      <c r="E291" s="58"/>
      <c r="F291" s="5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8"/>
      <c r="D292" s="58"/>
      <c r="E292" s="58"/>
      <c r="F292" s="5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8"/>
      <c r="D293" s="58"/>
      <c r="E293" s="58"/>
      <c r="F293" s="5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8"/>
      <c r="D294" s="58"/>
      <c r="E294" s="58"/>
      <c r="F294" s="5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8"/>
      <c r="D295" s="58"/>
      <c r="E295" s="58"/>
      <c r="F295" s="5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8"/>
      <c r="D296" s="58"/>
      <c r="E296" s="58"/>
      <c r="F296" s="5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8"/>
      <c r="D297" s="58"/>
      <c r="E297" s="58"/>
      <c r="F297" s="5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8"/>
      <c r="D298" s="58"/>
      <c r="E298" s="58"/>
      <c r="F298" s="5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8"/>
      <c r="D299" s="58"/>
      <c r="E299" s="58"/>
      <c r="F299" s="5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8"/>
      <c r="D300" s="58"/>
      <c r="E300" s="58"/>
      <c r="F300" s="5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8"/>
      <c r="D301" s="58"/>
      <c r="E301" s="58"/>
      <c r="F301" s="5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8"/>
      <c r="D302" s="58"/>
      <c r="E302" s="58"/>
      <c r="F302" s="5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8"/>
      <c r="D303" s="58"/>
      <c r="E303" s="58"/>
      <c r="F303" s="5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8"/>
      <c r="D304" s="58"/>
      <c r="E304" s="58"/>
      <c r="F304" s="5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8"/>
      <c r="D305" s="58"/>
      <c r="E305" s="58"/>
      <c r="F305" s="5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8"/>
      <c r="D306" s="58"/>
      <c r="E306" s="58"/>
      <c r="F306" s="5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8"/>
      <c r="D307" s="58"/>
      <c r="E307" s="58"/>
      <c r="F307" s="5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8"/>
      <c r="D308" s="58"/>
      <c r="E308" s="58"/>
      <c r="F308" s="5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8"/>
      <c r="D309" s="58"/>
      <c r="E309" s="58"/>
      <c r="F309" s="5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8"/>
      <c r="D310" s="58"/>
      <c r="E310" s="58"/>
      <c r="F310" s="5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8"/>
      <c r="D311" s="58"/>
      <c r="E311" s="58"/>
      <c r="F311" s="5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8"/>
      <c r="D312" s="58"/>
      <c r="E312" s="58"/>
      <c r="F312" s="5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8"/>
      <c r="D313" s="58"/>
      <c r="E313" s="58"/>
      <c r="F313" s="5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8"/>
      <c r="D314" s="58"/>
      <c r="E314" s="58"/>
      <c r="F314" s="5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8"/>
      <c r="D315" s="58"/>
      <c r="E315" s="58"/>
      <c r="F315" s="5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8"/>
      <c r="D316" s="58"/>
      <c r="E316" s="58"/>
      <c r="F316" s="5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8"/>
      <c r="D317" s="58"/>
      <c r="E317" s="58"/>
      <c r="F317" s="5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8"/>
      <c r="D318" s="58"/>
      <c r="E318" s="58"/>
      <c r="F318" s="5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8"/>
      <c r="D319" s="58"/>
      <c r="E319" s="58"/>
      <c r="F319" s="5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8"/>
      <c r="D320" s="58"/>
      <c r="E320" s="58"/>
      <c r="F320" s="5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8"/>
      <c r="D321" s="58"/>
      <c r="E321" s="58"/>
      <c r="F321" s="5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8"/>
      <c r="D322" s="58"/>
      <c r="E322" s="58"/>
      <c r="F322" s="5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8"/>
      <c r="D323" s="58"/>
      <c r="E323" s="58"/>
      <c r="F323" s="5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8"/>
      <c r="D324" s="58"/>
      <c r="E324" s="58"/>
      <c r="F324" s="5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8"/>
      <c r="D325" s="58"/>
      <c r="E325" s="58"/>
      <c r="F325" s="5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8"/>
      <c r="D326" s="58"/>
      <c r="E326" s="58"/>
      <c r="F326" s="5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8"/>
      <c r="D327" s="58"/>
      <c r="E327" s="58"/>
      <c r="F327" s="5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8"/>
      <c r="D328" s="58"/>
      <c r="E328" s="58"/>
      <c r="F328" s="5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8"/>
      <c r="D329" s="58"/>
      <c r="E329" s="58"/>
      <c r="F329" s="5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8"/>
      <c r="D330" s="58"/>
      <c r="E330" s="58"/>
      <c r="F330" s="5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8"/>
      <c r="D331" s="58"/>
      <c r="E331" s="58"/>
      <c r="F331" s="5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8"/>
      <c r="D332" s="58"/>
      <c r="E332" s="58"/>
      <c r="F332" s="5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8"/>
      <c r="D333" s="58"/>
      <c r="E333" s="58"/>
      <c r="F333" s="5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8"/>
      <c r="D334" s="58"/>
      <c r="E334" s="58"/>
      <c r="F334" s="5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8"/>
      <c r="D335" s="58"/>
      <c r="E335" s="58"/>
      <c r="F335" s="5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8"/>
      <c r="D336" s="58"/>
      <c r="E336" s="58"/>
      <c r="F336" s="5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8"/>
      <c r="D337" s="58"/>
      <c r="E337" s="58"/>
      <c r="F337" s="5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8"/>
      <c r="D338" s="58"/>
      <c r="E338" s="58"/>
      <c r="F338" s="5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8"/>
      <c r="D339" s="58"/>
      <c r="E339" s="58"/>
      <c r="F339" s="5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8"/>
      <c r="D340" s="58"/>
      <c r="E340" s="58"/>
      <c r="F340" s="5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8"/>
      <c r="D341" s="58"/>
      <c r="E341" s="58"/>
      <c r="F341" s="5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8"/>
      <c r="D342" s="58"/>
      <c r="E342" s="58"/>
      <c r="F342" s="5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8"/>
      <c r="D343" s="58"/>
      <c r="E343" s="58"/>
      <c r="F343" s="5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8"/>
      <c r="D344" s="58"/>
      <c r="E344" s="58"/>
      <c r="F344" s="5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8"/>
      <c r="D345" s="58"/>
      <c r="E345" s="58"/>
      <c r="F345" s="5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8"/>
      <c r="D346" s="58"/>
      <c r="E346" s="58"/>
      <c r="F346" s="5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8"/>
      <c r="D347" s="58"/>
      <c r="E347" s="58"/>
      <c r="F347" s="5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8"/>
      <c r="D348" s="58"/>
      <c r="E348" s="58"/>
      <c r="F348" s="5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8"/>
      <c r="D349" s="58"/>
      <c r="E349" s="58"/>
      <c r="F349" s="5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8"/>
      <c r="D350" s="58"/>
      <c r="E350" s="58"/>
      <c r="F350" s="5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8"/>
      <c r="D351" s="58"/>
      <c r="E351" s="58"/>
      <c r="F351" s="5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8"/>
      <c r="D352" s="58"/>
      <c r="E352" s="58"/>
      <c r="F352" s="5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8"/>
      <c r="D353" s="58"/>
      <c r="E353" s="58"/>
      <c r="F353" s="5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8"/>
      <c r="D354" s="58"/>
      <c r="E354" s="58"/>
      <c r="F354" s="5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8"/>
      <c r="D355" s="58"/>
      <c r="E355" s="58"/>
      <c r="F355" s="5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8"/>
      <c r="D356" s="58"/>
      <c r="E356" s="58"/>
      <c r="F356" s="5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8"/>
      <c r="D357" s="58"/>
      <c r="E357" s="58"/>
      <c r="F357" s="5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8"/>
      <c r="D358" s="58"/>
      <c r="E358" s="58"/>
      <c r="F358" s="5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8"/>
      <c r="D359" s="58"/>
      <c r="E359" s="58"/>
      <c r="F359" s="5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8"/>
      <c r="D360" s="58"/>
      <c r="E360" s="58"/>
      <c r="F360" s="5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8"/>
      <c r="D361" s="58"/>
      <c r="E361" s="58"/>
      <c r="F361" s="5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8"/>
      <c r="D362" s="58"/>
      <c r="E362" s="58"/>
      <c r="F362" s="5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8"/>
      <c r="D363" s="58"/>
      <c r="E363" s="58"/>
      <c r="F363" s="5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8"/>
      <c r="D364" s="58"/>
      <c r="E364" s="58"/>
      <c r="F364" s="5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8"/>
      <c r="D365" s="58"/>
      <c r="E365" s="58"/>
      <c r="F365" s="5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8"/>
      <c r="D366" s="58"/>
      <c r="E366" s="58"/>
      <c r="F366" s="5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8"/>
      <c r="D367" s="58"/>
      <c r="E367" s="58"/>
      <c r="F367" s="5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8"/>
      <c r="D368" s="58"/>
      <c r="E368" s="58"/>
      <c r="F368" s="5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8"/>
      <c r="D369" s="58"/>
      <c r="E369" s="58"/>
      <c r="F369" s="5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8"/>
      <c r="D370" s="58"/>
      <c r="E370" s="58"/>
      <c r="F370" s="5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8"/>
      <c r="D371" s="58"/>
      <c r="E371" s="58"/>
      <c r="F371" s="5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8"/>
      <c r="D372" s="58"/>
      <c r="E372" s="58"/>
      <c r="F372" s="5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8"/>
      <c r="D373" s="58"/>
      <c r="E373" s="58"/>
      <c r="F373" s="5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8"/>
      <c r="D374" s="58"/>
      <c r="E374" s="58"/>
      <c r="F374" s="5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8"/>
      <c r="D375" s="58"/>
      <c r="E375" s="58"/>
      <c r="F375" s="5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8"/>
      <c r="D376" s="58"/>
      <c r="E376" s="58"/>
      <c r="F376" s="5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8"/>
      <c r="D377" s="58"/>
      <c r="E377" s="58"/>
      <c r="F377" s="5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8"/>
      <c r="D378" s="58"/>
      <c r="E378" s="58"/>
      <c r="F378" s="5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8"/>
      <c r="D379" s="58"/>
      <c r="E379" s="58"/>
      <c r="F379" s="5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8"/>
      <c r="D380" s="58"/>
      <c r="E380" s="58"/>
      <c r="F380" s="5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8"/>
      <c r="D381" s="58"/>
      <c r="E381" s="58"/>
      <c r="F381" s="5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8"/>
      <c r="D382" s="58"/>
      <c r="E382" s="58"/>
      <c r="F382" s="5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8"/>
      <c r="D383" s="58"/>
      <c r="E383" s="58"/>
      <c r="F383" s="5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8"/>
      <c r="D384" s="58"/>
      <c r="E384" s="58"/>
      <c r="F384" s="5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8"/>
      <c r="D385" s="58"/>
      <c r="E385" s="58"/>
      <c r="F385" s="5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8"/>
      <c r="D386" s="58"/>
      <c r="E386" s="58"/>
      <c r="F386" s="5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8"/>
      <c r="D387" s="58"/>
      <c r="E387" s="58"/>
      <c r="F387" s="5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8"/>
      <c r="D388" s="58"/>
      <c r="E388" s="58"/>
      <c r="F388" s="5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8"/>
      <c r="D389" s="58"/>
      <c r="E389" s="58"/>
      <c r="F389" s="5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8"/>
      <c r="D390" s="58"/>
      <c r="E390" s="58"/>
      <c r="F390" s="5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8"/>
      <c r="D391" s="58"/>
      <c r="E391" s="58"/>
      <c r="F391" s="5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8"/>
      <c r="D392" s="58"/>
      <c r="E392" s="58"/>
      <c r="F392" s="5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8"/>
      <c r="D393" s="58"/>
      <c r="E393" s="58"/>
      <c r="F393" s="5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8"/>
      <c r="D394" s="58"/>
      <c r="E394" s="58"/>
      <c r="F394" s="5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8"/>
      <c r="D395" s="58"/>
      <c r="E395" s="58"/>
      <c r="F395" s="5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8"/>
      <c r="D396" s="58"/>
      <c r="E396" s="58"/>
      <c r="F396" s="5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8"/>
      <c r="D397" s="58"/>
      <c r="E397" s="58"/>
      <c r="F397" s="5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8"/>
      <c r="D398" s="58"/>
      <c r="E398" s="58"/>
      <c r="F398" s="5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8"/>
      <c r="D399" s="58"/>
      <c r="E399" s="58"/>
      <c r="F399" s="5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8"/>
      <c r="D400" s="58"/>
      <c r="E400" s="58"/>
      <c r="F400" s="5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8"/>
      <c r="D401" s="58"/>
      <c r="E401" s="58"/>
      <c r="F401" s="5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8"/>
      <c r="D402" s="58"/>
      <c r="E402" s="58"/>
      <c r="F402" s="5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8"/>
      <c r="D403" s="58"/>
      <c r="E403" s="58"/>
      <c r="F403" s="5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8"/>
      <c r="D404" s="58"/>
      <c r="E404" s="58"/>
      <c r="F404" s="5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8"/>
      <c r="D405" s="58"/>
      <c r="E405" s="58"/>
      <c r="F405" s="5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8"/>
      <c r="D406" s="58"/>
      <c r="E406" s="58"/>
      <c r="F406" s="5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8"/>
      <c r="D407" s="58"/>
      <c r="E407" s="58"/>
      <c r="F407" s="5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8"/>
      <c r="D408" s="58"/>
      <c r="E408" s="58"/>
      <c r="F408" s="5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8"/>
      <c r="D409" s="58"/>
      <c r="E409" s="58"/>
      <c r="F409" s="5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8"/>
      <c r="D410" s="58"/>
      <c r="E410" s="58"/>
      <c r="F410" s="5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8"/>
      <c r="D411" s="58"/>
      <c r="E411" s="58"/>
      <c r="F411" s="5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8"/>
      <c r="D412" s="58"/>
      <c r="E412" s="58"/>
      <c r="F412" s="5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8"/>
      <c r="D413" s="58"/>
      <c r="E413" s="58"/>
      <c r="F413" s="5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8"/>
      <c r="D414" s="58"/>
      <c r="E414" s="58"/>
      <c r="F414" s="5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8"/>
      <c r="D415" s="58"/>
      <c r="E415" s="58"/>
      <c r="F415" s="5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8"/>
      <c r="D416" s="58"/>
      <c r="E416" s="58"/>
      <c r="F416" s="5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8"/>
      <c r="D417" s="58"/>
      <c r="E417" s="58"/>
      <c r="F417" s="5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8"/>
      <c r="D418" s="58"/>
      <c r="E418" s="58"/>
      <c r="F418" s="5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8"/>
      <c r="D419" s="58"/>
      <c r="E419" s="58"/>
      <c r="F419" s="5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8"/>
      <c r="D420" s="58"/>
      <c r="E420" s="58"/>
      <c r="F420" s="5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8"/>
      <c r="D421" s="58"/>
      <c r="E421" s="58"/>
      <c r="F421" s="5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8"/>
      <c r="D422" s="58"/>
      <c r="E422" s="58"/>
      <c r="F422" s="5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8"/>
      <c r="D423" s="58"/>
      <c r="E423" s="58"/>
      <c r="F423" s="5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8"/>
      <c r="D424" s="58"/>
      <c r="E424" s="58"/>
      <c r="F424" s="5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8"/>
      <c r="D425" s="58"/>
      <c r="E425" s="58"/>
      <c r="F425" s="5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8"/>
      <c r="D426" s="58"/>
      <c r="E426" s="58"/>
      <c r="F426" s="5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8"/>
      <c r="D427" s="58"/>
      <c r="E427" s="58"/>
      <c r="F427" s="5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8"/>
      <c r="D428" s="58"/>
      <c r="E428" s="58"/>
      <c r="F428" s="5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8"/>
      <c r="D429" s="58"/>
      <c r="E429" s="58"/>
      <c r="F429" s="5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8"/>
      <c r="D430" s="58"/>
      <c r="E430" s="58"/>
      <c r="F430" s="5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8"/>
      <c r="D431" s="58"/>
      <c r="E431" s="58"/>
      <c r="F431" s="5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8"/>
      <c r="D432" s="58"/>
      <c r="E432" s="58"/>
      <c r="F432" s="5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8"/>
      <c r="D433" s="58"/>
      <c r="E433" s="58"/>
      <c r="F433" s="5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8"/>
      <c r="D434" s="58"/>
      <c r="E434" s="58"/>
      <c r="F434" s="5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8"/>
      <c r="D435" s="58"/>
      <c r="E435" s="58"/>
      <c r="F435" s="5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8"/>
      <c r="D436" s="58"/>
      <c r="E436" s="58"/>
      <c r="F436" s="5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8"/>
      <c r="D437" s="58"/>
      <c r="E437" s="58"/>
      <c r="F437" s="5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8"/>
      <c r="D438" s="58"/>
      <c r="E438" s="58"/>
      <c r="F438" s="5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8"/>
      <c r="D439" s="58"/>
      <c r="E439" s="58"/>
      <c r="F439" s="5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8"/>
      <c r="D440" s="58"/>
      <c r="E440" s="58"/>
      <c r="F440" s="5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8"/>
      <c r="D441" s="58"/>
      <c r="E441" s="58"/>
      <c r="F441" s="5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8"/>
      <c r="D442" s="58"/>
      <c r="E442" s="58"/>
      <c r="F442" s="5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8"/>
      <c r="D443" s="58"/>
      <c r="E443" s="58"/>
      <c r="F443" s="5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8"/>
      <c r="D444" s="58"/>
      <c r="E444" s="58"/>
      <c r="F444" s="5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8"/>
      <c r="D445" s="58"/>
      <c r="E445" s="58"/>
      <c r="F445" s="5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8"/>
      <c r="D446" s="58"/>
      <c r="E446" s="58"/>
      <c r="F446" s="5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8"/>
      <c r="D447" s="58"/>
      <c r="E447" s="58"/>
      <c r="F447" s="5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8"/>
      <c r="D448" s="58"/>
      <c r="E448" s="58"/>
      <c r="F448" s="5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8"/>
      <c r="D449" s="58"/>
      <c r="E449" s="58"/>
      <c r="F449" s="5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8"/>
      <c r="D450" s="58"/>
      <c r="E450" s="58"/>
      <c r="F450" s="5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8"/>
      <c r="D451" s="58"/>
      <c r="E451" s="58"/>
      <c r="F451" s="5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8"/>
      <c r="D452" s="58"/>
      <c r="E452" s="58"/>
      <c r="F452" s="5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8"/>
      <c r="D453" s="58"/>
      <c r="E453" s="58"/>
      <c r="F453" s="5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8"/>
      <c r="D454" s="58"/>
      <c r="E454" s="58"/>
      <c r="F454" s="5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8"/>
      <c r="D455" s="58"/>
      <c r="E455" s="58"/>
      <c r="F455" s="5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8"/>
      <c r="D456" s="58"/>
      <c r="E456" s="58"/>
      <c r="F456" s="5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8"/>
      <c r="D457" s="58"/>
      <c r="E457" s="58"/>
      <c r="F457" s="5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8"/>
      <c r="D458" s="58"/>
      <c r="E458" s="58"/>
      <c r="F458" s="5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8"/>
      <c r="D459" s="58"/>
      <c r="E459" s="58"/>
      <c r="F459" s="5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8"/>
      <c r="D460" s="58"/>
      <c r="E460" s="58"/>
      <c r="F460" s="5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8"/>
      <c r="D461" s="58"/>
      <c r="E461" s="58"/>
      <c r="F461" s="5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8"/>
      <c r="D462" s="58"/>
      <c r="E462" s="58"/>
      <c r="F462" s="5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8"/>
      <c r="D463" s="58"/>
      <c r="E463" s="58"/>
      <c r="F463" s="5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8"/>
      <c r="D464" s="58"/>
      <c r="E464" s="58"/>
      <c r="F464" s="5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8"/>
      <c r="D465" s="58"/>
      <c r="E465" s="58"/>
      <c r="F465" s="5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8"/>
      <c r="D466" s="58"/>
      <c r="E466" s="58"/>
      <c r="F466" s="5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8"/>
      <c r="D467" s="58"/>
      <c r="E467" s="58"/>
      <c r="F467" s="5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8"/>
      <c r="D468" s="58"/>
      <c r="E468" s="58"/>
      <c r="F468" s="5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8"/>
      <c r="D469" s="58"/>
      <c r="E469" s="58"/>
      <c r="F469" s="5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8"/>
      <c r="D470" s="58"/>
      <c r="E470" s="58"/>
      <c r="F470" s="5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8"/>
      <c r="D471" s="58"/>
      <c r="E471" s="58"/>
      <c r="F471" s="5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8"/>
      <c r="D472" s="58"/>
      <c r="E472" s="58"/>
      <c r="F472" s="5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8"/>
      <c r="D473" s="58"/>
      <c r="E473" s="58"/>
      <c r="F473" s="5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8"/>
      <c r="D474" s="58"/>
      <c r="E474" s="58"/>
      <c r="F474" s="5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8"/>
      <c r="D475" s="58"/>
      <c r="E475" s="58"/>
      <c r="F475" s="5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8"/>
      <c r="D476" s="58"/>
      <c r="E476" s="58"/>
      <c r="F476" s="5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8"/>
      <c r="D477" s="58"/>
      <c r="E477" s="58"/>
      <c r="F477" s="5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8"/>
      <c r="D478" s="58"/>
      <c r="E478" s="58"/>
      <c r="F478" s="5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8"/>
      <c r="D479" s="58"/>
      <c r="E479" s="58"/>
      <c r="F479" s="5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8"/>
      <c r="D480" s="58"/>
      <c r="E480" s="58"/>
      <c r="F480" s="5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8"/>
      <c r="D481" s="58"/>
      <c r="E481" s="58"/>
      <c r="F481" s="5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8"/>
      <c r="D482" s="58"/>
      <c r="E482" s="58"/>
      <c r="F482" s="5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8"/>
      <c r="D483" s="58"/>
      <c r="E483" s="58"/>
      <c r="F483" s="5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8"/>
      <c r="D484" s="58"/>
      <c r="E484" s="58"/>
      <c r="F484" s="5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8"/>
      <c r="D485" s="58"/>
      <c r="E485" s="58"/>
      <c r="F485" s="5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8"/>
      <c r="D486" s="58"/>
      <c r="E486" s="58"/>
      <c r="F486" s="5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8"/>
      <c r="D487" s="58"/>
      <c r="E487" s="58"/>
      <c r="F487" s="5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8"/>
      <c r="D488" s="58"/>
      <c r="E488" s="58"/>
      <c r="F488" s="5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8"/>
      <c r="D489" s="58"/>
      <c r="E489" s="58"/>
      <c r="F489" s="5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8"/>
      <c r="D490" s="58"/>
      <c r="E490" s="58"/>
      <c r="F490" s="5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8"/>
      <c r="D491" s="58"/>
      <c r="E491" s="58"/>
      <c r="F491" s="5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8"/>
      <c r="D492" s="58"/>
      <c r="E492" s="58"/>
      <c r="F492" s="5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8"/>
      <c r="D493" s="58"/>
      <c r="E493" s="58"/>
      <c r="F493" s="5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8"/>
      <c r="D494" s="58"/>
      <c r="E494" s="58"/>
      <c r="F494" s="5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8"/>
      <c r="D495" s="58"/>
      <c r="E495" s="58"/>
      <c r="F495" s="5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8"/>
      <c r="D496" s="58"/>
      <c r="E496" s="58"/>
      <c r="F496" s="5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8"/>
      <c r="D497" s="58"/>
      <c r="E497" s="58"/>
      <c r="F497" s="5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8"/>
      <c r="D498" s="58"/>
      <c r="E498" s="58"/>
      <c r="F498" s="5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8"/>
      <c r="D499" s="58"/>
      <c r="E499" s="58"/>
      <c r="F499" s="5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8"/>
      <c r="D500" s="58"/>
      <c r="E500" s="58"/>
      <c r="F500" s="5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8"/>
      <c r="D501" s="58"/>
      <c r="E501" s="58"/>
      <c r="F501" s="5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8"/>
      <c r="D502" s="58"/>
      <c r="E502" s="58"/>
      <c r="F502" s="5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8"/>
      <c r="D503" s="58"/>
      <c r="E503" s="58"/>
      <c r="F503" s="5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8"/>
      <c r="D504" s="58"/>
      <c r="E504" s="58"/>
      <c r="F504" s="5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8"/>
      <c r="D505" s="58"/>
      <c r="E505" s="58"/>
      <c r="F505" s="5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8"/>
      <c r="D506" s="58"/>
      <c r="E506" s="58"/>
      <c r="F506" s="5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8"/>
      <c r="D507" s="58"/>
      <c r="E507" s="58"/>
      <c r="F507" s="5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8"/>
      <c r="D508" s="58"/>
      <c r="E508" s="58"/>
      <c r="F508" s="5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8"/>
      <c r="D509" s="58"/>
      <c r="E509" s="58"/>
      <c r="F509" s="5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8"/>
      <c r="D510" s="58"/>
      <c r="E510" s="58"/>
      <c r="F510" s="5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8"/>
      <c r="D511" s="58"/>
      <c r="E511" s="58"/>
      <c r="F511" s="5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8"/>
      <c r="D512" s="58"/>
      <c r="E512" s="58"/>
      <c r="F512" s="5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8"/>
      <c r="D513" s="58"/>
      <c r="E513" s="58"/>
      <c r="F513" s="5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8"/>
      <c r="D514" s="58"/>
      <c r="E514" s="58"/>
      <c r="F514" s="5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8"/>
      <c r="D515" s="58"/>
      <c r="E515" s="58"/>
      <c r="F515" s="5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8"/>
      <c r="D516" s="58"/>
      <c r="E516" s="58"/>
      <c r="F516" s="5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8"/>
      <c r="D517" s="58"/>
      <c r="E517" s="58"/>
      <c r="F517" s="5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8"/>
      <c r="D518" s="58"/>
      <c r="E518" s="58"/>
      <c r="F518" s="5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8"/>
      <c r="D519" s="58"/>
      <c r="E519" s="58"/>
      <c r="F519" s="5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8"/>
      <c r="D520" s="58"/>
      <c r="E520" s="58"/>
      <c r="F520" s="5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8"/>
      <c r="D521" s="58"/>
      <c r="E521" s="58"/>
      <c r="F521" s="5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8"/>
      <c r="D522" s="58"/>
      <c r="E522" s="58"/>
      <c r="F522" s="5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8"/>
      <c r="D523" s="58"/>
      <c r="E523" s="58"/>
      <c r="F523" s="5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8"/>
      <c r="D524" s="58"/>
      <c r="E524" s="58"/>
      <c r="F524" s="5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8"/>
      <c r="D525" s="58"/>
      <c r="E525" s="58"/>
      <c r="F525" s="5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8"/>
      <c r="D526" s="58"/>
      <c r="E526" s="58"/>
      <c r="F526" s="5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8"/>
      <c r="D527" s="58"/>
      <c r="E527" s="58"/>
      <c r="F527" s="5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8"/>
      <c r="D528" s="58"/>
      <c r="E528" s="58"/>
      <c r="F528" s="5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8"/>
      <c r="D529" s="58"/>
      <c r="E529" s="58"/>
      <c r="F529" s="5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8"/>
      <c r="D530" s="58"/>
      <c r="E530" s="58"/>
      <c r="F530" s="5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8"/>
      <c r="D531" s="58"/>
      <c r="E531" s="58"/>
      <c r="F531" s="5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8"/>
      <c r="D532" s="58"/>
      <c r="E532" s="58"/>
      <c r="F532" s="5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8"/>
      <c r="D533" s="58"/>
      <c r="E533" s="58"/>
      <c r="F533" s="5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8"/>
      <c r="D534" s="58"/>
      <c r="E534" s="58"/>
      <c r="F534" s="5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8"/>
      <c r="D535" s="58"/>
      <c r="E535" s="58"/>
      <c r="F535" s="5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8"/>
      <c r="D536" s="58"/>
      <c r="E536" s="58"/>
      <c r="F536" s="5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8"/>
      <c r="D537" s="58"/>
      <c r="E537" s="58"/>
      <c r="F537" s="5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8"/>
      <c r="D538" s="58"/>
      <c r="E538" s="58"/>
      <c r="F538" s="5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8"/>
      <c r="D539" s="58"/>
      <c r="E539" s="58"/>
      <c r="F539" s="5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8"/>
      <c r="D540" s="58"/>
      <c r="E540" s="58"/>
      <c r="F540" s="5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8"/>
      <c r="D541" s="58"/>
      <c r="E541" s="58"/>
      <c r="F541" s="5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8"/>
      <c r="D542" s="58"/>
      <c r="E542" s="58"/>
      <c r="F542" s="5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8"/>
      <c r="D543" s="58"/>
      <c r="E543" s="58"/>
      <c r="F543" s="5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8"/>
      <c r="D544" s="58"/>
      <c r="E544" s="58"/>
      <c r="F544" s="5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8"/>
      <c r="D545" s="58"/>
      <c r="E545" s="58"/>
      <c r="F545" s="5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8"/>
      <c r="D546" s="58"/>
      <c r="E546" s="58"/>
      <c r="F546" s="5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8"/>
      <c r="D547" s="58"/>
      <c r="E547" s="58"/>
      <c r="F547" s="5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8"/>
      <c r="D548" s="58"/>
      <c r="E548" s="58"/>
      <c r="F548" s="5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8"/>
      <c r="D549" s="58"/>
      <c r="E549" s="58"/>
      <c r="F549" s="5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8"/>
      <c r="D550" s="58"/>
      <c r="E550" s="58"/>
      <c r="F550" s="5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8"/>
      <c r="D551" s="58"/>
      <c r="E551" s="58"/>
      <c r="F551" s="5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8"/>
      <c r="D552" s="58"/>
      <c r="E552" s="58"/>
      <c r="F552" s="5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8"/>
      <c r="D553" s="58"/>
      <c r="E553" s="58"/>
      <c r="F553" s="5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8"/>
      <c r="D554" s="58"/>
      <c r="E554" s="58"/>
      <c r="F554" s="5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8"/>
      <c r="D555" s="58"/>
      <c r="E555" s="58"/>
      <c r="F555" s="5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8"/>
      <c r="D556" s="58"/>
      <c r="E556" s="58"/>
      <c r="F556" s="5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8"/>
      <c r="D557" s="58"/>
      <c r="E557" s="58"/>
      <c r="F557" s="5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8"/>
      <c r="D558" s="58"/>
      <c r="E558" s="58"/>
      <c r="F558" s="5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8"/>
      <c r="D559" s="58"/>
      <c r="E559" s="58"/>
      <c r="F559" s="5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8"/>
      <c r="D560" s="58"/>
      <c r="E560" s="58"/>
      <c r="F560" s="5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8"/>
      <c r="D561" s="58"/>
      <c r="E561" s="58"/>
      <c r="F561" s="5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8"/>
      <c r="D562" s="58"/>
      <c r="E562" s="58"/>
      <c r="F562" s="5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8"/>
      <c r="D563" s="58"/>
      <c r="E563" s="58"/>
      <c r="F563" s="5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8"/>
      <c r="D564" s="58"/>
      <c r="E564" s="58"/>
      <c r="F564" s="5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8"/>
      <c r="D565" s="58"/>
      <c r="E565" s="58"/>
      <c r="F565" s="5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8"/>
      <c r="D566" s="58"/>
      <c r="E566" s="58"/>
      <c r="F566" s="5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8"/>
      <c r="D567" s="58"/>
      <c r="E567" s="58"/>
      <c r="F567" s="5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8"/>
      <c r="D568" s="58"/>
      <c r="E568" s="58"/>
      <c r="F568" s="5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8"/>
      <c r="D569" s="58"/>
      <c r="E569" s="58"/>
      <c r="F569" s="5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8"/>
      <c r="D570" s="58"/>
      <c r="E570" s="58"/>
      <c r="F570" s="5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8"/>
      <c r="D571" s="58"/>
      <c r="E571" s="58"/>
      <c r="F571" s="5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8"/>
      <c r="D572" s="58"/>
      <c r="E572" s="58"/>
      <c r="F572" s="5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8"/>
      <c r="D573" s="58"/>
      <c r="E573" s="58"/>
      <c r="F573" s="5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8"/>
      <c r="D574" s="58"/>
      <c r="E574" s="58"/>
      <c r="F574" s="5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8"/>
      <c r="D575" s="58"/>
      <c r="E575" s="58"/>
      <c r="F575" s="5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8"/>
      <c r="D576" s="58"/>
      <c r="E576" s="58"/>
      <c r="F576" s="5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8"/>
      <c r="D577" s="58"/>
      <c r="E577" s="58"/>
      <c r="F577" s="5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8"/>
      <c r="D578" s="58"/>
      <c r="E578" s="58"/>
      <c r="F578" s="5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8"/>
      <c r="D579" s="58"/>
      <c r="E579" s="58"/>
      <c r="F579" s="5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8"/>
      <c r="D580" s="58"/>
      <c r="E580" s="58"/>
      <c r="F580" s="5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8"/>
      <c r="D581" s="58"/>
      <c r="E581" s="58"/>
      <c r="F581" s="5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8"/>
      <c r="D582" s="58"/>
      <c r="E582" s="58"/>
      <c r="F582" s="5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8"/>
      <c r="D583" s="58"/>
      <c r="E583" s="58"/>
      <c r="F583" s="5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8"/>
      <c r="D584" s="58"/>
      <c r="E584" s="58"/>
      <c r="F584" s="5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8"/>
      <c r="D585" s="58"/>
      <c r="E585" s="58"/>
      <c r="F585" s="5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8"/>
      <c r="D586" s="58"/>
      <c r="E586" s="58"/>
      <c r="F586" s="5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8"/>
      <c r="D587" s="58"/>
      <c r="E587" s="58"/>
      <c r="F587" s="5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8"/>
      <c r="D588" s="58"/>
      <c r="E588" s="58"/>
      <c r="F588" s="5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8"/>
      <c r="D589" s="58"/>
      <c r="E589" s="58"/>
      <c r="F589" s="5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8"/>
      <c r="D590" s="58"/>
      <c r="E590" s="58"/>
      <c r="F590" s="5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8"/>
      <c r="D591" s="58"/>
      <c r="E591" s="58"/>
      <c r="F591" s="5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8"/>
      <c r="D592" s="58"/>
      <c r="E592" s="58"/>
      <c r="F592" s="5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8"/>
      <c r="D593" s="58"/>
      <c r="E593" s="58"/>
      <c r="F593" s="5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8"/>
      <c r="D594" s="58"/>
      <c r="E594" s="58"/>
      <c r="F594" s="5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8"/>
      <c r="D595" s="58"/>
      <c r="E595" s="58"/>
      <c r="F595" s="5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8"/>
      <c r="D596" s="58"/>
      <c r="E596" s="58"/>
      <c r="F596" s="5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8"/>
      <c r="D597" s="58"/>
      <c r="E597" s="58"/>
      <c r="F597" s="5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8"/>
      <c r="D598" s="58"/>
      <c r="E598" s="58"/>
      <c r="F598" s="5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8"/>
      <c r="D599" s="58"/>
      <c r="E599" s="58"/>
      <c r="F599" s="5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8"/>
      <c r="D600" s="58"/>
      <c r="E600" s="58"/>
      <c r="F600" s="5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8"/>
      <c r="D601" s="58"/>
      <c r="E601" s="58"/>
      <c r="F601" s="5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8"/>
      <c r="D602" s="58"/>
      <c r="E602" s="58"/>
      <c r="F602" s="5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8"/>
      <c r="D603" s="58"/>
      <c r="E603" s="58"/>
      <c r="F603" s="5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8"/>
      <c r="D604" s="58"/>
      <c r="E604" s="58"/>
      <c r="F604" s="5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8"/>
      <c r="D605" s="58"/>
      <c r="E605" s="58"/>
      <c r="F605" s="5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8"/>
      <c r="D606" s="58"/>
      <c r="E606" s="58"/>
      <c r="F606" s="5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8"/>
      <c r="D607" s="58"/>
      <c r="E607" s="58"/>
      <c r="F607" s="5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8"/>
      <c r="D608" s="58"/>
      <c r="E608" s="58"/>
      <c r="F608" s="5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8"/>
      <c r="D609" s="58"/>
      <c r="E609" s="58"/>
      <c r="F609" s="5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8"/>
      <c r="D610" s="58"/>
      <c r="E610" s="58"/>
      <c r="F610" s="5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8"/>
      <c r="D611" s="58"/>
      <c r="E611" s="58"/>
      <c r="F611" s="5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8"/>
      <c r="D612" s="58"/>
      <c r="E612" s="58"/>
      <c r="F612" s="5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8"/>
      <c r="D613" s="58"/>
      <c r="E613" s="58"/>
      <c r="F613" s="5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8"/>
      <c r="D614" s="58"/>
      <c r="E614" s="58"/>
      <c r="F614" s="5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8"/>
      <c r="D615" s="58"/>
      <c r="E615" s="58"/>
      <c r="F615" s="5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8"/>
      <c r="D616" s="58"/>
      <c r="E616" s="58"/>
      <c r="F616" s="5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8"/>
      <c r="D617" s="58"/>
      <c r="E617" s="58"/>
      <c r="F617" s="5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8"/>
      <c r="D618" s="58"/>
      <c r="E618" s="58"/>
      <c r="F618" s="5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8"/>
      <c r="D619" s="58"/>
      <c r="E619" s="58"/>
      <c r="F619" s="5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8"/>
      <c r="D620" s="58"/>
      <c r="E620" s="58"/>
      <c r="F620" s="5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8"/>
      <c r="D621" s="58"/>
      <c r="E621" s="58"/>
      <c r="F621" s="5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8"/>
      <c r="D622" s="58"/>
      <c r="E622" s="58"/>
      <c r="F622" s="5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8"/>
      <c r="D623" s="58"/>
      <c r="E623" s="58"/>
      <c r="F623" s="5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8"/>
      <c r="D624" s="58"/>
      <c r="E624" s="58"/>
      <c r="F624" s="5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8"/>
      <c r="D625" s="58"/>
      <c r="E625" s="58"/>
      <c r="F625" s="5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8"/>
      <c r="D626" s="58"/>
      <c r="E626" s="58"/>
      <c r="F626" s="5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8"/>
      <c r="D627" s="58"/>
      <c r="E627" s="58"/>
      <c r="F627" s="5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8"/>
      <c r="D628" s="58"/>
      <c r="E628" s="58"/>
      <c r="F628" s="5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8"/>
      <c r="D629" s="58"/>
      <c r="E629" s="58"/>
      <c r="F629" s="5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8"/>
      <c r="D630" s="58"/>
      <c r="E630" s="58"/>
      <c r="F630" s="5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8"/>
      <c r="D631" s="58"/>
      <c r="E631" s="58"/>
      <c r="F631" s="5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8"/>
      <c r="D632" s="58"/>
      <c r="E632" s="58"/>
      <c r="F632" s="5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8"/>
      <c r="D633" s="58"/>
      <c r="E633" s="58"/>
      <c r="F633" s="5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8"/>
      <c r="D634" s="58"/>
      <c r="E634" s="58"/>
      <c r="F634" s="5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8"/>
      <c r="D635" s="58"/>
      <c r="E635" s="58"/>
      <c r="F635" s="5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8"/>
      <c r="D636" s="58"/>
      <c r="E636" s="58"/>
      <c r="F636" s="5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8"/>
      <c r="D637" s="58"/>
      <c r="E637" s="58"/>
      <c r="F637" s="5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8"/>
      <c r="D638" s="58"/>
      <c r="E638" s="58"/>
      <c r="F638" s="5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8"/>
      <c r="D639" s="58"/>
      <c r="E639" s="58"/>
      <c r="F639" s="5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8"/>
      <c r="D640" s="58"/>
      <c r="E640" s="58"/>
      <c r="F640" s="5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8"/>
      <c r="D641" s="58"/>
      <c r="E641" s="58"/>
      <c r="F641" s="5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8"/>
      <c r="D642" s="58"/>
      <c r="E642" s="58"/>
      <c r="F642" s="5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8"/>
      <c r="D643" s="58"/>
      <c r="E643" s="58"/>
      <c r="F643" s="5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8"/>
      <c r="D644" s="58"/>
      <c r="E644" s="58"/>
      <c r="F644" s="5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8"/>
      <c r="D645" s="58"/>
      <c r="E645" s="58"/>
      <c r="F645" s="5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8"/>
      <c r="D646" s="58"/>
      <c r="E646" s="58"/>
      <c r="F646" s="5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8"/>
      <c r="D647" s="58"/>
      <c r="E647" s="58"/>
      <c r="F647" s="5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8"/>
      <c r="D648" s="58"/>
      <c r="E648" s="58"/>
      <c r="F648" s="5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8"/>
      <c r="D649" s="58"/>
      <c r="E649" s="58"/>
      <c r="F649" s="5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8"/>
      <c r="D650" s="58"/>
      <c r="E650" s="58"/>
      <c r="F650" s="5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8"/>
      <c r="D651" s="58"/>
      <c r="E651" s="58"/>
      <c r="F651" s="5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8"/>
      <c r="D652" s="58"/>
      <c r="E652" s="58"/>
      <c r="F652" s="5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8"/>
      <c r="D653" s="58"/>
      <c r="E653" s="58"/>
      <c r="F653" s="5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8"/>
      <c r="D654" s="58"/>
      <c r="E654" s="58"/>
      <c r="F654" s="5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8"/>
      <c r="D655" s="58"/>
      <c r="E655" s="58"/>
      <c r="F655" s="5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8"/>
      <c r="D656" s="58"/>
      <c r="E656" s="58"/>
      <c r="F656" s="5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8"/>
      <c r="D657" s="58"/>
      <c r="E657" s="58"/>
      <c r="F657" s="5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8"/>
      <c r="D658" s="58"/>
      <c r="E658" s="58"/>
      <c r="F658" s="5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8"/>
      <c r="D659" s="58"/>
      <c r="E659" s="58"/>
      <c r="F659" s="5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8"/>
      <c r="D660" s="58"/>
      <c r="E660" s="58"/>
      <c r="F660" s="5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8"/>
      <c r="D661" s="58"/>
      <c r="E661" s="58"/>
      <c r="F661" s="5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8"/>
      <c r="D662" s="58"/>
      <c r="E662" s="58"/>
      <c r="F662" s="5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8"/>
      <c r="D663" s="58"/>
      <c r="E663" s="58"/>
      <c r="F663" s="5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8"/>
      <c r="D664" s="58"/>
      <c r="E664" s="58"/>
      <c r="F664" s="5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8"/>
      <c r="D665" s="58"/>
      <c r="E665" s="58"/>
      <c r="F665" s="5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8"/>
      <c r="D666" s="58"/>
      <c r="E666" s="58"/>
      <c r="F666" s="5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8"/>
      <c r="D667" s="58"/>
      <c r="E667" s="58"/>
      <c r="F667" s="5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8"/>
      <c r="D668" s="58"/>
      <c r="E668" s="58"/>
      <c r="F668" s="5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8"/>
      <c r="D669" s="58"/>
      <c r="E669" s="58"/>
      <c r="F669" s="5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8"/>
      <c r="D670" s="58"/>
      <c r="E670" s="58"/>
      <c r="F670" s="5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8"/>
      <c r="D671" s="58"/>
      <c r="E671" s="58"/>
      <c r="F671" s="5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8"/>
      <c r="D672" s="58"/>
      <c r="E672" s="58"/>
      <c r="F672" s="5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8"/>
      <c r="D673" s="58"/>
      <c r="E673" s="58"/>
      <c r="F673" s="5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8"/>
      <c r="D674" s="58"/>
      <c r="E674" s="58"/>
      <c r="F674" s="5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8"/>
      <c r="D675" s="58"/>
      <c r="E675" s="58"/>
      <c r="F675" s="5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8"/>
      <c r="D676" s="58"/>
      <c r="E676" s="58"/>
      <c r="F676" s="5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8"/>
      <c r="D677" s="58"/>
      <c r="E677" s="58"/>
      <c r="F677" s="5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8"/>
      <c r="D678" s="58"/>
      <c r="E678" s="58"/>
      <c r="F678" s="5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8"/>
      <c r="D679" s="58"/>
      <c r="E679" s="58"/>
      <c r="F679" s="5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8"/>
      <c r="D680" s="58"/>
      <c r="E680" s="58"/>
      <c r="F680" s="5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8"/>
      <c r="D681" s="58"/>
      <c r="E681" s="58"/>
      <c r="F681" s="5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8"/>
      <c r="D682" s="58"/>
      <c r="E682" s="58"/>
      <c r="F682" s="5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8"/>
      <c r="D683" s="58"/>
      <c r="E683" s="58"/>
      <c r="F683" s="5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8"/>
      <c r="D684" s="58"/>
      <c r="E684" s="58"/>
      <c r="F684" s="5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8"/>
      <c r="D685" s="58"/>
      <c r="E685" s="58"/>
      <c r="F685" s="5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8"/>
      <c r="D686" s="58"/>
      <c r="E686" s="58"/>
      <c r="F686" s="5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8"/>
      <c r="D687" s="58"/>
      <c r="E687" s="58"/>
      <c r="F687" s="5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8"/>
      <c r="D688" s="58"/>
      <c r="E688" s="58"/>
      <c r="F688" s="5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8"/>
      <c r="D689" s="58"/>
      <c r="E689" s="58"/>
      <c r="F689" s="5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8"/>
      <c r="D690" s="58"/>
      <c r="E690" s="58"/>
      <c r="F690" s="5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8"/>
      <c r="D691" s="58"/>
      <c r="E691" s="58"/>
      <c r="F691" s="5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8"/>
      <c r="D692" s="58"/>
      <c r="E692" s="58"/>
      <c r="F692" s="5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8"/>
      <c r="D693" s="58"/>
      <c r="E693" s="58"/>
      <c r="F693" s="5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8"/>
      <c r="D694" s="58"/>
      <c r="E694" s="58"/>
      <c r="F694" s="5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8"/>
      <c r="D695" s="58"/>
      <c r="E695" s="58"/>
      <c r="F695" s="5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8"/>
      <c r="D696" s="58"/>
      <c r="E696" s="58"/>
      <c r="F696" s="5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8"/>
      <c r="D697" s="58"/>
      <c r="E697" s="58"/>
      <c r="F697" s="5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8"/>
      <c r="D698" s="58"/>
      <c r="E698" s="58"/>
      <c r="F698" s="5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8"/>
      <c r="D699" s="58"/>
      <c r="E699" s="58"/>
      <c r="F699" s="5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8"/>
      <c r="D700" s="58"/>
      <c r="E700" s="58"/>
      <c r="F700" s="5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8"/>
      <c r="D701" s="58"/>
      <c r="E701" s="58"/>
      <c r="F701" s="5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8"/>
      <c r="D702" s="58"/>
      <c r="E702" s="58"/>
      <c r="F702" s="5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8"/>
      <c r="D703" s="58"/>
      <c r="E703" s="58"/>
      <c r="F703" s="5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8"/>
      <c r="D704" s="58"/>
      <c r="E704" s="58"/>
      <c r="F704" s="5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8"/>
      <c r="D705" s="58"/>
      <c r="E705" s="58"/>
      <c r="F705" s="5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8"/>
      <c r="D706" s="58"/>
      <c r="E706" s="58"/>
      <c r="F706" s="5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8"/>
      <c r="D707" s="58"/>
      <c r="E707" s="58"/>
      <c r="F707" s="5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8"/>
      <c r="D708" s="58"/>
      <c r="E708" s="58"/>
      <c r="F708" s="5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8"/>
      <c r="D709" s="58"/>
      <c r="E709" s="58"/>
      <c r="F709" s="5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8"/>
      <c r="D710" s="58"/>
      <c r="E710" s="58"/>
      <c r="F710" s="5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8"/>
      <c r="D711" s="58"/>
      <c r="E711" s="58"/>
      <c r="F711" s="5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8"/>
      <c r="D712" s="58"/>
      <c r="E712" s="58"/>
      <c r="F712" s="5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8"/>
      <c r="D713" s="58"/>
      <c r="E713" s="58"/>
      <c r="F713" s="5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8"/>
      <c r="D714" s="58"/>
      <c r="E714" s="58"/>
      <c r="F714" s="5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8"/>
      <c r="D715" s="58"/>
      <c r="E715" s="58"/>
      <c r="F715" s="5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8"/>
      <c r="D716" s="58"/>
      <c r="E716" s="58"/>
      <c r="F716" s="5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8"/>
      <c r="D717" s="58"/>
      <c r="E717" s="58"/>
      <c r="F717" s="5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8"/>
      <c r="D718" s="58"/>
      <c r="E718" s="58"/>
      <c r="F718" s="5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8"/>
      <c r="D719" s="58"/>
      <c r="E719" s="58"/>
      <c r="F719" s="5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8"/>
      <c r="D720" s="58"/>
      <c r="E720" s="58"/>
      <c r="F720" s="5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8"/>
      <c r="D721" s="58"/>
      <c r="E721" s="58"/>
      <c r="F721" s="5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8"/>
      <c r="D722" s="58"/>
      <c r="E722" s="58"/>
      <c r="F722" s="5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8"/>
      <c r="D723" s="58"/>
      <c r="E723" s="58"/>
      <c r="F723" s="5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8"/>
      <c r="D724" s="58"/>
      <c r="E724" s="58"/>
      <c r="F724" s="5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8"/>
      <c r="D725" s="58"/>
      <c r="E725" s="58"/>
      <c r="F725" s="5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8"/>
      <c r="D726" s="58"/>
      <c r="E726" s="58"/>
      <c r="F726" s="5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8"/>
      <c r="D727" s="58"/>
      <c r="E727" s="58"/>
      <c r="F727" s="5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8"/>
      <c r="D728" s="58"/>
      <c r="E728" s="58"/>
      <c r="F728" s="5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8"/>
      <c r="D729" s="58"/>
      <c r="E729" s="58"/>
      <c r="F729" s="5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8"/>
      <c r="D730" s="58"/>
      <c r="E730" s="58"/>
      <c r="F730" s="5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8"/>
      <c r="D731" s="58"/>
      <c r="E731" s="58"/>
      <c r="F731" s="5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8"/>
      <c r="D732" s="58"/>
      <c r="E732" s="58"/>
      <c r="F732" s="5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8"/>
      <c r="D733" s="58"/>
      <c r="E733" s="58"/>
      <c r="F733" s="5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8"/>
      <c r="D734" s="58"/>
      <c r="E734" s="58"/>
      <c r="F734" s="5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8"/>
      <c r="D735" s="58"/>
      <c r="E735" s="58"/>
      <c r="F735" s="5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8"/>
      <c r="D736" s="58"/>
      <c r="E736" s="58"/>
      <c r="F736" s="5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8"/>
      <c r="D737" s="58"/>
      <c r="E737" s="58"/>
      <c r="F737" s="5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8"/>
      <c r="D738" s="58"/>
      <c r="E738" s="58"/>
      <c r="F738" s="5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8"/>
      <c r="D739" s="58"/>
      <c r="E739" s="58"/>
      <c r="F739" s="5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8"/>
      <c r="D740" s="58"/>
      <c r="E740" s="58"/>
      <c r="F740" s="5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8"/>
      <c r="D741" s="58"/>
      <c r="E741" s="58"/>
      <c r="F741" s="5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8"/>
      <c r="D742" s="58"/>
      <c r="E742" s="58"/>
      <c r="F742" s="5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8"/>
      <c r="D743" s="58"/>
      <c r="E743" s="58"/>
      <c r="F743" s="5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8"/>
      <c r="D744" s="58"/>
      <c r="E744" s="58"/>
      <c r="F744" s="5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8"/>
      <c r="D745" s="58"/>
      <c r="E745" s="58"/>
      <c r="F745" s="5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8"/>
      <c r="D746" s="58"/>
      <c r="E746" s="58"/>
      <c r="F746" s="5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8"/>
      <c r="D747" s="58"/>
      <c r="E747" s="58"/>
      <c r="F747" s="5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8"/>
      <c r="D748" s="58"/>
      <c r="E748" s="58"/>
      <c r="F748" s="5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8"/>
      <c r="D749" s="58"/>
      <c r="E749" s="58"/>
      <c r="F749" s="5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8"/>
      <c r="D750" s="58"/>
      <c r="E750" s="58"/>
      <c r="F750" s="5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8"/>
      <c r="D751" s="58"/>
      <c r="E751" s="58"/>
      <c r="F751" s="5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8"/>
      <c r="D752" s="58"/>
      <c r="E752" s="58"/>
      <c r="F752" s="5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8"/>
      <c r="D753" s="58"/>
      <c r="E753" s="58"/>
      <c r="F753" s="5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8"/>
      <c r="D754" s="58"/>
      <c r="E754" s="58"/>
      <c r="F754" s="5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8"/>
      <c r="D755" s="58"/>
      <c r="E755" s="58"/>
      <c r="F755" s="5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8"/>
      <c r="D756" s="58"/>
      <c r="E756" s="58"/>
      <c r="F756" s="5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8"/>
      <c r="D757" s="58"/>
      <c r="E757" s="58"/>
      <c r="F757" s="5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8"/>
      <c r="D758" s="58"/>
      <c r="E758" s="58"/>
      <c r="F758" s="5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8"/>
      <c r="D759" s="58"/>
      <c r="E759" s="58"/>
      <c r="F759" s="5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8"/>
      <c r="D760" s="58"/>
      <c r="E760" s="58"/>
      <c r="F760" s="5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8"/>
      <c r="D761" s="58"/>
      <c r="E761" s="58"/>
      <c r="F761" s="5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8"/>
      <c r="D762" s="58"/>
      <c r="E762" s="58"/>
      <c r="F762" s="5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8"/>
      <c r="D763" s="58"/>
      <c r="E763" s="58"/>
      <c r="F763" s="5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8"/>
      <c r="D764" s="58"/>
      <c r="E764" s="58"/>
      <c r="F764" s="5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8"/>
      <c r="D765" s="58"/>
      <c r="E765" s="58"/>
      <c r="F765" s="5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8"/>
      <c r="D766" s="58"/>
      <c r="E766" s="58"/>
      <c r="F766" s="5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8"/>
      <c r="D767" s="58"/>
      <c r="E767" s="58"/>
      <c r="F767" s="5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8"/>
      <c r="D768" s="58"/>
      <c r="E768" s="58"/>
      <c r="F768" s="5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8"/>
      <c r="D769" s="58"/>
      <c r="E769" s="58"/>
      <c r="F769" s="5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8"/>
      <c r="D770" s="58"/>
      <c r="E770" s="58"/>
      <c r="F770" s="5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8"/>
      <c r="D771" s="58"/>
      <c r="E771" s="58"/>
      <c r="F771" s="5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8"/>
      <c r="D772" s="58"/>
      <c r="E772" s="58"/>
      <c r="F772" s="5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8"/>
      <c r="D773" s="58"/>
      <c r="E773" s="58"/>
      <c r="F773" s="5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8"/>
      <c r="D774" s="58"/>
      <c r="E774" s="58"/>
      <c r="F774" s="5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8"/>
      <c r="D775" s="58"/>
      <c r="E775" s="58"/>
      <c r="F775" s="5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8"/>
      <c r="D776" s="58"/>
      <c r="E776" s="58"/>
      <c r="F776" s="5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8"/>
      <c r="D777" s="58"/>
      <c r="E777" s="58"/>
      <c r="F777" s="5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8"/>
      <c r="D778" s="58"/>
      <c r="E778" s="58"/>
      <c r="F778" s="5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8"/>
      <c r="D779" s="58"/>
      <c r="E779" s="58"/>
      <c r="F779" s="5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8"/>
      <c r="D780" s="58"/>
      <c r="E780" s="58"/>
      <c r="F780" s="5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8"/>
      <c r="D781" s="58"/>
      <c r="E781" s="58"/>
      <c r="F781" s="5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8"/>
      <c r="D782" s="58"/>
      <c r="E782" s="58"/>
      <c r="F782" s="5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8"/>
      <c r="D783" s="58"/>
      <c r="E783" s="58"/>
      <c r="F783" s="5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8"/>
      <c r="D784" s="58"/>
      <c r="E784" s="58"/>
      <c r="F784" s="5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8"/>
      <c r="D785" s="58"/>
      <c r="E785" s="58"/>
      <c r="F785" s="5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8"/>
      <c r="D786" s="58"/>
      <c r="E786" s="58"/>
      <c r="F786" s="5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8"/>
      <c r="D787" s="58"/>
      <c r="E787" s="58"/>
      <c r="F787" s="5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8"/>
      <c r="D788" s="58"/>
      <c r="E788" s="58"/>
      <c r="F788" s="5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8"/>
      <c r="D789" s="58"/>
      <c r="E789" s="58"/>
      <c r="F789" s="5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8"/>
      <c r="D790" s="58"/>
      <c r="E790" s="58"/>
      <c r="F790" s="5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8"/>
      <c r="D791" s="58"/>
      <c r="E791" s="58"/>
      <c r="F791" s="5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8"/>
      <c r="D792" s="58"/>
      <c r="E792" s="58"/>
      <c r="F792" s="5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8"/>
      <c r="D793" s="58"/>
      <c r="E793" s="58"/>
      <c r="F793" s="5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8"/>
      <c r="D794" s="58"/>
      <c r="E794" s="58"/>
      <c r="F794" s="5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8"/>
      <c r="D795" s="58"/>
      <c r="E795" s="58"/>
      <c r="F795" s="5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8"/>
      <c r="D796" s="58"/>
      <c r="E796" s="58"/>
      <c r="F796" s="5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8"/>
      <c r="D797" s="58"/>
      <c r="E797" s="58"/>
      <c r="F797" s="5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8"/>
      <c r="D798" s="58"/>
      <c r="E798" s="58"/>
      <c r="F798" s="5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8"/>
      <c r="D799" s="58"/>
      <c r="E799" s="58"/>
      <c r="F799" s="5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8"/>
      <c r="D800" s="58"/>
      <c r="E800" s="58"/>
      <c r="F800" s="5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8"/>
      <c r="D801" s="58"/>
      <c r="E801" s="58"/>
      <c r="F801" s="5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8"/>
      <c r="D802" s="58"/>
      <c r="E802" s="58"/>
      <c r="F802" s="5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8"/>
      <c r="D803" s="58"/>
      <c r="E803" s="58"/>
      <c r="F803" s="5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8"/>
      <c r="D804" s="58"/>
      <c r="E804" s="58"/>
      <c r="F804" s="5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8"/>
      <c r="D805" s="58"/>
      <c r="E805" s="58"/>
      <c r="F805" s="5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8"/>
      <c r="D806" s="58"/>
      <c r="E806" s="58"/>
      <c r="F806" s="5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8"/>
      <c r="D807" s="58"/>
      <c r="E807" s="58"/>
      <c r="F807" s="5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8"/>
      <c r="D808" s="58"/>
      <c r="E808" s="58"/>
      <c r="F808" s="5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8"/>
      <c r="D809" s="58"/>
      <c r="E809" s="58"/>
      <c r="F809" s="5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8"/>
      <c r="D810" s="58"/>
      <c r="E810" s="58"/>
      <c r="F810" s="5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8"/>
      <c r="D811" s="58"/>
      <c r="E811" s="58"/>
      <c r="F811" s="5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8"/>
      <c r="D812" s="58"/>
      <c r="E812" s="58"/>
      <c r="F812" s="5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8"/>
      <c r="D813" s="58"/>
      <c r="E813" s="58"/>
      <c r="F813" s="5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8"/>
      <c r="D814" s="58"/>
      <c r="E814" s="58"/>
      <c r="F814" s="5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8"/>
      <c r="D815" s="58"/>
      <c r="E815" s="58"/>
      <c r="F815" s="5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8"/>
      <c r="D816" s="58"/>
      <c r="E816" s="58"/>
      <c r="F816" s="5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8"/>
      <c r="D817" s="58"/>
      <c r="E817" s="58"/>
      <c r="F817" s="5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8"/>
      <c r="D818" s="58"/>
      <c r="E818" s="58"/>
      <c r="F818" s="5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8"/>
      <c r="D819" s="58"/>
      <c r="E819" s="58"/>
      <c r="F819" s="5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8"/>
      <c r="D820" s="58"/>
      <c r="E820" s="58"/>
      <c r="F820" s="5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8"/>
      <c r="D821" s="58"/>
      <c r="E821" s="58"/>
      <c r="F821" s="5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8"/>
      <c r="D822" s="58"/>
      <c r="E822" s="58"/>
      <c r="F822" s="5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8"/>
      <c r="D823" s="58"/>
      <c r="E823" s="58"/>
      <c r="F823" s="5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8"/>
      <c r="D824" s="58"/>
      <c r="E824" s="58"/>
      <c r="F824" s="5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8"/>
      <c r="D825" s="58"/>
      <c r="E825" s="58"/>
      <c r="F825" s="5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8"/>
      <c r="D826" s="58"/>
      <c r="E826" s="58"/>
      <c r="F826" s="5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8"/>
      <c r="D827" s="58"/>
      <c r="E827" s="58"/>
      <c r="F827" s="5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8"/>
      <c r="D828" s="58"/>
      <c r="E828" s="58"/>
      <c r="F828" s="5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8"/>
      <c r="D829" s="58"/>
      <c r="E829" s="58"/>
      <c r="F829" s="5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8"/>
      <c r="D830" s="58"/>
      <c r="E830" s="58"/>
      <c r="F830" s="5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8"/>
      <c r="D831" s="58"/>
      <c r="E831" s="58"/>
      <c r="F831" s="5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8"/>
      <c r="D832" s="58"/>
      <c r="E832" s="58"/>
      <c r="F832" s="5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8"/>
      <c r="D833" s="58"/>
      <c r="E833" s="58"/>
      <c r="F833" s="5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8"/>
      <c r="D834" s="58"/>
      <c r="E834" s="58"/>
      <c r="F834" s="5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8"/>
      <c r="D835" s="58"/>
      <c r="E835" s="58"/>
      <c r="F835" s="5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8"/>
      <c r="D836" s="58"/>
      <c r="E836" s="58"/>
      <c r="F836" s="5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8"/>
      <c r="D837" s="58"/>
      <c r="E837" s="58"/>
      <c r="F837" s="5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8"/>
      <c r="D838" s="58"/>
      <c r="E838" s="58"/>
      <c r="F838" s="5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8"/>
      <c r="D839" s="58"/>
      <c r="E839" s="58"/>
      <c r="F839" s="5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8"/>
      <c r="D840" s="58"/>
      <c r="E840" s="58"/>
      <c r="F840" s="5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8"/>
      <c r="D841" s="58"/>
      <c r="E841" s="58"/>
      <c r="F841" s="5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8"/>
      <c r="D842" s="58"/>
      <c r="E842" s="58"/>
      <c r="F842" s="5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8"/>
      <c r="D843" s="58"/>
      <c r="E843" s="58"/>
      <c r="F843" s="5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8"/>
      <c r="D844" s="58"/>
      <c r="E844" s="58"/>
      <c r="F844" s="5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8"/>
      <c r="D845" s="58"/>
      <c r="E845" s="58"/>
      <c r="F845" s="5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8"/>
      <c r="D846" s="58"/>
      <c r="E846" s="58"/>
      <c r="F846" s="5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8"/>
      <c r="D847" s="58"/>
      <c r="E847" s="58"/>
      <c r="F847" s="5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8"/>
      <c r="D848" s="58"/>
      <c r="E848" s="58"/>
      <c r="F848" s="5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8"/>
      <c r="D849" s="58"/>
      <c r="E849" s="58"/>
      <c r="F849" s="5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8"/>
      <c r="D850" s="58"/>
      <c r="E850" s="58"/>
      <c r="F850" s="5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8"/>
      <c r="D851" s="58"/>
      <c r="E851" s="58"/>
      <c r="F851" s="5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8"/>
      <c r="D852" s="58"/>
      <c r="E852" s="58"/>
      <c r="F852" s="5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8"/>
      <c r="D853" s="58"/>
      <c r="E853" s="58"/>
      <c r="F853" s="5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8"/>
      <c r="D854" s="58"/>
      <c r="E854" s="58"/>
      <c r="F854" s="5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8"/>
      <c r="D855" s="58"/>
      <c r="E855" s="58"/>
      <c r="F855" s="5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8"/>
      <c r="D856" s="58"/>
      <c r="E856" s="58"/>
      <c r="F856" s="5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8"/>
      <c r="D857" s="58"/>
      <c r="E857" s="58"/>
      <c r="F857" s="5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8"/>
      <c r="D858" s="58"/>
      <c r="E858" s="58"/>
      <c r="F858" s="5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8"/>
      <c r="D859" s="58"/>
      <c r="E859" s="58"/>
      <c r="F859" s="5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8"/>
      <c r="D860" s="58"/>
      <c r="E860" s="58"/>
      <c r="F860" s="5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8"/>
      <c r="D861" s="58"/>
      <c r="E861" s="58"/>
      <c r="F861" s="5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8"/>
      <c r="D862" s="58"/>
      <c r="E862" s="58"/>
      <c r="F862" s="5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8"/>
      <c r="D863" s="58"/>
      <c r="E863" s="58"/>
      <c r="F863" s="5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8"/>
      <c r="D864" s="58"/>
      <c r="E864" s="58"/>
      <c r="F864" s="5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8"/>
      <c r="D865" s="58"/>
      <c r="E865" s="58"/>
      <c r="F865" s="5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8"/>
      <c r="D866" s="58"/>
      <c r="E866" s="58"/>
      <c r="F866" s="5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8"/>
      <c r="D867" s="58"/>
      <c r="E867" s="58"/>
      <c r="F867" s="5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8"/>
      <c r="D868" s="58"/>
      <c r="E868" s="58"/>
      <c r="F868" s="5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8"/>
      <c r="D869" s="58"/>
      <c r="E869" s="58"/>
      <c r="F869" s="5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8"/>
      <c r="D870" s="58"/>
      <c r="E870" s="58"/>
      <c r="F870" s="5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8"/>
      <c r="D871" s="58"/>
      <c r="E871" s="58"/>
      <c r="F871" s="5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8"/>
      <c r="D872" s="58"/>
      <c r="E872" s="58"/>
      <c r="F872" s="5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8"/>
      <c r="D873" s="58"/>
      <c r="E873" s="58"/>
      <c r="F873" s="5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8"/>
      <c r="D874" s="58"/>
      <c r="E874" s="58"/>
      <c r="F874" s="5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8"/>
      <c r="D875" s="58"/>
      <c r="E875" s="58"/>
      <c r="F875" s="5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8"/>
      <c r="D876" s="58"/>
      <c r="E876" s="58"/>
      <c r="F876" s="5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8"/>
      <c r="D877" s="58"/>
      <c r="E877" s="58"/>
      <c r="F877" s="5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8"/>
      <c r="D878" s="58"/>
      <c r="E878" s="58"/>
      <c r="F878" s="5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8"/>
      <c r="D879" s="58"/>
      <c r="E879" s="58"/>
      <c r="F879" s="5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8"/>
      <c r="D880" s="58"/>
      <c r="E880" s="58"/>
      <c r="F880" s="5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8"/>
      <c r="D881" s="58"/>
      <c r="E881" s="58"/>
      <c r="F881" s="5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8"/>
      <c r="D882" s="58"/>
      <c r="E882" s="58"/>
      <c r="F882" s="5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8"/>
      <c r="D883" s="58"/>
      <c r="E883" s="58"/>
      <c r="F883" s="5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8"/>
      <c r="D884" s="58"/>
      <c r="E884" s="58"/>
      <c r="F884" s="5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8"/>
      <c r="D885" s="58"/>
      <c r="E885" s="58"/>
      <c r="F885" s="5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8"/>
      <c r="D886" s="58"/>
      <c r="E886" s="58"/>
      <c r="F886" s="5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8"/>
      <c r="D887" s="58"/>
      <c r="E887" s="58"/>
      <c r="F887" s="5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8"/>
      <c r="D888" s="58"/>
      <c r="E888" s="58"/>
      <c r="F888" s="5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8"/>
      <c r="D889" s="58"/>
      <c r="E889" s="58"/>
      <c r="F889" s="5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8"/>
      <c r="D890" s="58"/>
      <c r="E890" s="58"/>
      <c r="F890" s="5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8"/>
      <c r="D891" s="58"/>
      <c r="E891" s="58"/>
      <c r="F891" s="5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8"/>
      <c r="D892" s="58"/>
      <c r="E892" s="58"/>
      <c r="F892" s="5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8"/>
      <c r="D893" s="58"/>
      <c r="E893" s="58"/>
      <c r="F893" s="5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8"/>
      <c r="D894" s="58"/>
      <c r="E894" s="58"/>
      <c r="F894" s="5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8"/>
      <c r="D895" s="58"/>
      <c r="E895" s="58"/>
      <c r="F895" s="5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8"/>
      <c r="D896" s="58"/>
      <c r="E896" s="58"/>
      <c r="F896" s="5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8"/>
      <c r="D897" s="58"/>
      <c r="E897" s="58"/>
      <c r="F897" s="5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8"/>
      <c r="D898" s="58"/>
      <c r="E898" s="58"/>
      <c r="F898" s="5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8"/>
      <c r="D899" s="58"/>
      <c r="E899" s="58"/>
      <c r="F899" s="5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8"/>
      <c r="D900" s="58"/>
      <c r="E900" s="58"/>
      <c r="F900" s="5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8"/>
      <c r="D901" s="58"/>
      <c r="E901" s="58"/>
      <c r="F901" s="5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8"/>
      <c r="D902" s="58"/>
      <c r="E902" s="58"/>
      <c r="F902" s="5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8"/>
      <c r="D903" s="58"/>
      <c r="E903" s="58"/>
      <c r="F903" s="5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8"/>
      <c r="D904" s="58"/>
      <c r="E904" s="58"/>
      <c r="F904" s="5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8"/>
      <c r="D905" s="58"/>
      <c r="E905" s="58"/>
      <c r="F905" s="5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8"/>
      <c r="D906" s="58"/>
      <c r="E906" s="58"/>
      <c r="F906" s="5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8"/>
      <c r="D907" s="58"/>
      <c r="E907" s="58"/>
      <c r="F907" s="5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8"/>
      <c r="D908" s="58"/>
      <c r="E908" s="58"/>
      <c r="F908" s="5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8"/>
      <c r="D909" s="58"/>
      <c r="E909" s="58"/>
      <c r="F909" s="5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8"/>
      <c r="D910" s="58"/>
      <c r="E910" s="58"/>
      <c r="F910" s="5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8"/>
      <c r="D911" s="58"/>
      <c r="E911" s="58"/>
      <c r="F911" s="5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8"/>
      <c r="D912" s="58"/>
      <c r="E912" s="58"/>
      <c r="F912" s="5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8"/>
      <c r="D913" s="58"/>
      <c r="E913" s="58"/>
      <c r="F913" s="5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8"/>
      <c r="D914" s="58"/>
      <c r="E914" s="58"/>
      <c r="F914" s="5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8"/>
      <c r="D915" s="58"/>
      <c r="E915" s="58"/>
      <c r="F915" s="5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8"/>
      <c r="D916" s="58"/>
      <c r="E916" s="58"/>
      <c r="F916" s="5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8"/>
      <c r="D917" s="58"/>
      <c r="E917" s="58"/>
      <c r="F917" s="5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8"/>
      <c r="D918" s="58"/>
      <c r="E918" s="58"/>
      <c r="F918" s="5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8"/>
      <c r="D919" s="58"/>
      <c r="E919" s="58"/>
      <c r="F919" s="5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8"/>
      <c r="D920" s="58"/>
      <c r="E920" s="58"/>
      <c r="F920" s="5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8"/>
      <c r="D921" s="58"/>
      <c r="E921" s="58"/>
      <c r="F921" s="5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8"/>
      <c r="D922" s="58"/>
      <c r="E922" s="58"/>
      <c r="F922" s="5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8"/>
      <c r="D923" s="58"/>
      <c r="E923" s="58"/>
      <c r="F923" s="5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8"/>
      <c r="D924" s="58"/>
      <c r="E924" s="58"/>
      <c r="F924" s="5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8"/>
      <c r="D925" s="58"/>
      <c r="E925" s="58"/>
      <c r="F925" s="5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8"/>
      <c r="D926" s="58"/>
      <c r="E926" s="58"/>
      <c r="F926" s="5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8"/>
      <c r="D927" s="58"/>
      <c r="E927" s="58"/>
      <c r="F927" s="5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8"/>
      <c r="D928" s="58"/>
      <c r="E928" s="58"/>
      <c r="F928" s="5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8"/>
      <c r="D929" s="58"/>
      <c r="E929" s="58"/>
      <c r="F929" s="5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8"/>
      <c r="D930" s="58"/>
      <c r="E930" s="58"/>
      <c r="F930" s="5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8"/>
      <c r="D931" s="58"/>
      <c r="E931" s="58"/>
      <c r="F931" s="5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8"/>
      <c r="D932" s="58"/>
      <c r="E932" s="58"/>
      <c r="F932" s="5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8"/>
      <c r="D933" s="58"/>
      <c r="E933" s="58"/>
      <c r="F933" s="5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8"/>
      <c r="D934" s="58"/>
      <c r="E934" s="58"/>
      <c r="F934" s="5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8"/>
      <c r="D935" s="58"/>
      <c r="E935" s="58"/>
      <c r="F935" s="5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8"/>
      <c r="D936" s="58"/>
      <c r="E936" s="58"/>
      <c r="F936" s="5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8"/>
      <c r="D937" s="58"/>
      <c r="E937" s="58"/>
      <c r="F937" s="5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8"/>
      <c r="D938" s="58"/>
      <c r="E938" s="58"/>
      <c r="F938" s="5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8"/>
      <c r="D939" s="58"/>
      <c r="E939" s="58"/>
      <c r="F939" s="5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8"/>
      <c r="D940" s="58"/>
      <c r="E940" s="58"/>
      <c r="F940" s="5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8"/>
      <c r="D941" s="58"/>
      <c r="E941" s="58"/>
      <c r="F941" s="5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8"/>
      <c r="D942" s="58"/>
      <c r="E942" s="58"/>
      <c r="F942" s="5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8"/>
      <c r="D943" s="58"/>
      <c r="E943" s="58"/>
      <c r="F943" s="5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8"/>
      <c r="D944" s="58"/>
      <c r="E944" s="58"/>
      <c r="F944" s="5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8"/>
      <c r="D945" s="58"/>
      <c r="E945" s="58"/>
      <c r="F945" s="5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8"/>
      <c r="D946" s="58"/>
      <c r="E946" s="58"/>
      <c r="F946" s="5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8"/>
      <c r="D947" s="58"/>
      <c r="E947" s="58"/>
      <c r="F947" s="5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8"/>
      <c r="D948" s="58"/>
      <c r="E948" s="58"/>
      <c r="F948" s="5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8"/>
      <c r="D949" s="58"/>
      <c r="E949" s="58"/>
      <c r="F949" s="5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8"/>
      <c r="D950" s="58"/>
      <c r="E950" s="58"/>
      <c r="F950" s="5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8"/>
      <c r="D951" s="58"/>
      <c r="E951" s="58"/>
      <c r="F951" s="5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8"/>
      <c r="D952" s="58"/>
      <c r="E952" s="58"/>
      <c r="F952" s="5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8"/>
      <c r="D953" s="58"/>
      <c r="E953" s="58"/>
      <c r="F953" s="5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8"/>
      <c r="D954" s="58"/>
      <c r="E954" s="58"/>
      <c r="F954" s="5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8"/>
      <c r="D955" s="58"/>
      <c r="E955" s="58"/>
      <c r="F955" s="5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8"/>
      <c r="D956" s="58"/>
      <c r="E956" s="58"/>
      <c r="F956" s="5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8"/>
      <c r="D957" s="58"/>
      <c r="E957" s="58"/>
      <c r="F957" s="5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8"/>
      <c r="D958" s="58"/>
      <c r="E958" s="58"/>
      <c r="F958" s="5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8"/>
      <c r="D959" s="58"/>
      <c r="E959" s="58"/>
      <c r="F959" s="5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8"/>
      <c r="D960" s="58"/>
      <c r="E960" s="58"/>
      <c r="F960" s="5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8"/>
      <c r="D961" s="58"/>
      <c r="E961" s="58"/>
      <c r="F961" s="5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8"/>
      <c r="D962" s="58"/>
      <c r="E962" s="58"/>
      <c r="F962" s="5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8"/>
      <c r="D963" s="58"/>
      <c r="E963" s="58"/>
      <c r="F963" s="5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8"/>
      <c r="D964" s="58"/>
      <c r="E964" s="58"/>
      <c r="F964" s="5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8"/>
      <c r="D965" s="58"/>
      <c r="E965" s="58"/>
      <c r="F965" s="5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8"/>
      <c r="D966" s="58"/>
      <c r="E966" s="58"/>
      <c r="F966" s="5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8"/>
      <c r="D967" s="58"/>
      <c r="E967" s="58"/>
      <c r="F967" s="5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8"/>
      <c r="D968" s="58"/>
      <c r="E968" s="58"/>
      <c r="F968" s="5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8"/>
      <c r="D969" s="58"/>
      <c r="E969" s="58"/>
      <c r="F969" s="5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8"/>
      <c r="D970" s="58"/>
      <c r="E970" s="58"/>
      <c r="F970" s="5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8"/>
      <c r="D971" s="58"/>
      <c r="E971" s="58"/>
      <c r="F971" s="5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8"/>
      <c r="D972" s="58"/>
      <c r="E972" s="58"/>
      <c r="F972" s="5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8"/>
      <c r="D973" s="58"/>
      <c r="E973" s="58"/>
      <c r="F973" s="5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8"/>
      <c r="D974" s="58"/>
      <c r="E974" s="58"/>
      <c r="F974" s="5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8"/>
      <c r="D975" s="58"/>
      <c r="E975" s="58"/>
      <c r="F975" s="5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8"/>
      <c r="D976" s="58"/>
      <c r="E976" s="58"/>
      <c r="F976" s="5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8"/>
      <c r="D977" s="58"/>
      <c r="E977" s="58"/>
      <c r="F977" s="5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8"/>
      <c r="D978" s="58"/>
      <c r="E978" s="58"/>
      <c r="F978" s="5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8"/>
      <c r="D979" s="58"/>
      <c r="E979" s="58"/>
      <c r="F979" s="5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8"/>
      <c r="D980" s="58"/>
      <c r="E980" s="58"/>
      <c r="F980" s="5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8"/>
      <c r="D981" s="58"/>
      <c r="E981" s="58"/>
      <c r="F981" s="5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8"/>
      <c r="D982" s="58"/>
      <c r="E982" s="58"/>
      <c r="F982" s="5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8"/>
      <c r="D983" s="58"/>
      <c r="E983" s="58"/>
      <c r="F983" s="5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8"/>
      <c r="D984" s="58"/>
      <c r="E984" s="58"/>
      <c r="F984" s="5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8"/>
      <c r="D985" s="58"/>
      <c r="E985" s="58"/>
      <c r="F985" s="5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8"/>
      <c r="D986" s="58"/>
      <c r="E986" s="58"/>
      <c r="F986" s="5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8"/>
      <c r="D987" s="58"/>
      <c r="E987" s="58"/>
      <c r="F987" s="5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8"/>
      <c r="D988" s="58"/>
      <c r="E988" s="58"/>
      <c r="F988" s="5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8"/>
      <c r="D989" s="58"/>
      <c r="E989" s="58"/>
      <c r="F989" s="5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8"/>
      <c r="D990" s="58"/>
      <c r="E990" s="58"/>
      <c r="F990" s="5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8"/>
      <c r="D991" s="58"/>
      <c r="E991" s="58"/>
      <c r="F991" s="5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8"/>
      <c r="D992" s="58"/>
      <c r="E992" s="58"/>
      <c r="F992" s="5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8"/>
      <c r="D993" s="58"/>
      <c r="E993" s="58"/>
      <c r="F993" s="5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8"/>
      <c r="D994" s="58"/>
      <c r="E994" s="58"/>
      <c r="F994" s="5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8"/>
      <c r="D995" s="58"/>
      <c r="E995" s="58"/>
      <c r="F995" s="5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8"/>
      <c r="D996" s="58"/>
      <c r="E996" s="58"/>
      <c r="F996" s="5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8"/>
      <c r="D997" s="58"/>
      <c r="E997" s="58"/>
      <c r="F997" s="5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</sheetData>
  <autoFilter ref="A3:O12" xr:uid="{00000000-0009-0000-0000-000005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4">
    <dataValidation type="list" allowBlank="1" showErrorMessage="1" sqref="E4:E10" xr:uid="{00000000-0002-0000-0500-000001000000}">
      <formula1>$O$2:$O$10</formula1>
    </dataValidation>
    <dataValidation type="list" allowBlank="1" showErrorMessage="1" sqref="E1:E3 E11:E997" xr:uid="{00000000-0002-0000-0500-000002000000}">
      <formula1>$O$4:$O$8</formula1>
    </dataValidation>
    <dataValidation type="list" allowBlank="1" showErrorMessage="1" sqref="F1:F997" xr:uid="{00000000-0002-0000-0500-000000000000}">
      <formula1>$N$4:$N$5</formula1>
    </dataValidation>
    <dataValidation type="list" allowBlank="1" showErrorMessage="1" sqref="J1:J997" xr:uid="{00000000-0002-0000-0500-000003000000}">
      <formula1>$M:$M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909"/>
  <sheetViews>
    <sheetView workbookViewId="0">
      <pane xSplit="4" ySplit="3" topLeftCell="E6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I4" sqref="I4:I55"/>
    </sheetView>
  </sheetViews>
  <sheetFormatPr defaultColWidth="14.44140625" defaultRowHeight="15" customHeight="1" x14ac:dyDescent="0.3"/>
  <cols>
    <col min="1" max="1" width="13.554687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4.5546875" customWidth="1"/>
    <col min="7" max="8" width="12.109375" customWidth="1"/>
    <col min="9" max="9" width="15.6640625" customWidth="1"/>
    <col min="10" max="10" width="31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57" t="s">
        <v>181</v>
      </c>
      <c r="B1" s="18"/>
      <c r="C1" s="58"/>
      <c r="D1" s="68"/>
      <c r="E1" s="58"/>
      <c r="F1" s="58"/>
      <c r="G1" s="18"/>
      <c r="H1" s="59" t="s">
        <v>40</v>
      </c>
      <c r="I1" s="60">
        <f>SUBTOTAL(9,I4:I55)</f>
        <v>6495</v>
      </c>
      <c r="J1" s="61" t="s">
        <v>57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30" t="s">
        <v>59</v>
      </c>
      <c r="B2" s="130" t="s">
        <v>104</v>
      </c>
      <c r="C2" s="130" t="s">
        <v>105</v>
      </c>
      <c r="D2" s="130" t="s">
        <v>106</v>
      </c>
      <c r="E2" s="130" t="s">
        <v>107</v>
      </c>
      <c r="F2" s="130" t="s">
        <v>108</v>
      </c>
      <c r="G2" s="132" t="s">
        <v>109</v>
      </c>
      <c r="H2" s="108"/>
      <c r="I2" s="130" t="s">
        <v>110</v>
      </c>
      <c r="J2" s="130" t="s">
        <v>111</v>
      </c>
      <c r="K2" s="124" t="s">
        <v>4</v>
      </c>
      <c r="L2" s="33"/>
      <c r="M2" s="65" t="s">
        <v>112</v>
      </c>
      <c r="N2" s="65" t="s">
        <v>113</v>
      </c>
      <c r="O2" s="65" t="s">
        <v>114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31"/>
      <c r="B3" s="131"/>
      <c r="C3" s="131"/>
      <c r="D3" s="131"/>
      <c r="E3" s="131"/>
      <c r="F3" s="131"/>
      <c r="G3" s="79" t="s">
        <v>115</v>
      </c>
      <c r="H3" s="79" t="s">
        <v>116</v>
      </c>
      <c r="I3" s="131"/>
      <c r="J3" s="131"/>
      <c r="K3" s="125"/>
      <c r="L3" s="33"/>
      <c r="M3" s="80"/>
      <c r="N3" s="80"/>
      <c r="O3" s="80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3">
      <c r="A4" s="18">
        <v>1</v>
      </c>
      <c r="B4" s="74">
        <v>244024</v>
      </c>
      <c r="C4" s="58" t="s">
        <v>182</v>
      </c>
      <c r="D4" s="81">
        <v>764232822673</v>
      </c>
      <c r="E4" s="69" t="s">
        <v>183</v>
      </c>
      <c r="F4" s="69" t="s">
        <v>184</v>
      </c>
      <c r="G4" s="18"/>
      <c r="H4" s="18"/>
      <c r="I4" s="17">
        <v>100</v>
      </c>
      <c r="J4" s="18" t="s">
        <v>45</v>
      </c>
      <c r="K4" s="18"/>
      <c r="L4" s="18"/>
      <c r="M4" s="71" t="s">
        <v>45</v>
      </c>
      <c r="N4" s="71" t="s">
        <v>184</v>
      </c>
      <c r="O4" s="72" t="s">
        <v>119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18">
        <v>2</v>
      </c>
      <c r="B5" s="74">
        <v>244024</v>
      </c>
      <c r="C5" s="69" t="s">
        <v>185</v>
      </c>
      <c r="D5" s="81">
        <v>764245955701</v>
      </c>
      <c r="E5" s="69" t="s">
        <v>183</v>
      </c>
      <c r="F5" s="69" t="s">
        <v>184</v>
      </c>
      <c r="G5" s="18"/>
      <c r="H5" s="18"/>
      <c r="I5" s="17">
        <v>100</v>
      </c>
      <c r="J5" s="18" t="s">
        <v>45</v>
      </c>
      <c r="K5" s="18"/>
      <c r="L5" s="18"/>
      <c r="M5" s="71" t="s">
        <v>46</v>
      </c>
      <c r="N5" s="71" t="s">
        <v>186</v>
      </c>
      <c r="O5" s="73" t="s">
        <v>128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18">
        <v>3</v>
      </c>
      <c r="B6" s="74">
        <v>244024</v>
      </c>
      <c r="C6" s="69" t="s">
        <v>187</v>
      </c>
      <c r="D6" s="81">
        <v>764127288993</v>
      </c>
      <c r="E6" s="69" t="s">
        <v>183</v>
      </c>
      <c r="F6" s="69" t="s">
        <v>184</v>
      </c>
      <c r="G6" s="18"/>
      <c r="H6" s="18"/>
      <c r="I6" s="17">
        <v>100</v>
      </c>
      <c r="J6" s="18" t="s">
        <v>46</v>
      </c>
      <c r="K6" s="18"/>
      <c r="L6" s="18"/>
      <c r="M6" s="71" t="s">
        <v>47</v>
      </c>
      <c r="N6" s="71" t="s">
        <v>188</v>
      </c>
      <c r="O6" s="72" t="s">
        <v>133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18">
        <v>4</v>
      </c>
      <c r="B7" s="74">
        <v>244024</v>
      </c>
      <c r="C7" s="69" t="s">
        <v>189</v>
      </c>
      <c r="D7" s="81">
        <v>764253683981</v>
      </c>
      <c r="E7" s="69" t="s">
        <v>183</v>
      </c>
      <c r="F7" s="69" t="s">
        <v>184</v>
      </c>
      <c r="G7" s="18"/>
      <c r="H7" s="18"/>
      <c r="I7" s="17">
        <v>100</v>
      </c>
      <c r="J7" s="18" t="s">
        <v>45</v>
      </c>
      <c r="K7" s="18"/>
      <c r="L7" s="18"/>
      <c r="M7" s="71" t="s">
        <v>139</v>
      </c>
      <c r="N7" s="71" t="s">
        <v>190</v>
      </c>
      <c r="O7" s="71" t="s">
        <v>183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18">
        <v>5</v>
      </c>
      <c r="B8" s="74">
        <v>244114</v>
      </c>
      <c r="C8" s="58" t="s">
        <v>191</v>
      </c>
      <c r="D8" s="81">
        <v>764245098960</v>
      </c>
      <c r="E8" s="69" t="s">
        <v>183</v>
      </c>
      <c r="F8" s="69" t="s">
        <v>184</v>
      </c>
      <c r="G8" s="18"/>
      <c r="H8" s="18"/>
      <c r="I8" s="17">
        <v>238</v>
      </c>
      <c r="J8" s="18" t="s">
        <v>45</v>
      </c>
      <c r="K8" s="18"/>
      <c r="L8" s="18"/>
      <c r="M8" s="71" t="s">
        <v>192</v>
      </c>
      <c r="N8" s="71" t="s">
        <v>193</v>
      </c>
      <c r="O8" s="7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3">
      <c r="A9" s="18">
        <v>6</v>
      </c>
      <c r="B9" s="74">
        <v>244114</v>
      </c>
      <c r="C9" s="69" t="s">
        <v>194</v>
      </c>
      <c r="D9" s="81">
        <v>764394182790</v>
      </c>
      <c r="E9" s="69" t="s">
        <v>183</v>
      </c>
      <c r="F9" s="69" t="s">
        <v>184</v>
      </c>
      <c r="G9" s="18"/>
      <c r="H9" s="18"/>
      <c r="I9" s="17">
        <v>100</v>
      </c>
      <c r="J9" s="18" t="s">
        <v>45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3">
      <c r="A10" s="18">
        <v>7</v>
      </c>
      <c r="B10" s="74">
        <v>244114</v>
      </c>
      <c r="C10" s="69" t="s">
        <v>195</v>
      </c>
      <c r="D10" s="81">
        <v>764546269200</v>
      </c>
      <c r="E10" s="69" t="s">
        <v>183</v>
      </c>
      <c r="F10" s="69" t="s">
        <v>184</v>
      </c>
      <c r="G10" s="18"/>
      <c r="H10" s="58"/>
      <c r="I10" s="17">
        <v>100</v>
      </c>
      <c r="J10" s="18" t="s">
        <v>45</v>
      </c>
      <c r="K10" s="82"/>
      <c r="L10" s="82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74">
        <v>244175</v>
      </c>
      <c r="C11" s="69" t="s">
        <v>196</v>
      </c>
      <c r="D11" s="81">
        <v>764403744775</v>
      </c>
      <c r="E11" s="69" t="s">
        <v>183</v>
      </c>
      <c r="F11" s="69" t="s">
        <v>184</v>
      </c>
      <c r="G11" s="18"/>
      <c r="H11" s="58"/>
      <c r="I11" s="17">
        <v>100</v>
      </c>
      <c r="J11" s="18" t="s">
        <v>45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74">
        <v>244175</v>
      </c>
      <c r="C12" s="69" t="s">
        <v>197</v>
      </c>
      <c r="D12" s="81">
        <v>764435608871</v>
      </c>
      <c r="E12" s="69" t="s">
        <v>183</v>
      </c>
      <c r="F12" s="69" t="s">
        <v>184</v>
      </c>
      <c r="G12" s="58"/>
      <c r="H12" s="18"/>
      <c r="I12" s="17">
        <v>100</v>
      </c>
      <c r="J12" s="18" t="s">
        <v>45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4">
        <v>244206</v>
      </c>
      <c r="C13" s="69" t="s">
        <v>198</v>
      </c>
      <c r="D13" s="81">
        <v>764481622295</v>
      </c>
      <c r="E13" s="69" t="s">
        <v>183</v>
      </c>
      <c r="F13" s="69" t="s">
        <v>184</v>
      </c>
      <c r="G13" s="58"/>
      <c r="H13" s="18"/>
      <c r="I13" s="17">
        <v>200</v>
      </c>
      <c r="J13" s="18" t="s">
        <v>45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4">
        <v>244237</v>
      </c>
      <c r="C14" s="69" t="s">
        <v>199</v>
      </c>
      <c r="D14" s="81">
        <v>764406035304</v>
      </c>
      <c r="E14" s="69" t="s">
        <v>183</v>
      </c>
      <c r="F14" s="69" t="s">
        <v>184</v>
      </c>
      <c r="G14" s="58"/>
      <c r="H14" s="18"/>
      <c r="I14" s="17">
        <v>208</v>
      </c>
      <c r="J14" s="18" t="s">
        <v>45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4">
        <v>244237</v>
      </c>
      <c r="C15" s="69" t="s">
        <v>200</v>
      </c>
      <c r="D15" s="81">
        <v>764542855580</v>
      </c>
      <c r="E15" s="69" t="s">
        <v>183</v>
      </c>
      <c r="F15" s="69" t="s">
        <v>184</v>
      </c>
      <c r="G15" s="58"/>
      <c r="H15" s="18"/>
      <c r="I15" s="17">
        <v>200</v>
      </c>
      <c r="J15" s="18" t="s">
        <v>45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4">
        <v>244267</v>
      </c>
      <c r="C16" s="69" t="s">
        <v>201</v>
      </c>
      <c r="D16" s="81">
        <v>764570167992</v>
      </c>
      <c r="E16" s="69" t="s">
        <v>183</v>
      </c>
      <c r="F16" s="69" t="s">
        <v>184</v>
      </c>
      <c r="G16" s="58"/>
      <c r="H16" s="18"/>
      <c r="I16" s="17">
        <v>200</v>
      </c>
      <c r="J16" s="18" t="s">
        <v>45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74">
        <v>244267</v>
      </c>
      <c r="C17" s="69" t="s">
        <v>202</v>
      </c>
      <c r="D17" s="81">
        <v>764582175210</v>
      </c>
      <c r="E17" s="69" t="s">
        <v>183</v>
      </c>
      <c r="F17" s="69" t="s">
        <v>184</v>
      </c>
      <c r="G17" s="18"/>
      <c r="H17" s="58"/>
      <c r="I17" s="17">
        <v>190</v>
      </c>
      <c r="J17" s="18" t="s">
        <v>45</v>
      </c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74">
        <v>244298</v>
      </c>
      <c r="C18" s="69" t="s">
        <v>203</v>
      </c>
      <c r="D18" s="81">
        <v>764575955183</v>
      </c>
      <c r="E18" s="69" t="s">
        <v>183</v>
      </c>
      <c r="F18" s="69" t="s">
        <v>184</v>
      </c>
      <c r="G18" s="18"/>
      <c r="H18" s="58"/>
      <c r="I18" s="17">
        <v>100</v>
      </c>
      <c r="J18" s="18" t="s">
        <v>46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74">
        <v>244298</v>
      </c>
      <c r="C19" s="69" t="s">
        <v>204</v>
      </c>
      <c r="D19" s="81">
        <v>764364502871</v>
      </c>
      <c r="E19" s="69" t="s">
        <v>183</v>
      </c>
      <c r="F19" s="69" t="s">
        <v>184</v>
      </c>
      <c r="G19" s="18"/>
      <c r="H19" s="58"/>
      <c r="I19" s="17">
        <v>100</v>
      </c>
      <c r="J19" s="18" t="s">
        <v>45</v>
      </c>
      <c r="K19" s="18"/>
      <c r="L19" s="82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67">
        <v>244328</v>
      </c>
      <c r="C20" s="69" t="s">
        <v>205</v>
      </c>
      <c r="D20" s="81">
        <v>764611730481</v>
      </c>
      <c r="E20" s="69" t="s">
        <v>183</v>
      </c>
      <c r="F20" s="69" t="s">
        <v>190</v>
      </c>
      <c r="G20" s="18"/>
      <c r="H20" s="58"/>
      <c r="I20" s="17">
        <v>95</v>
      </c>
      <c r="J20" s="18" t="s">
        <v>45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>
        <v>18</v>
      </c>
      <c r="B21" s="67">
        <v>244328</v>
      </c>
      <c r="C21" s="69" t="s">
        <v>206</v>
      </c>
      <c r="D21" s="81">
        <v>764390794263</v>
      </c>
      <c r="E21" s="69" t="s">
        <v>183</v>
      </c>
      <c r="F21" s="69" t="s">
        <v>184</v>
      </c>
      <c r="G21" s="18"/>
      <c r="H21" s="58"/>
      <c r="I21" s="17">
        <v>100</v>
      </c>
      <c r="J21" s="18" t="s">
        <v>45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>
        <v>19</v>
      </c>
      <c r="B22" s="67">
        <v>244328</v>
      </c>
      <c r="C22" s="69" t="s">
        <v>207</v>
      </c>
      <c r="D22" s="81">
        <v>764645100030</v>
      </c>
      <c r="E22" s="69" t="s">
        <v>183</v>
      </c>
      <c r="F22" s="69" t="s">
        <v>184</v>
      </c>
      <c r="G22" s="18"/>
      <c r="H22" s="58"/>
      <c r="I22" s="17">
        <v>138</v>
      </c>
      <c r="J22" s="18" t="s">
        <v>45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>
        <v>20</v>
      </c>
      <c r="B23" s="67">
        <v>244328</v>
      </c>
      <c r="C23" s="69" t="s">
        <v>208</v>
      </c>
      <c r="D23" s="81">
        <v>764590387175</v>
      </c>
      <c r="E23" s="69" t="s">
        <v>183</v>
      </c>
      <c r="F23" s="69" t="s">
        <v>184</v>
      </c>
      <c r="G23" s="18"/>
      <c r="H23" s="18"/>
      <c r="I23" s="17">
        <v>100</v>
      </c>
      <c r="J23" s="18" t="s">
        <v>45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>
        <v>21</v>
      </c>
      <c r="B24" s="67">
        <v>244328</v>
      </c>
      <c r="C24" s="69" t="s">
        <v>209</v>
      </c>
      <c r="D24" s="81">
        <v>764740949534</v>
      </c>
      <c r="E24" s="69" t="s">
        <v>183</v>
      </c>
      <c r="F24" s="69" t="s">
        <v>184</v>
      </c>
      <c r="G24" s="18"/>
      <c r="H24" s="58"/>
      <c r="I24" s="17">
        <v>209</v>
      </c>
      <c r="J24" s="18" t="s">
        <v>45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>
        <v>22</v>
      </c>
      <c r="B25" s="67">
        <v>244328</v>
      </c>
      <c r="C25" s="69" t="s">
        <v>210</v>
      </c>
      <c r="D25" s="81">
        <v>764630874792</v>
      </c>
      <c r="E25" s="69" t="s">
        <v>183</v>
      </c>
      <c r="F25" s="69" t="s">
        <v>184</v>
      </c>
      <c r="G25" s="18"/>
      <c r="H25" s="58"/>
      <c r="I25" s="17">
        <v>100</v>
      </c>
      <c r="J25" s="18" t="s">
        <v>45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>
        <v>23</v>
      </c>
      <c r="B26" s="67">
        <v>244328</v>
      </c>
      <c r="C26" s="69" t="s">
        <v>211</v>
      </c>
      <c r="D26" s="81">
        <v>764764360695</v>
      </c>
      <c r="E26" s="69" t="s">
        <v>183</v>
      </c>
      <c r="F26" s="69" t="s">
        <v>184</v>
      </c>
      <c r="G26" s="18"/>
      <c r="H26" s="58"/>
      <c r="I26" s="17">
        <v>100</v>
      </c>
      <c r="J26" s="18" t="s">
        <v>45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>
        <v>24</v>
      </c>
      <c r="B27" s="18" t="s">
        <v>212</v>
      </c>
      <c r="C27" s="58" t="s">
        <v>213</v>
      </c>
      <c r="D27" s="81">
        <v>764550793926</v>
      </c>
      <c r="E27" s="69" t="s">
        <v>183</v>
      </c>
      <c r="F27" s="69" t="s">
        <v>184</v>
      </c>
      <c r="G27" s="18"/>
      <c r="H27" s="58"/>
      <c r="I27" s="17">
        <v>100</v>
      </c>
      <c r="J27" s="18" t="s">
        <v>45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>
        <v>25</v>
      </c>
      <c r="B28" s="18" t="s">
        <v>134</v>
      </c>
      <c r="C28" s="58" t="s">
        <v>214</v>
      </c>
      <c r="D28" s="81">
        <v>764603556846</v>
      </c>
      <c r="E28" s="69" t="s">
        <v>183</v>
      </c>
      <c r="F28" s="69" t="s">
        <v>184</v>
      </c>
      <c r="G28" s="18"/>
      <c r="H28" s="58"/>
      <c r="I28" s="17">
        <v>100</v>
      </c>
      <c r="J28" s="18" t="s">
        <v>45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>
        <v>26</v>
      </c>
      <c r="B29" s="18" t="s">
        <v>134</v>
      </c>
      <c r="C29" s="58" t="s">
        <v>215</v>
      </c>
      <c r="D29" s="81">
        <v>764882063396</v>
      </c>
      <c r="E29" s="69" t="s">
        <v>183</v>
      </c>
      <c r="F29" s="69" t="s">
        <v>184</v>
      </c>
      <c r="G29" s="18"/>
      <c r="H29" s="58"/>
      <c r="I29" s="17">
        <v>200</v>
      </c>
      <c r="J29" s="18" t="s">
        <v>45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>
        <v>27</v>
      </c>
      <c r="B30" s="18" t="s">
        <v>134</v>
      </c>
      <c r="C30" s="58" t="s">
        <v>216</v>
      </c>
      <c r="D30" s="81">
        <v>764612276094</v>
      </c>
      <c r="E30" s="69" t="s">
        <v>183</v>
      </c>
      <c r="F30" s="69" t="s">
        <v>184</v>
      </c>
      <c r="G30" s="18"/>
      <c r="H30" s="58"/>
      <c r="I30" s="17">
        <v>100</v>
      </c>
      <c r="J30" s="18" t="s">
        <v>45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>
        <v>28</v>
      </c>
      <c r="B31" s="18" t="s">
        <v>134</v>
      </c>
      <c r="C31" s="58" t="s">
        <v>217</v>
      </c>
      <c r="D31" s="81">
        <v>764624418482</v>
      </c>
      <c r="E31" s="69" t="s">
        <v>183</v>
      </c>
      <c r="F31" s="69" t="s">
        <v>184</v>
      </c>
      <c r="G31" s="18"/>
      <c r="H31" s="58"/>
      <c r="I31" s="17">
        <v>100</v>
      </c>
      <c r="J31" s="18" t="s">
        <v>45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>
        <v>29</v>
      </c>
      <c r="B32" s="18" t="s">
        <v>134</v>
      </c>
      <c r="C32" s="69" t="s">
        <v>218</v>
      </c>
      <c r="D32" s="81">
        <v>764780408195</v>
      </c>
      <c r="E32" s="69" t="s">
        <v>183</v>
      </c>
      <c r="F32" s="69" t="s">
        <v>190</v>
      </c>
      <c r="G32" s="18"/>
      <c r="H32" s="58"/>
      <c r="I32" s="17">
        <v>130</v>
      </c>
      <c r="J32" s="18" t="s">
        <v>45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>
        <v>30</v>
      </c>
      <c r="B33" s="18" t="s">
        <v>134</v>
      </c>
      <c r="C33" s="69" t="s">
        <v>219</v>
      </c>
      <c r="D33" s="81">
        <v>764603035862</v>
      </c>
      <c r="E33" s="69" t="s">
        <v>183</v>
      </c>
      <c r="F33" s="69" t="s">
        <v>184</v>
      </c>
      <c r="G33" s="18"/>
      <c r="H33" s="58"/>
      <c r="I33" s="17">
        <v>100</v>
      </c>
      <c r="J33" s="18" t="s">
        <v>45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>
        <v>31</v>
      </c>
      <c r="B34" s="18" t="s">
        <v>220</v>
      </c>
      <c r="C34" s="69" t="s">
        <v>221</v>
      </c>
      <c r="D34" s="81">
        <v>764631600504</v>
      </c>
      <c r="E34" s="69" t="s">
        <v>183</v>
      </c>
      <c r="F34" s="69" t="s">
        <v>184</v>
      </c>
      <c r="G34" s="18"/>
      <c r="H34" s="58"/>
      <c r="I34" s="17">
        <v>100</v>
      </c>
      <c r="J34" s="18" t="s">
        <v>45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>
        <v>32</v>
      </c>
      <c r="B35" s="18" t="s">
        <v>220</v>
      </c>
      <c r="C35" s="69" t="s">
        <v>222</v>
      </c>
      <c r="D35" s="81">
        <v>764899228483</v>
      </c>
      <c r="E35" s="69" t="s">
        <v>183</v>
      </c>
      <c r="F35" s="69" t="s">
        <v>184</v>
      </c>
      <c r="G35" s="18"/>
      <c r="H35" s="58"/>
      <c r="I35" s="17">
        <v>100</v>
      </c>
      <c r="J35" s="18" t="s">
        <v>45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>
        <v>33</v>
      </c>
      <c r="B36" s="18" t="s">
        <v>220</v>
      </c>
      <c r="C36" s="69" t="s">
        <v>223</v>
      </c>
      <c r="D36" s="81">
        <v>764826554424</v>
      </c>
      <c r="E36" s="69" t="s">
        <v>183</v>
      </c>
      <c r="F36" s="69" t="s">
        <v>184</v>
      </c>
      <c r="G36" s="18"/>
      <c r="H36" s="58"/>
      <c r="I36" s="17">
        <v>100</v>
      </c>
      <c r="J36" s="18" t="s">
        <v>45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>
        <v>34</v>
      </c>
      <c r="B37" s="18" t="s">
        <v>220</v>
      </c>
      <c r="C37" s="58" t="s">
        <v>224</v>
      </c>
      <c r="D37" s="81">
        <v>764874446453</v>
      </c>
      <c r="E37" s="69" t="s">
        <v>183</v>
      </c>
      <c r="F37" s="69" t="s">
        <v>184</v>
      </c>
      <c r="G37" s="18"/>
      <c r="H37" s="18"/>
      <c r="I37" s="17">
        <v>100</v>
      </c>
      <c r="J37" s="18" t="s">
        <v>45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>
        <v>35</v>
      </c>
      <c r="B38" s="18" t="s">
        <v>225</v>
      </c>
      <c r="C38" s="58" t="s">
        <v>226</v>
      </c>
      <c r="D38" s="81">
        <v>764826181862</v>
      </c>
      <c r="E38" s="69" t="s">
        <v>183</v>
      </c>
      <c r="F38" s="69" t="s">
        <v>184</v>
      </c>
      <c r="G38" s="18"/>
      <c r="H38" s="18"/>
      <c r="I38" s="17">
        <v>100</v>
      </c>
      <c r="J38" s="18" t="s">
        <v>45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>
        <v>36</v>
      </c>
      <c r="B39" s="18" t="s">
        <v>225</v>
      </c>
      <c r="C39" s="58" t="s">
        <v>227</v>
      </c>
      <c r="D39" s="81">
        <v>765063642582</v>
      </c>
      <c r="E39" s="69" t="s">
        <v>183</v>
      </c>
      <c r="F39" s="69" t="s">
        <v>184</v>
      </c>
      <c r="G39" s="18"/>
      <c r="H39" s="18"/>
      <c r="I39" s="17">
        <v>100</v>
      </c>
      <c r="J39" s="18" t="s">
        <v>45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>
        <v>37</v>
      </c>
      <c r="B40" s="18" t="s">
        <v>228</v>
      </c>
      <c r="C40" s="58" t="s">
        <v>229</v>
      </c>
      <c r="D40" s="81">
        <v>765083901271</v>
      </c>
      <c r="E40" s="69" t="s">
        <v>183</v>
      </c>
      <c r="F40" s="69" t="s">
        <v>184</v>
      </c>
      <c r="G40" s="18"/>
      <c r="H40" s="18"/>
      <c r="I40" s="17">
        <v>100</v>
      </c>
      <c r="J40" s="18" t="s">
        <v>45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>
        <v>38</v>
      </c>
      <c r="B41" s="18" t="s">
        <v>228</v>
      </c>
      <c r="C41" s="69" t="s">
        <v>230</v>
      </c>
      <c r="D41" s="81">
        <v>765057716253</v>
      </c>
      <c r="E41" s="69" t="s">
        <v>183</v>
      </c>
      <c r="F41" s="69" t="s">
        <v>184</v>
      </c>
      <c r="G41" s="18"/>
      <c r="H41" s="58"/>
      <c r="I41" s="17">
        <v>100</v>
      </c>
      <c r="J41" s="18" t="s">
        <v>45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>
        <v>39</v>
      </c>
      <c r="B42" s="18" t="s">
        <v>228</v>
      </c>
      <c r="C42" s="69" t="s">
        <v>231</v>
      </c>
      <c r="D42" s="81">
        <v>765096181010</v>
      </c>
      <c r="E42" s="69" t="s">
        <v>183</v>
      </c>
      <c r="F42" s="69" t="s">
        <v>184</v>
      </c>
      <c r="G42" s="18"/>
      <c r="H42" s="58"/>
      <c r="I42" s="17">
        <v>200</v>
      </c>
      <c r="J42" s="18" t="s">
        <v>45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>
        <v>40</v>
      </c>
      <c r="B43" s="18" t="s">
        <v>228</v>
      </c>
      <c r="C43" s="69" t="s">
        <v>232</v>
      </c>
      <c r="D43" s="81">
        <v>764851820493</v>
      </c>
      <c r="E43" s="69" t="s">
        <v>183</v>
      </c>
      <c r="F43" s="69" t="s">
        <v>184</v>
      </c>
      <c r="G43" s="18"/>
      <c r="H43" s="58"/>
      <c r="I43" s="17">
        <v>100</v>
      </c>
      <c r="J43" s="18" t="s">
        <v>45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>
        <v>41</v>
      </c>
      <c r="B44" s="18" t="s">
        <v>233</v>
      </c>
      <c r="C44" s="69" t="s">
        <v>234</v>
      </c>
      <c r="D44" s="81">
        <v>765061859052</v>
      </c>
      <c r="E44" s="69" t="s">
        <v>183</v>
      </c>
      <c r="F44" s="69" t="s">
        <v>184</v>
      </c>
      <c r="G44" s="18"/>
      <c r="H44" s="58"/>
      <c r="I44" s="17">
        <v>200</v>
      </c>
      <c r="J44" s="18" t="s">
        <v>46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>
        <v>42</v>
      </c>
      <c r="B45" s="18" t="s">
        <v>233</v>
      </c>
      <c r="C45" s="69" t="s">
        <v>235</v>
      </c>
      <c r="D45" s="81">
        <v>765102195653</v>
      </c>
      <c r="E45" s="69" t="s">
        <v>183</v>
      </c>
      <c r="F45" s="69" t="s">
        <v>184</v>
      </c>
      <c r="G45" s="18"/>
      <c r="H45" s="58"/>
      <c r="I45" s="17">
        <v>100</v>
      </c>
      <c r="J45" s="18" t="s">
        <v>45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>
        <v>43</v>
      </c>
      <c r="B46" s="18" t="s">
        <v>233</v>
      </c>
      <c r="C46" s="69" t="s">
        <v>236</v>
      </c>
      <c r="D46" s="81">
        <v>765165880695</v>
      </c>
      <c r="E46" s="69" t="s">
        <v>183</v>
      </c>
      <c r="F46" s="69" t="s">
        <v>184</v>
      </c>
      <c r="G46" s="18"/>
      <c r="H46" s="58"/>
      <c r="I46" s="17">
        <v>109</v>
      </c>
      <c r="J46" s="18" t="s">
        <v>45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>
        <v>44</v>
      </c>
      <c r="B47" s="18" t="s">
        <v>233</v>
      </c>
      <c r="C47" s="69" t="s">
        <v>237</v>
      </c>
      <c r="D47" s="81">
        <v>765133497262</v>
      </c>
      <c r="E47" s="69" t="s">
        <v>183</v>
      </c>
      <c r="F47" s="69" t="s">
        <v>190</v>
      </c>
      <c r="G47" s="18"/>
      <c r="H47" s="58"/>
      <c r="I47" s="17">
        <v>95</v>
      </c>
      <c r="J47" s="18" t="s">
        <v>45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>
        <v>45</v>
      </c>
      <c r="B48" s="18" t="s">
        <v>233</v>
      </c>
      <c r="C48" s="69" t="s">
        <v>238</v>
      </c>
      <c r="D48" s="81">
        <v>764806266825</v>
      </c>
      <c r="E48" s="69" t="s">
        <v>183</v>
      </c>
      <c r="F48" s="69" t="s">
        <v>184</v>
      </c>
      <c r="G48" s="18"/>
      <c r="H48" s="58"/>
      <c r="I48" s="17">
        <v>100</v>
      </c>
      <c r="J48" s="18" t="s">
        <v>45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>
        <v>46</v>
      </c>
      <c r="B49" s="18" t="s">
        <v>239</v>
      </c>
      <c r="C49" s="69" t="s">
        <v>240</v>
      </c>
      <c r="D49" s="81">
        <v>765244014043</v>
      </c>
      <c r="E49" s="69" t="s">
        <v>183</v>
      </c>
      <c r="F49" s="69" t="s">
        <v>184</v>
      </c>
      <c r="G49" s="18"/>
      <c r="H49" s="58"/>
      <c r="I49" s="17">
        <v>100</v>
      </c>
      <c r="J49" s="18" t="s">
        <v>45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>
        <v>47</v>
      </c>
      <c r="B50" s="18" t="s">
        <v>239</v>
      </c>
      <c r="C50" s="69" t="s">
        <v>241</v>
      </c>
      <c r="D50" s="81">
        <v>765001235574</v>
      </c>
      <c r="E50" s="69" t="s">
        <v>183</v>
      </c>
      <c r="F50" s="69" t="s">
        <v>184</v>
      </c>
      <c r="G50" s="18"/>
      <c r="H50" s="58"/>
      <c r="I50" s="17">
        <v>100</v>
      </c>
      <c r="J50" s="18" t="s">
        <v>46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>
        <v>48</v>
      </c>
      <c r="B51" s="18" t="s">
        <v>239</v>
      </c>
      <c r="C51" s="69" t="s">
        <v>242</v>
      </c>
      <c r="D51" s="81">
        <v>765029502274</v>
      </c>
      <c r="E51" s="69" t="s">
        <v>183</v>
      </c>
      <c r="F51" s="69" t="s">
        <v>184</v>
      </c>
      <c r="G51" s="18"/>
      <c r="H51" s="58"/>
      <c r="I51" s="17">
        <v>208</v>
      </c>
      <c r="J51" s="18" t="s">
        <v>45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>
        <v>49</v>
      </c>
      <c r="B52" s="18" t="s">
        <v>239</v>
      </c>
      <c r="C52" s="69" t="s">
        <v>243</v>
      </c>
      <c r="D52" s="81">
        <v>765245880066</v>
      </c>
      <c r="E52" s="69" t="s">
        <v>183</v>
      </c>
      <c r="F52" s="69" t="s">
        <v>190</v>
      </c>
      <c r="G52" s="18"/>
      <c r="H52" s="58"/>
      <c r="I52" s="17">
        <v>95</v>
      </c>
      <c r="J52" s="18" t="s">
        <v>45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>
        <v>50</v>
      </c>
      <c r="B53" s="18" t="s">
        <v>239</v>
      </c>
      <c r="C53" s="69" t="s">
        <v>244</v>
      </c>
      <c r="D53" s="81">
        <v>765244281060</v>
      </c>
      <c r="E53" s="69" t="s">
        <v>183</v>
      </c>
      <c r="F53" s="69" t="s">
        <v>190</v>
      </c>
      <c r="G53" s="18"/>
      <c r="H53" s="58"/>
      <c r="I53" s="17">
        <v>180</v>
      </c>
      <c r="J53" s="18" t="s">
        <v>45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>
        <v>51</v>
      </c>
      <c r="B54" s="18" t="s">
        <v>239</v>
      </c>
      <c r="C54" s="69" t="s">
        <v>245</v>
      </c>
      <c r="D54" s="81">
        <v>765040403142</v>
      </c>
      <c r="E54" s="69" t="s">
        <v>183</v>
      </c>
      <c r="F54" s="69" t="s">
        <v>184</v>
      </c>
      <c r="G54" s="18"/>
      <c r="H54" s="58"/>
      <c r="I54" s="17">
        <v>100</v>
      </c>
      <c r="J54" s="18" t="s">
        <v>45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>
        <v>52</v>
      </c>
      <c r="B55" s="18" t="s">
        <v>146</v>
      </c>
      <c r="C55" s="69" t="s">
        <v>246</v>
      </c>
      <c r="D55" s="68" t="s">
        <v>247</v>
      </c>
      <c r="E55" s="69" t="s">
        <v>128</v>
      </c>
      <c r="F55" s="69" t="s">
        <v>184</v>
      </c>
      <c r="G55" s="18"/>
      <c r="H55" s="58"/>
      <c r="I55" s="17">
        <v>100</v>
      </c>
      <c r="J55" s="18" t="s">
        <v>45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58"/>
      <c r="D56" s="68"/>
      <c r="E56" s="69"/>
      <c r="F56" s="58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58"/>
      <c r="D57" s="68"/>
      <c r="E57" s="69"/>
      <c r="F57" s="58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58"/>
      <c r="D58" s="68"/>
      <c r="E58" s="69"/>
      <c r="F58" s="58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58"/>
      <c r="D59" s="68"/>
      <c r="E59" s="58"/>
      <c r="F59" s="58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58"/>
      <c r="D60" s="68"/>
      <c r="E60" s="58"/>
      <c r="F60" s="58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58"/>
      <c r="D61" s="68"/>
      <c r="E61" s="58"/>
      <c r="F61" s="58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58"/>
      <c r="D62" s="68"/>
      <c r="E62" s="58"/>
      <c r="F62" s="58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58"/>
      <c r="D63" s="68"/>
      <c r="E63" s="58"/>
      <c r="F63" s="58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58"/>
      <c r="D64" s="68"/>
      <c r="E64" s="58"/>
      <c r="F64" s="58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58"/>
      <c r="D65" s="68"/>
      <c r="E65" s="58"/>
      <c r="F65" s="58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58"/>
      <c r="D66" s="68"/>
      <c r="E66" s="58"/>
      <c r="F66" s="58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58"/>
      <c r="D67" s="68"/>
      <c r="E67" s="58"/>
      <c r="F67" s="58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58"/>
      <c r="D68" s="68"/>
      <c r="E68" s="58"/>
      <c r="F68" s="58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58"/>
      <c r="D69" s="68"/>
      <c r="E69" s="58"/>
      <c r="F69" s="58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58"/>
      <c r="D70" s="68"/>
      <c r="E70" s="58"/>
      <c r="F70" s="58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58"/>
      <c r="D71" s="68"/>
      <c r="E71" s="58"/>
      <c r="F71" s="58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58"/>
      <c r="D72" s="68"/>
      <c r="E72" s="58"/>
      <c r="F72" s="58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58"/>
      <c r="D73" s="68"/>
      <c r="E73" s="58"/>
      <c r="F73" s="58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58"/>
      <c r="D74" s="68"/>
      <c r="E74" s="58"/>
      <c r="F74" s="58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58"/>
      <c r="D75" s="68"/>
      <c r="E75" s="58"/>
      <c r="F75" s="58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58"/>
      <c r="D76" s="68"/>
      <c r="E76" s="58"/>
      <c r="F76" s="58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58"/>
      <c r="D77" s="68"/>
      <c r="E77" s="58"/>
      <c r="F77" s="58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58"/>
      <c r="D78" s="68"/>
      <c r="E78" s="58"/>
      <c r="F78" s="58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58"/>
      <c r="D79" s="68"/>
      <c r="E79" s="58"/>
      <c r="F79" s="58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58"/>
      <c r="D80" s="68"/>
      <c r="E80" s="58"/>
      <c r="F80" s="58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58"/>
      <c r="D81" s="68"/>
      <c r="E81" s="58"/>
      <c r="F81" s="58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58"/>
      <c r="D82" s="68"/>
      <c r="E82" s="58"/>
      <c r="F82" s="58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58"/>
      <c r="D83" s="68"/>
      <c r="E83" s="58"/>
      <c r="F83" s="58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58"/>
      <c r="D84" s="68"/>
      <c r="E84" s="58"/>
      <c r="F84" s="58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58"/>
      <c r="D85" s="68"/>
      <c r="E85" s="58"/>
      <c r="F85" s="58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58"/>
      <c r="D86" s="68"/>
      <c r="E86" s="58"/>
      <c r="F86" s="58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58"/>
      <c r="D87" s="68"/>
      <c r="E87" s="58"/>
      <c r="F87" s="58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58"/>
      <c r="D88" s="68"/>
      <c r="E88" s="58"/>
      <c r="F88" s="58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58"/>
      <c r="D89" s="68"/>
      <c r="E89" s="58"/>
      <c r="F89" s="58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58"/>
      <c r="D90" s="68"/>
      <c r="E90" s="58"/>
      <c r="F90" s="58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58"/>
      <c r="D91" s="68"/>
      <c r="E91" s="58"/>
      <c r="F91" s="58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58"/>
      <c r="D92" s="68"/>
      <c r="E92" s="58"/>
      <c r="F92" s="58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58"/>
      <c r="D93" s="68"/>
      <c r="E93" s="58"/>
      <c r="F93" s="58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58"/>
      <c r="D94" s="68"/>
      <c r="E94" s="58"/>
      <c r="F94" s="58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58"/>
      <c r="D95" s="68"/>
      <c r="E95" s="58"/>
      <c r="F95" s="58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58"/>
      <c r="D96" s="68"/>
      <c r="E96" s="58"/>
      <c r="F96" s="58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58"/>
      <c r="D97" s="68"/>
      <c r="E97" s="58"/>
      <c r="F97" s="58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58"/>
      <c r="D98" s="68"/>
      <c r="E98" s="58"/>
      <c r="F98" s="58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58"/>
      <c r="D99" s="68"/>
      <c r="E99" s="58"/>
      <c r="F99" s="58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58"/>
      <c r="D100" s="68"/>
      <c r="E100" s="58"/>
      <c r="F100" s="58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58"/>
      <c r="D101" s="68"/>
      <c r="E101" s="58"/>
      <c r="F101" s="58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58"/>
      <c r="D102" s="68"/>
      <c r="E102" s="58"/>
      <c r="F102" s="58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58"/>
      <c r="D103" s="68"/>
      <c r="E103" s="58"/>
      <c r="F103" s="58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58"/>
      <c r="D104" s="68"/>
      <c r="E104" s="58"/>
      <c r="F104" s="58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58"/>
      <c r="D105" s="68"/>
      <c r="E105" s="58"/>
      <c r="F105" s="58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58"/>
      <c r="D106" s="68"/>
      <c r="E106" s="58"/>
      <c r="F106" s="58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58"/>
      <c r="D107" s="68"/>
      <c r="E107" s="58"/>
      <c r="F107" s="58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58"/>
      <c r="D108" s="68"/>
      <c r="E108" s="58"/>
      <c r="F108" s="58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58"/>
      <c r="D109" s="68"/>
      <c r="E109" s="58"/>
      <c r="F109" s="58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58"/>
      <c r="D110" s="68"/>
      <c r="E110" s="58"/>
      <c r="F110" s="58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58"/>
      <c r="D111" s="68"/>
      <c r="E111" s="58"/>
      <c r="F111" s="58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58"/>
      <c r="D112" s="68"/>
      <c r="E112" s="58"/>
      <c r="F112" s="58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58"/>
      <c r="D113" s="68"/>
      <c r="E113" s="58"/>
      <c r="F113" s="58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58"/>
      <c r="D114" s="68"/>
      <c r="E114" s="58"/>
      <c r="F114" s="58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58"/>
      <c r="D115" s="68"/>
      <c r="E115" s="58"/>
      <c r="F115" s="58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58"/>
      <c r="D116" s="68"/>
      <c r="E116" s="58"/>
      <c r="F116" s="58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58"/>
      <c r="D117" s="68"/>
      <c r="E117" s="58"/>
      <c r="F117" s="58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58"/>
      <c r="D118" s="68"/>
      <c r="E118" s="58"/>
      <c r="F118" s="58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58"/>
      <c r="D119" s="68"/>
      <c r="E119" s="58"/>
      <c r="F119" s="58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58"/>
      <c r="D120" s="68"/>
      <c r="E120" s="58"/>
      <c r="F120" s="58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58"/>
      <c r="D121" s="68"/>
      <c r="E121" s="58"/>
      <c r="F121" s="58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58"/>
      <c r="D122" s="68"/>
      <c r="E122" s="58"/>
      <c r="F122" s="58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58"/>
      <c r="D123" s="68"/>
      <c r="E123" s="58"/>
      <c r="F123" s="58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58"/>
      <c r="D124" s="68"/>
      <c r="E124" s="58"/>
      <c r="F124" s="58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58"/>
      <c r="D125" s="68"/>
      <c r="E125" s="58"/>
      <c r="F125" s="58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58"/>
      <c r="D126" s="68"/>
      <c r="E126" s="58"/>
      <c r="F126" s="58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58"/>
      <c r="D127" s="68"/>
      <c r="E127" s="58"/>
      <c r="F127" s="58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58"/>
      <c r="D128" s="68"/>
      <c r="E128" s="58"/>
      <c r="F128" s="58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58"/>
      <c r="D129" s="68"/>
      <c r="E129" s="58"/>
      <c r="F129" s="58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58"/>
      <c r="D130" s="68"/>
      <c r="E130" s="58"/>
      <c r="F130" s="58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58"/>
      <c r="D131" s="68"/>
      <c r="E131" s="58"/>
      <c r="F131" s="58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58"/>
      <c r="D132" s="68"/>
      <c r="E132" s="58"/>
      <c r="F132" s="58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58"/>
      <c r="D133" s="68"/>
      <c r="E133" s="58"/>
      <c r="F133" s="58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58"/>
      <c r="D134" s="68"/>
      <c r="E134" s="58"/>
      <c r="F134" s="58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58"/>
      <c r="D135" s="68"/>
      <c r="E135" s="58"/>
      <c r="F135" s="58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58"/>
      <c r="D136" s="68"/>
      <c r="E136" s="58"/>
      <c r="F136" s="58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58"/>
      <c r="D137" s="68"/>
      <c r="E137" s="58"/>
      <c r="F137" s="58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58"/>
      <c r="D138" s="68"/>
      <c r="E138" s="58"/>
      <c r="F138" s="58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58"/>
      <c r="D139" s="68"/>
      <c r="E139" s="58"/>
      <c r="F139" s="58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58"/>
      <c r="D140" s="68"/>
      <c r="E140" s="58"/>
      <c r="F140" s="58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58"/>
      <c r="D141" s="68"/>
      <c r="E141" s="58"/>
      <c r="F141" s="58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58"/>
      <c r="D142" s="68"/>
      <c r="E142" s="58"/>
      <c r="F142" s="58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58"/>
      <c r="D143" s="68"/>
      <c r="E143" s="58"/>
      <c r="F143" s="58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58"/>
      <c r="D144" s="68"/>
      <c r="E144" s="58"/>
      <c r="F144" s="58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58"/>
      <c r="D145" s="68"/>
      <c r="E145" s="58"/>
      <c r="F145" s="58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8"/>
      <c r="D146" s="68"/>
      <c r="E146" s="58"/>
      <c r="F146" s="58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8"/>
      <c r="D147" s="68"/>
      <c r="E147" s="58"/>
      <c r="F147" s="58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8"/>
      <c r="D148" s="68"/>
      <c r="E148" s="58"/>
      <c r="F148" s="58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8"/>
      <c r="D149" s="68"/>
      <c r="E149" s="58"/>
      <c r="F149" s="58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8"/>
      <c r="D150" s="68"/>
      <c r="E150" s="58"/>
      <c r="F150" s="58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8"/>
      <c r="D151" s="68"/>
      <c r="E151" s="58"/>
      <c r="F151" s="58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8"/>
      <c r="D152" s="68"/>
      <c r="E152" s="58"/>
      <c r="F152" s="58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8"/>
      <c r="D153" s="68"/>
      <c r="E153" s="58"/>
      <c r="F153" s="58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8"/>
      <c r="D154" s="68"/>
      <c r="E154" s="58"/>
      <c r="F154" s="58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8"/>
      <c r="D155" s="68"/>
      <c r="E155" s="58"/>
      <c r="F155" s="58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8"/>
      <c r="D156" s="68"/>
      <c r="E156" s="58"/>
      <c r="F156" s="58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8"/>
      <c r="D157" s="68"/>
      <c r="E157" s="58"/>
      <c r="F157" s="58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8"/>
      <c r="D158" s="68"/>
      <c r="E158" s="58"/>
      <c r="F158" s="58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8"/>
      <c r="D159" s="68"/>
      <c r="E159" s="58"/>
      <c r="F159" s="58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8"/>
      <c r="D160" s="68"/>
      <c r="E160" s="58"/>
      <c r="F160" s="58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8"/>
      <c r="D161" s="68"/>
      <c r="E161" s="58"/>
      <c r="F161" s="58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8"/>
      <c r="D162" s="68"/>
      <c r="E162" s="58"/>
      <c r="F162" s="58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8"/>
      <c r="D163" s="68"/>
      <c r="E163" s="58"/>
      <c r="F163" s="58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8"/>
      <c r="D164" s="68"/>
      <c r="E164" s="58"/>
      <c r="F164" s="58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8"/>
      <c r="D165" s="68"/>
      <c r="E165" s="58"/>
      <c r="F165" s="58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8"/>
      <c r="D166" s="68"/>
      <c r="E166" s="58"/>
      <c r="F166" s="58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8"/>
      <c r="D167" s="68"/>
      <c r="E167" s="58"/>
      <c r="F167" s="58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8"/>
      <c r="D168" s="68"/>
      <c r="E168" s="58"/>
      <c r="F168" s="58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8"/>
      <c r="D169" s="68"/>
      <c r="E169" s="58"/>
      <c r="F169" s="58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8"/>
      <c r="D170" s="68"/>
      <c r="E170" s="58"/>
      <c r="F170" s="58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8"/>
      <c r="D171" s="68"/>
      <c r="E171" s="58"/>
      <c r="F171" s="58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8"/>
      <c r="D172" s="68"/>
      <c r="E172" s="58"/>
      <c r="F172" s="58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8"/>
      <c r="D173" s="68"/>
      <c r="E173" s="58"/>
      <c r="F173" s="58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8"/>
      <c r="D174" s="68"/>
      <c r="E174" s="58"/>
      <c r="F174" s="58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8"/>
      <c r="D175" s="68"/>
      <c r="E175" s="58"/>
      <c r="F175" s="58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8"/>
      <c r="D176" s="68"/>
      <c r="E176" s="58"/>
      <c r="F176" s="58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8"/>
      <c r="D177" s="68"/>
      <c r="E177" s="58"/>
      <c r="F177" s="58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8"/>
      <c r="D178" s="68"/>
      <c r="E178" s="58"/>
      <c r="F178" s="58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8"/>
      <c r="D179" s="68"/>
      <c r="E179" s="58"/>
      <c r="F179" s="58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8"/>
      <c r="D180" s="68"/>
      <c r="E180" s="58"/>
      <c r="F180" s="58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8"/>
      <c r="D181" s="68"/>
      <c r="E181" s="58"/>
      <c r="F181" s="58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8"/>
      <c r="D182" s="68"/>
      <c r="E182" s="58"/>
      <c r="F182" s="58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8"/>
      <c r="D183" s="68"/>
      <c r="E183" s="58"/>
      <c r="F183" s="58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8"/>
      <c r="D184" s="68"/>
      <c r="E184" s="58"/>
      <c r="F184" s="58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8"/>
      <c r="D185" s="68"/>
      <c r="E185" s="58"/>
      <c r="F185" s="58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8"/>
      <c r="D186" s="68"/>
      <c r="E186" s="58"/>
      <c r="F186" s="58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8"/>
      <c r="D187" s="68"/>
      <c r="E187" s="58"/>
      <c r="F187" s="58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8"/>
      <c r="D188" s="68"/>
      <c r="E188" s="58"/>
      <c r="F188" s="58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8"/>
      <c r="D189" s="68"/>
      <c r="E189" s="58"/>
      <c r="F189" s="58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8"/>
      <c r="D190" s="68"/>
      <c r="E190" s="58"/>
      <c r="F190" s="58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8"/>
      <c r="D191" s="68"/>
      <c r="E191" s="58"/>
      <c r="F191" s="58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8"/>
      <c r="D192" s="68"/>
      <c r="E192" s="58"/>
      <c r="F192" s="58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8"/>
      <c r="D193" s="68"/>
      <c r="E193" s="58"/>
      <c r="F193" s="58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8"/>
      <c r="D194" s="68"/>
      <c r="E194" s="58"/>
      <c r="F194" s="58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8"/>
      <c r="D195" s="68"/>
      <c r="E195" s="58"/>
      <c r="F195" s="58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8"/>
      <c r="D196" s="68"/>
      <c r="E196" s="58"/>
      <c r="F196" s="58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8"/>
      <c r="D197" s="68"/>
      <c r="E197" s="58"/>
      <c r="F197" s="58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8"/>
      <c r="D198" s="68"/>
      <c r="E198" s="58"/>
      <c r="F198" s="58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8"/>
      <c r="D199" s="68"/>
      <c r="E199" s="58"/>
      <c r="F199" s="58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8"/>
      <c r="D200" s="68"/>
      <c r="E200" s="58"/>
      <c r="F200" s="58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8"/>
      <c r="D201" s="68"/>
      <c r="E201" s="58"/>
      <c r="F201" s="58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8"/>
      <c r="D202" s="68"/>
      <c r="E202" s="58"/>
      <c r="F202" s="58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8"/>
      <c r="D203" s="68"/>
      <c r="E203" s="58"/>
      <c r="F203" s="58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8"/>
      <c r="D204" s="68"/>
      <c r="E204" s="58"/>
      <c r="F204" s="58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8"/>
      <c r="D205" s="68"/>
      <c r="E205" s="58"/>
      <c r="F205" s="58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8"/>
      <c r="D206" s="68"/>
      <c r="E206" s="58"/>
      <c r="F206" s="58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8"/>
      <c r="D207" s="68"/>
      <c r="E207" s="58"/>
      <c r="F207" s="58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8"/>
      <c r="D208" s="68"/>
      <c r="E208" s="58"/>
      <c r="F208" s="58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8"/>
      <c r="D209" s="68"/>
      <c r="E209" s="58"/>
      <c r="F209" s="58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8"/>
      <c r="D210" s="68"/>
      <c r="E210" s="58"/>
      <c r="F210" s="58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8"/>
      <c r="D211" s="68"/>
      <c r="E211" s="58"/>
      <c r="F211" s="58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8"/>
      <c r="D212" s="68"/>
      <c r="E212" s="58"/>
      <c r="F212" s="58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8"/>
      <c r="D213" s="68"/>
      <c r="E213" s="58"/>
      <c r="F213" s="58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8"/>
      <c r="D214" s="68"/>
      <c r="E214" s="58"/>
      <c r="F214" s="58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8"/>
      <c r="D215" s="68"/>
      <c r="E215" s="58"/>
      <c r="F215" s="58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8"/>
      <c r="D216" s="68"/>
      <c r="E216" s="58"/>
      <c r="F216" s="58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8"/>
      <c r="D217" s="68"/>
      <c r="E217" s="58"/>
      <c r="F217" s="58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8"/>
      <c r="D218" s="68"/>
      <c r="E218" s="58"/>
      <c r="F218" s="58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8"/>
      <c r="D219" s="68"/>
      <c r="E219" s="58"/>
      <c r="F219" s="58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8"/>
      <c r="D220" s="68"/>
      <c r="E220" s="58"/>
      <c r="F220" s="58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8"/>
      <c r="D221" s="68"/>
      <c r="E221" s="58"/>
      <c r="F221" s="58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8"/>
      <c r="D222" s="68"/>
      <c r="E222" s="58"/>
      <c r="F222" s="58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8"/>
      <c r="D223" s="68"/>
      <c r="E223" s="58"/>
      <c r="F223" s="58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8"/>
      <c r="D224" s="68"/>
      <c r="E224" s="58"/>
      <c r="F224" s="58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8"/>
      <c r="D225" s="68"/>
      <c r="E225" s="58"/>
      <c r="F225" s="58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8"/>
      <c r="D226" s="68"/>
      <c r="E226" s="58"/>
      <c r="F226" s="58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8"/>
      <c r="D227" s="68"/>
      <c r="E227" s="58"/>
      <c r="F227" s="58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8"/>
      <c r="D228" s="68"/>
      <c r="E228" s="58"/>
      <c r="F228" s="58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8"/>
      <c r="D229" s="68"/>
      <c r="E229" s="58"/>
      <c r="F229" s="58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8"/>
      <c r="D230" s="68"/>
      <c r="E230" s="58"/>
      <c r="F230" s="58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8"/>
      <c r="D231" s="68"/>
      <c r="E231" s="58"/>
      <c r="F231" s="58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8"/>
      <c r="D232" s="68"/>
      <c r="E232" s="58"/>
      <c r="F232" s="58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8"/>
      <c r="D233" s="68"/>
      <c r="E233" s="58"/>
      <c r="F233" s="58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8"/>
      <c r="D234" s="68"/>
      <c r="E234" s="58"/>
      <c r="F234" s="58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8"/>
      <c r="D235" s="68"/>
      <c r="E235" s="58"/>
      <c r="F235" s="58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8"/>
      <c r="D236" s="68"/>
      <c r="E236" s="58"/>
      <c r="F236" s="58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8"/>
      <c r="D237" s="68"/>
      <c r="E237" s="58"/>
      <c r="F237" s="58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8"/>
      <c r="D238" s="68"/>
      <c r="E238" s="58"/>
      <c r="F238" s="58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8"/>
      <c r="D239" s="68"/>
      <c r="E239" s="58"/>
      <c r="F239" s="58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8"/>
      <c r="D240" s="68"/>
      <c r="E240" s="58"/>
      <c r="F240" s="58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8"/>
      <c r="D241" s="68"/>
      <c r="E241" s="58"/>
      <c r="F241" s="58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8"/>
      <c r="D242" s="68"/>
      <c r="E242" s="58"/>
      <c r="F242" s="58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8"/>
      <c r="D243" s="68"/>
      <c r="E243" s="58"/>
      <c r="F243" s="58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8"/>
      <c r="D244" s="68"/>
      <c r="E244" s="58"/>
      <c r="F244" s="58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8"/>
      <c r="D245" s="68"/>
      <c r="E245" s="58"/>
      <c r="F245" s="58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8"/>
      <c r="D246" s="68"/>
      <c r="E246" s="58"/>
      <c r="F246" s="58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8"/>
      <c r="D247" s="68"/>
      <c r="E247" s="58"/>
      <c r="F247" s="58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8"/>
      <c r="D248" s="68"/>
      <c r="E248" s="58"/>
      <c r="F248" s="58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8"/>
      <c r="D249" s="68"/>
      <c r="E249" s="58"/>
      <c r="F249" s="58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8"/>
      <c r="D250" s="68"/>
      <c r="E250" s="58"/>
      <c r="F250" s="58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8"/>
      <c r="D251" s="68"/>
      <c r="E251" s="58"/>
      <c r="F251" s="58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8"/>
      <c r="D252" s="68"/>
      <c r="E252" s="58"/>
      <c r="F252" s="58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8"/>
      <c r="D253" s="68"/>
      <c r="E253" s="58"/>
      <c r="F253" s="58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8"/>
      <c r="D254" s="68"/>
      <c r="E254" s="58"/>
      <c r="F254" s="58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8"/>
      <c r="D255" s="68"/>
      <c r="E255" s="58"/>
      <c r="F255" s="58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8"/>
      <c r="D256" s="68"/>
      <c r="E256" s="58"/>
      <c r="F256" s="58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8"/>
      <c r="D257" s="68"/>
      <c r="E257" s="58"/>
      <c r="F257" s="58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8"/>
      <c r="D258" s="68"/>
      <c r="E258" s="58"/>
      <c r="F258" s="58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8"/>
      <c r="D259" s="68"/>
      <c r="E259" s="58"/>
      <c r="F259" s="58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8"/>
      <c r="D260" s="68"/>
      <c r="E260" s="58"/>
      <c r="F260" s="58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8"/>
      <c r="D261" s="68"/>
      <c r="E261" s="58"/>
      <c r="F261" s="58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8"/>
      <c r="D262" s="68"/>
      <c r="E262" s="58"/>
      <c r="F262" s="58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8"/>
      <c r="D263" s="68"/>
      <c r="E263" s="58"/>
      <c r="F263" s="58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8"/>
      <c r="D264" s="68"/>
      <c r="E264" s="58"/>
      <c r="F264" s="58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8"/>
      <c r="D265" s="68"/>
      <c r="E265" s="58"/>
      <c r="F265" s="58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8"/>
      <c r="D266" s="68"/>
      <c r="E266" s="58"/>
      <c r="F266" s="58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8"/>
      <c r="D267" s="68"/>
      <c r="E267" s="58"/>
      <c r="F267" s="58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8"/>
      <c r="D268" s="68"/>
      <c r="E268" s="58"/>
      <c r="F268" s="58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8"/>
      <c r="D269" s="68"/>
      <c r="E269" s="58"/>
      <c r="F269" s="58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8"/>
      <c r="D270" s="68"/>
      <c r="E270" s="58"/>
      <c r="F270" s="58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8"/>
      <c r="D271" s="68"/>
      <c r="E271" s="58"/>
      <c r="F271" s="58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8"/>
      <c r="D272" s="68"/>
      <c r="E272" s="58"/>
      <c r="F272" s="58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8"/>
      <c r="D273" s="68"/>
      <c r="E273" s="58"/>
      <c r="F273" s="58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8"/>
      <c r="D274" s="68"/>
      <c r="E274" s="58"/>
      <c r="F274" s="58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8"/>
      <c r="D275" s="68"/>
      <c r="E275" s="58"/>
      <c r="F275" s="58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8"/>
      <c r="D276" s="68"/>
      <c r="E276" s="58"/>
      <c r="F276" s="58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8"/>
      <c r="D277" s="68"/>
      <c r="E277" s="58"/>
      <c r="F277" s="58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8"/>
      <c r="D278" s="68"/>
      <c r="E278" s="58"/>
      <c r="F278" s="58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8"/>
      <c r="D279" s="68"/>
      <c r="E279" s="58"/>
      <c r="F279" s="58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8"/>
      <c r="D280" s="68"/>
      <c r="E280" s="58"/>
      <c r="F280" s="58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8"/>
      <c r="D281" s="68"/>
      <c r="E281" s="58"/>
      <c r="F281" s="58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8"/>
      <c r="D282" s="68"/>
      <c r="E282" s="58"/>
      <c r="F282" s="58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8"/>
      <c r="D283" s="68"/>
      <c r="E283" s="58"/>
      <c r="F283" s="58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8"/>
      <c r="D284" s="68"/>
      <c r="E284" s="58"/>
      <c r="F284" s="58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8"/>
      <c r="D285" s="68"/>
      <c r="E285" s="58"/>
      <c r="F285" s="58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8"/>
      <c r="D286" s="68"/>
      <c r="E286" s="58"/>
      <c r="F286" s="58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8"/>
      <c r="D287" s="68"/>
      <c r="E287" s="58"/>
      <c r="F287" s="58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8"/>
      <c r="D288" s="68"/>
      <c r="E288" s="58"/>
      <c r="F288" s="58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8"/>
      <c r="D289" s="68"/>
      <c r="E289" s="58"/>
      <c r="F289" s="58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8"/>
      <c r="D290" s="68"/>
      <c r="E290" s="58"/>
      <c r="F290" s="58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8"/>
      <c r="D291" s="68"/>
      <c r="E291" s="58"/>
      <c r="F291" s="58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8"/>
      <c r="D292" s="68"/>
      <c r="E292" s="58"/>
      <c r="F292" s="58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8"/>
      <c r="D293" s="68"/>
      <c r="E293" s="58"/>
      <c r="F293" s="58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8"/>
      <c r="D294" s="68"/>
      <c r="E294" s="58"/>
      <c r="F294" s="58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8"/>
      <c r="D295" s="68"/>
      <c r="E295" s="58"/>
      <c r="F295" s="58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8"/>
      <c r="D296" s="68"/>
      <c r="E296" s="58"/>
      <c r="F296" s="58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8"/>
      <c r="D297" s="68"/>
      <c r="E297" s="58"/>
      <c r="F297" s="58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8"/>
      <c r="D298" s="68"/>
      <c r="E298" s="58"/>
      <c r="F298" s="58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8"/>
      <c r="D299" s="68"/>
      <c r="E299" s="58"/>
      <c r="F299" s="58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8"/>
      <c r="D300" s="68"/>
      <c r="E300" s="58"/>
      <c r="F300" s="58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8"/>
      <c r="D301" s="68"/>
      <c r="E301" s="58"/>
      <c r="F301" s="58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8"/>
      <c r="D302" s="68"/>
      <c r="E302" s="58"/>
      <c r="F302" s="58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8"/>
      <c r="D303" s="68"/>
      <c r="E303" s="58"/>
      <c r="F303" s="58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8"/>
      <c r="D304" s="68"/>
      <c r="E304" s="58"/>
      <c r="F304" s="58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8"/>
      <c r="D305" s="68"/>
      <c r="E305" s="58"/>
      <c r="F305" s="58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8"/>
      <c r="D306" s="68"/>
      <c r="E306" s="58"/>
      <c r="F306" s="58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8"/>
      <c r="D307" s="68"/>
      <c r="E307" s="58"/>
      <c r="F307" s="58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8"/>
      <c r="D308" s="68"/>
      <c r="E308" s="58"/>
      <c r="F308" s="58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8"/>
      <c r="D309" s="68"/>
      <c r="E309" s="58"/>
      <c r="F309" s="58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8"/>
      <c r="D310" s="68"/>
      <c r="E310" s="58"/>
      <c r="F310" s="58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8"/>
      <c r="D311" s="68"/>
      <c r="E311" s="58"/>
      <c r="F311" s="58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8"/>
      <c r="D312" s="68"/>
      <c r="E312" s="58"/>
      <c r="F312" s="58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8"/>
      <c r="D313" s="68"/>
      <c r="E313" s="58"/>
      <c r="F313" s="58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8"/>
      <c r="D314" s="68"/>
      <c r="E314" s="58"/>
      <c r="F314" s="58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8"/>
      <c r="D315" s="68"/>
      <c r="E315" s="58"/>
      <c r="F315" s="58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8"/>
      <c r="D316" s="68"/>
      <c r="E316" s="58"/>
      <c r="F316" s="58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8"/>
      <c r="D317" s="68"/>
      <c r="E317" s="58"/>
      <c r="F317" s="58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8"/>
      <c r="D318" s="68"/>
      <c r="E318" s="58"/>
      <c r="F318" s="58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8"/>
      <c r="D319" s="68"/>
      <c r="E319" s="58"/>
      <c r="F319" s="58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8"/>
      <c r="D320" s="68"/>
      <c r="E320" s="58"/>
      <c r="F320" s="58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8"/>
      <c r="D321" s="68"/>
      <c r="E321" s="58"/>
      <c r="F321" s="58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8"/>
      <c r="D322" s="68"/>
      <c r="E322" s="58"/>
      <c r="F322" s="58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8"/>
      <c r="D323" s="68"/>
      <c r="E323" s="58"/>
      <c r="F323" s="58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8"/>
      <c r="D324" s="68"/>
      <c r="E324" s="58"/>
      <c r="F324" s="58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8"/>
      <c r="D325" s="68"/>
      <c r="E325" s="58"/>
      <c r="F325" s="58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8"/>
      <c r="D326" s="68"/>
      <c r="E326" s="58"/>
      <c r="F326" s="58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8"/>
      <c r="D327" s="68"/>
      <c r="E327" s="58"/>
      <c r="F327" s="58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8"/>
      <c r="D328" s="68"/>
      <c r="E328" s="58"/>
      <c r="F328" s="58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8"/>
      <c r="D329" s="68"/>
      <c r="E329" s="58"/>
      <c r="F329" s="58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8"/>
      <c r="D330" s="68"/>
      <c r="E330" s="58"/>
      <c r="F330" s="58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8"/>
      <c r="D331" s="68"/>
      <c r="E331" s="58"/>
      <c r="F331" s="58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8"/>
      <c r="D332" s="68"/>
      <c r="E332" s="58"/>
      <c r="F332" s="58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8"/>
      <c r="D333" s="68"/>
      <c r="E333" s="58"/>
      <c r="F333" s="58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8"/>
      <c r="D334" s="68"/>
      <c r="E334" s="58"/>
      <c r="F334" s="58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8"/>
      <c r="D335" s="68"/>
      <c r="E335" s="58"/>
      <c r="F335" s="58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8"/>
      <c r="D336" s="68"/>
      <c r="E336" s="58"/>
      <c r="F336" s="58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8"/>
      <c r="D337" s="68"/>
      <c r="E337" s="58"/>
      <c r="F337" s="58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8"/>
      <c r="D338" s="68"/>
      <c r="E338" s="58"/>
      <c r="F338" s="58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8"/>
      <c r="D339" s="68"/>
      <c r="E339" s="58"/>
      <c r="F339" s="58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8"/>
      <c r="D340" s="68"/>
      <c r="E340" s="58"/>
      <c r="F340" s="58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8"/>
      <c r="D341" s="68"/>
      <c r="E341" s="58"/>
      <c r="F341" s="58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8"/>
      <c r="D342" s="68"/>
      <c r="E342" s="58"/>
      <c r="F342" s="58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8"/>
      <c r="D343" s="68"/>
      <c r="E343" s="58"/>
      <c r="F343" s="58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8"/>
      <c r="D344" s="68"/>
      <c r="E344" s="58"/>
      <c r="F344" s="58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8"/>
      <c r="D345" s="68"/>
      <c r="E345" s="58"/>
      <c r="F345" s="58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8"/>
      <c r="D346" s="68"/>
      <c r="E346" s="58"/>
      <c r="F346" s="58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8"/>
      <c r="D347" s="68"/>
      <c r="E347" s="58"/>
      <c r="F347" s="58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8"/>
      <c r="D348" s="68"/>
      <c r="E348" s="58"/>
      <c r="F348" s="58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8"/>
      <c r="D349" s="68"/>
      <c r="E349" s="58"/>
      <c r="F349" s="58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8"/>
      <c r="D350" s="68"/>
      <c r="E350" s="58"/>
      <c r="F350" s="58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8"/>
      <c r="D351" s="68"/>
      <c r="E351" s="58"/>
      <c r="F351" s="58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8"/>
      <c r="D352" s="68"/>
      <c r="E352" s="58"/>
      <c r="F352" s="58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8"/>
      <c r="D353" s="68"/>
      <c r="E353" s="58"/>
      <c r="F353" s="58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8"/>
      <c r="D354" s="68"/>
      <c r="E354" s="58"/>
      <c r="F354" s="58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8"/>
      <c r="D355" s="68"/>
      <c r="E355" s="58"/>
      <c r="F355" s="58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8"/>
      <c r="D356" s="68"/>
      <c r="E356" s="58"/>
      <c r="F356" s="58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8"/>
      <c r="D357" s="68"/>
      <c r="E357" s="58"/>
      <c r="F357" s="58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8"/>
      <c r="D358" s="68"/>
      <c r="E358" s="58"/>
      <c r="F358" s="58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8"/>
      <c r="D359" s="68"/>
      <c r="E359" s="58"/>
      <c r="F359" s="58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8"/>
      <c r="D360" s="68"/>
      <c r="E360" s="58"/>
      <c r="F360" s="58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8"/>
      <c r="D361" s="68"/>
      <c r="E361" s="58"/>
      <c r="F361" s="58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8"/>
      <c r="D362" s="68"/>
      <c r="E362" s="58"/>
      <c r="F362" s="58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8"/>
      <c r="D363" s="68"/>
      <c r="E363" s="58"/>
      <c r="F363" s="58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8"/>
      <c r="D364" s="68"/>
      <c r="E364" s="58"/>
      <c r="F364" s="58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8"/>
      <c r="D365" s="68"/>
      <c r="E365" s="58"/>
      <c r="F365" s="58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8"/>
      <c r="D366" s="68"/>
      <c r="E366" s="58"/>
      <c r="F366" s="58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8"/>
      <c r="D367" s="68"/>
      <c r="E367" s="58"/>
      <c r="F367" s="58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8"/>
      <c r="D368" s="68"/>
      <c r="E368" s="58"/>
      <c r="F368" s="58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8"/>
      <c r="D369" s="68"/>
      <c r="E369" s="58"/>
      <c r="F369" s="58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8"/>
      <c r="D370" s="68"/>
      <c r="E370" s="58"/>
      <c r="F370" s="58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8"/>
      <c r="D371" s="68"/>
      <c r="E371" s="58"/>
      <c r="F371" s="58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8"/>
      <c r="D372" s="68"/>
      <c r="E372" s="58"/>
      <c r="F372" s="58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8"/>
      <c r="D373" s="68"/>
      <c r="E373" s="58"/>
      <c r="F373" s="58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8"/>
      <c r="D374" s="68"/>
      <c r="E374" s="58"/>
      <c r="F374" s="58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8"/>
      <c r="D375" s="68"/>
      <c r="E375" s="58"/>
      <c r="F375" s="58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8"/>
      <c r="D376" s="68"/>
      <c r="E376" s="58"/>
      <c r="F376" s="58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8"/>
      <c r="D377" s="68"/>
      <c r="E377" s="58"/>
      <c r="F377" s="58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8"/>
      <c r="D378" s="68"/>
      <c r="E378" s="58"/>
      <c r="F378" s="58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8"/>
      <c r="D379" s="68"/>
      <c r="E379" s="58"/>
      <c r="F379" s="58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8"/>
      <c r="D380" s="68"/>
      <c r="E380" s="58"/>
      <c r="F380" s="58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8"/>
      <c r="D381" s="68"/>
      <c r="E381" s="58"/>
      <c r="F381" s="58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8"/>
      <c r="D382" s="68"/>
      <c r="E382" s="58"/>
      <c r="F382" s="58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8"/>
      <c r="D383" s="68"/>
      <c r="E383" s="58"/>
      <c r="F383" s="58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8"/>
      <c r="D384" s="68"/>
      <c r="E384" s="58"/>
      <c r="F384" s="58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8"/>
      <c r="D385" s="68"/>
      <c r="E385" s="58"/>
      <c r="F385" s="58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8"/>
      <c r="D386" s="68"/>
      <c r="E386" s="58"/>
      <c r="F386" s="58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8"/>
      <c r="D387" s="68"/>
      <c r="E387" s="58"/>
      <c r="F387" s="58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8"/>
      <c r="D388" s="68"/>
      <c r="E388" s="58"/>
      <c r="F388" s="58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8"/>
      <c r="D389" s="68"/>
      <c r="E389" s="58"/>
      <c r="F389" s="58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8"/>
      <c r="D390" s="68"/>
      <c r="E390" s="58"/>
      <c r="F390" s="58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8"/>
      <c r="D391" s="68"/>
      <c r="E391" s="58"/>
      <c r="F391" s="58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8"/>
      <c r="D392" s="68"/>
      <c r="E392" s="58"/>
      <c r="F392" s="58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8"/>
      <c r="D393" s="68"/>
      <c r="E393" s="58"/>
      <c r="F393" s="58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8"/>
      <c r="D394" s="68"/>
      <c r="E394" s="58"/>
      <c r="F394" s="58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8"/>
      <c r="D395" s="68"/>
      <c r="E395" s="58"/>
      <c r="F395" s="58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8"/>
      <c r="D396" s="68"/>
      <c r="E396" s="58"/>
      <c r="F396" s="58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8"/>
      <c r="D397" s="68"/>
      <c r="E397" s="58"/>
      <c r="F397" s="58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8"/>
      <c r="D398" s="68"/>
      <c r="E398" s="58"/>
      <c r="F398" s="58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8"/>
      <c r="D399" s="68"/>
      <c r="E399" s="58"/>
      <c r="F399" s="58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8"/>
      <c r="D400" s="68"/>
      <c r="E400" s="58"/>
      <c r="F400" s="58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8"/>
      <c r="D401" s="68"/>
      <c r="E401" s="58"/>
      <c r="F401" s="58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8"/>
      <c r="D402" s="68"/>
      <c r="E402" s="58"/>
      <c r="F402" s="58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8"/>
      <c r="D403" s="68"/>
      <c r="E403" s="58"/>
      <c r="F403" s="58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8"/>
      <c r="D404" s="68"/>
      <c r="E404" s="58"/>
      <c r="F404" s="58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8"/>
      <c r="D405" s="68"/>
      <c r="E405" s="58"/>
      <c r="F405" s="58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8"/>
      <c r="D406" s="68"/>
      <c r="E406" s="58"/>
      <c r="F406" s="58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8"/>
      <c r="D407" s="68"/>
      <c r="E407" s="58"/>
      <c r="F407" s="58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8"/>
      <c r="D408" s="68"/>
      <c r="E408" s="58"/>
      <c r="F408" s="58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8"/>
      <c r="D409" s="68"/>
      <c r="E409" s="58"/>
      <c r="F409" s="58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8"/>
      <c r="D410" s="68"/>
      <c r="E410" s="58"/>
      <c r="F410" s="58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8"/>
      <c r="D411" s="68"/>
      <c r="E411" s="58"/>
      <c r="F411" s="58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8"/>
      <c r="D412" s="68"/>
      <c r="E412" s="58"/>
      <c r="F412" s="58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8"/>
      <c r="D413" s="68"/>
      <c r="E413" s="58"/>
      <c r="F413" s="58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8"/>
      <c r="D414" s="68"/>
      <c r="E414" s="58"/>
      <c r="F414" s="58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8"/>
      <c r="D415" s="68"/>
      <c r="E415" s="58"/>
      <c r="F415" s="58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8"/>
      <c r="D416" s="68"/>
      <c r="E416" s="58"/>
      <c r="F416" s="58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8"/>
      <c r="D417" s="68"/>
      <c r="E417" s="58"/>
      <c r="F417" s="58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8"/>
      <c r="D418" s="68"/>
      <c r="E418" s="58"/>
      <c r="F418" s="58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8"/>
      <c r="D419" s="68"/>
      <c r="E419" s="58"/>
      <c r="F419" s="58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8"/>
      <c r="D420" s="68"/>
      <c r="E420" s="58"/>
      <c r="F420" s="58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8"/>
      <c r="D421" s="68"/>
      <c r="E421" s="58"/>
      <c r="F421" s="58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8"/>
      <c r="D422" s="68"/>
      <c r="E422" s="58"/>
      <c r="F422" s="58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8"/>
      <c r="D423" s="68"/>
      <c r="E423" s="58"/>
      <c r="F423" s="58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8"/>
      <c r="D424" s="68"/>
      <c r="E424" s="58"/>
      <c r="F424" s="58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8"/>
      <c r="D425" s="68"/>
      <c r="E425" s="58"/>
      <c r="F425" s="58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8"/>
      <c r="D426" s="68"/>
      <c r="E426" s="58"/>
      <c r="F426" s="58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8"/>
      <c r="D427" s="68"/>
      <c r="E427" s="58"/>
      <c r="F427" s="58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8"/>
      <c r="D428" s="68"/>
      <c r="E428" s="58"/>
      <c r="F428" s="58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8"/>
      <c r="D429" s="68"/>
      <c r="E429" s="58"/>
      <c r="F429" s="58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8"/>
      <c r="D430" s="68"/>
      <c r="E430" s="58"/>
      <c r="F430" s="58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8"/>
      <c r="D431" s="68"/>
      <c r="E431" s="58"/>
      <c r="F431" s="58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8"/>
      <c r="D432" s="68"/>
      <c r="E432" s="58"/>
      <c r="F432" s="58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8"/>
      <c r="D433" s="68"/>
      <c r="E433" s="58"/>
      <c r="F433" s="58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8"/>
      <c r="D434" s="68"/>
      <c r="E434" s="58"/>
      <c r="F434" s="58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8"/>
      <c r="D435" s="68"/>
      <c r="E435" s="58"/>
      <c r="F435" s="58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8"/>
      <c r="D436" s="68"/>
      <c r="E436" s="58"/>
      <c r="F436" s="58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8"/>
      <c r="D437" s="68"/>
      <c r="E437" s="58"/>
      <c r="F437" s="58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8"/>
      <c r="D438" s="68"/>
      <c r="E438" s="58"/>
      <c r="F438" s="58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8"/>
      <c r="D439" s="68"/>
      <c r="E439" s="58"/>
      <c r="F439" s="58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8"/>
      <c r="D440" s="68"/>
      <c r="E440" s="58"/>
      <c r="F440" s="58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8"/>
      <c r="D441" s="68"/>
      <c r="E441" s="58"/>
      <c r="F441" s="58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8"/>
      <c r="D442" s="68"/>
      <c r="E442" s="58"/>
      <c r="F442" s="58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8"/>
      <c r="D443" s="68"/>
      <c r="E443" s="58"/>
      <c r="F443" s="58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8"/>
      <c r="D444" s="68"/>
      <c r="E444" s="58"/>
      <c r="F444" s="58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8"/>
      <c r="D445" s="68"/>
      <c r="E445" s="58"/>
      <c r="F445" s="58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8"/>
      <c r="D446" s="68"/>
      <c r="E446" s="58"/>
      <c r="F446" s="58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8"/>
      <c r="D447" s="68"/>
      <c r="E447" s="58"/>
      <c r="F447" s="58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8"/>
      <c r="D448" s="68"/>
      <c r="E448" s="58"/>
      <c r="F448" s="58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8"/>
      <c r="D449" s="68"/>
      <c r="E449" s="58"/>
      <c r="F449" s="58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8"/>
      <c r="D450" s="68"/>
      <c r="E450" s="58"/>
      <c r="F450" s="58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8"/>
      <c r="D451" s="68"/>
      <c r="E451" s="58"/>
      <c r="F451" s="58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8"/>
      <c r="D452" s="68"/>
      <c r="E452" s="58"/>
      <c r="F452" s="58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8"/>
      <c r="D453" s="68"/>
      <c r="E453" s="58"/>
      <c r="F453" s="58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8"/>
      <c r="D454" s="68"/>
      <c r="E454" s="58"/>
      <c r="F454" s="58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8"/>
      <c r="D455" s="68"/>
      <c r="E455" s="58"/>
      <c r="F455" s="58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8"/>
      <c r="D456" s="68"/>
      <c r="E456" s="58"/>
      <c r="F456" s="58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8"/>
      <c r="D457" s="68"/>
      <c r="E457" s="58"/>
      <c r="F457" s="58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8"/>
      <c r="D458" s="68"/>
      <c r="E458" s="58"/>
      <c r="F458" s="58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8"/>
      <c r="D459" s="68"/>
      <c r="E459" s="58"/>
      <c r="F459" s="58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8"/>
      <c r="D460" s="68"/>
      <c r="E460" s="58"/>
      <c r="F460" s="58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8"/>
      <c r="D461" s="68"/>
      <c r="E461" s="58"/>
      <c r="F461" s="58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8"/>
      <c r="D462" s="68"/>
      <c r="E462" s="58"/>
      <c r="F462" s="58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8"/>
      <c r="D463" s="68"/>
      <c r="E463" s="58"/>
      <c r="F463" s="58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8"/>
      <c r="D464" s="68"/>
      <c r="E464" s="58"/>
      <c r="F464" s="58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8"/>
      <c r="D465" s="68"/>
      <c r="E465" s="58"/>
      <c r="F465" s="58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8"/>
      <c r="D466" s="68"/>
      <c r="E466" s="58"/>
      <c r="F466" s="58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8"/>
      <c r="D467" s="68"/>
      <c r="E467" s="58"/>
      <c r="F467" s="58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8"/>
      <c r="D468" s="68"/>
      <c r="E468" s="58"/>
      <c r="F468" s="58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8"/>
      <c r="D469" s="68"/>
      <c r="E469" s="58"/>
      <c r="F469" s="58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8"/>
      <c r="D470" s="68"/>
      <c r="E470" s="58"/>
      <c r="F470" s="58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8"/>
      <c r="D471" s="68"/>
      <c r="E471" s="58"/>
      <c r="F471" s="58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8"/>
      <c r="D472" s="68"/>
      <c r="E472" s="58"/>
      <c r="F472" s="58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8"/>
      <c r="D473" s="68"/>
      <c r="E473" s="58"/>
      <c r="F473" s="58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8"/>
      <c r="D474" s="68"/>
      <c r="E474" s="58"/>
      <c r="F474" s="58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8"/>
      <c r="D475" s="68"/>
      <c r="E475" s="58"/>
      <c r="F475" s="58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8"/>
      <c r="D476" s="68"/>
      <c r="E476" s="58"/>
      <c r="F476" s="58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8"/>
      <c r="D477" s="68"/>
      <c r="E477" s="58"/>
      <c r="F477" s="58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8"/>
      <c r="D478" s="68"/>
      <c r="E478" s="58"/>
      <c r="F478" s="58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8"/>
      <c r="D479" s="68"/>
      <c r="E479" s="58"/>
      <c r="F479" s="58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8"/>
      <c r="D480" s="68"/>
      <c r="E480" s="58"/>
      <c r="F480" s="58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8"/>
      <c r="D481" s="68"/>
      <c r="E481" s="58"/>
      <c r="F481" s="58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8"/>
      <c r="D482" s="68"/>
      <c r="E482" s="58"/>
      <c r="F482" s="58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8"/>
      <c r="D483" s="68"/>
      <c r="E483" s="58"/>
      <c r="F483" s="58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8"/>
      <c r="D484" s="68"/>
      <c r="E484" s="58"/>
      <c r="F484" s="58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8"/>
      <c r="D485" s="68"/>
      <c r="E485" s="58"/>
      <c r="F485" s="58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8"/>
      <c r="D486" s="68"/>
      <c r="E486" s="58"/>
      <c r="F486" s="58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8"/>
      <c r="D487" s="68"/>
      <c r="E487" s="58"/>
      <c r="F487" s="58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8"/>
      <c r="D488" s="68"/>
      <c r="E488" s="58"/>
      <c r="F488" s="58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8"/>
      <c r="D489" s="68"/>
      <c r="E489" s="58"/>
      <c r="F489" s="58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8"/>
      <c r="D490" s="68"/>
      <c r="E490" s="58"/>
      <c r="F490" s="58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8"/>
      <c r="D491" s="68"/>
      <c r="E491" s="58"/>
      <c r="F491" s="58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8"/>
      <c r="D492" s="68"/>
      <c r="E492" s="58"/>
      <c r="F492" s="58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8"/>
      <c r="D493" s="68"/>
      <c r="E493" s="58"/>
      <c r="F493" s="58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8"/>
      <c r="D494" s="68"/>
      <c r="E494" s="58"/>
      <c r="F494" s="58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8"/>
      <c r="D495" s="68"/>
      <c r="E495" s="58"/>
      <c r="F495" s="58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8"/>
      <c r="D496" s="68"/>
      <c r="E496" s="58"/>
      <c r="F496" s="58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8"/>
      <c r="D497" s="68"/>
      <c r="E497" s="58"/>
      <c r="F497" s="58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8"/>
      <c r="D498" s="68"/>
      <c r="E498" s="58"/>
      <c r="F498" s="58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8"/>
      <c r="D499" s="68"/>
      <c r="E499" s="58"/>
      <c r="F499" s="58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8"/>
      <c r="D500" s="68"/>
      <c r="E500" s="58"/>
      <c r="F500" s="58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8"/>
      <c r="D501" s="68"/>
      <c r="E501" s="58"/>
      <c r="F501" s="58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8"/>
      <c r="D502" s="68"/>
      <c r="E502" s="58"/>
      <c r="F502" s="58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8"/>
      <c r="D503" s="68"/>
      <c r="E503" s="58"/>
      <c r="F503" s="58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8"/>
      <c r="D504" s="68"/>
      <c r="E504" s="58"/>
      <c r="F504" s="58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8"/>
      <c r="D505" s="68"/>
      <c r="E505" s="58"/>
      <c r="F505" s="58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8"/>
      <c r="D506" s="68"/>
      <c r="E506" s="58"/>
      <c r="F506" s="58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8"/>
      <c r="D507" s="68"/>
      <c r="E507" s="58"/>
      <c r="F507" s="58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8"/>
      <c r="D508" s="68"/>
      <c r="E508" s="58"/>
      <c r="F508" s="58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8"/>
      <c r="D509" s="68"/>
      <c r="E509" s="58"/>
      <c r="F509" s="58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8"/>
      <c r="D510" s="68"/>
      <c r="E510" s="58"/>
      <c r="F510" s="58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8"/>
      <c r="D511" s="68"/>
      <c r="E511" s="58"/>
      <c r="F511" s="58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8"/>
      <c r="D512" s="68"/>
      <c r="E512" s="58"/>
      <c r="F512" s="58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8"/>
      <c r="D513" s="68"/>
      <c r="E513" s="58"/>
      <c r="F513" s="58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8"/>
      <c r="D514" s="68"/>
      <c r="E514" s="58"/>
      <c r="F514" s="58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8"/>
      <c r="D515" s="68"/>
      <c r="E515" s="58"/>
      <c r="F515" s="58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8"/>
      <c r="D516" s="68"/>
      <c r="E516" s="58"/>
      <c r="F516" s="58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8"/>
      <c r="D517" s="68"/>
      <c r="E517" s="58"/>
      <c r="F517" s="58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8"/>
      <c r="D518" s="68"/>
      <c r="E518" s="58"/>
      <c r="F518" s="58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8"/>
      <c r="D519" s="68"/>
      <c r="E519" s="58"/>
      <c r="F519" s="58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8"/>
      <c r="D520" s="68"/>
      <c r="E520" s="58"/>
      <c r="F520" s="58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8"/>
      <c r="D521" s="68"/>
      <c r="E521" s="58"/>
      <c r="F521" s="58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8"/>
      <c r="D522" s="68"/>
      <c r="E522" s="58"/>
      <c r="F522" s="58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8"/>
      <c r="D523" s="68"/>
      <c r="E523" s="58"/>
      <c r="F523" s="58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8"/>
      <c r="D524" s="68"/>
      <c r="E524" s="58"/>
      <c r="F524" s="58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8"/>
      <c r="D525" s="68"/>
      <c r="E525" s="58"/>
      <c r="F525" s="58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8"/>
      <c r="D526" s="68"/>
      <c r="E526" s="58"/>
      <c r="F526" s="58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8"/>
      <c r="D527" s="68"/>
      <c r="E527" s="58"/>
      <c r="F527" s="58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8"/>
      <c r="D528" s="68"/>
      <c r="E528" s="58"/>
      <c r="F528" s="58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8"/>
      <c r="D529" s="68"/>
      <c r="E529" s="58"/>
      <c r="F529" s="58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8"/>
      <c r="D530" s="68"/>
      <c r="E530" s="58"/>
      <c r="F530" s="58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8"/>
      <c r="D531" s="68"/>
      <c r="E531" s="58"/>
      <c r="F531" s="58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8"/>
      <c r="D532" s="68"/>
      <c r="E532" s="58"/>
      <c r="F532" s="58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8"/>
      <c r="D533" s="68"/>
      <c r="E533" s="58"/>
      <c r="F533" s="58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8"/>
      <c r="D534" s="68"/>
      <c r="E534" s="58"/>
      <c r="F534" s="58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8"/>
      <c r="D535" s="68"/>
      <c r="E535" s="58"/>
      <c r="F535" s="58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8"/>
      <c r="D536" s="68"/>
      <c r="E536" s="58"/>
      <c r="F536" s="58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8"/>
      <c r="D537" s="68"/>
      <c r="E537" s="58"/>
      <c r="F537" s="58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8"/>
      <c r="D538" s="68"/>
      <c r="E538" s="58"/>
      <c r="F538" s="58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8"/>
      <c r="D539" s="68"/>
      <c r="E539" s="58"/>
      <c r="F539" s="58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8"/>
      <c r="D540" s="68"/>
      <c r="E540" s="58"/>
      <c r="F540" s="58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8"/>
      <c r="D541" s="68"/>
      <c r="E541" s="58"/>
      <c r="F541" s="58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8"/>
      <c r="D542" s="68"/>
      <c r="E542" s="58"/>
      <c r="F542" s="58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8"/>
      <c r="D543" s="68"/>
      <c r="E543" s="58"/>
      <c r="F543" s="58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8"/>
      <c r="D544" s="68"/>
      <c r="E544" s="58"/>
      <c r="F544" s="58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8"/>
      <c r="D545" s="68"/>
      <c r="E545" s="58"/>
      <c r="F545" s="58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8"/>
      <c r="D546" s="68"/>
      <c r="E546" s="58"/>
      <c r="F546" s="58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8"/>
      <c r="D547" s="68"/>
      <c r="E547" s="58"/>
      <c r="F547" s="58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8"/>
      <c r="D548" s="68"/>
      <c r="E548" s="58"/>
      <c r="F548" s="58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8"/>
      <c r="D549" s="68"/>
      <c r="E549" s="58"/>
      <c r="F549" s="58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8"/>
      <c r="D550" s="68"/>
      <c r="E550" s="58"/>
      <c r="F550" s="58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8"/>
      <c r="D551" s="68"/>
      <c r="E551" s="58"/>
      <c r="F551" s="58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8"/>
      <c r="D552" s="68"/>
      <c r="E552" s="58"/>
      <c r="F552" s="58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8"/>
      <c r="D553" s="68"/>
      <c r="E553" s="58"/>
      <c r="F553" s="58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8"/>
      <c r="D554" s="68"/>
      <c r="E554" s="58"/>
      <c r="F554" s="58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8"/>
      <c r="D555" s="68"/>
      <c r="E555" s="58"/>
      <c r="F555" s="58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8"/>
      <c r="D556" s="68"/>
      <c r="E556" s="58"/>
      <c r="F556" s="58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8"/>
      <c r="D557" s="68"/>
      <c r="E557" s="58"/>
      <c r="F557" s="58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8"/>
      <c r="D558" s="68"/>
      <c r="E558" s="58"/>
      <c r="F558" s="58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8"/>
      <c r="D559" s="68"/>
      <c r="E559" s="58"/>
      <c r="F559" s="58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8"/>
      <c r="D560" s="68"/>
      <c r="E560" s="58"/>
      <c r="F560" s="58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8"/>
      <c r="D561" s="68"/>
      <c r="E561" s="58"/>
      <c r="F561" s="58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8"/>
      <c r="D562" s="68"/>
      <c r="E562" s="58"/>
      <c r="F562" s="58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8"/>
      <c r="D563" s="68"/>
      <c r="E563" s="58"/>
      <c r="F563" s="58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8"/>
      <c r="D564" s="68"/>
      <c r="E564" s="58"/>
      <c r="F564" s="58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8"/>
      <c r="D565" s="68"/>
      <c r="E565" s="58"/>
      <c r="F565" s="58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8"/>
      <c r="D566" s="68"/>
      <c r="E566" s="58"/>
      <c r="F566" s="58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8"/>
      <c r="D567" s="68"/>
      <c r="E567" s="58"/>
      <c r="F567" s="58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8"/>
      <c r="D568" s="68"/>
      <c r="E568" s="58"/>
      <c r="F568" s="58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8"/>
      <c r="D569" s="68"/>
      <c r="E569" s="58"/>
      <c r="F569" s="58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8"/>
      <c r="D570" s="68"/>
      <c r="E570" s="58"/>
      <c r="F570" s="58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8"/>
      <c r="D571" s="68"/>
      <c r="E571" s="58"/>
      <c r="F571" s="58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8"/>
      <c r="D572" s="68"/>
      <c r="E572" s="58"/>
      <c r="F572" s="58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8"/>
      <c r="D573" s="68"/>
      <c r="E573" s="58"/>
      <c r="F573" s="58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8"/>
      <c r="D574" s="68"/>
      <c r="E574" s="58"/>
      <c r="F574" s="58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8"/>
      <c r="D575" s="68"/>
      <c r="E575" s="58"/>
      <c r="F575" s="58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8"/>
      <c r="D576" s="68"/>
      <c r="E576" s="58"/>
      <c r="F576" s="58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8"/>
      <c r="D577" s="68"/>
      <c r="E577" s="58"/>
      <c r="F577" s="58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8"/>
      <c r="D578" s="68"/>
      <c r="E578" s="58"/>
      <c r="F578" s="58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8"/>
      <c r="D579" s="68"/>
      <c r="E579" s="58"/>
      <c r="F579" s="58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8"/>
      <c r="D580" s="68"/>
      <c r="E580" s="58"/>
      <c r="F580" s="58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8"/>
      <c r="D581" s="68"/>
      <c r="E581" s="58"/>
      <c r="F581" s="58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8"/>
      <c r="D582" s="68"/>
      <c r="E582" s="58"/>
      <c r="F582" s="58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8"/>
      <c r="D583" s="68"/>
      <c r="E583" s="58"/>
      <c r="F583" s="58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8"/>
      <c r="D584" s="68"/>
      <c r="E584" s="58"/>
      <c r="F584" s="58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8"/>
      <c r="D585" s="68"/>
      <c r="E585" s="58"/>
      <c r="F585" s="58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8"/>
      <c r="D586" s="68"/>
      <c r="E586" s="58"/>
      <c r="F586" s="58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8"/>
      <c r="D587" s="68"/>
      <c r="E587" s="58"/>
      <c r="F587" s="58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8"/>
      <c r="D588" s="68"/>
      <c r="E588" s="58"/>
      <c r="F588" s="58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8"/>
      <c r="D589" s="68"/>
      <c r="E589" s="58"/>
      <c r="F589" s="58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8"/>
      <c r="D590" s="68"/>
      <c r="E590" s="58"/>
      <c r="F590" s="58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8"/>
      <c r="D591" s="68"/>
      <c r="E591" s="58"/>
      <c r="F591" s="58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8"/>
      <c r="D592" s="68"/>
      <c r="E592" s="58"/>
      <c r="F592" s="58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8"/>
      <c r="D593" s="68"/>
      <c r="E593" s="58"/>
      <c r="F593" s="58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8"/>
      <c r="D594" s="68"/>
      <c r="E594" s="58"/>
      <c r="F594" s="58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8"/>
      <c r="D595" s="68"/>
      <c r="E595" s="58"/>
      <c r="F595" s="58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8"/>
      <c r="D596" s="68"/>
      <c r="E596" s="58"/>
      <c r="F596" s="58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8"/>
      <c r="D597" s="68"/>
      <c r="E597" s="58"/>
      <c r="F597" s="58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8"/>
      <c r="D598" s="68"/>
      <c r="E598" s="58"/>
      <c r="F598" s="58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8"/>
      <c r="D599" s="68"/>
      <c r="E599" s="58"/>
      <c r="F599" s="58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8"/>
      <c r="D600" s="68"/>
      <c r="E600" s="58"/>
      <c r="F600" s="58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8"/>
      <c r="D601" s="68"/>
      <c r="E601" s="58"/>
      <c r="F601" s="58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8"/>
      <c r="D602" s="68"/>
      <c r="E602" s="58"/>
      <c r="F602" s="58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8"/>
      <c r="D603" s="68"/>
      <c r="E603" s="58"/>
      <c r="F603" s="58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8"/>
      <c r="D604" s="68"/>
      <c r="E604" s="58"/>
      <c r="F604" s="58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8"/>
      <c r="D605" s="68"/>
      <c r="E605" s="58"/>
      <c r="F605" s="58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8"/>
      <c r="D606" s="68"/>
      <c r="E606" s="58"/>
      <c r="F606" s="58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8"/>
      <c r="D607" s="68"/>
      <c r="E607" s="58"/>
      <c r="F607" s="58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8"/>
      <c r="D608" s="68"/>
      <c r="E608" s="58"/>
      <c r="F608" s="58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8"/>
      <c r="D609" s="68"/>
      <c r="E609" s="58"/>
      <c r="F609" s="58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8"/>
      <c r="D610" s="68"/>
      <c r="E610" s="58"/>
      <c r="F610" s="58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8"/>
      <c r="D611" s="68"/>
      <c r="E611" s="58"/>
      <c r="F611" s="58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8"/>
      <c r="D612" s="68"/>
      <c r="E612" s="58"/>
      <c r="F612" s="58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8"/>
      <c r="D613" s="68"/>
      <c r="E613" s="58"/>
      <c r="F613" s="58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8"/>
      <c r="D614" s="68"/>
      <c r="E614" s="58"/>
      <c r="F614" s="58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8"/>
      <c r="D615" s="68"/>
      <c r="E615" s="58"/>
      <c r="F615" s="58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8"/>
      <c r="D616" s="68"/>
      <c r="E616" s="58"/>
      <c r="F616" s="58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8"/>
      <c r="D617" s="68"/>
      <c r="E617" s="58"/>
      <c r="F617" s="58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8"/>
      <c r="D618" s="68"/>
      <c r="E618" s="58"/>
      <c r="F618" s="58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8"/>
      <c r="D619" s="68"/>
      <c r="E619" s="58"/>
      <c r="F619" s="58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8"/>
      <c r="D620" s="68"/>
      <c r="E620" s="58"/>
      <c r="F620" s="58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8"/>
      <c r="D621" s="68"/>
      <c r="E621" s="58"/>
      <c r="F621" s="58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8"/>
      <c r="D622" s="68"/>
      <c r="E622" s="58"/>
      <c r="F622" s="58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8"/>
      <c r="D623" s="68"/>
      <c r="E623" s="58"/>
      <c r="F623" s="58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8"/>
      <c r="D624" s="68"/>
      <c r="E624" s="58"/>
      <c r="F624" s="58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8"/>
      <c r="D625" s="68"/>
      <c r="E625" s="58"/>
      <c r="F625" s="58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8"/>
      <c r="D626" s="68"/>
      <c r="E626" s="58"/>
      <c r="F626" s="58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8"/>
      <c r="D627" s="68"/>
      <c r="E627" s="58"/>
      <c r="F627" s="58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8"/>
      <c r="D628" s="68"/>
      <c r="E628" s="58"/>
      <c r="F628" s="58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8"/>
      <c r="D629" s="68"/>
      <c r="E629" s="58"/>
      <c r="F629" s="58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8"/>
      <c r="D630" s="68"/>
      <c r="E630" s="58"/>
      <c r="F630" s="58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8"/>
      <c r="D631" s="68"/>
      <c r="E631" s="58"/>
      <c r="F631" s="58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8"/>
      <c r="D632" s="68"/>
      <c r="E632" s="58"/>
      <c r="F632" s="58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8"/>
      <c r="D633" s="68"/>
      <c r="E633" s="58"/>
      <c r="F633" s="58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8"/>
      <c r="D634" s="68"/>
      <c r="E634" s="58"/>
      <c r="F634" s="58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8"/>
      <c r="D635" s="68"/>
      <c r="E635" s="58"/>
      <c r="F635" s="58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8"/>
      <c r="D636" s="68"/>
      <c r="E636" s="58"/>
      <c r="F636" s="58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8"/>
      <c r="D637" s="68"/>
      <c r="E637" s="58"/>
      <c r="F637" s="58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8"/>
      <c r="D638" s="68"/>
      <c r="E638" s="58"/>
      <c r="F638" s="58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8"/>
      <c r="D639" s="68"/>
      <c r="E639" s="58"/>
      <c r="F639" s="58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8"/>
      <c r="D640" s="68"/>
      <c r="E640" s="58"/>
      <c r="F640" s="58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8"/>
      <c r="D641" s="68"/>
      <c r="E641" s="58"/>
      <c r="F641" s="58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8"/>
      <c r="D642" s="68"/>
      <c r="E642" s="58"/>
      <c r="F642" s="58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8"/>
      <c r="D643" s="68"/>
      <c r="E643" s="58"/>
      <c r="F643" s="58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8"/>
      <c r="D644" s="68"/>
      <c r="E644" s="58"/>
      <c r="F644" s="58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8"/>
      <c r="D645" s="68"/>
      <c r="E645" s="58"/>
      <c r="F645" s="58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8"/>
      <c r="D646" s="68"/>
      <c r="E646" s="58"/>
      <c r="F646" s="58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8"/>
      <c r="D647" s="68"/>
      <c r="E647" s="58"/>
      <c r="F647" s="58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8"/>
      <c r="D648" s="68"/>
      <c r="E648" s="58"/>
      <c r="F648" s="58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8"/>
      <c r="D649" s="68"/>
      <c r="E649" s="58"/>
      <c r="F649" s="58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8"/>
      <c r="D650" s="68"/>
      <c r="E650" s="58"/>
      <c r="F650" s="58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8"/>
      <c r="D651" s="68"/>
      <c r="E651" s="58"/>
      <c r="F651" s="58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8"/>
      <c r="D652" s="68"/>
      <c r="E652" s="58"/>
      <c r="F652" s="58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8"/>
      <c r="D653" s="68"/>
      <c r="E653" s="58"/>
      <c r="F653" s="58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8"/>
      <c r="D654" s="68"/>
      <c r="E654" s="58"/>
      <c r="F654" s="58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8"/>
      <c r="D655" s="68"/>
      <c r="E655" s="58"/>
      <c r="F655" s="58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8"/>
      <c r="D656" s="68"/>
      <c r="E656" s="58"/>
      <c r="F656" s="58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8"/>
      <c r="D657" s="68"/>
      <c r="E657" s="58"/>
      <c r="F657" s="58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8"/>
      <c r="D658" s="68"/>
      <c r="E658" s="58"/>
      <c r="F658" s="58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8"/>
      <c r="D659" s="68"/>
      <c r="E659" s="58"/>
      <c r="F659" s="58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8"/>
      <c r="D660" s="68"/>
      <c r="E660" s="58"/>
      <c r="F660" s="58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8"/>
      <c r="D661" s="68"/>
      <c r="E661" s="58"/>
      <c r="F661" s="58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8"/>
      <c r="D662" s="68"/>
      <c r="E662" s="58"/>
      <c r="F662" s="58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8"/>
      <c r="D663" s="68"/>
      <c r="E663" s="58"/>
      <c r="F663" s="58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8"/>
      <c r="D664" s="68"/>
      <c r="E664" s="58"/>
      <c r="F664" s="58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8"/>
      <c r="D665" s="68"/>
      <c r="E665" s="58"/>
      <c r="F665" s="58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8"/>
      <c r="D666" s="68"/>
      <c r="E666" s="58"/>
      <c r="F666" s="58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8"/>
      <c r="D667" s="68"/>
      <c r="E667" s="58"/>
      <c r="F667" s="58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8"/>
      <c r="D668" s="68"/>
      <c r="E668" s="58"/>
      <c r="F668" s="58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8"/>
      <c r="D669" s="68"/>
      <c r="E669" s="58"/>
      <c r="F669" s="58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8"/>
      <c r="D670" s="68"/>
      <c r="E670" s="58"/>
      <c r="F670" s="58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8"/>
      <c r="D671" s="68"/>
      <c r="E671" s="58"/>
      <c r="F671" s="58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8"/>
      <c r="D672" s="68"/>
      <c r="E672" s="58"/>
      <c r="F672" s="58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8"/>
      <c r="D673" s="68"/>
      <c r="E673" s="58"/>
      <c r="F673" s="58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8"/>
      <c r="D674" s="68"/>
      <c r="E674" s="58"/>
      <c r="F674" s="58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8"/>
      <c r="D675" s="68"/>
      <c r="E675" s="58"/>
      <c r="F675" s="58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8"/>
      <c r="D676" s="68"/>
      <c r="E676" s="58"/>
      <c r="F676" s="58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8"/>
      <c r="D677" s="68"/>
      <c r="E677" s="58"/>
      <c r="F677" s="58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8"/>
      <c r="D678" s="68"/>
      <c r="E678" s="58"/>
      <c r="F678" s="58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8"/>
      <c r="D679" s="68"/>
      <c r="E679" s="58"/>
      <c r="F679" s="58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8"/>
      <c r="D680" s="68"/>
      <c r="E680" s="58"/>
      <c r="F680" s="58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8"/>
      <c r="D681" s="68"/>
      <c r="E681" s="58"/>
      <c r="F681" s="58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8"/>
      <c r="D682" s="68"/>
      <c r="E682" s="58"/>
      <c r="F682" s="58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8"/>
      <c r="D683" s="68"/>
      <c r="E683" s="58"/>
      <c r="F683" s="58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8"/>
      <c r="D684" s="68"/>
      <c r="E684" s="58"/>
      <c r="F684" s="58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8"/>
      <c r="D685" s="68"/>
      <c r="E685" s="58"/>
      <c r="F685" s="58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8"/>
      <c r="D686" s="68"/>
      <c r="E686" s="58"/>
      <c r="F686" s="58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8"/>
      <c r="D687" s="68"/>
      <c r="E687" s="58"/>
      <c r="F687" s="58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8"/>
      <c r="D688" s="68"/>
      <c r="E688" s="58"/>
      <c r="F688" s="58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8"/>
      <c r="D689" s="68"/>
      <c r="E689" s="58"/>
      <c r="F689" s="58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8"/>
      <c r="D690" s="68"/>
      <c r="E690" s="58"/>
      <c r="F690" s="58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8"/>
      <c r="D691" s="68"/>
      <c r="E691" s="58"/>
      <c r="F691" s="58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8"/>
      <c r="D692" s="68"/>
      <c r="E692" s="58"/>
      <c r="F692" s="58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8"/>
      <c r="D693" s="68"/>
      <c r="E693" s="58"/>
      <c r="F693" s="58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8"/>
      <c r="D694" s="68"/>
      <c r="E694" s="58"/>
      <c r="F694" s="58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8"/>
      <c r="D695" s="68"/>
      <c r="E695" s="58"/>
      <c r="F695" s="58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8"/>
      <c r="D696" s="68"/>
      <c r="E696" s="58"/>
      <c r="F696" s="58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8"/>
      <c r="D697" s="68"/>
      <c r="E697" s="58"/>
      <c r="F697" s="58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8"/>
      <c r="D698" s="68"/>
      <c r="E698" s="58"/>
      <c r="F698" s="58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8"/>
      <c r="D699" s="68"/>
      <c r="E699" s="58"/>
      <c r="F699" s="58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8"/>
      <c r="D700" s="68"/>
      <c r="E700" s="58"/>
      <c r="F700" s="58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8"/>
      <c r="D701" s="68"/>
      <c r="E701" s="58"/>
      <c r="F701" s="58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8"/>
      <c r="D702" s="68"/>
      <c r="E702" s="58"/>
      <c r="F702" s="58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8"/>
      <c r="D703" s="68"/>
      <c r="E703" s="58"/>
      <c r="F703" s="58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8"/>
      <c r="D704" s="68"/>
      <c r="E704" s="58"/>
      <c r="F704" s="58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8"/>
      <c r="D705" s="68"/>
      <c r="E705" s="58"/>
      <c r="F705" s="58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8"/>
      <c r="D706" s="68"/>
      <c r="E706" s="58"/>
      <c r="F706" s="58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8"/>
      <c r="D707" s="68"/>
      <c r="E707" s="58"/>
      <c r="F707" s="58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8"/>
      <c r="D708" s="68"/>
      <c r="E708" s="58"/>
      <c r="F708" s="58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8"/>
      <c r="D709" s="68"/>
      <c r="E709" s="58"/>
      <c r="F709" s="58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8"/>
      <c r="D710" s="68"/>
      <c r="E710" s="58"/>
      <c r="F710" s="58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8"/>
      <c r="D711" s="68"/>
      <c r="E711" s="58"/>
      <c r="F711" s="58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8"/>
      <c r="D712" s="68"/>
      <c r="E712" s="58"/>
      <c r="F712" s="58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8"/>
      <c r="D713" s="68"/>
      <c r="E713" s="58"/>
      <c r="F713" s="58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8"/>
      <c r="D714" s="68"/>
      <c r="E714" s="58"/>
      <c r="F714" s="58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8"/>
      <c r="D715" s="68"/>
      <c r="E715" s="58"/>
      <c r="F715" s="58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8"/>
      <c r="D716" s="68"/>
      <c r="E716" s="58"/>
      <c r="F716" s="58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8"/>
      <c r="D717" s="68"/>
      <c r="E717" s="58"/>
      <c r="F717" s="58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8"/>
      <c r="D718" s="68"/>
      <c r="E718" s="58"/>
      <c r="F718" s="58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8"/>
      <c r="D719" s="68"/>
      <c r="E719" s="58"/>
      <c r="F719" s="58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8"/>
      <c r="D720" s="68"/>
      <c r="E720" s="58"/>
      <c r="F720" s="58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8"/>
      <c r="D721" s="68"/>
      <c r="E721" s="58"/>
      <c r="F721" s="58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8"/>
      <c r="D722" s="68"/>
      <c r="E722" s="58"/>
      <c r="F722" s="58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8"/>
      <c r="D723" s="68"/>
      <c r="E723" s="58"/>
      <c r="F723" s="58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8"/>
      <c r="D724" s="68"/>
      <c r="E724" s="58"/>
      <c r="F724" s="58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8"/>
      <c r="D725" s="68"/>
      <c r="E725" s="58"/>
      <c r="F725" s="58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8"/>
      <c r="D726" s="68"/>
      <c r="E726" s="58"/>
      <c r="F726" s="58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8"/>
      <c r="D727" s="68"/>
      <c r="E727" s="58"/>
      <c r="F727" s="58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8"/>
      <c r="D728" s="68"/>
      <c r="E728" s="58"/>
      <c r="F728" s="58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8"/>
      <c r="D729" s="68"/>
      <c r="E729" s="58"/>
      <c r="F729" s="58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8"/>
      <c r="D730" s="68"/>
      <c r="E730" s="58"/>
      <c r="F730" s="58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8"/>
      <c r="D731" s="68"/>
      <c r="E731" s="58"/>
      <c r="F731" s="58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8"/>
      <c r="D732" s="68"/>
      <c r="E732" s="58"/>
      <c r="F732" s="58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8"/>
      <c r="D733" s="68"/>
      <c r="E733" s="58"/>
      <c r="F733" s="58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8"/>
      <c r="D734" s="68"/>
      <c r="E734" s="58"/>
      <c r="F734" s="58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8"/>
      <c r="D735" s="68"/>
      <c r="E735" s="58"/>
      <c r="F735" s="58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8"/>
      <c r="D736" s="68"/>
      <c r="E736" s="58"/>
      <c r="F736" s="58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8"/>
      <c r="D737" s="68"/>
      <c r="E737" s="58"/>
      <c r="F737" s="58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8"/>
      <c r="D738" s="68"/>
      <c r="E738" s="58"/>
      <c r="F738" s="58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8"/>
      <c r="D739" s="68"/>
      <c r="E739" s="58"/>
      <c r="F739" s="58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8"/>
      <c r="D740" s="68"/>
      <c r="E740" s="58"/>
      <c r="F740" s="58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8"/>
      <c r="D741" s="68"/>
      <c r="E741" s="58"/>
      <c r="F741" s="58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8"/>
      <c r="D742" s="68"/>
      <c r="E742" s="58"/>
      <c r="F742" s="58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8"/>
      <c r="D743" s="68"/>
      <c r="E743" s="58"/>
      <c r="F743" s="58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8"/>
      <c r="D744" s="68"/>
      <c r="E744" s="58"/>
      <c r="F744" s="58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8"/>
      <c r="D745" s="68"/>
      <c r="E745" s="58"/>
      <c r="F745" s="58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8"/>
      <c r="D746" s="68"/>
      <c r="E746" s="58"/>
      <c r="F746" s="58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8"/>
      <c r="D747" s="68"/>
      <c r="E747" s="58"/>
      <c r="F747" s="58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8"/>
      <c r="D748" s="68"/>
      <c r="E748" s="58"/>
      <c r="F748" s="58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8"/>
      <c r="D749" s="68"/>
      <c r="E749" s="58"/>
      <c r="F749" s="58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8"/>
      <c r="D750" s="68"/>
      <c r="E750" s="58"/>
      <c r="F750" s="58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8"/>
      <c r="D751" s="68"/>
      <c r="E751" s="58"/>
      <c r="F751" s="58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8"/>
      <c r="D752" s="68"/>
      <c r="E752" s="58"/>
      <c r="F752" s="58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8"/>
      <c r="D753" s="68"/>
      <c r="E753" s="58"/>
      <c r="F753" s="58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8"/>
      <c r="D754" s="68"/>
      <c r="E754" s="58"/>
      <c r="F754" s="58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8"/>
      <c r="D755" s="68"/>
      <c r="E755" s="58"/>
      <c r="F755" s="58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8"/>
      <c r="D756" s="68"/>
      <c r="E756" s="58"/>
      <c r="F756" s="58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8"/>
      <c r="D757" s="68"/>
      <c r="E757" s="58"/>
      <c r="F757" s="58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8"/>
      <c r="D758" s="68"/>
      <c r="E758" s="58"/>
      <c r="F758" s="58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8"/>
      <c r="D759" s="68"/>
      <c r="E759" s="58"/>
      <c r="F759" s="58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8"/>
      <c r="D760" s="68"/>
      <c r="E760" s="58"/>
      <c r="F760" s="58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8"/>
      <c r="D761" s="68"/>
      <c r="E761" s="58"/>
      <c r="F761" s="58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8"/>
      <c r="D762" s="68"/>
      <c r="E762" s="58"/>
      <c r="F762" s="58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8"/>
      <c r="D763" s="68"/>
      <c r="E763" s="58"/>
      <c r="F763" s="58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8"/>
      <c r="D764" s="68"/>
      <c r="E764" s="58"/>
      <c r="F764" s="58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8"/>
      <c r="D765" s="68"/>
      <c r="E765" s="58"/>
      <c r="F765" s="58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8"/>
      <c r="D766" s="68"/>
      <c r="E766" s="58"/>
      <c r="F766" s="58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8"/>
      <c r="D767" s="68"/>
      <c r="E767" s="58"/>
      <c r="F767" s="58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8"/>
      <c r="D768" s="68"/>
      <c r="E768" s="58"/>
      <c r="F768" s="58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8"/>
      <c r="D769" s="68"/>
      <c r="E769" s="58"/>
      <c r="F769" s="58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8"/>
      <c r="D770" s="68"/>
      <c r="E770" s="58"/>
      <c r="F770" s="58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8"/>
      <c r="D771" s="68"/>
      <c r="E771" s="58"/>
      <c r="F771" s="58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8"/>
      <c r="D772" s="68"/>
      <c r="E772" s="58"/>
      <c r="F772" s="58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8"/>
      <c r="D773" s="68"/>
      <c r="E773" s="58"/>
      <c r="F773" s="58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8"/>
      <c r="D774" s="68"/>
      <c r="E774" s="58"/>
      <c r="F774" s="58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8"/>
      <c r="D775" s="68"/>
      <c r="E775" s="58"/>
      <c r="F775" s="58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8"/>
      <c r="D776" s="68"/>
      <c r="E776" s="58"/>
      <c r="F776" s="58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8"/>
      <c r="D777" s="68"/>
      <c r="E777" s="58"/>
      <c r="F777" s="58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8"/>
      <c r="D778" s="68"/>
      <c r="E778" s="58"/>
      <c r="F778" s="58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8"/>
      <c r="D779" s="68"/>
      <c r="E779" s="58"/>
      <c r="F779" s="58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8"/>
      <c r="D780" s="68"/>
      <c r="E780" s="58"/>
      <c r="F780" s="58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8"/>
      <c r="D781" s="68"/>
      <c r="E781" s="58"/>
      <c r="F781" s="58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8"/>
      <c r="D782" s="68"/>
      <c r="E782" s="58"/>
      <c r="F782" s="58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8"/>
      <c r="D783" s="68"/>
      <c r="E783" s="58"/>
      <c r="F783" s="58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8"/>
      <c r="D784" s="68"/>
      <c r="E784" s="58"/>
      <c r="F784" s="58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8"/>
      <c r="D785" s="68"/>
      <c r="E785" s="58"/>
      <c r="F785" s="58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8"/>
      <c r="D786" s="68"/>
      <c r="E786" s="58"/>
      <c r="F786" s="58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8"/>
      <c r="D787" s="68"/>
      <c r="E787" s="58"/>
      <c r="F787" s="58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8"/>
      <c r="D788" s="68"/>
      <c r="E788" s="58"/>
      <c r="F788" s="58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8"/>
      <c r="D789" s="68"/>
      <c r="E789" s="58"/>
      <c r="F789" s="58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8"/>
      <c r="D790" s="68"/>
      <c r="E790" s="58"/>
      <c r="F790" s="58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8"/>
      <c r="D791" s="68"/>
      <c r="E791" s="58"/>
      <c r="F791" s="58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8"/>
      <c r="D792" s="68"/>
      <c r="E792" s="58"/>
      <c r="F792" s="58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8"/>
      <c r="D793" s="68"/>
      <c r="E793" s="58"/>
      <c r="F793" s="58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8"/>
      <c r="D794" s="68"/>
      <c r="E794" s="58"/>
      <c r="F794" s="58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8"/>
      <c r="D795" s="68"/>
      <c r="E795" s="58"/>
      <c r="F795" s="58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8"/>
      <c r="D796" s="68"/>
      <c r="E796" s="58"/>
      <c r="F796" s="58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8"/>
      <c r="D797" s="68"/>
      <c r="E797" s="58"/>
      <c r="F797" s="58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8"/>
      <c r="D798" s="68"/>
      <c r="E798" s="58"/>
      <c r="F798" s="58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8"/>
      <c r="D799" s="68"/>
      <c r="E799" s="58"/>
      <c r="F799" s="58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8"/>
      <c r="D800" s="68"/>
      <c r="E800" s="58"/>
      <c r="F800" s="58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8"/>
      <c r="D801" s="68"/>
      <c r="E801" s="58"/>
      <c r="F801" s="58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8"/>
      <c r="D802" s="68"/>
      <c r="E802" s="58"/>
      <c r="F802" s="58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8"/>
      <c r="D803" s="68"/>
      <c r="E803" s="58"/>
      <c r="F803" s="58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8"/>
      <c r="D804" s="68"/>
      <c r="E804" s="58"/>
      <c r="F804" s="58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8"/>
      <c r="D805" s="68"/>
      <c r="E805" s="58"/>
      <c r="F805" s="58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8"/>
      <c r="D806" s="68"/>
      <c r="E806" s="58"/>
      <c r="F806" s="58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8"/>
      <c r="D807" s="68"/>
      <c r="E807" s="58"/>
      <c r="F807" s="58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8"/>
      <c r="D808" s="68"/>
      <c r="E808" s="58"/>
      <c r="F808" s="58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8"/>
      <c r="D809" s="68"/>
      <c r="E809" s="58"/>
      <c r="F809" s="58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8"/>
      <c r="D810" s="68"/>
      <c r="E810" s="58"/>
      <c r="F810" s="58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8"/>
      <c r="D811" s="68"/>
      <c r="E811" s="58"/>
      <c r="F811" s="58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8"/>
      <c r="D812" s="68"/>
      <c r="E812" s="58"/>
      <c r="F812" s="58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8"/>
      <c r="D813" s="68"/>
      <c r="E813" s="58"/>
      <c r="F813" s="58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8"/>
      <c r="D814" s="68"/>
      <c r="E814" s="58"/>
      <c r="F814" s="58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8"/>
      <c r="D815" s="68"/>
      <c r="E815" s="58"/>
      <c r="F815" s="58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8"/>
      <c r="D816" s="68"/>
      <c r="E816" s="58"/>
      <c r="F816" s="58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8"/>
      <c r="D817" s="68"/>
      <c r="E817" s="58"/>
      <c r="F817" s="58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8"/>
      <c r="D818" s="68"/>
      <c r="E818" s="58"/>
      <c r="F818" s="58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8"/>
      <c r="D819" s="68"/>
      <c r="E819" s="58"/>
      <c r="F819" s="58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8"/>
      <c r="D820" s="68"/>
      <c r="E820" s="58"/>
      <c r="F820" s="58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8"/>
      <c r="D821" s="68"/>
      <c r="E821" s="58"/>
      <c r="F821" s="58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8"/>
      <c r="D822" s="68"/>
      <c r="E822" s="58"/>
      <c r="F822" s="58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8"/>
      <c r="D823" s="68"/>
      <c r="E823" s="58"/>
      <c r="F823" s="58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8"/>
      <c r="D824" s="68"/>
      <c r="E824" s="58"/>
      <c r="F824" s="58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8"/>
      <c r="D825" s="68"/>
      <c r="E825" s="58"/>
      <c r="F825" s="58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8"/>
      <c r="D826" s="68"/>
      <c r="E826" s="58"/>
      <c r="F826" s="58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8"/>
      <c r="D827" s="68"/>
      <c r="E827" s="58"/>
      <c r="F827" s="58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8"/>
      <c r="D828" s="68"/>
      <c r="E828" s="58"/>
      <c r="F828" s="58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8"/>
      <c r="D829" s="68"/>
      <c r="E829" s="58"/>
      <c r="F829" s="58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8"/>
      <c r="D830" s="68"/>
      <c r="E830" s="58"/>
      <c r="F830" s="58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8"/>
      <c r="D831" s="68"/>
      <c r="E831" s="58"/>
      <c r="F831" s="58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8"/>
      <c r="D832" s="68"/>
      <c r="E832" s="58"/>
      <c r="F832" s="58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8"/>
      <c r="D833" s="68"/>
      <c r="E833" s="58"/>
      <c r="F833" s="58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8"/>
      <c r="D834" s="68"/>
      <c r="E834" s="58"/>
      <c r="F834" s="58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8"/>
      <c r="D835" s="68"/>
      <c r="E835" s="58"/>
      <c r="F835" s="58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8"/>
      <c r="D836" s="68"/>
      <c r="E836" s="58"/>
      <c r="F836" s="58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8"/>
      <c r="D837" s="68"/>
      <c r="E837" s="58"/>
      <c r="F837" s="58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8"/>
      <c r="D838" s="68"/>
      <c r="E838" s="58"/>
      <c r="F838" s="58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8"/>
      <c r="D839" s="68"/>
      <c r="E839" s="58"/>
      <c r="F839" s="58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8"/>
      <c r="D840" s="68"/>
      <c r="E840" s="58"/>
      <c r="F840" s="58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8"/>
      <c r="D841" s="68"/>
      <c r="E841" s="58"/>
      <c r="F841" s="58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8"/>
      <c r="D842" s="68"/>
      <c r="E842" s="58"/>
      <c r="F842" s="58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8"/>
      <c r="D843" s="68"/>
      <c r="E843" s="58"/>
      <c r="F843" s="58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8"/>
      <c r="D844" s="68"/>
      <c r="E844" s="58"/>
      <c r="F844" s="58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8"/>
      <c r="D845" s="68"/>
      <c r="E845" s="58"/>
      <c r="F845" s="58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8"/>
      <c r="D846" s="68"/>
      <c r="E846" s="58"/>
      <c r="F846" s="58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8"/>
      <c r="D847" s="68"/>
      <c r="E847" s="58"/>
      <c r="F847" s="58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8"/>
      <c r="D848" s="68"/>
      <c r="E848" s="58"/>
      <c r="F848" s="58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8"/>
      <c r="D849" s="68"/>
      <c r="E849" s="58"/>
      <c r="F849" s="58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8"/>
      <c r="D850" s="68"/>
      <c r="E850" s="58"/>
      <c r="F850" s="58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8"/>
      <c r="D851" s="68"/>
      <c r="E851" s="58"/>
      <c r="F851" s="58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8"/>
      <c r="D852" s="68"/>
      <c r="E852" s="58"/>
      <c r="F852" s="58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8"/>
      <c r="D853" s="68"/>
      <c r="E853" s="58"/>
      <c r="F853" s="58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8"/>
      <c r="D854" s="68"/>
      <c r="E854" s="58"/>
      <c r="F854" s="58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8"/>
      <c r="D855" s="68"/>
      <c r="E855" s="58"/>
      <c r="F855" s="58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8"/>
      <c r="D856" s="68"/>
      <c r="E856" s="58"/>
      <c r="F856" s="58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8"/>
      <c r="D857" s="68"/>
      <c r="E857" s="58"/>
      <c r="F857" s="58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8"/>
      <c r="D858" s="68"/>
      <c r="E858" s="58"/>
      <c r="F858" s="58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8"/>
      <c r="D859" s="68"/>
      <c r="E859" s="58"/>
      <c r="F859" s="58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8"/>
      <c r="D860" s="68"/>
      <c r="E860" s="58"/>
      <c r="F860" s="58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8"/>
      <c r="D861" s="68"/>
      <c r="E861" s="58"/>
      <c r="F861" s="58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8"/>
      <c r="D862" s="68"/>
      <c r="E862" s="58"/>
      <c r="F862" s="58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8"/>
      <c r="D863" s="68"/>
      <c r="E863" s="58"/>
      <c r="F863" s="58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8"/>
      <c r="D864" s="68"/>
      <c r="E864" s="58"/>
      <c r="F864" s="58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8"/>
      <c r="D865" s="68"/>
      <c r="E865" s="58"/>
      <c r="F865" s="58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8"/>
      <c r="D866" s="68"/>
      <c r="E866" s="58"/>
      <c r="F866" s="58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8"/>
      <c r="D867" s="68"/>
      <c r="E867" s="58"/>
      <c r="F867" s="58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8"/>
      <c r="D868" s="68"/>
      <c r="E868" s="58"/>
      <c r="F868" s="58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8"/>
      <c r="D869" s="68"/>
      <c r="E869" s="58"/>
      <c r="F869" s="58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8"/>
      <c r="D870" s="68"/>
      <c r="E870" s="58"/>
      <c r="F870" s="58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8"/>
      <c r="D871" s="68"/>
      <c r="E871" s="58"/>
      <c r="F871" s="58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8"/>
      <c r="D872" s="68"/>
      <c r="E872" s="58"/>
      <c r="F872" s="58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8"/>
      <c r="D873" s="68"/>
      <c r="E873" s="58"/>
      <c r="F873" s="58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8"/>
      <c r="D874" s="68"/>
      <c r="E874" s="58"/>
      <c r="F874" s="58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8"/>
      <c r="D875" s="68"/>
      <c r="E875" s="58"/>
      <c r="F875" s="58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8"/>
      <c r="D876" s="68"/>
      <c r="E876" s="58"/>
      <c r="F876" s="58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8"/>
      <c r="D877" s="68"/>
      <c r="E877" s="58"/>
      <c r="F877" s="58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8"/>
      <c r="D878" s="68"/>
      <c r="E878" s="58"/>
      <c r="F878" s="58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8"/>
      <c r="D879" s="68"/>
      <c r="E879" s="58"/>
      <c r="F879" s="58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8"/>
      <c r="D880" s="68"/>
      <c r="E880" s="58"/>
      <c r="F880" s="58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8"/>
      <c r="D881" s="68"/>
      <c r="E881" s="58"/>
      <c r="F881" s="58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8"/>
      <c r="D882" s="68"/>
      <c r="E882" s="58"/>
      <c r="F882" s="58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8"/>
      <c r="D883" s="68"/>
      <c r="E883" s="58"/>
      <c r="F883" s="58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8"/>
      <c r="D884" s="68"/>
      <c r="E884" s="58"/>
      <c r="F884" s="58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8"/>
      <c r="D885" s="68"/>
      <c r="E885" s="58"/>
      <c r="F885" s="58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8"/>
      <c r="D886" s="68"/>
      <c r="E886" s="58"/>
      <c r="F886" s="58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8"/>
      <c r="D887" s="68"/>
      <c r="E887" s="58"/>
      <c r="F887" s="58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8"/>
      <c r="D888" s="68"/>
      <c r="E888" s="58"/>
      <c r="F888" s="58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8"/>
      <c r="D889" s="68"/>
      <c r="E889" s="58"/>
      <c r="F889" s="58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8"/>
      <c r="D890" s="68"/>
      <c r="E890" s="58"/>
      <c r="F890" s="58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8"/>
      <c r="D891" s="68"/>
      <c r="E891" s="58"/>
      <c r="F891" s="58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8"/>
      <c r="D892" s="68"/>
      <c r="E892" s="58"/>
      <c r="F892" s="58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8"/>
      <c r="D893" s="68"/>
      <c r="E893" s="58"/>
      <c r="F893" s="58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8"/>
      <c r="D894" s="68"/>
      <c r="E894" s="58"/>
      <c r="F894" s="58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8"/>
      <c r="D895" s="68"/>
      <c r="E895" s="58"/>
      <c r="F895" s="58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8"/>
      <c r="D896" s="68"/>
      <c r="E896" s="58"/>
      <c r="F896" s="58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8"/>
      <c r="D897" s="68"/>
      <c r="E897" s="58"/>
      <c r="F897" s="58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8"/>
      <c r="D898" s="68"/>
      <c r="E898" s="58"/>
      <c r="F898" s="58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8"/>
      <c r="D899" s="68"/>
      <c r="E899" s="58"/>
      <c r="F899" s="58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8"/>
      <c r="D900" s="68"/>
      <c r="E900" s="58"/>
      <c r="F900" s="58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8"/>
      <c r="D901" s="68"/>
      <c r="E901" s="58"/>
      <c r="F901" s="58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8"/>
      <c r="D902" s="68"/>
      <c r="E902" s="58"/>
      <c r="F902" s="58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8"/>
      <c r="D903" s="68"/>
      <c r="E903" s="58"/>
      <c r="F903" s="58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8"/>
      <c r="D904" s="68"/>
      <c r="E904" s="58"/>
      <c r="F904" s="58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8"/>
      <c r="D905" s="68"/>
      <c r="E905" s="58"/>
      <c r="F905" s="58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8"/>
      <c r="D906" s="68"/>
      <c r="E906" s="58"/>
      <c r="F906" s="58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8"/>
      <c r="D907" s="68"/>
      <c r="E907" s="58"/>
      <c r="F907" s="58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8"/>
      <c r="D908" s="68"/>
      <c r="E908" s="58"/>
      <c r="F908" s="58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8"/>
      <c r="D909" s="68"/>
      <c r="E909" s="58"/>
      <c r="F909" s="58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</sheetData>
  <autoFilter ref="A3:O55" xr:uid="{00000000-0009-0000-0000-000006000000}"/>
  <mergeCells count="10">
    <mergeCell ref="I2:I3"/>
    <mergeCell ref="J2:J3"/>
    <mergeCell ref="K2:K3"/>
    <mergeCell ref="G2:H2"/>
    <mergeCell ref="A2:A3"/>
    <mergeCell ref="B2:B3"/>
    <mergeCell ref="C2:C3"/>
    <mergeCell ref="D2:D3"/>
    <mergeCell ref="E2:E3"/>
    <mergeCell ref="F2:F3"/>
  </mergeCells>
  <dataValidations count="3">
    <dataValidation type="list" allowBlank="1" showErrorMessage="1" sqref="F1:F909" xr:uid="{00000000-0002-0000-0600-000000000000}">
      <formula1>$N$4:$N$8</formula1>
    </dataValidation>
    <dataValidation type="list" allowBlank="1" showErrorMessage="1" sqref="E1:E909" xr:uid="{00000000-0002-0000-0600-000001000000}">
      <formula1>$O$4:$O$8</formula1>
    </dataValidation>
    <dataValidation type="list" allowBlank="1" showErrorMessage="1" sqref="J1:J909" xr:uid="{00000000-0002-0000-0600-000002000000}">
      <formula1>$M$4:$M$8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985"/>
  <sheetViews>
    <sheetView workbookViewId="0">
      <pane xSplit="4" ySplit="3" topLeftCell="E4" activePane="bottomRight" state="frozen"/>
      <selection activeCellId="1" sqref="B5 A1:XFD1048576"/>
      <selection pane="topRight" activeCellId="1" sqref="B5 A1:XFD1048576"/>
      <selection pane="bottomLeft" activeCellId="1" sqref="B5 A1:XFD1048576"/>
      <selection pane="bottomRight" activeCell="I4" sqref="I4:I5"/>
    </sheetView>
  </sheetViews>
  <sheetFormatPr defaultColWidth="14.44140625" defaultRowHeight="15" customHeight="1" x14ac:dyDescent="0.3"/>
  <cols>
    <col min="1" max="1" width="15" customWidth="1"/>
    <col min="2" max="2" width="11.109375" customWidth="1"/>
    <col min="3" max="3" width="19.109375" customWidth="1"/>
    <col min="4" max="4" width="21.109375" customWidth="1"/>
    <col min="5" max="5" width="19" customWidth="1"/>
    <col min="6" max="6" width="12.109375" customWidth="1"/>
    <col min="7" max="9" width="15.109375" customWidth="1"/>
    <col min="10" max="10" width="37.8867187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57" t="s">
        <v>248</v>
      </c>
      <c r="B1" s="18"/>
      <c r="C1" s="68"/>
      <c r="D1" s="58"/>
      <c r="E1" s="58"/>
      <c r="F1" s="58"/>
      <c r="G1" s="18"/>
      <c r="H1" s="59"/>
      <c r="I1" s="60">
        <f>SUBTOTAL(9,I4:I11938)</f>
        <v>309</v>
      </c>
      <c r="J1" s="61" t="s">
        <v>57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33" t="s">
        <v>59</v>
      </c>
      <c r="B2" s="133" t="s">
        <v>104</v>
      </c>
      <c r="C2" s="133" t="s">
        <v>105</v>
      </c>
      <c r="D2" s="133" t="s">
        <v>106</v>
      </c>
      <c r="E2" s="133" t="s">
        <v>107</v>
      </c>
      <c r="F2" s="133" t="s">
        <v>108</v>
      </c>
      <c r="G2" s="135" t="s">
        <v>109</v>
      </c>
      <c r="H2" s="108"/>
      <c r="I2" s="133" t="s">
        <v>110</v>
      </c>
      <c r="J2" s="133" t="s">
        <v>111</v>
      </c>
      <c r="K2" s="64" t="s">
        <v>4</v>
      </c>
      <c r="L2" s="33"/>
      <c r="M2" s="65" t="s">
        <v>112</v>
      </c>
      <c r="N2" s="65" t="s">
        <v>108</v>
      </c>
      <c r="O2" s="65" t="s">
        <v>114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134"/>
      <c r="B3" s="134"/>
      <c r="C3" s="134"/>
      <c r="D3" s="134"/>
      <c r="E3" s="134"/>
      <c r="F3" s="134"/>
      <c r="G3" s="83" t="s">
        <v>115</v>
      </c>
      <c r="H3" s="83" t="s">
        <v>116</v>
      </c>
      <c r="I3" s="134"/>
      <c r="J3" s="134"/>
      <c r="K3" s="84"/>
      <c r="L3" s="33"/>
      <c r="M3" s="80"/>
      <c r="N3" s="80"/>
      <c r="O3" s="80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67">
        <v>244267</v>
      </c>
      <c r="C4" s="68" t="s">
        <v>249</v>
      </c>
      <c r="D4" s="68" t="s">
        <v>250</v>
      </c>
      <c r="E4" s="58" t="s">
        <v>251</v>
      </c>
      <c r="F4" s="69" t="s">
        <v>252</v>
      </c>
      <c r="G4" s="18" t="s">
        <v>253</v>
      </c>
      <c r="H4" s="18" t="s">
        <v>254</v>
      </c>
      <c r="I4" s="70">
        <v>150</v>
      </c>
      <c r="J4" s="18" t="s">
        <v>46</v>
      </c>
      <c r="K4" s="18"/>
      <c r="L4" s="18"/>
      <c r="M4" s="71" t="s">
        <v>45</v>
      </c>
      <c r="N4" s="71" t="s">
        <v>252</v>
      </c>
      <c r="O4" s="72" t="s">
        <v>119</v>
      </c>
      <c r="P4" s="33"/>
      <c r="Q4" s="33"/>
      <c r="R4" s="33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18" t="s">
        <v>134</v>
      </c>
      <c r="C5" s="68" t="s">
        <v>255</v>
      </c>
      <c r="D5" s="68" t="s">
        <v>256</v>
      </c>
      <c r="E5" s="58" t="s">
        <v>251</v>
      </c>
      <c r="F5" s="69" t="s">
        <v>252</v>
      </c>
      <c r="G5" s="18" t="s">
        <v>257</v>
      </c>
      <c r="H5" s="58" t="s">
        <v>258</v>
      </c>
      <c r="I5" s="70">
        <v>159</v>
      </c>
      <c r="J5" s="18" t="s">
        <v>46</v>
      </c>
      <c r="K5" s="18"/>
      <c r="L5" s="18"/>
      <c r="M5" s="71" t="s">
        <v>46</v>
      </c>
      <c r="N5" s="71" t="s">
        <v>259</v>
      </c>
      <c r="O5" s="73" t="s">
        <v>128</v>
      </c>
      <c r="P5" s="33"/>
      <c r="Q5" s="33"/>
      <c r="R5" s="33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18"/>
      <c r="B6" s="74"/>
      <c r="C6" s="68"/>
      <c r="D6" s="58"/>
      <c r="E6" s="58"/>
      <c r="F6" s="69"/>
      <c r="G6" s="18"/>
      <c r="H6" s="18"/>
      <c r="I6" s="1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18"/>
      <c r="B7" s="74"/>
      <c r="C7" s="68"/>
      <c r="D7" s="58"/>
      <c r="E7" s="58"/>
      <c r="F7" s="69"/>
      <c r="G7" s="18"/>
      <c r="H7" s="18"/>
      <c r="I7" s="1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18"/>
      <c r="B8" s="74"/>
      <c r="C8" s="68"/>
      <c r="D8" s="58"/>
      <c r="E8" s="58"/>
      <c r="F8" s="69"/>
      <c r="G8" s="18"/>
      <c r="H8" s="18"/>
      <c r="I8" s="1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3">
      <c r="A9" s="18"/>
      <c r="B9" s="74"/>
      <c r="C9" s="68"/>
      <c r="D9" s="58"/>
      <c r="E9" s="58"/>
      <c r="F9" s="69"/>
      <c r="G9" s="18"/>
      <c r="H9" s="18"/>
      <c r="I9" s="17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3">
      <c r="A10" s="18"/>
      <c r="B10" s="74"/>
      <c r="C10" s="68"/>
      <c r="D10" s="58"/>
      <c r="E10" s="58"/>
      <c r="F10" s="69"/>
      <c r="G10" s="18"/>
      <c r="H10" s="17"/>
      <c r="I10" s="17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/>
      <c r="B11" s="74"/>
      <c r="C11" s="68"/>
      <c r="D11" s="58"/>
      <c r="E11" s="58"/>
      <c r="F11" s="69"/>
      <c r="G11" s="18"/>
      <c r="H11" s="18"/>
      <c r="I11" s="17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/>
      <c r="B12" s="74"/>
      <c r="C12" s="68"/>
      <c r="D12" s="58"/>
      <c r="E12" s="58"/>
      <c r="F12" s="69"/>
      <c r="G12" s="18"/>
      <c r="H12" s="18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74"/>
      <c r="C13" s="68"/>
      <c r="D13" s="58"/>
      <c r="E13" s="58"/>
      <c r="F13" s="69"/>
      <c r="G13" s="18"/>
      <c r="H13" s="18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74"/>
      <c r="C14" s="68"/>
      <c r="D14" s="58"/>
      <c r="E14" s="58"/>
      <c r="F14" s="69"/>
      <c r="G14" s="18"/>
      <c r="H14" s="18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74"/>
      <c r="C15" s="68"/>
      <c r="D15" s="58"/>
      <c r="E15" s="58"/>
      <c r="F15" s="69"/>
      <c r="G15" s="18"/>
      <c r="H15" s="18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74"/>
      <c r="C16" s="68"/>
      <c r="D16" s="58"/>
      <c r="E16" s="58"/>
      <c r="F16" s="69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74"/>
      <c r="C17" s="68"/>
      <c r="D17" s="58"/>
      <c r="E17" s="58"/>
      <c r="F17" s="69"/>
      <c r="G17" s="18"/>
      <c r="H17" s="18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74"/>
      <c r="C18" s="68"/>
      <c r="D18" s="58"/>
      <c r="E18" s="58"/>
      <c r="F18" s="69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74"/>
      <c r="C19" s="68"/>
      <c r="D19" s="58"/>
      <c r="E19" s="58"/>
      <c r="F19" s="69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74"/>
      <c r="C20" s="68"/>
      <c r="D20" s="58"/>
      <c r="E20" s="58"/>
      <c r="F20" s="69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18"/>
      <c r="C21" s="68"/>
      <c r="D21" s="58"/>
      <c r="E21" s="58"/>
      <c r="F21" s="58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18"/>
      <c r="C22" s="68"/>
      <c r="D22" s="58"/>
      <c r="E22" s="58"/>
      <c r="F22" s="58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18"/>
      <c r="C23" s="68"/>
      <c r="D23" s="58"/>
      <c r="E23" s="58"/>
      <c r="F23" s="58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18"/>
      <c r="C24" s="68"/>
      <c r="D24" s="58"/>
      <c r="E24" s="58"/>
      <c r="F24" s="58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18"/>
      <c r="C25" s="68"/>
      <c r="D25" s="58"/>
      <c r="E25" s="58"/>
      <c r="F25" s="58"/>
      <c r="G25" s="18"/>
      <c r="H25" s="18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18"/>
      <c r="C26" s="68"/>
      <c r="D26" s="58"/>
      <c r="E26" s="58"/>
      <c r="F26" s="58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18"/>
      <c r="C27" s="68"/>
      <c r="D27" s="58"/>
      <c r="E27" s="58"/>
      <c r="F27" s="58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18"/>
      <c r="C28" s="68"/>
      <c r="D28" s="58"/>
      <c r="E28" s="58"/>
      <c r="F28" s="58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18"/>
      <c r="C29" s="68"/>
      <c r="D29" s="58"/>
      <c r="E29" s="58"/>
      <c r="F29" s="58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18"/>
      <c r="C30" s="68"/>
      <c r="D30" s="58"/>
      <c r="E30" s="58"/>
      <c r="F30" s="58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18"/>
      <c r="C31" s="68"/>
      <c r="D31" s="58"/>
      <c r="E31" s="58"/>
      <c r="F31" s="58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18"/>
      <c r="C32" s="68"/>
      <c r="D32" s="58"/>
      <c r="E32" s="58"/>
      <c r="F32" s="58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18"/>
      <c r="C33" s="68"/>
      <c r="D33" s="58"/>
      <c r="E33" s="58"/>
      <c r="F33" s="58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18"/>
      <c r="C34" s="68"/>
      <c r="D34" s="58"/>
      <c r="E34" s="58"/>
      <c r="F34" s="58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18"/>
      <c r="C35" s="68"/>
      <c r="D35" s="58"/>
      <c r="E35" s="58"/>
      <c r="F35" s="58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68"/>
      <c r="D36" s="58"/>
      <c r="E36" s="58"/>
      <c r="F36" s="58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68"/>
      <c r="D37" s="58"/>
      <c r="E37" s="58"/>
      <c r="F37" s="58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68"/>
      <c r="D38" s="58"/>
      <c r="E38" s="58"/>
      <c r="F38" s="58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68"/>
      <c r="D39" s="58"/>
      <c r="E39" s="58"/>
      <c r="F39" s="58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68"/>
      <c r="D40" s="58"/>
      <c r="E40" s="58"/>
      <c r="F40" s="58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68"/>
      <c r="D41" s="58"/>
      <c r="E41" s="58"/>
      <c r="F41" s="58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68"/>
      <c r="D42" s="58"/>
      <c r="E42" s="58"/>
      <c r="F42" s="58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68"/>
      <c r="D43" s="58"/>
      <c r="E43" s="58"/>
      <c r="F43" s="58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68"/>
      <c r="D44" s="58"/>
      <c r="E44" s="58"/>
      <c r="F44" s="58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68"/>
      <c r="D45" s="58"/>
      <c r="E45" s="58"/>
      <c r="F45" s="58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68"/>
      <c r="D46" s="58"/>
      <c r="E46" s="58"/>
      <c r="F46" s="58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68"/>
      <c r="D47" s="58"/>
      <c r="E47" s="58"/>
      <c r="F47" s="58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68"/>
      <c r="D48" s="58"/>
      <c r="E48" s="58"/>
      <c r="F48" s="58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68"/>
      <c r="D49" s="58"/>
      <c r="E49" s="58"/>
      <c r="F49" s="58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68"/>
      <c r="D50" s="58"/>
      <c r="E50" s="58"/>
      <c r="F50" s="58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68"/>
      <c r="D51" s="58"/>
      <c r="E51" s="58"/>
      <c r="F51" s="58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68"/>
      <c r="D52" s="58"/>
      <c r="E52" s="58"/>
      <c r="F52" s="58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68"/>
      <c r="D53" s="58"/>
      <c r="E53" s="58"/>
      <c r="F53" s="58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68"/>
      <c r="D54" s="58"/>
      <c r="E54" s="58"/>
      <c r="F54" s="58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68"/>
      <c r="D55" s="58"/>
      <c r="E55" s="58"/>
      <c r="F55" s="58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68"/>
      <c r="D56" s="58"/>
      <c r="E56" s="58"/>
      <c r="F56" s="58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68"/>
      <c r="D57" s="58"/>
      <c r="E57" s="58"/>
      <c r="F57" s="58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68"/>
      <c r="D58" s="58"/>
      <c r="E58" s="58"/>
      <c r="F58" s="58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68"/>
      <c r="D59" s="58"/>
      <c r="E59" s="58"/>
      <c r="F59" s="58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68"/>
      <c r="D60" s="58"/>
      <c r="E60" s="58"/>
      <c r="F60" s="58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68"/>
      <c r="D61" s="58"/>
      <c r="E61" s="58"/>
      <c r="F61" s="58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68"/>
      <c r="D62" s="58"/>
      <c r="E62" s="58"/>
      <c r="F62" s="58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68"/>
      <c r="D63" s="58"/>
      <c r="E63" s="58"/>
      <c r="F63" s="58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68"/>
      <c r="D64" s="58"/>
      <c r="E64" s="58"/>
      <c r="F64" s="58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68"/>
      <c r="D65" s="58"/>
      <c r="E65" s="58"/>
      <c r="F65" s="58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68"/>
      <c r="D66" s="58"/>
      <c r="E66" s="58"/>
      <c r="F66" s="58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68"/>
      <c r="D67" s="58"/>
      <c r="E67" s="58"/>
      <c r="F67" s="58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68"/>
      <c r="D68" s="58"/>
      <c r="E68" s="58"/>
      <c r="F68" s="58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68"/>
      <c r="D69" s="58"/>
      <c r="E69" s="58"/>
      <c r="F69" s="58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68"/>
      <c r="D70" s="58"/>
      <c r="E70" s="58"/>
      <c r="F70" s="58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68"/>
      <c r="D71" s="58"/>
      <c r="E71" s="58"/>
      <c r="F71" s="58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68"/>
      <c r="D72" s="58"/>
      <c r="E72" s="58"/>
      <c r="F72" s="58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68"/>
      <c r="D73" s="58"/>
      <c r="E73" s="58"/>
      <c r="F73" s="58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68"/>
      <c r="D74" s="58"/>
      <c r="E74" s="58"/>
      <c r="F74" s="58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68"/>
      <c r="D75" s="58"/>
      <c r="E75" s="58"/>
      <c r="F75" s="58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68"/>
      <c r="D76" s="58"/>
      <c r="E76" s="58"/>
      <c r="F76" s="58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68"/>
      <c r="D77" s="58"/>
      <c r="E77" s="58"/>
      <c r="F77" s="58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68"/>
      <c r="D78" s="58"/>
      <c r="E78" s="58"/>
      <c r="F78" s="58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68"/>
      <c r="D79" s="58"/>
      <c r="E79" s="58"/>
      <c r="F79" s="58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68"/>
      <c r="D80" s="58"/>
      <c r="E80" s="58"/>
      <c r="F80" s="58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68"/>
      <c r="D81" s="58"/>
      <c r="E81" s="58"/>
      <c r="F81" s="58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68"/>
      <c r="D82" s="58"/>
      <c r="E82" s="58"/>
      <c r="F82" s="58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68"/>
      <c r="D83" s="58"/>
      <c r="E83" s="58"/>
      <c r="F83" s="58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68"/>
      <c r="D84" s="58"/>
      <c r="E84" s="58"/>
      <c r="F84" s="58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68"/>
      <c r="D85" s="58"/>
      <c r="E85" s="58"/>
      <c r="F85" s="58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68"/>
      <c r="D86" s="58"/>
      <c r="E86" s="58"/>
      <c r="F86" s="58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68"/>
      <c r="D87" s="58"/>
      <c r="E87" s="58"/>
      <c r="F87" s="58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68"/>
      <c r="D88" s="58"/>
      <c r="E88" s="58"/>
      <c r="F88" s="58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68"/>
      <c r="D89" s="58"/>
      <c r="E89" s="58"/>
      <c r="F89" s="58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68"/>
      <c r="D90" s="58"/>
      <c r="E90" s="58"/>
      <c r="F90" s="58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68"/>
      <c r="D91" s="58"/>
      <c r="E91" s="58"/>
      <c r="F91" s="58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68"/>
      <c r="D92" s="58"/>
      <c r="E92" s="58"/>
      <c r="F92" s="58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68"/>
      <c r="D93" s="58"/>
      <c r="E93" s="58"/>
      <c r="F93" s="58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68"/>
      <c r="D94" s="58"/>
      <c r="E94" s="58"/>
      <c r="F94" s="58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68"/>
      <c r="D95" s="58"/>
      <c r="E95" s="58"/>
      <c r="F95" s="58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68"/>
      <c r="D96" s="58"/>
      <c r="E96" s="58"/>
      <c r="F96" s="58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68"/>
      <c r="D97" s="58"/>
      <c r="E97" s="58"/>
      <c r="F97" s="58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68"/>
      <c r="D98" s="58"/>
      <c r="E98" s="58"/>
      <c r="F98" s="58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68"/>
      <c r="D99" s="58"/>
      <c r="E99" s="58"/>
      <c r="F99" s="58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68"/>
      <c r="D100" s="58"/>
      <c r="E100" s="58"/>
      <c r="F100" s="58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68"/>
      <c r="D101" s="58"/>
      <c r="E101" s="58"/>
      <c r="F101" s="58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68"/>
      <c r="D102" s="58"/>
      <c r="E102" s="58"/>
      <c r="F102" s="58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68"/>
      <c r="D103" s="58"/>
      <c r="E103" s="58"/>
      <c r="F103" s="58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68"/>
      <c r="D104" s="58"/>
      <c r="E104" s="58"/>
      <c r="F104" s="58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68"/>
      <c r="D105" s="58"/>
      <c r="E105" s="58"/>
      <c r="F105" s="58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68"/>
      <c r="D106" s="58"/>
      <c r="E106" s="58"/>
      <c r="F106" s="58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68"/>
      <c r="D107" s="58"/>
      <c r="E107" s="58"/>
      <c r="F107" s="58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68"/>
      <c r="D108" s="58"/>
      <c r="E108" s="58"/>
      <c r="F108" s="58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68"/>
      <c r="D109" s="58"/>
      <c r="E109" s="58"/>
      <c r="F109" s="58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68"/>
      <c r="D110" s="58"/>
      <c r="E110" s="58"/>
      <c r="F110" s="58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68"/>
      <c r="D111" s="58"/>
      <c r="E111" s="58"/>
      <c r="F111" s="58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68"/>
      <c r="D112" s="58"/>
      <c r="E112" s="58"/>
      <c r="F112" s="58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68"/>
      <c r="D113" s="58"/>
      <c r="E113" s="58"/>
      <c r="F113" s="58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68"/>
      <c r="D114" s="58"/>
      <c r="E114" s="58"/>
      <c r="F114" s="58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68"/>
      <c r="D115" s="58"/>
      <c r="E115" s="58"/>
      <c r="F115" s="58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68"/>
      <c r="D116" s="58"/>
      <c r="E116" s="58"/>
      <c r="F116" s="58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68"/>
      <c r="D117" s="58"/>
      <c r="E117" s="58"/>
      <c r="F117" s="58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68"/>
      <c r="D118" s="58"/>
      <c r="E118" s="58"/>
      <c r="F118" s="58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68"/>
      <c r="D119" s="58"/>
      <c r="E119" s="58"/>
      <c r="F119" s="58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68"/>
      <c r="D120" s="58"/>
      <c r="E120" s="58"/>
      <c r="F120" s="58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68"/>
      <c r="D121" s="58"/>
      <c r="E121" s="58"/>
      <c r="F121" s="58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68"/>
      <c r="D122" s="58"/>
      <c r="E122" s="58"/>
      <c r="F122" s="58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68"/>
      <c r="D123" s="58"/>
      <c r="E123" s="58"/>
      <c r="F123" s="58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68"/>
      <c r="D124" s="58"/>
      <c r="E124" s="58"/>
      <c r="F124" s="58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68"/>
      <c r="D125" s="58"/>
      <c r="E125" s="58"/>
      <c r="F125" s="58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68"/>
      <c r="D126" s="58"/>
      <c r="E126" s="58"/>
      <c r="F126" s="58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68"/>
      <c r="D127" s="58"/>
      <c r="E127" s="58"/>
      <c r="F127" s="58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68"/>
      <c r="D128" s="58"/>
      <c r="E128" s="58"/>
      <c r="F128" s="58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68"/>
      <c r="D129" s="58"/>
      <c r="E129" s="58"/>
      <c r="F129" s="58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68"/>
      <c r="D130" s="58"/>
      <c r="E130" s="58"/>
      <c r="F130" s="58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68"/>
      <c r="D131" s="58"/>
      <c r="E131" s="58"/>
      <c r="F131" s="58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68"/>
      <c r="D132" s="58"/>
      <c r="E132" s="58"/>
      <c r="F132" s="58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68"/>
      <c r="D133" s="58"/>
      <c r="E133" s="58"/>
      <c r="F133" s="58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68"/>
      <c r="D134" s="58"/>
      <c r="E134" s="58"/>
      <c r="F134" s="58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68"/>
      <c r="D135" s="58"/>
      <c r="E135" s="58"/>
      <c r="F135" s="58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68"/>
      <c r="D136" s="58"/>
      <c r="E136" s="58"/>
      <c r="F136" s="58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68"/>
      <c r="D137" s="58"/>
      <c r="E137" s="58"/>
      <c r="F137" s="58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68"/>
      <c r="D138" s="58"/>
      <c r="E138" s="58"/>
      <c r="F138" s="58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68"/>
      <c r="D139" s="58"/>
      <c r="E139" s="58"/>
      <c r="F139" s="58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68"/>
      <c r="D140" s="58"/>
      <c r="E140" s="58"/>
      <c r="F140" s="58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68"/>
      <c r="D141" s="58"/>
      <c r="E141" s="58"/>
      <c r="F141" s="58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68"/>
      <c r="D142" s="58"/>
      <c r="E142" s="58"/>
      <c r="F142" s="58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68"/>
      <c r="D143" s="58"/>
      <c r="E143" s="58"/>
      <c r="F143" s="58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68"/>
      <c r="D144" s="58"/>
      <c r="E144" s="58"/>
      <c r="F144" s="58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68"/>
      <c r="D145" s="58"/>
      <c r="E145" s="58"/>
      <c r="F145" s="58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68"/>
      <c r="D146" s="58"/>
      <c r="E146" s="58"/>
      <c r="F146" s="58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68"/>
      <c r="D147" s="58"/>
      <c r="E147" s="58"/>
      <c r="F147" s="58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68"/>
      <c r="D148" s="58"/>
      <c r="E148" s="58"/>
      <c r="F148" s="58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68"/>
      <c r="D149" s="58"/>
      <c r="E149" s="58"/>
      <c r="F149" s="58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68"/>
      <c r="D150" s="58"/>
      <c r="E150" s="58"/>
      <c r="F150" s="58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68"/>
      <c r="D151" s="58"/>
      <c r="E151" s="58"/>
      <c r="F151" s="58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68"/>
      <c r="D152" s="58"/>
      <c r="E152" s="58"/>
      <c r="F152" s="58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68"/>
      <c r="D153" s="58"/>
      <c r="E153" s="58"/>
      <c r="F153" s="58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68"/>
      <c r="D154" s="58"/>
      <c r="E154" s="58"/>
      <c r="F154" s="58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68"/>
      <c r="D155" s="58"/>
      <c r="E155" s="58"/>
      <c r="F155" s="58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68"/>
      <c r="D156" s="58"/>
      <c r="E156" s="58"/>
      <c r="F156" s="58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68"/>
      <c r="D157" s="58"/>
      <c r="E157" s="58"/>
      <c r="F157" s="58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68"/>
      <c r="D158" s="58"/>
      <c r="E158" s="58"/>
      <c r="F158" s="58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68"/>
      <c r="D159" s="58"/>
      <c r="E159" s="58"/>
      <c r="F159" s="58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68"/>
      <c r="D160" s="58"/>
      <c r="E160" s="58"/>
      <c r="F160" s="58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68"/>
      <c r="D161" s="58"/>
      <c r="E161" s="58"/>
      <c r="F161" s="58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68"/>
      <c r="D162" s="58"/>
      <c r="E162" s="58"/>
      <c r="F162" s="58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68"/>
      <c r="D163" s="58"/>
      <c r="E163" s="58"/>
      <c r="F163" s="58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68"/>
      <c r="D164" s="58"/>
      <c r="E164" s="58"/>
      <c r="F164" s="58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68"/>
      <c r="D165" s="58"/>
      <c r="E165" s="58"/>
      <c r="F165" s="58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68"/>
      <c r="D166" s="58"/>
      <c r="E166" s="58"/>
      <c r="F166" s="58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68"/>
      <c r="D167" s="58"/>
      <c r="E167" s="58"/>
      <c r="F167" s="58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68"/>
      <c r="D168" s="58"/>
      <c r="E168" s="58"/>
      <c r="F168" s="58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68"/>
      <c r="D169" s="58"/>
      <c r="E169" s="58"/>
      <c r="F169" s="58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68"/>
      <c r="D170" s="58"/>
      <c r="E170" s="58"/>
      <c r="F170" s="58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68"/>
      <c r="D171" s="58"/>
      <c r="E171" s="58"/>
      <c r="F171" s="58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68"/>
      <c r="D172" s="58"/>
      <c r="E172" s="58"/>
      <c r="F172" s="58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68"/>
      <c r="D173" s="58"/>
      <c r="E173" s="58"/>
      <c r="F173" s="58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68"/>
      <c r="D174" s="58"/>
      <c r="E174" s="58"/>
      <c r="F174" s="58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68"/>
      <c r="D175" s="58"/>
      <c r="E175" s="58"/>
      <c r="F175" s="58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68"/>
      <c r="D176" s="58"/>
      <c r="E176" s="58"/>
      <c r="F176" s="58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68"/>
      <c r="D177" s="58"/>
      <c r="E177" s="58"/>
      <c r="F177" s="58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68"/>
      <c r="D178" s="58"/>
      <c r="E178" s="58"/>
      <c r="F178" s="58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68"/>
      <c r="D179" s="58"/>
      <c r="E179" s="58"/>
      <c r="F179" s="58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68"/>
      <c r="D180" s="58"/>
      <c r="E180" s="58"/>
      <c r="F180" s="58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68"/>
      <c r="D181" s="58"/>
      <c r="E181" s="58"/>
      <c r="F181" s="58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68"/>
      <c r="D182" s="58"/>
      <c r="E182" s="58"/>
      <c r="F182" s="58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68"/>
      <c r="D183" s="58"/>
      <c r="E183" s="58"/>
      <c r="F183" s="58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68"/>
      <c r="D184" s="58"/>
      <c r="E184" s="58"/>
      <c r="F184" s="58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68"/>
      <c r="D185" s="58"/>
      <c r="E185" s="58"/>
      <c r="F185" s="58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68"/>
      <c r="D186" s="58"/>
      <c r="E186" s="58"/>
      <c r="F186" s="58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68"/>
      <c r="D187" s="58"/>
      <c r="E187" s="58"/>
      <c r="F187" s="58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68"/>
      <c r="D188" s="58"/>
      <c r="E188" s="58"/>
      <c r="F188" s="58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68"/>
      <c r="D189" s="58"/>
      <c r="E189" s="58"/>
      <c r="F189" s="58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68"/>
      <c r="D190" s="58"/>
      <c r="E190" s="58"/>
      <c r="F190" s="58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68"/>
      <c r="D191" s="58"/>
      <c r="E191" s="58"/>
      <c r="F191" s="58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68"/>
      <c r="D192" s="58"/>
      <c r="E192" s="58"/>
      <c r="F192" s="58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68"/>
      <c r="D193" s="58"/>
      <c r="E193" s="58"/>
      <c r="F193" s="58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68"/>
      <c r="D194" s="58"/>
      <c r="E194" s="58"/>
      <c r="F194" s="58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68"/>
      <c r="D195" s="58"/>
      <c r="E195" s="58"/>
      <c r="F195" s="58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68"/>
      <c r="D196" s="58"/>
      <c r="E196" s="58"/>
      <c r="F196" s="58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68"/>
      <c r="D197" s="58"/>
      <c r="E197" s="58"/>
      <c r="F197" s="58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68"/>
      <c r="D198" s="58"/>
      <c r="E198" s="58"/>
      <c r="F198" s="58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68"/>
      <c r="D199" s="58"/>
      <c r="E199" s="58"/>
      <c r="F199" s="58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68"/>
      <c r="D200" s="58"/>
      <c r="E200" s="58"/>
      <c r="F200" s="58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68"/>
      <c r="D201" s="58"/>
      <c r="E201" s="58"/>
      <c r="F201" s="58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68"/>
      <c r="D202" s="58"/>
      <c r="E202" s="58"/>
      <c r="F202" s="58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68"/>
      <c r="D203" s="58"/>
      <c r="E203" s="58"/>
      <c r="F203" s="58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68"/>
      <c r="D204" s="58"/>
      <c r="E204" s="58"/>
      <c r="F204" s="58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68"/>
      <c r="D205" s="58"/>
      <c r="E205" s="58"/>
      <c r="F205" s="58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68"/>
      <c r="D206" s="58"/>
      <c r="E206" s="58"/>
      <c r="F206" s="58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68"/>
      <c r="D207" s="58"/>
      <c r="E207" s="58"/>
      <c r="F207" s="58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68"/>
      <c r="D208" s="58"/>
      <c r="E208" s="58"/>
      <c r="F208" s="58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68"/>
      <c r="D209" s="58"/>
      <c r="E209" s="58"/>
      <c r="F209" s="58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68"/>
      <c r="D210" s="58"/>
      <c r="E210" s="58"/>
      <c r="F210" s="58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68"/>
      <c r="D211" s="58"/>
      <c r="E211" s="58"/>
      <c r="F211" s="58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68"/>
      <c r="D212" s="58"/>
      <c r="E212" s="58"/>
      <c r="F212" s="58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68"/>
      <c r="D213" s="58"/>
      <c r="E213" s="58"/>
      <c r="F213" s="58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68"/>
      <c r="D214" s="58"/>
      <c r="E214" s="58"/>
      <c r="F214" s="58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68"/>
      <c r="D215" s="58"/>
      <c r="E215" s="58"/>
      <c r="F215" s="58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68"/>
      <c r="D216" s="58"/>
      <c r="E216" s="58"/>
      <c r="F216" s="58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68"/>
      <c r="D217" s="58"/>
      <c r="E217" s="58"/>
      <c r="F217" s="58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68"/>
      <c r="D218" s="58"/>
      <c r="E218" s="58"/>
      <c r="F218" s="58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68"/>
      <c r="D219" s="58"/>
      <c r="E219" s="58"/>
      <c r="F219" s="58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68"/>
      <c r="D220" s="58"/>
      <c r="E220" s="58"/>
      <c r="F220" s="58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68"/>
      <c r="D221" s="58"/>
      <c r="E221" s="58"/>
      <c r="F221" s="58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68"/>
      <c r="D222" s="58"/>
      <c r="E222" s="58"/>
      <c r="F222" s="58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68"/>
      <c r="D223" s="58"/>
      <c r="E223" s="58"/>
      <c r="F223" s="58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68"/>
      <c r="D224" s="58"/>
      <c r="E224" s="58"/>
      <c r="F224" s="58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68"/>
      <c r="D225" s="58"/>
      <c r="E225" s="58"/>
      <c r="F225" s="58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68"/>
      <c r="D226" s="58"/>
      <c r="E226" s="58"/>
      <c r="F226" s="58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68"/>
      <c r="D227" s="58"/>
      <c r="E227" s="58"/>
      <c r="F227" s="58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68"/>
      <c r="D228" s="58"/>
      <c r="E228" s="58"/>
      <c r="F228" s="58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68"/>
      <c r="D229" s="58"/>
      <c r="E229" s="58"/>
      <c r="F229" s="58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68"/>
      <c r="D230" s="58"/>
      <c r="E230" s="58"/>
      <c r="F230" s="58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68"/>
      <c r="D231" s="58"/>
      <c r="E231" s="58"/>
      <c r="F231" s="58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68"/>
      <c r="D232" s="58"/>
      <c r="E232" s="58"/>
      <c r="F232" s="58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68"/>
      <c r="D233" s="58"/>
      <c r="E233" s="58"/>
      <c r="F233" s="58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68"/>
      <c r="D234" s="58"/>
      <c r="E234" s="58"/>
      <c r="F234" s="58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68"/>
      <c r="D235" s="58"/>
      <c r="E235" s="58"/>
      <c r="F235" s="58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68"/>
      <c r="D236" s="58"/>
      <c r="E236" s="58"/>
      <c r="F236" s="58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68"/>
      <c r="D237" s="58"/>
      <c r="E237" s="58"/>
      <c r="F237" s="58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68"/>
      <c r="D238" s="58"/>
      <c r="E238" s="58"/>
      <c r="F238" s="58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68"/>
      <c r="D239" s="58"/>
      <c r="E239" s="58"/>
      <c r="F239" s="58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68"/>
      <c r="D240" s="58"/>
      <c r="E240" s="58"/>
      <c r="F240" s="58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68"/>
      <c r="D241" s="58"/>
      <c r="E241" s="58"/>
      <c r="F241" s="58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68"/>
      <c r="D242" s="58"/>
      <c r="E242" s="58"/>
      <c r="F242" s="58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68"/>
      <c r="D243" s="58"/>
      <c r="E243" s="58"/>
      <c r="F243" s="58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68"/>
      <c r="D244" s="58"/>
      <c r="E244" s="58"/>
      <c r="F244" s="58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68"/>
      <c r="D245" s="58"/>
      <c r="E245" s="58"/>
      <c r="F245" s="58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68"/>
      <c r="D246" s="58"/>
      <c r="E246" s="58"/>
      <c r="F246" s="58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68"/>
      <c r="D247" s="58"/>
      <c r="E247" s="58"/>
      <c r="F247" s="58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68"/>
      <c r="D248" s="58"/>
      <c r="E248" s="58"/>
      <c r="F248" s="58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68"/>
      <c r="D249" s="58"/>
      <c r="E249" s="58"/>
      <c r="F249" s="58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68"/>
      <c r="D250" s="58"/>
      <c r="E250" s="58"/>
      <c r="F250" s="58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68"/>
      <c r="D251" s="58"/>
      <c r="E251" s="58"/>
      <c r="F251" s="58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68"/>
      <c r="D252" s="58"/>
      <c r="E252" s="58"/>
      <c r="F252" s="58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68"/>
      <c r="D253" s="58"/>
      <c r="E253" s="58"/>
      <c r="F253" s="58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68"/>
      <c r="D254" s="58"/>
      <c r="E254" s="58"/>
      <c r="F254" s="58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68"/>
      <c r="D255" s="58"/>
      <c r="E255" s="58"/>
      <c r="F255" s="58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68"/>
      <c r="D256" s="58"/>
      <c r="E256" s="58"/>
      <c r="F256" s="58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68"/>
      <c r="D257" s="58"/>
      <c r="E257" s="58"/>
      <c r="F257" s="58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68"/>
      <c r="D258" s="58"/>
      <c r="E258" s="58"/>
      <c r="F258" s="58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68"/>
      <c r="D259" s="58"/>
      <c r="E259" s="58"/>
      <c r="F259" s="58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68"/>
      <c r="D260" s="58"/>
      <c r="E260" s="58"/>
      <c r="F260" s="58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68"/>
      <c r="D261" s="58"/>
      <c r="E261" s="58"/>
      <c r="F261" s="58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68"/>
      <c r="D262" s="58"/>
      <c r="E262" s="58"/>
      <c r="F262" s="58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68"/>
      <c r="D263" s="58"/>
      <c r="E263" s="58"/>
      <c r="F263" s="58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68"/>
      <c r="D264" s="58"/>
      <c r="E264" s="58"/>
      <c r="F264" s="58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68"/>
      <c r="D265" s="58"/>
      <c r="E265" s="58"/>
      <c r="F265" s="58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68"/>
      <c r="D266" s="58"/>
      <c r="E266" s="58"/>
      <c r="F266" s="58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68"/>
      <c r="D267" s="58"/>
      <c r="E267" s="58"/>
      <c r="F267" s="58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68"/>
      <c r="D268" s="58"/>
      <c r="E268" s="58"/>
      <c r="F268" s="58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68"/>
      <c r="D269" s="58"/>
      <c r="E269" s="58"/>
      <c r="F269" s="58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68"/>
      <c r="D270" s="58"/>
      <c r="E270" s="58"/>
      <c r="F270" s="58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68"/>
      <c r="D271" s="58"/>
      <c r="E271" s="58"/>
      <c r="F271" s="58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68"/>
      <c r="D272" s="58"/>
      <c r="E272" s="58"/>
      <c r="F272" s="58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68"/>
      <c r="D273" s="58"/>
      <c r="E273" s="58"/>
      <c r="F273" s="58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68"/>
      <c r="D274" s="58"/>
      <c r="E274" s="58"/>
      <c r="F274" s="58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68"/>
      <c r="D275" s="58"/>
      <c r="E275" s="58"/>
      <c r="F275" s="58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68"/>
      <c r="D276" s="58"/>
      <c r="E276" s="58"/>
      <c r="F276" s="58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68"/>
      <c r="D277" s="58"/>
      <c r="E277" s="58"/>
      <c r="F277" s="58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68"/>
      <c r="D278" s="58"/>
      <c r="E278" s="58"/>
      <c r="F278" s="58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68"/>
      <c r="D279" s="58"/>
      <c r="E279" s="58"/>
      <c r="F279" s="58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68"/>
      <c r="D280" s="58"/>
      <c r="E280" s="58"/>
      <c r="F280" s="58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68"/>
      <c r="D281" s="58"/>
      <c r="E281" s="58"/>
      <c r="F281" s="58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68"/>
      <c r="D282" s="58"/>
      <c r="E282" s="58"/>
      <c r="F282" s="58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68"/>
      <c r="D283" s="58"/>
      <c r="E283" s="58"/>
      <c r="F283" s="58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68"/>
      <c r="D284" s="58"/>
      <c r="E284" s="58"/>
      <c r="F284" s="58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68"/>
      <c r="D285" s="58"/>
      <c r="E285" s="58"/>
      <c r="F285" s="58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68"/>
      <c r="D286" s="58"/>
      <c r="E286" s="58"/>
      <c r="F286" s="58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68"/>
      <c r="D287" s="58"/>
      <c r="E287" s="58"/>
      <c r="F287" s="58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68"/>
      <c r="D288" s="58"/>
      <c r="E288" s="58"/>
      <c r="F288" s="58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68"/>
      <c r="D289" s="58"/>
      <c r="E289" s="58"/>
      <c r="F289" s="58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68"/>
      <c r="D290" s="58"/>
      <c r="E290" s="58"/>
      <c r="F290" s="58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68"/>
      <c r="D291" s="58"/>
      <c r="E291" s="58"/>
      <c r="F291" s="58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68"/>
      <c r="D292" s="58"/>
      <c r="E292" s="58"/>
      <c r="F292" s="58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68"/>
      <c r="D293" s="58"/>
      <c r="E293" s="58"/>
      <c r="F293" s="58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68"/>
      <c r="D294" s="58"/>
      <c r="E294" s="58"/>
      <c r="F294" s="58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68"/>
      <c r="D295" s="58"/>
      <c r="E295" s="58"/>
      <c r="F295" s="58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68"/>
      <c r="D296" s="58"/>
      <c r="E296" s="58"/>
      <c r="F296" s="58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68"/>
      <c r="D297" s="58"/>
      <c r="E297" s="58"/>
      <c r="F297" s="58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68"/>
      <c r="D298" s="58"/>
      <c r="E298" s="58"/>
      <c r="F298" s="58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68"/>
      <c r="D299" s="58"/>
      <c r="E299" s="58"/>
      <c r="F299" s="58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68"/>
      <c r="D300" s="58"/>
      <c r="E300" s="58"/>
      <c r="F300" s="58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68"/>
      <c r="D301" s="58"/>
      <c r="E301" s="58"/>
      <c r="F301" s="58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68"/>
      <c r="D302" s="58"/>
      <c r="E302" s="58"/>
      <c r="F302" s="58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68"/>
      <c r="D303" s="58"/>
      <c r="E303" s="58"/>
      <c r="F303" s="58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68"/>
      <c r="D304" s="58"/>
      <c r="E304" s="58"/>
      <c r="F304" s="58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68"/>
      <c r="D305" s="58"/>
      <c r="E305" s="58"/>
      <c r="F305" s="58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68"/>
      <c r="D306" s="58"/>
      <c r="E306" s="58"/>
      <c r="F306" s="58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68"/>
      <c r="D307" s="58"/>
      <c r="E307" s="58"/>
      <c r="F307" s="58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68"/>
      <c r="D308" s="58"/>
      <c r="E308" s="58"/>
      <c r="F308" s="58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68"/>
      <c r="D309" s="58"/>
      <c r="E309" s="58"/>
      <c r="F309" s="58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68"/>
      <c r="D310" s="58"/>
      <c r="E310" s="58"/>
      <c r="F310" s="58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68"/>
      <c r="D311" s="58"/>
      <c r="E311" s="58"/>
      <c r="F311" s="58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68"/>
      <c r="D312" s="58"/>
      <c r="E312" s="58"/>
      <c r="F312" s="58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68"/>
      <c r="D313" s="58"/>
      <c r="E313" s="58"/>
      <c r="F313" s="58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68"/>
      <c r="D314" s="58"/>
      <c r="E314" s="58"/>
      <c r="F314" s="58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68"/>
      <c r="D315" s="58"/>
      <c r="E315" s="58"/>
      <c r="F315" s="58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68"/>
      <c r="D316" s="58"/>
      <c r="E316" s="58"/>
      <c r="F316" s="58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68"/>
      <c r="D317" s="58"/>
      <c r="E317" s="58"/>
      <c r="F317" s="58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68"/>
      <c r="D318" s="58"/>
      <c r="E318" s="58"/>
      <c r="F318" s="58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68"/>
      <c r="D319" s="58"/>
      <c r="E319" s="58"/>
      <c r="F319" s="58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68"/>
      <c r="D320" s="58"/>
      <c r="E320" s="58"/>
      <c r="F320" s="58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68"/>
      <c r="D321" s="58"/>
      <c r="E321" s="58"/>
      <c r="F321" s="58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68"/>
      <c r="D322" s="58"/>
      <c r="E322" s="58"/>
      <c r="F322" s="58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68"/>
      <c r="D323" s="58"/>
      <c r="E323" s="58"/>
      <c r="F323" s="58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68"/>
      <c r="D324" s="58"/>
      <c r="E324" s="58"/>
      <c r="F324" s="58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68"/>
      <c r="D325" s="58"/>
      <c r="E325" s="58"/>
      <c r="F325" s="58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68"/>
      <c r="D326" s="58"/>
      <c r="E326" s="58"/>
      <c r="F326" s="58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68"/>
      <c r="D327" s="58"/>
      <c r="E327" s="58"/>
      <c r="F327" s="58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68"/>
      <c r="D328" s="58"/>
      <c r="E328" s="58"/>
      <c r="F328" s="58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68"/>
      <c r="D329" s="58"/>
      <c r="E329" s="58"/>
      <c r="F329" s="58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68"/>
      <c r="D330" s="58"/>
      <c r="E330" s="58"/>
      <c r="F330" s="58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68"/>
      <c r="D331" s="58"/>
      <c r="E331" s="58"/>
      <c r="F331" s="58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68"/>
      <c r="D332" s="58"/>
      <c r="E332" s="58"/>
      <c r="F332" s="58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68"/>
      <c r="D333" s="58"/>
      <c r="E333" s="58"/>
      <c r="F333" s="58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68"/>
      <c r="D334" s="58"/>
      <c r="E334" s="58"/>
      <c r="F334" s="58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68"/>
      <c r="D335" s="58"/>
      <c r="E335" s="58"/>
      <c r="F335" s="58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68"/>
      <c r="D336" s="58"/>
      <c r="E336" s="58"/>
      <c r="F336" s="58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68"/>
      <c r="D337" s="58"/>
      <c r="E337" s="58"/>
      <c r="F337" s="58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68"/>
      <c r="D338" s="58"/>
      <c r="E338" s="58"/>
      <c r="F338" s="58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68"/>
      <c r="D339" s="58"/>
      <c r="E339" s="58"/>
      <c r="F339" s="58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68"/>
      <c r="D340" s="58"/>
      <c r="E340" s="58"/>
      <c r="F340" s="58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68"/>
      <c r="D341" s="58"/>
      <c r="E341" s="58"/>
      <c r="F341" s="58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68"/>
      <c r="D342" s="58"/>
      <c r="E342" s="58"/>
      <c r="F342" s="58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68"/>
      <c r="D343" s="58"/>
      <c r="E343" s="58"/>
      <c r="F343" s="58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68"/>
      <c r="D344" s="58"/>
      <c r="E344" s="58"/>
      <c r="F344" s="58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68"/>
      <c r="D345" s="58"/>
      <c r="E345" s="58"/>
      <c r="F345" s="58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68"/>
      <c r="D346" s="58"/>
      <c r="E346" s="58"/>
      <c r="F346" s="58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68"/>
      <c r="D347" s="58"/>
      <c r="E347" s="58"/>
      <c r="F347" s="58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68"/>
      <c r="D348" s="58"/>
      <c r="E348" s="58"/>
      <c r="F348" s="58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68"/>
      <c r="D349" s="58"/>
      <c r="E349" s="58"/>
      <c r="F349" s="58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68"/>
      <c r="D350" s="58"/>
      <c r="E350" s="58"/>
      <c r="F350" s="58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68"/>
      <c r="D351" s="58"/>
      <c r="E351" s="58"/>
      <c r="F351" s="58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68"/>
      <c r="D352" s="58"/>
      <c r="E352" s="58"/>
      <c r="F352" s="58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68"/>
      <c r="D353" s="58"/>
      <c r="E353" s="58"/>
      <c r="F353" s="58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68"/>
      <c r="D354" s="58"/>
      <c r="E354" s="58"/>
      <c r="F354" s="58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68"/>
      <c r="D355" s="58"/>
      <c r="E355" s="58"/>
      <c r="F355" s="58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68"/>
      <c r="D356" s="58"/>
      <c r="E356" s="58"/>
      <c r="F356" s="58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68"/>
      <c r="D357" s="58"/>
      <c r="E357" s="58"/>
      <c r="F357" s="58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68"/>
      <c r="D358" s="58"/>
      <c r="E358" s="58"/>
      <c r="F358" s="58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68"/>
      <c r="D359" s="58"/>
      <c r="E359" s="58"/>
      <c r="F359" s="58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68"/>
      <c r="D360" s="58"/>
      <c r="E360" s="58"/>
      <c r="F360" s="58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68"/>
      <c r="D361" s="58"/>
      <c r="E361" s="58"/>
      <c r="F361" s="58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68"/>
      <c r="D362" s="58"/>
      <c r="E362" s="58"/>
      <c r="F362" s="58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68"/>
      <c r="D363" s="58"/>
      <c r="E363" s="58"/>
      <c r="F363" s="58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68"/>
      <c r="D364" s="58"/>
      <c r="E364" s="58"/>
      <c r="F364" s="58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68"/>
      <c r="D365" s="58"/>
      <c r="E365" s="58"/>
      <c r="F365" s="58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68"/>
      <c r="D366" s="58"/>
      <c r="E366" s="58"/>
      <c r="F366" s="58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68"/>
      <c r="D367" s="58"/>
      <c r="E367" s="58"/>
      <c r="F367" s="58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68"/>
      <c r="D368" s="58"/>
      <c r="E368" s="58"/>
      <c r="F368" s="58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68"/>
      <c r="D369" s="58"/>
      <c r="E369" s="58"/>
      <c r="F369" s="58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68"/>
      <c r="D370" s="58"/>
      <c r="E370" s="58"/>
      <c r="F370" s="58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68"/>
      <c r="D371" s="58"/>
      <c r="E371" s="58"/>
      <c r="F371" s="58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68"/>
      <c r="D372" s="58"/>
      <c r="E372" s="58"/>
      <c r="F372" s="58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68"/>
      <c r="D373" s="58"/>
      <c r="E373" s="58"/>
      <c r="F373" s="58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68"/>
      <c r="D374" s="58"/>
      <c r="E374" s="58"/>
      <c r="F374" s="58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68"/>
      <c r="D375" s="58"/>
      <c r="E375" s="58"/>
      <c r="F375" s="58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68"/>
      <c r="D376" s="58"/>
      <c r="E376" s="58"/>
      <c r="F376" s="58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68"/>
      <c r="D377" s="58"/>
      <c r="E377" s="58"/>
      <c r="F377" s="58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68"/>
      <c r="D378" s="58"/>
      <c r="E378" s="58"/>
      <c r="F378" s="58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68"/>
      <c r="D379" s="58"/>
      <c r="E379" s="58"/>
      <c r="F379" s="58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68"/>
      <c r="D380" s="58"/>
      <c r="E380" s="58"/>
      <c r="F380" s="58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68"/>
      <c r="D381" s="58"/>
      <c r="E381" s="58"/>
      <c r="F381" s="58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68"/>
      <c r="D382" s="58"/>
      <c r="E382" s="58"/>
      <c r="F382" s="58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68"/>
      <c r="D383" s="58"/>
      <c r="E383" s="58"/>
      <c r="F383" s="58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68"/>
      <c r="D384" s="58"/>
      <c r="E384" s="58"/>
      <c r="F384" s="58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68"/>
      <c r="D385" s="58"/>
      <c r="E385" s="58"/>
      <c r="F385" s="58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68"/>
      <c r="D386" s="58"/>
      <c r="E386" s="58"/>
      <c r="F386" s="58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68"/>
      <c r="D387" s="58"/>
      <c r="E387" s="58"/>
      <c r="F387" s="58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68"/>
      <c r="D388" s="58"/>
      <c r="E388" s="58"/>
      <c r="F388" s="58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68"/>
      <c r="D389" s="58"/>
      <c r="E389" s="58"/>
      <c r="F389" s="58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68"/>
      <c r="D390" s="58"/>
      <c r="E390" s="58"/>
      <c r="F390" s="58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68"/>
      <c r="D391" s="58"/>
      <c r="E391" s="58"/>
      <c r="F391" s="58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68"/>
      <c r="D392" s="58"/>
      <c r="E392" s="58"/>
      <c r="F392" s="58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68"/>
      <c r="D393" s="58"/>
      <c r="E393" s="58"/>
      <c r="F393" s="58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68"/>
      <c r="D394" s="58"/>
      <c r="E394" s="58"/>
      <c r="F394" s="58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68"/>
      <c r="D395" s="58"/>
      <c r="E395" s="58"/>
      <c r="F395" s="58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68"/>
      <c r="D396" s="58"/>
      <c r="E396" s="58"/>
      <c r="F396" s="58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68"/>
      <c r="D397" s="58"/>
      <c r="E397" s="58"/>
      <c r="F397" s="58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68"/>
      <c r="D398" s="58"/>
      <c r="E398" s="58"/>
      <c r="F398" s="58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68"/>
      <c r="D399" s="58"/>
      <c r="E399" s="58"/>
      <c r="F399" s="58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68"/>
      <c r="D400" s="58"/>
      <c r="E400" s="58"/>
      <c r="F400" s="58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68"/>
      <c r="D401" s="58"/>
      <c r="E401" s="58"/>
      <c r="F401" s="58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68"/>
      <c r="D402" s="58"/>
      <c r="E402" s="58"/>
      <c r="F402" s="58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68"/>
      <c r="D403" s="58"/>
      <c r="E403" s="58"/>
      <c r="F403" s="58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68"/>
      <c r="D404" s="58"/>
      <c r="E404" s="58"/>
      <c r="F404" s="58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68"/>
      <c r="D405" s="58"/>
      <c r="E405" s="58"/>
      <c r="F405" s="58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68"/>
      <c r="D406" s="58"/>
      <c r="E406" s="58"/>
      <c r="F406" s="58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68"/>
      <c r="D407" s="58"/>
      <c r="E407" s="58"/>
      <c r="F407" s="58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68"/>
      <c r="D408" s="58"/>
      <c r="E408" s="58"/>
      <c r="F408" s="58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68"/>
      <c r="D409" s="58"/>
      <c r="E409" s="58"/>
      <c r="F409" s="58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68"/>
      <c r="D410" s="58"/>
      <c r="E410" s="58"/>
      <c r="F410" s="58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68"/>
      <c r="D411" s="58"/>
      <c r="E411" s="58"/>
      <c r="F411" s="58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68"/>
      <c r="D412" s="58"/>
      <c r="E412" s="58"/>
      <c r="F412" s="58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68"/>
      <c r="D413" s="58"/>
      <c r="E413" s="58"/>
      <c r="F413" s="58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68"/>
      <c r="D414" s="58"/>
      <c r="E414" s="58"/>
      <c r="F414" s="58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68"/>
      <c r="D415" s="58"/>
      <c r="E415" s="58"/>
      <c r="F415" s="58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68"/>
      <c r="D416" s="58"/>
      <c r="E416" s="58"/>
      <c r="F416" s="58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68"/>
      <c r="D417" s="58"/>
      <c r="E417" s="58"/>
      <c r="F417" s="58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68"/>
      <c r="D418" s="58"/>
      <c r="E418" s="58"/>
      <c r="F418" s="58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68"/>
      <c r="D419" s="58"/>
      <c r="E419" s="58"/>
      <c r="F419" s="58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68"/>
      <c r="D420" s="58"/>
      <c r="E420" s="58"/>
      <c r="F420" s="58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68"/>
      <c r="D421" s="58"/>
      <c r="E421" s="58"/>
      <c r="F421" s="58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68"/>
      <c r="D422" s="58"/>
      <c r="E422" s="58"/>
      <c r="F422" s="58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68"/>
      <c r="D423" s="58"/>
      <c r="E423" s="58"/>
      <c r="F423" s="58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68"/>
      <c r="D424" s="58"/>
      <c r="E424" s="58"/>
      <c r="F424" s="58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68"/>
      <c r="D425" s="58"/>
      <c r="E425" s="58"/>
      <c r="F425" s="58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68"/>
      <c r="D426" s="58"/>
      <c r="E426" s="58"/>
      <c r="F426" s="58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68"/>
      <c r="D427" s="58"/>
      <c r="E427" s="58"/>
      <c r="F427" s="58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68"/>
      <c r="D428" s="58"/>
      <c r="E428" s="58"/>
      <c r="F428" s="58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68"/>
      <c r="D429" s="58"/>
      <c r="E429" s="58"/>
      <c r="F429" s="58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68"/>
      <c r="D430" s="58"/>
      <c r="E430" s="58"/>
      <c r="F430" s="58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68"/>
      <c r="D431" s="58"/>
      <c r="E431" s="58"/>
      <c r="F431" s="58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68"/>
      <c r="D432" s="58"/>
      <c r="E432" s="58"/>
      <c r="F432" s="58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68"/>
      <c r="D433" s="58"/>
      <c r="E433" s="58"/>
      <c r="F433" s="58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68"/>
      <c r="D434" s="58"/>
      <c r="E434" s="58"/>
      <c r="F434" s="58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68"/>
      <c r="D435" s="58"/>
      <c r="E435" s="58"/>
      <c r="F435" s="58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68"/>
      <c r="D436" s="58"/>
      <c r="E436" s="58"/>
      <c r="F436" s="58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68"/>
      <c r="D437" s="58"/>
      <c r="E437" s="58"/>
      <c r="F437" s="58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68"/>
      <c r="D438" s="58"/>
      <c r="E438" s="58"/>
      <c r="F438" s="58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68"/>
      <c r="D439" s="58"/>
      <c r="E439" s="58"/>
      <c r="F439" s="58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68"/>
      <c r="D440" s="58"/>
      <c r="E440" s="58"/>
      <c r="F440" s="58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68"/>
      <c r="D441" s="58"/>
      <c r="E441" s="58"/>
      <c r="F441" s="58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68"/>
      <c r="D442" s="58"/>
      <c r="E442" s="58"/>
      <c r="F442" s="58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68"/>
      <c r="D443" s="58"/>
      <c r="E443" s="58"/>
      <c r="F443" s="58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68"/>
      <c r="D444" s="58"/>
      <c r="E444" s="58"/>
      <c r="F444" s="58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68"/>
      <c r="D445" s="58"/>
      <c r="E445" s="58"/>
      <c r="F445" s="58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68"/>
      <c r="D446" s="58"/>
      <c r="E446" s="58"/>
      <c r="F446" s="58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68"/>
      <c r="D447" s="58"/>
      <c r="E447" s="58"/>
      <c r="F447" s="58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68"/>
      <c r="D448" s="58"/>
      <c r="E448" s="58"/>
      <c r="F448" s="58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68"/>
      <c r="D449" s="58"/>
      <c r="E449" s="58"/>
      <c r="F449" s="58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68"/>
      <c r="D450" s="58"/>
      <c r="E450" s="58"/>
      <c r="F450" s="58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68"/>
      <c r="D451" s="58"/>
      <c r="E451" s="58"/>
      <c r="F451" s="58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68"/>
      <c r="D452" s="58"/>
      <c r="E452" s="58"/>
      <c r="F452" s="58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68"/>
      <c r="D453" s="58"/>
      <c r="E453" s="58"/>
      <c r="F453" s="58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68"/>
      <c r="D454" s="58"/>
      <c r="E454" s="58"/>
      <c r="F454" s="58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68"/>
      <c r="D455" s="58"/>
      <c r="E455" s="58"/>
      <c r="F455" s="58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68"/>
      <c r="D456" s="58"/>
      <c r="E456" s="58"/>
      <c r="F456" s="58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68"/>
      <c r="D457" s="58"/>
      <c r="E457" s="58"/>
      <c r="F457" s="58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68"/>
      <c r="D458" s="58"/>
      <c r="E458" s="58"/>
      <c r="F458" s="58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68"/>
      <c r="D459" s="58"/>
      <c r="E459" s="58"/>
      <c r="F459" s="58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68"/>
      <c r="D460" s="58"/>
      <c r="E460" s="58"/>
      <c r="F460" s="58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68"/>
      <c r="D461" s="58"/>
      <c r="E461" s="58"/>
      <c r="F461" s="58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68"/>
      <c r="D462" s="58"/>
      <c r="E462" s="58"/>
      <c r="F462" s="58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68"/>
      <c r="D463" s="58"/>
      <c r="E463" s="58"/>
      <c r="F463" s="58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68"/>
      <c r="D464" s="58"/>
      <c r="E464" s="58"/>
      <c r="F464" s="58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68"/>
      <c r="D465" s="58"/>
      <c r="E465" s="58"/>
      <c r="F465" s="58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68"/>
      <c r="D466" s="58"/>
      <c r="E466" s="58"/>
      <c r="F466" s="58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68"/>
      <c r="D467" s="58"/>
      <c r="E467" s="58"/>
      <c r="F467" s="58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68"/>
      <c r="D468" s="58"/>
      <c r="E468" s="58"/>
      <c r="F468" s="58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68"/>
      <c r="D469" s="58"/>
      <c r="E469" s="58"/>
      <c r="F469" s="58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68"/>
      <c r="D470" s="58"/>
      <c r="E470" s="58"/>
      <c r="F470" s="58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68"/>
      <c r="D471" s="58"/>
      <c r="E471" s="58"/>
      <c r="F471" s="58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68"/>
      <c r="D472" s="58"/>
      <c r="E472" s="58"/>
      <c r="F472" s="58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68"/>
      <c r="D473" s="58"/>
      <c r="E473" s="58"/>
      <c r="F473" s="58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68"/>
      <c r="D474" s="58"/>
      <c r="E474" s="58"/>
      <c r="F474" s="58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68"/>
      <c r="D475" s="58"/>
      <c r="E475" s="58"/>
      <c r="F475" s="58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68"/>
      <c r="D476" s="58"/>
      <c r="E476" s="58"/>
      <c r="F476" s="58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68"/>
      <c r="D477" s="58"/>
      <c r="E477" s="58"/>
      <c r="F477" s="58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68"/>
      <c r="D478" s="58"/>
      <c r="E478" s="58"/>
      <c r="F478" s="58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68"/>
      <c r="D479" s="58"/>
      <c r="E479" s="58"/>
      <c r="F479" s="58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68"/>
      <c r="D480" s="58"/>
      <c r="E480" s="58"/>
      <c r="F480" s="58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68"/>
      <c r="D481" s="58"/>
      <c r="E481" s="58"/>
      <c r="F481" s="58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68"/>
      <c r="D482" s="58"/>
      <c r="E482" s="58"/>
      <c r="F482" s="58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68"/>
      <c r="D483" s="58"/>
      <c r="E483" s="58"/>
      <c r="F483" s="58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68"/>
      <c r="D484" s="58"/>
      <c r="E484" s="58"/>
      <c r="F484" s="58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68"/>
      <c r="D485" s="58"/>
      <c r="E485" s="58"/>
      <c r="F485" s="58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68"/>
      <c r="D486" s="58"/>
      <c r="E486" s="58"/>
      <c r="F486" s="58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68"/>
      <c r="D487" s="58"/>
      <c r="E487" s="58"/>
      <c r="F487" s="58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68"/>
      <c r="D488" s="58"/>
      <c r="E488" s="58"/>
      <c r="F488" s="58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68"/>
      <c r="D489" s="58"/>
      <c r="E489" s="58"/>
      <c r="F489" s="58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68"/>
      <c r="D490" s="58"/>
      <c r="E490" s="58"/>
      <c r="F490" s="58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68"/>
      <c r="D491" s="58"/>
      <c r="E491" s="58"/>
      <c r="F491" s="58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68"/>
      <c r="D492" s="58"/>
      <c r="E492" s="58"/>
      <c r="F492" s="58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68"/>
      <c r="D493" s="58"/>
      <c r="E493" s="58"/>
      <c r="F493" s="58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68"/>
      <c r="D494" s="58"/>
      <c r="E494" s="58"/>
      <c r="F494" s="58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68"/>
      <c r="D495" s="58"/>
      <c r="E495" s="58"/>
      <c r="F495" s="58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68"/>
      <c r="D496" s="58"/>
      <c r="E496" s="58"/>
      <c r="F496" s="58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68"/>
      <c r="D497" s="58"/>
      <c r="E497" s="58"/>
      <c r="F497" s="58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68"/>
      <c r="D498" s="58"/>
      <c r="E498" s="58"/>
      <c r="F498" s="58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68"/>
      <c r="D499" s="58"/>
      <c r="E499" s="58"/>
      <c r="F499" s="58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68"/>
      <c r="D500" s="58"/>
      <c r="E500" s="58"/>
      <c r="F500" s="58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68"/>
      <c r="D501" s="58"/>
      <c r="E501" s="58"/>
      <c r="F501" s="58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68"/>
      <c r="D502" s="58"/>
      <c r="E502" s="58"/>
      <c r="F502" s="58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68"/>
      <c r="D503" s="58"/>
      <c r="E503" s="58"/>
      <c r="F503" s="58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68"/>
      <c r="D504" s="58"/>
      <c r="E504" s="58"/>
      <c r="F504" s="58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68"/>
      <c r="D505" s="58"/>
      <c r="E505" s="58"/>
      <c r="F505" s="58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68"/>
      <c r="D506" s="58"/>
      <c r="E506" s="58"/>
      <c r="F506" s="58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68"/>
      <c r="D507" s="58"/>
      <c r="E507" s="58"/>
      <c r="F507" s="58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68"/>
      <c r="D508" s="58"/>
      <c r="E508" s="58"/>
      <c r="F508" s="58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68"/>
      <c r="D509" s="58"/>
      <c r="E509" s="58"/>
      <c r="F509" s="58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68"/>
      <c r="D510" s="58"/>
      <c r="E510" s="58"/>
      <c r="F510" s="58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68"/>
      <c r="D511" s="58"/>
      <c r="E511" s="58"/>
      <c r="F511" s="58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68"/>
      <c r="D512" s="58"/>
      <c r="E512" s="58"/>
      <c r="F512" s="58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68"/>
      <c r="D513" s="58"/>
      <c r="E513" s="58"/>
      <c r="F513" s="58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68"/>
      <c r="D514" s="58"/>
      <c r="E514" s="58"/>
      <c r="F514" s="58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68"/>
      <c r="D515" s="58"/>
      <c r="E515" s="58"/>
      <c r="F515" s="58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68"/>
      <c r="D516" s="58"/>
      <c r="E516" s="58"/>
      <c r="F516" s="58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68"/>
      <c r="D517" s="58"/>
      <c r="E517" s="58"/>
      <c r="F517" s="58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68"/>
      <c r="D518" s="58"/>
      <c r="E518" s="58"/>
      <c r="F518" s="58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68"/>
      <c r="D519" s="58"/>
      <c r="E519" s="58"/>
      <c r="F519" s="58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68"/>
      <c r="D520" s="58"/>
      <c r="E520" s="58"/>
      <c r="F520" s="58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68"/>
      <c r="D521" s="58"/>
      <c r="E521" s="58"/>
      <c r="F521" s="58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68"/>
      <c r="D522" s="58"/>
      <c r="E522" s="58"/>
      <c r="F522" s="58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68"/>
      <c r="D523" s="58"/>
      <c r="E523" s="58"/>
      <c r="F523" s="58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68"/>
      <c r="D524" s="58"/>
      <c r="E524" s="58"/>
      <c r="F524" s="58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68"/>
      <c r="D525" s="58"/>
      <c r="E525" s="58"/>
      <c r="F525" s="58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68"/>
      <c r="D526" s="58"/>
      <c r="E526" s="58"/>
      <c r="F526" s="58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68"/>
      <c r="D527" s="58"/>
      <c r="E527" s="58"/>
      <c r="F527" s="58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68"/>
      <c r="D528" s="58"/>
      <c r="E528" s="58"/>
      <c r="F528" s="58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68"/>
      <c r="D529" s="58"/>
      <c r="E529" s="58"/>
      <c r="F529" s="58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68"/>
      <c r="D530" s="58"/>
      <c r="E530" s="58"/>
      <c r="F530" s="58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68"/>
      <c r="D531" s="58"/>
      <c r="E531" s="58"/>
      <c r="F531" s="58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68"/>
      <c r="D532" s="58"/>
      <c r="E532" s="58"/>
      <c r="F532" s="58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68"/>
      <c r="D533" s="58"/>
      <c r="E533" s="58"/>
      <c r="F533" s="58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68"/>
      <c r="D534" s="58"/>
      <c r="E534" s="58"/>
      <c r="F534" s="58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68"/>
      <c r="D535" s="58"/>
      <c r="E535" s="58"/>
      <c r="F535" s="58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68"/>
      <c r="D536" s="58"/>
      <c r="E536" s="58"/>
      <c r="F536" s="58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68"/>
      <c r="D537" s="58"/>
      <c r="E537" s="58"/>
      <c r="F537" s="58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68"/>
      <c r="D538" s="58"/>
      <c r="E538" s="58"/>
      <c r="F538" s="58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68"/>
      <c r="D539" s="58"/>
      <c r="E539" s="58"/>
      <c r="F539" s="58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68"/>
      <c r="D540" s="58"/>
      <c r="E540" s="58"/>
      <c r="F540" s="58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68"/>
      <c r="D541" s="58"/>
      <c r="E541" s="58"/>
      <c r="F541" s="58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68"/>
      <c r="D542" s="58"/>
      <c r="E542" s="58"/>
      <c r="F542" s="58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68"/>
      <c r="D543" s="58"/>
      <c r="E543" s="58"/>
      <c r="F543" s="58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68"/>
      <c r="D544" s="58"/>
      <c r="E544" s="58"/>
      <c r="F544" s="58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68"/>
      <c r="D545" s="58"/>
      <c r="E545" s="58"/>
      <c r="F545" s="58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68"/>
      <c r="D546" s="58"/>
      <c r="E546" s="58"/>
      <c r="F546" s="58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68"/>
      <c r="D547" s="58"/>
      <c r="E547" s="58"/>
      <c r="F547" s="58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68"/>
      <c r="D548" s="58"/>
      <c r="E548" s="58"/>
      <c r="F548" s="58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68"/>
      <c r="D549" s="58"/>
      <c r="E549" s="58"/>
      <c r="F549" s="58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68"/>
      <c r="D550" s="58"/>
      <c r="E550" s="58"/>
      <c r="F550" s="58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68"/>
      <c r="D551" s="58"/>
      <c r="E551" s="58"/>
      <c r="F551" s="58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68"/>
      <c r="D552" s="58"/>
      <c r="E552" s="58"/>
      <c r="F552" s="58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68"/>
      <c r="D553" s="58"/>
      <c r="E553" s="58"/>
      <c r="F553" s="58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68"/>
      <c r="D554" s="58"/>
      <c r="E554" s="58"/>
      <c r="F554" s="58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68"/>
      <c r="D555" s="58"/>
      <c r="E555" s="58"/>
      <c r="F555" s="58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68"/>
      <c r="D556" s="58"/>
      <c r="E556" s="58"/>
      <c r="F556" s="58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68"/>
      <c r="D557" s="58"/>
      <c r="E557" s="58"/>
      <c r="F557" s="58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68"/>
      <c r="D558" s="58"/>
      <c r="E558" s="58"/>
      <c r="F558" s="58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68"/>
      <c r="D559" s="58"/>
      <c r="E559" s="58"/>
      <c r="F559" s="58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68"/>
      <c r="D560" s="58"/>
      <c r="E560" s="58"/>
      <c r="F560" s="58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68"/>
      <c r="D561" s="58"/>
      <c r="E561" s="58"/>
      <c r="F561" s="58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68"/>
      <c r="D562" s="58"/>
      <c r="E562" s="58"/>
      <c r="F562" s="58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68"/>
      <c r="D563" s="58"/>
      <c r="E563" s="58"/>
      <c r="F563" s="58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68"/>
      <c r="D564" s="58"/>
      <c r="E564" s="58"/>
      <c r="F564" s="58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68"/>
      <c r="D565" s="58"/>
      <c r="E565" s="58"/>
      <c r="F565" s="58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68"/>
      <c r="D566" s="58"/>
      <c r="E566" s="58"/>
      <c r="F566" s="58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68"/>
      <c r="D567" s="58"/>
      <c r="E567" s="58"/>
      <c r="F567" s="58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68"/>
      <c r="D568" s="58"/>
      <c r="E568" s="58"/>
      <c r="F568" s="58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68"/>
      <c r="D569" s="58"/>
      <c r="E569" s="58"/>
      <c r="F569" s="58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68"/>
      <c r="D570" s="58"/>
      <c r="E570" s="58"/>
      <c r="F570" s="58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68"/>
      <c r="D571" s="58"/>
      <c r="E571" s="58"/>
      <c r="F571" s="58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68"/>
      <c r="D572" s="58"/>
      <c r="E572" s="58"/>
      <c r="F572" s="58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68"/>
      <c r="D573" s="58"/>
      <c r="E573" s="58"/>
      <c r="F573" s="58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68"/>
      <c r="D574" s="58"/>
      <c r="E574" s="58"/>
      <c r="F574" s="58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68"/>
      <c r="D575" s="58"/>
      <c r="E575" s="58"/>
      <c r="F575" s="58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68"/>
      <c r="D576" s="58"/>
      <c r="E576" s="58"/>
      <c r="F576" s="58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68"/>
      <c r="D577" s="58"/>
      <c r="E577" s="58"/>
      <c r="F577" s="58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68"/>
      <c r="D578" s="58"/>
      <c r="E578" s="58"/>
      <c r="F578" s="58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68"/>
      <c r="D579" s="58"/>
      <c r="E579" s="58"/>
      <c r="F579" s="58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68"/>
      <c r="D580" s="58"/>
      <c r="E580" s="58"/>
      <c r="F580" s="58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68"/>
      <c r="D581" s="58"/>
      <c r="E581" s="58"/>
      <c r="F581" s="58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68"/>
      <c r="D582" s="58"/>
      <c r="E582" s="58"/>
      <c r="F582" s="58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68"/>
      <c r="D583" s="58"/>
      <c r="E583" s="58"/>
      <c r="F583" s="58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68"/>
      <c r="D584" s="58"/>
      <c r="E584" s="58"/>
      <c r="F584" s="58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68"/>
      <c r="D585" s="58"/>
      <c r="E585" s="58"/>
      <c r="F585" s="58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68"/>
      <c r="D586" s="58"/>
      <c r="E586" s="58"/>
      <c r="F586" s="58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68"/>
      <c r="D587" s="58"/>
      <c r="E587" s="58"/>
      <c r="F587" s="58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68"/>
      <c r="D588" s="58"/>
      <c r="E588" s="58"/>
      <c r="F588" s="58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68"/>
      <c r="D589" s="58"/>
      <c r="E589" s="58"/>
      <c r="F589" s="58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68"/>
      <c r="D590" s="58"/>
      <c r="E590" s="58"/>
      <c r="F590" s="58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68"/>
      <c r="D591" s="58"/>
      <c r="E591" s="58"/>
      <c r="F591" s="58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68"/>
      <c r="D592" s="58"/>
      <c r="E592" s="58"/>
      <c r="F592" s="58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68"/>
      <c r="D593" s="58"/>
      <c r="E593" s="58"/>
      <c r="F593" s="58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68"/>
      <c r="D594" s="58"/>
      <c r="E594" s="58"/>
      <c r="F594" s="58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68"/>
      <c r="D595" s="58"/>
      <c r="E595" s="58"/>
      <c r="F595" s="58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68"/>
      <c r="D596" s="58"/>
      <c r="E596" s="58"/>
      <c r="F596" s="58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68"/>
      <c r="D597" s="58"/>
      <c r="E597" s="58"/>
      <c r="F597" s="58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68"/>
      <c r="D598" s="58"/>
      <c r="E598" s="58"/>
      <c r="F598" s="58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68"/>
      <c r="D599" s="58"/>
      <c r="E599" s="58"/>
      <c r="F599" s="58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68"/>
      <c r="D600" s="58"/>
      <c r="E600" s="58"/>
      <c r="F600" s="58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68"/>
      <c r="D601" s="58"/>
      <c r="E601" s="58"/>
      <c r="F601" s="58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68"/>
      <c r="D602" s="58"/>
      <c r="E602" s="58"/>
      <c r="F602" s="58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68"/>
      <c r="D603" s="58"/>
      <c r="E603" s="58"/>
      <c r="F603" s="58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68"/>
      <c r="D604" s="58"/>
      <c r="E604" s="58"/>
      <c r="F604" s="58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68"/>
      <c r="D605" s="58"/>
      <c r="E605" s="58"/>
      <c r="F605" s="58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68"/>
      <c r="D606" s="58"/>
      <c r="E606" s="58"/>
      <c r="F606" s="58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68"/>
      <c r="D607" s="58"/>
      <c r="E607" s="58"/>
      <c r="F607" s="58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68"/>
      <c r="D608" s="58"/>
      <c r="E608" s="58"/>
      <c r="F608" s="58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68"/>
      <c r="D609" s="58"/>
      <c r="E609" s="58"/>
      <c r="F609" s="58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68"/>
      <c r="D610" s="58"/>
      <c r="E610" s="58"/>
      <c r="F610" s="58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68"/>
      <c r="D611" s="58"/>
      <c r="E611" s="58"/>
      <c r="F611" s="58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68"/>
      <c r="D612" s="58"/>
      <c r="E612" s="58"/>
      <c r="F612" s="58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68"/>
      <c r="D613" s="58"/>
      <c r="E613" s="58"/>
      <c r="F613" s="58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68"/>
      <c r="D614" s="58"/>
      <c r="E614" s="58"/>
      <c r="F614" s="58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68"/>
      <c r="D615" s="58"/>
      <c r="E615" s="58"/>
      <c r="F615" s="58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68"/>
      <c r="D616" s="58"/>
      <c r="E616" s="58"/>
      <c r="F616" s="58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68"/>
      <c r="D617" s="58"/>
      <c r="E617" s="58"/>
      <c r="F617" s="58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68"/>
      <c r="D618" s="58"/>
      <c r="E618" s="58"/>
      <c r="F618" s="58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68"/>
      <c r="D619" s="58"/>
      <c r="E619" s="58"/>
      <c r="F619" s="58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68"/>
      <c r="D620" s="58"/>
      <c r="E620" s="58"/>
      <c r="F620" s="58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68"/>
      <c r="D621" s="58"/>
      <c r="E621" s="58"/>
      <c r="F621" s="58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68"/>
      <c r="D622" s="58"/>
      <c r="E622" s="58"/>
      <c r="F622" s="58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68"/>
      <c r="D623" s="58"/>
      <c r="E623" s="58"/>
      <c r="F623" s="58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68"/>
      <c r="D624" s="58"/>
      <c r="E624" s="58"/>
      <c r="F624" s="58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68"/>
      <c r="D625" s="58"/>
      <c r="E625" s="58"/>
      <c r="F625" s="58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68"/>
      <c r="D626" s="58"/>
      <c r="E626" s="58"/>
      <c r="F626" s="58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68"/>
      <c r="D627" s="58"/>
      <c r="E627" s="58"/>
      <c r="F627" s="58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68"/>
      <c r="D628" s="58"/>
      <c r="E628" s="58"/>
      <c r="F628" s="58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68"/>
      <c r="D629" s="58"/>
      <c r="E629" s="58"/>
      <c r="F629" s="58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68"/>
      <c r="D630" s="58"/>
      <c r="E630" s="58"/>
      <c r="F630" s="58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68"/>
      <c r="D631" s="58"/>
      <c r="E631" s="58"/>
      <c r="F631" s="58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68"/>
      <c r="D632" s="58"/>
      <c r="E632" s="58"/>
      <c r="F632" s="58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68"/>
      <c r="D633" s="58"/>
      <c r="E633" s="58"/>
      <c r="F633" s="58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68"/>
      <c r="D634" s="58"/>
      <c r="E634" s="58"/>
      <c r="F634" s="58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68"/>
      <c r="D635" s="58"/>
      <c r="E635" s="58"/>
      <c r="F635" s="58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68"/>
      <c r="D636" s="58"/>
      <c r="E636" s="58"/>
      <c r="F636" s="58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68"/>
      <c r="D637" s="58"/>
      <c r="E637" s="58"/>
      <c r="F637" s="58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68"/>
      <c r="D638" s="58"/>
      <c r="E638" s="58"/>
      <c r="F638" s="58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68"/>
      <c r="D639" s="58"/>
      <c r="E639" s="58"/>
      <c r="F639" s="58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68"/>
      <c r="D640" s="58"/>
      <c r="E640" s="58"/>
      <c r="F640" s="58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68"/>
      <c r="D641" s="58"/>
      <c r="E641" s="58"/>
      <c r="F641" s="58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68"/>
      <c r="D642" s="58"/>
      <c r="E642" s="58"/>
      <c r="F642" s="58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68"/>
      <c r="D643" s="58"/>
      <c r="E643" s="58"/>
      <c r="F643" s="58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68"/>
      <c r="D644" s="58"/>
      <c r="E644" s="58"/>
      <c r="F644" s="58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68"/>
      <c r="D645" s="58"/>
      <c r="E645" s="58"/>
      <c r="F645" s="58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68"/>
      <c r="D646" s="58"/>
      <c r="E646" s="58"/>
      <c r="F646" s="58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68"/>
      <c r="D647" s="58"/>
      <c r="E647" s="58"/>
      <c r="F647" s="58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68"/>
      <c r="D648" s="58"/>
      <c r="E648" s="58"/>
      <c r="F648" s="58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68"/>
      <c r="D649" s="58"/>
      <c r="E649" s="58"/>
      <c r="F649" s="58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68"/>
      <c r="D650" s="58"/>
      <c r="E650" s="58"/>
      <c r="F650" s="58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68"/>
      <c r="D651" s="58"/>
      <c r="E651" s="58"/>
      <c r="F651" s="58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68"/>
      <c r="D652" s="58"/>
      <c r="E652" s="58"/>
      <c r="F652" s="58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68"/>
      <c r="D653" s="58"/>
      <c r="E653" s="58"/>
      <c r="F653" s="58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68"/>
      <c r="D654" s="58"/>
      <c r="E654" s="58"/>
      <c r="F654" s="58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68"/>
      <c r="D655" s="58"/>
      <c r="E655" s="58"/>
      <c r="F655" s="58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68"/>
      <c r="D656" s="58"/>
      <c r="E656" s="58"/>
      <c r="F656" s="58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68"/>
      <c r="D657" s="58"/>
      <c r="E657" s="58"/>
      <c r="F657" s="58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68"/>
      <c r="D658" s="58"/>
      <c r="E658" s="58"/>
      <c r="F658" s="58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68"/>
      <c r="D659" s="58"/>
      <c r="E659" s="58"/>
      <c r="F659" s="58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68"/>
      <c r="D660" s="58"/>
      <c r="E660" s="58"/>
      <c r="F660" s="58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68"/>
      <c r="D661" s="58"/>
      <c r="E661" s="58"/>
      <c r="F661" s="58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68"/>
      <c r="D662" s="58"/>
      <c r="E662" s="58"/>
      <c r="F662" s="58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68"/>
      <c r="D663" s="58"/>
      <c r="E663" s="58"/>
      <c r="F663" s="58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68"/>
      <c r="D664" s="58"/>
      <c r="E664" s="58"/>
      <c r="F664" s="58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68"/>
      <c r="D665" s="58"/>
      <c r="E665" s="58"/>
      <c r="F665" s="58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68"/>
      <c r="D666" s="58"/>
      <c r="E666" s="58"/>
      <c r="F666" s="58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68"/>
      <c r="D667" s="58"/>
      <c r="E667" s="58"/>
      <c r="F667" s="58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68"/>
      <c r="D668" s="58"/>
      <c r="E668" s="58"/>
      <c r="F668" s="58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68"/>
      <c r="D669" s="58"/>
      <c r="E669" s="58"/>
      <c r="F669" s="58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68"/>
      <c r="D670" s="58"/>
      <c r="E670" s="58"/>
      <c r="F670" s="58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68"/>
      <c r="D671" s="58"/>
      <c r="E671" s="58"/>
      <c r="F671" s="58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68"/>
      <c r="D672" s="58"/>
      <c r="E672" s="58"/>
      <c r="F672" s="58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68"/>
      <c r="D673" s="58"/>
      <c r="E673" s="58"/>
      <c r="F673" s="58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68"/>
      <c r="D674" s="58"/>
      <c r="E674" s="58"/>
      <c r="F674" s="58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68"/>
      <c r="D675" s="58"/>
      <c r="E675" s="58"/>
      <c r="F675" s="58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68"/>
      <c r="D676" s="58"/>
      <c r="E676" s="58"/>
      <c r="F676" s="58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68"/>
      <c r="D677" s="58"/>
      <c r="E677" s="58"/>
      <c r="F677" s="58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68"/>
      <c r="D678" s="58"/>
      <c r="E678" s="58"/>
      <c r="F678" s="58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68"/>
      <c r="D679" s="58"/>
      <c r="E679" s="58"/>
      <c r="F679" s="58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68"/>
      <c r="D680" s="58"/>
      <c r="E680" s="58"/>
      <c r="F680" s="58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68"/>
      <c r="D681" s="58"/>
      <c r="E681" s="58"/>
      <c r="F681" s="58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68"/>
      <c r="D682" s="58"/>
      <c r="E682" s="58"/>
      <c r="F682" s="58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68"/>
      <c r="D683" s="58"/>
      <c r="E683" s="58"/>
      <c r="F683" s="58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68"/>
      <c r="D684" s="58"/>
      <c r="E684" s="58"/>
      <c r="F684" s="58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68"/>
      <c r="D685" s="58"/>
      <c r="E685" s="58"/>
      <c r="F685" s="58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68"/>
      <c r="D686" s="58"/>
      <c r="E686" s="58"/>
      <c r="F686" s="58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68"/>
      <c r="D687" s="58"/>
      <c r="E687" s="58"/>
      <c r="F687" s="58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68"/>
      <c r="D688" s="58"/>
      <c r="E688" s="58"/>
      <c r="F688" s="58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68"/>
      <c r="D689" s="58"/>
      <c r="E689" s="58"/>
      <c r="F689" s="58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68"/>
      <c r="D690" s="58"/>
      <c r="E690" s="58"/>
      <c r="F690" s="58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68"/>
      <c r="D691" s="58"/>
      <c r="E691" s="58"/>
      <c r="F691" s="58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68"/>
      <c r="D692" s="58"/>
      <c r="E692" s="58"/>
      <c r="F692" s="58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68"/>
      <c r="D693" s="58"/>
      <c r="E693" s="58"/>
      <c r="F693" s="58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68"/>
      <c r="D694" s="58"/>
      <c r="E694" s="58"/>
      <c r="F694" s="58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68"/>
      <c r="D695" s="58"/>
      <c r="E695" s="58"/>
      <c r="F695" s="58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68"/>
      <c r="D696" s="58"/>
      <c r="E696" s="58"/>
      <c r="F696" s="58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68"/>
      <c r="D697" s="58"/>
      <c r="E697" s="58"/>
      <c r="F697" s="58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68"/>
      <c r="D698" s="58"/>
      <c r="E698" s="58"/>
      <c r="F698" s="58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68"/>
      <c r="D699" s="58"/>
      <c r="E699" s="58"/>
      <c r="F699" s="58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68"/>
      <c r="D700" s="58"/>
      <c r="E700" s="58"/>
      <c r="F700" s="58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68"/>
      <c r="D701" s="58"/>
      <c r="E701" s="58"/>
      <c r="F701" s="58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68"/>
      <c r="D702" s="58"/>
      <c r="E702" s="58"/>
      <c r="F702" s="58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68"/>
      <c r="D703" s="58"/>
      <c r="E703" s="58"/>
      <c r="F703" s="58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68"/>
      <c r="D704" s="58"/>
      <c r="E704" s="58"/>
      <c r="F704" s="58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68"/>
      <c r="D705" s="58"/>
      <c r="E705" s="58"/>
      <c r="F705" s="58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68"/>
      <c r="D706" s="58"/>
      <c r="E706" s="58"/>
      <c r="F706" s="58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68"/>
      <c r="D707" s="58"/>
      <c r="E707" s="58"/>
      <c r="F707" s="58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68"/>
      <c r="D708" s="58"/>
      <c r="E708" s="58"/>
      <c r="F708" s="58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68"/>
      <c r="D709" s="58"/>
      <c r="E709" s="58"/>
      <c r="F709" s="58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68"/>
      <c r="D710" s="58"/>
      <c r="E710" s="58"/>
      <c r="F710" s="58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68"/>
      <c r="D711" s="58"/>
      <c r="E711" s="58"/>
      <c r="F711" s="58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68"/>
      <c r="D712" s="58"/>
      <c r="E712" s="58"/>
      <c r="F712" s="58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68"/>
      <c r="D713" s="58"/>
      <c r="E713" s="58"/>
      <c r="F713" s="58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68"/>
      <c r="D714" s="58"/>
      <c r="E714" s="58"/>
      <c r="F714" s="58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68"/>
      <c r="D715" s="58"/>
      <c r="E715" s="58"/>
      <c r="F715" s="58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68"/>
      <c r="D716" s="58"/>
      <c r="E716" s="58"/>
      <c r="F716" s="58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68"/>
      <c r="D717" s="58"/>
      <c r="E717" s="58"/>
      <c r="F717" s="58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68"/>
      <c r="D718" s="58"/>
      <c r="E718" s="58"/>
      <c r="F718" s="58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68"/>
      <c r="D719" s="58"/>
      <c r="E719" s="58"/>
      <c r="F719" s="58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68"/>
      <c r="D720" s="58"/>
      <c r="E720" s="58"/>
      <c r="F720" s="58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68"/>
      <c r="D721" s="58"/>
      <c r="E721" s="58"/>
      <c r="F721" s="58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68"/>
      <c r="D722" s="58"/>
      <c r="E722" s="58"/>
      <c r="F722" s="58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68"/>
      <c r="D723" s="58"/>
      <c r="E723" s="58"/>
      <c r="F723" s="58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68"/>
      <c r="D724" s="58"/>
      <c r="E724" s="58"/>
      <c r="F724" s="58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68"/>
      <c r="D725" s="58"/>
      <c r="E725" s="58"/>
      <c r="F725" s="58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68"/>
      <c r="D726" s="58"/>
      <c r="E726" s="58"/>
      <c r="F726" s="58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68"/>
      <c r="D727" s="58"/>
      <c r="E727" s="58"/>
      <c r="F727" s="58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68"/>
      <c r="D728" s="58"/>
      <c r="E728" s="58"/>
      <c r="F728" s="58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68"/>
      <c r="D729" s="58"/>
      <c r="E729" s="58"/>
      <c r="F729" s="58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68"/>
      <c r="D730" s="58"/>
      <c r="E730" s="58"/>
      <c r="F730" s="58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68"/>
      <c r="D731" s="58"/>
      <c r="E731" s="58"/>
      <c r="F731" s="58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68"/>
      <c r="D732" s="58"/>
      <c r="E732" s="58"/>
      <c r="F732" s="58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68"/>
      <c r="D733" s="58"/>
      <c r="E733" s="58"/>
      <c r="F733" s="58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68"/>
      <c r="D734" s="58"/>
      <c r="E734" s="58"/>
      <c r="F734" s="58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68"/>
      <c r="D735" s="58"/>
      <c r="E735" s="58"/>
      <c r="F735" s="58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68"/>
      <c r="D736" s="58"/>
      <c r="E736" s="58"/>
      <c r="F736" s="58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68"/>
      <c r="D737" s="58"/>
      <c r="E737" s="58"/>
      <c r="F737" s="58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68"/>
      <c r="D738" s="58"/>
      <c r="E738" s="58"/>
      <c r="F738" s="58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68"/>
      <c r="D739" s="58"/>
      <c r="E739" s="58"/>
      <c r="F739" s="58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68"/>
      <c r="D740" s="58"/>
      <c r="E740" s="58"/>
      <c r="F740" s="58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68"/>
      <c r="D741" s="58"/>
      <c r="E741" s="58"/>
      <c r="F741" s="58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68"/>
      <c r="D742" s="58"/>
      <c r="E742" s="58"/>
      <c r="F742" s="58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68"/>
      <c r="D743" s="58"/>
      <c r="E743" s="58"/>
      <c r="F743" s="58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68"/>
      <c r="D744" s="58"/>
      <c r="E744" s="58"/>
      <c r="F744" s="58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68"/>
      <c r="D745" s="58"/>
      <c r="E745" s="58"/>
      <c r="F745" s="58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68"/>
      <c r="D746" s="58"/>
      <c r="E746" s="58"/>
      <c r="F746" s="58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68"/>
      <c r="D747" s="58"/>
      <c r="E747" s="58"/>
      <c r="F747" s="58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68"/>
      <c r="D748" s="58"/>
      <c r="E748" s="58"/>
      <c r="F748" s="58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68"/>
      <c r="D749" s="58"/>
      <c r="E749" s="58"/>
      <c r="F749" s="58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68"/>
      <c r="D750" s="58"/>
      <c r="E750" s="58"/>
      <c r="F750" s="58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68"/>
      <c r="D751" s="58"/>
      <c r="E751" s="58"/>
      <c r="F751" s="58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68"/>
      <c r="D752" s="58"/>
      <c r="E752" s="58"/>
      <c r="F752" s="58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68"/>
      <c r="D753" s="58"/>
      <c r="E753" s="58"/>
      <c r="F753" s="58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68"/>
      <c r="D754" s="58"/>
      <c r="E754" s="58"/>
      <c r="F754" s="58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68"/>
      <c r="D755" s="58"/>
      <c r="E755" s="58"/>
      <c r="F755" s="58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68"/>
      <c r="D756" s="58"/>
      <c r="E756" s="58"/>
      <c r="F756" s="58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68"/>
      <c r="D757" s="58"/>
      <c r="E757" s="58"/>
      <c r="F757" s="58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68"/>
      <c r="D758" s="58"/>
      <c r="E758" s="58"/>
      <c r="F758" s="58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68"/>
      <c r="D759" s="58"/>
      <c r="E759" s="58"/>
      <c r="F759" s="58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68"/>
      <c r="D760" s="58"/>
      <c r="E760" s="58"/>
      <c r="F760" s="58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68"/>
      <c r="D761" s="58"/>
      <c r="E761" s="58"/>
      <c r="F761" s="58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68"/>
      <c r="D762" s="58"/>
      <c r="E762" s="58"/>
      <c r="F762" s="58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68"/>
      <c r="D763" s="58"/>
      <c r="E763" s="58"/>
      <c r="F763" s="58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68"/>
      <c r="D764" s="58"/>
      <c r="E764" s="58"/>
      <c r="F764" s="58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68"/>
      <c r="D765" s="58"/>
      <c r="E765" s="58"/>
      <c r="F765" s="58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68"/>
      <c r="D766" s="58"/>
      <c r="E766" s="58"/>
      <c r="F766" s="58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68"/>
      <c r="D767" s="58"/>
      <c r="E767" s="58"/>
      <c r="F767" s="58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68"/>
      <c r="D768" s="58"/>
      <c r="E768" s="58"/>
      <c r="F768" s="58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68"/>
      <c r="D769" s="58"/>
      <c r="E769" s="58"/>
      <c r="F769" s="58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68"/>
      <c r="D770" s="58"/>
      <c r="E770" s="58"/>
      <c r="F770" s="58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68"/>
      <c r="D771" s="58"/>
      <c r="E771" s="58"/>
      <c r="F771" s="58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68"/>
      <c r="D772" s="58"/>
      <c r="E772" s="58"/>
      <c r="F772" s="58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68"/>
      <c r="D773" s="58"/>
      <c r="E773" s="58"/>
      <c r="F773" s="58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68"/>
      <c r="D774" s="58"/>
      <c r="E774" s="58"/>
      <c r="F774" s="58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68"/>
      <c r="D775" s="58"/>
      <c r="E775" s="58"/>
      <c r="F775" s="58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68"/>
      <c r="D776" s="58"/>
      <c r="E776" s="58"/>
      <c r="F776" s="58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68"/>
      <c r="D777" s="58"/>
      <c r="E777" s="58"/>
      <c r="F777" s="58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68"/>
      <c r="D778" s="58"/>
      <c r="E778" s="58"/>
      <c r="F778" s="58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68"/>
      <c r="D779" s="58"/>
      <c r="E779" s="58"/>
      <c r="F779" s="58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68"/>
      <c r="D780" s="58"/>
      <c r="E780" s="58"/>
      <c r="F780" s="58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68"/>
      <c r="D781" s="58"/>
      <c r="E781" s="58"/>
      <c r="F781" s="58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68"/>
      <c r="D782" s="58"/>
      <c r="E782" s="58"/>
      <c r="F782" s="58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68"/>
      <c r="D783" s="58"/>
      <c r="E783" s="58"/>
      <c r="F783" s="58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68"/>
      <c r="D784" s="58"/>
      <c r="E784" s="58"/>
      <c r="F784" s="58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68"/>
      <c r="D785" s="58"/>
      <c r="E785" s="58"/>
      <c r="F785" s="58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68"/>
      <c r="D786" s="58"/>
      <c r="E786" s="58"/>
      <c r="F786" s="58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68"/>
      <c r="D787" s="58"/>
      <c r="E787" s="58"/>
      <c r="F787" s="58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68"/>
      <c r="D788" s="58"/>
      <c r="E788" s="58"/>
      <c r="F788" s="58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68"/>
      <c r="D789" s="58"/>
      <c r="E789" s="58"/>
      <c r="F789" s="58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68"/>
      <c r="D790" s="58"/>
      <c r="E790" s="58"/>
      <c r="F790" s="58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68"/>
      <c r="D791" s="58"/>
      <c r="E791" s="58"/>
      <c r="F791" s="58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68"/>
      <c r="D792" s="58"/>
      <c r="E792" s="58"/>
      <c r="F792" s="58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68"/>
      <c r="D793" s="58"/>
      <c r="E793" s="58"/>
      <c r="F793" s="58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68"/>
      <c r="D794" s="58"/>
      <c r="E794" s="58"/>
      <c r="F794" s="58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68"/>
      <c r="D795" s="58"/>
      <c r="E795" s="58"/>
      <c r="F795" s="58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68"/>
      <c r="D796" s="58"/>
      <c r="E796" s="58"/>
      <c r="F796" s="58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68"/>
      <c r="D797" s="58"/>
      <c r="E797" s="58"/>
      <c r="F797" s="58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68"/>
      <c r="D798" s="58"/>
      <c r="E798" s="58"/>
      <c r="F798" s="58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68"/>
      <c r="D799" s="58"/>
      <c r="E799" s="58"/>
      <c r="F799" s="58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68"/>
      <c r="D800" s="58"/>
      <c r="E800" s="58"/>
      <c r="F800" s="58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68"/>
      <c r="D801" s="58"/>
      <c r="E801" s="58"/>
      <c r="F801" s="58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68"/>
      <c r="D802" s="58"/>
      <c r="E802" s="58"/>
      <c r="F802" s="58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68"/>
      <c r="D803" s="58"/>
      <c r="E803" s="58"/>
      <c r="F803" s="58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68"/>
      <c r="D804" s="58"/>
      <c r="E804" s="58"/>
      <c r="F804" s="58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68"/>
      <c r="D805" s="58"/>
      <c r="E805" s="58"/>
      <c r="F805" s="58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68"/>
      <c r="D806" s="58"/>
      <c r="E806" s="58"/>
      <c r="F806" s="58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68"/>
      <c r="D807" s="58"/>
      <c r="E807" s="58"/>
      <c r="F807" s="58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68"/>
      <c r="D808" s="58"/>
      <c r="E808" s="58"/>
      <c r="F808" s="58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68"/>
      <c r="D809" s="58"/>
      <c r="E809" s="58"/>
      <c r="F809" s="58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68"/>
      <c r="D810" s="58"/>
      <c r="E810" s="58"/>
      <c r="F810" s="58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68"/>
      <c r="D811" s="58"/>
      <c r="E811" s="58"/>
      <c r="F811" s="58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68"/>
      <c r="D812" s="58"/>
      <c r="E812" s="58"/>
      <c r="F812" s="58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68"/>
      <c r="D813" s="58"/>
      <c r="E813" s="58"/>
      <c r="F813" s="58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68"/>
      <c r="D814" s="58"/>
      <c r="E814" s="58"/>
      <c r="F814" s="58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68"/>
      <c r="D815" s="58"/>
      <c r="E815" s="58"/>
      <c r="F815" s="58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68"/>
      <c r="D816" s="58"/>
      <c r="E816" s="58"/>
      <c r="F816" s="58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68"/>
      <c r="D817" s="58"/>
      <c r="E817" s="58"/>
      <c r="F817" s="58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68"/>
      <c r="D818" s="58"/>
      <c r="E818" s="58"/>
      <c r="F818" s="58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68"/>
      <c r="D819" s="58"/>
      <c r="E819" s="58"/>
      <c r="F819" s="58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68"/>
      <c r="D820" s="58"/>
      <c r="E820" s="58"/>
      <c r="F820" s="58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68"/>
      <c r="D821" s="58"/>
      <c r="E821" s="58"/>
      <c r="F821" s="58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68"/>
      <c r="D822" s="58"/>
      <c r="E822" s="58"/>
      <c r="F822" s="58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68"/>
      <c r="D823" s="58"/>
      <c r="E823" s="58"/>
      <c r="F823" s="58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68"/>
      <c r="D824" s="58"/>
      <c r="E824" s="58"/>
      <c r="F824" s="58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68"/>
      <c r="D825" s="58"/>
      <c r="E825" s="58"/>
      <c r="F825" s="58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68"/>
      <c r="D826" s="58"/>
      <c r="E826" s="58"/>
      <c r="F826" s="58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68"/>
      <c r="D827" s="58"/>
      <c r="E827" s="58"/>
      <c r="F827" s="58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68"/>
      <c r="D828" s="58"/>
      <c r="E828" s="58"/>
      <c r="F828" s="58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68"/>
      <c r="D829" s="58"/>
      <c r="E829" s="58"/>
      <c r="F829" s="58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68"/>
      <c r="D830" s="58"/>
      <c r="E830" s="58"/>
      <c r="F830" s="58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68"/>
      <c r="D831" s="58"/>
      <c r="E831" s="58"/>
      <c r="F831" s="58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68"/>
      <c r="D832" s="58"/>
      <c r="E832" s="58"/>
      <c r="F832" s="58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68"/>
      <c r="D833" s="58"/>
      <c r="E833" s="58"/>
      <c r="F833" s="58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68"/>
      <c r="D834" s="58"/>
      <c r="E834" s="58"/>
      <c r="F834" s="58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68"/>
      <c r="D835" s="58"/>
      <c r="E835" s="58"/>
      <c r="F835" s="58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68"/>
      <c r="D836" s="58"/>
      <c r="E836" s="58"/>
      <c r="F836" s="58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68"/>
      <c r="D837" s="58"/>
      <c r="E837" s="58"/>
      <c r="F837" s="58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68"/>
      <c r="D838" s="58"/>
      <c r="E838" s="58"/>
      <c r="F838" s="58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68"/>
      <c r="D839" s="58"/>
      <c r="E839" s="58"/>
      <c r="F839" s="58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68"/>
      <c r="D840" s="58"/>
      <c r="E840" s="58"/>
      <c r="F840" s="58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68"/>
      <c r="D841" s="58"/>
      <c r="E841" s="58"/>
      <c r="F841" s="58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68"/>
      <c r="D842" s="58"/>
      <c r="E842" s="58"/>
      <c r="F842" s="58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68"/>
      <c r="D843" s="58"/>
      <c r="E843" s="58"/>
      <c r="F843" s="58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68"/>
      <c r="D844" s="58"/>
      <c r="E844" s="58"/>
      <c r="F844" s="58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68"/>
      <c r="D845" s="58"/>
      <c r="E845" s="58"/>
      <c r="F845" s="58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68"/>
      <c r="D846" s="58"/>
      <c r="E846" s="58"/>
      <c r="F846" s="58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68"/>
      <c r="D847" s="58"/>
      <c r="E847" s="58"/>
      <c r="F847" s="58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68"/>
      <c r="D848" s="58"/>
      <c r="E848" s="58"/>
      <c r="F848" s="58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68"/>
      <c r="D849" s="58"/>
      <c r="E849" s="58"/>
      <c r="F849" s="58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68"/>
      <c r="D850" s="58"/>
      <c r="E850" s="58"/>
      <c r="F850" s="58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68"/>
      <c r="D851" s="58"/>
      <c r="E851" s="58"/>
      <c r="F851" s="58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68"/>
      <c r="D852" s="58"/>
      <c r="E852" s="58"/>
      <c r="F852" s="58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68"/>
      <c r="D853" s="58"/>
      <c r="E853" s="58"/>
      <c r="F853" s="58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68"/>
      <c r="D854" s="58"/>
      <c r="E854" s="58"/>
      <c r="F854" s="58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68"/>
      <c r="D855" s="58"/>
      <c r="E855" s="58"/>
      <c r="F855" s="58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68"/>
      <c r="D856" s="58"/>
      <c r="E856" s="58"/>
      <c r="F856" s="58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68"/>
      <c r="D857" s="58"/>
      <c r="E857" s="58"/>
      <c r="F857" s="58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68"/>
      <c r="D858" s="58"/>
      <c r="E858" s="58"/>
      <c r="F858" s="58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68"/>
      <c r="D859" s="58"/>
      <c r="E859" s="58"/>
      <c r="F859" s="58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68"/>
      <c r="D860" s="58"/>
      <c r="E860" s="58"/>
      <c r="F860" s="58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68"/>
      <c r="D861" s="58"/>
      <c r="E861" s="58"/>
      <c r="F861" s="58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68"/>
      <c r="D862" s="58"/>
      <c r="E862" s="58"/>
      <c r="F862" s="58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68"/>
      <c r="D863" s="58"/>
      <c r="E863" s="58"/>
      <c r="F863" s="58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68"/>
      <c r="D864" s="58"/>
      <c r="E864" s="58"/>
      <c r="F864" s="58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68"/>
      <c r="D865" s="58"/>
      <c r="E865" s="58"/>
      <c r="F865" s="58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68"/>
      <c r="D866" s="58"/>
      <c r="E866" s="58"/>
      <c r="F866" s="58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68"/>
      <c r="D867" s="58"/>
      <c r="E867" s="58"/>
      <c r="F867" s="58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68"/>
      <c r="D868" s="58"/>
      <c r="E868" s="58"/>
      <c r="F868" s="58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68"/>
      <c r="D869" s="58"/>
      <c r="E869" s="58"/>
      <c r="F869" s="58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68"/>
      <c r="D870" s="58"/>
      <c r="E870" s="58"/>
      <c r="F870" s="58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68"/>
      <c r="D871" s="58"/>
      <c r="E871" s="58"/>
      <c r="F871" s="58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68"/>
      <c r="D872" s="58"/>
      <c r="E872" s="58"/>
      <c r="F872" s="58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68"/>
      <c r="D873" s="58"/>
      <c r="E873" s="58"/>
      <c r="F873" s="58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68"/>
      <c r="D874" s="58"/>
      <c r="E874" s="58"/>
      <c r="F874" s="58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68"/>
      <c r="D875" s="58"/>
      <c r="E875" s="58"/>
      <c r="F875" s="58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68"/>
      <c r="D876" s="58"/>
      <c r="E876" s="58"/>
      <c r="F876" s="58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68"/>
      <c r="D877" s="58"/>
      <c r="E877" s="58"/>
      <c r="F877" s="58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68"/>
      <c r="D878" s="58"/>
      <c r="E878" s="58"/>
      <c r="F878" s="58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68"/>
      <c r="D879" s="58"/>
      <c r="E879" s="58"/>
      <c r="F879" s="58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68"/>
      <c r="D880" s="58"/>
      <c r="E880" s="58"/>
      <c r="F880" s="58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68"/>
      <c r="D881" s="58"/>
      <c r="E881" s="58"/>
      <c r="F881" s="58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68"/>
      <c r="D882" s="58"/>
      <c r="E882" s="58"/>
      <c r="F882" s="58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68"/>
      <c r="D883" s="58"/>
      <c r="E883" s="58"/>
      <c r="F883" s="58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68"/>
      <c r="D884" s="58"/>
      <c r="E884" s="58"/>
      <c r="F884" s="58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68"/>
      <c r="D885" s="58"/>
      <c r="E885" s="58"/>
      <c r="F885" s="58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68"/>
      <c r="D886" s="58"/>
      <c r="E886" s="58"/>
      <c r="F886" s="58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68"/>
      <c r="D887" s="58"/>
      <c r="E887" s="58"/>
      <c r="F887" s="58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68"/>
      <c r="D888" s="58"/>
      <c r="E888" s="58"/>
      <c r="F888" s="58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68"/>
      <c r="D889" s="58"/>
      <c r="E889" s="58"/>
      <c r="F889" s="58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68"/>
      <c r="D890" s="58"/>
      <c r="E890" s="58"/>
      <c r="F890" s="58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68"/>
      <c r="D891" s="58"/>
      <c r="E891" s="58"/>
      <c r="F891" s="58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68"/>
      <c r="D892" s="58"/>
      <c r="E892" s="58"/>
      <c r="F892" s="58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68"/>
      <c r="D893" s="58"/>
      <c r="E893" s="58"/>
      <c r="F893" s="58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68"/>
      <c r="D894" s="58"/>
      <c r="E894" s="58"/>
      <c r="F894" s="58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68"/>
      <c r="D895" s="58"/>
      <c r="E895" s="58"/>
      <c r="F895" s="58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68"/>
      <c r="D896" s="58"/>
      <c r="E896" s="58"/>
      <c r="F896" s="58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68"/>
      <c r="D897" s="58"/>
      <c r="E897" s="58"/>
      <c r="F897" s="58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68"/>
      <c r="D898" s="58"/>
      <c r="E898" s="58"/>
      <c r="F898" s="58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68"/>
      <c r="D899" s="58"/>
      <c r="E899" s="58"/>
      <c r="F899" s="58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68"/>
      <c r="D900" s="58"/>
      <c r="E900" s="58"/>
      <c r="F900" s="58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68"/>
      <c r="D901" s="58"/>
      <c r="E901" s="58"/>
      <c r="F901" s="58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68"/>
      <c r="D902" s="58"/>
      <c r="E902" s="58"/>
      <c r="F902" s="58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68"/>
      <c r="D903" s="58"/>
      <c r="E903" s="58"/>
      <c r="F903" s="58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68"/>
      <c r="D904" s="58"/>
      <c r="E904" s="58"/>
      <c r="F904" s="58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68"/>
      <c r="D905" s="58"/>
      <c r="E905" s="58"/>
      <c r="F905" s="58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68"/>
      <c r="D906" s="58"/>
      <c r="E906" s="58"/>
      <c r="F906" s="58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68"/>
      <c r="D907" s="58"/>
      <c r="E907" s="58"/>
      <c r="F907" s="58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68"/>
      <c r="D908" s="58"/>
      <c r="E908" s="58"/>
      <c r="F908" s="58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68"/>
      <c r="D909" s="58"/>
      <c r="E909" s="58"/>
      <c r="F909" s="58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68"/>
      <c r="D910" s="58"/>
      <c r="E910" s="58"/>
      <c r="F910" s="58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68"/>
      <c r="D911" s="58"/>
      <c r="E911" s="58"/>
      <c r="F911" s="58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68"/>
      <c r="D912" s="58"/>
      <c r="E912" s="58"/>
      <c r="F912" s="58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68"/>
      <c r="D913" s="58"/>
      <c r="E913" s="58"/>
      <c r="F913" s="58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68"/>
      <c r="D914" s="58"/>
      <c r="E914" s="58"/>
      <c r="F914" s="58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68"/>
      <c r="D915" s="58"/>
      <c r="E915" s="58"/>
      <c r="F915" s="58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68"/>
      <c r="D916" s="58"/>
      <c r="E916" s="58"/>
      <c r="F916" s="58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68"/>
      <c r="D917" s="58"/>
      <c r="E917" s="58"/>
      <c r="F917" s="58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68"/>
      <c r="D918" s="58"/>
      <c r="E918" s="58"/>
      <c r="F918" s="58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68"/>
      <c r="D919" s="58"/>
      <c r="E919" s="58"/>
      <c r="F919" s="58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68"/>
      <c r="D920" s="58"/>
      <c r="E920" s="58"/>
      <c r="F920" s="58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68"/>
      <c r="D921" s="58"/>
      <c r="E921" s="58"/>
      <c r="F921" s="58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68"/>
      <c r="D922" s="58"/>
      <c r="E922" s="58"/>
      <c r="F922" s="58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68"/>
      <c r="D923" s="58"/>
      <c r="E923" s="58"/>
      <c r="F923" s="58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68"/>
      <c r="D924" s="58"/>
      <c r="E924" s="58"/>
      <c r="F924" s="58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68"/>
      <c r="D925" s="58"/>
      <c r="E925" s="58"/>
      <c r="F925" s="58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68"/>
      <c r="D926" s="58"/>
      <c r="E926" s="58"/>
      <c r="F926" s="58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68"/>
      <c r="D927" s="58"/>
      <c r="E927" s="58"/>
      <c r="F927" s="58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68"/>
      <c r="D928" s="58"/>
      <c r="E928" s="58"/>
      <c r="F928" s="58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68"/>
      <c r="D929" s="58"/>
      <c r="E929" s="58"/>
      <c r="F929" s="58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68"/>
      <c r="D930" s="58"/>
      <c r="E930" s="58"/>
      <c r="F930" s="58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68"/>
      <c r="D931" s="58"/>
      <c r="E931" s="58"/>
      <c r="F931" s="58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68"/>
      <c r="D932" s="58"/>
      <c r="E932" s="58"/>
      <c r="F932" s="58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68"/>
      <c r="D933" s="58"/>
      <c r="E933" s="58"/>
      <c r="F933" s="58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68"/>
      <c r="D934" s="58"/>
      <c r="E934" s="58"/>
      <c r="F934" s="58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68"/>
      <c r="D935" s="58"/>
      <c r="E935" s="58"/>
      <c r="F935" s="58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68"/>
      <c r="D936" s="58"/>
      <c r="E936" s="58"/>
      <c r="F936" s="58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68"/>
      <c r="D937" s="58"/>
      <c r="E937" s="58"/>
      <c r="F937" s="58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68"/>
      <c r="D938" s="58"/>
      <c r="E938" s="58"/>
      <c r="F938" s="58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68"/>
      <c r="D939" s="58"/>
      <c r="E939" s="58"/>
      <c r="F939" s="58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68"/>
      <c r="D940" s="58"/>
      <c r="E940" s="58"/>
      <c r="F940" s="58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68"/>
      <c r="D941" s="58"/>
      <c r="E941" s="58"/>
      <c r="F941" s="58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68"/>
      <c r="D942" s="58"/>
      <c r="E942" s="58"/>
      <c r="F942" s="58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68"/>
      <c r="D943" s="58"/>
      <c r="E943" s="58"/>
      <c r="F943" s="58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68"/>
      <c r="D944" s="58"/>
      <c r="E944" s="58"/>
      <c r="F944" s="58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68"/>
      <c r="D945" s="58"/>
      <c r="E945" s="58"/>
      <c r="F945" s="58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68"/>
      <c r="D946" s="58"/>
      <c r="E946" s="58"/>
      <c r="F946" s="58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68"/>
      <c r="D947" s="58"/>
      <c r="E947" s="58"/>
      <c r="F947" s="58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68"/>
      <c r="D948" s="58"/>
      <c r="E948" s="58"/>
      <c r="F948" s="58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68"/>
      <c r="D949" s="58"/>
      <c r="E949" s="58"/>
      <c r="F949" s="58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68"/>
      <c r="D950" s="58"/>
      <c r="E950" s="58"/>
      <c r="F950" s="58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68"/>
      <c r="D951" s="58"/>
      <c r="E951" s="58"/>
      <c r="F951" s="58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68"/>
      <c r="D952" s="58"/>
      <c r="E952" s="58"/>
      <c r="F952" s="58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68"/>
      <c r="D953" s="58"/>
      <c r="E953" s="58"/>
      <c r="F953" s="58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68"/>
      <c r="D954" s="58"/>
      <c r="E954" s="58"/>
      <c r="F954" s="58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68"/>
      <c r="D955" s="58"/>
      <c r="E955" s="58"/>
      <c r="F955" s="58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68"/>
      <c r="D956" s="58"/>
      <c r="E956" s="58"/>
      <c r="F956" s="58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68"/>
      <c r="D957" s="58"/>
      <c r="E957" s="58"/>
      <c r="F957" s="58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68"/>
      <c r="D958" s="58"/>
      <c r="E958" s="58"/>
      <c r="F958" s="58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68"/>
      <c r="D959" s="58"/>
      <c r="E959" s="58"/>
      <c r="F959" s="58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68"/>
      <c r="D960" s="58"/>
      <c r="E960" s="58"/>
      <c r="F960" s="58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68"/>
      <c r="D961" s="58"/>
      <c r="E961" s="58"/>
      <c r="F961" s="58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68"/>
      <c r="D962" s="58"/>
      <c r="E962" s="58"/>
      <c r="F962" s="58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68"/>
      <c r="D963" s="58"/>
      <c r="E963" s="58"/>
      <c r="F963" s="58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68"/>
      <c r="D964" s="58"/>
      <c r="E964" s="58"/>
      <c r="F964" s="58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68"/>
      <c r="D965" s="58"/>
      <c r="E965" s="58"/>
      <c r="F965" s="58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68"/>
      <c r="D966" s="58"/>
      <c r="E966" s="58"/>
      <c r="F966" s="58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68"/>
      <c r="D967" s="58"/>
      <c r="E967" s="58"/>
      <c r="F967" s="58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68"/>
      <c r="D968" s="58"/>
      <c r="E968" s="58"/>
      <c r="F968" s="58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68"/>
      <c r="D969" s="58"/>
      <c r="E969" s="58"/>
      <c r="F969" s="58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68"/>
      <c r="D970" s="58"/>
      <c r="E970" s="58"/>
      <c r="F970" s="58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68"/>
      <c r="D971" s="58"/>
      <c r="E971" s="58"/>
      <c r="F971" s="58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68"/>
      <c r="D972" s="58"/>
      <c r="E972" s="58"/>
      <c r="F972" s="58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68"/>
      <c r="D973" s="58"/>
      <c r="E973" s="58"/>
      <c r="F973" s="58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68"/>
      <c r="D974" s="58"/>
      <c r="E974" s="58"/>
      <c r="F974" s="58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68"/>
      <c r="D975" s="58"/>
      <c r="E975" s="58"/>
      <c r="F975" s="58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68"/>
      <c r="D976" s="58"/>
      <c r="E976" s="58"/>
      <c r="F976" s="58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68"/>
      <c r="D977" s="58"/>
      <c r="E977" s="58"/>
      <c r="F977" s="58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68"/>
      <c r="D978" s="58"/>
      <c r="E978" s="58"/>
      <c r="F978" s="58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68"/>
      <c r="D979" s="58"/>
      <c r="E979" s="58"/>
      <c r="F979" s="58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68"/>
      <c r="D980" s="58"/>
      <c r="E980" s="58"/>
      <c r="F980" s="58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68"/>
      <c r="D981" s="58"/>
      <c r="E981" s="58"/>
      <c r="F981" s="58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68"/>
      <c r="D982" s="58"/>
      <c r="E982" s="58"/>
      <c r="F982" s="58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68"/>
      <c r="D983" s="58"/>
      <c r="E983" s="58"/>
      <c r="F983" s="58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68"/>
      <c r="D984" s="58"/>
      <c r="E984" s="58"/>
      <c r="F984" s="58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68"/>
      <c r="D985" s="58"/>
      <c r="E985" s="58"/>
      <c r="F985" s="58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</sheetData>
  <autoFilter ref="A3:X20" xr:uid="{00000000-0009-0000-0000-000007000000}"/>
  <mergeCells count="9">
    <mergeCell ref="I2:I3"/>
    <mergeCell ref="J2:J3"/>
    <mergeCell ref="G2:H2"/>
    <mergeCell ref="A2:A3"/>
    <mergeCell ref="B2:B3"/>
    <mergeCell ref="C2:C3"/>
    <mergeCell ref="D2:D3"/>
    <mergeCell ref="E2:E3"/>
    <mergeCell ref="F2:F3"/>
  </mergeCells>
  <dataValidations count="5">
    <dataValidation type="list" allowBlank="1" showErrorMessage="1" sqref="J21:J985 J2:J5" xr:uid="{00000000-0002-0000-0700-000000000000}">
      <formula1>$M$4:$M$5</formula1>
    </dataValidation>
    <dataValidation type="list" allowBlank="1" showErrorMessage="1" sqref="F24:F985 F6:F20 F1:F3" xr:uid="{00000000-0002-0000-0700-000001000000}">
      <formula1>$N$2:$N$5</formula1>
    </dataValidation>
    <dataValidation type="list" allowBlank="1" showErrorMessage="1" sqref="E24:E985 E1:E20" xr:uid="{00000000-0002-0000-0700-000003000000}">
      <formula1>$O$4:$O$5</formula1>
    </dataValidation>
    <dataValidation type="list" allowBlank="1" showErrorMessage="1" sqref="F4:F5 J6:J20" xr:uid="{00000000-0002-0000-0700-000004000000}">
      <formula1>$N$4:$N$5</formula1>
    </dataValidation>
    <dataValidation type="list" allowBlank="1" showErrorMessage="1" sqref="J1" xr:uid="{00000000-0002-0000-0700-000005000000}">
      <formula1>$M$4:$M$8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K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6" sqref="G6"/>
    </sheetView>
  </sheetViews>
  <sheetFormatPr defaultColWidth="14.44140625" defaultRowHeight="15" customHeight="1" x14ac:dyDescent="0.3"/>
  <cols>
    <col min="1" max="1" width="13.5546875" customWidth="1"/>
    <col min="2" max="2" width="23.5546875" customWidth="1"/>
    <col min="3" max="3" width="21.88671875" customWidth="1"/>
    <col min="4" max="4" width="20.6640625" customWidth="1"/>
    <col min="5" max="5" width="19.5546875" customWidth="1"/>
    <col min="6" max="6" width="16.109375" customWidth="1"/>
    <col min="7" max="7" width="21.6640625" customWidth="1"/>
    <col min="8" max="8" width="16.109375" customWidth="1"/>
    <col min="9" max="9" width="20.5546875" customWidth="1"/>
    <col min="10" max="18" width="16.109375" customWidth="1"/>
    <col min="19" max="19" width="22" customWidth="1"/>
    <col min="20" max="30" width="16.109375" customWidth="1"/>
    <col min="31" max="36" width="16.109375" hidden="1" customWidth="1"/>
    <col min="37" max="37" width="21.88671875" customWidth="1"/>
  </cols>
  <sheetData>
    <row r="1" spans="1:37" ht="32.4" x14ac:dyDescent="0.3">
      <c r="A1" s="57" t="s">
        <v>260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5"/>
    </row>
    <row r="2" spans="1:37" ht="26.25" customHeight="1" x14ac:dyDescent="0.3">
      <c r="A2" s="136" t="s">
        <v>0</v>
      </c>
      <c r="B2" s="137" t="s">
        <v>261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08"/>
      <c r="AK2" s="139" t="s">
        <v>262</v>
      </c>
    </row>
    <row r="3" spans="1:37" ht="23.25" customHeight="1" x14ac:dyDescent="0.3">
      <c r="A3" s="106"/>
      <c r="B3" s="87" t="s">
        <v>62</v>
      </c>
      <c r="C3" s="87" t="s">
        <v>63</v>
      </c>
      <c r="D3" s="87" t="s">
        <v>64</v>
      </c>
      <c r="E3" s="87" t="s">
        <v>263</v>
      </c>
      <c r="F3" s="87" t="s">
        <v>65</v>
      </c>
      <c r="G3" s="87" t="s">
        <v>66</v>
      </c>
      <c r="H3" s="87" t="s">
        <v>67</v>
      </c>
      <c r="I3" s="87" t="s">
        <v>68</v>
      </c>
      <c r="J3" s="87" t="s">
        <v>69</v>
      </c>
      <c r="K3" s="87" t="s">
        <v>96</v>
      </c>
      <c r="L3" s="87" t="s">
        <v>70</v>
      </c>
      <c r="M3" s="87" t="s">
        <v>71</v>
      </c>
      <c r="N3" s="87" t="s">
        <v>72</v>
      </c>
      <c r="O3" s="87" t="s">
        <v>73</v>
      </c>
      <c r="P3" s="87" t="s">
        <v>74</v>
      </c>
      <c r="Q3" s="87" t="s">
        <v>75</v>
      </c>
      <c r="R3" s="87" t="s">
        <v>78</v>
      </c>
      <c r="S3" s="87" t="s">
        <v>79</v>
      </c>
      <c r="T3" s="87" t="s">
        <v>81</v>
      </c>
      <c r="U3" s="87" t="s">
        <v>264</v>
      </c>
      <c r="V3" s="87" t="s">
        <v>85</v>
      </c>
      <c r="W3" s="87" t="s">
        <v>86</v>
      </c>
      <c r="X3" s="87" t="s">
        <v>87</v>
      </c>
      <c r="Y3" s="87" t="s">
        <v>88</v>
      </c>
      <c r="Z3" s="87" t="s">
        <v>89</v>
      </c>
      <c r="AA3" s="87" t="s">
        <v>265</v>
      </c>
      <c r="AB3" s="87" t="s">
        <v>92</v>
      </c>
      <c r="AC3" s="87" t="s">
        <v>94</v>
      </c>
      <c r="AD3" s="87" t="s">
        <v>95</v>
      </c>
      <c r="AE3" s="87"/>
      <c r="AF3" s="87"/>
      <c r="AG3" s="87"/>
      <c r="AH3" s="87"/>
      <c r="AI3" s="87"/>
      <c r="AJ3" s="87"/>
      <c r="AK3" s="106"/>
    </row>
    <row r="4" spans="1:37" ht="21.75" customHeight="1" x14ac:dyDescent="0.3">
      <c r="A4" s="88">
        <v>244228</v>
      </c>
      <c r="B4" s="18"/>
      <c r="C4" s="18"/>
      <c r="D4" s="18">
        <v>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89">
        <f t="shared" ref="AK4:AK35" si="0">SUM(B4:AJ4)</f>
        <v>3</v>
      </c>
    </row>
    <row r="5" spans="1:37" ht="23.25" customHeight="1" x14ac:dyDescent="0.3">
      <c r="A5" s="88">
        <v>244229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>
        <v>12</v>
      </c>
      <c r="AE5" s="18"/>
      <c r="AF5" s="18"/>
      <c r="AG5" s="18"/>
      <c r="AH5" s="18"/>
      <c r="AI5" s="18"/>
      <c r="AJ5" s="18"/>
      <c r="AK5" s="89">
        <f t="shared" si="0"/>
        <v>12</v>
      </c>
    </row>
    <row r="6" spans="1:37" ht="23.25" customHeight="1" x14ac:dyDescent="0.3">
      <c r="A6" s="88">
        <v>244230</v>
      </c>
      <c r="B6" s="18"/>
      <c r="C6" s="18"/>
      <c r="D6" s="18">
        <v>2</v>
      </c>
      <c r="E6" s="18"/>
      <c r="F6" s="18"/>
      <c r="G6" s="18">
        <v>2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89">
        <f t="shared" si="0"/>
        <v>4</v>
      </c>
    </row>
    <row r="7" spans="1:37" ht="23.25" customHeight="1" x14ac:dyDescent="0.3">
      <c r="A7" s="88">
        <v>244231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89">
        <f t="shared" si="0"/>
        <v>0</v>
      </c>
    </row>
    <row r="8" spans="1:37" ht="23.25" customHeight="1" x14ac:dyDescent="0.3">
      <c r="A8" s="88">
        <v>244232</v>
      </c>
      <c r="B8" s="18"/>
      <c r="C8" s="18"/>
      <c r="D8" s="18"/>
      <c r="E8" s="18"/>
      <c r="F8" s="18"/>
      <c r="G8" s="18"/>
      <c r="H8" s="18"/>
      <c r="I8" s="18">
        <v>3</v>
      </c>
      <c r="J8" s="18">
        <v>6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>
        <v>3</v>
      </c>
      <c r="AE8" s="18"/>
      <c r="AF8" s="18"/>
      <c r="AG8" s="18"/>
      <c r="AH8" s="18"/>
      <c r="AI8" s="18"/>
      <c r="AJ8" s="18"/>
      <c r="AK8" s="89">
        <f t="shared" si="0"/>
        <v>12</v>
      </c>
    </row>
    <row r="9" spans="1:37" ht="23.25" customHeight="1" x14ac:dyDescent="0.3">
      <c r="A9" s="88">
        <v>244233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89">
        <f t="shared" si="0"/>
        <v>0</v>
      </c>
    </row>
    <row r="10" spans="1:37" ht="23.25" customHeight="1" x14ac:dyDescent="0.3">
      <c r="A10" s="88">
        <v>244234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>
        <v>6</v>
      </c>
      <c r="AE10" s="18"/>
      <c r="AF10" s="18"/>
      <c r="AG10" s="18"/>
      <c r="AH10" s="18"/>
      <c r="AI10" s="18"/>
      <c r="AJ10" s="18"/>
      <c r="AK10" s="89">
        <f t="shared" si="0"/>
        <v>6</v>
      </c>
    </row>
    <row r="11" spans="1:37" ht="23.25" customHeight="1" x14ac:dyDescent="0.3">
      <c r="A11" s="88">
        <v>244235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>
        <v>6</v>
      </c>
      <c r="AE11" s="18"/>
      <c r="AF11" s="18"/>
      <c r="AG11" s="18"/>
      <c r="AH11" s="18"/>
      <c r="AI11" s="18"/>
      <c r="AJ11" s="18"/>
      <c r="AK11" s="89">
        <f t="shared" si="0"/>
        <v>6</v>
      </c>
    </row>
    <row r="12" spans="1:37" ht="23.25" customHeight="1" x14ac:dyDescent="0.3">
      <c r="A12" s="88">
        <v>244236</v>
      </c>
      <c r="B12" s="18"/>
      <c r="C12" s="18"/>
      <c r="D12" s="18"/>
      <c r="E12" s="18"/>
      <c r="F12" s="18"/>
      <c r="G12" s="18"/>
      <c r="H12" s="18"/>
      <c r="I12" s="18"/>
      <c r="J12" s="18">
        <v>6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>
        <v>6</v>
      </c>
      <c r="AE12" s="18"/>
      <c r="AF12" s="18"/>
      <c r="AG12" s="18"/>
      <c r="AH12" s="18"/>
      <c r="AI12" s="18"/>
      <c r="AJ12" s="18"/>
      <c r="AK12" s="89">
        <f t="shared" si="0"/>
        <v>12</v>
      </c>
    </row>
    <row r="13" spans="1:37" ht="23.25" customHeight="1" x14ac:dyDescent="0.3">
      <c r="A13" s="88">
        <v>244237</v>
      </c>
      <c r="B13" s="18"/>
      <c r="C13" s="18"/>
      <c r="D13" s="18">
        <v>2</v>
      </c>
      <c r="E13" s="18"/>
      <c r="F13" s="18"/>
      <c r="G13" s="18"/>
      <c r="H13" s="18"/>
      <c r="I13" s="18">
        <v>3</v>
      </c>
      <c r="J13" s="18">
        <v>9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>
        <v>3</v>
      </c>
      <c r="AE13" s="18"/>
      <c r="AF13" s="18"/>
      <c r="AG13" s="18"/>
      <c r="AH13" s="18"/>
      <c r="AI13" s="18"/>
      <c r="AJ13" s="18"/>
      <c r="AK13" s="89">
        <f t="shared" si="0"/>
        <v>17</v>
      </c>
    </row>
    <row r="14" spans="1:37" ht="23.25" customHeight="1" x14ac:dyDescent="0.3">
      <c r="A14" s="88">
        <v>244238</v>
      </c>
      <c r="B14" s="18"/>
      <c r="C14" s="18"/>
      <c r="D14" s="18"/>
      <c r="E14" s="18"/>
      <c r="F14" s="18"/>
      <c r="G14" s="18"/>
      <c r="H14" s="18"/>
      <c r="I14" s="18"/>
      <c r="J14" s="18">
        <v>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>
        <v>6</v>
      </c>
      <c r="AE14" s="18"/>
      <c r="AF14" s="18"/>
      <c r="AG14" s="18"/>
      <c r="AH14" s="18"/>
      <c r="AI14" s="18"/>
      <c r="AJ14" s="18"/>
      <c r="AK14" s="89">
        <f t="shared" si="0"/>
        <v>9</v>
      </c>
    </row>
    <row r="15" spans="1:37" ht="23.25" customHeight="1" x14ac:dyDescent="0.3">
      <c r="A15" s="88">
        <v>244239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>
        <v>21</v>
      </c>
      <c r="AE15" s="18"/>
      <c r="AF15" s="18"/>
      <c r="AG15" s="18"/>
      <c r="AH15" s="18"/>
      <c r="AI15" s="18"/>
      <c r="AJ15" s="18"/>
      <c r="AK15" s="89">
        <f t="shared" si="0"/>
        <v>22</v>
      </c>
    </row>
    <row r="16" spans="1:37" ht="23.25" customHeight="1" x14ac:dyDescent="0.3">
      <c r="A16" s="88">
        <v>244240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89">
        <f t="shared" si="0"/>
        <v>0</v>
      </c>
    </row>
    <row r="17" spans="1:37" ht="23.25" customHeight="1" x14ac:dyDescent="0.3">
      <c r="A17" s="88">
        <v>244241</v>
      </c>
      <c r="B17" s="18"/>
      <c r="C17" s="18"/>
      <c r="D17" s="18"/>
      <c r="E17" s="18"/>
      <c r="F17" s="18"/>
      <c r="G17" s="18"/>
      <c r="H17" s="18"/>
      <c r="I17" s="18"/>
      <c r="J17" s="18">
        <v>3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89">
        <f t="shared" si="0"/>
        <v>3</v>
      </c>
    </row>
    <row r="18" spans="1:37" ht="23.25" customHeight="1" x14ac:dyDescent="0.3">
      <c r="A18" s="88">
        <v>244242</v>
      </c>
      <c r="B18" s="18"/>
      <c r="C18" s="18"/>
      <c r="D18" s="18"/>
      <c r="E18" s="18"/>
      <c r="F18" s="18"/>
      <c r="G18" s="18">
        <v>1</v>
      </c>
      <c r="H18" s="18"/>
      <c r="I18" s="18"/>
      <c r="J18" s="18"/>
      <c r="K18" s="18"/>
      <c r="L18" s="18">
        <v>1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>
        <v>18</v>
      </c>
      <c r="AE18" s="18"/>
      <c r="AF18" s="18"/>
      <c r="AG18" s="18"/>
      <c r="AH18" s="18"/>
      <c r="AI18" s="18"/>
      <c r="AJ18" s="18"/>
      <c r="AK18" s="89">
        <f t="shared" si="0"/>
        <v>20</v>
      </c>
    </row>
    <row r="19" spans="1:37" ht="23.25" customHeight="1" x14ac:dyDescent="0.3">
      <c r="A19" s="88">
        <v>244243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89">
        <f t="shared" si="0"/>
        <v>0</v>
      </c>
    </row>
    <row r="20" spans="1:37" ht="23.25" customHeight="1" x14ac:dyDescent="0.3">
      <c r="A20" s="88">
        <v>244244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>
        <v>12</v>
      </c>
      <c r="AE20" s="18"/>
      <c r="AF20" s="18"/>
      <c r="AG20" s="18"/>
      <c r="AH20" s="18"/>
      <c r="AI20" s="18"/>
      <c r="AJ20" s="18"/>
      <c r="AK20" s="89">
        <f t="shared" si="0"/>
        <v>12</v>
      </c>
    </row>
    <row r="21" spans="1:37" ht="23.25" customHeight="1" x14ac:dyDescent="0.3">
      <c r="A21" s="88">
        <v>244245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>
        <v>6</v>
      </c>
      <c r="AE21" s="18"/>
      <c r="AF21" s="18"/>
      <c r="AG21" s="18"/>
      <c r="AH21" s="18"/>
      <c r="AI21" s="18"/>
      <c r="AJ21" s="18"/>
      <c r="AK21" s="89">
        <f t="shared" si="0"/>
        <v>6</v>
      </c>
    </row>
    <row r="22" spans="1:37" ht="23.25" customHeight="1" x14ac:dyDescent="0.3">
      <c r="A22" s="88">
        <v>244246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89">
        <f t="shared" si="0"/>
        <v>0</v>
      </c>
    </row>
    <row r="23" spans="1:37" ht="23.25" customHeight="1" x14ac:dyDescent="0.3">
      <c r="A23" s="88">
        <v>244247</v>
      </c>
      <c r="B23" s="18"/>
      <c r="C23" s="18">
        <v>150</v>
      </c>
      <c r="D23" s="18">
        <v>2</v>
      </c>
      <c r="E23" s="18"/>
      <c r="F23" s="18">
        <v>1</v>
      </c>
      <c r="G23" s="18">
        <v>1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>
        <v>3</v>
      </c>
      <c r="AE23" s="18"/>
      <c r="AF23" s="18"/>
      <c r="AG23" s="18"/>
      <c r="AH23" s="18"/>
      <c r="AI23" s="18"/>
      <c r="AJ23" s="18"/>
      <c r="AK23" s="89">
        <f t="shared" si="0"/>
        <v>157</v>
      </c>
    </row>
    <row r="24" spans="1:37" ht="23.25" customHeight="1" x14ac:dyDescent="0.3">
      <c r="A24" s="88">
        <v>244248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>
        <v>15</v>
      </c>
      <c r="AE24" s="18"/>
      <c r="AF24" s="18"/>
      <c r="AG24" s="18"/>
      <c r="AH24" s="18"/>
      <c r="AI24" s="18"/>
      <c r="AJ24" s="18"/>
      <c r="AK24" s="89">
        <f t="shared" si="0"/>
        <v>15</v>
      </c>
    </row>
    <row r="25" spans="1:37" ht="23.25" customHeight="1" x14ac:dyDescent="0.3">
      <c r="A25" s="88">
        <v>244249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89">
        <f t="shared" si="0"/>
        <v>0</v>
      </c>
    </row>
    <row r="26" spans="1:37" ht="23.25" customHeight="1" x14ac:dyDescent="0.3">
      <c r="A26" s="88">
        <v>244250</v>
      </c>
      <c r="B26" s="18"/>
      <c r="C26" s="18"/>
      <c r="D26" s="18"/>
      <c r="E26" s="18"/>
      <c r="F26" s="18"/>
      <c r="G26" s="18"/>
      <c r="H26" s="18"/>
      <c r="I26" s="18"/>
      <c r="J26" s="18">
        <v>9</v>
      </c>
      <c r="K26" s="18"/>
      <c r="L26" s="18">
        <v>1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>
        <v>6</v>
      </c>
      <c r="AE26" s="18"/>
      <c r="AF26" s="18"/>
      <c r="AG26" s="18"/>
      <c r="AH26" s="18"/>
      <c r="AI26" s="18"/>
      <c r="AJ26" s="18"/>
      <c r="AK26" s="89">
        <f t="shared" si="0"/>
        <v>16</v>
      </c>
    </row>
    <row r="27" spans="1:37" ht="23.25" customHeight="1" x14ac:dyDescent="0.3">
      <c r="A27" s="88">
        <v>244251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>
        <v>2</v>
      </c>
      <c r="AE27" s="18"/>
      <c r="AF27" s="18"/>
      <c r="AG27" s="18"/>
      <c r="AH27" s="18"/>
      <c r="AI27" s="18"/>
      <c r="AJ27" s="18"/>
      <c r="AK27" s="89">
        <f t="shared" si="0"/>
        <v>2</v>
      </c>
    </row>
    <row r="28" spans="1:37" ht="23.25" customHeight="1" x14ac:dyDescent="0.3">
      <c r="A28" s="88">
        <v>244252</v>
      </c>
      <c r="B28" s="18"/>
      <c r="C28" s="18">
        <v>10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>
        <v>3</v>
      </c>
      <c r="AE28" s="18"/>
      <c r="AF28" s="18"/>
      <c r="AG28" s="18"/>
      <c r="AH28" s="18"/>
      <c r="AI28" s="18"/>
      <c r="AJ28" s="18"/>
      <c r="AK28" s="89">
        <f t="shared" si="0"/>
        <v>13</v>
      </c>
    </row>
    <row r="29" spans="1:37" ht="23.25" customHeight="1" x14ac:dyDescent="0.3">
      <c r="A29" s="88">
        <v>244253</v>
      </c>
      <c r="B29" s="18"/>
      <c r="C29" s="18"/>
      <c r="D29" s="18"/>
      <c r="E29" s="18"/>
      <c r="F29" s="18"/>
      <c r="G29" s="18"/>
      <c r="H29" s="18"/>
      <c r="I29" s="18"/>
      <c r="J29" s="18">
        <v>12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>
        <v>9</v>
      </c>
      <c r="AE29" s="18"/>
      <c r="AF29" s="18"/>
      <c r="AG29" s="18"/>
      <c r="AH29" s="18"/>
      <c r="AI29" s="18"/>
      <c r="AJ29" s="18"/>
      <c r="AK29" s="89">
        <f t="shared" si="0"/>
        <v>21</v>
      </c>
    </row>
    <row r="30" spans="1:37" ht="23.25" customHeight="1" x14ac:dyDescent="0.3">
      <c r="A30" s="88">
        <v>244254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89">
        <f t="shared" si="0"/>
        <v>0</v>
      </c>
    </row>
    <row r="31" spans="1:37" ht="23.25" customHeight="1" x14ac:dyDescent="0.3">
      <c r="A31" s="88">
        <v>244255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89">
        <f t="shared" si="0"/>
        <v>0</v>
      </c>
    </row>
    <row r="32" spans="1:37" ht="23.25" customHeight="1" x14ac:dyDescent="0.3">
      <c r="A32" s="88">
        <v>244256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89">
        <f t="shared" si="0"/>
        <v>0</v>
      </c>
    </row>
    <row r="33" spans="1:37" ht="23.25" customHeight="1" x14ac:dyDescent="0.3">
      <c r="A33" s="88">
        <v>244257</v>
      </c>
      <c r="B33" s="18">
        <v>100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>
        <v>3</v>
      </c>
      <c r="AE33" s="18"/>
      <c r="AF33" s="18"/>
      <c r="AG33" s="18"/>
      <c r="AH33" s="18"/>
      <c r="AI33" s="18"/>
      <c r="AJ33" s="18"/>
      <c r="AK33" s="89">
        <f t="shared" si="0"/>
        <v>103</v>
      </c>
    </row>
    <row r="34" spans="1:37" ht="23.25" customHeight="1" x14ac:dyDescent="0.3">
      <c r="A34" s="88">
        <v>244258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89">
        <f t="shared" si="0"/>
        <v>0</v>
      </c>
    </row>
    <row r="35" spans="1:37" ht="23.25" customHeight="1" x14ac:dyDescent="0.3">
      <c r="A35" s="89" t="s">
        <v>266</v>
      </c>
      <c r="B35" s="89">
        <f t="shared" ref="B35:AD35" si="1">SUM(B4:B34)</f>
        <v>100</v>
      </c>
      <c r="C35" s="89">
        <f t="shared" si="1"/>
        <v>160</v>
      </c>
      <c r="D35" s="89">
        <f t="shared" si="1"/>
        <v>9</v>
      </c>
      <c r="E35" s="89">
        <f t="shared" si="1"/>
        <v>0</v>
      </c>
      <c r="F35" s="89">
        <f t="shared" si="1"/>
        <v>1</v>
      </c>
      <c r="G35" s="89">
        <f t="shared" si="1"/>
        <v>4</v>
      </c>
      <c r="H35" s="89">
        <f t="shared" si="1"/>
        <v>0</v>
      </c>
      <c r="I35" s="89">
        <f t="shared" si="1"/>
        <v>6</v>
      </c>
      <c r="J35" s="89">
        <f t="shared" si="1"/>
        <v>48</v>
      </c>
      <c r="K35" s="89">
        <f t="shared" si="1"/>
        <v>0</v>
      </c>
      <c r="L35" s="89">
        <f t="shared" si="1"/>
        <v>3</v>
      </c>
      <c r="M35" s="89">
        <f t="shared" si="1"/>
        <v>0</v>
      </c>
      <c r="N35" s="89">
        <f t="shared" si="1"/>
        <v>0</v>
      </c>
      <c r="O35" s="89">
        <f t="shared" si="1"/>
        <v>0</v>
      </c>
      <c r="P35" s="89">
        <f t="shared" si="1"/>
        <v>0</v>
      </c>
      <c r="Q35" s="89">
        <f t="shared" si="1"/>
        <v>0</v>
      </c>
      <c r="R35" s="89">
        <f t="shared" si="1"/>
        <v>0</v>
      </c>
      <c r="S35" s="89">
        <f t="shared" si="1"/>
        <v>0</v>
      </c>
      <c r="T35" s="89">
        <f t="shared" si="1"/>
        <v>0</v>
      </c>
      <c r="U35" s="89">
        <f t="shared" si="1"/>
        <v>0</v>
      </c>
      <c r="V35" s="89">
        <f t="shared" si="1"/>
        <v>0</v>
      </c>
      <c r="W35" s="89">
        <f t="shared" si="1"/>
        <v>0</v>
      </c>
      <c r="X35" s="89">
        <f t="shared" si="1"/>
        <v>0</v>
      </c>
      <c r="Y35" s="89">
        <f t="shared" si="1"/>
        <v>0</v>
      </c>
      <c r="Z35" s="89">
        <f t="shared" si="1"/>
        <v>0</v>
      </c>
      <c r="AA35" s="89">
        <f t="shared" si="1"/>
        <v>0</v>
      </c>
      <c r="AB35" s="89">
        <f t="shared" si="1"/>
        <v>0</v>
      </c>
      <c r="AC35" s="89">
        <f t="shared" si="1"/>
        <v>0</v>
      </c>
      <c r="AD35" s="89">
        <f t="shared" si="1"/>
        <v>140</v>
      </c>
      <c r="AE35" s="89"/>
      <c r="AF35" s="89"/>
      <c r="AG35" s="89"/>
      <c r="AH35" s="89"/>
      <c r="AI35" s="89"/>
      <c r="AJ35" s="89"/>
      <c r="AK35" s="90">
        <f t="shared" si="0"/>
        <v>471</v>
      </c>
    </row>
    <row r="36" spans="1:37" ht="23.2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23.2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23.2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23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23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23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23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23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23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23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23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23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23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23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23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23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23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23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23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23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23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23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23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23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23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23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23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23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23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23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23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23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23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23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23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23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23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23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23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23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23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23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23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23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23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23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23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23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23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23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23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23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23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23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23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23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23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23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23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23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23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23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23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23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23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23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23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23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23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23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23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23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23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23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23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23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23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23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23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23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23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23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23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23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23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23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23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23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23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23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23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23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23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23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23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23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23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23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23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23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23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23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23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23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23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23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23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23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23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23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23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23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23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23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23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23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23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23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23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23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23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23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23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23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23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23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23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23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23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23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23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23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23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23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23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23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23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23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23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23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23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23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23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23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23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23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23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23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23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23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23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23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23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23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23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23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23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23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23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23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23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23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23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23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23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23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23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23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23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23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23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23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23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23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23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23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23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23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23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23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23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23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23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23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23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23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23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23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23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23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23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23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23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23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23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23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23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23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23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23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23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23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23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23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23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23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23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23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23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23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23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23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23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23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23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23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23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23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23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23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23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23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23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23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23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23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23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23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23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spans="1:37" ht="23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spans="1:37" ht="23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spans="1:37" ht="23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ht="23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spans="1:37" ht="23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spans="1:37" ht="23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spans="1:37" ht="23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spans="1:37" ht="23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spans="1:37" ht="23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spans="1:37" ht="23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spans="1:37" ht="23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spans="1:37" ht="23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23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spans="1:37" ht="23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spans="1:37" ht="23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spans="1:37" ht="23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spans="1:37" ht="23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spans="1:37" ht="23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spans="1:37" ht="23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spans="1:37" ht="23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spans="1:37" ht="23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spans="1:37" ht="23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spans="1:37" ht="23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spans="1:37" ht="23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spans="1:37" ht="23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spans="1:37" ht="23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spans="1:37" ht="23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spans="1:37" ht="23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spans="1:37" ht="23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spans="1:37" ht="23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spans="1:37" ht="23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spans="1:37" ht="23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spans="1:37" ht="23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spans="1:37" ht="23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spans="1:37" ht="23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spans="1:37" ht="23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spans="1:37" ht="23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spans="1:37" ht="23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spans="1:37" ht="23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spans="1:37" ht="23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spans="1:37" ht="23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spans="1:37" ht="23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spans="1:37" ht="23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spans="1:37" ht="23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spans="1:37" ht="23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spans="1:37" ht="23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spans="1:37" ht="23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spans="1:37" ht="23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spans="1:37" ht="23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spans="1:37" ht="23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spans="1:37" ht="23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spans="1:37" ht="23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spans="1:37" ht="23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spans="1:37" ht="23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spans="1:37" ht="23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spans="1:37" ht="23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spans="1:37" ht="23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spans="1:37" ht="23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spans="1:37" ht="23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spans="1:37" ht="23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spans="1:37" ht="23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spans="1:37" ht="23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spans="1:37" ht="23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spans="1:37" ht="23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spans="1:37" ht="23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spans="1:37" ht="23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spans="1:37" ht="23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spans="1:37" ht="23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spans="1:37" ht="23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ht="23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ht="23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spans="1:37" ht="23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spans="1:37" ht="23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spans="1:37" ht="23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spans="1:37" ht="23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spans="1:37" ht="23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spans="1:37" ht="23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spans="1:37" ht="23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spans="1:37" ht="23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spans="1:37" ht="23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spans="1:37" ht="23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spans="1:37" ht="23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spans="1:37" ht="23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spans="1:37" ht="23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23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spans="1:37" ht="23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spans="1:37" ht="23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spans="1:37" ht="23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spans="1:37" ht="23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spans="1:37" ht="23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ht="23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spans="1:37" ht="23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spans="1:37" ht="23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spans="1:37" ht="23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spans="1:37" ht="23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spans="1:37" ht="23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spans="1:37" ht="23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spans="1:37" ht="23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spans="1:37" ht="23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spans="1:37" ht="23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spans="1:37" ht="23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spans="1:37" ht="23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spans="1:37" ht="23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spans="1:37" ht="23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spans="1:37" ht="23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ht="23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spans="1:37" ht="23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spans="1:37" ht="23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spans="1:37" ht="23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spans="1:37" ht="23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spans="1:37" ht="23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spans="1:37" ht="23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spans="1:37" ht="23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spans="1:37" ht="23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spans="1:37" ht="23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spans="1:37" ht="23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spans="1:37" ht="23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spans="1:37" ht="23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spans="1:37" ht="23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spans="1:37" ht="23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spans="1:37" ht="23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spans="1:37" ht="23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spans="1:37" ht="23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spans="1:37" ht="23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spans="1:37" ht="23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spans="1:37" ht="23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spans="1:37" ht="23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spans="1:37" ht="23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spans="1:37" ht="23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spans="1:37" ht="23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spans="1:37" ht="23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spans="1:37" ht="23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spans="1:37" ht="23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23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spans="1:37" ht="23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spans="1:37" ht="23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spans="1:37" ht="23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spans="1:37" ht="23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spans="1:37" ht="23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spans="1:37" ht="23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spans="1:37" ht="23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spans="1:37" ht="23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spans="1:37" ht="23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spans="1:37" ht="23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spans="1:37" ht="23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spans="1:37" ht="23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spans="1:37" ht="23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spans="1:37" ht="23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spans="1:37" ht="23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spans="1:37" ht="23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spans="1:37" ht="23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spans="1:37" ht="23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spans="1:37" ht="23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spans="1:37" ht="23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spans="1:37" ht="23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spans="1:37" ht="23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spans="1:37" ht="23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spans="1:37" ht="23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spans="1:37" ht="23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spans="1:37" ht="23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spans="1:37" ht="23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spans="1:37" ht="23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spans="1:37" ht="23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spans="1:37" ht="23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spans="1:37" ht="23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spans="1:37" ht="23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spans="1:37" ht="23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spans="1:37" ht="23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spans="1:37" ht="23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spans="1:37" ht="23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spans="1:37" ht="23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spans="1:37" ht="23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spans="1:37" ht="23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spans="1:37" ht="23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spans="1:37" ht="23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spans="1:37" ht="23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spans="1:37" ht="23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spans="1:37" ht="23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spans="1:37" ht="23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spans="1:37" ht="23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spans="1:37" ht="23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spans="1:37" ht="23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spans="1:37" ht="23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spans="1:37" ht="23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spans="1:37" ht="23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spans="1:37" ht="23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spans="1:37" ht="23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spans="1:37" ht="23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spans="1:37" ht="23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spans="1:37" ht="23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spans="1:37" ht="23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spans="1:37" ht="23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spans="1:37" ht="23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spans="1:37" ht="23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spans="1:37" ht="23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spans="1:37" ht="23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spans="1:37" ht="23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spans="1:37" ht="23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spans="1:37" ht="23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spans="1:37" ht="23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spans="1:37" ht="23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spans="1:37" ht="23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spans="1:37" ht="23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spans="1:37" ht="23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spans="1:37" ht="23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spans="1:37" ht="23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spans="1:37" ht="23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spans="1:37" ht="23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spans="1:37" ht="23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spans="1:37" ht="23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spans="1:37" ht="23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spans="1:37" ht="23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spans="1:37" ht="23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spans="1:37" ht="23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spans="1:37" ht="23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spans="1:37" ht="23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spans="1:37" ht="23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spans="1:37" ht="23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spans="1:37" ht="23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spans="1:37" ht="23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spans="1:37" ht="23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spans="1:37" ht="23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spans="1:37" ht="23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spans="1:37" ht="23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spans="1:37" ht="23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spans="1:37" ht="23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spans="1:37" ht="23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spans="1:37" ht="23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spans="1:37" ht="23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spans="1:37" ht="23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spans="1:37" ht="23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spans="1:37" ht="23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spans="1:37" ht="23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spans="1:37" ht="23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spans="1:37" ht="23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spans="1:37" ht="23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spans="1:37" ht="23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spans="1:37" ht="23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spans="1:37" ht="23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spans="1:37" ht="23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spans="1:37" ht="23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spans="1:37" ht="23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spans="1:37" ht="23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spans="1:37" ht="23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spans="1:37" ht="23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spans="1:37" ht="23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spans="1:37" ht="23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spans="1:37" ht="23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spans="1:37" ht="23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spans="1:37" ht="23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spans="1:37" ht="23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spans="1:37" ht="23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spans="1:37" ht="23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spans="1:37" ht="23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23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spans="1:37" ht="23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spans="1:37" ht="23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spans="1:37" ht="23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spans="1:37" ht="23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spans="1:37" ht="23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23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spans="1:37" ht="23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spans="1:37" ht="23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spans="1:37" ht="23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spans="1:37" ht="23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spans="1:37" ht="23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spans="1:37" ht="23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spans="1:37" ht="23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spans="1:37" ht="23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spans="1:37" ht="23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spans="1:37" ht="23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spans="1:37" ht="23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spans="1:37" ht="23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spans="1:37" ht="23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spans="1:37" ht="23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spans="1:37" ht="23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spans="1:37" ht="23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spans="1:37" ht="23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spans="1:37" ht="23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spans="1:37" ht="23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spans="1:37" ht="23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spans="1:37" ht="23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spans="1:37" ht="23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spans="1:37" ht="23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spans="1:37" ht="23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spans="1:37" ht="23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spans="1:37" ht="23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spans="1:37" ht="23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spans="1:37" ht="23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spans="1:37" ht="23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spans="1:37" ht="23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spans="1:37" ht="23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spans="1:37" ht="23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spans="1:37" ht="23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spans="1:37" ht="23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spans="1:37" ht="23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spans="1:37" ht="23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spans="1:37" ht="23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spans="1:37" ht="23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spans="1:37" ht="23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spans="1:37" ht="23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spans="1:37" ht="23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spans="1:37" ht="23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spans="1:37" ht="23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spans="1:37" ht="23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spans="1:37" ht="23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spans="1:37" ht="23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spans="1:37" ht="23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spans="1:37" ht="23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spans="1:37" ht="23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spans="1:37" ht="23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spans="1:37" ht="23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spans="1:37" ht="23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spans="1:37" ht="23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spans="1:37" ht="23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spans="1:37" ht="23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spans="1:37" ht="23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spans="1:37" ht="23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spans="1:37" ht="23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spans="1:37" ht="23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spans="1:37" ht="23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spans="1:37" ht="23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spans="1:37" ht="23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spans="1:37" ht="23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spans="1:37" ht="23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spans="1:37" ht="23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spans="1:37" ht="23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spans="1:37" ht="23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spans="1:37" ht="23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spans="1:37" ht="23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spans="1:37" ht="23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spans="1:37" ht="23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spans="1:37" ht="23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spans="1:37" ht="23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spans="1:37" ht="23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spans="1:37" ht="23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spans="1:37" ht="23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spans="1:37" ht="23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spans="1:37" ht="23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spans="1:37" ht="23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spans="1:37" ht="23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spans="1:37" ht="23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spans="1:37" ht="23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spans="1:37" ht="23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spans="1:37" ht="23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spans="1:37" ht="23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spans="1:37" ht="23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spans="1:37" ht="23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spans="1:37" ht="23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spans="1:37" ht="23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spans="1:37" ht="23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spans="1:37" ht="23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spans="1:37" ht="23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spans="1:37" ht="23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spans="1:37" ht="23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spans="1:37" ht="23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spans="1:37" ht="23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spans="1:37" ht="23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spans="1:37" ht="23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spans="1:37" ht="23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spans="1:37" ht="23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spans="1:37" ht="23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spans="1:37" ht="23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spans="1:37" ht="23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spans="1:37" ht="23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spans="1:37" ht="23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spans="1:37" ht="23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spans="1:37" ht="23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spans="1:37" ht="23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spans="1:37" ht="23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spans="1:37" ht="23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spans="1:37" ht="23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spans="1:37" ht="23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spans="1:37" ht="23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spans="1:37" ht="23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spans="1:37" ht="23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spans="1:37" ht="23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spans="1:37" ht="23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spans="1:37" ht="23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spans="1:37" ht="23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spans="1:37" ht="23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spans="1:37" ht="23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spans="1:37" ht="23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spans="1:37" ht="23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spans="1:37" ht="23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spans="1:37" ht="23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spans="1:37" ht="23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spans="1:37" ht="23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spans="1:37" ht="23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spans="1:37" ht="23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spans="1:37" ht="23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spans="1:37" ht="23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spans="1:37" ht="23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spans="1:37" ht="23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spans="1:37" ht="23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spans="1:37" ht="23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spans="1:37" ht="23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spans="1:37" ht="23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spans="1:37" ht="23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spans="1:37" ht="23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spans="1:37" ht="23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spans="1:37" ht="23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spans="1:37" ht="23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spans="1:37" ht="23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spans="1:37" ht="23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spans="1:37" ht="23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spans="1:37" ht="23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spans="1:37" ht="23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spans="1:37" ht="23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spans="1:37" ht="23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spans="1:37" ht="23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spans="1:37" ht="23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spans="1:37" ht="23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spans="1:37" ht="23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spans="1:37" ht="23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spans="1:37" ht="23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spans="1:37" ht="23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spans="1:37" ht="23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spans="1:37" ht="23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spans="1:37" ht="23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spans="1:37" ht="23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spans="1:37" ht="23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spans="1:37" ht="23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spans="1:37" ht="23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spans="1:37" ht="23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spans="1:37" ht="23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spans="1:37" ht="23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spans="1:37" ht="23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spans="1:37" ht="23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spans="1:37" ht="23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spans="1:37" ht="23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spans="1:37" ht="23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spans="1:37" ht="23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spans="1:37" ht="23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spans="1:37" ht="23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spans="1:37" ht="23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spans="1:37" ht="23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spans="1:37" ht="23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spans="1:37" ht="23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spans="1:37" ht="23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spans="1:37" ht="23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spans="1:37" ht="23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spans="1:37" ht="23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spans="1:37" ht="23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spans="1:37" ht="23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spans="1:37" ht="23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spans="1:37" ht="23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spans="1:37" ht="23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spans="1:37" ht="23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spans="1:37" ht="23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spans="1:37" ht="23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spans="1:37" ht="23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spans="1:37" ht="23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spans="1:37" ht="23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spans="1:37" ht="23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spans="1:37" ht="23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spans="1:37" ht="23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spans="1:37" ht="23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spans="1:37" ht="23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spans="1:37" ht="23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spans="1:37" ht="23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spans="1:37" ht="23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spans="1:37" ht="23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spans="1:37" ht="23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spans="1:37" ht="23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spans="1:37" ht="23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spans="1:37" ht="23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spans="1:37" ht="23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spans="1:37" ht="23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spans="1:37" ht="23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spans="1:37" ht="23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spans="1:37" ht="23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spans="1:37" ht="23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spans="1:37" ht="23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spans="1:37" ht="23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spans="1:37" ht="23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spans="1:37" ht="23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spans="1:37" ht="23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spans="1:37" ht="23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spans="1:37" ht="23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spans="1:37" ht="23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spans="1:37" ht="23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spans="1:37" ht="23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spans="1:37" ht="23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spans="1:37" ht="23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spans="1:37" ht="23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spans="1:37" ht="23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spans="1:37" ht="23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spans="1:37" ht="23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spans="1:37" ht="23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spans="1:37" ht="23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spans="1:37" ht="23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spans="1:37" ht="23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spans="1:37" ht="23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spans="1:37" ht="23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spans="1:37" ht="23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spans="1:37" ht="23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spans="1:37" ht="23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spans="1:37" ht="23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spans="1:37" ht="23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spans="1:37" ht="23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spans="1:37" ht="23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spans="1:37" ht="23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spans="1:37" ht="23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spans="1:37" ht="23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spans="1:37" ht="23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spans="1:37" ht="23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spans="1:37" ht="23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spans="1:37" ht="23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spans="1:37" ht="23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spans="1:37" ht="23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spans="1:37" ht="23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spans="1:37" ht="23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spans="1:37" ht="23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spans="1:37" ht="23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spans="1:37" ht="23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spans="1:37" ht="23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spans="1:37" ht="23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spans="1:37" ht="23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spans="1:37" ht="23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spans="1:37" ht="23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spans="1:37" ht="23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spans="1:37" ht="23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spans="1:37" ht="23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spans="1:37" ht="23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spans="1:37" ht="23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spans="1:37" ht="23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spans="1:37" ht="23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spans="1:37" ht="23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spans="1:37" ht="23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spans="1:37" ht="23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spans="1:37" ht="23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spans="1:37" ht="23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spans="1:37" ht="23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spans="1:37" ht="23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spans="1:37" ht="23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spans="1:37" ht="23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spans="1:37" ht="23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spans="1:37" ht="23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spans="1:37" ht="23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spans="1:37" ht="23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spans="1:37" ht="23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spans="1:37" ht="23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spans="1:37" ht="23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spans="1:37" ht="23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spans="1:37" ht="23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spans="1:37" ht="23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spans="1:37" ht="23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spans="1:37" ht="23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spans="1:37" ht="23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spans="1:37" ht="23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spans="1:37" ht="23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spans="1:37" ht="23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spans="1:37" ht="23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spans="1:37" ht="23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spans="1:37" ht="23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spans="1:37" ht="23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spans="1:37" ht="23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spans="1:37" ht="23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spans="1:37" ht="23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spans="1:37" ht="23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spans="1:37" ht="23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spans="1:37" ht="23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spans="1:37" ht="23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spans="1:37" ht="23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spans="1:37" ht="23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spans="1:37" ht="23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spans="1:37" ht="23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spans="1:37" ht="23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spans="1:37" ht="23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spans="1:37" ht="23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spans="1:37" ht="23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spans="1:37" ht="23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spans="1:37" ht="23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spans="1:37" ht="23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spans="1:37" ht="23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spans="1:37" ht="23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spans="1:37" ht="23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spans="1:37" ht="23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spans="1:37" ht="23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spans="1:37" ht="23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spans="1:37" ht="23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spans="1:37" ht="23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spans="1:37" ht="23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spans="1:37" ht="23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spans="1:37" ht="23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spans="1:37" ht="23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spans="1:37" ht="23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spans="1:37" ht="23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spans="1:37" ht="23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spans="1:37" ht="23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spans="1:37" ht="23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spans="1:37" ht="23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spans="1:37" ht="23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spans="1:37" ht="23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spans="1:37" ht="23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spans="1:37" ht="23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spans="1:37" ht="23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spans="1:37" ht="23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spans="1:37" ht="23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spans="1:37" ht="23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spans="1:37" ht="23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spans="1:37" ht="23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spans="1:37" ht="23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spans="1:37" ht="23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spans="1:37" ht="23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spans="1:37" ht="23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spans="1:37" ht="23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spans="1:37" ht="23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spans="1:37" ht="23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spans="1:37" ht="23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spans="1:37" ht="23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spans="1:37" ht="23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spans="1:37" ht="23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spans="1:37" ht="23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spans="1:37" ht="23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spans="1:37" ht="23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spans="1:37" ht="23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spans="1:37" ht="23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spans="1:37" ht="23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spans="1:37" ht="23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spans="1:37" ht="23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spans="1:37" ht="23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spans="1:37" ht="23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spans="1:37" ht="23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spans="1:37" ht="23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spans="1:37" ht="23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spans="1:37" ht="23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spans="1:37" ht="23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spans="1:37" ht="23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spans="1:37" ht="23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spans="1:37" ht="23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spans="1:37" ht="23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spans="1:37" ht="23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spans="1:37" ht="23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spans="1:37" ht="23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spans="1:37" ht="23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spans="1:37" ht="23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spans="1:37" ht="23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spans="1:37" ht="23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spans="1:37" ht="23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spans="1:37" ht="23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spans="1:37" ht="23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spans="1:37" ht="23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spans="1:37" ht="23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spans="1:37" ht="23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spans="1:37" ht="23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spans="1:37" ht="23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spans="1:37" ht="23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spans="1:37" ht="23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spans="1:37" ht="23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spans="1:37" ht="23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spans="1:37" ht="23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spans="1:37" ht="23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spans="1:37" ht="23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spans="1:37" ht="23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spans="1:37" ht="23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spans="1:37" ht="23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spans="1:37" ht="23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spans="1:37" ht="23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spans="1:37" ht="23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spans="1:37" ht="23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spans="1:37" ht="23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spans="1:37" ht="23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spans="1:37" ht="23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spans="1:37" ht="23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spans="1:37" ht="23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spans="1:37" ht="23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spans="1:37" ht="23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spans="1:37" ht="23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spans="1:37" ht="23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spans="1:37" ht="23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spans="1:37" ht="23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spans="1:37" ht="23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spans="1:37" ht="23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spans="1:37" ht="23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 spans="1:37" ht="23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 spans="1:37" ht="23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 spans="1:37" ht="23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 spans="1:37" ht="23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 spans="1:37" ht="23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 spans="1:37" ht="23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 spans="1:37" ht="23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 spans="1:37" ht="23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 spans="1:37" ht="23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 spans="1:37" ht="23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 spans="1:37" ht="23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 spans="1:37" ht="23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 spans="1:37" ht="23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 spans="1:37" ht="23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 spans="1:37" ht="23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 spans="1:37" ht="23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 spans="1:37" ht="23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 spans="1:37" ht="23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 spans="1:37" ht="23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 spans="1:37" ht="23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 spans="1:37" ht="23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 spans="1:37" ht="23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 spans="1:37" ht="23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 spans="1:37" ht="23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 spans="1:37" ht="23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 spans="1:37" ht="23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 spans="1:37" ht="23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 spans="1:37" ht="23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 spans="1:37" ht="23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 spans="1:37" ht="23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 spans="1:37" ht="23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 spans="1:37" ht="23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 spans="1:37" ht="23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 spans="1:37" ht="23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 spans="1:37" ht="23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 spans="1:37" ht="23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 spans="1:37" ht="23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 spans="1:37" ht="23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 spans="1:37" ht="23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 spans="1:37" ht="23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 spans="1:37" ht="23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 spans="1:37" ht="23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 spans="1:37" ht="23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 spans="1:37" ht="23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 spans="1:37" ht="23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 spans="1:37" ht="23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 spans="1:37" ht="23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 spans="1:37" ht="23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 spans="1:37" ht="23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 spans="1:37" ht="23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 spans="1:37" ht="23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 spans="1:37" ht="23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 spans="1:37" ht="23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 spans="1:37" ht="23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 spans="1:37" ht="23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 spans="1:37" ht="23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 spans="1:37" ht="23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 spans="1:37" ht="23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 spans="1:37" ht="23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 spans="1:37" ht="23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</row>
  </sheetData>
  <mergeCells count="3">
    <mergeCell ref="A2:A3"/>
    <mergeCell ref="B2:AJ2"/>
    <mergeCell ref="AK2:AK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ต.ค.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2025-11-02T07:21:56Z</cp:lastPrinted>
  <dcterms:created xsi:type="dcterms:W3CDTF">2024-02-13T02:39:23Z</dcterms:created>
  <dcterms:modified xsi:type="dcterms:W3CDTF">2025-11-02T07:38:29Z</dcterms:modified>
</cp:coreProperties>
</file>