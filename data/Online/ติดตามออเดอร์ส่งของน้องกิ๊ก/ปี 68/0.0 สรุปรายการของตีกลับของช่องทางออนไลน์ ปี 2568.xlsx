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ติดตามออเดอร์ส่งของน้องกิ๊ก\ปี 68\"/>
    </mc:Choice>
  </mc:AlternateContent>
  <xr:revisionPtr revIDLastSave="0" documentId="13_ncr:1_{4F2ADDDE-352F-4D82-B45C-7DCE0A0DCCB8}" xr6:coauthVersionLast="47" xr6:coauthVersionMax="47" xr10:uidLastSave="{00000000-0000-0000-0000-000000000000}"/>
  <bookViews>
    <workbookView xWindow="-108" yWindow="-108" windowWidth="23256" windowHeight="13896" activeTab="1" xr2:uid="{99DC648D-87FC-4FD6-BB54-1DF8AF78220C}"/>
  </bookViews>
  <sheets>
    <sheet name="ปี 68" sheetId="1" r:id="rId1"/>
    <sheet name="จำนวนชิ้นขนม" sheetId="2" r:id="rId2"/>
    <sheet name="จำนวนกล่องตีกลับ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5" i="1" l="1"/>
  <c r="T15" i="1"/>
  <c r="J15" i="1"/>
  <c r="AN14" i="1"/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" i="2"/>
  <c r="H3" i="2"/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G3" i="2"/>
  <c r="BM37" i="3" l="1"/>
  <c r="BL37" i="3"/>
  <c r="BK37" i="3"/>
  <c r="BJ37" i="3"/>
  <c r="BH37" i="3"/>
  <c r="BG37" i="3"/>
  <c r="BF37" i="3"/>
  <c r="BE37" i="3"/>
  <c r="BC37" i="3"/>
  <c r="BB37" i="3"/>
  <c r="BA37" i="3"/>
  <c r="AZ37" i="3"/>
  <c r="AX37" i="3"/>
  <c r="AW37" i="3"/>
  <c r="AV37" i="3"/>
  <c r="AU37" i="3"/>
  <c r="AS37" i="3"/>
  <c r="AR37" i="3"/>
  <c r="AQ37" i="3"/>
  <c r="AP37" i="3"/>
  <c r="AN37" i="3"/>
  <c r="AM37" i="3"/>
  <c r="AL37" i="3"/>
  <c r="AK37" i="3"/>
  <c r="AI37" i="3"/>
  <c r="AH37" i="3"/>
  <c r="AG37" i="3"/>
  <c r="AF37" i="3"/>
  <c r="AD37" i="3"/>
  <c r="AC37" i="3"/>
  <c r="AB37" i="3"/>
  <c r="AA37" i="3"/>
  <c r="Y37" i="3"/>
  <c r="X37" i="3"/>
  <c r="W37" i="3"/>
  <c r="V37" i="3"/>
  <c r="T37" i="3"/>
  <c r="S37" i="3"/>
  <c r="R37" i="3"/>
  <c r="Q37" i="3"/>
  <c r="O37" i="3"/>
  <c r="N37" i="3"/>
  <c r="M37" i="3"/>
  <c r="L37" i="3"/>
  <c r="BN36" i="3"/>
  <c r="BN35" i="3"/>
  <c r="BN34" i="3"/>
  <c r="BN33" i="3"/>
  <c r="BN32" i="3"/>
  <c r="BN31" i="3"/>
  <c r="BN30" i="3"/>
  <c r="BN29" i="3"/>
  <c r="BN28" i="3"/>
  <c r="BN27" i="3"/>
  <c r="BN26" i="3"/>
  <c r="BN25" i="3"/>
  <c r="BN24" i="3"/>
  <c r="BN23" i="3"/>
  <c r="BN22" i="3"/>
  <c r="BN21" i="3"/>
  <c r="BN20" i="3"/>
  <c r="BN19" i="3"/>
  <c r="BN18" i="3"/>
  <c r="BN17" i="3"/>
  <c r="BN16" i="3"/>
  <c r="BN15" i="3"/>
  <c r="BN14" i="3"/>
  <c r="BN13" i="3"/>
  <c r="BN12" i="3"/>
  <c r="BN11" i="3"/>
  <c r="BN10" i="3"/>
  <c r="BN9" i="3"/>
  <c r="BN8" i="3"/>
  <c r="BN7" i="3"/>
  <c r="BN6" i="3"/>
  <c r="BI36" i="3"/>
  <c r="BI35" i="3"/>
  <c r="BI34" i="3"/>
  <c r="BI33" i="3"/>
  <c r="BI32" i="3"/>
  <c r="BI31" i="3"/>
  <c r="BI30" i="3"/>
  <c r="BI29" i="3"/>
  <c r="BI28" i="3"/>
  <c r="BI27" i="3"/>
  <c r="BI26" i="3"/>
  <c r="BI25" i="3"/>
  <c r="BI24" i="3"/>
  <c r="BI23" i="3"/>
  <c r="BI22" i="3"/>
  <c r="BI21" i="3"/>
  <c r="BI20" i="3"/>
  <c r="BI19" i="3"/>
  <c r="BI18" i="3"/>
  <c r="BI17" i="3"/>
  <c r="BI16" i="3"/>
  <c r="BI15" i="3"/>
  <c r="BI14" i="3"/>
  <c r="BI13" i="3"/>
  <c r="BI12" i="3"/>
  <c r="BI11" i="3"/>
  <c r="BI10" i="3"/>
  <c r="BI9" i="3"/>
  <c r="BI8" i="3"/>
  <c r="BI7" i="3"/>
  <c r="BI6" i="3"/>
  <c r="BD36" i="3"/>
  <c r="BD35" i="3"/>
  <c r="BD34" i="3"/>
  <c r="BD33" i="3"/>
  <c r="BD32" i="3"/>
  <c r="BD31" i="3"/>
  <c r="BD30" i="3"/>
  <c r="BD29" i="3"/>
  <c r="BD28" i="3"/>
  <c r="BD27" i="3"/>
  <c r="BD26" i="3"/>
  <c r="BD25" i="3"/>
  <c r="BD24" i="3"/>
  <c r="BD23" i="3"/>
  <c r="BD22" i="3"/>
  <c r="BD21" i="3"/>
  <c r="BD20" i="3"/>
  <c r="BD19" i="3"/>
  <c r="BD18" i="3"/>
  <c r="BD17" i="3"/>
  <c r="BD16" i="3"/>
  <c r="BD15" i="3"/>
  <c r="BD14" i="3"/>
  <c r="BD13" i="3"/>
  <c r="BD12" i="3"/>
  <c r="BD11" i="3"/>
  <c r="BD10" i="3"/>
  <c r="BD9" i="3"/>
  <c r="BD8" i="3"/>
  <c r="BD7" i="3"/>
  <c r="BD6" i="3"/>
  <c r="AY36" i="3"/>
  <c r="AY35" i="3"/>
  <c r="AY34" i="3"/>
  <c r="AY33" i="3"/>
  <c r="AY32" i="3"/>
  <c r="AY31" i="3"/>
  <c r="AY30" i="3"/>
  <c r="AY29" i="3"/>
  <c r="AY28" i="3"/>
  <c r="AY27" i="3"/>
  <c r="AY26" i="3"/>
  <c r="AY25" i="3"/>
  <c r="AY24" i="3"/>
  <c r="AY23" i="3"/>
  <c r="AY22" i="3"/>
  <c r="AY21" i="3"/>
  <c r="AY20" i="3"/>
  <c r="AY19" i="3"/>
  <c r="AY18" i="3"/>
  <c r="AY17" i="3"/>
  <c r="AY16" i="3"/>
  <c r="AY15" i="3"/>
  <c r="AY14" i="3"/>
  <c r="AY13" i="3"/>
  <c r="AY12" i="3"/>
  <c r="AY11" i="3"/>
  <c r="AY10" i="3"/>
  <c r="AY9" i="3"/>
  <c r="AY8" i="3"/>
  <c r="AY7" i="3"/>
  <c r="AY6" i="3"/>
  <c r="AT36" i="3"/>
  <c r="AT35" i="3"/>
  <c r="AT34" i="3"/>
  <c r="AT33" i="3"/>
  <c r="AT32" i="3"/>
  <c r="AT31" i="3"/>
  <c r="AT30" i="3"/>
  <c r="AT29" i="3"/>
  <c r="AT28" i="3"/>
  <c r="AT27" i="3"/>
  <c r="AT26" i="3"/>
  <c r="AT25" i="3"/>
  <c r="AT24" i="3"/>
  <c r="AT23" i="3"/>
  <c r="AT22" i="3"/>
  <c r="AT21" i="3"/>
  <c r="AT20" i="3"/>
  <c r="AT19" i="3"/>
  <c r="AT18" i="3"/>
  <c r="AT17" i="3"/>
  <c r="AT16" i="3"/>
  <c r="AT15" i="3"/>
  <c r="AT14" i="3"/>
  <c r="AT13" i="3"/>
  <c r="AT12" i="3"/>
  <c r="AT11" i="3"/>
  <c r="AT10" i="3"/>
  <c r="AT9" i="3"/>
  <c r="AT8" i="3"/>
  <c r="AT7" i="3"/>
  <c r="AT6" i="3"/>
  <c r="AO36" i="3"/>
  <c r="AO35" i="3"/>
  <c r="AO34" i="3"/>
  <c r="AO33" i="3"/>
  <c r="AO32" i="3"/>
  <c r="AO31" i="3"/>
  <c r="AO30" i="3"/>
  <c r="AO29" i="3"/>
  <c r="AO28" i="3"/>
  <c r="AO27" i="3"/>
  <c r="AO26" i="3"/>
  <c r="AO25" i="3"/>
  <c r="AO24" i="3"/>
  <c r="AO23" i="3"/>
  <c r="AO22" i="3"/>
  <c r="AO21" i="3"/>
  <c r="AO20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O6" i="3"/>
  <c r="AJ36" i="3"/>
  <c r="AJ35" i="3"/>
  <c r="AJ34" i="3"/>
  <c r="AJ33" i="3"/>
  <c r="AJ32" i="3"/>
  <c r="AJ31" i="3"/>
  <c r="AJ30" i="3"/>
  <c r="AJ29" i="3"/>
  <c r="AJ28" i="3"/>
  <c r="AJ27" i="3"/>
  <c r="AJ26" i="3"/>
  <c r="AJ25" i="3"/>
  <c r="AJ24" i="3"/>
  <c r="AJ23" i="3"/>
  <c r="AJ22" i="3"/>
  <c r="AJ21" i="3"/>
  <c r="AJ20" i="3"/>
  <c r="AJ19" i="3"/>
  <c r="AJ18" i="3"/>
  <c r="AJ17" i="3"/>
  <c r="AJ16" i="3"/>
  <c r="AJ15" i="3"/>
  <c r="AJ14" i="3"/>
  <c r="AJ13" i="3"/>
  <c r="AJ12" i="3"/>
  <c r="AJ11" i="3"/>
  <c r="AJ10" i="3"/>
  <c r="AJ9" i="3"/>
  <c r="AJ8" i="3"/>
  <c r="AJ7" i="3"/>
  <c r="AJ6" i="3"/>
  <c r="AE36" i="3"/>
  <c r="AE35" i="3"/>
  <c r="AE34" i="3"/>
  <c r="AE3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AE11" i="3"/>
  <c r="AE10" i="3"/>
  <c r="AE9" i="3"/>
  <c r="AE8" i="3"/>
  <c r="AE7" i="3"/>
  <c r="AE6" i="3"/>
  <c r="Z36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Z6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37" i="3" s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6" i="3"/>
  <c r="K37" i="3" s="1"/>
  <c r="G37" i="3"/>
  <c r="H37" i="3"/>
  <c r="I37" i="3"/>
  <c r="J37" i="3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F3" i="2"/>
  <c r="BN37" i="3" l="1"/>
  <c r="BI37" i="3"/>
  <c r="BD37" i="3"/>
  <c r="AY37" i="3"/>
  <c r="AT37" i="3"/>
  <c r="AO37" i="3"/>
  <c r="AJ37" i="3"/>
  <c r="AE37" i="3"/>
  <c r="Z37" i="3"/>
  <c r="U37" i="3"/>
  <c r="F32" i="3"/>
  <c r="F35" i="3"/>
  <c r="F19" i="3"/>
  <c r="F27" i="3"/>
  <c r="F11" i="3"/>
  <c r="F34" i="3"/>
  <c r="F36" i="3"/>
  <c r="F23" i="3"/>
  <c r="F30" i="3"/>
  <c r="F14" i="3"/>
  <c r="F6" i="3"/>
  <c r="F29" i="3"/>
  <c r="F21" i="3"/>
  <c r="F13" i="3"/>
  <c r="F20" i="3"/>
  <c r="F12" i="3"/>
  <c r="F31" i="3"/>
  <c r="F7" i="3"/>
  <c r="E37" i="3"/>
  <c r="F22" i="3"/>
  <c r="F28" i="3"/>
  <c r="F26" i="3"/>
  <c r="F18" i="3"/>
  <c r="F10" i="3"/>
  <c r="F33" i="3"/>
  <c r="F25" i="3"/>
  <c r="F17" i="3"/>
  <c r="F9" i="3"/>
  <c r="F24" i="3"/>
  <c r="F16" i="3"/>
  <c r="F8" i="3"/>
  <c r="F15" i="3"/>
  <c r="D37" i="3"/>
  <c r="C37" i="3"/>
  <c r="B37" i="3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7" i="3" l="1"/>
  <c r="C11" i="2"/>
  <c r="E11" i="2" s="1"/>
  <c r="C13" i="2"/>
  <c r="E13" i="2" s="1"/>
  <c r="C14" i="2"/>
  <c r="E14" i="2" s="1"/>
  <c r="C15" i="2"/>
  <c r="E15" i="2" s="1"/>
  <c r="C16" i="2"/>
  <c r="E16" i="2" s="1"/>
  <c r="C17" i="2"/>
  <c r="E17" i="2" s="1"/>
  <c r="C18" i="2"/>
  <c r="E18" i="2" s="1"/>
  <c r="C19" i="2"/>
  <c r="E19" i="2" s="1"/>
  <c r="C20" i="2"/>
  <c r="E20" i="2" s="1"/>
  <c r="C24" i="2"/>
  <c r="E24" i="2" s="1"/>
  <c r="C27" i="2"/>
  <c r="E27" i="2" s="1"/>
  <c r="C28" i="2"/>
  <c r="E28" i="2" s="1"/>
  <c r="C29" i="2"/>
  <c r="E29" i="2" s="1"/>
  <c r="C30" i="2"/>
  <c r="E30" i="2" s="1"/>
  <c r="C31" i="2"/>
  <c r="E31" i="2" s="1"/>
  <c r="C32" i="2"/>
  <c r="E32" i="2" s="1"/>
  <c r="C33" i="2"/>
  <c r="E33" i="2" s="1"/>
  <c r="C34" i="2"/>
  <c r="E34" i="2" s="1"/>
  <c r="C35" i="2"/>
  <c r="E35" i="2" s="1"/>
  <c r="C36" i="2"/>
  <c r="E36" i="2" s="1"/>
  <c r="C37" i="2"/>
  <c r="E37" i="2" s="1"/>
  <c r="C38" i="2"/>
  <c r="E38" i="2" s="1"/>
  <c r="C3" i="2"/>
  <c r="E3" i="2" s="1"/>
  <c r="C4" i="2"/>
  <c r="E4" i="2" s="1"/>
  <c r="C5" i="2"/>
  <c r="E5" i="2" s="1"/>
  <c r="C6" i="2"/>
  <c r="E6" i="2" s="1"/>
  <c r="C7" i="2"/>
  <c r="E7" i="2" s="1"/>
  <c r="C8" i="2"/>
  <c r="E8" i="2" s="1"/>
  <c r="C9" i="2"/>
  <c r="E9" i="2" s="1"/>
  <c r="C10" i="2"/>
  <c r="E10" i="2" s="1"/>
  <c r="C12" i="2"/>
  <c r="E12" i="2" s="1"/>
  <c r="C21" i="2"/>
  <c r="E21" i="2" s="1"/>
  <c r="C22" i="2"/>
  <c r="E22" i="2" s="1"/>
  <c r="C23" i="2"/>
  <c r="E23" i="2" s="1"/>
  <c r="C25" i="2"/>
  <c r="E25" i="2" s="1"/>
  <c r="C26" i="2"/>
  <c r="E26" i="2" s="1"/>
  <c r="G39" i="2"/>
  <c r="H39" i="2"/>
  <c r="I39" i="2"/>
  <c r="J39" i="2"/>
  <c r="K39" i="2"/>
  <c r="L39" i="2"/>
  <c r="M39" i="2"/>
  <c r="N39" i="2"/>
  <c r="O39" i="2"/>
  <c r="Q39" i="2"/>
  <c r="F39" i="2"/>
  <c r="P39" i="2" l="1"/>
  <c r="E39" i="2"/>
  <c r="C39" i="2"/>
  <c r="AW18" i="1" l="1"/>
  <c r="AV18" i="1"/>
  <c r="AU18" i="1"/>
  <c r="AT18" i="1"/>
  <c r="AS18" i="1"/>
  <c r="AR18" i="1"/>
  <c r="AQ18" i="1"/>
  <c r="AP18" i="1"/>
  <c r="AM18" i="1"/>
  <c r="AL18" i="1"/>
  <c r="AK18" i="1"/>
  <c r="AJ18" i="1"/>
  <c r="AI18" i="1"/>
  <c r="AH18" i="1"/>
  <c r="AG18" i="1"/>
  <c r="AF18" i="1"/>
  <c r="AC18" i="1"/>
  <c r="AB18" i="1"/>
  <c r="AA18" i="1"/>
  <c r="Z18" i="1"/>
  <c r="Y18" i="1"/>
  <c r="X18" i="1"/>
  <c r="W18" i="1"/>
  <c r="V18" i="1"/>
  <c r="S18" i="1"/>
  <c r="R18" i="1"/>
  <c r="Q18" i="1"/>
  <c r="P18" i="1"/>
  <c r="O18" i="1"/>
  <c r="N18" i="1"/>
  <c r="M18" i="1"/>
  <c r="L18" i="1"/>
  <c r="I18" i="1"/>
  <c r="H18" i="1"/>
  <c r="G18" i="1"/>
  <c r="F18" i="1"/>
  <c r="E18" i="1"/>
  <c r="D18" i="1"/>
  <c r="AY17" i="1"/>
  <c r="AX17" i="1"/>
  <c r="AY16" i="1"/>
  <c r="AX16" i="1"/>
  <c r="AY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AY6" i="1"/>
  <c r="AX6" i="1"/>
  <c r="AO17" i="1"/>
  <c r="AN17" i="1"/>
  <c r="AO16" i="1"/>
  <c r="AN16" i="1"/>
  <c r="AO15" i="1"/>
  <c r="AN15" i="1"/>
  <c r="AO14" i="1"/>
  <c r="AO13" i="1"/>
  <c r="AN13" i="1"/>
  <c r="AO12" i="1"/>
  <c r="AN12" i="1"/>
  <c r="AO11" i="1"/>
  <c r="AN11" i="1"/>
  <c r="AO10" i="1"/>
  <c r="AN10" i="1"/>
  <c r="AO9" i="1"/>
  <c r="AN9" i="1"/>
  <c r="AO8" i="1"/>
  <c r="AN8" i="1"/>
  <c r="AO7" i="1"/>
  <c r="AN7" i="1"/>
  <c r="AO6" i="1"/>
  <c r="AN6" i="1"/>
  <c r="AE17" i="1"/>
  <c r="AD17" i="1"/>
  <c r="AE16" i="1"/>
  <c r="AD16" i="1"/>
  <c r="AE15" i="1"/>
  <c r="AD15" i="1"/>
  <c r="AE14" i="1"/>
  <c r="AD14" i="1"/>
  <c r="AE13" i="1"/>
  <c r="AD13" i="1"/>
  <c r="AE12" i="1"/>
  <c r="AD12" i="1"/>
  <c r="AE11" i="1"/>
  <c r="AD11" i="1"/>
  <c r="AE10" i="1"/>
  <c r="AD10" i="1"/>
  <c r="AE9" i="1"/>
  <c r="AD9" i="1"/>
  <c r="AE8" i="1"/>
  <c r="AD8" i="1"/>
  <c r="AE7" i="1"/>
  <c r="AD7" i="1"/>
  <c r="AE6" i="1"/>
  <c r="AD6" i="1"/>
  <c r="U17" i="1"/>
  <c r="T17" i="1"/>
  <c r="U16" i="1"/>
  <c r="T16" i="1"/>
  <c r="U15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T7" i="1"/>
  <c r="U6" i="1"/>
  <c r="T6" i="1"/>
  <c r="AX18" i="1" l="1"/>
  <c r="AO18" i="1"/>
  <c r="AY18" i="1"/>
  <c r="AN18" i="1"/>
  <c r="AE18" i="1"/>
  <c r="AD18" i="1"/>
  <c r="U18" i="1"/>
  <c r="T18" i="1"/>
  <c r="B18" i="1"/>
  <c r="C18" i="1"/>
  <c r="K7" i="1"/>
  <c r="BA7" i="1" s="1"/>
  <c r="K8" i="1"/>
  <c r="BA8" i="1" s="1"/>
  <c r="K9" i="1"/>
  <c r="BA9" i="1" s="1"/>
  <c r="K10" i="1"/>
  <c r="K11" i="1"/>
  <c r="K12" i="1"/>
  <c r="K13" i="1"/>
  <c r="K14" i="1"/>
  <c r="K15" i="1"/>
  <c r="K16" i="1"/>
  <c r="K17" i="1"/>
  <c r="BA17" i="1" s="1"/>
  <c r="K6" i="1"/>
  <c r="BA6" i="1" s="1"/>
  <c r="J7" i="1"/>
  <c r="AZ7" i="1" s="1"/>
  <c r="J8" i="1"/>
  <c r="AZ8" i="1" s="1"/>
  <c r="J9" i="1"/>
  <c r="AZ9" i="1" s="1"/>
  <c r="J10" i="1"/>
  <c r="AZ10" i="1" s="1"/>
  <c r="J11" i="1"/>
  <c r="AZ11" i="1" s="1"/>
  <c r="J12" i="1"/>
  <c r="AZ12" i="1" s="1"/>
  <c r="J13" i="1"/>
  <c r="AZ13" i="1" s="1"/>
  <c r="J14" i="1"/>
  <c r="AZ14" i="1" s="1"/>
  <c r="AZ15" i="1"/>
  <c r="J16" i="1"/>
  <c r="J17" i="1"/>
  <c r="AZ17" i="1" s="1"/>
  <c r="J6" i="1"/>
  <c r="AZ6" i="1" s="1"/>
  <c r="K18" i="1" l="1"/>
  <c r="AZ16" i="1"/>
  <c r="AZ18" i="1" s="1"/>
  <c r="J18" i="1"/>
  <c r="BA16" i="1"/>
  <c r="BA15" i="1"/>
  <c r="BA14" i="1"/>
  <c r="BA13" i="1"/>
  <c r="BA12" i="1"/>
  <c r="BA11" i="1"/>
  <c r="BA10" i="1"/>
  <c r="BA18" i="1" l="1"/>
</calcChain>
</file>

<file path=xl/sharedStrings.xml><?xml version="1.0" encoding="utf-8"?>
<sst xmlns="http://schemas.openxmlformats.org/spreadsheetml/2006/main" count="249" uniqueCount="84">
  <si>
    <t>เดือน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</si>
  <si>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</si>
  <si>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</si>
  <si>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</si>
  <si>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</si>
  <si>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</si>
  <si>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</si>
  <si>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</si>
  <si>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</si>
  <si>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</si>
  <si>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</si>
  <si>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</si>
  <si>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</si>
  <si>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ปฏิเสธ , ยกเลิก</t>
  </si>
  <si>
    <t>ติดต่อไม่ได้ , ไม่รับโทรศัพท์</t>
  </si>
  <si>
    <t>สาเหตุการตีกลับ</t>
  </si>
  <si>
    <t>รวมจำนวน</t>
  </si>
  <si>
    <t>ลูกค้าแจ้งว่าไม่ได้สั่ง / เกินเวลานัดส่งพัสดุ</t>
  </si>
  <si>
    <t>บาท</t>
  </si>
  <si>
    <t>จำนวน</t>
  </si>
  <si>
    <t>ยอด</t>
  </si>
  <si>
    <t>Lazada</t>
  </si>
  <si>
    <t>Shopee</t>
  </si>
  <si>
    <t>Tiktok</t>
  </si>
  <si>
    <t>Facebook , นัดรับ</t>
  </si>
  <si>
    <t>รวมยอด</t>
  </si>
  <si>
    <t>Total</t>
  </si>
  <si>
    <t>ส่งของไปซ้ำ</t>
  </si>
  <si>
    <t>รวมจำนวนทั้งหมด</t>
  </si>
  <si>
    <t>รวมยอดทั้งหมด</t>
  </si>
  <si>
    <t>ลำดับ</t>
  </si>
  <si>
    <t>รายการ</t>
  </si>
  <si>
    <t>ชิฟฟอน 4 ชิ้น</t>
  </si>
  <si>
    <t>ชิฟฟอนไส้แยม 6 ชิ้น</t>
  </si>
  <si>
    <t>ชิฟฟอนไส้แยม 3 ชิ้น</t>
  </si>
  <si>
    <t>เบาหวิว ล</t>
  </si>
  <si>
    <t>เค้กหวิวถาด</t>
  </si>
  <si>
    <t>เปี๊ยะ ล</t>
  </si>
  <si>
    <t>เปี๊ยะโมจิ ล</t>
  </si>
  <si>
    <t>เปี๊ยะ ญ</t>
  </si>
  <si>
    <t>เปี๊ยะโมจิ ญ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</si>
  <si>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</si>
  <si>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</si>
  <si>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</si>
  <si>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</si>
  <si>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</si>
  <si>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</si>
  <si>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</si>
  <si>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</si>
  <si>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</si>
  <si>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</si>
  <si>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</si>
  <si>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คอนเฟล็ก</t>
  </si>
  <si>
    <t>เมอแรงค์</t>
  </si>
  <si>
    <t>ท๊อฟฟี่ถั่ว กล่อง</t>
  </si>
  <si>
    <t>ปังปลา กก.</t>
  </si>
  <si>
    <t>ครีมฮอร์น</t>
  </si>
  <si>
    <t>ยอดรวม</t>
  </si>
  <si>
    <t>ชิ้น</t>
  </si>
  <si>
    <t>ต้นทุนสินค้า</t>
  </si>
  <si>
    <t>เป็นเงิน</t>
  </si>
  <si>
    <t>สรุปรายการของตีกลับของช่องทางออนไลน์ ปี 2568</t>
  </si>
  <si>
    <t>สรุปรายการสินค้าที่ตีกลับมารวมทุกช่องทางขายออนไลน์ ปี 2568</t>
  </si>
  <si>
    <t>ชิฟฟอนแยกชิ้น (ไม่ไส้)</t>
  </si>
  <si>
    <t>ชิฟฟอนแยกชิ้น (ไส้)</t>
  </si>
  <si>
    <t>ชิฟฟอน 8 ชิ้น (ชมพู)</t>
  </si>
  <si>
    <t>ชิฟฟอนยอดฮิต</t>
  </si>
  <si>
    <t>เปี๊ยะ 450 กรัม</t>
  </si>
  <si>
    <t>พายสัปรด กล่อง</t>
  </si>
  <si>
    <t>พายสัปรด ชิ้น</t>
  </si>
  <si>
    <t>แซนวิส</t>
  </si>
  <si>
    <t>เศษขนมปังปลา</t>
  </si>
  <si>
    <t>สลิปปลอม</t>
  </si>
  <si>
    <t>เบาหวิว ญ</t>
  </si>
  <si>
    <t>ของตีกลับ</t>
  </si>
  <si>
    <t>วันที่</t>
  </si>
  <si>
    <t>จำนวนกล่อง</t>
  </si>
  <si>
    <t>lazada</t>
  </si>
  <si>
    <t>shopee</t>
  </si>
  <si>
    <t>tiktok</t>
  </si>
  <si>
    <t>ปณ</t>
  </si>
  <si>
    <t>รวม</t>
  </si>
  <si>
    <t>สรุปรายการสินค้าที่ตีกลับมานับเป็นจำนวน (กล่อง) ปี 2568</t>
  </si>
  <si>
    <t>ปี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</si>
</sst>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sz val="18"/>
      <color theme="1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20"/>
      <color theme="1"/>
      <name val="Angsana New"/>
      <family val="1"/>
    </font>
    <font>
      <b/>
      <sz val="18"/>
      <color rgb="FF0000FF"/>
      <name val="Angsana New"/>
      <family val="1"/>
    </font>
    <font>
      <b/>
      <sz val="16"/>
      <color rgb="FF0000FF"/>
      <name val="Angsana New"/>
      <family val="1"/>
    </font>
    <font>
      <sz val="16"/>
      <color rgb="FF0000FF"/>
      <name val="Angsana New"/>
      <family val="1"/>
    </font>
    <font>
      <sz val="18"/>
      <color theme="1"/>
      <name val="Tahoma"/>
      <family val="2"/>
      <charset val="222"/>
      <scheme val="minor"/>
    </font>
    <font>
      <b/>
      <sz val="22"/>
      <color theme="1"/>
      <name val="Angsana New"/>
      <family val="1"/>
    </font>
    <font>
      <b/>
      <sz val="20"/>
      <color rgb="FFFF0000"/>
      <name val="Angsana New"/>
      <family val="1"/>
    </font>
    <font>
      <sz val="16"/>
      <color theme="1"/>
      <name val="Angsana New"/>
      <family val="1"/>
    </font>
    <font>
      <sz val="11"/>
      <color theme="1"/>
      <name val="Calibri"/>
      <family val="2"/>
    </font>
    <font>
      <sz val="11"/>
      <color theme="1"/>
      <name val="Tahoma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4" fillId="0" borderId="1" xfId="0" applyFont="1" applyBorder="1" applyAlignment="1">
      <alignment horizontal="center"/>
    </xf>
    <xf numFmtId="43" fontId="6" fillId="0" borderId="0" xfId="1" applyFont="1" applyAlignment="1">
      <alignment horizontal="left"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/>
    <xf numFmtId="43" fontId="5" fillId="0" borderId="0" xfId="1" applyFont="1" applyAlignment="1"/>
    <xf numFmtId="187" fontId="5" fillId="0" borderId="0" xfId="1" applyNumberFormat="1" applyFont="1" applyAlignment="1"/>
    <xf numFmtId="0" fontId="4" fillId="0" borderId="0" xfId="0" applyFont="1"/>
    <xf numFmtId="43" fontId="8" fillId="0" borderId="3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3" fontId="5" fillId="0" borderId="1" xfId="1" applyFont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3" fontId="5" fillId="0" borderId="4" xfId="1" applyFont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43" fontId="3" fillId="4" borderId="11" xfId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43" fontId="3" fillId="5" borderId="11" xfId="1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43" fontId="3" fillId="6" borderId="11" xfId="1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43" fontId="3" fillId="7" borderId="11" xfId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43" fontId="8" fillId="8" borderId="4" xfId="1" applyFont="1" applyFill="1" applyBorder="1" applyAlignment="1">
      <alignment horizontal="center"/>
    </xf>
    <xf numFmtId="43" fontId="8" fillId="8" borderId="1" xfId="1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43" fontId="4" fillId="0" borderId="4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43" fontId="9" fillId="0" borderId="4" xfId="1" applyFont="1" applyBorder="1" applyAlignment="1">
      <alignment horizontal="center"/>
    </xf>
    <xf numFmtId="43" fontId="9" fillId="0" borderId="1" xfId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43" fontId="8" fillId="8" borderId="3" xfId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3" fillId="9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0" fillId="0" borderId="0" xfId="0" applyFont="1"/>
    <xf numFmtId="1" fontId="5" fillId="0" borderId="0" xfId="0" applyNumberFormat="1" applyFont="1" applyAlignment="1">
      <alignment horizontal="right"/>
    </xf>
    <xf numFmtId="0" fontId="3" fillId="9" borderId="0" xfId="0" applyFont="1" applyFill="1" applyAlignment="1">
      <alignment horizontal="right"/>
    </xf>
    <xf numFmtId="43" fontId="0" fillId="0" borderId="0" xfId="1" applyFont="1" applyBorder="1"/>
    <xf numFmtId="0" fontId="0" fillId="0" borderId="0" xfId="0" applyAlignment="1">
      <alignment horizontal="right"/>
    </xf>
    <xf numFmtId="43" fontId="0" fillId="0" borderId="0" xfId="1" applyFont="1" applyBorder="1" applyAlignment="1">
      <alignment horizontal="right"/>
    </xf>
    <xf numFmtId="43" fontId="3" fillId="9" borderId="0" xfId="1" applyFont="1" applyFill="1" applyBorder="1" applyAlignment="1">
      <alignment horizontal="right"/>
    </xf>
    <xf numFmtId="187" fontId="5" fillId="3" borderId="0" xfId="1" applyNumberFormat="1" applyFont="1" applyFill="1" applyBorder="1" applyAlignment="1">
      <alignment horizontal="right"/>
    </xf>
    <xf numFmtId="43" fontId="5" fillId="3" borderId="0" xfId="1" applyFont="1" applyFill="1" applyBorder="1" applyAlignment="1">
      <alignment horizontal="right"/>
    </xf>
    <xf numFmtId="187" fontId="7" fillId="3" borderId="3" xfId="1" applyNumberFormat="1" applyFont="1" applyFill="1" applyBorder="1" applyAlignment="1">
      <alignment horizontal="right"/>
    </xf>
    <xf numFmtId="43" fontId="7" fillId="3" borderId="3" xfId="1" applyFont="1" applyFill="1" applyBorder="1" applyAlignment="1">
      <alignment horizontal="right"/>
    </xf>
    <xf numFmtId="187" fontId="7" fillId="0" borderId="3" xfId="1" applyNumberFormat="1" applyFont="1" applyBorder="1" applyAlignment="1">
      <alignment horizontal="right"/>
    </xf>
    <xf numFmtId="0" fontId="11" fillId="0" borderId="0" xfId="0" applyFont="1" applyAlignment="1">
      <alignment horizontal="left"/>
    </xf>
    <xf numFmtId="0" fontId="4" fillId="7" borderId="0" xfId="0" applyFont="1" applyFill="1" applyAlignment="1">
      <alignment horizontal="center" wrapText="1"/>
    </xf>
    <xf numFmtId="0" fontId="4" fillId="12" borderId="0" xfId="0" applyFont="1" applyFill="1" applyAlignment="1">
      <alignment horizontal="center" wrapText="1"/>
    </xf>
    <xf numFmtId="0" fontId="4" fillId="13" borderId="0" xfId="0" applyFont="1" applyFill="1" applyAlignment="1">
      <alignment horizontal="center" wrapText="1"/>
    </xf>
    <xf numFmtId="0" fontId="4" fillId="14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right"/>
    </xf>
    <xf numFmtId="0" fontId="4" fillId="10" borderId="0" xfId="0" applyFont="1" applyFill="1" applyAlignment="1">
      <alignment horizontal="center" vertical="center" wrapText="1"/>
    </xf>
    <xf numFmtId="0" fontId="12" fillId="3" borderId="3" xfId="0" applyFont="1" applyFill="1" applyBorder="1" applyAlignment="1">
      <alignment horizontal="center"/>
    </xf>
    <xf numFmtId="0" fontId="12" fillId="3" borderId="0" xfId="0" applyFont="1" applyFill="1" applyAlignment="1">
      <alignment horizontal="center" wrapText="1"/>
    </xf>
    <xf numFmtId="0" fontId="4" fillId="16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 wrapText="1"/>
    </xf>
    <xf numFmtId="0" fontId="14" fillId="0" borderId="0" xfId="0" applyFont="1"/>
    <xf numFmtId="0" fontId="14" fillId="0" borderId="0" xfId="0" applyFont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3" fontId="3" fillId="2" borderId="7" xfId="1" applyFont="1" applyFill="1" applyBorder="1" applyAlignment="1">
      <alignment horizontal="center" vertical="center" wrapText="1"/>
    </xf>
    <xf numFmtId="43" fontId="3" fillId="2" borderId="1" xfId="1" applyFont="1" applyFill="1" applyBorder="1" applyAlignment="1">
      <alignment horizontal="center" vertical="center" wrapText="1"/>
    </xf>
    <xf numFmtId="43" fontId="3" fillId="2" borderId="11" xfId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43" fontId="7" fillId="3" borderId="9" xfId="1" applyFont="1" applyFill="1" applyBorder="1" applyAlignment="1">
      <alignment horizontal="center" vertical="center"/>
    </xf>
    <xf numFmtId="43" fontId="7" fillId="3" borderId="12" xfId="1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4" fillId="11" borderId="0" xfId="0" applyFont="1" applyFill="1" applyAlignment="1">
      <alignment horizontal="center" wrapText="1"/>
    </xf>
    <xf numFmtId="0" fontId="4" fillId="16" borderId="0" xfId="0" applyFont="1" applyFill="1" applyAlignment="1">
      <alignment horizontal="center" vertical="center" wrapText="1"/>
    </xf>
    <xf numFmtId="17" fontId="4" fillId="16" borderId="0" xfId="0" applyNumberFormat="1" applyFont="1" applyFill="1" applyAlignment="1">
      <alignment horizontal="center" vertical="center" wrapText="1"/>
    </xf>
    <xf numFmtId="0" fontId="4" fillId="15" borderId="0" xfId="0" applyFont="1" applyFill="1" applyAlignment="1">
      <alignment horizontal="center" vertical="center" wrapText="1"/>
    </xf>
    <xf numFmtId="0" fontId="15" fillId="0" borderId="0" xfId="0" applyFont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99FF"/>
      <color rgb="FF0000FF"/>
      <color rgb="FF99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&#3586;&#3657;&#3629;&#3617;&#3641;&#3621;&#3629;&#3629;&#3648;&#3604;&#3629;&#3619;&#3660;&#3619;&#3634;&#3618;&#3585;&#3634;&#3619;&#3605;&#3637;&#3586;&#3629;&#3591;&#3585;&#3621;&#3633;&#3610;&#3586;&#3629;&#3591;&#3613;&#3656;&#3634;&#3618;&#3586;&#3634;&#3618;&#3629;&#3629;&#3609;&#3652;&#3621;&#3609;&#3660;%20&#3617;.&#3588;.%206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.&#3586;&#3657;&#3629;&#3617;&#3641;&#3621;&#3629;&#3629;&#3648;&#3604;&#3629;&#3619;&#3660;&#3619;&#3634;&#3618;&#3585;&#3634;&#3619;&#3605;&#3637;&#3586;&#3629;&#3591;&#3585;&#3621;&#3633;&#3610;&#3586;&#3629;&#3591;&#3613;&#3656;&#3634;&#3618;&#3586;&#3634;&#3618;&#3629;&#3629;&#3609;&#3652;&#3621;&#3609;&#3660;%20&#3585;.&#3614;.%206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.&#3586;&#3657;&#3629;&#3617;&#3641;&#3621;&#3629;&#3629;&#3648;&#3604;&#3629;&#3619;&#3660;&#3619;&#3634;&#3618;&#3585;&#3634;&#3619;&#3605;&#3637;&#3586;&#3629;&#3591;&#3585;&#3621;&#3633;&#3610;&#3586;&#3629;&#3591;&#3613;&#3656;&#3634;&#3618;&#3586;&#3634;&#3618;&#3629;&#3629;&#3609;&#3652;&#3621;&#3609;&#3660;%20&#3617;&#3637;.&#3588;.%206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.&#3586;&#3657;&#3629;&#3617;&#3641;&#3621;&#3629;&#3629;&#3648;&#3604;&#3629;&#3619;&#3660;&#3619;&#3634;&#3618;&#3585;&#3634;&#3619;&#3605;&#3637;&#3586;&#3629;&#3591;&#3585;&#3621;&#3633;&#3610;&#3586;&#3629;&#3591;&#3613;&#3656;&#3634;&#3618;&#3586;&#3634;&#3618;&#3629;&#3629;&#3609;&#3652;&#3621;&#3609;&#3660;%20&#3648;&#3617;.&#3618;.%20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ออเดอร์จัดส่ง ม.ค. 68"/>
      <sheetName val="สรุป"/>
      <sheetName val="สรุปรายการสินค้า"/>
      <sheetName val="จำนวนกล่องตีกลับ"/>
      <sheetName val="Lazada"/>
      <sheetName val="Shopee"/>
      <sheetName val="TikTok"/>
      <sheetName val="ไปรษณีย์"/>
      <sheetName val="รายการสินค้าตีกลับ"/>
      <sheetName val="ธ.ค."/>
      <sheetName val="รายการที่ลบ ม.ค."/>
      <sheetName val="ออเดอร์ ม.ค."/>
    </sheetNames>
    <sheetDataSet>
      <sheetData sheetId="0" refreshError="1"/>
      <sheetData sheetId="1" refreshError="1"/>
      <sheetData sheetId="2">
        <row r="2">
          <cell r="B2" t="str">
            <v>รายการ</v>
          </cell>
          <cell r="C2" t="str">
            <v>จำนวน</v>
          </cell>
        </row>
        <row r="3">
          <cell r="B3" t="str">
            <v>ชิฟฟอนแยกชิ้น (ไม่ไส้)</v>
          </cell>
          <cell r="C3">
            <v>20</v>
          </cell>
        </row>
        <row r="4">
          <cell r="B4" t="str">
            <v>ชิฟฟอนแยกชิ้น (ไส้)</v>
          </cell>
          <cell r="C4">
            <v>210</v>
          </cell>
        </row>
        <row r="5">
          <cell r="B5" t="str">
            <v>ชิฟฟอน 8 ชิ้น (ชมพู)</v>
          </cell>
          <cell r="C5">
            <v>62</v>
          </cell>
        </row>
        <row r="6">
          <cell r="B6" t="str">
            <v>ชิฟฟอนยอดฮิต</v>
          </cell>
          <cell r="C6">
            <v>16</v>
          </cell>
        </row>
        <row r="7">
          <cell r="B7" t="str">
            <v>ชิฟฟอนไส้แยม 6 ชิ้น</v>
          </cell>
          <cell r="C7">
            <v>23</v>
          </cell>
        </row>
        <row r="8">
          <cell r="B8" t="str">
            <v>ชิฟฟอน 4 ชิ้น</v>
          </cell>
          <cell r="C8">
            <v>185</v>
          </cell>
        </row>
        <row r="9">
          <cell r="B9" t="str">
            <v>ชิฟฟอนไส้แยม 3 ชิ้น</v>
          </cell>
          <cell r="C9">
            <v>166</v>
          </cell>
        </row>
        <row r="10">
          <cell r="B10" t="str">
            <v>เบาหวิว ล</v>
          </cell>
          <cell r="C10">
            <v>452</v>
          </cell>
        </row>
        <row r="11">
          <cell r="B11" t="str">
            <v>เปี๊ยะ 450 กรัม</v>
          </cell>
          <cell r="C11">
            <v>34</v>
          </cell>
        </row>
        <row r="12">
          <cell r="B12" t="str">
            <v>เค้กหวิวถาด</v>
          </cell>
          <cell r="C12">
            <v>0</v>
          </cell>
        </row>
        <row r="13">
          <cell r="B13" t="str">
            <v>เปี๊ยะ ล</v>
          </cell>
          <cell r="C13">
            <v>0</v>
          </cell>
        </row>
        <row r="14">
          <cell r="B14" t="str">
            <v>เปี๊ยะโมจิ ล</v>
          </cell>
          <cell r="C14">
            <v>0</v>
          </cell>
        </row>
        <row r="15">
          <cell r="B15" t="str">
            <v>เปี๊ยะ ญ</v>
          </cell>
          <cell r="C15">
            <v>0</v>
          </cell>
        </row>
        <row r="16">
          <cell r="B16" t="str">
            <v>เปี๊ยะโมจิ ญ</v>
          </cell>
          <cell r="C16">
            <v>0</v>
          </cell>
        </row>
        <row r="17">
          <cell r="B17" t="str">
            <v>พายสัปรด กล่อง</v>
          </cell>
          <cell r="C17">
            <v>0</v>
          </cell>
        </row>
        <row r="18">
          <cell r="B18" t="str">
            <v>พายสัปรด ชิ้น</v>
          </cell>
          <cell r="C18">
            <v>0</v>
          </cell>
        </row>
        <row r="19">
          <cell r="B19" t="str">
            <v>คุกกี้เนย</v>
          </cell>
          <cell r="C19">
            <v>0</v>
          </cell>
        </row>
        <row r="20">
          <cell r="B20" t="str">
            <v>คุกกี้เนย 4 ชิ้น/กล่อง</v>
          </cell>
          <cell r="C20">
            <v>0</v>
          </cell>
        </row>
        <row r="21">
          <cell r="B21" t="str">
            <v>ปังกรอบคาราเมล</v>
          </cell>
          <cell r="C21">
            <v>0</v>
          </cell>
        </row>
        <row r="22">
          <cell r="B22" t="str">
            <v>ปังเนยน้ำตาล</v>
          </cell>
          <cell r="C22">
            <v>0</v>
          </cell>
        </row>
        <row r="23">
          <cell r="B23" t="str">
            <v>ปังเนยนิ่ม กล่อง 2 ชิ้น</v>
          </cell>
          <cell r="C23">
            <v>0</v>
          </cell>
        </row>
        <row r="24">
          <cell r="B24" t="str">
            <v>ปังเนยนิ่ม กล่อง 3 ชิ้น</v>
          </cell>
          <cell r="C24">
            <v>0</v>
          </cell>
        </row>
        <row r="25">
          <cell r="B25" t="str">
            <v>ปังเนยนิ่มถุง5ชิ้น</v>
          </cell>
          <cell r="C25">
            <v>0</v>
          </cell>
        </row>
        <row r="26">
          <cell r="B26" t="str">
            <v>ปังสตรอบูล</v>
          </cell>
          <cell r="C26">
            <v>0</v>
          </cell>
        </row>
        <row r="27">
          <cell r="B27" t="str">
            <v>ปังไก่หยอง</v>
          </cell>
          <cell r="C27">
            <v>0</v>
          </cell>
        </row>
        <row r="28">
          <cell r="B28" t="str">
            <v>ปังทวิต</v>
          </cell>
          <cell r="C28">
            <v>0</v>
          </cell>
        </row>
        <row r="29">
          <cell r="B29" t="str">
            <v>ปังแถว</v>
          </cell>
          <cell r="C29">
            <v>4</v>
          </cell>
        </row>
        <row r="30">
          <cell r="B30" t="str">
            <v>คอนเฟล็ก</v>
          </cell>
          <cell r="C30">
            <v>0</v>
          </cell>
        </row>
        <row r="31">
          <cell r="B31" t="str">
            <v>เมอแรงค์</v>
          </cell>
          <cell r="C31">
            <v>0</v>
          </cell>
        </row>
        <row r="32">
          <cell r="B32" t="str">
            <v>ท๊อฟฟี่ถั่ว กล่อง</v>
          </cell>
          <cell r="C32">
            <v>0</v>
          </cell>
        </row>
        <row r="33">
          <cell r="B33" t="str">
            <v>แซนวิส</v>
          </cell>
          <cell r="C33">
            <v>0</v>
          </cell>
        </row>
        <row r="34">
          <cell r="B34" t="str">
            <v>ปังปลา กก.</v>
          </cell>
          <cell r="C34">
            <v>0</v>
          </cell>
        </row>
        <row r="35">
          <cell r="B35" t="str">
            <v>เศษขนมปังปลา</v>
          </cell>
          <cell r="C35">
            <v>5</v>
          </cell>
        </row>
        <row r="36">
          <cell r="B36" t="str">
            <v>ครีมฮอร์น</v>
          </cell>
          <cell r="C36">
            <v>135</v>
          </cell>
        </row>
        <row r="37">
          <cell r="C37">
            <v>0</v>
          </cell>
        </row>
        <row r="38">
          <cell r="C38">
            <v>0</v>
          </cell>
        </row>
        <row r="39">
          <cell r="B39" t="str">
            <v>ยอดรวม</v>
          </cell>
          <cell r="C39">
            <v>1312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ออเดอร์จัดส่ง ก.พ. 68"/>
      <sheetName val="สรุป"/>
      <sheetName val="สรุปรายการสินค้า"/>
      <sheetName val="จำนวนกล่องตีกลับ"/>
      <sheetName val="Lazada"/>
      <sheetName val="Shopee"/>
      <sheetName val="TikTok"/>
      <sheetName val="ไปรษณีย์"/>
      <sheetName val="รายการสินค้าตีกลับ"/>
      <sheetName val="ธ.ค."/>
      <sheetName val="รายการที่ลบ ม.ค."/>
      <sheetName val="ออเดอร์ ม.ค."/>
    </sheetNames>
    <sheetDataSet>
      <sheetData sheetId="0" refreshError="1"/>
      <sheetData sheetId="1" refreshError="1"/>
      <sheetData sheetId="2">
        <row r="2">
          <cell r="B2" t="str">
            <v>รายการ</v>
          </cell>
          <cell r="C2" t="str">
            <v>จำนวน</v>
          </cell>
        </row>
        <row r="3">
          <cell r="B3" t="str">
            <v>ชิฟฟอนแยกชิ้น (ไม่ไส้)</v>
          </cell>
          <cell r="C3">
            <v>0</v>
          </cell>
        </row>
        <row r="4">
          <cell r="B4" t="str">
            <v>ชิฟฟอนแยกชิ้น (ไส้)</v>
          </cell>
          <cell r="C4">
            <v>1</v>
          </cell>
        </row>
        <row r="5">
          <cell r="B5" t="str">
            <v>ชิฟฟอน 8 ชิ้น (ชมพู)</v>
          </cell>
          <cell r="C5">
            <v>65</v>
          </cell>
        </row>
        <row r="6">
          <cell r="B6" t="str">
            <v>ชิฟฟอนยอดฮิต</v>
          </cell>
          <cell r="C6">
            <v>3</v>
          </cell>
        </row>
        <row r="7">
          <cell r="B7" t="str">
            <v>ชิฟฟอนไส้แยม 6 ชิ้น</v>
          </cell>
          <cell r="C7">
            <v>6</v>
          </cell>
        </row>
        <row r="8">
          <cell r="B8" t="str">
            <v>ชิฟฟอน 4 ชิ้น</v>
          </cell>
          <cell r="C8">
            <v>3</v>
          </cell>
        </row>
        <row r="9">
          <cell r="B9" t="str">
            <v>ชิฟฟอนไส้แยม 3 ชิ้น</v>
          </cell>
          <cell r="C9">
            <v>0</v>
          </cell>
        </row>
        <row r="10">
          <cell r="B10" t="str">
            <v>เบาหวิว ล</v>
          </cell>
          <cell r="C10">
            <v>11</v>
          </cell>
        </row>
        <row r="11">
          <cell r="B11" t="str">
            <v>เปี๊ยะ 450 กรัม</v>
          </cell>
          <cell r="C11">
            <v>3</v>
          </cell>
        </row>
        <row r="12">
          <cell r="B12" t="str">
            <v>เค้กหวิวถาด</v>
          </cell>
          <cell r="C12">
            <v>6</v>
          </cell>
        </row>
        <row r="13">
          <cell r="B13" t="str">
            <v>เปี๊ยะ ล</v>
          </cell>
          <cell r="C13">
            <v>0</v>
          </cell>
        </row>
        <row r="14">
          <cell r="B14" t="str">
            <v>เปี๊ยะโมจิ ล</v>
          </cell>
          <cell r="C14">
            <v>0</v>
          </cell>
        </row>
        <row r="15">
          <cell r="B15" t="str">
            <v>เปี๊ยะ ญ</v>
          </cell>
          <cell r="C15">
            <v>0</v>
          </cell>
        </row>
        <row r="16">
          <cell r="B16" t="str">
            <v>เปี๊ยะโมจิ ญ</v>
          </cell>
          <cell r="C16">
            <v>0</v>
          </cell>
        </row>
        <row r="17">
          <cell r="B17" t="str">
            <v>พายสัปรด กล่อง</v>
          </cell>
          <cell r="C17">
            <v>0</v>
          </cell>
        </row>
        <row r="18">
          <cell r="B18" t="str">
            <v>พายสัปรด ชิ้น</v>
          </cell>
          <cell r="C18">
            <v>0</v>
          </cell>
        </row>
        <row r="19">
          <cell r="B19" t="str">
            <v>คุกกี้เนย</v>
          </cell>
          <cell r="C19">
            <v>0</v>
          </cell>
        </row>
        <row r="20">
          <cell r="B20" t="str">
            <v>คุกกี้เนย 4 ชิ้น/กล่อง</v>
          </cell>
          <cell r="C20">
            <v>0</v>
          </cell>
        </row>
        <row r="21">
          <cell r="B21" t="str">
            <v>ปังกรอบคาราเมล</v>
          </cell>
          <cell r="C21">
            <v>0</v>
          </cell>
        </row>
        <row r="22">
          <cell r="B22" t="str">
            <v>ปังเนยน้ำตาล</v>
          </cell>
          <cell r="C22">
            <v>0</v>
          </cell>
        </row>
        <row r="23">
          <cell r="B23" t="str">
            <v>ปังเนยนิ่ม กล่อง 2 ชิ้น</v>
          </cell>
          <cell r="C23">
            <v>0</v>
          </cell>
        </row>
        <row r="24">
          <cell r="B24" t="str">
            <v>ปังเนยนิ่ม กล่อง 3 ชิ้น</v>
          </cell>
          <cell r="C24">
            <v>0</v>
          </cell>
        </row>
        <row r="25">
          <cell r="B25" t="str">
            <v>ปังเนยนิ่มถุง5ชิ้น</v>
          </cell>
          <cell r="C25">
            <v>2</v>
          </cell>
        </row>
        <row r="26">
          <cell r="B26" t="str">
            <v>ปังสตรอบูล</v>
          </cell>
          <cell r="C26">
            <v>0</v>
          </cell>
        </row>
        <row r="27">
          <cell r="B27" t="str">
            <v>ปังไก่หยอง</v>
          </cell>
          <cell r="C27">
            <v>0</v>
          </cell>
        </row>
        <row r="28">
          <cell r="B28" t="str">
            <v>ปังทวิต</v>
          </cell>
          <cell r="C28">
            <v>0</v>
          </cell>
        </row>
        <row r="29">
          <cell r="B29" t="str">
            <v>ปังแถว</v>
          </cell>
          <cell r="C29">
            <v>0</v>
          </cell>
        </row>
        <row r="30">
          <cell r="B30" t="str">
            <v>คอนเฟล็ก</v>
          </cell>
          <cell r="C30">
            <v>17</v>
          </cell>
        </row>
        <row r="31">
          <cell r="B31" t="str">
            <v>เมอแรงค์</v>
          </cell>
          <cell r="C31">
            <v>0</v>
          </cell>
        </row>
        <row r="32">
          <cell r="B32" t="str">
            <v>ท๊อฟฟี่ถั่ว กล่อง</v>
          </cell>
          <cell r="C32">
            <v>0</v>
          </cell>
        </row>
        <row r="33">
          <cell r="B33" t="str">
            <v>แซนวิส</v>
          </cell>
          <cell r="C33">
            <v>0</v>
          </cell>
        </row>
        <row r="34">
          <cell r="B34" t="str">
            <v>ปังปลา กก.</v>
          </cell>
          <cell r="C34">
            <v>0</v>
          </cell>
        </row>
        <row r="35">
          <cell r="B35" t="str">
            <v>เศษขนมปังปลา</v>
          </cell>
          <cell r="C35">
            <v>10</v>
          </cell>
        </row>
        <row r="36">
          <cell r="B36" t="str">
            <v>ครีมฮอร์น</v>
          </cell>
          <cell r="C36">
            <v>0</v>
          </cell>
        </row>
        <row r="37">
          <cell r="B37" t="str">
            <v>เบาหวิว ญ</v>
          </cell>
          <cell r="C37">
            <v>8</v>
          </cell>
        </row>
        <row r="39">
          <cell r="B39" t="str">
            <v>ยอดรวม</v>
          </cell>
          <cell r="C39">
            <v>135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ออเดอร์จัดส่ง มี.ค. 68"/>
      <sheetName val="สรุป"/>
      <sheetName val="สรุปรายการสินค้า"/>
      <sheetName val="จำนวนกล่องตีกลับ"/>
      <sheetName val="Lazada"/>
      <sheetName val="Shopee"/>
      <sheetName val="TikTok"/>
      <sheetName val="ไปรษณีย์"/>
      <sheetName val="รายการสินค้าตีกลับ"/>
    </sheetNames>
    <sheetDataSet>
      <sheetData sheetId="0"/>
      <sheetData sheetId="1"/>
      <sheetData sheetId="2">
        <row r="2">
          <cell r="B2" t="str">
            <v>รายการ</v>
          </cell>
          <cell r="C2" t="str">
            <v>จำนวน</v>
          </cell>
        </row>
        <row r="3">
          <cell r="B3" t="str">
            <v>ชิฟฟอนแยกชิ้น (ไม่ไส้)</v>
          </cell>
          <cell r="C3">
            <v>0</v>
          </cell>
        </row>
        <row r="4">
          <cell r="B4" t="str">
            <v>ชิฟฟอนแยกชิ้น (ไส้)</v>
          </cell>
          <cell r="C4">
            <v>0</v>
          </cell>
        </row>
        <row r="5">
          <cell r="B5" t="str">
            <v>ชิฟฟอน 8 ชิ้น (ชมพู)</v>
          </cell>
          <cell r="C5">
            <v>12</v>
          </cell>
        </row>
        <row r="6">
          <cell r="B6" t="str">
            <v>ชิฟฟอนยอดฮิต</v>
          </cell>
          <cell r="C6">
            <v>6</v>
          </cell>
        </row>
        <row r="7">
          <cell r="B7" t="str">
            <v>ชิฟฟอนไส้แยม 6 ชิ้น</v>
          </cell>
          <cell r="C7">
            <v>5</v>
          </cell>
        </row>
        <row r="8">
          <cell r="B8" t="str">
            <v>ชิฟฟอน 4 ชิ้น</v>
          </cell>
          <cell r="C8">
            <v>0</v>
          </cell>
        </row>
        <row r="9">
          <cell r="B9" t="str">
            <v>ชิฟฟอนไส้แยม 3 ชิ้น</v>
          </cell>
          <cell r="C9">
            <v>6</v>
          </cell>
        </row>
        <row r="10">
          <cell r="B10" t="str">
            <v>เบาหวิว ล</v>
          </cell>
          <cell r="C10">
            <v>37</v>
          </cell>
        </row>
        <row r="11">
          <cell r="B11" t="str">
            <v>เปี๊ยะ 450 กรัม</v>
          </cell>
          <cell r="C11">
            <v>0</v>
          </cell>
        </row>
        <row r="12">
          <cell r="B12" t="str">
            <v>เค้กหวิวถาด</v>
          </cell>
          <cell r="C12">
            <v>2</v>
          </cell>
        </row>
        <row r="13">
          <cell r="B13" t="str">
            <v>เปี๊ยะ ล</v>
          </cell>
          <cell r="C13">
            <v>0</v>
          </cell>
        </row>
        <row r="14">
          <cell r="B14" t="str">
            <v>เปี๊ยะโมจิ ล</v>
          </cell>
          <cell r="C14">
            <v>0</v>
          </cell>
        </row>
        <row r="15">
          <cell r="B15" t="str">
            <v>เปี๊ยะ ญ</v>
          </cell>
          <cell r="C15">
            <v>0</v>
          </cell>
        </row>
        <row r="16">
          <cell r="B16" t="str">
            <v>เปี๊ยะโมจิ ญ</v>
          </cell>
          <cell r="C16">
            <v>0</v>
          </cell>
        </row>
        <row r="17">
          <cell r="B17" t="str">
            <v>พายสัปรด กล่อง</v>
          </cell>
          <cell r="C17">
            <v>0</v>
          </cell>
        </row>
        <row r="18">
          <cell r="B18" t="str">
            <v>พายสัปรด ชิ้น</v>
          </cell>
          <cell r="C18">
            <v>5</v>
          </cell>
        </row>
        <row r="19">
          <cell r="B19" t="str">
            <v>คุกกี้เนย</v>
          </cell>
          <cell r="C19">
            <v>0</v>
          </cell>
        </row>
        <row r="20">
          <cell r="B20" t="str">
            <v>คุกกี้เนย 4 ชิ้น/กล่อง</v>
          </cell>
          <cell r="C20">
            <v>0</v>
          </cell>
        </row>
        <row r="21">
          <cell r="B21" t="str">
            <v>ปังกรอบคาราเมล</v>
          </cell>
          <cell r="C21">
            <v>0</v>
          </cell>
        </row>
        <row r="22">
          <cell r="B22" t="str">
            <v>ปังเนยน้ำตาล</v>
          </cell>
          <cell r="C22">
            <v>0</v>
          </cell>
        </row>
        <row r="23">
          <cell r="B23" t="str">
            <v>ปังเนยนิ่ม กล่อง 2 ชิ้น</v>
          </cell>
          <cell r="C23">
            <v>0</v>
          </cell>
        </row>
        <row r="24">
          <cell r="B24" t="str">
            <v>ปังเนยนิ่ม กล่อง 3 ชิ้น</v>
          </cell>
          <cell r="C24">
            <v>0</v>
          </cell>
        </row>
        <row r="25">
          <cell r="B25" t="str">
            <v>ปังเนยนิ่มถุง5ชิ้น</v>
          </cell>
          <cell r="C25">
            <v>12</v>
          </cell>
        </row>
        <row r="26">
          <cell r="B26" t="str">
            <v>ปังสตรอบูล</v>
          </cell>
          <cell r="C26">
            <v>0</v>
          </cell>
        </row>
        <row r="27">
          <cell r="B27" t="str">
            <v>ปังไก่หยอง</v>
          </cell>
          <cell r="C27">
            <v>0</v>
          </cell>
        </row>
        <row r="28">
          <cell r="B28" t="str">
            <v>ปังทวิต</v>
          </cell>
          <cell r="C28">
            <v>0</v>
          </cell>
        </row>
        <row r="29">
          <cell r="B29" t="str">
            <v>ปังแถว</v>
          </cell>
          <cell r="C29">
            <v>0</v>
          </cell>
        </row>
        <row r="30">
          <cell r="B30" t="str">
            <v>คอนเฟล็ก</v>
          </cell>
          <cell r="C30">
            <v>0</v>
          </cell>
        </row>
        <row r="31">
          <cell r="B31" t="str">
            <v>เมอแรงค์</v>
          </cell>
          <cell r="C31">
            <v>0</v>
          </cell>
        </row>
        <row r="32">
          <cell r="B32" t="str">
            <v>ท๊อฟฟี่ถั่ว กล่อง</v>
          </cell>
          <cell r="C32">
            <v>0</v>
          </cell>
        </row>
        <row r="33">
          <cell r="B33" t="str">
            <v>แซนวิส</v>
          </cell>
          <cell r="C33">
            <v>0</v>
          </cell>
        </row>
        <row r="34">
          <cell r="B34" t="str">
            <v>ปังปลา กก.</v>
          </cell>
          <cell r="C34">
            <v>0</v>
          </cell>
        </row>
        <row r="35">
          <cell r="B35" t="str">
            <v>เศษขนมปังปลา</v>
          </cell>
          <cell r="C35">
            <v>0</v>
          </cell>
        </row>
        <row r="36">
          <cell r="B36" t="str">
            <v>ครีมฮอร์น</v>
          </cell>
          <cell r="C36">
            <v>0</v>
          </cell>
        </row>
        <row r="37">
          <cell r="B37" t="str">
            <v>เบาหวิว ญ</v>
          </cell>
          <cell r="C37">
            <v>7</v>
          </cell>
        </row>
        <row r="39">
          <cell r="B39" t="str">
            <v>ยอดรวม</v>
          </cell>
          <cell r="C39">
            <v>92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ออเดอร์จัดส่ง เม.ย. 68"/>
      <sheetName val="สรุป"/>
      <sheetName val="สรุปรายการสินค้า"/>
      <sheetName val="จำนวนกล่องตีกลับ"/>
      <sheetName val="Lazada"/>
      <sheetName val="Shopee"/>
      <sheetName val="TikTok"/>
      <sheetName val="ไปรษณีย์"/>
      <sheetName val="รายการสินค้าตีกลับ"/>
    </sheetNames>
    <sheetDataSet>
      <sheetData sheetId="0"/>
      <sheetData sheetId="1"/>
      <sheetData sheetId="2">
        <row r="2">
          <cell r="B2" t="str">
            <v>รายการ</v>
          </cell>
          <cell r="C2" t="str">
            <v>จำนวน</v>
          </cell>
        </row>
        <row r="3">
          <cell r="B3" t="str">
            <v>ชิฟฟอนแยกชิ้น (ไม่ไส้)</v>
          </cell>
          <cell r="C3">
            <v>0</v>
          </cell>
        </row>
        <row r="4">
          <cell r="B4" t="str">
            <v>ชิฟฟอนแยกชิ้น (ไส้)</v>
          </cell>
          <cell r="C4">
            <v>0</v>
          </cell>
        </row>
        <row r="5">
          <cell r="B5" t="str">
            <v>ชิฟฟอน 8 ชิ้น (ชมพู)</v>
          </cell>
          <cell r="C5">
            <v>8</v>
          </cell>
        </row>
        <row r="6">
          <cell r="B6" t="str">
            <v>ชิฟฟอนยอดฮิต</v>
          </cell>
          <cell r="C6">
            <v>4</v>
          </cell>
        </row>
        <row r="7">
          <cell r="B7" t="str">
            <v>ชิฟฟอนไส้แยม 6 ชิ้น</v>
          </cell>
          <cell r="C7">
            <v>0</v>
          </cell>
        </row>
        <row r="8">
          <cell r="B8" t="str">
            <v>ชิฟฟอน 4 ชิ้น</v>
          </cell>
          <cell r="C8">
            <v>14</v>
          </cell>
        </row>
        <row r="9">
          <cell r="B9" t="str">
            <v>ชิฟฟอนไส้แยม 3 ชิ้น</v>
          </cell>
          <cell r="C9">
            <v>22</v>
          </cell>
        </row>
        <row r="10">
          <cell r="B10" t="str">
            <v>เบาหวิว ล</v>
          </cell>
          <cell r="C10">
            <v>135</v>
          </cell>
        </row>
        <row r="11">
          <cell r="B11" t="str">
            <v>เปี๊ยะ 450 กรัม</v>
          </cell>
          <cell r="C11">
            <v>0</v>
          </cell>
        </row>
        <row r="12">
          <cell r="B12" t="str">
            <v>เค้กหวิวถาด</v>
          </cell>
          <cell r="C12">
            <v>0</v>
          </cell>
        </row>
        <row r="13">
          <cell r="B13" t="str">
            <v>เปี๊ยะ ล</v>
          </cell>
          <cell r="C13">
            <v>0</v>
          </cell>
        </row>
        <row r="14">
          <cell r="B14" t="str">
            <v>เปี๊ยะโมจิ ล</v>
          </cell>
          <cell r="C14">
            <v>0</v>
          </cell>
        </row>
        <row r="15">
          <cell r="B15" t="str">
            <v>เปี๊ยะ ญ</v>
          </cell>
          <cell r="C15">
            <v>0</v>
          </cell>
        </row>
        <row r="16">
          <cell r="B16" t="str">
            <v>เปี๊ยะโมจิ ญ</v>
          </cell>
          <cell r="C16">
            <v>0</v>
          </cell>
        </row>
        <row r="17">
          <cell r="B17" t="str">
            <v>พายสัปรด กล่อง</v>
          </cell>
          <cell r="C17">
            <v>0</v>
          </cell>
        </row>
        <row r="18">
          <cell r="B18" t="str">
            <v>พายสัปรด ชิ้น</v>
          </cell>
          <cell r="C18">
            <v>0</v>
          </cell>
        </row>
        <row r="19">
          <cell r="B19" t="str">
            <v>คุกกี้เนย</v>
          </cell>
          <cell r="C19">
            <v>0</v>
          </cell>
        </row>
        <row r="20">
          <cell r="B20" t="str">
            <v>คุกกี้เนย 4 ชิ้น/กล่อง</v>
          </cell>
          <cell r="C20">
            <v>0</v>
          </cell>
        </row>
        <row r="21">
          <cell r="B21" t="str">
            <v>ปังกรอบคาราเมล</v>
          </cell>
          <cell r="C21">
            <v>0</v>
          </cell>
        </row>
        <row r="22">
          <cell r="B22" t="str">
            <v>ปังเนยน้ำตาล</v>
          </cell>
          <cell r="C22">
            <v>0</v>
          </cell>
        </row>
        <row r="23">
          <cell r="B23" t="str">
            <v>ปังเนยนิ่ม กล่อง 2 ชิ้น</v>
          </cell>
          <cell r="C23">
            <v>0</v>
          </cell>
        </row>
        <row r="24">
          <cell r="B24" t="str">
            <v>ปังเนยนิ่ม กล่อง 3 ชิ้น</v>
          </cell>
          <cell r="C24">
            <v>0</v>
          </cell>
        </row>
        <row r="25">
          <cell r="B25" t="str">
            <v>ปังเนยนิ่มถุง5ชิ้น</v>
          </cell>
          <cell r="C25">
            <v>0</v>
          </cell>
        </row>
        <row r="26">
          <cell r="B26" t="str">
            <v>ปังสตรอบูล</v>
          </cell>
          <cell r="C26">
            <v>0</v>
          </cell>
        </row>
        <row r="27">
          <cell r="B27" t="str">
            <v>ปังไก่หยอง</v>
          </cell>
          <cell r="C27">
            <v>0</v>
          </cell>
        </row>
        <row r="28">
          <cell r="B28" t="str">
            <v>ปังทวิต</v>
          </cell>
          <cell r="C28">
            <v>0</v>
          </cell>
        </row>
        <row r="29">
          <cell r="B29" t="str">
            <v>ปังแถว</v>
          </cell>
          <cell r="C29">
            <v>4</v>
          </cell>
        </row>
        <row r="30">
          <cell r="B30" t="str">
            <v>คอนเฟล็ก</v>
          </cell>
          <cell r="C30">
            <v>0</v>
          </cell>
        </row>
        <row r="31">
          <cell r="B31" t="str">
            <v>เมอแรงค์</v>
          </cell>
          <cell r="C31">
            <v>0</v>
          </cell>
        </row>
        <row r="32">
          <cell r="B32" t="str">
            <v>ท๊อฟฟี่ถั่ว กล่อง</v>
          </cell>
          <cell r="C32">
            <v>0</v>
          </cell>
        </row>
        <row r="33">
          <cell r="B33" t="str">
            <v>แซนวิส</v>
          </cell>
          <cell r="C33">
            <v>0</v>
          </cell>
        </row>
        <row r="34">
          <cell r="B34" t="str">
            <v>ปังปลา กก.</v>
          </cell>
          <cell r="C34">
            <v>0</v>
          </cell>
        </row>
        <row r="35">
          <cell r="B35" t="str">
            <v>เศษขนมปังปลา</v>
          </cell>
          <cell r="C35">
            <v>5</v>
          </cell>
        </row>
        <row r="36">
          <cell r="B36" t="str">
            <v>ครีมฮอร์น</v>
          </cell>
          <cell r="C36">
            <v>188</v>
          </cell>
        </row>
        <row r="37">
          <cell r="B37" t="str">
            <v>เบาหวิว ญ</v>
          </cell>
          <cell r="C37">
            <v>0</v>
          </cell>
        </row>
        <row r="39">
          <cell r="B39" t="str">
            <v>ยอดรวม</v>
          </cell>
          <cell r="C39">
            <v>380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634A-0A7E-4A81-B98A-4720FD65B7BA}">
  <sheetPr>
    <tabColor rgb="FFFF99FF"/>
  </sheetPr>
  <dimension ref="A1:BB19"/>
  <sheetViews>
    <sheetView zoomScale="85" zoomScaleNormal="85" workbookViewId="0">
      <pane xSplit="11" ySplit="5" topLeftCell="AV6" activePane="bottomRight" state="frozen"/>
      <selection pane="topRight" activeCell="L1" sqref="L1"/>
      <selection pane="bottomLeft" activeCell="A6" sqref="A6"/>
      <selection pane="bottomRight" activeCell="BA18" sqref="BA18"/>
    </sheetView>
  </sheetViews>
  <sheetFormatPr defaultColWidth="6.8984375" defaultRowHeight="23.4" x14ac:dyDescent="0.6"/>
  <cols>
    <col min="1" max="1" width="10.69921875" style="5" bestFit="1" customWidth="1"/>
    <col min="2" max="2" width="12.19921875" style="5" customWidth="1"/>
    <col min="3" max="3" width="12.19921875" style="6" customWidth="1"/>
    <col min="4" max="4" width="12.19921875" style="5" customWidth="1"/>
    <col min="5" max="5" width="12.19921875" style="6" customWidth="1"/>
    <col min="6" max="6" width="12.19921875" style="5" customWidth="1"/>
    <col min="7" max="7" width="12.19921875" style="6" customWidth="1"/>
    <col min="8" max="8" width="12.19921875" style="5" customWidth="1"/>
    <col min="9" max="9" width="12.19921875" style="6" customWidth="1"/>
    <col min="10" max="10" width="12.19921875" style="5" customWidth="1"/>
    <col min="11" max="11" width="12.19921875" style="6" customWidth="1"/>
    <col min="12" max="12" width="12.19921875" style="5" customWidth="1"/>
    <col min="13" max="13" width="12.19921875" style="6" customWidth="1"/>
    <col min="14" max="14" width="12.19921875" style="5" customWidth="1"/>
    <col min="15" max="15" width="12.19921875" style="6" customWidth="1"/>
    <col min="16" max="16" width="12.19921875" style="5" customWidth="1"/>
    <col min="17" max="17" width="12.19921875" style="6" customWidth="1"/>
    <col min="18" max="18" width="12.19921875" style="5" customWidth="1"/>
    <col min="19" max="19" width="12.19921875" style="6" customWidth="1"/>
    <col min="20" max="20" width="12.19921875" style="5" customWidth="1"/>
    <col min="21" max="21" width="12.19921875" style="6" customWidth="1"/>
    <col min="22" max="22" width="12.19921875" style="5" customWidth="1"/>
    <col min="23" max="23" width="12.19921875" style="6" customWidth="1"/>
    <col min="24" max="24" width="12.19921875" style="5" customWidth="1"/>
    <col min="25" max="25" width="12.19921875" style="6" customWidth="1"/>
    <col min="26" max="26" width="12.19921875" style="5" customWidth="1"/>
    <col min="27" max="27" width="12.19921875" style="6" customWidth="1"/>
    <col min="28" max="28" width="12.19921875" style="5" customWidth="1"/>
    <col min="29" max="29" width="12.19921875" style="6" customWidth="1"/>
    <col min="30" max="30" width="12.19921875" style="5" customWidth="1"/>
    <col min="31" max="31" width="12.19921875" style="6" customWidth="1"/>
    <col min="32" max="32" width="12.19921875" style="5" customWidth="1"/>
    <col min="33" max="33" width="12.19921875" style="6" customWidth="1"/>
    <col min="34" max="34" width="12.19921875" style="5" customWidth="1"/>
    <col min="35" max="35" width="12.19921875" style="6" customWidth="1"/>
    <col min="36" max="36" width="12.19921875" style="5" customWidth="1"/>
    <col min="37" max="37" width="12.19921875" style="6" customWidth="1"/>
    <col min="38" max="38" width="12.19921875" style="5" customWidth="1"/>
    <col min="39" max="39" width="12.19921875" style="6" customWidth="1"/>
    <col min="40" max="40" width="12.19921875" style="5" customWidth="1"/>
    <col min="41" max="41" width="12.19921875" style="6" customWidth="1"/>
    <col min="42" max="42" width="12.19921875" style="5" customWidth="1"/>
    <col min="43" max="43" width="12.19921875" style="6" customWidth="1"/>
    <col min="44" max="44" width="12.19921875" style="5" customWidth="1"/>
    <col min="45" max="45" width="12.19921875" style="6" customWidth="1"/>
    <col min="46" max="46" width="12.19921875" style="5" customWidth="1"/>
    <col min="47" max="47" width="12.19921875" style="6" customWidth="1"/>
    <col min="48" max="48" width="12.19921875" style="5" customWidth="1"/>
    <col min="49" max="49" width="12.19921875" style="6" customWidth="1"/>
    <col min="50" max="50" width="12.19921875" style="5" customWidth="1"/>
    <col min="51" max="51" width="12.19921875" style="6" customWidth="1"/>
    <col min="52" max="52" width="12.19921875" style="5" customWidth="1"/>
    <col min="53" max="53" width="12.19921875" style="6" customWidth="1"/>
    <col min="54" max="54" width="4.59765625" style="5" bestFit="1" customWidth="1"/>
    <col min="55" max="16384" width="6.8984375" style="5"/>
  </cols>
  <sheetData>
    <row r="1" spans="1:54" ht="29.4" thickBot="1" x14ac:dyDescent="0.65">
      <c r="A1" s="66" t="s">
        <v>61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2"/>
      <c r="AN1" s="7"/>
    </row>
    <row r="2" spans="1:54" ht="31.5" customHeight="1" thickBot="1" x14ac:dyDescent="0.65">
      <c r="A2" s="83" t="s">
        <v>0</v>
      </c>
      <c r="B2" s="86" t="s">
        <v>15</v>
      </c>
      <c r="C2" s="87"/>
      <c r="D2" s="87"/>
      <c r="E2" s="87"/>
      <c r="F2" s="87"/>
      <c r="G2" s="87"/>
      <c r="H2" s="87"/>
      <c r="I2" s="87"/>
      <c r="J2" s="87"/>
      <c r="K2" s="87"/>
      <c r="L2" s="86" t="s">
        <v>15</v>
      </c>
      <c r="M2" s="87"/>
      <c r="N2" s="87"/>
      <c r="O2" s="87"/>
      <c r="P2" s="87"/>
      <c r="Q2" s="87"/>
      <c r="R2" s="87"/>
      <c r="S2" s="87"/>
      <c r="T2" s="87"/>
      <c r="U2" s="87"/>
      <c r="V2" s="86" t="s">
        <v>15</v>
      </c>
      <c r="W2" s="87"/>
      <c r="X2" s="87"/>
      <c r="Y2" s="87"/>
      <c r="Z2" s="87"/>
      <c r="AA2" s="87"/>
      <c r="AB2" s="87"/>
      <c r="AC2" s="87"/>
      <c r="AD2" s="87"/>
      <c r="AE2" s="87"/>
      <c r="AF2" s="86" t="s">
        <v>15</v>
      </c>
      <c r="AG2" s="87"/>
      <c r="AH2" s="87"/>
      <c r="AI2" s="87"/>
      <c r="AJ2" s="87"/>
      <c r="AK2" s="87"/>
      <c r="AL2" s="87"/>
      <c r="AM2" s="87"/>
      <c r="AN2" s="87"/>
      <c r="AO2" s="87"/>
      <c r="AP2" s="86" t="s">
        <v>15</v>
      </c>
      <c r="AQ2" s="87"/>
      <c r="AR2" s="87"/>
      <c r="AS2" s="87"/>
      <c r="AT2" s="87"/>
      <c r="AU2" s="87"/>
      <c r="AV2" s="87"/>
      <c r="AW2" s="87"/>
      <c r="AX2" s="87"/>
      <c r="AY2" s="88"/>
      <c r="AZ2" s="91" t="s">
        <v>28</v>
      </c>
      <c r="BA2" s="74" t="s">
        <v>29</v>
      </c>
    </row>
    <row r="3" spans="1:54" ht="26.4" customHeight="1" x14ac:dyDescent="0.6">
      <c r="A3" s="89"/>
      <c r="B3" s="94" t="s">
        <v>13</v>
      </c>
      <c r="C3" s="95"/>
      <c r="D3" s="95"/>
      <c r="E3" s="95"/>
      <c r="F3" s="95"/>
      <c r="G3" s="95"/>
      <c r="H3" s="95"/>
      <c r="I3" s="95"/>
      <c r="J3" s="95"/>
      <c r="K3" s="96"/>
      <c r="L3" s="97" t="s">
        <v>14</v>
      </c>
      <c r="M3" s="98"/>
      <c r="N3" s="98"/>
      <c r="O3" s="98"/>
      <c r="P3" s="98"/>
      <c r="Q3" s="98"/>
      <c r="R3" s="98"/>
      <c r="S3" s="98"/>
      <c r="T3" s="98"/>
      <c r="U3" s="99"/>
      <c r="V3" s="95" t="s">
        <v>27</v>
      </c>
      <c r="W3" s="95"/>
      <c r="X3" s="95"/>
      <c r="Y3" s="95"/>
      <c r="Z3" s="95"/>
      <c r="AA3" s="95"/>
      <c r="AB3" s="95"/>
      <c r="AC3" s="95"/>
      <c r="AD3" s="95"/>
      <c r="AE3" s="95"/>
      <c r="AF3" s="83" t="s">
        <v>17</v>
      </c>
      <c r="AG3" s="84"/>
      <c r="AH3" s="84"/>
      <c r="AI3" s="84"/>
      <c r="AJ3" s="84"/>
      <c r="AK3" s="84"/>
      <c r="AL3" s="84"/>
      <c r="AM3" s="84"/>
      <c r="AN3" s="84"/>
      <c r="AO3" s="85"/>
      <c r="AP3" s="83" t="s">
        <v>72</v>
      </c>
      <c r="AQ3" s="84"/>
      <c r="AR3" s="84"/>
      <c r="AS3" s="84"/>
      <c r="AT3" s="84"/>
      <c r="AU3" s="84"/>
      <c r="AV3" s="84"/>
      <c r="AW3" s="84"/>
      <c r="AX3" s="84"/>
      <c r="AY3" s="85"/>
      <c r="AZ3" s="92"/>
      <c r="BA3" s="75"/>
    </row>
    <row r="4" spans="1:54" ht="26.4" customHeight="1" x14ac:dyDescent="0.6">
      <c r="A4" s="89"/>
      <c r="B4" s="71" t="s">
        <v>21</v>
      </c>
      <c r="C4" s="72"/>
      <c r="D4" s="73" t="s">
        <v>22</v>
      </c>
      <c r="E4" s="73"/>
      <c r="F4" s="77" t="s">
        <v>23</v>
      </c>
      <c r="G4" s="77"/>
      <c r="H4" s="78" t="s">
        <v>24</v>
      </c>
      <c r="I4" s="78"/>
      <c r="J4" s="79" t="s">
        <v>16</v>
      </c>
      <c r="K4" s="81" t="s">
        <v>25</v>
      </c>
      <c r="L4" s="71" t="s">
        <v>21</v>
      </c>
      <c r="M4" s="72"/>
      <c r="N4" s="73" t="s">
        <v>22</v>
      </c>
      <c r="O4" s="73"/>
      <c r="P4" s="77" t="s">
        <v>23</v>
      </c>
      <c r="Q4" s="77"/>
      <c r="R4" s="78" t="s">
        <v>24</v>
      </c>
      <c r="S4" s="78"/>
      <c r="T4" s="79" t="s">
        <v>16</v>
      </c>
      <c r="U4" s="81" t="s">
        <v>25</v>
      </c>
      <c r="V4" s="71" t="s">
        <v>21</v>
      </c>
      <c r="W4" s="72"/>
      <c r="X4" s="73" t="s">
        <v>22</v>
      </c>
      <c r="Y4" s="73"/>
      <c r="Z4" s="77" t="s">
        <v>23</v>
      </c>
      <c r="AA4" s="77"/>
      <c r="AB4" s="78" t="s">
        <v>24</v>
      </c>
      <c r="AC4" s="78"/>
      <c r="AD4" s="79" t="s">
        <v>16</v>
      </c>
      <c r="AE4" s="81" t="s">
        <v>25</v>
      </c>
      <c r="AF4" s="71" t="s">
        <v>21</v>
      </c>
      <c r="AG4" s="72"/>
      <c r="AH4" s="73" t="s">
        <v>22</v>
      </c>
      <c r="AI4" s="73"/>
      <c r="AJ4" s="77" t="s">
        <v>23</v>
      </c>
      <c r="AK4" s="77"/>
      <c r="AL4" s="78" t="s">
        <v>24</v>
      </c>
      <c r="AM4" s="78"/>
      <c r="AN4" s="79" t="s">
        <v>16</v>
      </c>
      <c r="AO4" s="81" t="s">
        <v>25</v>
      </c>
      <c r="AP4" s="71" t="s">
        <v>21</v>
      </c>
      <c r="AQ4" s="72"/>
      <c r="AR4" s="73" t="s">
        <v>22</v>
      </c>
      <c r="AS4" s="73"/>
      <c r="AT4" s="77" t="s">
        <v>23</v>
      </c>
      <c r="AU4" s="77"/>
      <c r="AV4" s="78" t="s">
        <v>24</v>
      </c>
      <c r="AW4" s="78"/>
      <c r="AX4" s="79" t="s">
        <v>16</v>
      </c>
      <c r="AY4" s="81" t="s">
        <v>25</v>
      </c>
      <c r="AZ4" s="92"/>
      <c r="BA4" s="75"/>
    </row>
    <row r="5" spans="1:54" ht="27" thickBot="1" x14ac:dyDescent="0.65">
      <c r="A5" s="90"/>
      <c r="B5" s="24" t="s">
        <v>19</v>
      </c>
      <c r="C5" s="17" t="s">
        <v>20</v>
      </c>
      <c r="D5" s="18" t="s">
        <v>19</v>
      </c>
      <c r="E5" s="19" t="s">
        <v>20</v>
      </c>
      <c r="F5" s="20" t="s">
        <v>19</v>
      </c>
      <c r="G5" s="21" t="s">
        <v>20</v>
      </c>
      <c r="H5" s="22" t="s">
        <v>19</v>
      </c>
      <c r="I5" s="23" t="s">
        <v>20</v>
      </c>
      <c r="J5" s="80"/>
      <c r="K5" s="82"/>
      <c r="L5" s="24" t="s">
        <v>19</v>
      </c>
      <c r="M5" s="17" t="s">
        <v>20</v>
      </c>
      <c r="N5" s="18" t="s">
        <v>19</v>
      </c>
      <c r="O5" s="19" t="s">
        <v>20</v>
      </c>
      <c r="P5" s="20" t="s">
        <v>19</v>
      </c>
      <c r="Q5" s="21" t="s">
        <v>20</v>
      </c>
      <c r="R5" s="22" t="s">
        <v>19</v>
      </c>
      <c r="S5" s="23" t="s">
        <v>20</v>
      </c>
      <c r="T5" s="80"/>
      <c r="U5" s="82"/>
      <c r="V5" s="24" t="s">
        <v>19</v>
      </c>
      <c r="W5" s="17" t="s">
        <v>20</v>
      </c>
      <c r="X5" s="18" t="s">
        <v>19</v>
      </c>
      <c r="Y5" s="19" t="s">
        <v>20</v>
      </c>
      <c r="Z5" s="20" t="s">
        <v>19</v>
      </c>
      <c r="AA5" s="21" t="s">
        <v>20</v>
      </c>
      <c r="AB5" s="22" t="s">
        <v>19</v>
      </c>
      <c r="AC5" s="23" t="s">
        <v>20</v>
      </c>
      <c r="AD5" s="80"/>
      <c r="AE5" s="82"/>
      <c r="AF5" s="24" t="s">
        <v>19</v>
      </c>
      <c r="AG5" s="17" t="s">
        <v>20</v>
      </c>
      <c r="AH5" s="18" t="s">
        <v>19</v>
      </c>
      <c r="AI5" s="19" t="s">
        <v>20</v>
      </c>
      <c r="AJ5" s="20" t="s">
        <v>19</v>
      </c>
      <c r="AK5" s="21" t="s">
        <v>20</v>
      </c>
      <c r="AL5" s="22" t="s">
        <v>19</v>
      </c>
      <c r="AM5" s="23" t="s">
        <v>20</v>
      </c>
      <c r="AN5" s="80"/>
      <c r="AO5" s="82"/>
      <c r="AP5" s="24" t="s">
        <v>19</v>
      </c>
      <c r="AQ5" s="17" t="s">
        <v>20</v>
      </c>
      <c r="AR5" s="18" t="s">
        <v>19</v>
      </c>
      <c r="AS5" s="19" t="s">
        <v>20</v>
      </c>
      <c r="AT5" s="20" t="s">
        <v>19</v>
      </c>
      <c r="AU5" s="21" t="s">
        <v>20</v>
      </c>
      <c r="AV5" s="22" t="s">
        <v>19</v>
      </c>
      <c r="AW5" s="23" t="s">
        <v>20</v>
      </c>
      <c r="AX5" s="80"/>
      <c r="AY5" s="82"/>
      <c r="AZ5" s="93"/>
      <c r="BA5" s="76"/>
    </row>
    <row r="6" spans="1:54" ht="23.4" customHeight="1" x14ac:dyDescent="0.6">
      <c r="A6" s="13" t="s">
        <v>1</v>
      </c>
      <c r="B6" s="14">
        <v>4</v>
      </c>
      <c r="C6" s="31">
        <v>2016.37</v>
      </c>
      <c r="D6" s="14">
        <v>6</v>
      </c>
      <c r="E6" s="15">
        <v>2795</v>
      </c>
      <c r="F6" s="14">
        <v>121</v>
      </c>
      <c r="G6" s="15">
        <v>24884</v>
      </c>
      <c r="H6" s="14">
        <v>16</v>
      </c>
      <c r="I6" s="15">
        <v>10985.48</v>
      </c>
      <c r="J6" s="16">
        <f>+B6+D6+F6+H6</f>
        <v>147</v>
      </c>
      <c r="K6" s="25">
        <f>+C6+E6+G6+I6</f>
        <v>40680.85</v>
      </c>
      <c r="L6" s="14">
        <v>0</v>
      </c>
      <c r="M6" s="15">
        <v>0</v>
      </c>
      <c r="N6" s="14">
        <v>0</v>
      </c>
      <c r="O6" s="15">
        <v>0</v>
      </c>
      <c r="P6" s="14">
        <v>4</v>
      </c>
      <c r="Q6" s="15">
        <v>641</v>
      </c>
      <c r="R6" s="14">
        <v>4</v>
      </c>
      <c r="S6" s="15">
        <v>1599</v>
      </c>
      <c r="T6" s="16">
        <f>+L6+N6+P6+R6</f>
        <v>8</v>
      </c>
      <c r="U6" s="25">
        <f>+M6+O6+Q6+S6</f>
        <v>2240</v>
      </c>
      <c r="V6" s="14">
        <v>0</v>
      </c>
      <c r="W6" s="15">
        <v>0</v>
      </c>
      <c r="X6" s="14">
        <v>0</v>
      </c>
      <c r="Y6" s="15">
        <v>0</v>
      </c>
      <c r="Z6" s="14">
        <v>0</v>
      </c>
      <c r="AA6" s="15">
        <v>0</v>
      </c>
      <c r="AB6" s="14">
        <v>0</v>
      </c>
      <c r="AC6" s="15">
        <v>0</v>
      </c>
      <c r="AD6" s="16">
        <f>+V6+X6+Z6+AB6</f>
        <v>0</v>
      </c>
      <c r="AE6" s="25">
        <f>+W6+Y6+AA6+AC6</f>
        <v>0</v>
      </c>
      <c r="AF6" s="14">
        <v>0</v>
      </c>
      <c r="AG6" s="15">
        <v>0</v>
      </c>
      <c r="AH6" s="14">
        <v>0</v>
      </c>
      <c r="AI6" s="15">
        <v>0</v>
      </c>
      <c r="AJ6" s="14">
        <v>7</v>
      </c>
      <c r="AK6" s="15">
        <v>2300</v>
      </c>
      <c r="AL6" s="14">
        <v>0</v>
      </c>
      <c r="AM6" s="15">
        <v>0</v>
      </c>
      <c r="AN6" s="16">
        <f>+AF6+AH6+AJ6+AL6</f>
        <v>7</v>
      </c>
      <c r="AO6" s="25">
        <f>+AG6+AI6+AK6+AM6</f>
        <v>2300</v>
      </c>
      <c r="AP6" s="14">
        <v>0</v>
      </c>
      <c r="AQ6" s="15">
        <v>0</v>
      </c>
      <c r="AR6" s="14">
        <v>0</v>
      </c>
      <c r="AS6" s="15">
        <v>0</v>
      </c>
      <c r="AT6" s="14">
        <v>0</v>
      </c>
      <c r="AU6" s="15">
        <v>0</v>
      </c>
      <c r="AV6" s="14">
        <v>1</v>
      </c>
      <c r="AW6" s="15">
        <v>4100</v>
      </c>
      <c r="AX6" s="16">
        <f>+AP6+AR6+AT6+AV6</f>
        <v>1</v>
      </c>
      <c r="AY6" s="25">
        <f>+AQ6+AS6+AU6+AW6</f>
        <v>4100</v>
      </c>
      <c r="AZ6" s="27">
        <f>+J6+T6+AD6+AN6+AX6</f>
        <v>163</v>
      </c>
      <c r="BA6" s="28">
        <f>+K6+U6+AE6+AO6+AY6</f>
        <v>49320.85</v>
      </c>
      <c r="BB6" s="8" t="s">
        <v>18</v>
      </c>
    </row>
    <row r="7" spans="1:54" x14ac:dyDescent="0.6">
      <c r="A7" s="1" t="s">
        <v>2</v>
      </c>
      <c r="B7" s="10">
        <v>4</v>
      </c>
      <c r="C7" s="32">
        <v>818.49</v>
      </c>
      <c r="D7" s="10">
        <v>4</v>
      </c>
      <c r="E7" s="11">
        <v>1161</v>
      </c>
      <c r="F7" s="10">
        <v>5</v>
      </c>
      <c r="G7" s="11">
        <v>521</v>
      </c>
      <c r="H7" s="10">
        <v>6</v>
      </c>
      <c r="I7" s="11">
        <v>6900</v>
      </c>
      <c r="J7" s="12">
        <f t="shared" ref="J7:J17" si="0">+B7+D7+F7+H7</f>
        <v>19</v>
      </c>
      <c r="K7" s="26">
        <f t="shared" ref="K7:K17" si="1">+C7+E7+G7+I7</f>
        <v>9400.49</v>
      </c>
      <c r="L7" s="10">
        <v>0</v>
      </c>
      <c r="M7" s="11">
        <v>0</v>
      </c>
      <c r="N7" s="10">
        <v>0</v>
      </c>
      <c r="O7" s="11">
        <v>0</v>
      </c>
      <c r="P7" s="10">
        <v>1</v>
      </c>
      <c r="Q7" s="11">
        <v>200</v>
      </c>
      <c r="R7" s="10">
        <v>2</v>
      </c>
      <c r="S7" s="11">
        <v>510</v>
      </c>
      <c r="T7" s="12">
        <f t="shared" ref="T7:T17" si="2">+L7+N7+P7+R7</f>
        <v>3</v>
      </c>
      <c r="U7" s="26">
        <f t="shared" ref="U7:U17" si="3">+M7+O7+Q7+S7</f>
        <v>710</v>
      </c>
      <c r="V7" s="10">
        <v>0</v>
      </c>
      <c r="W7" s="11">
        <v>0</v>
      </c>
      <c r="X7" s="10">
        <v>0</v>
      </c>
      <c r="Y7" s="11">
        <v>0</v>
      </c>
      <c r="Z7" s="10">
        <v>0</v>
      </c>
      <c r="AA7" s="11">
        <v>0</v>
      </c>
      <c r="AB7" s="10">
        <v>0</v>
      </c>
      <c r="AC7" s="11">
        <v>0</v>
      </c>
      <c r="AD7" s="12">
        <f t="shared" ref="AD7:AD17" si="4">+V7+X7+Z7+AB7</f>
        <v>0</v>
      </c>
      <c r="AE7" s="26">
        <f t="shared" ref="AE7:AE17" si="5">+W7+Y7+AA7+AC7</f>
        <v>0</v>
      </c>
      <c r="AF7" s="10">
        <v>0</v>
      </c>
      <c r="AG7" s="11">
        <v>0</v>
      </c>
      <c r="AH7" s="10">
        <v>0</v>
      </c>
      <c r="AI7" s="11">
        <v>0</v>
      </c>
      <c r="AJ7" s="10">
        <v>0</v>
      </c>
      <c r="AK7" s="11">
        <v>0</v>
      </c>
      <c r="AL7" s="10">
        <v>0</v>
      </c>
      <c r="AM7" s="11">
        <v>0</v>
      </c>
      <c r="AN7" s="12">
        <f t="shared" ref="AN7:AN17" si="6">+AF7+AH7+AJ7+AL7</f>
        <v>0</v>
      </c>
      <c r="AO7" s="26">
        <f t="shared" ref="AO7:AO17" si="7">+AG7+AI7+AK7+AM7</f>
        <v>0</v>
      </c>
      <c r="AP7" s="10">
        <v>0</v>
      </c>
      <c r="AQ7" s="11">
        <v>0</v>
      </c>
      <c r="AR7" s="10">
        <v>0</v>
      </c>
      <c r="AS7" s="11">
        <v>0</v>
      </c>
      <c r="AT7" s="10">
        <v>0</v>
      </c>
      <c r="AU7" s="11">
        <v>0</v>
      </c>
      <c r="AV7" s="10">
        <v>0</v>
      </c>
      <c r="AW7" s="11">
        <v>0</v>
      </c>
      <c r="AX7" s="12">
        <f t="shared" ref="AX7:AX17" si="8">+AP7+AR7+AT7+AV7</f>
        <v>0</v>
      </c>
      <c r="AY7" s="26">
        <f t="shared" ref="AY7:AY17" si="9">+AQ7+AS7+AU7+AW7</f>
        <v>0</v>
      </c>
      <c r="AZ7" s="29">
        <f t="shared" ref="AZ7:AZ17" si="10">+J7+T7+AD7+AN7+AX7</f>
        <v>22</v>
      </c>
      <c r="BA7" s="30">
        <f t="shared" ref="BA7:BA17" si="11">+K7+U7+AE7+AO7+AY7</f>
        <v>10110.49</v>
      </c>
      <c r="BB7" s="8" t="s">
        <v>18</v>
      </c>
    </row>
    <row r="8" spans="1:54" x14ac:dyDescent="0.6">
      <c r="A8" s="1" t="s">
        <v>3</v>
      </c>
      <c r="B8" s="10">
        <v>1</v>
      </c>
      <c r="C8" s="32">
        <v>205.74</v>
      </c>
      <c r="D8" s="10">
        <v>2</v>
      </c>
      <c r="E8" s="11">
        <v>285</v>
      </c>
      <c r="F8" s="10">
        <v>14</v>
      </c>
      <c r="G8" s="11">
        <v>2259</v>
      </c>
      <c r="H8" s="10">
        <v>6</v>
      </c>
      <c r="I8" s="11">
        <v>1633</v>
      </c>
      <c r="J8" s="12">
        <f t="shared" si="0"/>
        <v>23</v>
      </c>
      <c r="K8" s="26">
        <f t="shared" si="1"/>
        <v>4382.74</v>
      </c>
      <c r="L8" s="10">
        <v>0</v>
      </c>
      <c r="M8" s="11">
        <v>0</v>
      </c>
      <c r="N8" s="10">
        <v>0</v>
      </c>
      <c r="O8" s="11">
        <v>0</v>
      </c>
      <c r="P8" s="10">
        <v>1</v>
      </c>
      <c r="Q8" s="11">
        <v>108</v>
      </c>
      <c r="R8" s="10">
        <v>4</v>
      </c>
      <c r="S8" s="11">
        <v>878</v>
      </c>
      <c r="T8" s="12">
        <f t="shared" si="2"/>
        <v>5</v>
      </c>
      <c r="U8" s="26">
        <f t="shared" si="3"/>
        <v>986</v>
      </c>
      <c r="V8" s="10">
        <v>0</v>
      </c>
      <c r="W8" s="11">
        <v>0</v>
      </c>
      <c r="X8" s="10">
        <v>0</v>
      </c>
      <c r="Y8" s="11">
        <v>0</v>
      </c>
      <c r="Z8" s="10">
        <v>0</v>
      </c>
      <c r="AA8" s="11">
        <v>0</v>
      </c>
      <c r="AB8" s="10">
        <v>0</v>
      </c>
      <c r="AC8" s="11">
        <v>0</v>
      </c>
      <c r="AD8" s="12">
        <f t="shared" si="4"/>
        <v>0</v>
      </c>
      <c r="AE8" s="26">
        <f t="shared" si="5"/>
        <v>0</v>
      </c>
      <c r="AF8" s="10">
        <v>0</v>
      </c>
      <c r="AG8" s="11">
        <v>0</v>
      </c>
      <c r="AH8" s="10">
        <v>0</v>
      </c>
      <c r="AI8" s="11">
        <v>0</v>
      </c>
      <c r="AJ8" s="10">
        <v>0</v>
      </c>
      <c r="AK8" s="11">
        <v>0</v>
      </c>
      <c r="AL8" s="10">
        <v>0</v>
      </c>
      <c r="AM8" s="11">
        <v>0</v>
      </c>
      <c r="AN8" s="12">
        <f t="shared" si="6"/>
        <v>0</v>
      </c>
      <c r="AO8" s="26">
        <f t="shared" si="7"/>
        <v>0</v>
      </c>
      <c r="AP8" s="10">
        <v>0</v>
      </c>
      <c r="AQ8" s="11">
        <v>0</v>
      </c>
      <c r="AR8" s="10">
        <v>0</v>
      </c>
      <c r="AS8" s="11">
        <v>0</v>
      </c>
      <c r="AT8" s="10">
        <v>0</v>
      </c>
      <c r="AU8" s="11">
        <v>0</v>
      </c>
      <c r="AV8" s="10">
        <v>0</v>
      </c>
      <c r="AW8" s="11">
        <v>0</v>
      </c>
      <c r="AX8" s="12">
        <f t="shared" si="8"/>
        <v>0</v>
      </c>
      <c r="AY8" s="26">
        <f t="shared" si="9"/>
        <v>0</v>
      </c>
      <c r="AZ8" s="29">
        <f t="shared" si="10"/>
        <v>28</v>
      </c>
      <c r="BA8" s="30">
        <f t="shared" si="11"/>
        <v>5368.74</v>
      </c>
      <c r="BB8" s="8" t="s">
        <v>18</v>
      </c>
    </row>
    <row r="9" spans="1:54" x14ac:dyDescent="0.6">
      <c r="A9" s="1" t="s">
        <v>4</v>
      </c>
      <c r="B9" s="10">
        <v>2</v>
      </c>
      <c r="C9" s="32">
        <v>322</v>
      </c>
      <c r="D9" s="10">
        <v>7</v>
      </c>
      <c r="E9" s="11">
        <v>1154</v>
      </c>
      <c r="F9" s="10">
        <v>73</v>
      </c>
      <c r="G9" s="11">
        <v>11714</v>
      </c>
      <c r="H9" s="10">
        <v>4</v>
      </c>
      <c r="I9" s="11">
        <v>1076</v>
      </c>
      <c r="J9" s="12">
        <f t="shared" si="0"/>
        <v>86</v>
      </c>
      <c r="K9" s="26">
        <f t="shared" si="1"/>
        <v>14266</v>
      </c>
      <c r="L9" s="10">
        <v>0</v>
      </c>
      <c r="M9" s="11">
        <v>0</v>
      </c>
      <c r="N9" s="10">
        <v>0</v>
      </c>
      <c r="O9" s="11">
        <v>0</v>
      </c>
      <c r="P9" s="10">
        <v>2</v>
      </c>
      <c r="Q9" s="11">
        <v>430</v>
      </c>
      <c r="R9" s="10">
        <v>4</v>
      </c>
      <c r="S9" s="11">
        <v>859</v>
      </c>
      <c r="T9" s="12">
        <f t="shared" si="2"/>
        <v>6</v>
      </c>
      <c r="U9" s="26">
        <f t="shared" si="3"/>
        <v>1289</v>
      </c>
      <c r="V9" s="10">
        <v>0</v>
      </c>
      <c r="W9" s="11">
        <v>0</v>
      </c>
      <c r="X9" s="10">
        <v>0</v>
      </c>
      <c r="Y9" s="11">
        <v>0</v>
      </c>
      <c r="Z9" s="10">
        <v>0</v>
      </c>
      <c r="AA9" s="11">
        <v>0</v>
      </c>
      <c r="AB9" s="10">
        <v>0</v>
      </c>
      <c r="AC9" s="11">
        <v>0</v>
      </c>
      <c r="AD9" s="12">
        <f t="shared" si="4"/>
        <v>0</v>
      </c>
      <c r="AE9" s="26">
        <f t="shared" si="5"/>
        <v>0</v>
      </c>
      <c r="AF9" s="10">
        <v>0</v>
      </c>
      <c r="AG9" s="11">
        <v>0</v>
      </c>
      <c r="AH9" s="10">
        <v>0</v>
      </c>
      <c r="AI9" s="11">
        <v>0</v>
      </c>
      <c r="AJ9" s="10">
        <v>0</v>
      </c>
      <c r="AK9" s="11">
        <v>0</v>
      </c>
      <c r="AL9" s="10">
        <v>0</v>
      </c>
      <c r="AM9" s="11">
        <v>0</v>
      </c>
      <c r="AN9" s="12">
        <f t="shared" si="6"/>
        <v>0</v>
      </c>
      <c r="AO9" s="26">
        <f t="shared" si="7"/>
        <v>0</v>
      </c>
      <c r="AP9" s="10">
        <v>0</v>
      </c>
      <c r="AQ9" s="11">
        <v>0</v>
      </c>
      <c r="AR9" s="10">
        <v>0</v>
      </c>
      <c r="AS9" s="11">
        <v>0</v>
      </c>
      <c r="AT9" s="10">
        <v>0</v>
      </c>
      <c r="AU9" s="11">
        <v>0</v>
      </c>
      <c r="AV9" s="10">
        <v>0</v>
      </c>
      <c r="AW9" s="11">
        <v>0</v>
      </c>
      <c r="AX9" s="12">
        <f t="shared" si="8"/>
        <v>0</v>
      </c>
      <c r="AY9" s="26">
        <f t="shared" si="9"/>
        <v>0</v>
      </c>
      <c r="AZ9" s="29">
        <f t="shared" si="10"/>
        <v>92</v>
      </c>
      <c r="BA9" s="30">
        <f t="shared" si="11"/>
        <v>15555</v>
      </c>
      <c r="BB9" s="8" t="s">
        <v>18</v>
      </c>
    </row>
    <row r="10" spans="1:54" x14ac:dyDescent="0.6">
      <c r="A10" s="1" t="s">
        <v>5</v>
      </c>
      <c r="B10" s="10">
        <v>0</v>
      </c>
      <c r="C10" s="32">
        <v>0</v>
      </c>
      <c r="D10" s="10">
        <v>1</v>
      </c>
      <c r="E10" s="11">
        <v>853</v>
      </c>
      <c r="F10" s="10">
        <v>91</v>
      </c>
      <c r="G10" s="11">
        <v>13910.1</v>
      </c>
      <c r="H10" s="10">
        <v>2</v>
      </c>
      <c r="I10" s="11">
        <v>430</v>
      </c>
      <c r="J10" s="12">
        <f t="shared" si="0"/>
        <v>94</v>
      </c>
      <c r="K10" s="26">
        <f t="shared" si="1"/>
        <v>15193.1</v>
      </c>
      <c r="L10" s="10">
        <v>0</v>
      </c>
      <c r="M10" s="11">
        <v>0</v>
      </c>
      <c r="N10" s="10">
        <v>0</v>
      </c>
      <c r="O10" s="11">
        <v>0</v>
      </c>
      <c r="P10" s="10">
        <v>0</v>
      </c>
      <c r="Q10" s="11">
        <v>0</v>
      </c>
      <c r="R10" s="10">
        <v>0</v>
      </c>
      <c r="S10" s="11">
        <v>0</v>
      </c>
      <c r="T10" s="12">
        <f t="shared" si="2"/>
        <v>0</v>
      </c>
      <c r="U10" s="26">
        <f t="shared" si="3"/>
        <v>0</v>
      </c>
      <c r="V10" s="10">
        <v>0</v>
      </c>
      <c r="W10" s="11">
        <v>0</v>
      </c>
      <c r="X10" s="10">
        <v>0</v>
      </c>
      <c r="Y10" s="11">
        <v>0</v>
      </c>
      <c r="Z10" s="10">
        <v>0</v>
      </c>
      <c r="AA10" s="11">
        <v>0</v>
      </c>
      <c r="AB10" s="10">
        <v>0</v>
      </c>
      <c r="AC10" s="11">
        <v>0</v>
      </c>
      <c r="AD10" s="12">
        <f t="shared" si="4"/>
        <v>0</v>
      </c>
      <c r="AE10" s="26">
        <f t="shared" si="5"/>
        <v>0</v>
      </c>
      <c r="AF10" s="10">
        <v>0</v>
      </c>
      <c r="AG10" s="11">
        <v>0</v>
      </c>
      <c r="AH10" s="10">
        <v>0</v>
      </c>
      <c r="AI10" s="11">
        <v>0</v>
      </c>
      <c r="AJ10" s="10">
        <v>3</v>
      </c>
      <c r="AK10" s="11">
        <v>959</v>
      </c>
      <c r="AL10" s="10">
        <v>0</v>
      </c>
      <c r="AM10" s="11">
        <v>0</v>
      </c>
      <c r="AN10" s="12">
        <f t="shared" si="6"/>
        <v>3</v>
      </c>
      <c r="AO10" s="26">
        <f t="shared" si="7"/>
        <v>959</v>
      </c>
      <c r="AP10" s="10">
        <v>0</v>
      </c>
      <c r="AQ10" s="11">
        <v>0</v>
      </c>
      <c r="AR10" s="10">
        <v>0</v>
      </c>
      <c r="AS10" s="11">
        <v>0</v>
      </c>
      <c r="AT10" s="10">
        <v>0</v>
      </c>
      <c r="AU10" s="11">
        <v>0</v>
      </c>
      <c r="AV10" s="10">
        <v>0</v>
      </c>
      <c r="AW10" s="11">
        <v>0</v>
      </c>
      <c r="AX10" s="12">
        <f t="shared" si="8"/>
        <v>0</v>
      </c>
      <c r="AY10" s="26">
        <f t="shared" si="9"/>
        <v>0</v>
      </c>
      <c r="AZ10" s="29">
        <f t="shared" si="10"/>
        <v>97</v>
      </c>
      <c r="BA10" s="30">
        <f t="shared" si="11"/>
        <v>16152.1</v>
      </c>
      <c r="BB10" s="8" t="s">
        <v>18</v>
      </c>
    </row>
    <row r="11" spans="1:54" x14ac:dyDescent="0.6">
      <c r="A11" s="1" t="s">
        <v>6</v>
      </c>
      <c r="B11" s="10">
        <v>4</v>
      </c>
      <c r="C11" s="32">
        <v>714.75</v>
      </c>
      <c r="D11" s="10">
        <v>6</v>
      </c>
      <c r="E11" s="11">
        <v>1808</v>
      </c>
      <c r="F11" s="10">
        <v>112</v>
      </c>
      <c r="G11" s="11">
        <v>18066.8</v>
      </c>
      <c r="H11" s="10">
        <v>9</v>
      </c>
      <c r="I11" s="11">
        <v>1835</v>
      </c>
      <c r="J11" s="12">
        <f t="shared" si="0"/>
        <v>131</v>
      </c>
      <c r="K11" s="26">
        <f t="shared" si="1"/>
        <v>22424.55</v>
      </c>
      <c r="L11" s="10">
        <v>0</v>
      </c>
      <c r="M11" s="11">
        <v>0</v>
      </c>
      <c r="N11" s="10">
        <v>0</v>
      </c>
      <c r="O11" s="11">
        <v>0</v>
      </c>
      <c r="P11" s="10">
        <v>7</v>
      </c>
      <c r="Q11" s="11">
        <v>1122</v>
      </c>
      <c r="R11" s="10">
        <v>4</v>
      </c>
      <c r="S11" s="11">
        <v>894</v>
      </c>
      <c r="T11" s="12">
        <f t="shared" si="2"/>
        <v>11</v>
      </c>
      <c r="U11" s="26">
        <f t="shared" si="3"/>
        <v>2016</v>
      </c>
      <c r="V11" s="10">
        <v>0</v>
      </c>
      <c r="W11" s="11">
        <v>0</v>
      </c>
      <c r="X11" s="10">
        <v>0</v>
      </c>
      <c r="Y11" s="11">
        <v>0</v>
      </c>
      <c r="Z11" s="10">
        <v>0</v>
      </c>
      <c r="AA11" s="11">
        <v>0</v>
      </c>
      <c r="AB11" s="10">
        <v>0</v>
      </c>
      <c r="AC11" s="11">
        <v>0</v>
      </c>
      <c r="AD11" s="12">
        <f t="shared" si="4"/>
        <v>0</v>
      </c>
      <c r="AE11" s="26">
        <f t="shared" si="5"/>
        <v>0</v>
      </c>
      <c r="AF11" s="10">
        <v>0</v>
      </c>
      <c r="AG11" s="11">
        <v>0</v>
      </c>
      <c r="AH11" s="10">
        <v>0</v>
      </c>
      <c r="AI11" s="11">
        <v>0</v>
      </c>
      <c r="AJ11" s="10">
        <v>8</v>
      </c>
      <c r="AK11" s="11">
        <v>1034</v>
      </c>
      <c r="AL11" s="10">
        <v>0</v>
      </c>
      <c r="AM11" s="11">
        <v>0</v>
      </c>
      <c r="AN11" s="12">
        <f t="shared" si="6"/>
        <v>8</v>
      </c>
      <c r="AO11" s="26">
        <f t="shared" si="7"/>
        <v>1034</v>
      </c>
      <c r="AP11" s="10">
        <v>0</v>
      </c>
      <c r="AQ11" s="11">
        <v>0</v>
      </c>
      <c r="AR11" s="10">
        <v>0</v>
      </c>
      <c r="AS11" s="11">
        <v>0</v>
      </c>
      <c r="AT11" s="10">
        <v>0</v>
      </c>
      <c r="AU11" s="11">
        <v>0</v>
      </c>
      <c r="AV11" s="10">
        <v>0</v>
      </c>
      <c r="AW11" s="11">
        <v>0</v>
      </c>
      <c r="AX11" s="12">
        <f t="shared" si="8"/>
        <v>0</v>
      </c>
      <c r="AY11" s="26">
        <f t="shared" si="9"/>
        <v>0</v>
      </c>
      <c r="AZ11" s="29">
        <f t="shared" si="10"/>
        <v>150</v>
      </c>
      <c r="BA11" s="30">
        <f t="shared" si="11"/>
        <v>25474.55</v>
      </c>
      <c r="BB11" s="8" t="s">
        <v>18</v>
      </c>
    </row>
    <row r="12" spans="1:54" x14ac:dyDescent="0.6">
      <c r="A12" s="1" t="s">
        <v>7</v>
      </c>
      <c r="B12" s="10">
        <v>4</v>
      </c>
      <c r="C12" s="32">
        <v>842</v>
      </c>
      <c r="D12" s="10">
        <v>1</v>
      </c>
      <c r="E12" s="11">
        <v>240</v>
      </c>
      <c r="F12" s="10">
        <v>73</v>
      </c>
      <c r="G12" s="11">
        <v>11518</v>
      </c>
      <c r="H12" s="10">
        <v>13</v>
      </c>
      <c r="I12" s="11">
        <v>5511</v>
      </c>
      <c r="J12" s="12">
        <f t="shared" si="0"/>
        <v>91</v>
      </c>
      <c r="K12" s="26">
        <f t="shared" si="1"/>
        <v>18111</v>
      </c>
      <c r="L12" s="10">
        <v>0</v>
      </c>
      <c r="M12" s="11">
        <v>0</v>
      </c>
      <c r="N12" s="10">
        <v>0</v>
      </c>
      <c r="O12" s="11">
        <v>0</v>
      </c>
      <c r="P12" s="10">
        <v>9</v>
      </c>
      <c r="Q12" s="11">
        <v>1230</v>
      </c>
      <c r="R12" s="10">
        <v>3</v>
      </c>
      <c r="S12" s="11">
        <v>1265</v>
      </c>
      <c r="T12" s="12">
        <f t="shared" si="2"/>
        <v>12</v>
      </c>
      <c r="U12" s="26">
        <f t="shared" si="3"/>
        <v>2495</v>
      </c>
      <c r="V12" s="10">
        <v>0</v>
      </c>
      <c r="W12" s="11">
        <v>0</v>
      </c>
      <c r="X12" s="10">
        <v>0</v>
      </c>
      <c r="Y12" s="11">
        <v>0</v>
      </c>
      <c r="Z12" s="10">
        <v>0</v>
      </c>
      <c r="AA12" s="11">
        <v>0</v>
      </c>
      <c r="AB12" s="10">
        <v>0</v>
      </c>
      <c r="AC12" s="11">
        <v>0</v>
      </c>
      <c r="AD12" s="12">
        <f t="shared" si="4"/>
        <v>0</v>
      </c>
      <c r="AE12" s="26">
        <f t="shared" si="5"/>
        <v>0</v>
      </c>
      <c r="AF12" s="10">
        <v>0</v>
      </c>
      <c r="AG12" s="11">
        <v>0</v>
      </c>
      <c r="AH12" s="10">
        <v>0</v>
      </c>
      <c r="AI12" s="11">
        <v>0</v>
      </c>
      <c r="AJ12" s="10">
        <v>3</v>
      </c>
      <c r="AK12" s="11">
        <v>344</v>
      </c>
      <c r="AL12" s="10">
        <v>0</v>
      </c>
      <c r="AM12" s="11">
        <v>0</v>
      </c>
      <c r="AN12" s="12">
        <f t="shared" si="6"/>
        <v>3</v>
      </c>
      <c r="AO12" s="26">
        <f t="shared" si="7"/>
        <v>344</v>
      </c>
      <c r="AP12" s="10">
        <v>0</v>
      </c>
      <c r="AQ12" s="11">
        <v>0</v>
      </c>
      <c r="AR12" s="10">
        <v>0</v>
      </c>
      <c r="AS12" s="11">
        <v>0</v>
      </c>
      <c r="AT12" s="10">
        <v>0</v>
      </c>
      <c r="AU12" s="11">
        <v>0</v>
      </c>
      <c r="AV12" s="10">
        <v>0</v>
      </c>
      <c r="AW12" s="11">
        <v>0</v>
      </c>
      <c r="AX12" s="12">
        <f t="shared" si="8"/>
        <v>0</v>
      </c>
      <c r="AY12" s="26">
        <f t="shared" si="9"/>
        <v>0</v>
      </c>
      <c r="AZ12" s="29">
        <f t="shared" si="10"/>
        <v>106</v>
      </c>
      <c r="BA12" s="30">
        <f t="shared" si="11"/>
        <v>20950</v>
      </c>
      <c r="BB12" s="8" t="s">
        <v>18</v>
      </c>
    </row>
    <row r="13" spans="1:54" x14ac:dyDescent="0.6">
      <c r="A13" s="1" t="s">
        <v>8</v>
      </c>
      <c r="B13" s="10">
        <v>2</v>
      </c>
      <c r="C13" s="32">
        <v>746</v>
      </c>
      <c r="D13" s="10">
        <v>0</v>
      </c>
      <c r="E13" s="11">
        <v>0</v>
      </c>
      <c r="F13" s="10">
        <v>15</v>
      </c>
      <c r="G13" s="11">
        <v>2600</v>
      </c>
      <c r="H13" s="10">
        <v>4</v>
      </c>
      <c r="I13" s="11">
        <v>830</v>
      </c>
      <c r="J13" s="12">
        <f t="shared" si="0"/>
        <v>21</v>
      </c>
      <c r="K13" s="26">
        <f t="shared" si="1"/>
        <v>4176</v>
      </c>
      <c r="L13" s="10">
        <v>0</v>
      </c>
      <c r="M13" s="11">
        <v>0</v>
      </c>
      <c r="N13" s="10">
        <v>0</v>
      </c>
      <c r="O13" s="11">
        <v>0</v>
      </c>
      <c r="P13" s="10">
        <v>0</v>
      </c>
      <c r="Q13" s="11">
        <v>0</v>
      </c>
      <c r="R13" s="10">
        <v>2</v>
      </c>
      <c r="S13" s="11">
        <v>1017</v>
      </c>
      <c r="T13" s="12">
        <f t="shared" si="2"/>
        <v>2</v>
      </c>
      <c r="U13" s="26">
        <f t="shared" si="3"/>
        <v>1017</v>
      </c>
      <c r="V13" s="10">
        <v>0</v>
      </c>
      <c r="W13" s="11">
        <v>0</v>
      </c>
      <c r="X13" s="10">
        <v>0</v>
      </c>
      <c r="Y13" s="11">
        <v>0</v>
      </c>
      <c r="Z13" s="10">
        <v>0</v>
      </c>
      <c r="AA13" s="11">
        <v>0</v>
      </c>
      <c r="AB13" s="10">
        <v>0</v>
      </c>
      <c r="AC13" s="11">
        <v>0</v>
      </c>
      <c r="AD13" s="12">
        <f t="shared" si="4"/>
        <v>0</v>
      </c>
      <c r="AE13" s="26">
        <f t="shared" si="5"/>
        <v>0</v>
      </c>
      <c r="AF13" s="10">
        <v>0</v>
      </c>
      <c r="AG13" s="11">
        <v>0</v>
      </c>
      <c r="AH13" s="10">
        <v>0</v>
      </c>
      <c r="AI13" s="11">
        <v>0</v>
      </c>
      <c r="AJ13" s="10">
        <v>0</v>
      </c>
      <c r="AK13" s="11">
        <v>0</v>
      </c>
      <c r="AL13" s="10">
        <v>0</v>
      </c>
      <c r="AM13" s="11">
        <v>0</v>
      </c>
      <c r="AN13" s="12">
        <f t="shared" si="6"/>
        <v>0</v>
      </c>
      <c r="AO13" s="26">
        <f t="shared" si="7"/>
        <v>0</v>
      </c>
      <c r="AP13" s="10">
        <v>0</v>
      </c>
      <c r="AQ13" s="11">
        <v>0</v>
      </c>
      <c r="AR13" s="10">
        <v>0</v>
      </c>
      <c r="AS13" s="11">
        <v>0</v>
      </c>
      <c r="AT13" s="10">
        <v>0</v>
      </c>
      <c r="AU13" s="11">
        <v>0</v>
      </c>
      <c r="AV13" s="10">
        <v>0</v>
      </c>
      <c r="AW13" s="11">
        <v>0</v>
      </c>
      <c r="AX13" s="12">
        <f t="shared" si="8"/>
        <v>0</v>
      </c>
      <c r="AY13" s="26">
        <f t="shared" si="9"/>
        <v>0</v>
      </c>
      <c r="AZ13" s="29">
        <f t="shared" si="10"/>
        <v>23</v>
      </c>
      <c r="BA13" s="30">
        <f t="shared" si="11"/>
        <v>5193</v>
      </c>
      <c r="BB13" s="8" t="s">
        <v>18</v>
      </c>
    </row>
    <row r="14" spans="1:54" x14ac:dyDescent="0.6">
      <c r="A14" s="1" t="s">
        <v>9</v>
      </c>
      <c r="B14" s="10">
        <v>3</v>
      </c>
      <c r="C14" s="32">
        <v>302.33999999999997</v>
      </c>
      <c r="D14" s="10">
        <v>5</v>
      </c>
      <c r="E14" s="11">
        <v>1061</v>
      </c>
      <c r="F14" s="10">
        <v>54</v>
      </c>
      <c r="G14" s="11">
        <v>7752</v>
      </c>
      <c r="H14" s="10">
        <v>5</v>
      </c>
      <c r="I14" s="11">
        <v>1133</v>
      </c>
      <c r="J14" s="12">
        <f t="shared" si="0"/>
        <v>67</v>
      </c>
      <c r="K14" s="26">
        <f t="shared" si="1"/>
        <v>10248.34</v>
      </c>
      <c r="L14" s="10">
        <v>0</v>
      </c>
      <c r="M14" s="11">
        <v>0</v>
      </c>
      <c r="N14" s="10">
        <v>0</v>
      </c>
      <c r="O14" s="11">
        <v>0</v>
      </c>
      <c r="P14" s="10">
        <v>3</v>
      </c>
      <c r="Q14" s="11">
        <v>280</v>
      </c>
      <c r="R14" s="10">
        <v>3</v>
      </c>
      <c r="S14" s="11">
        <v>754</v>
      </c>
      <c r="T14" s="12">
        <f t="shared" si="2"/>
        <v>6</v>
      </c>
      <c r="U14" s="26">
        <f t="shared" si="3"/>
        <v>1034</v>
      </c>
      <c r="V14" s="10">
        <v>0</v>
      </c>
      <c r="W14" s="11">
        <v>0</v>
      </c>
      <c r="X14" s="10">
        <v>0</v>
      </c>
      <c r="Y14" s="11">
        <v>0</v>
      </c>
      <c r="Z14" s="10">
        <v>0</v>
      </c>
      <c r="AA14" s="11">
        <v>0</v>
      </c>
      <c r="AB14" s="10">
        <v>0</v>
      </c>
      <c r="AC14" s="11">
        <v>0</v>
      </c>
      <c r="AD14" s="12">
        <f t="shared" si="4"/>
        <v>0</v>
      </c>
      <c r="AE14" s="26">
        <f t="shared" si="5"/>
        <v>0</v>
      </c>
      <c r="AF14" s="10">
        <v>0</v>
      </c>
      <c r="AG14" s="11">
        <v>0</v>
      </c>
      <c r="AH14" s="10">
        <v>0</v>
      </c>
      <c r="AI14" s="11">
        <v>0</v>
      </c>
      <c r="AJ14" s="10">
        <v>1</v>
      </c>
      <c r="AK14" s="11">
        <v>100</v>
      </c>
      <c r="AL14" s="10">
        <v>0</v>
      </c>
      <c r="AM14" s="11">
        <v>0</v>
      </c>
      <c r="AN14" s="12">
        <f t="shared" si="6"/>
        <v>1</v>
      </c>
      <c r="AO14" s="26">
        <f t="shared" si="7"/>
        <v>100</v>
      </c>
      <c r="AP14" s="10">
        <v>0</v>
      </c>
      <c r="AQ14" s="11">
        <v>0</v>
      </c>
      <c r="AR14" s="10">
        <v>0</v>
      </c>
      <c r="AS14" s="11">
        <v>0</v>
      </c>
      <c r="AT14" s="10">
        <v>0</v>
      </c>
      <c r="AU14" s="11">
        <v>0</v>
      </c>
      <c r="AV14" s="10">
        <v>0</v>
      </c>
      <c r="AW14" s="11">
        <v>0</v>
      </c>
      <c r="AX14" s="12">
        <f t="shared" si="8"/>
        <v>0</v>
      </c>
      <c r="AY14" s="26">
        <f t="shared" si="9"/>
        <v>0</v>
      </c>
      <c r="AZ14" s="29">
        <f t="shared" si="10"/>
        <v>74</v>
      </c>
      <c r="BA14" s="30">
        <f t="shared" si="11"/>
        <v>11382.34</v>
      </c>
      <c r="BB14" s="8" t="s">
        <v>18</v>
      </c>
    </row>
    <row r="15" spans="1:54" x14ac:dyDescent="0.6">
      <c r="A15" s="1" t="s">
        <v>10</v>
      </c>
      <c r="B15" s="10">
        <v>5</v>
      </c>
      <c r="C15" s="32">
        <v>607.05999999999995</v>
      </c>
      <c r="D15" s="10">
        <v>7</v>
      </c>
      <c r="E15" s="11">
        <v>2456</v>
      </c>
      <c r="F15" s="10">
        <v>48</v>
      </c>
      <c r="G15" s="11">
        <v>5995</v>
      </c>
      <c r="H15" s="10">
        <v>0</v>
      </c>
      <c r="I15" s="11">
        <v>0</v>
      </c>
      <c r="J15" s="12">
        <f t="shared" si="0"/>
        <v>60</v>
      </c>
      <c r="K15" s="26">
        <f t="shared" si="1"/>
        <v>9058.06</v>
      </c>
      <c r="L15" s="10">
        <v>1</v>
      </c>
      <c r="M15" s="11">
        <v>1225.2</v>
      </c>
      <c r="N15" s="10">
        <v>0</v>
      </c>
      <c r="O15" s="11">
        <v>0</v>
      </c>
      <c r="P15" s="10">
        <v>4</v>
      </c>
      <c r="Q15" s="11">
        <v>500</v>
      </c>
      <c r="R15" s="10">
        <v>2</v>
      </c>
      <c r="S15" s="11">
        <v>309</v>
      </c>
      <c r="T15" s="12">
        <f t="shared" si="2"/>
        <v>7</v>
      </c>
      <c r="U15" s="26">
        <f t="shared" si="3"/>
        <v>2034.2</v>
      </c>
      <c r="V15" s="10">
        <v>0</v>
      </c>
      <c r="W15" s="11">
        <v>0</v>
      </c>
      <c r="X15" s="10">
        <v>0</v>
      </c>
      <c r="Y15" s="11">
        <v>0</v>
      </c>
      <c r="Z15" s="10">
        <v>0</v>
      </c>
      <c r="AA15" s="11">
        <v>0</v>
      </c>
      <c r="AB15" s="10">
        <v>0</v>
      </c>
      <c r="AC15" s="11">
        <v>0</v>
      </c>
      <c r="AD15" s="12">
        <f t="shared" si="4"/>
        <v>0</v>
      </c>
      <c r="AE15" s="26">
        <f t="shared" si="5"/>
        <v>0</v>
      </c>
      <c r="AF15" s="10">
        <v>0</v>
      </c>
      <c r="AG15" s="11">
        <v>0</v>
      </c>
      <c r="AH15" s="10">
        <v>1</v>
      </c>
      <c r="AI15" s="11">
        <v>117</v>
      </c>
      <c r="AJ15" s="10">
        <v>0</v>
      </c>
      <c r="AK15" s="11">
        <v>0</v>
      </c>
      <c r="AL15" s="10">
        <v>0</v>
      </c>
      <c r="AM15" s="11">
        <v>0</v>
      </c>
      <c r="AN15" s="12">
        <f t="shared" si="6"/>
        <v>1</v>
      </c>
      <c r="AO15" s="26">
        <f t="shared" si="7"/>
        <v>117</v>
      </c>
      <c r="AP15" s="10">
        <v>0</v>
      </c>
      <c r="AQ15" s="11">
        <v>0</v>
      </c>
      <c r="AR15" s="10">
        <v>0</v>
      </c>
      <c r="AS15" s="11">
        <v>0</v>
      </c>
      <c r="AT15" s="10">
        <v>0</v>
      </c>
      <c r="AU15" s="11">
        <v>0</v>
      </c>
      <c r="AV15" s="10">
        <v>0</v>
      </c>
      <c r="AW15" s="11">
        <v>0</v>
      </c>
      <c r="AX15" s="12">
        <f t="shared" si="8"/>
        <v>0</v>
      </c>
      <c r="AY15" s="26">
        <f t="shared" si="9"/>
        <v>0</v>
      </c>
      <c r="AZ15" s="29">
        <f t="shared" si="10"/>
        <v>68</v>
      </c>
      <c r="BA15" s="30">
        <f t="shared" si="11"/>
        <v>11209.26</v>
      </c>
      <c r="BB15" s="8" t="s">
        <v>18</v>
      </c>
    </row>
    <row r="16" spans="1:54" x14ac:dyDescent="0.6">
      <c r="A16" s="1" t="s">
        <v>11</v>
      </c>
      <c r="B16" s="10">
        <v>5</v>
      </c>
      <c r="C16" s="32">
        <v>790.54</v>
      </c>
      <c r="D16" s="10">
        <v>3</v>
      </c>
      <c r="E16" s="11">
        <v>178</v>
      </c>
      <c r="F16" s="10">
        <v>32</v>
      </c>
      <c r="G16" s="11">
        <v>5429.53</v>
      </c>
      <c r="H16" s="10">
        <v>3</v>
      </c>
      <c r="I16" s="11">
        <v>515</v>
      </c>
      <c r="J16" s="12">
        <f t="shared" si="0"/>
        <v>43</v>
      </c>
      <c r="K16" s="26">
        <f t="shared" si="1"/>
        <v>6913.07</v>
      </c>
      <c r="L16" s="10">
        <v>0</v>
      </c>
      <c r="M16" s="11">
        <v>0</v>
      </c>
      <c r="N16" s="10">
        <v>0</v>
      </c>
      <c r="O16" s="11">
        <v>0</v>
      </c>
      <c r="P16" s="10">
        <v>0</v>
      </c>
      <c r="Q16" s="11">
        <v>0</v>
      </c>
      <c r="R16" s="10">
        <v>2</v>
      </c>
      <c r="S16" s="11">
        <v>699</v>
      </c>
      <c r="T16" s="12">
        <f t="shared" si="2"/>
        <v>2</v>
      </c>
      <c r="U16" s="26">
        <f t="shared" si="3"/>
        <v>699</v>
      </c>
      <c r="V16" s="10">
        <v>0</v>
      </c>
      <c r="W16" s="11">
        <v>0</v>
      </c>
      <c r="X16" s="10">
        <v>0</v>
      </c>
      <c r="Y16" s="11">
        <v>0</v>
      </c>
      <c r="Z16" s="10">
        <v>0</v>
      </c>
      <c r="AA16" s="11">
        <v>0</v>
      </c>
      <c r="AB16" s="10">
        <v>0</v>
      </c>
      <c r="AC16" s="11">
        <v>0</v>
      </c>
      <c r="AD16" s="12">
        <f t="shared" si="4"/>
        <v>0</v>
      </c>
      <c r="AE16" s="26">
        <f t="shared" si="5"/>
        <v>0</v>
      </c>
      <c r="AF16" s="10">
        <v>0</v>
      </c>
      <c r="AG16" s="11">
        <v>0</v>
      </c>
      <c r="AH16" s="10">
        <v>0</v>
      </c>
      <c r="AI16" s="11">
        <v>0</v>
      </c>
      <c r="AJ16" s="10">
        <v>0</v>
      </c>
      <c r="AK16" s="11">
        <v>0</v>
      </c>
      <c r="AL16" s="10">
        <v>0</v>
      </c>
      <c r="AM16" s="11">
        <v>0</v>
      </c>
      <c r="AN16" s="12">
        <f t="shared" si="6"/>
        <v>0</v>
      </c>
      <c r="AO16" s="26">
        <f t="shared" si="7"/>
        <v>0</v>
      </c>
      <c r="AP16" s="10">
        <v>0</v>
      </c>
      <c r="AQ16" s="11">
        <v>0</v>
      </c>
      <c r="AR16" s="10">
        <v>0</v>
      </c>
      <c r="AS16" s="11">
        <v>0</v>
      </c>
      <c r="AT16" s="10">
        <v>0</v>
      </c>
      <c r="AU16" s="11">
        <v>0</v>
      </c>
      <c r="AV16" s="10">
        <v>0</v>
      </c>
      <c r="AW16" s="11">
        <v>0</v>
      </c>
      <c r="AX16" s="12">
        <f t="shared" si="8"/>
        <v>0</v>
      </c>
      <c r="AY16" s="26">
        <f t="shared" si="9"/>
        <v>0</v>
      </c>
      <c r="AZ16" s="29">
        <f t="shared" si="10"/>
        <v>45</v>
      </c>
      <c r="BA16" s="30">
        <f t="shared" si="11"/>
        <v>7612.07</v>
      </c>
      <c r="BB16" s="8" t="s">
        <v>18</v>
      </c>
    </row>
    <row r="17" spans="1:54" x14ac:dyDescent="0.6">
      <c r="A17" s="1" t="s">
        <v>12</v>
      </c>
      <c r="B17" s="10">
        <v>13</v>
      </c>
      <c r="C17" s="32">
        <v>1524.04</v>
      </c>
      <c r="D17" s="10">
        <v>5</v>
      </c>
      <c r="E17" s="11">
        <v>727</v>
      </c>
      <c r="F17" s="10">
        <v>186</v>
      </c>
      <c r="G17" s="11">
        <v>33337.449999999997</v>
      </c>
      <c r="H17" s="10">
        <v>1</v>
      </c>
      <c r="I17" s="11">
        <v>215</v>
      </c>
      <c r="J17" s="12">
        <f t="shared" si="0"/>
        <v>205</v>
      </c>
      <c r="K17" s="26">
        <f t="shared" si="1"/>
        <v>35803.49</v>
      </c>
      <c r="L17" s="10">
        <v>0</v>
      </c>
      <c r="M17" s="11">
        <v>0</v>
      </c>
      <c r="N17" s="10">
        <v>0</v>
      </c>
      <c r="O17" s="11">
        <v>0</v>
      </c>
      <c r="P17" s="10">
        <v>1</v>
      </c>
      <c r="Q17" s="11">
        <v>100</v>
      </c>
      <c r="R17" s="10">
        <v>1</v>
      </c>
      <c r="S17" s="11">
        <v>215</v>
      </c>
      <c r="T17" s="12">
        <f t="shared" si="2"/>
        <v>2</v>
      </c>
      <c r="U17" s="26">
        <f t="shared" si="3"/>
        <v>315</v>
      </c>
      <c r="V17" s="10">
        <v>0</v>
      </c>
      <c r="W17" s="11">
        <v>0</v>
      </c>
      <c r="X17" s="10">
        <v>0</v>
      </c>
      <c r="Y17" s="11">
        <v>0</v>
      </c>
      <c r="Z17" s="10">
        <v>0</v>
      </c>
      <c r="AA17" s="11">
        <v>0</v>
      </c>
      <c r="AB17" s="10">
        <v>0</v>
      </c>
      <c r="AC17" s="11">
        <v>0</v>
      </c>
      <c r="AD17" s="12">
        <f t="shared" si="4"/>
        <v>0</v>
      </c>
      <c r="AE17" s="26">
        <f t="shared" si="5"/>
        <v>0</v>
      </c>
      <c r="AF17" s="10">
        <v>0</v>
      </c>
      <c r="AG17" s="11">
        <v>0</v>
      </c>
      <c r="AH17" s="10">
        <v>0</v>
      </c>
      <c r="AI17" s="11">
        <v>0</v>
      </c>
      <c r="AJ17" s="10">
        <v>0</v>
      </c>
      <c r="AK17" s="11">
        <v>0</v>
      </c>
      <c r="AL17" s="10">
        <v>0</v>
      </c>
      <c r="AM17" s="11">
        <v>0</v>
      </c>
      <c r="AN17" s="12">
        <f t="shared" si="6"/>
        <v>0</v>
      </c>
      <c r="AO17" s="26">
        <f t="shared" si="7"/>
        <v>0</v>
      </c>
      <c r="AP17" s="10">
        <v>0</v>
      </c>
      <c r="AQ17" s="11">
        <v>0</v>
      </c>
      <c r="AR17" s="10">
        <v>0</v>
      </c>
      <c r="AS17" s="11">
        <v>0</v>
      </c>
      <c r="AT17" s="10">
        <v>0</v>
      </c>
      <c r="AU17" s="11">
        <v>0</v>
      </c>
      <c r="AV17" s="10">
        <v>0</v>
      </c>
      <c r="AW17" s="11">
        <v>0</v>
      </c>
      <c r="AX17" s="12">
        <f t="shared" si="8"/>
        <v>0</v>
      </c>
      <c r="AY17" s="26">
        <f t="shared" si="9"/>
        <v>0</v>
      </c>
      <c r="AZ17" s="29">
        <f t="shared" si="10"/>
        <v>207</v>
      </c>
      <c r="BA17" s="30">
        <f t="shared" si="11"/>
        <v>36118.49</v>
      </c>
      <c r="BB17" s="8" t="s">
        <v>18</v>
      </c>
    </row>
    <row r="18" spans="1:54" ht="27" thickBot="1" x14ac:dyDescent="0.75">
      <c r="A18" s="3" t="s">
        <v>26</v>
      </c>
      <c r="B18" s="33">
        <f t="shared" ref="B18:C18" si="12">SUM(B6:B17)</f>
        <v>47</v>
      </c>
      <c r="C18" s="9">
        <f t="shared" si="12"/>
        <v>8889.33</v>
      </c>
      <c r="D18" s="33">
        <f t="shared" ref="D18" si="13">SUM(D6:D17)</f>
        <v>47</v>
      </c>
      <c r="E18" s="9">
        <f t="shared" ref="E18" si="14">SUM(E6:E17)</f>
        <v>12718</v>
      </c>
      <c r="F18" s="33">
        <f t="shared" ref="F18" si="15">SUM(F6:F17)</f>
        <v>824</v>
      </c>
      <c r="G18" s="9">
        <f t="shared" ref="G18" si="16">SUM(G6:G17)</f>
        <v>137986.88</v>
      </c>
      <c r="H18" s="33">
        <f t="shared" ref="H18" si="17">SUM(H6:H17)</f>
        <v>69</v>
      </c>
      <c r="I18" s="9">
        <f t="shared" ref="I18" si="18">SUM(I6:I17)</f>
        <v>31063.48</v>
      </c>
      <c r="J18" s="34">
        <f t="shared" ref="J18" si="19">SUM(J6:J17)</f>
        <v>987</v>
      </c>
      <c r="K18" s="35">
        <f t="shared" ref="K18" si="20">SUM(K6:K17)</f>
        <v>190657.69</v>
      </c>
      <c r="L18" s="33">
        <f t="shared" ref="L18" si="21">SUM(L6:L17)</f>
        <v>1</v>
      </c>
      <c r="M18" s="9">
        <f t="shared" ref="M18" si="22">SUM(M6:M17)</f>
        <v>1225.2</v>
      </c>
      <c r="N18" s="33">
        <f t="shared" ref="N18" si="23">SUM(N6:N17)</f>
        <v>0</v>
      </c>
      <c r="O18" s="9">
        <f t="shared" ref="O18" si="24">SUM(O6:O17)</f>
        <v>0</v>
      </c>
      <c r="P18" s="33">
        <f t="shared" ref="P18" si="25">SUM(P6:P17)</f>
        <v>32</v>
      </c>
      <c r="Q18" s="9">
        <f t="shared" ref="Q18" si="26">SUM(Q6:Q17)</f>
        <v>4611</v>
      </c>
      <c r="R18" s="33">
        <f t="shared" ref="R18" si="27">SUM(R6:R17)</f>
        <v>31</v>
      </c>
      <c r="S18" s="9">
        <f t="shared" ref="S18" si="28">SUM(S6:S17)</f>
        <v>8999</v>
      </c>
      <c r="T18" s="34">
        <f t="shared" ref="T18" si="29">SUM(T6:T17)</f>
        <v>64</v>
      </c>
      <c r="U18" s="35">
        <f t="shared" ref="U18" si="30">SUM(U6:U17)</f>
        <v>14835.2</v>
      </c>
      <c r="V18" s="33">
        <f t="shared" ref="V18" si="31">SUM(V6:V17)</f>
        <v>0</v>
      </c>
      <c r="W18" s="9">
        <f t="shared" ref="W18" si="32">SUM(W6:W17)</f>
        <v>0</v>
      </c>
      <c r="X18" s="33">
        <f t="shared" ref="X18" si="33">SUM(X6:X17)</f>
        <v>0</v>
      </c>
      <c r="Y18" s="9">
        <f t="shared" ref="Y18" si="34">SUM(Y6:Y17)</f>
        <v>0</v>
      </c>
      <c r="Z18" s="33">
        <f t="shared" ref="Z18" si="35">SUM(Z6:Z17)</f>
        <v>0</v>
      </c>
      <c r="AA18" s="9">
        <f t="shared" ref="AA18" si="36">SUM(AA6:AA17)</f>
        <v>0</v>
      </c>
      <c r="AB18" s="33">
        <f t="shared" ref="AB18" si="37">SUM(AB6:AB17)</f>
        <v>0</v>
      </c>
      <c r="AC18" s="9">
        <f t="shared" ref="AC18" si="38">SUM(AC6:AC17)</f>
        <v>0</v>
      </c>
      <c r="AD18" s="34">
        <f t="shared" ref="AD18" si="39">SUM(AD6:AD17)</f>
        <v>0</v>
      </c>
      <c r="AE18" s="35">
        <f t="shared" ref="AE18" si="40">SUM(AE6:AE17)</f>
        <v>0</v>
      </c>
      <c r="AF18" s="33">
        <f t="shared" ref="AF18" si="41">SUM(AF6:AF17)</f>
        <v>0</v>
      </c>
      <c r="AG18" s="9">
        <f t="shared" ref="AG18" si="42">SUM(AG6:AG17)</f>
        <v>0</v>
      </c>
      <c r="AH18" s="33">
        <f t="shared" ref="AH18" si="43">SUM(AH6:AH17)</f>
        <v>1</v>
      </c>
      <c r="AI18" s="9">
        <f t="shared" ref="AI18" si="44">SUM(AI6:AI17)</f>
        <v>117</v>
      </c>
      <c r="AJ18" s="33">
        <f t="shared" ref="AJ18" si="45">SUM(AJ6:AJ17)</f>
        <v>22</v>
      </c>
      <c r="AK18" s="9">
        <f t="shared" ref="AK18" si="46">SUM(AK6:AK17)</f>
        <v>4737</v>
      </c>
      <c r="AL18" s="33">
        <f t="shared" ref="AL18" si="47">SUM(AL6:AL17)</f>
        <v>0</v>
      </c>
      <c r="AM18" s="9">
        <f t="shared" ref="AM18" si="48">SUM(AM6:AM17)</f>
        <v>0</v>
      </c>
      <c r="AN18" s="34">
        <f t="shared" ref="AN18" si="49">SUM(AN6:AN17)</f>
        <v>23</v>
      </c>
      <c r="AO18" s="35">
        <f t="shared" ref="AO18" si="50">SUM(AO6:AO17)</f>
        <v>4854</v>
      </c>
      <c r="AP18" s="33">
        <f t="shared" ref="AP18" si="51">SUM(AP6:AP17)</f>
        <v>0</v>
      </c>
      <c r="AQ18" s="9">
        <f t="shared" ref="AQ18" si="52">SUM(AQ6:AQ17)</f>
        <v>0</v>
      </c>
      <c r="AR18" s="33">
        <f t="shared" ref="AR18" si="53">SUM(AR6:AR17)</f>
        <v>0</v>
      </c>
      <c r="AS18" s="9">
        <f t="shared" ref="AS18" si="54">SUM(AS6:AS17)</f>
        <v>0</v>
      </c>
      <c r="AT18" s="33">
        <f t="shared" ref="AT18" si="55">SUM(AT6:AT17)</f>
        <v>0</v>
      </c>
      <c r="AU18" s="9">
        <f t="shared" ref="AU18" si="56">SUM(AU6:AU17)</f>
        <v>0</v>
      </c>
      <c r="AV18" s="33">
        <f t="shared" ref="AV18" si="57">SUM(AV6:AV17)</f>
        <v>1</v>
      </c>
      <c r="AW18" s="9">
        <f t="shared" ref="AW18" si="58">SUM(AW6:AW17)</f>
        <v>4100</v>
      </c>
      <c r="AX18" s="34">
        <f t="shared" ref="AX18" si="59">SUM(AX6:AX17)</f>
        <v>1</v>
      </c>
      <c r="AY18" s="35">
        <f t="shared" ref="AY18" si="60">SUM(AY6:AY17)</f>
        <v>4100</v>
      </c>
      <c r="AZ18" s="33">
        <f>SUM(AZ6:AZ17)</f>
        <v>1075</v>
      </c>
      <c r="BA18" s="9">
        <f t="shared" ref="BA18" si="61">SUM(BA6:BA17)</f>
        <v>214446.88999999998</v>
      </c>
      <c r="BB18" s="8" t="s">
        <v>18</v>
      </c>
    </row>
    <row r="19" spans="1:54" ht="24" thickTop="1" x14ac:dyDescent="0.6"/>
  </sheetData>
  <mergeCells count="43">
    <mergeCell ref="L3:U3"/>
    <mergeCell ref="B4:C4"/>
    <mergeCell ref="D4:E4"/>
    <mergeCell ref="F4:G4"/>
    <mergeCell ref="H4:I4"/>
    <mergeCell ref="J4:J5"/>
    <mergeCell ref="K4:K5"/>
    <mergeCell ref="L4:M4"/>
    <mergeCell ref="N4:O4"/>
    <mergeCell ref="P4:Q4"/>
    <mergeCell ref="R4:S4"/>
    <mergeCell ref="T4:T5"/>
    <mergeCell ref="U4:U5"/>
    <mergeCell ref="V4:W4"/>
    <mergeCell ref="X4:Y4"/>
    <mergeCell ref="Z4:AA4"/>
    <mergeCell ref="A2:A5"/>
    <mergeCell ref="AZ2:AZ5"/>
    <mergeCell ref="AJ4:AK4"/>
    <mergeCell ref="AL4:AM4"/>
    <mergeCell ref="AN4:AN5"/>
    <mergeCell ref="AO4:AO5"/>
    <mergeCell ref="AP4:AQ4"/>
    <mergeCell ref="AB4:AC4"/>
    <mergeCell ref="AD4:AD5"/>
    <mergeCell ref="AE4:AE5"/>
    <mergeCell ref="B3:K3"/>
    <mergeCell ref="V3:AE3"/>
    <mergeCell ref="AF3:AO3"/>
    <mergeCell ref="B2:K2"/>
    <mergeCell ref="L2:U2"/>
    <mergeCell ref="V2:AE2"/>
    <mergeCell ref="AF2:AO2"/>
    <mergeCell ref="AP2:AY2"/>
    <mergeCell ref="AF4:AG4"/>
    <mergeCell ref="AH4:AI4"/>
    <mergeCell ref="BA2:BA5"/>
    <mergeCell ref="AR4:AS4"/>
    <mergeCell ref="AT4:AU4"/>
    <mergeCell ref="AV4:AW4"/>
    <mergeCell ref="AX4:AX5"/>
    <mergeCell ref="AY4:AY5"/>
    <mergeCell ref="AP3:AY3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CBA2-80B9-4A3F-900E-132A33243D7F}">
  <sheetPr>
    <tabColor rgb="FFFFFF00"/>
  </sheetPr>
  <dimension ref="A1:R40"/>
  <sheetViews>
    <sheetView tabSelected="1" workbookViewId="0">
      <pane xSplit="2" ySplit="2" topLeftCell="C26" activePane="bottomRight" state="frozen"/>
      <selection pane="topRight" activeCell="C1" sqref="C1"/>
      <selection pane="bottomLeft" activeCell="A2" sqref="A2"/>
      <selection pane="bottomRight" activeCell="E39" sqref="E39"/>
    </sheetView>
  </sheetViews>
  <sheetFormatPr defaultColWidth="8.8984375" defaultRowHeight="13.8" x14ac:dyDescent="0.25"/>
  <cols>
    <col min="1" max="1" width="6" style="40" bestFit="1" customWidth="1"/>
    <col min="2" max="2" width="18.59765625" style="38" bestFit="1" customWidth="1"/>
    <col min="3" max="3" width="10.19921875" bestFit="1" customWidth="1"/>
    <col min="4" max="4" width="12.19921875" style="44" bestFit="1" customWidth="1"/>
    <col min="5" max="5" width="13.69921875" style="44" bestFit="1" customWidth="1"/>
    <col min="6" max="6" width="8.69921875" bestFit="1" customWidth="1"/>
    <col min="7" max="7" width="10.69921875" bestFit="1" customWidth="1"/>
    <col min="8" max="8" width="8.69921875" bestFit="1" customWidth="1"/>
    <col min="9" max="9" width="10.19921875" bestFit="1" customWidth="1"/>
    <col min="10" max="10" width="10.69921875" bestFit="1" customWidth="1"/>
    <col min="11" max="11" width="9.19921875" bestFit="1" customWidth="1"/>
    <col min="12" max="12" width="9.8984375" bestFit="1" customWidth="1"/>
    <col min="13" max="13" width="9" bestFit="1" customWidth="1"/>
    <col min="14" max="14" width="10.19921875" bestFit="1" customWidth="1"/>
    <col min="15" max="15" width="8.69921875" bestFit="1" customWidth="1"/>
    <col min="16" max="16" width="11.69921875" bestFit="1" customWidth="1"/>
    <col min="17" max="17" width="8.8984375" bestFit="1" customWidth="1"/>
  </cols>
  <sheetData>
    <row r="1" spans="1:18" ht="28.8" x14ac:dyDescent="0.75">
      <c r="A1" s="36" t="s">
        <v>62</v>
      </c>
      <c r="C1" s="45"/>
      <c r="D1" s="46"/>
      <c r="E1" s="46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ht="26.4" x14ac:dyDescent="0.7">
      <c r="A2" s="37" t="s">
        <v>30</v>
      </c>
      <c r="B2" s="37" t="s">
        <v>31</v>
      </c>
      <c r="C2" s="43" t="s">
        <v>26</v>
      </c>
      <c r="D2" s="47" t="s">
        <v>59</v>
      </c>
      <c r="E2" s="47" t="s">
        <v>60</v>
      </c>
      <c r="F2" s="43" t="s">
        <v>1</v>
      </c>
      <c r="G2" s="43" t="s">
        <v>2</v>
      </c>
      <c r="H2" s="43" t="s">
        <v>3</v>
      </c>
      <c r="I2" s="43" t="s">
        <v>4</v>
      </c>
      <c r="J2" s="43" t="s">
        <v>5</v>
      </c>
      <c r="K2" s="43" t="s">
        <v>6</v>
      </c>
      <c r="L2" s="43" t="s">
        <v>7</v>
      </c>
      <c r="M2" s="43" t="s">
        <v>8</v>
      </c>
      <c r="N2" s="43" t="s">
        <v>9</v>
      </c>
      <c r="O2" s="43" t="s">
        <v>10</v>
      </c>
      <c r="P2" s="43" t="s">
        <v>11</v>
      </c>
      <c r="Q2" s="43" t="s">
        <v>12</v>
      </c>
      <c r="R2" s="45"/>
    </row>
    <row r="3" spans="1:18" ht="23.4" x14ac:dyDescent="0.6">
      <c r="A3" s="4">
        <v>1</v>
      </c>
      <c r="B3" s="39" t="s">
        <v>63</v>
      </c>
      <c r="C3" s="48">
        <f>SUM(F3:Q3)</f>
        <v>120</v>
      </c>
      <c r="D3" s="49">
        <v>4.34</v>
      </c>
      <c r="E3" s="49">
        <f>+C3*D3</f>
        <v>520.79999999999995</v>
      </c>
      <c r="F3" s="42">
        <f>IFERROR(SUM(VLOOKUP(B3,[1]สรุปรายการสินค้า!$B:$C,2,0)),"0")</f>
        <v>20</v>
      </c>
      <c r="G3" s="42">
        <f>IFERROR(VLOOKUP(B3,[2]สรุปรายการสินค้า!$B:$C,2,0),"0")</f>
        <v>0</v>
      </c>
      <c r="H3" s="42">
        <f>IFERROR(VLOOKUP(B3,[3]สรุปรายการสินค้า!$B:$C,2,0),"0")</f>
        <v>0</v>
      </c>
      <c r="I3" s="42">
        <f>IFERROR(VLOOKUP(B3,[4]สรุปรายการสินค้า!$B:$C,2,0),"0")</f>
        <v>0</v>
      </c>
      <c r="J3" s="42">
        <v>0</v>
      </c>
      <c r="K3" s="42">
        <v>0</v>
      </c>
      <c r="L3" s="42">
        <v>0</v>
      </c>
      <c r="M3" s="42">
        <v>0</v>
      </c>
      <c r="N3" s="42">
        <v>0</v>
      </c>
      <c r="O3" s="42">
        <v>100</v>
      </c>
      <c r="P3" s="42">
        <v>0</v>
      </c>
      <c r="Q3" s="42">
        <v>0</v>
      </c>
      <c r="R3" s="45"/>
    </row>
    <row r="4" spans="1:18" ht="23.4" x14ac:dyDescent="0.6">
      <c r="A4" s="4">
        <v>2</v>
      </c>
      <c r="B4" s="39" t="s">
        <v>64</v>
      </c>
      <c r="C4" s="48">
        <f t="shared" ref="C4:C38" si="0">SUM(F4:Q4)</f>
        <v>381</v>
      </c>
      <c r="D4" s="49">
        <v>5.15</v>
      </c>
      <c r="E4" s="49">
        <f t="shared" ref="E4:E38" si="1">+C4*D4</f>
        <v>1962.15</v>
      </c>
      <c r="F4" s="42">
        <f>IFERROR(SUM(VLOOKUP(B4,[1]สรุปรายการสินค้า!$B:$C,2,0)),"0")</f>
        <v>210</v>
      </c>
      <c r="G4" s="42">
        <f>IFERROR(VLOOKUP(B4,[2]สรุปรายการสินค้า!$B:$C,2,0),"0")</f>
        <v>1</v>
      </c>
      <c r="H4" s="42">
        <f>IFERROR(VLOOKUP(B4,[3]สรุปรายการสินค้า!$B:$C,2,0),"0")</f>
        <v>0</v>
      </c>
      <c r="I4" s="42">
        <f>IFERROR(VLOOKUP(B4,[4]สรุปรายการสินค้า!$B:$C,2,0),"0")</f>
        <v>0</v>
      </c>
      <c r="J4" s="42">
        <v>0</v>
      </c>
      <c r="K4" s="42">
        <v>0</v>
      </c>
      <c r="L4" s="42">
        <v>0</v>
      </c>
      <c r="M4" s="42">
        <v>0</v>
      </c>
      <c r="N4" s="42">
        <v>10</v>
      </c>
      <c r="O4" s="42">
        <v>160</v>
      </c>
      <c r="P4" s="42">
        <v>0</v>
      </c>
      <c r="Q4" s="42">
        <v>0</v>
      </c>
      <c r="R4" s="45"/>
    </row>
    <row r="5" spans="1:18" ht="23.4" x14ac:dyDescent="0.6">
      <c r="A5" s="4">
        <v>3</v>
      </c>
      <c r="B5" s="39" t="s">
        <v>65</v>
      </c>
      <c r="C5" s="48">
        <f t="shared" si="0"/>
        <v>225</v>
      </c>
      <c r="D5" s="49">
        <v>37.17</v>
      </c>
      <c r="E5" s="49">
        <f t="shared" si="1"/>
        <v>8363.25</v>
      </c>
      <c r="F5" s="42">
        <f>IFERROR(SUM(VLOOKUP(B5,[1]สรุปรายการสินค้า!$B:$C,2,0)),"0")</f>
        <v>62</v>
      </c>
      <c r="G5" s="42">
        <f>IFERROR(VLOOKUP(B5,[2]สรุปรายการสินค้า!$B:$C,2,0),"0")</f>
        <v>65</v>
      </c>
      <c r="H5" s="42">
        <f>IFERROR(VLOOKUP(B5,[3]สรุปรายการสินค้า!$B:$C,2,0),"0")</f>
        <v>12</v>
      </c>
      <c r="I5" s="42">
        <f>IFERROR(VLOOKUP(B5,[4]สรุปรายการสินค้า!$B:$C,2,0),"0")</f>
        <v>8</v>
      </c>
      <c r="J5" s="42">
        <v>3</v>
      </c>
      <c r="K5" s="42">
        <v>25</v>
      </c>
      <c r="L5" s="42">
        <v>12</v>
      </c>
      <c r="M5" s="42">
        <v>0</v>
      </c>
      <c r="N5" s="42">
        <v>7</v>
      </c>
      <c r="O5" s="42">
        <v>9</v>
      </c>
      <c r="P5" s="42">
        <v>2</v>
      </c>
      <c r="Q5" s="42">
        <v>20</v>
      </c>
      <c r="R5" s="45"/>
    </row>
    <row r="6" spans="1:18" ht="23.4" x14ac:dyDescent="0.6">
      <c r="A6" s="4">
        <v>4</v>
      </c>
      <c r="B6" s="39" t="s">
        <v>66</v>
      </c>
      <c r="C6" s="48">
        <f t="shared" si="0"/>
        <v>39</v>
      </c>
      <c r="D6" s="49">
        <v>39.96</v>
      </c>
      <c r="E6" s="49">
        <f t="shared" si="1"/>
        <v>1558.44</v>
      </c>
      <c r="F6" s="42">
        <f>IFERROR(SUM(VLOOKUP(B6,[1]สรุปรายการสินค้า!$B:$C,2,0)),"0")</f>
        <v>16</v>
      </c>
      <c r="G6" s="42">
        <f>IFERROR(VLOOKUP(B6,[2]สรุปรายการสินค้า!$B:$C,2,0),"0")</f>
        <v>3</v>
      </c>
      <c r="H6" s="42">
        <f>IFERROR(VLOOKUP(B6,[3]สรุปรายการสินค้า!$B:$C,2,0),"0")</f>
        <v>6</v>
      </c>
      <c r="I6" s="42">
        <f>IFERROR(VLOOKUP(B6,[4]สรุปรายการสินค้า!$B:$C,2,0),"0")</f>
        <v>4</v>
      </c>
      <c r="J6" s="42">
        <v>0</v>
      </c>
      <c r="K6" s="42">
        <v>1</v>
      </c>
      <c r="L6" s="42">
        <v>0</v>
      </c>
      <c r="M6" s="42">
        <v>8</v>
      </c>
      <c r="N6" s="42">
        <v>0</v>
      </c>
      <c r="O6" s="42">
        <v>0</v>
      </c>
      <c r="P6" s="42">
        <v>0</v>
      </c>
      <c r="Q6" s="42">
        <v>1</v>
      </c>
      <c r="R6" s="45"/>
    </row>
    <row r="7" spans="1:18" ht="23.4" x14ac:dyDescent="0.6">
      <c r="A7" s="4">
        <v>5</v>
      </c>
      <c r="B7" s="39" t="s">
        <v>33</v>
      </c>
      <c r="C7" s="48">
        <f t="shared" si="0"/>
        <v>58</v>
      </c>
      <c r="D7" s="49">
        <v>25.78</v>
      </c>
      <c r="E7" s="49">
        <f t="shared" si="1"/>
        <v>1495.24</v>
      </c>
      <c r="F7" s="42">
        <f>IFERROR(SUM(VLOOKUP(B7,[1]สรุปรายการสินค้า!$B:$C,2,0)),"0")</f>
        <v>23</v>
      </c>
      <c r="G7" s="42">
        <f>IFERROR(VLOOKUP(B7,[2]สรุปรายการสินค้า!$B:$C,2,0),"0")</f>
        <v>6</v>
      </c>
      <c r="H7" s="42">
        <f>IFERROR(VLOOKUP(B7,[3]สรุปรายการสินค้า!$B:$C,2,0),"0")</f>
        <v>5</v>
      </c>
      <c r="I7" s="42">
        <f>IFERROR(VLOOKUP(B7,[4]สรุปรายการสินค้า!$B:$C,2,0),"0")</f>
        <v>0</v>
      </c>
      <c r="J7" s="42">
        <v>6</v>
      </c>
      <c r="K7" s="42">
        <v>9</v>
      </c>
      <c r="L7" s="42">
        <v>1</v>
      </c>
      <c r="M7" s="42">
        <v>0</v>
      </c>
      <c r="N7" s="42">
        <v>2</v>
      </c>
      <c r="O7" s="42">
        <v>1</v>
      </c>
      <c r="P7" s="42">
        <v>0</v>
      </c>
      <c r="Q7" s="42">
        <v>5</v>
      </c>
      <c r="R7" s="45"/>
    </row>
    <row r="8" spans="1:18" ht="23.4" x14ac:dyDescent="0.6">
      <c r="A8" s="4">
        <v>6</v>
      </c>
      <c r="B8" s="39" t="s">
        <v>32</v>
      </c>
      <c r="C8" s="48">
        <f t="shared" si="0"/>
        <v>697</v>
      </c>
      <c r="D8" s="49">
        <v>19.579999999999998</v>
      </c>
      <c r="E8" s="49">
        <f t="shared" si="1"/>
        <v>13647.259999999998</v>
      </c>
      <c r="F8" s="42">
        <f>IFERROR(SUM(VLOOKUP(B8,[1]สรุปรายการสินค้า!$B:$C,2,0)),"0")</f>
        <v>185</v>
      </c>
      <c r="G8" s="42">
        <f>IFERROR(VLOOKUP(B8,[2]สรุปรายการสินค้า!$B:$C,2,0),"0")</f>
        <v>3</v>
      </c>
      <c r="H8" s="42">
        <f>IFERROR(VLOOKUP(B8,[3]สรุปรายการสินค้า!$B:$C,2,0),"0")</f>
        <v>0</v>
      </c>
      <c r="I8" s="42">
        <f>IFERROR(VLOOKUP(B8,[4]สรุปรายการสินค้า!$B:$C,2,0),"0")</f>
        <v>14</v>
      </c>
      <c r="J8" s="42">
        <v>26</v>
      </c>
      <c r="K8" s="42">
        <v>22</v>
      </c>
      <c r="L8" s="42">
        <v>16</v>
      </c>
      <c r="M8" s="42">
        <v>0</v>
      </c>
      <c r="N8" s="42">
        <v>0</v>
      </c>
      <c r="O8" s="42">
        <v>4</v>
      </c>
      <c r="P8" s="42">
        <v>49</v>
      </c>
      <c r="Q8" s="42">
        <v>378</v>
      </c>
      <c r="R8" s="45"/>
    </row>
    <row r="9" spans="1:18" ht="23.4" x14ac:dyDescent="0.6">
      <c r="A9" s="4">
        <v>7</v>
      </c>
      <c r="B9" s="39" t="s">
        <v>34</v>
      </c>
      <c r="C9" s="48">
        <f t="shared" si="0"/>
        <v>440</v>
      </c>
      <c r="D9" s="49">
        <v>13.36</v>
      </c>
      <c r="E9" s="49">
        <f t="shared" si="1"/>
        <v>5878.4</v>
      </c>
      <c r="F9" s="42">
        <f>IFERROR(SUM(VLOOKUP(B9,[1]สรุปรายการสินค้า!$B:$C,2,0)),"0")</f>
        <v>166</v>
      </c>
      <c r="G9" s="42">
        <f>IFERROR(VLOOKUP(B9,[2]สรุปรายการสินค้า!$B:$C,2,0),"0")</f>
        <v>0</v>
      </c>
      <c r="H9" s="42">
        <f>IFERROR(VLOOKUP(B9,[3]สรุปรายการสินค้า!$B:$C,2,0),"0")</f>
        <v>6</v>
      </c>
      <c r="I9" s="42">
        <f>IFERROR(VLOOKUP(B9,[4]สรุปรายการสินค้า!$B:$C,2,0),"0")</f>
        <v>22</v>
      </c>
      <c r="J9" s="42">
        <v>14</v>
      </c>
      <c r="K9" s="42">
        <v>22</v>
      </c>
      <c r="L9" s="42">
        <v>19</v>
      </c>
      <c r="M9" s="42">
        <v>15</v>
      </c>
      <c r="N9" s="42">
        <v>27</v>
      </c>
      <c r="O9" s="42">
        <v>0</v>
      </c>
      <c r="P9" s="42">
        <v>9</v>
      </c>
      <c r="Q9" s="42">
        <v>140</v>
      </c>
      <c r="R9" s="45"/>
    </row>
    <row r="10" spans="1:18" ht="23.4" x14ac:dyDescent="0.6">
      <c r="A10" s="4">
        <v>8</v>
      </c>
      <c r="B10" s="39" t="s">
        <v>35</v>
      </c>
      <c r="C10" s="48">
        <f t="shared" si="0"/>
        <v>1487</v>
      </c>
      <c r="D10" s="49">
        <v>15.04</v>
      </c>
      <c r="E10" s="49">
        <f t="shared" si="1"/>
        <v>22364.48</v>
      </c>
      <c r="F10" s="42">
        <f>IFERROR(SUM(VLOOKUP(B10,[1]สรุปรายการสินค้า!$B:$C,2,0)),"0")</f>
        <v>452</v>
      </c>
      <c r="G10" s="42">
        <f>IFERROR(VLOOKUP(B10,[2]สรุปรายการสินค้า!$B:$C,2,0),"0")</f>
        <v>11</v>
      </c>
      <c r="H10" s="42">
        <f>IFERROR(VLOOKUP(B10,[3]สรุปรายการสินค้า!$B:$C,2,0),"0")</f>
        <v>37</v>
      </c>
      <c r="I10" s="42">
        <f>IFERROR(VLOOKUP(B10,[4]สรุปรายการสินค้า!$B:$C,2,0),"0")</f>
        <v>135</v>
      </c>
      <c r="J10" s="42">
        <v>75</v>
      </c>
      <c r="K10" s="42">
        <v>120</v>
      </c>
      <c r="L10" s="42">
        <v>106</v>
      </c>
      <c r="M10" s="42">
        <v>9</v>
      </c>
      <c r="N10" s="42">
        <v>24</v>
      </c>
      <c r="O10" s="42">
        <v>6</v>
      </c>
      <c r="P10" s="42">
        <v>62</v>
      </c>
      <c r="Q10" s="42">
        <v>450</v>
      </c>
      <c r="R10" s="45"/>
    </row>
    <row r="11" spans="1:18" ht="23.4" x14ac:dyDescent="0.6">
      <c r="A11" s="4">
        <v>9</v>
      </c>
      <c r="B11" s="39" t="s">
        <v>67</v>
      </c>
      <c r="C11" s="48">
        <f t="shared" si="0"/>
        <v>222</v>
      </c>
      <c r="D11" s="49">
        <v>72.5</v>
      </c>
      <c r="E11" s="49">
        <f t="shared" si="1"/>
        <v>16095</v>
      </c>
      <c r="F11" s="42">
        <f>IFERROR(SUM(VLOOKUP(B11,[1]สรุปรายการสินค้า!$B:$C,2,0)),"0")</f>
        <v>34</v>
      </c>
      <c r="G11" s="42">
        <f>IFERROR(VLOOKUP(B11,[2]สรุปรายการสินค้า!$B:$C,2,0),"0")</f>
        <v>3</v>
      </c>
      <c r="H11" s="42">
        <f>IFERROR(VLOOKUP(B11,[3]สรุปรายการสินค้า!$B:$C,2,0),"0")</f>
        <v>0</v>
      </c>
      <c r="I11" s="42">
        <f>IFERROR(VLOOKUP(B11,[4]สรุปรายการสินค้า!$B:$C,2,0),"0")</f>
        <v>0</v>
      </c>
      <c r="J11" s="42">
        <v>2</v>
      </c>
      <c r="K11" s="42">
        <v>5</v>
      </c>
      <c r="L11" s="42">
        <v>10</v>
      </c>
      <c r="M11" s="42">
        <v>38</v>
      </c>
      <c r="N11" s="42">
        <v>81</v>
      </c>
      <c r="O11" s="42">
        <v>48</v>
      </c>
      <c r="P11" s="42">
        <v>0</v>
      </c>
      <c r="Q11" s="42">
        <v>1</v>
      </c>
      <c r="R11" s="45"/>
    </row>
    <row r="12" spans="1:18" ht="23.4" x14ac:dyDescent="0.6">
      <c r="A12" s="4">
        <v>10</v>
      </c>
      <c r="B12" s="39" t="s">
        <v>36</v>
      </c>
      <c r="C12" s="48">
        <f t="shared" si="0"/>
        <v>69</v>
      </c>
      <c r="D12" s="49">
        <v>0</v>
      </c>
      <c r="E12" s="49">
        <f t="shared" si="1"/>
        <v>0</v>
      </c>
      <c r="F12" s="42">
        <f>IFERROR(SUM(VLOOKUP(B12,[1]สรุปรายการสินค้า!$B:$C,2,0)),"0")</f>
        <v>0</v>
      </c>
      <c r="G12" s="42">
        <f>IFERROR(VLOOKUP(B12,[2]สรุปรายการสินค้า!$B:$C,2,0),"0")</f>
        <v>6</v>
      </c>
      <c r="H12" s="42">
        <f>IFERROR(VLOOKUP(B12,[3]สรุปรายการสินค้า!$B:$C,2,0),"0")</f>
        <v>2</v>
      </c>
      <c r="I12" s="42">
        <f>IFERROR(VLOOKUP(B12,[4]สรุปรายการสินค้า!$B:$C,2,0),"0")</f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19</v>
      </c>
      <c r="Q12" s="42">
        <v>42</v>
      </c>
      <c r="R12" s="45"/>
    </row>
    <row r="13" spans="1:18" ht="23.4" x14ac:dyDescent="0.6">
      <c r="A13" s="4">
        <v>11</v>
      </c>
      <c r="B13" s="39" t="s">
        <v>37</v>
      </c>
      <c r="C13" s="48">
        <f t="shared" si="0"/>
        <v>12</v>
      </c>
      <c r="D13" s="49">
        <v>0</v>
      </c>
      <c r="E13" s="49">
        <f t="shared" si="1"/>
        <v>0</v>
      </c>
      <c r="F13" s="42">
        <f>IFERROR(SUM(VLOOKUP(B13,[1]สรุปรายการสินค้า!$B:$C,2,0)),"0")</f>
        <v>0</v>
      </c>
      <c r="G13" s="42">
        <f>IFERROR(VLOOKUP(B13,[2]สรุปรายการสินค้า!$B:$C,2,0),"0")</f>
        <v>0</v>
      </c>
      <c r="H13" s="42">
        <f>IFERROR(VLOOKUP(B13,[3]สรุปรายการสินค้า!$B:$C,2,0),"0")</f>
        <v>0</v>
      </c>
      <c r="I13" s="42">
        <f>IFERROR(VLOOKUP(B13,[4]สรุปรายการสินค้า!$B:$C,2,0),"0")</f>
        <v>0</v>
      </c>
      <c r="J13" s="42">
        <v>0</v>
      </c>
      <c r="K13" s="42">
        <v>0</v>
      </c>
      <c r="L13" s="42">
        <v>0</v>
      </c>
      <c r="M13" s="42">
        <v>0</v>
      </c>
      <c r="N13" s="42">
        <v>9</v>
      </c>
      <c r="O13" s="42">
        <v>3</v>
      </c>
      <c r="P13" s="42">
        <v>0</v>
      </c>
      <c r="Q13" s="42">
        <v>0</v>
      </c>
      <c r="R13" s="45"/>
    </row>
    <row r="14" spans="1:18" ht="23.4" x14ac:dyDescent="0.6">
      <c r="A14" s="4">
        <v>12</v>
      </c>
      <c r="B14" s="39" t="s">
        <v>38</v>
      </c>
      <c r="C14" s="48">
        <f t="shared" si="0"/>
        <v>0</v>
      </c>
      <c r="D14" s="49">
        <v>0</v>
      </c>
      <c r="E14" s="49">
        <f t="shared" si="1"/>
        <v>0</v>
      </c>
      <c r="F14" s="42">
        <f>IFERROR(SUM(VLOOKUP(B14,[1]สรุปรายการสินค้า!$B:$C,2,0)),"0")</f>
        <v>0</v>
      </c>
      <c r="G14" s="42">
        <f>IFERROR(VLOOKUP(B14,[2]สรุปรายการสินค้า!$B:$C,2,0),"0")</f>
        <v>0</v>
      </c>
      <c r="H14" s="42">
        <f>IFERROR(VLOOKUP(B14,[3]สรุปรายการสินค้า!$B:$C,2,0),"0")</f>
        <v>0</v>
      </c>
      <c r="I14" s="42">
        <f>IFERROR(VLOOKUP(B14,[4]สรุปรายการสินค้า!$B:$C,2,0),"0")</f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5"/>
    </row>
    <row r="15" spans="1:18" ht="23.4" x14ac:dyDescent="0.6">
      <c r="A15" s="4">
        <v>13</v>
      </c>
      <c r="B15" s="39" t="s">
        <v>39</v>
      </c>
      <c r="C15" s="48">
        <f t="shared" si="0"/>
        <v>4</v>
      </c>
      <c r="D15" s="49">
        <v>0</v>
      </c>
      <c r="E15" s="49">
        <f t="shared" si="1"/>
        <v>0</v>
      </c>
      <c r="F15" s="42">
        <f>IFERROR(SUM(VLOOKUP(B15,[1]สรุปรายการสินค้า!$B:$C,2,0)),"0")</f>
        <v>0</v>
      </c>
      <c r="G15" s="42">
        <f>IFERROR(VLOOKUP(B15,[2]สรุปรายการสินค้า!$B:$C,2,0),"0")</f>
        <v>0</v>
      </c>
      <c r="H15" s="42">
        <f>IFERROR(VLOOKUP(B15,[3]สรุปรายการสินค้า!$B:$C,2,0),"0")</f>
        <v>0</v>
      </c>
      <c r="I15" s="42">
        <f>IFERROR(VLOOKUP(B15,[4]สรุปรายการสินค้า!$B:$C,2,0),"0")</f>
        <v>0</v>
      </c>
      <c r="J15" s="42">
        <v>0</v>
      </c>
      <c r="K15" s="42">
        <v>0</v>
      </c>
      <c r="L15" s="42">
        <v>0</v>
      </c>
      <c r="M15" s="42">
        <v>4</v>
      </c>
      <c r="N15" s="42">
        <v>0</v>
      </c>
      <c r="O15" s="42">
        <v>0</v>
      </c>
      <c r="P15" s="42">
        <v>0</v>
      </c>
      <c r="Q15" s="42">
        <v>0</v>
      </c>
      <c r="R15" s="45"/>
    </row>
    <row r="16" spans="1:18" ht="23.4" x14ac:dyDescent="0.6">
      <c r="A16" s="4">
        <v>14</v>
      </c>
      <c r="B16" s="39" t="s">
        <v>40</v>
      </c>
      <c r="C16" s="48">
        <f t="shared" si="0"/>
        <v>0</v>
      </c>
      <c r="D16" s="49">
        <v>0</v>
      </c>
      <c r="E16" s="49">
        <f t="shared" si="1"/>
        <v>0</v>
      </c>
      <c r="F16" s="42">
        <f>IFERROR(SUM(VLOOKUP(B16,[1]สรุปรายการสินค้า!$B:$C,2,0)),"0")</f>
        <v>0</v>
      </c>
      <c r="G16" s="42">
        <f>IFERROR(VLOOKUP(B16,[2]สรุปรายการสินค้า!$B:$C,2,0),"0")</f>
        <v>0</v>
      </c>
      <c r="H16" s="42">
        <f>IFERROR(VLOOKUP(B16,[3]สรุปรายการสินค้า!$B:$C,2,0),"0")</f>
        <v>0</v>
      </c>
      <c r="I16" s="42">
        <f>IFERROR(VLOOKUP(B16,[4]สรุปรายการสินค้า!$B:$C,2,0),"0")</f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5"/>
    </row>
    <row r="17" spans="1:18" ht="23.4" x14ac:dyDescent="0.6">
      <c r="A17" s="4">
        <v>15</v>
      </c>
      <c r="B17" s="39" t="s">
        <v>68</v>
      </c>
      <c r="C17" s="48">
        <f t="shared" si="0"/>
        <v>4</v>
      </c>
      <c r="D17" s="49">
        <v>22.02</v>
      </c>
      <c r="E17" s="49">
        <f t="shared" si="1"/>
        <v>88.08</v>
      </c>
      <c r="F17" s="42">
        <f>IFERROR(SUM(VLOOKUP(B17,[1]สรุปรายการสินค้า!$B:$C,2,0)),"0")</f>
        <v>0</v>
      </c>
      <c r="G17" s="42">
        <f>IFERROR(VLOOKUP(B17,[2]สรุปรายการสินค้า!$B:$C,2,0),"0")</f>
        <v>0</v>
      </c>
      <c r="H17" s="42">
        <f>IFERROR(VLOOKUP(B17,[3]สรุปรายการสินค้า!$B:$C,2,0),"0")</f>
        <v>0</v>
      </c>
      <c r="I17" s="42">
        <f>IFERROR(VLOOKUP(B17,[4]สรุปรายการสินค้า!$B:$C,2,0),"0")</f>
        <v>0</v>
      </c>
      <c r="J17" s="42">
        <v>0</v>
      </c>
      <c r="K17" s="42">
        <v>0</v>
      </c>
      <c r="L17" s="42">
        <v>4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5"/>
    </row>
    <row r="18" spans="1:18" ht="23.4" x14ac:dyDescent="0.6">
      <c r="A18" s="4">
        <v>16</v>
      </c>
      <c r="B18" s="39" t="s">
        <v>69</v>
      </c>
      <c r="C18" s="48">
        <f t="shared" si="0"/>
        <v>5</v>
      </c>
      <c r="D18" s="49">
        <v>4.43</v>
      </c>
      <c r="E18" s="49">
        <f t="shared" si="1"/>
        <v>22.15</v>
      </c>
      <c r="F18" s="42">
        <f>IFERROR(SUM(VLOOKUP(B18,[1]สรุปรายการสินค้า!$B:$C,2,0)),"0")</f>
        <v>0</v>
      </c>
      <c r="G18" s="42">
        <f>IFERROR(VLOOKUP(B18,[2]สรุปรายการสินค้า!$B:$C,2,0),"0")</f>
        <v>0</v>
      </c>
      <c r="H18" s="42">
        <f>IFERROR(VLOOKUP(B18,[3]สรุปรายการสินค้า!$B:$C,2,0),"0")</f>
        <v>5</v>
      </c>
      <c r="I18" s="42">
        <f>IFERROR(VLOOKUP(B18,[4]สรุปรายการสินค้า!$B:$C,2,0),"0")</f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5"/>
    </row>
    <row r="19" spans="1:18" ht="23.4" x14ac:dyDescent="0.6">
      <c r="A19" s="4">
        <v>17</v>
      </c>
      <c r="B19" s="39" t="s">
        <v>41</v>
      </c>
      <c r="C19" s="48">
        <f t="shared" si="0"/>
        <v>0</v>
      </c>
      <c r="D19" s="49">
        <v>0</v>
      </c>
      <c r="E19" s="49">
        <f t="shared" si="1"/>
        <v>0</v>
      </c>
      <c r="F19" s="42">
        <f>IFERROR(SUM(VLOOKUP(B19,[1]สรุปรายการสินค้า!$B:$C,2,0)),"0")</f>
        <v>0</v>
      </c>
      <c r="G19" s="42">
        <f>IFERROR(VLOOKUP(B19,[2]สรุปรายการสินค้า!$B:$C,2,0),"0")</f>
        <v>0</v>
      </c>
      <c r="H19" s="42">
        <f>IFERROR(VLOOKUP(B19,[3]สรุปรายการสินค้า!$B:$C,2,0),"0")</f>
        <v>0</v>
      </c>
      <c r="I19" s="42">
        <f>IFERROR(VLOOKUP(B19,[4]สรุปรายการสินค้า!$B:$C,2,0),"0")</f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5"/>
    </row>
    <row r="20" spans="1:18" ht="23.4" x14ac:dyDescent="0.6">
      <c r="A20" s="4">
        <v>18</v>
      </c>
      <c r="B20" s="39" t="s">
        <v>42</v>
      </c>
      <c r="C20" s="48">
        <f t="shared" si="0"/>
        <v>0</v>
      </c>
      <c r="D20" s="49">
        <v>0</v>
      </c>
      <c r="E20" s="49">
        <f t="shared" si="1"/>
        <v>0</v>
      </c>
      <c r="F20" s="42">
        <f>IFERROR(SUM(VLOOKUP(B20,[1]สรุปรายการสินค้า!$B:$C,2,0)),"0")</f>
        <v>0</v>
      </c>
      <c r="G20" s="42">
        <f>IFERROR(VLOOKUP(B20,[2]สรุปรายการสินค้า!$B:$C,2,0),"0")</f>
        <v>0</v>
      </c>
      <c r="H20" s="42">
        <f>IFERROR(VLOOKUP(B20,[3]สรุปรายการสินค้า!$B:$C,2,0),"0")</f>
        <v>0</v>
      </c>
      <c r="I20" s="42">
        <f>IFERROR(VLOOKUP(B20,[4]สรุปรายการสินค้า!$B:$C,2,0),"0")</f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5"/>
    </row>
    <row r="21" spans="1:18" ht="23.4" x14ac:dyDescent="0.6">
      <c r="A21" s="4">
        <v>19</v>
      </c>
      <c r="B21" s="39" t="s">
        <v>43</v>
      </c>
      <c r="C21" s="48">
        <f t="shared" si="0"/>
        <v>0</v>
      </c>
      <c r="D21" s="49">
        <v>0</v>
      </c>
      <c r="E21" s="49">
        <f t="shared" si="1"/>
        <v>0</v>
      </c>
      <c r="F21" s="42">
        <f>IFERROR(SUM(VLOOKUP(B21,[1]สรุปรายการสินค้า!$B:$C,2,0)),"0")</f>
        <v>0</v>
      </c>
      <c r="G21" s="42">
        <f>IFERROR(VLOOKUP(B21,[2]สรุปรายการสินค้า!$B:$C,2,0),"0")</f>
        <v>0</v>
      </c>
      <c r="H21" s="42">
        <f>IFERROR(VLOOKUP(B21,[3]สรุปรายการสินค้า!$B:$C,2,0),"0")</f>
        <v>0</v>
      </c>
      <c r="I21" s="42">
        <f>IFERROR(VLOOKUP(B21,[4]สรุปรายการสินค้า!$B:$C,2,0),"0")</f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5"/>
    </row>
    <row r="22" spans="1:18" ht="23.4" x14ac:dyDescent="0.6">
      <c r="A22" s="4">
        <v>20</v>
      </c>
      <c r="B22" s="39" t="s">
        <v>44</v>
      </c>
      <c r="C22" s="48">
        <f t="shared" si="0"/>
        <v>0</v>
      </c>
      <c r="D22" s="49">
        <v>0</v>
      </c>
      <c r="E22" s="49">
        <f t="shared" si="1"/>
        <v>0</v>
      </c>
      <c r="F22" s="42">
        <f>IFERROR(SUM(VLOOKUP(B22,[1]สรุปรายการสินค้า!$B:$C,2,0)),"0")</f>
        <v>0</v>
      </c>
      <c r="G22" s="42">
        <f>IFERROR(VLOOKUP(B22,[2]สรุปรายการสินค้า!$B:$C,2,0),"0")</f>
        <v>0</v>
      </c>
      <c r="H22" s="42">
        <f>IFERROR(VLOOKUP(B22,[3]สรุปรายการสินค้า!$B:$C,2,0),"0")</f>
        <v>0</v>
      </c>
      <c r="I22" s="42">
        <f>IFERROR(VLOOKUP(B22,[4]สรุปรายการสินค้า!$B:$C,2,0),"0")</f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5"/>
    </row>
    <row r="23" spans="1:18" ht="23.4" x14ac:dyDescent="0.6">
      <c r="A23" s="4">
        <v>21</v>
      </c>
      <c r="B23" s="39" t="s">
        <v>45</v>
      </c>
      <c r="C23" s="48">
        <f t="shared" si="0"/>
        <v>9</v>
      </c>
      <c r="D23" s="49">
        <v>5.86</v>
      </c>
      <c r="E23" s="49">
        <f t="shared" si="1"/>
        <v>52.74</v>
      </c>
      <c r="F23" s="42">
        <f>IFERROR(SUM(VLOOKUP(B23,[1]สรุปรายการสินค้า!$B:$C,2,0)),"0")</f>
        <v>0</v>
      </c>
      <c r="G23" s="42">
        <f>IFERROR(VLOOKUP(B23,[2]สรุปรายการสินค้า!$B:$C,2,0),"0")</f>
        <v>0</v>
      </c>
      <c r="H23" s="42">
        <f>IFERROR(VLOOKUP(B23,[3]สรุปรายการสินค้า!$B:$C,2,0),"0")</f>
        <v>0</v>
      </c>
      <c r="I23" s="42">
        <f>IFERROR(VLOOKUP(B23,[4]สรุปรายการสินค้า!$B:$C,2,0),"0")</f>
        <v>0</v>
      </c>
      <c r="J23" s="42">
        <v>0</v>
      </c>
      <c r="K23" s="42">
        <v>9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5"/>
    </row>
    <row r="24" spans="1:18" ht="23.4" x14ac:dyDescent="0.6">
      <c r="A24" s="4">
        <v>22</v>
      </c>
      <c r="B24" s="39" t="s">
        <v>46</v>
      </c>
      <c r="C24" s="48">
        <f t="shared" si="0"/>
        <v>0</v>
      </c>
      <c r="D24" s="49">
        <v>0</v>
      </c>
      <c r="E24" s="49">
        <f t="shared" si="1"/>
        <v>0</v>
      </c>
      <c r="F24" s="42">
        <f>IFERROR(SUM(VLOOKUP(B24,[1]สรุปรายการสินค้า!$B:$C,2,0)),"0")</f>
        <v>0</v>
      </c>
      <c r="G24" s="42">
        <f>IFERROR(VLOOKUP(B24,[2]สรุปรายการสินค้า!$B:$C,2,0),"0")</f>
        <v>0</v>
      </c>
      <c r="H24" s="42">
        <f>IFERROR(VLOOKUP(B24,[3]สรุปรายการสินค้า!$B:$C,2,0),"0")</f>
        <v>0</v>
      </c>
      <c r="I24" s="42">
        <f>IFERROR(VLOOKUP(B24,[4]สรุปรายการสินค้า!$B:$C,2,0),"0")</f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5"/>
    </row>
    <row r="25" spans="1:18" ht="23.4" x14ac:dyDescent="0.6">
      <c r="A25" s="4">
        <v>23</v>
      </c>
      <c r="B25" s="39" t="s">
        <v>47</v>
      </c>
      <c r="C25" s="48">
        <f t="shared" si="0"/>
        <v>24</v>
      </c>
      <c r="D25" s="49">
        <v>0</v>
      </c>
      <c r="E25" s="49">
        <f t="shared" si="1"/>
        <v>0</v>
      </c>
      <c r="F25" s="42">
        <f>IFERROR(SUM(VLOOKUP(B25,[1]สรุปรายการสินค้า!$B:$C,2,0)),"0")</f>
        <v>0</v>
      </c>
      <c r="G25" s="42">
        <f>IFERROR(VLOOKUP(B25,[2]สรุปรายการสินค้า!$B:$C,2,0),"0")</f>
        <v>2</v>
      </c>
      <c r="H25" s="42">
        <f>IFERROR(VLOOKUP(B25,[3]สรุปรายการสินค้า!$B:$C,2,0),"0")</f>
        <v>12</v>
      </c>
      <c r="I25" s="42">
        <f>IFERROR(VLOOKUP(B25,[4]สรุปรายการสินค้า!$B:$C,2,0),"0")</f>
        <v>0</v>
      </c>
      <c r="J25" s="42">
        <v>0</v>
      </c>
      <c r="K25" s="42">
        <v>0</v>
      </c>
      <c r="L25" s="42">
        <v>0</v>
      </c>
      <c r="M25" s="42">
        <v>8</v>
      </c>
      <c r="N25" s="42">
        <v>0</v>
      </c>
      <c r="O25" s="42">
        <v>0</v>
      </c>
      <c r="P25" s="42">
        <v>0</v>
      </c>
      <c r="Q25" s="42">
        <v>2</v>
      </c>
      <c r="R25" s="45"/>
    </row>
    <row r="26" spans="1:18" ht="23.4" x14ac:dyDescent="0.6">
      <c r="A26" s="4">
        <v>24</v>
      </c>
      <c r="B26" s="39" t="s">
        <v>48</v>
      </c>
      <c r="C26" s="48">
        <f t="shared" si="0"/>
        <v>16</v>
      </c>
      <c r="D26" s="49">
        <v>0</v>
      </c>
      <c r="E26" s="49">
        <f t="shared" si="1"/>
        <v>0</v>
      </c>
      <c r="F26" s="42">
        <f>IFERROR(SUM(VLOOKUP(B26,[1]สรุปรายการสินค้า!$B:$C,2,0)),"0")</f>
        <v>0</v>
      </c>
      <c r="G26" s="42">
        <f>IFERROR(VLOOKUP(B26,[2]สรุปรายการสินค้า!$B:$C,2,0),"0")</f>
        <v>0</v>
      </c>
      <c r="H26" s="42">
        <f>IFERROR(VLOOKUP(B26,[3]สรุปรายการสินค้า!$B:$C,2,0),"0")</f>
        <v>0</v>
      </c>
      <c r="I26" s="42">
        <f>IFERROR(VLOOKUP(B26,[4]สรุปรายการสินค้า!$B:$C,2,0),"0")</f>
        <v>0</v>
      </c>
      <c r="J26" s="42">
        <v>0</v>
      </c>
      <c r="K26" s="42">
        <v>0</v>
      </c>
      <c r="L26" s="42">
        <v>0</v>
      </c>
      <c r="M26" s="42">
        <v>0</v>
      </c>
      <c r="N26" s="42">
        <v>16</v>
      </c>
      <c r="O26" s="42">
        <v>0</v>
      </c>
      <c r="P26" s="42">
        <v>0</v>
      </c>
      <c r="Q26" s="42">
        <v>0</v>
      </c>
      <c r="R26" s="45"/>
    </row>
    <row r="27" spans="1:18" ht="23.4" x14ac:dyDescent="0.6">
      <c r="A27" s="4">
        <v>25</v>
      </c>
      <c r="B27" s="39" t="s">
        <v>49</v>
      </c>
      <c r="C27" s="48">
        <f t="shared" si="0"/>
        <v>30</v>
      </c>
      <c r="D27" s="49">
        <v>0</v>
      </c>
      <c r="E27" s="49">
        <f t="shared" si="1"/>
        <v>0</v>
      </c>
      <c r="F27" s="42">
        <f>IFERROR(SUM(VLOOKUP(B27,[1]สรุปรายการสินค้า!$B:$C,2,0)),"0")</f>
        <v>0</v>
      </c>
      <c r="G27" s="42">
        <f>IFERROR(VLOOKUP(B27,[2]สรุปรายการสินค้า!$B:$C,2,0),"0")</f>
        <v>0</v>
      </c>
      <c r="H27" s="42">
        <f>IFERROR(VLOOKUP(B27,[3]สรุปรายการสินค้า!$B:$C,2,0),"0")</f>
        <v>0</v>
      </c>
      <c r="I27" s="42">
        <f>IFERROR(VLOOKUP(B27,[4]สรุปรายการสินค้า!$B:$C,2,0),"0")</f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30</v>
      </c>
      <c r="Q27" s="42">
        <v>0</v>
      </c>
      <c r="R27" s="45"/>
    </row>
    <row r="28" spans="1:18" ht="23.4" x14ac:dyDescent="0.6">
      <c r="A28" s="4">
        <v>26</v>
      </c>
      <c r="B28" s="39" t="s">
        <v>50</v>
      </c>
      <c r="C28" s="48">
        <f t="shared" si="0"/>
        <v>0</v>
      </c>
      <c r="D28" s="49">
        <v>0</v>
      </c>
      <c r="E28" s="49">
        <f t="shared" si="1"/>
        <v>0</v>
      </c>
      <c r="F28" s="42">
        <f>IFERROR(SUM(VLOOKUP(B28,[1]สรุปรายการสินค้า!$B:$C,2,0)),"0")</f>
        <v>0</v>
      </c>
      <c r="G28" s="42">
        <f>IFERROR(VLOOKUP(B28,[2]สรุปรายการสินค้า!$B:$C,2,0),"0")</f>
        <v>0</v>
      </c>
      <c r="H28" s="42">
        <f>IFERROR(VLOOKUP(B28,[3]สรุปรายการสินค้า!$B:$C,2,0),"0")</f>
        <v>0</v>
      </c>
      <c r="I28" s="42">
        <f>IFERROR(VLOOKUP(B28,[4]สรุปรายการสินค้า!$B:$C,2,0),"0")</f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5"/>
    </row>
    <row r="29" spans="1:18" ht="23.4" x14ac:dyDescent="0.6">
      <c r="A29" s="4">
        <v>27</v>
      </c>
      <c r="B29" s="39" t="s">
        <v>51</v>
      </c>
      <c r="C29" s="48">
        <f t="shared" si="0"/>
        <v>25</v>
      </c>
      <c r="D29" s="49">
        <v>16.010000000000002</v>
      </c>
      <c r="E29" s="49">
        <f t="shared" si="1"/>
        <v>400.25000000000006</v>
      </c>
      <c r="F29" s="42">
        <f>IFERROR(SUM(VLOOKUP(B29,[1]สรุปรายการสินค้า!$B:$C,2,0)),"0")</f>
        <v>4</v>
      </c>
      <c r="G29" s="42">
        <f>IFERROR(VLOOKUP(B29,[2]สรุปรายการสินค้า!$B:$C,2,0),"0")</f>
        <v>0</v>
      </c>
      <c r="H29" s="42">
        <f>IFERROR(VLOOKUP(B29,[3]สรุปรายการสินค้า!$B:$C,2,0),"0")</f>
        <v>0</v>
      </c>
      <c r="I29" s="42">
        <f>IFERROR(VLOOKUP(B29,[4]สรุปรายการสินค้า!$B:$C,2,0),"0")</f>
        <v>4</v>
      </c>
      <c r="J29" s="42">
        <v>0</v>
      </c>
      <c r="K29" s="42">
        <v>0</v>
      </c>
      <c r="L29" s="42">
        <v>0</v>
      </c>
      <c r="M29" s="42">
        <v>16</v>
      </c>
      <c r="N29" s="42">
        <v>0</v>
      </c>
      <c r="O29" s="42">
        <v>0</v>
      </c>
      <c r="P29" s="42">
        <v>1</v>
      </c>
      <c r="Q29" s="42">
        <v>0</v>
      </c>
      <c r="R29" s="45"/>
    </row>
    <row r="30" spans="1:18" ht="23.4" x14ac:dyDescent="0.6">
      <c r="A30" s="4">
        <v>28</v>
      </c>
      <c r="B30" s="39" t="s">
        <v>52</v>
      </c>
      <c r="C30" s="48">
        <f t="shared" si="0"/>
        <v>54</v>
      </c>
      <c r="D30" s="49">
        <v>30.96</v>
      </c>
      <c r="E30" s="49">
        <f t="shared" si="1"/>
        <v>1671.8400000000001</v>
      </c>
      <c r="F30" s="42">
        <f>IFERROR(SUM(VLOOKUP(B30,[1]สรุปรายการสินค้า!$B:$C,2,0)),"0")</f>
        <v>0</v>
      </c>
      <c r="G30" s="42">
        <f>IFERROR(VLOOKUP(B30,[2]สรุปรายการสินค้า!$B:$C,2,0),"0")</f>
        <v>17</v>
      </c>
      <c r="H30" s="42">
        <f>IFERROR(VLOOKUP(B30,[3]สรุปรายการสินค้า!$B:$C,2,0),"0")</f>
        <v>0</v>
      </c>
      <c r="I30" s="42">
        <f>IFERROR(VLOOKUP(B30,[4]สรุปรายการสินค้า!$B:$C,2,0),"0")</f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31</v>
      </c>
      <c r="Q30" s="42">
        <v>6</v>
      </c>
      <c r="R30" s="45"/>
    </row>
    <row r="31" spans="1:18" ht="23.4" x14ac:dyDescent="0.6">
      <c r="A31" s="4">
        <v>29</v>
      </c>
      <c r="B31" s="39" t="s">
        <v>53</v>
      </c>
      <c r="C31" s="48">
        <f t="shared" si="0"/>
        <v>266</v>
      </c>
      <c r="D31" s="49">
        <v>17.5</v>
      </c>
      <c r="E31" s="49">
        <f t="shared" si="1"/>
        <v>4655</v>
      </c>
      <c r="F31" s="42">
        <f>IFERROR(SUM(VLOOKUP(B31,[1]สรุปรายการสินค้า!$B:$C,2,0)),"0")</f>
        <v>0</v>
      </c>
      <c r="G31" s="42">
        <f>IFERROR(VLOOKUP(B31,[2]สรุปรายการสินค้า!$B:$C,2,0),"0")</f>
        <v>0</v>
      </c>
      <c r="H31" s="42">
        <f>IFERROR(VLOOKUP(B31,[3]สรุปรายการสินค้า!$B:$C,2,0),"0")</f>
        <v>0</v>
      </c>
      <c r="I31" s="42">
        <f>IFERROR(VLOOKUP(B31,[4]สรุปรายการสินค้า!$B:$C,2,0),"0")</f>
        <v>0</v>
      </c>
      <c r="J31" s="42">
        <v>0</v>
      </c>
      <c r="K31" s="42">
        <v>0</v>
      </c>
      <c r="L31" s="42">
        <v>0</v>
      </c>
      <c r="M31" s="42">
        <v>0</v>
      </c>
      <c r="N31" s="42">
        <v>126</v>
      </c>
      <c r="O31" s="42">
        <v>140</v>
      </c>
      <c r="P31" s="42">
        <v>0</v>
      </c>
      <c r="Q31" s="42">
        <v>0</v>
      </c>
      <c r="R31" s="45"/>
    </row>
    <row r="32" spans="1:18" ht="23.4" x14ac:dyDescent="0.6">
      <c r="A32" s="4">
        <v>30</v>
      </c>
      <c r="B32" s="39" t="s">
        <v>54</v>
      </c>
      <c r="C32" s="48">
        <f t="shared" si="0"/>
        <v>0</v>
      </c>
      <c r="D32" s="49">
        <v>20.58</v>
      </c>
      <c r="E32" s="49">
        <f t="shared" si="1"/>
        <v>0</v>
      </c>
      <c r="F32" s="42">
        <f>IFERROR(SUM(VLOOKUP(B32,[1]สรุปรายการสินค้า!$B:$C,2,0)),"0")</f>
        <v>0</v>
      </c>
      <c r="G32" s="42">
        <f>IFERROR(VLOOKUP(B32,[2]สรุปรายการสินค้า!$B:$C,2,0),"0")</f>
        <v>0</v>
      </c>
      <c r="H32" s="42">
        <f>IFERROR(VLOOKUP(B32,[3]สรุปรายการสินค้า!$B:$C,2,0),"0")</f>
        <v>0</v>
      </c>
      <c r="I32" s="42">
        <f>IFERROR(VLOOKUP(B32,[4]สรุปรายการสินค้า!$B:$C,2,0),"0")</f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5"/>
    </row>
    <row r="33" spans="1:18" ht="23.4" x14ac:dyDescent="0.6">
      <c r="A33" s="4">
        <v>31</v>
      </c>
      <c r="B33" s="39" t="s">
        <v>70</v>
      </c>
      <c r="C33" s="48">
        <f t="shared" si="0"/>
        <v>0</v>
      </c>
      <c r="D33" s="49"/>
      <c r="E33" s="49">
        <f t="shared" si="1"/>
        <v>0</v>
      </c>
      <c r="F33" s="42">
        <f>IFERROR(SUM(VLOOKUP(B33,[1]สรุปรายการสินค้า!$B:$C,2,0)),"0")</f>
        <v>0</v>
      </c>
      <c r="G33" s="42">
        <f>IFERROR(VLOOKUP(B33,[2]สรุปรายการสินค้า!$B:$C,2,0),"0")</f>
        <v>0</v>
      </c>
      <c r="H33" s="42">
        <f>IFERROR(VLOOKUP(B33,[3]สรุปรายการสินค้า!$B:$C,2,0),"0")</f>
        <v>0</v>
      </c>
      <c r="I33" s="42">
        <f>IFERROR(VLOOKUP(B33,[4]สรุปรายการสินค้า!$B:$C,2,0),"0")</f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5"/>
    </row>
    <row r="34" spans="1:18" ht="23.4" x14ac:dyDescent="0.6">
      <c r="A34" s="4">
        <v>32</v>
      </c>
      <c r="B34" s="39" t="s">
        <v>55</v>
      </c>
      <c r="C34" s="48">
        <f t="shared" si="0"/>
        <v>0</v>
      </c>
      <c r="D34" s="49">
        <v>15</v>
      </c>
      <c r="E34" s="49">
        <f t="shared" si="1"/>
        <v>0</v>
      </c>
      <c r="F34" s="42">
        <f>IFERROR(SUM(VLOOKUP(B34,[1]สรุปรายการสินค้า!$B:$C,2,0)),"0")</f>
        <v>0</v>
      </c>
      <c r="G34" s="42">
        <f>IFERROR(VLOOKUP(B34,[2]สรุปรายการสินค้า!$B:$C,2,0),"0")</f>
        <v>0</v>
      </c>
      <c r="H34" s="42">
        <f>IFERROR(VLOOKUP(B34,[3]สรุปรายการสินค้า!$B:$C,2,0),"0")</f>
        <v>0</v>
      </c>
      <c r="I34" s="42">
        <f>IFERROR(VLOOKUP(B34,[4]สรุปรายการสินค้า!$B:$C,2,0),"0")</f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5"/>
    </row>
    <row r="35" spans="1:18" ht="23.4" x14ac:dyDescent="0.6">
      <c r="A35" s="4">
        <v>33</v>
      </c>
      <c r="B35" s="39" t="s">
        <v>71</v>
      </c>
      <c r="C35" s="48">
        <f t="shared" si="0"/>
        <v>20</v>
      </c>
      <c r="D35" s="49">
        <v>15</v>
      </c>
      <c r="E35" s="49">
        <f t="shared" si="1"/>
        <v>300</v>
      </c>
      <c r="F35" s="42">
        <f>IFERROR(SUM(VLOOKUP(B35,[1]สรุปรายการสินค้า!$B:$C,2,0)),"0")</f>
        <v>5</v>
      </c>
      <c r="G35" s="42">
        <f>IFERROR(VLOOKUP(B35,[2]สรุปรายการสินค้า!$B:$C,2,0),"0")</f>
        <v>10</v>
      </c>
      <c r="H35" s="42">
        <f>IFERROR(VLOOKUP(B35,[3]สรุปรายการสินค้า!$B:$C,2,0),"0")</f>
        <v>0</v>
      </c>
      <c r="I35" s="42">
        <f>IFERROR(VLOOKUP(B35,[4]สรุปรายการสินค้า!$B:$C,2,0),"0")</f>
        <v>5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5"/>
    </row>
    <row r="36" spans="1:18" ht="23.4" x14ac:dyDescent="0.6">
      <c r="A36" s="4">
        <v>34</v>
      </c>
      <c r="B36" s="39" t="s">
        <v>56</v>
      </c>
      <c r="C36" s="48">
        <f t="shared" si="0"/>
        <v>1227</v>
      </c>
      <c r="D36" s="49">
        <v>12.68</v>
      </c>
      <c r="E36" s="49">
        <f t="shared" si="1"/>
        <v>15558.359999999999</v>
      </c>
      <c r="F36" s="42">
        <f>IFERROR(SUM(VLOOKUP(B36,[1]สรุปรายการสินค้า!$B:$C,2,0)),"0")</f>
        <v>135</v>
      </c>
      <c r="G36" s="42">
        <f>IFERROR(VLOOKUP(B36,[2]สรุปรายการสินค้า!$B:$C,2,0),"0")</f>
        <v>0</v>
      </c>
      <c r="H36" s="42">
        <f>IFERROR(VLOOKUP(B36,[3]สรุปรายการสินค้า!$B:$C,2,0),"0")</f>
        <v>0</v>
      </c>
      <c r="I36" s="42">
        <f>IFERROR(VLOOKUP(B36,[4]สรุปรายการสินค้า!$B:$C,2,0),"0")</f>
        <v>188</v>
      </c>
      <c r="J36" s="42">
        <v>255</v>
      </c>
      <c r="K36" s="42">
        <v>402</v>
      </c>
      <c r="L36" s="42">
        <v>207</v>
      </c>
      <c r="M36" s="42">
        <v>40</v>
      </c>
      <c r="N36" s="42">
        <v>0</v>
      </c>
      <c r="O36" s="42">
        <v>0</v>
      </c>
      <c r="P36" s="42">
        <v>0</v>
      </c>
      <c r="Q36" s="42">
        <v>0</v>
      </c>
      <c r="R36" s="45"/>
    </row>
    <row r="37" spans="1:18" ht="23.4" x14ac:dyDescent="0.6">
      <c r="A37" s="4">
        <v>35</v>
      </c>
      <c r="B37" s="39" t="s">
        <v>73</v>
      </c>
      <c r="C37" s="48">
        <f t="shared" si="0"/>
        <v>15</v>
      </c>
      <c r="D37" s="49">
        <v>0</v>
      </c>
      <c r="E37" s="49">
        <f t="shared" si="1"/>
        <v>0</v>
      </c>
      <c r="F37" s="42" t="str">
        <f>IFERROR(SUM(VLOOKUP(B37,[1]สรุปรายการสินค้า!$B:$C,2,0)),"0")</f>
        <v>0</v>
      </c>
      <c r="G37" s="42">
        <f>IFERROR(VLOOKUP(B37,[2]สรุปรายการสินค้า!$B:$C,2,0),"0")</f>
        <v>8</v>
      </c>
      <c r="H37" s="42">
        <f>IFERROR(VLOOKUP(B37,[3]สรุปรายการสินค้า!$B:$C,2,0),"0")</f>
        <v>7</v>
      </c>
      <c r="I37" s="42">
        <f>IFERROR(VLOOKUP(B37,[4]สรุปรายการสินค้า!$B:$C,2,0),"0")</f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5"/>
    </row>
    <row r="38" spans="1:18" ht="23.4" x14ac:dyDescent="0.6">
      <c r="A38" s="4">
        <v>36</v>
      </c>
      <c r="B38" s="39"/>
      <c r="C38" s="48">
        <f t="shared" si="0"/>
        <v>0</v>
      </c>
      <c r="D38" s="49">
        <v>0</v>
      </c>
      <c r="E38" s="49">
        <f t="shared" si="1"/>
        <v>0</v>
      </c>
      <c r="F38" s="42" t="str">
        <f>IFERROR(SUM(VLOOKUP(B38,[1]สรุปรายการสินค้า!$B:$C,2,0)),"0")</f>
        <v>0</v>
      </c>
      <c r="G38" s="42" t="str">
        <f>IFERROR(VLOOKUP(B38,[2]สรุปรายการสินค้า!$B:$C,2,0),"0")</f>
        <v>0</v>
      </c>
      <c r="H38" s="42" t="str">
        <f>IFERROR(VLOOKUP(B38,[3]สรุปรายการสินค้า!$B:$C,2,0),"0")</f>
        <v>0</v>
      </c>
      <c r="I38" s="42" t="str">
        <f>IFERROR(VLOOKUP(B38,[4]สรุปรายการสินค้า!$B:$C,2,0),"0")</f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5"/>
    </row>
    <row r="39" spans="1:18" s="41" customFormat="1" ht="28.2" customHeight="1" thickBot="1" x14ac:dyDescent="0.75">
      <c r="A39" s="100" t="s">
        <v>57</v>
      </c>
      <c r="B39" s="100"/>
      <c r="C39" s="50">
        <f>SUM(C3:C38)</f>
        <v>5449</v>
      </c>
      <c r="D39" s="51" t="s">
        <v>58</v>
      </c>
      <c r="E39" s="51">
        <f t="shared" ref="E39" si="2">SUM(E3:E38)</f>
        <v>94633.44</v>
      </c>
      <c r="F39" s="52">
        <f>SUM(F3:F38)</f>
        <v>1312</v>
      </c>
      <c r="G39" s="52">
        <f t="shared" ref="G39:Q39" si="3">SUM(G3:G38)</f>
        <v>135</v>
      </c>
      <c r="H39" s="52">
        <f t="shared" si="3"/>
        <v>92</v>
      </c>
      <c r="I39" s="52">
        <f t="shared" si="3"/>
        <v>380</v>
      </c>
      <c r="J39" s="52">
        <f t="shared" si="3"/>
        <v>381</v>
      </c>
      <c r="K39" s="52">
        <f t="shared" si="3"/>
        <v>615</v>
      </c>
      <c r="L39" s="52">
        <f t="shared" si="3"/>
        <v>375</v>
      </c>
      <c r="M39" s="52">
        <f t="shared" si="3"/>
        <v>138</v>
      </c>
      <c r="N39" s="52">
        <f t="shared" si="3"/>
        <v>302</v>
      </c>
      <c r="O39" s="52">
        <f t="shared" si="3"/>
        <v>471</v>
      </c>
      <c r="P39" s="52">
        <f>SUM(P3:P38)</f>
        <v>203</v>
      </c>
      <c r="Q39" s="52">
        <f t="shared" si="3"/>
        <v>1045</v>
      </c>
      <c r="R39" s="3" t="s">
        <v>58</v>
      </c>
    </row>
    <row r="40" spans="1:18" ht="14.4" thickTop="1" x14ac:dyDescent="0.25"/>
  </sheetData>
  <mergeCells count="1">
    <mergeCell ref="A39:B3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C8418-A287-48BC-BB1B-DF521DBD90D7}">
  <sheetPr>
    <tabColor rgb="FFFF99FF"/>
  </sheetPr>
  <dimension ref="A1:BN38"/>
  <sheetViews>
    <sheetView zoomScale="70" zoomScaleNormal="70" workbookViewId="0">
      <pane xSplit="6" ySplit="5" topLeftCell="G21" activePane="bottomRight" state="frozen"/>
      <selection pane="topRight" activeCell="G1" sqref="G1"/>
      <selection pane="bottomLeft" activeCell="A6" sqref="A6"/>
      <selection pane="bottomRight" activeCell="C27" sqref="C27:L30"/>
    </sheetView>
  </sheetViews>
  <sheetFormatPr defaultRowHeight="13.8" x14ac:dyDescent="0.25"/>
  <sheetData>
    <row r="1" spans="1:66" ht="32.4" x14ac:dyDescent="0.85">
      <c r="A1" s="53" t="s">
        <v>82</v>
      </c>
    </row>
    <row r="2" spans="1:66" ht="23.4" x14ac:dyDescent="0.25">
      <c r="A2" s="102" t="s">
        <v>74</v>
      </c>
      <c r="B2" s="102"/>
      <c r="C2" s="102"/>
      <c r="D2" s="102"/>
      <c r="E2" s="102"/>
      <c r="F2" s="102"/>
    </row>
    <row r="3" spans="1:66" ht="23.4" x14ac:dyDescent="0.25">
      <c r="A3" s="102" t="s">
        <v>83</v>
      </c>
      <c r="B3" s="102"/>
      <c r="C3" s="102"/>
      <c r="D3" s="102"/>
      <c r="E3" s="102"/>
      <c r="F3" s="102"/>
      <c r="G3" s="103">
        <v>243984</v>
      </c>
      <c r="H3" s="102"/>
      <c r="I3" s="102"/>
      <c r="J3" s="102"/>
      <c r="K3" s="65"/>
      <c r="L3" s="103">
        <v>244015</v>
      </c>
      <c r="M3" s="102"/>
      <c r="N3" s="102"/>
      <c r="O3" s="102"/>
      <c r="P3" s="65"/>
      <c r="Q3" s="103">
        <v>244044</v>
      </c>
      <c r="R3" s="102"/>
      <c r="S3" s="102"/>
      <c r="T3" s="102"/>
      <c r="U3" s="65"/>
      <c r="V3" s="103">
        <v>244075</v>
      </c>
      <c r="W3" s="102"/>
      <c r="X3" s="102"/>
      <c r="Y3" s="102"/>
      <c r="Z3" s="65"/>
      <c r="AA3" s="103">
        <v>244105</v>
      </c>
      <c r="AB3" s="102"/>
      <c r="AC3" s="102"/>
      <c r="AD3" s="102"/>
      <c r="AE3" s="65"/>
      <c r="AF3" s="103">
        <v>244136</v>
      </c>
      <c r="AG3" s="102"/>
      <c r="AH3" s="102"/>
      <c r="AI3" s="102"/>
      <c r="AJ3" s="65"/>
      <c r="AK3" s="103">
        <v>244166</v>
      </c>
      <c r="AL3" s="102"/>
      <c r="AM3" s="102"/>
      <c r="AN3" s="102"/>
      <c r="AO3" s="65"/>
      <c r="AP3" s="103">
        <v>244197</v>
      </c>
      <c r="AQ3" s="102"/>
      <c r="AR3" s="102"/>
      <c r="AS3" s="102"/>
      <c r="AT3" s="65"/>
      <c r="AU3" s="103">
        <v>244228</v>
      </c>
      <c r="AV3" s="102"/>
      <c r="AW3" s="102"/>
      <c r="AX3" s="102"/>
      <c r="AY3" s="65"/>
      <c r="AZ3" s="103">
        <v>244258</v>
      </c>
      <c r="BA3" s="102"/>
      <c r="BB3" s="102"/>
      <c r="BC3" s="102"/>
      <c r="BD3" s="65"/>
      <c r="BE3" s="103">
        <v>244289</v>
      </c>
      <c r="BF3" s="102"/>
      <c r="BG3" s="102"/>
      <c r="BH3" s="102"/>
      <c r="BI3" s="65"/>
      <c r="BJ3" s="103">
        <v>244319</v>
      </c>
      <c r="BK3" s="102"/>
      <c r="BL3" s="102"/>
      <c r="BM3" s="102"/>
      <c r="BN3" s="65"/>
    </row>
    <row r="4" spans="1:66" ht="23.4" customHeight="1" x14ac:dyDescent="0.6">
      <c r="A4" s="104" t="s">
        <v>75</v>
      </c>
      <c r="B4" s="101" t="s">
        <v>76</v>
      </c>
      <c r="C4" s="101"/>
      <c r="D4" s="101"/>
      <c r="E4" s="101"/>
      <c r="F4" s="101"/>
      <c r="G4" s="101" t="s">
        <v>76</v>
      </c>
      <c r="H4" s="101"/>
      <c r="I4" s="101"/>
      <c r="J4" s="101"/>
      <c r="K4" s="101"/>
      <c r="L4" s="101" t="s">
        <v>76</v>
      </c>
      <c r="M4" s="101"/>
      <c r="N4" s="101"/>
      <c r="O4" s="101"/>
      <c r="P4" s="101"/>
      <c r="Q4" s="101" t="s">
        <v>76</v>
      </c>
      <c r="R4" s="101"/>
      <c r="S4" s="101"/>
      <c r="T4" s="101"/>
      <c r="U4" s="101"/>
      <c r="V4" s="101" t="s">
        <v>76</v>
      </c>
      <c r="W4" s="101"/>
      <c r="X4" s="101"/>
      <c r="Y4" s="101"/>
      <c r="Z4" s="101"/>
      <c r="AA4" s="101" t="s">
        <v>76</v>
      </c>
      <c r="AB4" s="101"/>
      <c r="AC4" s="101"/>
      <c r="AD4" s="101"/>
      <c r="AE4" s="101"/>
      <c r="AF4" s="101" t="s">
        <v>76</v>
      </c>
      <c r="AG4" s="101"/>
      <c r="AH4" s="101"/>
      <c r="AI4" s="101"/>
      <c r="AJ4" s="101"/>
      <c r="AK4" s="101" t="s">
        <v>76</v>
      </c>
      <c r="AL4" s="101"/>
      <c r="AM4" s="101"/>
      <c r="AN4" s="101"/>
      <c r="AO4" s="101"/>
      <c r="AP4" s="101" t="s">
        <v>76</v>
      </c>
      <c r="AQ4" s="101"/>
      <c r="AR4" s="101"/>
      <c r="AS4" s="101"/>
      <c r="AT4" s="101"/>
      <c r="AU4" s="101" t="s">
        <v>76</v>
      </c>
      <c r="AV4" s="101"/>
      <c r="AW4" s="101"/>
      <c r="AX4" s="101"/>
      <c r="AY4" s="101"/>
      <c r="AZ4" s="101" t="s">
        <v>76</v>
      </c>
      <c r="BA4" s="101"/>
      <c r="BB4" s="101"/>
      <c r="BC4" s="101"/>
      <c r="BD4" s="101"/>
      <c r="BE4" s="101" t="s">
        <v>76</v>
      </c>
      <c r="BF4" s="101"/>
      <c r="BG4" s="101"/>
      <c r="BH4" s="101"/>
      <c r="BI4" s="101"/>
      <c r="BJ4" s="101" t="s">
        <v>76</v>
      </c>
      <c r="BK4" s="101"/>
      <c r="BL4" s="101"/>
      <c r="BM4" s="101"/>
      <c r="BN4" s="101"/>
    </row>
    <row r="5" spans="1:66" ht="23.4" x14ac:dyDescent="0.6">
      <c r="A5" s="104"/>
      <c r="B5" s="54" t="s">
        <v>77</v>
      </c>
      <c r="C5" s="55" t="s">
        <v>78</v>
      </c>
      <c r="D5" s="56" t="s">
        <v>79</v>
      </c>
      <c r="E5" s="57" t="s">
        <v>80</v>
      </c>
      <c r="F5" s="62" t="s">
        <v>81</v>
      </c>
      <c r="G5" s="54" t="s">
        <v>77</v>
      </c>
      <c r="H5" s="55" t="s">
        <v>78</v>
      </c>
      <c r="I5" s="56" t="s">
        <v>79</v>
      </c>
      <c r="J5" s="57" t="s">
        <v>80</v>
      </c>
      <c r="K5" s="62" t="s">
        <v>81</v>
      </c>
      <c r="L5" s="54" t="s">
        <v>77</v>
      </c>
      <c r="M5" s="55" t="s">
        <v>78</v>
      </c>
      <c r="N5" s="56" t="s">
        <v>79</v>
      </c>
      <c r="O5" s="57" t="s">
        <v>80</v>
      </c>
      <c r="P5" s="62" t="s">
        <v>81</v>
      </c>
      <c r="Q5" s="54" t="s">
        <v>77</v>
      </c>
      <c r="R5" s="55" t="s">
        <v>78</v>
      </c>
      <c r="S5" s="56" t="s">
        <v>79</v>
      </c>
      <c r="T5" s="57" t="s">
        <v>80</v>
      </c>
      <c r="U5" s="62" t="s">
        <v>81</v>
      </c>
      <c r="V5" s="54" t="s">
        <v>77</v>
      </c>
      <c r="W5" s="55" t="s">
        <v>78</v>
      </c>
      <c r="X5" s="56" t="s">
        <v>79</v>
      </c>
      <c r="Y5" s="57" t="s">
        <v>80</v>
      </c>
      <c r="Z5" s="62" t="s">
        <v>81</v>
      </c>
      <c r="AA5" s="54" t="s">
        <v>77</v>
      </c>
      <c r="AB5" s="55" t="s">
        <v>78</v>
      </c>
      <c r="AC5" s="56" t="s">
        <v>79</v>
      </c>
      <c r="AD5" s="57" t="s">
        <v>80</v>
      </c>
      <c r="AE5" s="62" t="s">
        <v>81</v>
      </c>
      <c r="AF5" s="54" t="s">
        <v>77</v>
      </c>
      <c r="AG5" s="55" t="s">
        <v>78</v>
      </c>
      <c r="AH5" s="56" t="s">
        <v>79</v>
      </c>
      <c r="AI5" s="57" t="s">
        <v>80</v>
      </c>
      <c r="AJ5" s="62" t="s">
        <v>81</v>
      </c>
      <c r="AK5" s="54" t="s">
        <v>77</v>
      </c>
      <c r="AL5" s="55" t="s">
        <v>78</v>
      </c>
      <c r="AM5" s="56" t="s">
        <v>79</v>
      </c>
      <c r="AN5" s="57" t="s">
        <v>80</v>
      </c>
      <c r="AO5" s="62" t="s">
        <v>81</v>
      </c>
      <c r="AP5" s="54" t="s">
        <v>77</v>
      </c>
      <c r="AQ5" s="55" t="s">
        <v>78</v>
      </c>
      <c r="AR5" s="56" t="s">
        <v>79</v>
      </c>
      <c r="AS5" s="57" t="s">
        <v>80</v>
      </c>
      <c r="AT5" s="62" t="s">
        <v>81</v>
      </c>
      <c r="AU5" s="54" t="s">
        <v>77</v>
      </c>
      <c r="AV5" s="55" t="s">
        <v>78</v>
      </c>
      <c r="AW5" s="56" t="s">
        <v>79</v>
      </c>
      <c r="AX5" s="57" t="s">
        <v>80</v>
      </c>
      <c r="AY5" s="62" t="s">
        <v>81</v>
      </c>
      <c r="AZ5" s="54" t="s">
        <v>77</v>
      </c>
      <c r="BA5" s="55" t="s">
        <v>78</v>
      </c>
      <c r="BB5" s="56" t="s">
        <v>79</v>
      </c>
      <c r="BC5" s="57" t="s">
        <v>80</v>
      </c>
      <c r="BD5" s="62" t="s">
        <v>81</v>
      </c>
      <c r="BE5" s="54" t="s">
        <v>77</v>
      </c>
      <c r="BF5" s="55" t="s">
        <v>78</v>
      </c>
      <c r="BG5" s="56" t="s">
        <v>79</v>
      </c>
      <c r="BH5" s="57" t="s">
        <v>80</v>
      </c>
      <c r="BI5" s="62" t="s">
        <v>81</v>
      </c>
      <c r="BJ5" s="54" t="s">
        <v>77</v>
      </c>
      <c r="BK5" s="55" t="s">
        <v>78</v>
      </c>
      <c r="BL5" s="56" t="s">
        <v>79</v>
      </c>
      <c r="BM5" s="57" t="s">
        <v>80</v>
      </c>
      <c r="BN5" s="62" t="s">
        <v>81</v>
      </c>
    </row>
    <row r="6" spans="1:66" ht="28.8" x14ac:dyDescent="0.75">
      <c r="A6" s="58">
        <v>1</v>
      </c>
      <c r="B6" s="60">
        <f>+G6+L6+Q6+V6+AA6+AF6+AK6+AP6+AU6+AZ6+BE6+BJ6</f>
        <v>2</v>
      </c>
      <c r="C6" s="60">
        <f>+H6+M6+R6+W6+AB6+AG6+AL6+AQ6+AV6+BA6+BF6+BK6</f>
        <v>3</v>
      </c>
      <c r="D6" s="60">
        <f>+I6+N6+S6+X6+AC6+AH6+AM6+AR6+AW6+BB6+BG6+BL6</f>
        <v>35</v>
      </c>
      <c r="E6" s="60">
        <f>+J6+O6+T6+Y6+AD6+AI6+AN6+AS6+AX6+BC6+BH6+BM6</f>
        <v>2</v>
      </c>
      <c r="F6" s="64">
        <f>SUM(B6:E6)</f>
        <v>42</v>
      </c>
      <c r="G6" s="60">
        <v>1</v>
      </c>
      <c r="H6" s="60">
        <v>1</v>
      </c>
      <c r="I6" s="60">
        <v>3</v>
      </c>
      <c r="J6" s="60"/>
      <c r="K6" s="64">
        <f>SUM(G6:J6)</f>
        <v>5</v>
      </c>
      <c r="L6" s="59"/>
      <c r="M6" s="59"/>
      <c r="N6" s="59"/>
      <c r="O6" s="59"/>
      <c r="P6" s="64">
        <f>SUM(L6:O6)</f>
        <v>0</v>
      </c>
      <c r="Q6" s="59"/>
      <c r="R6" s="59">
        <v>1</v>
      </c>
      <c r="S6" s="59"/>
      <c r="T6" s="59">
        <v>1</v>
      </c>
      <c r="U6" s="64">
        <f>SUM(Q6:T6)</f>
        <v>2</v>
      </c>
      <c r="V6" s="59">
        <v>1</v>
      </c>
      <c r="W6" s="59"/>
      <c r="X6" s="59">
        <v>1</v>
      </c>
      <c r="Y6" s="59">
        <v>1</v>
      </c>
      <c r="Z6" s="64">
        <f>SUM(V6:Y6)</f>
        <v>3</v>
      </c>
      <c r="AA6" s="59"/>
      <c r="AB6" s="59"/>
      <c r="AC6" s="59">
        <v>6</v>
      </c>
      <c r="AD6" s="59"/>
      <c r="AE6" s="64">
        <f>SUM(AA6:AD6)</f>
        <v>6</v>
      </c>
      <c r="AF6" s="40"/>
      <c r="AG6" s="40"/>
      <c r="AH6" s="40">
        <v>6</v>
      </c>
      <c r="AI6" s="40"/>
      <c r="AJ6" s="64">
        <f>SUM(AF6:AI6)</f>
        <v>6</v>
      </c>
      <c r="AK6" s="59"/>
      <c r="AL6" s="59"/>
      <c r="AM6" s="59">
        <v>4</v>
      </c>
      <c r="AN6" s="59"/>
      <c r="AO6" s="64">
        <f>SUM(AK6:AN6)</f>
        <v>4</v>
      </c>
      <c r="AP6" s="40"/>
      <c r="AQ6" s="40"/>
      <c r="AR6" s="40">
        <v>5</v>
      </c>
      <c r="AS6" s="40"/>
      <c r="AT6" s="64">
        <f>SUM(AP6:AS6)</f>
        <v>5</v>
      </c>
      <c r="AU6" s="67"/>
      <c r="AV6" s="67"/>
      <c r="AW6" s="67"/>
      <c r="AX6" s="67"/>
      <c r="AY6" s="64">
        <f>SUM(AU6:AX6)</f>
        <v>0</v>
      </c>
      <c r="AZ6" s="40"/>
      <c r="BA6" s="40">
        <v>1</v>
      </c>
      <c r="BB6" s="40"/>
      <c r="BC6" s="40"/>
      <c r="BD6" s="64">
        <f>SUM(AZ6:BC6)</f>
        <v>1</v>
      </c>
      <c r="BE6" s="68"/>
      <c r="BF6" s="68"/>
      <c r="BG6" s="68">
        <v>3</v>
      </c>
      <c r="BH6" s="68"/>
      <c r="BI6" s="64">
        <f>SUM(BE6:BH6)</f>
        <v>3</v>
      </c>
      <c r="BJ6" s="59"/>
      <c r="BK6" s="59"/>
      <c r="BL6" s="59">
        <v>7</v>
      </c>
      <c r="BM6" s="59"/>
      <c r="BN6" s="64">
        <f>SUM(BJ6:BM6)</f>
        <v>7</v>
      </c>
    </row>
    <row r="7" spans="1:66" ht="28.8" x14ac:dyDescent="0.75">
      <c r="A7" s="58">
        <v>2</v>
      </c>
      <c r="B7" s="60">
        <f t="shared" ref="B7:B36" si="0">+G7+L7+Q7+V7+AA7+AF7+AK7+AP7+AU7+AZ7+BE7+BJ7</f>
        <v>1</v>
      </c>
      <c r="C7" s="60">
        <f t="shared" ref="C7:C36" si="1">+H7+M7+R7+W7+AB7+AG7+AL7+AQ7+AV7+BA7+BF7+BK7</f>
        <v>3</v>
      </c>
      <c r="D7" s="60">
        <f t="shared" ref="D7:D36" si="2">+I7+N7+S7+X7+AC7+AH7+AM7+AR7+AW7+BB7+BG7+BL7</f>
        <v>21</v>
      </c>
      <c r="E7" s="60">
        <f t="shared" ref="E7:E36" si="3">+J7+O7+T7+Y7+AD7+AI7+AN7+AS7+AX7+BC7+BH7+BM7</f>
        <v>4</v>
      </c>
      <c r="F7" s="64">
        <f t="shared" ref="F7:F36" si="4">SUM(B7:E7)</f>
        <v>29</v>
      </c>
      <c r="G7" s="60"/>
      <c r="H7" s="60">
        <v>1</v>
      </c>
      <c r="I7" s="60">
        <v>5</v>
      </c>
      <c r="J7" s="60"/>
      <c r="K7" s="64">
        <f t="shared" ref="K7:K36" si="5">SUM(G7:J7)</f>
        <v>6</v>
      </c>
      <c r="L7" s="59"/>
      <c r="M7" s="59"/>
      <c r="N7" s="59"/>
      <c r="O7" s="59"/>
      <c r="P7" s="64">
        <f t="shared" ref="P7:P36" si="6">SUM(L7:O7)</f>
        <v>0</v>
      </c>
      <c r="Q7" s="59"/>
      <c r="R7" s="59"/>
      <c r="S7" s="59">
        <v>3</v>
      </c>
      <c r="T7" s="59"/>
      <c r="U7" s="64">
        <f t="shared" ref="U7:U36" si="7">SUM(Q7:T7)</f>
        <v>3</v>
      </c>
      <c r="V7" s="59"/>
      <c r="W7" s="59">
        <v>2</v>
      </c>
      <c r="X7" s="59"/>
      <c r="Y7" s="59"/>
      <c r="Z7" s="64">
        <f t="shared" ref="Z7:Z36" si="8">SUM(V7:Y7)</f>
        <v>2</v>
      </c>
      <c r="AA7" s="59"/>
      <c r="AB7" s="59"/>
      <c r="AC7" s="59"/>
      <c r="AD7" s="59"/>
      <c r="AE7" s="64">
        <f t="shared" ref="AE7:AE36" si="9">SUM(AA7:AD7)</f>
        <v>0</v>
      </c>
      <c r="AF7" s="40"/>
      <c r="AG7" s="40"/>
      <c r="AH7" s="40"/>
      <c r="AI7" s="40">
        <v>3</v>
      </c>
      <c r="AJ7" s="64">
        <f t="shared" ref="AJ7:AJ36" si="10">SUM(AF7:AI7)</f>
        <v>3</v>
      </c>
      <c r="AK7" s="59"/>
      <c r="AL7" s="59"/>
      <c r="AM7" s="59">
        <v>7</v>
      </c>
      <c r="AN7" s="59">
        <v>1</v>
      </c>
      <c r="AO7" s="64">
        <f t="shared" ref="AO7:AO36" si="11">SUM(AK7:AN7)</f>
        <v>8</v>
      </c>
      <c r="AP7" s="40">
        <v>1</v>
      </c>
      <c r="AQ7" s="40"/>
      <c r="AR7" s="40">
        <v>2</v>
      </c>
      <c r="AS7" s="40"/>
      <c r="AT7" s="64">
        <f t="shared" ref="AT7:AT36" si="12">SUM(AP7:AS7)</f>
        <v>3</v>
      </c>
      <c r="AU7" s="67"/>
      <c r="AV7" s="67"/>
      <c r="AW7" s="67"/>
      <c r="AX7" s="67"/>
      <c r="AY7" s="64">
        <f t="shared" ref="AY7:AY36" si="13">SUM(AU7:AX7)</f>
        <v>0</v>
      </c>
      <c r="AZ7" s="40"/>
      <c r="BA7" s="40"/>
      <c r="BB7" s="40">
        <v>4</v>
      </c>
      <c r="BC7" s="40"/>
      <c r="BD7" s="64">
        <f t="shared" ref="BD7:BD36" si="14">SUM(AZ7:BC7)</f>
        <v>4</v>
      </c>
      <c r="BE7" s="68"/>
      <c r="BF7" s="68"/>
      <c r="BG7" s="68"/>
      <c r="BH7" s="68"/>
      <c r="BI7" s="64">
        <f t="shared" ref="BI7:BI36" si="15">SUM(BE7:BH7)</f>
        <v>0</v>
      </c>
      <c r="BJ7" s="59"/>
      <c r="BK7" s="59"/>
      <c r="BL7" s="59"/>
      <c r="BM7" s="59"/>
      <c r="BN7" s="64">
        <f t="shared" ref="BN7:BN36" si="16">SUM(BJ7:BM7)</f>
        <v>0</v>
      </c>
    </row>
    <row r="8" spans="1:66" ht="28.8" x14ac:dyDescent="0.75">
      <c r="A8" s="58">
        <v>3</v>
      </c>
      <c r="B8" s="60">
        <f t="shared" si="0"/>
        <v>6</v>
      </c>
      <c r="C8" s="60">
        <f t="shared" si="1"/>
        <v>3</v>
      </c>
      <c r="D8" s="60">
        <f t="shared" si="2"/>
        <v>20</v>
      </c>
      <c r="E8" s="60">
        <f t="shared" si="3"/>
        <v>9</v>
      </c>
      <c r="F8" s="64">
        <f t="shared" si="4"/>
        <v>38</v>
      </c>
      <c r="G8" s="60">
        <v>1</v>
      </c>
      <c r="H8" s="60">
        <v>1</v>
      </c>
      <c r="I8" s="60">
        <v>10</v>
      </c>
      <c r="J8" s="60">
        <v>7</v>
      </c>
      <c r="K8" s="64">
        <f t="shared" si="5"/>
        <v>19</v>
      </c>
      <c r="L8" s="60">
        <v>2</v>
      </c>
      <c r="M8" s="59"/>
      <c r="N8" s="59"/>
      <c r="O8" s="59"/>
      <c r="P8" s="64">
        <f t="shared" si="6"/>
        <v>2</v>
      </c>
      <c r="Q8" s="60"/>
      <c r="R8" s="59">
        <v>1</v>
      </c>
      <c r="S8" s="59"/>
      <c r="T8" s="59"/>
      <c r="U8" s="64">
        <f t="shared" si="7"/>
        <v>1</v>
      </c>
      <c r="V8" s="60"/>
      <c r="W8" s="59"/>
      <c r="X8" s="59"/>
      <c r="Y8" s="59"/>
      <c r="Z8" s="64">
        <f t="shared" si="8"/>
        <v>0</v>
      </c>
      <c r="AA8" s="60"/>
      <c r="AB8" s="59"/>
      <c r="AC8" s="59"/>
      <c r="AD8" s="59"/>
      <c r="AE8" s="64">
        <f t="shared" si="9"/>
        <v>0</v>
      </c>
      <c r="AF8" s="40"/>
      <c r="AG8" s="40">
        <v>1</v>
      </c>
      <c r="AH8" s="40">
        <v>3</v>
      </c>
      <c r="AI8" s="40"/>
      <c r="AJ8" s="64">
        <f t="shared" si="10"/>
        <v>4</v>
      </c>
      <c r="AK8" s="60">
        <v>1</v>
      </c>
      <c r="AL8" s="59"/>
      <c r="AM8" s="59">
        <v>7</v>
      </c>
      <c r="AN8" s="59"/>
      <c r="AO8" s="64">
        <f t="shared" si="11"/>
        <v>8</v>
      </c>
      <c r="AP8" s="40"/>
      <c r="AQ8" s="40"/>
      <c r="AR8" s="40"/>
      <c r="AS8" s="40"/>
      <c r="AT8" s="64">
        <f t="shared" si="12"/>
        <v>0</v>
      </c>
      <c r="AU8" s="68"/>
      <c r="AV8" s="67"/>
      <c r="AW8" s="67"/>
      <c r="AX8" s="67"/>
      <c r="AY8" s="64">
        <f t="shared" si="13"/>
        <v>0</v>
      </c>
      <c r="AZ8" s="40">
        <v>2</v>
      </c>
      <c r="BA8" s="40"/>
      <c r="BB8" s="40"/>
      <c r="BC8" s="40"/>
      <c r="BD8" s="64">
        <f t="shared" si="14"/>
        <v>2</v>
      </c>
      <c r="BE8" s="68"/>
      <c r="BF8" s="68"/>
      <c r="BG8" s="68"/>
      <c r="BH8" s="68"/>
      <c r="BI8" s="64">
        <f t="shared" si="15"/>
        <v>0</v>
      </c>
      <c r="BJ8" s="60"/>
      <c r="BK8" s="59"/>
      <c r="BL8" s="59"/>
      <c r="BM8" s="59">
        <v>2</v>
      </c>
      <c r="BN8" s="64">
        <f t="shared" si="16"/>
        <v>2</v>
      </c>
    </row>
    <row r="9" spans="1:66" ht="28.8" x14ac:dyDescent="0.75">
      <c r="A9" s="58">
        <v>4</v>
      </c>
      <c r="B9" s="60">
        <f t="shared" si="0"/>
        <v>0</v>
      </c>
      <c r="C9" s="60">
        <f t="shared" si="1"/>
        <v>0</v>
      </c>
      <c r="D9" s="60">
        <f t="shared" si="2"/>
        <v>15</v>
      </c>
      <c r="E9" s="60">
        <f t="shared" si="3"/>
        <v>1</v>
      </c>
      <c r="F9" s="64">
        <f t="shared" si="4"/>
        <v>16</v>
      </c>
      <c r="G9" s="60"/>
      <c r="H9" s="60"/>
      <c r="I9" s="60"/>
      <c r="J9" s="60"/>
      <c r="K9" s="64">
        <f t="shared" si="5"/>
        <v>0</v>
      </c>
      <c r="L9" s="59"/>
      <c r="M9" s="59"/>
      <c r="N9" s="59"/>
      <c r="O9" s="59"/>
      <c r="P9" s="64">
        <f t="shared" si="6"/>
        <v>0</v>
      </c>
      <c r="Q9" s="59"/>
      <c r="R9" s="59"/>
      <c r="S9" s="59"/>
      <c r="T9" s="59"/>
      <c r="U9" s="64">
        <f t="shared" si="7"/>
        <v>0</v>
      </c>
      <c r="V9" s="59"/>
      <c r="W9" s="59"/>
      <c r="X9" s="59"/>
      <c r="Y9" s="59"/>
      <c r="Z9" s="64">
        <f t="shared" si="8"/>
        <v>0</v>
      </c>
      <c r="AA9" s="59"/>
      <c r="AB9" s="59"/>
      <c r="AC9" s="59"/>
      <c r="AD9" s="59"/>
      <c r="AE9" s="64">
        <f t="shared" si="9"/>
        <v>0</v>
      </c>
      <c r="AF9" s="40"/>
      <c r="AG9" s="40"/>
      <c r="AH9" s="40"/>
      <c r="AI9" s="40"/>
      <c r="AJ9" s="64">
        <f t="shared" si="10"/>
        <v>0</v>
      </c>
      <c r="AK9" s="59"/>
      <c r="AL9" s="59"/>
      <c r="AM9" s="59">
        <v>5</v>
      </c>
      <c r="AN9" s="59"/>
      <c r="AO9" s="64">
        <f t="shared" si="11"/>
        <v>5</v>
      </c>
      <c r="AP9" s="40"/>
      <c r="AQ9" s="40"/>
      <c r="AR9" s="40"/>
      <c r="AS9" s="40"/>
      <c r="AT9" s="64">
        <f t="shared" si="12"/>
        <v>0</v>
      </c>
      <c r="AU9" s="67"/>
      <c r="AV9" s="67"/>
      <c r="AW9" s="67">
        <v>10</v>
      </c>
      <c r="AX9" s="67">
        <v>1</v>
      </c>
      <c r="AY9" s="64">
        <f t="shared" si="13"/>
        <v>11</v>
      </c>
      <c r="AZ9" s="40"/>
      <c r="BA9" s="40"/>
      <c r="BB9" s="40"/>
      <c r="BC9" s="40"/>
      <c r="BD9" s="64">
        <f t="shared" si="14"/>
        <v>0</v>
      </c>
      <c r="BE9" s="68"/>
      <c r="BF9" s="68"/>
      <c r="BG9" s="68"/>
      <c r="BH9" s="68"/>
      <c r="BI9" s="64">
        <f t="shared" si="15"/>
        <v>0</v>
      </c>
      <c r="BJ9" s="59"/>
      <c r="BK9" s="59"/>
      <c r="BL9" s="59"/>
      <c r="BM9" s="59"/>
      <c r="BN9" s="64">
        <f t="shared" si="16"/>
        <v>0</v>
      </c>
    </row>
    <row r="10" spans="1:66" ht="28.8" x14ac:dyDescent="0.75">
      <c r="A10" s="58">
        <v>5</v>
      </c>
      <c r="B10" s="60">
        <f t="shared" si="0"/>
        <v>2</v>
      </c>
      <c r="C10" s="60">
        <f t="shared" si="1"/>
        <v>1</v>
      </c>
      <c r="D10" s="60">
        <f t="shared" si="2"/>
        <v>36</v>
      </c>
      <c r="E10" s="60">
        <f t="shared" si="3"/>
        <v>9</v>
      </c>
      <c r="F10" s="64">
        <f t="shared" si="4"/>
        <v>48</v>
      </c>
      <c r="G10" s="60"/>
      <c r="H10" s="60"/>
      <c r="I10" s="60">
        <v>1</v>
      </c>
      <c r="J10" s="60">
        <v>3</v>
      </c>
      <c r="K10" s="64">
        <f t="shared" si="5"/>
        <v>4</v>
      </c>
      <c r="L10" s="59"/>
      <c r="M10" s="60">
        <v>1</v>
      </c>
      <c r="N10" s="60">
        <v>1</v>
      </c>
      <c r="O10" s="60">
        <v>1</v>
      </c>
      <c r="P10" s="64">
        <f t="shared" si="6"/>
        <v>3</v>
      </c>
      <c r="Q10" s="59"/>
      <c r="R10" s="60"/>
      <c r="S10" s="60"/>
      <c r="T10" s="60">
        <v>2</v>
      </c>
      <c r="U10" s="64">
        <f t="shared" si="7"/>
        <v>2</v>
      </c>
      <c r="V10" s="59"/>
      <c r="W10" s="60"/>
      <c r="X10" s="60"/>
      <c r="Y10" s="60"/>
      <c r="Z10" s="64">
        <f t="shared" si="8"/>
        <v>0</v>
      </c>
      <c r="AA10" s="59"/>
      <c r="AB10" s="60"/>
      <c r="AC10" s="60">
        <v>8</v>
      </c>
      <c r="AD10" s="60"/>
      <c r="AE10" s="64">
        <f t="shared" si="9"/>
        <v>8</v>
      </c>
      <c r="AF10" s="40">
        <v>1</v>
      </c>
      <c r="AG10" s="40"/>
      <c r="AH10" s="40">
        <v>15</v>
      </c>
      <c r="AI10" s="40"/>
      <c r="AJ10" s="64">
        <f t="shared" si="10"/>
        <v>16</v>
      </c>
      <c r="AK10" s="59"/>
      <c r="AL10" s="60"/>
      <c r="AM10" s="60">
        <v>5</v>
      </c>
      <c r="AN10" s="60">
        <v>2</v>
      </c>
      <c r="AO10" s="64">
        <f t="shared" si="11"/>
        <v>7</v>
      </c>
      <c r="AP10" s="40"/>
      <c r="AQ10" s="40"/>
      <c r="AR10" s="40">
        <v>2</v>
      </c>
      <c r="AS10" s="40"/>
      <c r="AT10" s="64">
        <f t="shared" si="12"/>
        <v>2</v>
      </c>
      <c r="AU10" s="67"/>
      <c r="AV10" s="68"/>
      <c r="AW10" s="68"/>
      <c r="AX10" s="68"/>
      <c r="AY10" s="64">
        <f t="shared" si="13"/>
        <v>0</v>
      </c>
      <c r="AZ10" s="40"/>
      <c r="BA10" s="40"/>
      <c r="BB10" s="40">
        <v>3</v>
      </c>
      <c r="BC10" s="40"/>
      <c r="BD10" s="64">
        <f t="shared" si="14"/>
        <v>3</v>
      </c>
      <c r="BE10" s="68"/>
      <c r="BF10" s="68"/>
      <c r="BG10" s="68"/>
      <c r="BH10" s="68">
        <v>1</v>
      </c>
      <c r="BI10" s="64">
        <f t="shared" si="15"/>
        <v>1</v>
      </c>
      <c r="BJ10" s="59">
        <v>1</v>
      </c>
      <c r="BK10" s="60"/>
      <c r="BL10" s="60">
        <v>1</v>
      </c>
      <c r="BM10" s="60"/>
      <c r="BN10" s="64">
        <f t="shared" si="16"/>
        <v>2</v>
      </c>
    </row>
    <row r="11" spans="1:66" ht="28.8" x14ac:dyDescent="0.75">
      <c r="A11" s="58">
        <v>6</v>
      </c>
      <c r="B11" s="60">
        <f t="shared" si="0"/>
        <v>0</v>
      </c>
      <c r="C11" s="60">
        <f t="shared" si="1"/>
        <v>2</v>
      </c>
      <c r="D11" s="60">
        <f t="shared" si="2"/>
        <v>27</v>
      </c>
      <c r="E11" s="60">
        <f t="shared" si="3"/>
        <v>4</v>
      </c>
      <c r="F11" s="64">
        <f t="shared" si="4"/>
        <v>33</v>
      </c>
      <c r="G11" s="60"/>
      <c r="H11" s="60"/>
      <c r="I11" s="60">
        <v>15</v>
      </c>
      <c r="J11" s="60">
        <v>3</v>
      </c>
      <c r="K11" s="64">
        <f t="shared" si="5"/>
        <v>18</v>
      </c>
      <c r="L11" s="59"/>
      <c r="M11" s="59"/>
      <c r="N11" s="59"/>
      <c r="O11" s="59"/>
      <c r="P11" s="64">
        <f t="shared" si="6"/>
        <v>0</v>
      </c>
      <c r="Q11" s="59"/>
      <c r="R11" s="59"/>
      <c r="S11" s="59"/>
      <c r="T11" s="59"/>
      <c r="U11" s="64">
        <f t="shared" si="7"/>
        <v>0</v>
      </c>
      <c r="V11" s="59"/>
      <c r="W11" s="59"/>
      <c r="X11" s="59"/>
      <c r="Y11" s="59"/>
      <c r="Z11" s="64">
        <f t="shared" si="8"/>
        <v>0</v>
      </c>
      <c r="AA11" s="59"/>
      <c r="AB11" s="59"/>
      <c r="AC11" s="59"/>
      <c r="AD11" s="59"/>
      <c r="AE11" s="64">
        <f t="shared" si="9"/>
        <v>0</v>
      </c>
      <c r="AF11" s="40"/>
      <c r="AG11" s="40">
        <v>2</v>
      </c>
      <c r="AH11" s="40">
        <v>2</v>
      </c>
      <c r="AI11" s="40"/>
      <c r="AJ11" s="64">
        <f t="shared" si="10"/>
        <v>4</v>
      </c>
      <c r="AK11" s="59"/>
      <c r="AL11" s="59"/>
      <c r="AM11" s="59">
        <v>3</v>
      </c>
      <c r="AN11" s="59"/>
      <c r="AO11" s="64">
        <f t="shared" si="11"/>
        <v>3</v>
      </c>
      <c r="AP11" s="40"/>
      <c r="AQ11" s="40"/>
      <c r="AR11" s="40"/>
      <c r="AS11" s="40"/>
      <c r="AT11" s="64">
        <f t="shared" si="12"/>
        <v>0</v>
      </c>
      <c r="AU11" s="67"/>
      <c r="AV11" s="67"/>
      <c r="AW11" s="67">
        <v>1</v>
      </c>
      <c r="AX11" s="67"/>
      <c r="AY11" s="64">
        <f t="shared" si="13"/>
        <v>1</v>
      </c>
      <c r="AZ11" s="40"/>
      <c r="BA11" s="40"/>
      <c r="BB11" s="40"/>
      <c r="BC11" s="40"/>
      <c r="BD11" s="64">
        <f t="shared" si="14"/>
        <v>0</v>
      </c>
      <c r="BE11" s="68"/>
      <c r="BF11" s="68"/>
      <c r="BG11" s="68">
        <v>2</v>
      </c>
      <c r="BH11" s="68">
        <v>1</v>
      </c>
      <c r="BI11" s="64">
        <f t="shared" si="15"/>
        <v>3</v>
      </c>
      <c r="BJ11" s="59"/>
      <c r="BK11" s="59"/>
      <c r="BL11" s="59">
        <v>4</v>
      </c>
      <c r="BM11" s="59"/>
      <c r="BN11" s="64">
        <f t="shared" si="16"/>
        <v>4</v>
      </c>
    </row>
    <row r="12" spans="1:66" ht="28.8" x14ac:dyDescent="0.75">
      <c r="A12" s="58">
        <v>7</v>
      </c>
      <c r="B12" s="60">
        <f t="shared" si="0"/>
        <v>0</v>
      </c>
      <c r="C12" s="60">
        <f t="shared" si="1"/>
        <v>1</v>
      </c>
      <c r="D12" s="60">
        <f t="shared" si="2"/>
        <v>20</v>
      </c>
      <c r="E12" s="60">
        <f t="shared" si="3"/>
        <v>6</v>
      </c>
      <c r="F12" s="64">
        <f t="shared" si="4"/>
        <v>27</v>
      </c>
      <c r="G12" s="60"/>
      <c r="H12" s="60"/>
      <c r="I12" s="60">
        <v>2</v>
      </c>
      <c r="J12" s="60"/>
      <c r="K12" s="64">
        <f t="shared" si="5"/>
        <v>2</v>
      </c>
      <c r="L12" s="59"/>
      <c r="M12" s="59"/>
      <c r="N12" s="59"/>
      <c r="O12" s="60">
        <v>1</v>
      </c>
      <c r="P12" s="64">
        <f t="shared" si="6"/>
        <v>1</v>
      </c>
      <c r="Q12" s="59"/>
      <c r="R12" s="59"/>
      <c r="S12" s="59"/>
      <c r="T12" s="60"/>
      <c r="U12" s="64">
        <f t="shared" si="7"/>
        <v>0</v>
      </c>
      <c r="V12" s="59"/>
      <c r="W12" s="59">
        <v>1</v>
      </c>
      <c r="X12" s="59">
        <v>2</v>
      </c>
      <c r="Y12" s="60"/>
      <c r="Z12" s="64">
        <f t="shared" si="8"/>
        <v>3</v>
      </c>
      <c r="AA12" s="59"/>
      <c r="AB12" s="59"/>
      <c r="AC12" s="59">
        <v>3</v>
      </c>
      <c r="AD12" s="60"/>
      <c r="AE12" s="64">
        <f t="shared" si="9"/>
        <v>3</v>
      </c>
      <c r="AF12" s="40"/>
      <c r="AG12" s="40"/>
      <c r="AH12" s="40">
        <v>6</v>
      </c>
      <c r="AI12" s="40">
        <v>2</v>
      </c>
      <c r="AJ12" s="64">
        <f t="shared" si="10"/>
        <v>8</v>
      </c>
      <c r="AK12" s="59"/>
      <c r="AL12" s="59"/>
      <c r="AM12" s="59">
        <v>1</v>
      </c>
      <c r="AN12" s="60">
        <v>3</v>
      </c>
      <c r="AO12" s="64">
        <f t="shared" si="11"/>
        <v>4</v>
      </c>
      <c r="AP12" s="40"/>
      <c r="AQ12" s="40"/>
      <c r="AR12" s="40"/>
      <c r="AS12" s="40"/>
      <c r="AT12" s="64">
        <f t="shared" si="12"/>
        <v>0</v>
      </c>
      <c r="AU12" s="67"/>
      <c r="AV12" s="67"/>
      <c r="AW12" s="67"/>
      <c r="AX12" s="68"/>
      <c r="AY12" s="64">
        <f t="shared" si="13"/>
        <v>0</v>
      </c>
      <c r="AZ12" s="40"/>
      <c r="BA12" s="40"/>
      <c r="BB12" s="40">
        <v>2</v>
      </c>
      <c r="BC12" s="40"/>
      <c r="BD12" s="64">
        <f t="shared" si="14"/>
        <v>2</v>
      </c>
      <c r="BE12" s="68"/>
      <c r="BF12" s="68"/>
      <c r="BG12" s="68">
        <v>4</v>
      </c>
      <c r="BH12" s="68"/>
      <c r="BI12" s="64">
        <f t="shared" si="15"/>
        <v>4</v>
      </c>
      <c r="BJ12" s="59"/>
      <c r="BK12" s="59"/>
      <c r="BL12" s="59"/>
      <c r="BM12" s="60"/>
      <c r="BN12" s="64">
        <f t="shared" si="16"/>
        <v>0</v>
      </c>
    </row>
    <row r="13" spans="1:66" ht="28.8" x14ac:dyDescent="0.75">
      <c r="A13" s="58">
        <v>8</v>
      </c>
      <c r="B13" s="60">
        <f t="shared" si="0"/>
        <v>3</v>
      </c>
      <c r="C13" s="60">
        <f t="shared" si="1"/>
        <v>1</v>
      </c>
      <c r="D13" s="60">
        <f t="shared" si="2"/>
        <v>47</v>
      </c>
      <c r="E13" s="60">
        <f t="shared" si="3"/>
        <v>4</v>
      </c>
      <c r="F13" s="64">
        <f t="shared" si="4"/>
        <v>55</v>
      </c>
      <c r="G13" s="60"/>
      <c r="H13" s="60"/>
      <c r="I13" s="60">
        <v>11</v>
      </c>
      <c r="J13" s="60">
        <v>2</v>
      </c>
      <c r="K13" s="64">
        <f t="shared" si="5"/>
        <v>13</v>
      </c>
      <c r="L13" s="59"/>
      <c r="M13" s="59"/>
      <c r="N13" s="59"/>
      <c r="O13" s="59"/>
      <c r="P13" s="64">
        <f t="shared" si="6"/>
        <v>0</v>
      </c>
      <c r="Q13" s="59"/>
      <c r="R13" s="59"/>
      <c r="S13" s="59"/>
      <c r="T13" s="59"/>
      <c r="U13" s="64">
        <f t="shared" si="7"/>
        <v>0</v>
      </c>
      <c r="V13" s="59"/>
      <c r="W13" s="59"/>
      <c r="X13" s="59"/>
      <c r="Y13" s="59"/>
      <c r="Z13" s="64">
        <f t="shared" si="8"/>
        <v>0</v>
      </c>
      <c r="AA13" s="59"/>
      <c r="AB13" s="59"/>
      <c r="AC13" s="59"/>
      <c r="AD13" s="59"/>
      <c r="AE13" s="64">
        <f t="shared" si="9"/>
        <v>0</v>
      </c>
      <c r="AF13" s="40">
        <v>1</v>
      </c>
      <c r="AG13" s="40"/>
      <c r="AH13" s="40">
        <v>11</v>
      </c>
      <c r="AI13" s="40"/>
      <c r="AJ13" s="64">
        <f t="shared" si="10"/>
        <v>12</v>
      </c>
      <c r="AK13" s="59">
        <v>1</v>
      </c>
      <c r="AL13" s="59"/>
      <c r="AM13" s="59">
        <v>8</v>
      </c>
      <c r="AN13" s="59"/>
      <c r="AO13" s="64">
        <f t="shared" si="11"/>
        <v>9</v>
      </c>
      <c r="AP13" s="40"/>
      <c r="AQ13" s="40"/>
      <c r="AR13" s="40">
        <v>3</v>
      </c>
      <c r="AS13" s="40"/>
      <c r="AT13" s="64">
        <f t="shared" si="12"/>
        <v>3</v>
      </c>
      <c r="AU13" s="67"/>
      <c r="AV13" s="67">
        <v>1</v>
      </c>
      <c r="AW13" s="67">
        <v>5</v>
      </c>
      <c r="AX13" s="67">
        <v>2</v>
      </c>
      <c r="AY13" s="64">
        <f t="shared" si="13"/>
        <v>8</v>
      </c>
      <c r="AZ13" s="40"/>
      <c r="BA13" s="40"/>
      <c r="BB13" s="40">
        <v>1</v>
      </c>
      <c r="BC13" s="40"/>
      <c r="BD13" s="64">
        <f t="shared" si="14"/>
        <v>1</v>
      </c>
      <c r="BE13" s="68"/>
      <c r="BF13" s="68"/>
      <c r="BG13" s="68">
        <v>3</v>
      </c>
      <c r="BH13" s="68"/>
      <c r="BI13" s="64">
        <f t="shared" si="15"/>
        <v>3</v>
      </c>
      <c r="BJ13" s="59">
        <v>1</v>
      </c>
      <c r="BK13" s="59"/>
      <c r="BL13" s="59">
        <v>5</v>
      </c>
      <c r="BM13" s="59"/>
      <c r="BN13" s="64">
        <f t="shared" si="16"/>
        <v>6</v>
      </c>
    </row>
    <row r="14" spans="1:66" ht="28.8" x14ac:dyDescent="0.75">
      <c r="A14" s="58">
        <v>9</v>
      </c>
      <c r="B14" s="60">
        <f t="shared" si="0"/>
        <v>0</v>
      </c>
      <c r="C14" s="60">
        <f t="shared" si="1"/>
        <v>1</v>
      </c>
      <c r="D14" s="60">
        <f t="shared" si="2"/>
        <v>27</v>
      </c>
      <c r="E14" s="60">
        <f t="shared" si="3"/>
        <v>1</v>
      </c>
      <c r="F14" s="64">
        <f t="shared" si="4"/>
        <v>29</v>
      </c>
      <c r="G14" s="60"/>
      <c r="H14" s="60"/>
      <c r="I14" s="60">
        <v>7</v>
      </c>
      <c r="J14" s="60"/>
      <c r="K14" s="64">
        <f t="shared" si="5"/>
        <v>7</v>
      </c>
      <c r="L14" s="59"/>
      <c r="M14" s="59"/>
      <c r="N14" s="59"/>
      <c r="O14" s="59"/>
      <c r="P14" s="64">
        <f t="shared" si="6"/>
        <v>0</v>
      </c>
      <c r="Q14" s="59"/>
      <c r="R14" s="59"/>
      <c r="S14" s="59"/>
      <c r="T14" s="59"/>
      <c r="U14" s="64">
        <f t="shared" si="7"/>
        <v>0</v>
      </c>
      <c r="V14" s="59"/>
      <c r="W14" s="59"/>
      <c r="X14" s="59"/>
      <c r="Y14" s="59"/>
      <c r="Z14" s="64">
        <f t="shared" si="8"/>
        <v>0</v>
      </c>
      <c r="AA14" s="59"/>
      <c r="AB14" s="59"/>
      <c r="AC14" s="59">
        <v>3</v>
      </c>
      <c r="AD14" s="59"/>
      <c r="AE14" s="64">
        <f t="shared" si="9"/>
        <v>3</v>
      </c>
      <c r="AF14" s="40"/>
      <c r="AG14" s="40"/>
      <c r="AH14" s="40">
        <v>6</v>
      </c>
      <c r="AI14" s="40"/>
      <c r="AJ14" s="64">
        <f t="shared" si="10"/>
        <v>6</v>
      </c>
      <c r="AK14" s="59"/>
      <c r="AL14" s="59"/>
      <c r="AM14" s="59">
        <v>8</v>
      </c>
      <c r="AN14" s="59">
        <v>1</v>
      </c>
      <c r="AO14" s="64">
        <f t="shared" si="11"/>
        <v>9</v>
      </c>
      <c r="AP14" s="40"/>
      <c r="AQ14" s="40"/>
      <c r="AR14" s="40"/>
      <c r="AS14" s="40"/>
      <c r="AT14" s="64">
        <f t="shared" si="12"/>
        <v>0</v>
      </c>
      <c r="AU14" s="67"/>
      <c r="AV14" s="67"/>
      <c r="AW14" s="67"/>
      <c r="AX14" s="67"/>
      <c r="AY14" s="64">
        <f t="shared" si="13"/>
        <v>0</v>
      </c>
      <c r="AZ14" s="40"/>
      <c r="BA14" s="40"/>
      <c r="BB14" s="40">
        <v>2</v>
      </c>
      <c r="BC14" s="40"/>
      <c r="BD14" s="64">
        <f t="shared" si="14"/>
        <v>2</v>
      </c>
      <c r="BE14" s="68"/>
      <c r="BF14" s="68">
        <v>1</v>
      </c>
      <c r="BG14" s="68">
        <v>1</v>
      </c>
      <c r="BH14" s="68"/>
      <c r="BI14" s="64">
        <f t="shared" si="15"/>
        <v>2</v>
      </c>
      <c r="BJ14" s="59"/>
      <c r="BK14" s="59"/>
      <c r="BL14" s="59"/>
      <c r="BM14" s="59"/>
      <c r="BN14" s="64">
        <f t="shared" si="16"/>
        <v>0</v>
      </c>
    </row>
    <row r="15" spans="1:66" ht="28.8" x14ac:dyDescent="0.75">
      <c r="A15" s="58">
        <v>10</v>
      </c>
      <c r="B15" s="60">
        <f t="shared" si="0"/>
        <v>4</v>
      </c>
      <c r="C15" s="60">
        <f t="shared" si="1"/>
        <v>3</v>
      </c>
      <c r="D15" s="60">
        <f t="shared" si="2"/>
        <v>26</v>
      </c>
      <c r="E15" s="60">
        <f t="shared" si="3"/>
        <v>4</v>
      </c>
      <c r="F15" s="64">
        <f t="shared" si="4"/>
        <v>37</v>
      </c>
      <c r="G15" s="60">
        <v>1</v>
      </c>
      <c r="H15" s="60">
        <v>1</v>
      </c>
      <c r="I15" s="60">
        <v>7</v>
      </c>
      <c r="J15" s="60"/>
      <c r="K15" s="64">
        <f t="shared" si="5"/>
        <v>9</v>
      </c>
      <c r="L15" s="59"/>
      <c r="M15" s="59"/>
      <c r="N15" s="59"/>
      <c r="O15" s="59"/>
      <c r="P15" s="64">
        <f t="shared" si="6"/>
        <v>0</v>
      </c>
      <c r="Q15" s="59">
        <v>1</v>
      </c>
      <c r="R15" s="59"/>
      <c r="S15" s="59"/>
      <c r="T15" s="59">
        <v>2</v>
      </c>
      <c r="U15" s="64">
        <f t="shared" si="7"/>
        <v>3</v>
      </c>
      <c r="V15" s="59"/>
      <c r="W15" s="59"/>
      <c r="X15" s="59"/>
      <c r="Y15" s="59"/>
      <c r="Z15" s="64">
        <f t="shared" si="8"/>
        <v>0</v>
      </c>
      <c r="AA15" s="59"/>
      <c r="AB15" s="59"/>
      <c r="AC15" s="59"/>
      <c r="AD15" s="59"/>
      <c r="AE15" s="64">
        <f t="shared" si="9"/>
        <v>0</v>
      </c>
      <c r="AF15" s="40"/>
      <c r="AG15" s="40"/>
      <c r="AH15" s="40"/>
      <c r="AI15" s="40"/>
      <c r="AJ15" s="64">
        <f t="shared" si="10"/>
        <v>0</v>
      </c>
      <c r="AK15" s="59"/>
      <c r="AL15" s="59"/>
      <c r="AM15" s="59">
        <v>3</v>
      </c>
      <c r="AN15" s="59"/>
      <c r="AO15" s="64">
        <f t="shared" si="11"/>
        <v>3</v>
      </c>
      <c r="AP15" s="40"/>
      <c r="AQ15" s="40"/>
      <c r="AR15" s="40"/>
      <c r="AS15" s="40"/>
      <c r="AT15" s="64">
        <f t="shared" si="12"/>
        <v>0</v>
      </c>
      <c r="AU15" s="67"/>
      <c r="AV15" s="67"/>
      <c r="AW15" s="67">
        <v>7</v>
      </c>
      <c r="AX15" s="67">
        <v>1</v>
      </c>
      <c r="AY15" s="64">
        <f t="shared" si="13"/>
        <v>8</v>
      </c>
      <c r="AZ15" s="40">
        <v>1</v>
      </c>
      <c r="BA15" s="40"/>
      <c r="BB15" s="40">
        <v>2</v>
      </c>
      <c r="BC15" s="40">
        <v>1</v>
      </c>
      <c r="BD15" s="64">
        <f t="shared" si="14"/>
        <v>4</v>
      </c>
      <c r="BE15" s="68">
        <v>1</v>
      </c>
      <c r="BF15" s="68">
        <v>2</v>
      </c>
      <c r="BG15" s="68"/>
      <c r="BH15" s="68"/>
      <c r="BI15" s="64">
        <f t="shared" si="15"/>
        <v>3</v>
      </c>
      <c r="BJ15" s="59"/>
      <c r="BK15" s="59"/>
      <c r="BL15" s="59">
        <v>7</v>
      </c>
      <c r="BM15" s="59"/>
      <c r="BN15" s="64">
        <f t="shared" si="16"/>
        <v>7</v>
      </c>
    </row>
    <row r="16" spans="1:66" ht="28.8" x14ac:dyDescent="0.75">
      <c r="A16" s="58">
        <v>11</v>
      </c>
      <c r="B16" s="60">
        <f t="shared" si="0"/>
        <v>0</v>
      </c>
      <c r="C16" s="60">
        <f t="shared" si="1"/>
        <v>2</v>
      </c>
      <c r="D16" s="60">
        <f t="shared" si="2"/>
        <v>24</v>
      </c>
      <c r="E16" s="60">
        <f t="shared" si="3"/>
        <v>1</v>
      </c>
      <c r="F16" s="64">
        <f t="shared" si="4"/>
        <v>27</v>
      </c>
      <c r="G16" s="60"/>
      <c r="H16" s="60"/>
      <c r="I16" s="60">
        <v>10</v>
      </c>
      <c r="J16" s="60">
        <v>1</v>
      </c>
      <c r="K16" s="64">
        <f t="shared" si="5"/>
        <v>11</v>
      </c>
      <c r="L16" s="59"/>
      <c r="M16" s="59"/>
      <c r="N16" s="59"/>
      <c r="O16" s="59"/>
      <c r="P16" s="64">
        <f t="shared" si="6"/>
        <v>0</v>
      </c>
      <c r="Q16" s="59"/>
      <c r="R16" s="59">
        <v>1</v>
      </c>
      <c r="S16" s="59">
        <v>1</v>
      </c>
      <c r="T16" s="59"/>
      <c r="U16" s="64">
        <f t="shared" si="7"/>
        <v>2</v>
      </c>
      <c r="V16" s="59"/>
      <c r="W16" s="59"/>
      <c r="X16" s="59"/>
      <c r="Y16" s="59"/>
      <c r="Z16" s="64">
        <f t="shared" si="8"/>
        <v>0</v>
      </c>
      <c r="AA16" s="59"/>
      <c r="AB16" s="59"/>
      <c r="AC16" s="59"/>
      <c r="AD16" s="59"/>
      <c r="AE16" s="64">
        <f t="shared" si="9"/>
        <v>0</v>
      </c>
      <c r="AF16" s="40"/>
      <c r="AG16" s="40"/>
      <c r="AH16" s="40">
        <v>6</v>
      </c>
      <c r="AI16" s="40"/>
      <c r="AJ16" s="64">
        <f t="shared" si="10"/>
        <v>6</v>
      </c>
      <c r="AK16" s="59"/>
      <c r="AL16" s="59"/>
      <c r="AM16" s="59">
        <v>3</v>
      </c>
      <c r="AN16" s="59"/>
      <c r="AO16" s="64">
        <f t="shared" si="11"/>
        <v>3</v>
      </c>
      <c r="AP16" s="40"/>
      <c r="AQ16" s="40"/>
      <c r="AR16" s="40"/>
      <c r="AS16" s="40"/>
      <c r="AT16" s="64">
        <f t="shared" si="12"/>
        <v>0</v>
      </c>
      <c r="AU16" s="67"/>
      <c r="AV16" s="67"/>
      <c r="AW16" s="67">
        <v>2</v>
      </c>
      <c r="AX16" s="67"/>
      <c r="AY16" s="64">
        <f t="shared" si="13"/>
        <v>2</v>
      </c>
      <c r="AZ16" s="40"/>
      <c r="BA16" s="40">
        <v>1</v>
      </c>
      <c r="BB16" s="40">
        <v>2</v>
      </c>
      <c r="BC16" s="40"/>
      <c r="BD16" s="64">
        <f t="shared" si="14"/>
        <v>3</v>
      </c>
      <c r="BE16" s="68"/>
      <c r="BF16" s="68"/>
      <c r="BG16" s="68"/>
      <c r="BH16" s="68"/>
      <c r="BI16" s="64">
        <f t="shared" si="15"/>
        <v>0</v>
      </c>
      <c r="BJ16" s="59"/>
      <c r="BK16" s="59"/>
      <c r="BL16" s="59"/>
      <c r="BM16" s="59"/>
      <c r="BN16" s="64">
        <f t="shared" si="16"/>
        <v>0</v>
      </c>
    </row>
    <row r="17" spans="1:66" ht="28.8" x14ac:dyDescent="0.75">
      <c r="A17" s="58">
        <v>12</v>
      </c>
      <c r="B17" s="60">
        <f t="shared" si="0"/>
        <v>0</v>
      </c>
      <c r="C17" s="60">
        <f t="shared" si="1"/>
        <v>2</v>
      </c>
      <c r="D17" s="60">
        <f t="shared" si="2"/>
        <v>43</v>
      </c>
      <c r="E17" s="60">
        <f t="shared" si="3"/>
        <v>1</v>
      </c>
      <c r="F17" s="64">
        <f t="shared" si="4"/>
        <v>46</v>
      </c>
      <c r="G17" s="60"/>
      <c r="H17" s="60"/>
      <c r="I17" s="60">
        <v>15</v>
      </c>
      <c r="J17" s="60"/>
      <c r="K17" s="64">
        <f t="shared" si="5"/>
        <v>15</v>
      </c>
      <c r="L17" s="59"/>
      <c r="M17" s="59"/>
      <c r="N17" s="59"/>
      <c r="O17" s="59"/>
      <c r="P17" s="64">
        <f t="shared" si="6"/>
        <v>0</v>
      </c>
      <c r="Q17" s="59"/>
      <c r="R17" s="59"/>
      <c r="S17" s="59"/>
      <c r="T17" s="59"/>
      <c r="U17" s="64">
        <f t="shared" si="7"/>
        <v>0</v>
      </c>
      <c r="V17" s="59"/>
      <c r="W17" s="59"/>
      <c r="X17" s="59"/>
      <c r="Y17" s="59"/>
      <c r="Z17" s="64">
        <f t="shared" si="8"/>
        <v>0</v>
      </c>
      <c r="AA17" s="59"/>
      <c r="AB17" s="59"/>
      <c r="AC17" s="59">
        <v>3</v>
      </c>
      <c r="AD17" s="59">
        <v>1</v>
      </c>
      <c r="AE17" s="64">
        <f t="shared" si="9"/>
        <v>4</v>
      </c>
      <c r="AF17" s="40"/>
      <c r="AG17" s="40"/>
      <c r="AH17" s="40">
        <v>12</v>
      </c>
      <c r="AI17" s="40"/>
      <c r="AJ17" s="64">
        <f t="shared" si="10"/>
        <v>12</v>
      </c>
      <c r="AK17" s="59"/>
      <c r="AL17" s="59"/>
      <c r="AM17" s="59">
        <v>4</v>
      </c>
      <c r="AN17" s="59"/>
      <c r="AO17" s="64">
        <f t="shared" si="11"/>
        <v>4</v>
      </c>
      <c r="AP17" s="40"/>
      <c r="AQ17" s="40"/>
      <c r="AR17" s="40"/>
      <c r="AS17" s="40"/>
      <c r="AT17" s="64">
        <f t="shared" si="12"/>
        <v>0</v>
      </c>
      <c r="AU17" s="67"/>
      <c r="AV17" s="67">
        <v>2</v>
      </c>
      <c r="AW17" s="67">
        <v>1</v>
      </c>
      <c r="AX17" s="67"/>
      <c r="AY17" s="64">
        <f t="shared" si="13"/>
        <v>3</v>
      </c>
      <c r="AZ17" s="40"/>
      <c r="BA17" s="40"/>
      <c r="BB17" s="40">
        <v>7</v>
      </c>
      <c r="BC17" s="40"/>
      <c r="BD17" s="64">
        <f t="shared" si="14"/>
        <v>7</v>
      </c>
      <c r="BE17" s="68"/>
      <c r="BF17" s="68"/>
      <c r="BG17" s="68"/>
      <c r="BH17" s="68"/>
      <c r="BI17" s="64">
        <f t="shared" si="15"/>
        <v>0</v>
      </c>
      <c r="BJ17" s="59"/>
      <c r="BK17" s="59"/>
      <c r="BL17" s="59">
        <v>1</v>
      </c>
      <c r="BM17" s="59"/>
      <c r="BN17" s="64">
        <f t="shared" si="16"/>
        <v>1</v>
      </c>
    </row>
    <row r="18" spans="1:66" ht="28.8" x14ac:dyDescent="0.75">
      <c r="A18" s="58">
        <v>13</v>
      </c>
      <c r="B18" s="60">
        <f t="shared" si="0"/>
        <v>0</v>
      </c>
      <c r="C18" s="60">
        <f t="shared" si="1"/>
        <v>0</v>
      </c>
      <c r="D18" s="60">
        <f t="shared" si="2"/>
        <v>24</v>
      </c>
      <c r="E18" s="60">
        <f t="shared" si="3"/>
        <v>6</v>
      </c>
      <c r="F18" s="64">
        <f t="shared" si="4"/>
        <v>30</v>
      </c>
      <c r="G18" s="60"/>
      <c r="H18" s="60"/>
      <c r="I18" s="60">
        <v>3</v>
      </c>
      <c r="J18" s="60"/>
      <c r="K18" s="64">
        <f t="shared" si="5"/>
        <v>3</v>
      </c>
      <c r="L18" s="59"/>
      <c r="M18" s="59"/>
      <c r="N18" s="59"/>
      <c r="O18" s="59"/>
      <c r="P18" s="64">
        <f t="shared" si="6"/>
        <v>0</v>
      </c>
      <c r="Q18" s="59"/>
      <c r="R18" s="59"/>
      <c r="S18" s="59"/>
      <c r="T18" s="59"/>
      <c r="U18" s="64">
        <f t="shared" si="7"/>
        <v>0</v>
      </c>
      <c r="V18" s="59"/>
      <c r="W18" s="59"/>
      <c r="X18" s="59"/>
      <c r="Y18" s="59"/>
      <c r="Z18" s="64">
        <f t="shared" si="8"/>
        <v>0</v>
      </c>
      <c r="AA18" s="59"/>
      <c r="AB18" s="59"/>
      <c r="AC18" s="59">
        <v>7</v>
      </c>
      <c r="AD18" s="59"/>
      <c r="AE18" s="64">
        <f t="shared" si="9"/>
        <v>7</v>
      </c>
      <c r="AF18" s="40"/>
      <c r="AG18" s="40"/>
      <c r="AH18" s="40">
        <v>11</v>
      </c>
      <c r="AI18" s="40"/>
      <c r="AJ18" s="64">
        <f t="shared" si="10"/>
        <v>11</v>
      </c>
      <c r="AK18" s="59"/>
      <c r="AL18" s="59"/>
      <c r="AM18" s="59"/>
      <c r="AN18" s="59"/>
      <c r="AO18" s="64">
        <f t="shared" si="11"/>
        <v>0</v>
      </c>
      <c r="AP18" s="40"/>
      <c r="AQ18" s="40"/>
      <c r="AR18" s="40"/>
      <c r="AS18" s="40">
        <v>4</v>
      </c>
      <c r="AT18" s="64">
        <f t="shared" si="12"/>
        <v>4</v>
      </c>
      <c r="AU18" s="67"/>
      <c r="AV18" s="67"/>
      <c r="AW18" s="67">
        <v>3</v>
      </c>
      <c r="AX18" s="67"/>
      <c r="AY18" s="64">
        <f t="shared" si="13"/>
        <v>3</v>
      </c>
      <c r="AZ18" s="40"/>
      <c r="BA18" s="40"/>
      <c r="BB18" s="40"/>
      <c r="BC18" s="40"/>
      <c r="BD18" s="64">
        <f t="shared" si="14"/>
        <v>0</v>
      </c>
      <c r="BE18" s="68"/>
      <c r="BF18" s="68"/>
      <c r="BG18" s="68"/>
      <c r="BH18" s="68">
        <v>2</v>
      </c>
      <c r="BI18" s="64">
        <f t="shared" si="15"/>
        <v>2</v>
      </c>
      <c r="BJ18" s="59"/>
      <c r="BK18" s="59"/>
      <c r="BL18" s="59"/>
      <c r="BM18" s="59"/>
      <c r="BN18" s="64">
        <f t="shared" si="16"/>
        <v>0</v>
      </c>
    </row>
    <row r="19" spans="1:66" ht="28.8" x14ac:dyDescent="0.75">
      <c r="A19" s="58">
        <v>14</v>
      </c>
      <c r="B19" s="60">
        <f t="shared" si="0"/>
        <v>3</v>
      </c>
      <c r="C19" s="60">
        <f t="shared" si="1"/>
        <v>1</v>
      </c>
      <c r="D19" s="60">
        <f t="shared" si="2"/>
        <v>5</v>
      </c>
      <c r="E19" s="60">
        <f t="shared" si="3"/>
        <v>6</v>
      </c>
      <c r="F19" s="64">
        <f t="shared" si="4"/>
        <v>15</v>
      </c>
      <c r="G19" s="60"/>
      <c r="H19" s="60"/>
      <c r="I19" s="60"/>
      <c r="J19" s="60"/>
      <c r="K19" s="64">
        <f t="shared" si="5"/>
        <v>0</v>
      </c>
      <c r="L19" s="59"/>
      <c r="M19" s="60">
        <v>1</v>
      </c>
      <c r="N19" s="59"/>
      <c r="O19" s="60">
        <v>2</v>
      </c>
      <c r="P19" s="64">
        <f t="shared" si="6"/>
        <v>3</v>
      </c>
      <c r="Q19" s="59"/>
      <c r="R19" s="60"/>
      <c r="S19" s="59"/>
      <c r="T19" s="60"/>
      <c r="U19" s="64">
        <f t="shared" si="7"/>
        <v>0</v>
      </c>
      <c r="V19" s="59"/>
      <c r="W19" s="60"/>
      <c r="X19" s="59"/>
      <c r="Y19" s="60"/>
      <c r="Z19" s="64">
        <f t="shared" si="8"/>
        <v>0</v>
      </c>
      <c r="AA19" s="59"/>
      <c r="AB19" s="60"/>
      <c r="AC19" s="59"/>
      <c r="AD19" s="60"/>
      <c r="AE19" s="64">
        <f t="shared" si="9"/>
        <v>0</v>
      </c>
      <c r="AF19" s="40"/>
      <c r="AG19" s="40"/>
      <c r="AH19" s="40"/>
      <c r="AI19" s="40"/>
      <c r="AJ19" s="64">
        <f t="shared" si="10"/>
        <v>0</v>
      </c>
      <c r="AK19" s="59">
        <v>1</v>
      </c>
      <c r="AL19" s="60"/>
      <c r="AM19" s="59">
        <v>4</v>
      </c>
      <c r="AN19" s="60">
        <v>3</v>
      </c>
      <c r="AO19" s="64">
        <f t="shared" si="11"/>
        <v>8</v>
      </c>
      <c r="AP19" s="40"/>
      <c r="AQ19" s="40"/>
      <c r="AR19" s="40"/>
      <c r="AS19" s="40">
        <v>1</v>
      </c>
      <c r="AT19" s="64">
        <f t="shared" si="12"/>
        <v>1</v>
      </c>
      <c r="AU19" s="67"/>
      <c r="AV19" s="68"/>
      <c r="AW19" s="67"/>
      <c r="AX19" s="68"/>
      <c r="AY19" s="64">
        <f t="shared" si="13"/>
        <v>0</v>
      </c>
      <c r="AZ19" s="40"/>
      <c r="BA19" s="40"/>
      <c r="BB19" s="40">
        <v>1</v>
      </c>
      <c r="BC19" s="40"/>
      <c r="BD19" s="64">
        <f t="shared" si="14"/>
        <v>1</v>
      </c>
      <c r="BE19" s="68"/>
      <c r="BF19" s="68"/>
      <c r="BG19" s="68"/>
      <c r="BH19" s="68"/>
      <c r="BI19" s="64">
        <f t="shared" si="15"/>
        <v>0</v>
      </c>
      <c r="BJ19" s="59">
        <v>2</v>
      </c>
      <c r="BK19" s="60"/>
      <c r="BL19" s="59"/>
      <c r="BM19" s="60"/>
      <c r="BN19" s="64">
        <f t="shared" si="16"/>
        <v>2</v>
      </c>
    </row>
    <row r="20" spans="1:66" ht="28.8" x14ac:dyDescent="0.75">
      <c r="A20" s="58">
        <v>15</v>
      </c>
      <c r="B20" s="60">
        <f t="shared" si="0"/>
        <v>1</v>
      </c>
      <c r="C20" s="60">
        <f t="shared" si="1"/>
        <v>1</v>
      </c>
      <c r="D20" s="60">
        <f t="shared" si="2"/>
        <v>48</v>
      </c>
      <c r="E20" s="60">
        <f t="shared" si="3"/>
        <v>3</v>
      </c>
      <c r="F20" s="64">
        <f t="shared" si="4"/>
        <v>53</v>
      </c>
      <c r="G20" s="60"/>
      <c r="H20" s="60"/>
      <c r="I20" s="60">
        <v>4</v>
      </c>
      <c r="J20" s="60"/>
      <c r="K20" s="64">
        <f t="shared" si="5"/>
        <v>4</v>
      </c>
      <c r="L20" s="59"/>
      <c r="M20" s="59"/>
      <c r="N20" s="59"/>
      <c r="O20" s="59"/>
      <c r="P20" s="64">
        <f t="shared" si="6"/>
        <v>0</v>
      </c>
      <c r="Q20" s="59"/>
      <c r="R20" s="59"/>
      <c r="S20" s="59"/>
      <c r="T20" s="59"/>
      <c r="U20" s="64">
        <f t="shared" si="7"/>
        <v>0</v>
      </c>
      <c r="V20" s="59"/>
      <c r="W20" s="59"/>
      <c r="X20" s="59"/>
      <c r="Y20" s="59"/>
      <c r="Z20" s="64">
        <f t="shared" si="8"/>
        <v>0</v>
      </c>
      <c r="AA20" s="59"/>
      <c r="AB20" s="59"/>
      <c r="AC20" s="59">
        <v>3</v>
      </c>
      <c r="AD20" s="59">
        <v>1</v>
      </c>
      <c r="AE20" s="64">
        <f t="shared" si="9"/>
        <v>4</v>
      </c>
      <c r="AF20" s="40"/>
      <c r="AG20" s="40"/>
      <c r="AH20" s="40">
        <v>11</v>
      </c>
      <c r="AI20" s="40"/>
      <c r="AJ20" s="64">
        <f t="shared" si="10"/>
        <v>11</v>
      </c>
      <c r="AK20" s="59"/>
      <c r="AL20" s="59"/>
      <c r="AM20" s="59"/>
      <c r="AN20" s="59"/>
      <c r="AO20" s="64">
        <f t="shared" si="11"/>
        <v>0</v>
      </c>
      <c r="AP20" s="40"/>
      <c r="AQ20" s="40"/>
      <c r="AR20" s="40"/>
      <c r="AS20" s="40"/>
      <c r="AT20" s="64">
        <f t="shared" si="12"/>
        <v>0</v>
      </c>
      <c r="AU20" s="67"/>
      <c r="AV20" s="67">
        <v>1</v>
      </c>
      <c r="AW20" s="67"/>
      <c r="AX20" s="67">
        <v>1</v>
      </c>
      <c r="AY20" s="64">
        <f t="shared" si="13"/>
        <v>2</v>
      </c>
      <c r="AZ20" s="40">
        <v>1</v>
      </c>
      <c r="BA20" s="40"/>
      <c r="BB20" s="40">
        <v>6</v>
      </c>
      <c r="BC20" s="40">
        <v>1</v>
      </c>
      <c r="BD20" s="64">
        <f t="shared" si="14"/>
        <v>8</v>
      </c>
      <c r="BE20" s="68"/>
      <c r="BF20" s="68"/>
      <c r="BG20" s="68">
        <v>2</v>
      </c>
      <c r="BH20" s="68"/>
      <c r="BI20" s="64">
        <f t="shared" si="15"/>
        <v>2</v>
      </c>
      <c r="BJ20" s="59"/>
      <c r="BK20" s="59"/>
      <c r="BL20" s="59">
        <v>22</v>
      </c>
      <c r="BM20" s="59"/>
      <c r="BN20" s="64">
        <f t="shared" si="16"/>
        <v>22</v>
      </c>
    </row>
    <row r="21" spans="1:66" ht="28.8" x14ac:dyDescent="0.75">
      <c r="A21" s="58">
        <v>16</v>
      </c>
      <c r="B21" s="60">
        <f t="shared" si="0"/>
        <v>3</v>
      </c>
      <c r="C21" s="60">
        <f t="shared" si="1"/>
        <v>2</v>
      </c>
      <c r="D21" s="60">
        <f t="shared" si="2"/>
        <v>25</v>
      </c>
      <c r="E21" s="60">
        <f t="shared" si="3"/>
        <v>1</v>
      </c>
      <c r="F21" s="64">
        <f t="shared" si="4"/>
        <v>31</v>
      </c>
      <c r="G21" s="60"/>
      <c r="H21" s="60"/>
      <c r="I21" s="60">
        <v>4</v>
      </c>
      <c r="J21" s="60"/>
      <c r="K21" s="64">
        <f t="shared" si="5"/>
        <v>4</v>
      </c>
      <c r="L21" s="60">
        <v>1</v>
      </c>
      <c r="M21" s="59"/>
      <c r="N21" s="59"/>
      <c r="O21" s="59"/>
      <c r="P21" s="64">
        <f t="shared" si="6"/>
        <v>1</v>
      </c>
      <c r="Q21" s="60"/>
      <c r="R21" s="59"/>
      <c r="S21" s="59"/>
      <c r="T21" s="59"/>
      <c r="U21" s="64">
        <f t="shared" si="7"/>
        <v>0</v>
      </c>
      <c r="V21" s="60"/>
      <c r="W21" s="59">
        <v>1</v>
      </c>
      <c r="X21" s="59">
        <v>14</v>
      </c>
      <c r="Y21" s="59"/>
      <c r="Z21" s="64">
        <f t="shared" si="8"/>
        <v>15</v>
      </c>
      <c r="AA21" s="60"/>
      <c r="AB21" s="59"/>
      <c r="AC21" s="59">
        <v>4</v>
      </c>
      <c r="AD21" s="59"/>
      <c r="AE21" s="64">
        <f t="shared" si="9"/>
        <v>4</v>
      </c>
      <c r="AF21" s="40"/>
      <c r="AG21" s="40"/>
      <c r="AH21" s="40"/>
      <c r="AI21" s="40"/>
      <c r="AJ21" s="64">
        <f t="shared" si="10"/>
        <v>0</v>
      </c>
      <c r="AK21" s="60"/>
      <c r="AL21" s="59"/>
      <c r="AM21" s="59">
        <v>2</v>
      </c>
      <c r="AN21" s="59"/>
      <c r="AO21" s="64">
        <f t="shared" si="11"/>
        <v>2</v>
      </c>
      <c r="AP21" s="40"/>
      <c r="AQ21" s="40"/>
      <c r="AR21" s="40"/>
      <c r="AS21" s="40"/>
      <c r="AT21" s="64">
        <f t="shared" si="12"/>
        <v>0</v>
      </c>
      <c r="AU21" s="68">
        <v>1</v>
      </c>
      <c r="AV21" s="67"/>
      <c r="AW21" s="67">
        <v>1</v>
      </c>
      <c r="AX21" s="67">
        <v>1</v>
      </c>
      <c r="AY21" s="64">
        <f t="shared" si="13"/>
        <v>3</v>
      </c>
      <c r="AZ21" s="40"/>
      <c r="BA21" s="40"/>
      <c r="BB21" s="40"/>
      <c r="BC21" s="40"/>
      <c r="BD21" s="64">
        <f t="shared" si="14"/>
        <v>0</v>
      </c>
      <c r="BE21" s="68">
        <v>1</v>
      </c>
      <c r="BF21" s="68">
        <v>1</v>
      </c>
      <c r="BG21" s="68"/>
      <c r="BH21" s="68"/>
      <c r="BI21" s="64">
        <f t="shared" si="15"/>
        <v>2</v>
      </c>
      <c r="BJ21" s="60"/>
      <c r="BK21" s="59"/>
      <c r="BL21" s="59"/>
      <c r="BM21" s="59"/>
      <c r="BN21" s="64">
        <f t="shared" si="16"/>
        <v>0</v>
      </c>
    </row>
    <row r="22" spans="1:66" ht="28.8" x14ac:dyDescent="0.75">
      <c r="A22" s="58">
        <v>17</v>
      </c>
      <c r="B22" s="60">
        <f t="shared" si="0"/>
        <v>3</v>
      </c>
      <c r="C22" s="60">
        <f t="shared" si="1"/>
        <v>2</v>
      </c>
      <c r="D22" s="60">
        <f t="shared" si="2"/>
        <v>23</v>
      </c>
      <c r="E22" s="60">
        <f t="shared" si="3"/>
        <v>3</v>
      </c>
      <c r="F22" s="64">
        <f t="shared" si="4"/>
        <v>31</v>
      </c>
      <c r="G22" s="60"/>
      <c r="H22" s="60"/>
      <c r="I22" s="60"/>
      <c r="J22" s="60"/>
      <c r="K22" s="64">
        <f t="shared" si="5"/>
        <v>0</v>
      </c>
      <c r="L22" s="59"/>
      <c r="M22" s="59"/>
      <c r="N22" s="60">
        <v>1</v>
      </c>
      <c r="O22" s="59"/>
      <c r="P22" s="64">
        <f t="shared" si="6"/>
        <v>1</v>
      </c>
      <c r="Q22" s="59"/>
      <c r="R22" s="59"/>
      <c r="S22" s="60">
        <v>6</v>
      </c>
      <c r="T22" s="59">
        <v>2</v>
      </c>
      <c r="U22" s="64">
        <f t="shared" si="7"/>
        <v>8</v>
      </c>
      <c r="V22" s="59"/>
      <c r="W22" s="59"/>
      <c r="X22" s="60"/>
      <c r="Y22" s="59"/>
      <c r="Z22" s="64">
        <f t="shared" si="8"/>
        <v>0</v>
      </c>
      <c r="AA22" s="59"/>
      <c r="AB22" s="59"/>
      <c r="AC22" s="60"/>
      <c r="AD22" s="59"/>
      <c r="AE22" s="64">
        <f t="shared" si="9"/>
        <v>0</v>
      </c>
      <c r="AF22" s="40">
        <v>1</v>
      </c>
      <c r="AG22" s="40"/>
      <c r="AH22" s="40">
        <v>8</v>
      </c>
      <c r="AI22" s="40">
        <v>1</v>
      </c>
      <c r="AJ22" s="64">
        <f t="shared" si="10"/>
        <v>10</v>
      </c>
      <c r="AK22" s="59"/>
      <c r="AL22" s="59">
        <v>1</v>
      </c>
      <c r="AM22" s="60">
        <v>3</v>
      </c>
      <c r="AN22" s="59"/>
      <c r="AO22" s="64">
        <f t="shared" si="11"/>
        <v>4</v>
      </c>
      <c r="AP22" s="40">
        <v>1</v>
      </c>
      <c r="AQ22" s="40"/>
      <c r="AR22" s="40">
        <v>1</v>
      </c>
      <c r="AS22" s="40"/>
      <c r="AT22" s="64">
        <f t="shared" si="12"/>
        <v>2</v>
      </c>
      <c r="AU22" s="67"/>
      <c r="AV22" s="67"/>
      <c r="AW22" s="68"/>
      <c r="AX22" s="67"/>
      <c r="AY22" s="64">
        <f t="shared" si="13"/>
        <v>0</v>
      </c>
      <c r="AZ22" s="40"/>
      <c r="BA22" s="40"/>
      <c r="BB22" s="40">
        <v>4</v>
      </c>
      <c r="BC22" s="40"/>
      <c r="BD22" s="64">
        <f t="shared" si="14"/>
        <v>4</v>
      </c>
      <c r="BE22" s="68"/>
      <c r="BF22" s="68"/>
      <c r="BG22" s="68"/>
      <c r="BH22" s="68"/>
      <c r="BI22" s="64">
        <f t="shared" si="15"/>
        <v>0</v>
      </c>
      <c r="BJ22" s="59">
        <v>1</v>
      </c>
      <c r="BK22" s="59">
        <v>1</v>
      </c>
      <c r="BL22" s="60"/>
      <c r="BM22" s="59"/>
      <c r="BN22" s="64">
        <f t="shared" si="16"/>
        <v>2</v>
      </c>
    </row>
    <row r="23" spans="1:66" ht="28.8" x14ac:dyDescent="0.75">
      <c r="A23" s="58">
        <v>18</v>
      </c>
      <c r="B23" s="60">
        <f t="shared" si="0"/>
        <v>0</v>
      </c>
      <c r="C23" s="60">
        <f t="shared" si="1"/>
        <v>1</v>
      </c>
      <c r="D23" s="60">
        <f t="shared" si="2"/>
        <v>37</v>
      </c>
      <c r="E23" s="60">
        <f t="shared" si="3"/>
        <v>1</v>
      </c>
      <c r="F23" s="64">
        <f t="shared" si="4"/>
        <v>39</v>
      </c>
      <c r="G23" s="60"/>
      <c r="H23" s="60">
        <v>1</v>
      </c>
      <c r="I23" s="60">
        <v>8</v>
      </c>
      <c r="J23" s="60"/>
      <c r="K23" s="64">
        <f t="shared" si="5"/>
        <v>9</v>
      </c>
      <c r="L23" s="59"/>
      <c r="M23" s="59"/>
      <c r="N23" s="59"/>
      <c r="O23" s="59"/>
      <c r="P23" s="64">
        <f t="shared" si="6"/>
        <v>0</v>
      </c>
      <c r="Q23" s="59"/>
      <c r="R23" s="59"/>
      <c r="S23" s="59">
        <v>2</v>
      </c>
      <c r="T23" s="59"/>
      <c r="U23" s="64">
        <f t="shared" si="7"/>
        <v>2</v>
      </c>
      <c r="V23" s="59"/>
      <c r="W23" s="59"/>
      <c r="X23" s="59">
        <v>4</v>
      </c>
      <c r="Y23" s="59"/>
      <c r="Z23" s="64">
        <f t="shared" si="8"/>
        <v>4</v>
      </c>
      <c r="AA23" s="59"/>
      <c r="AB23" s="59"/>
      <c r="AC23" s="59">
        <v>13</v>
      </c>
      <c r="AD23" s="59"/>
      <c r="AE23" s="64">
        <f t="shared" si="9"/>
        <v>13</v>
      </c>
      <c r="AF23" s="40"/>
      <c r="AG23" s="40"/>
      <c r="AH23" s="40"/>
      <c r="AI23" s="40">
        <v>1</v>
      </c>
      <c r="AJ23" s="64">
        <f t="shared" si="10"/>
        <v>1</v>
      </c>
      <c r="AK23" s="59"/>
      <c r="AL23" s="59"/>
      <c r="AM23" s="59">
        <v>1</v>
      </c>
      <c r="AN23" s="59"/>
      <c r="AO23" s="64">
        <f t="shared" si="11"/>
        <v>1</v>
      </c>
      <c r="AP23" s="40"/>
      <c r="AQ23" s="40"/>
      <c r="AR23" s="40">
        <v>2</v>
      </c>
      <c r="AS23" s="40"/>
      <c r="AT23" s="64">
        <f t="shared" si="12"/>
        <v>2</v>
      </c>
      <c r="AU23" s="67"/>
      <c r="AV23" s="67"/>
      <c r="AW23" s="67">
        <v>4</v>
      </c>
      <c r="AX23" s="67"/>
      <c r="AY23" s="64">
        <f t="shared" si="13"/>
        <v>4</v>
      </c>
      <c r="AZ23" s="40"/>
      <c r="BA23" s="40"/>
      <c r="BB23" s="40">
        <v>2</v>
      </c>
      <c r="BC23" s="40"/>
      <c r="BD23" s="64">
        <f t="shared" si="14"/>
        <v>2</v>
      </c>
      <c r="BE23" s="68"/>
      <c r="BF23" s="68"/>
      <c r="BG23" s="68">
        <v>1</v>
      </c>
      <c r="BH23" s="68"/>
      <c r="BI23" s="64">
        <f t="shared" si="15"/>
        <v>1</v>
      </c>
      <c r="BJ23" s="59"/>
      <c r="BK23" s="59"/>
      <c r="BL23" s="59"/>
      <c r="BM23" s="59"/>
      <c r="BN23" s="64">
        <f t="shared" si="16"/>
        <v>0</v>
      </c>
    </row>
    <row r="24" spans="1:66" ht="28.8" x14ac:dyDescent="0.75">
      <c r="A24" s="58">
        <v>19</v>
      </c>
      <c r="B24" s="60">
        <f t="shared" si="0"/>
        <v>2</v>
      </c>
      <c r="C24" s="60">
        <f t="shared" si="1"/>
        <v>2</v>
      </c>
      <c r="D24" s="60">
        <f t="shared" si="2"/>
        <v>30</v>
      </c>
      <c r="E24" s="60">
        <f t="shared" si="3"/>
        <v>2</v>
      </c>
      <c r="F24" s="64">
        <f t="shared" si="4"/>
        <v>36</v>
      </c>
      <c r="G24" s="60"/>
      <c r="H24" s="60"/>
      <c r="I24" s="60">
        <v>6</v>
      </c>
      <c r="J24" s="60"/>
      <c r="K24" s="64">
        <f t="shared" si="5"/>
        <v>6</v>
      </c>
      <c r="L24" s="59"/>
      <c r="M24" s="60">
        <v>1</v>
      </c>
      <c r="N24" s="60">
        <v>3</v>
      </c>
      <c r="O24" s="59"/>
      <c r="P24" s="64">
        <f t="shared" si="6"/>
        <v>4</v>
      </c>
      <c r="Q24" s="59"/>
      <c r="R24" s="60"/>
      <c r="S24" s="60"/>
      <c r="T24" s="59"/>
      <c r="U24" s="64">
        <f t="shared" si="7"/>
        <v>0</v>
      </c>
      <c r="V24" s="59"/>
      <c r="W24" s="60"/>
      <c r="X24" s="60"/>
      <c r="Y24" s="59"/>
      <c r="Z24" s="64">
        <f t="shared" si="8"/>
        <v>0</v>
      </c>
      <c r="AA24" s="59"/>
      <c r="AB24" s="60"/>
      <c r="AC24" s="60">
        <v>8</v>
      </c>
      <c r="AD24" s="59"/>
      <c r="AE24" s="64">
        <f t="shared" si="9"/>
        <v>8</v>
      </c>
      <c r="AF24" s="40">
        <v>1</v>
      </c>
      <c r="AG24" s="40">
        <v>1</v>
      </c>
      <c r="AH24" s="40">
        <v>10</v>
      </c>
      <c r="AI24" s="40"/>
      <c r="AJ24" s="64">
        <f t="shared" si="10"/>
        <v>12</v>
      </c>
      <c r="AK24" s="59"/>
      <c r="AL24" s="60"/>
      <c r="AM24" s="60"/>
      <c r="AN24" s="59"/>
      <c r="AO24" s="64">
        <f t="shared" si="11"/>
        <v>0</v>
      </c>
      <c r="AP24" s="40"/>
      <c r="AQ24" s="40"/>
      <c r="AR24" s="40"/>
      <c r="AS24" s="40">
        <v>1</v>
      </c>
      <c r="AT24" s="64">
        <f t="shared" si="12"/>
        <v>1</v>
      </c>
      <c r="AU24" s="67">
        <v>1</v>
      </c>
      <c r="AV24" s="68"/>
      <c r="AW24" s="68">
        <v>1</v>
      </c>
      <c r="AX24" s="67">
        <v>1</v>
      </c>
      <c r="AY24" s="64">
        <f t="shared" si="13"/>
        <v>3</v>
      </c>
      <c r="AZ24" s="40"/>
      <c r="BA24" s="40"/>
      <c r="BB24" s="40"/>
      <c r="BC24" s="40"/>
      <c r="BD24" s="64">
        <f t="shared" si="14"/>
        <v>0</v>
      </c>
      <c r="BE24" s="68"/>
      <c r="BF24" s="68"/>
      <c r="BG24" s="68">
        <v>2</v>
      </c>
      <c r="BH24" s="68"/>
      <c r="BI24" s="64">
        <f t="shared" si="15"/>
        <v>2</v>
      </c>
      <c r="BJ24" s="59"/>
      <c r="BK24" s="60"/>
      <c r="BL24" s="60"/>
      <c r="BM24" s="59"/>
      <c r="BN24" s="64">
        <f t="shared" si="16"/>
        <v>0</v>
      </c>
    </row>
    <row r="25" spans="1:66" ht="28.8" x14ac:dyDescent="0.75">
      <c r="A25" s="58">
        <v>20</v>
      </c>
      <c r="B25" s="60">
        <f t="shared" si="0"/>
        <v>1</v>
      </c>
      <c r="C25" s="60">
        <f t="shared" si="1"/>
        <v>4</v>
      </c>
      <c r="D25" s="60">
        <f t="shared" si="2"/>
        <v>49</v>
      </c>
      <c r="E25" s="60">
        <f t="shared" si="3"/>
        <v>6</v>
      </c>
      <c r="F25" s="64">
        <f t="shared" si="4"/>
        <v>60</v>
      </c>
      <c r="G25" s="60"/>
      <c r="H25" s="60"/>
      <c r="I25" s="60"/>
      <c r="J25" s="60"/>
      <c r="K25" s="64">
        <f t="shared" si="5"/>
        <v>0</v>
      </c>
      <c r="L25" s="59"/>
      <c r="M25" s="59"/>
      <c r="N25" s="59"/>
      <c r="O25" s="60">
        <v>1</v>
      </c>
      <c r="P25" s="64">
        <f t="shared" si="6"/>
        <v>1</v>
      </c>
      <c r="Q25" s="59"/>
      <c r="R25" s="59"/>
      <c r="S25" s="59"/>
      <c r="T25" s="60">
        <v>1</v>
      </c>
      <c r="U25" s="64">
        <f t="shared" si="7"/>
        <v>1</v>
      </c>
      <c r="V25" s="59"/>
      <c r="W25" s="59">
        <v>1</v>
      </c>
      <c r="X25" s="59">
        <v>20</v>
      </c>
      <c r="Y25" s="60"/>
      <c r="Z25" s="64">
        <f t="shared" si="8"/>
        <v>21</v>
      </c>
      <c r="AA25" s="59"/>
      <c r="AB25" s="59"/>
      <c r="AC25" s="59">
        <v>8</v>
      </c>
      <c r="AD25" s="60"/>
      <c r="AE25" s="64">
        <f t="shared" si="9"/>
        <v>8</v>
      </c>
      <c r="AF25" s="40"/>
      <c r="AG25" s="40"/>
      <c r="AH25" s="40"/>
      <c r="AI25" s="40"/>
      <c r="AJ25" s="64">
        <f t="shared" si="10"/>
        <v>0</v>
      </c>
      <c r="AK25" s="59"/>
      <c r="AL25" s="59"/>
      <c r="AM25" s="59"/>
      <c r="AN25" s="60">
        <v>4</v>
      </c>
      <c r="AO25" s="64">
        <f t="shared" si="11"/>
        <v>4</v>
      </c>
      <c r="AP25" s="40"/>
      <c r="AQ25" s="40"/>
      <c r="AR25" s="40">
        <v>3</v>
      </c>
      <c r="AS25" s="40"/>
      <c r="AT25" s="64">
        <f t="shared" si="12"/>
        <v>3</v>
      </c>
      <c r="AU25" s="67">
        <v>1</v>
      </c>
      <c r="AV25" s="67"/>
      <c r="AW25" s="67">
        <v>4</v>
      </c>
      <c r="AX25" s="68"/>
      <c r="AY25" s="64">
        <f t="shared" si="13"/>
        <v>5</v>
      </c>
      <c r="AZ25" s="40"/>
      <c r="BA25" s="40">
        <v>3</v>
      </c>
      <c r="BB25" s="40"/>
      <c r="BC25" s="40"/>
      <c r="BD25" s="64">
        <f t="shared" si="14"/>
        <v>3</v>
      </c>
      <c r="BE25" s="68"/>
      <c r="BF25" s="68"/>
      <c r="BG25" s="68"/>
      <c r="BH25" s="68"/>
      <c r="BI25" s="64">
        <f t="shared" si="15"/>
        <v>0</v>
      </c>
      <c r="BJ25" s="59"/>
      <c r="BK25" s="59"/>
      <c r="BL25" s="59">
        <v>14</v>
      </c>
      <c r="BM25" s="60"/>
      <c r="BN25" s="64">
        <f t="shared" si="16"/>
        <v>14</v>
      </c>
    </row>
    <row r="26" spans="1:66" ht="28.8" x14ac:dyDescent="0.75">
      <c r="A26" s="58">
        <v>21</v>
      </c>
      <c r="B26" s="60">
        <f t="shared" si="0"/>
        <v>2</v>
      </c>
      <c r="C26" s="60">
        <f t="shared" si="1"/>
        <v>1</v>
      </c>
      <c r="D26" s="60">
        <f t="shared" si="2"/>
        <v>29</v>
      </c>
      <c r="E26" s="60">
        <f t="shared" si="3"/>
        <v>2</v>
      </c>
      <c r="F26" s="64">
        <f t="shared" si="4"/>
        <v>34</v>
      </c>
      <c r="G26" s="60"/>
      <c r="H26" s="60">
        <v>1</v>
      </c>
      <c r="I26" s="60">
        <v>6</v>
      </c>
      <c r="J26" s="60">
        <v>2</v>
      </c>
      <c r="K26" s="64">
        <f t="shared" si="5"/>
        <v>9</v>
      </c>
      <c r="L26" s="59"/>
      <c r="M26" s="59"/>
      <c r="N26" s="59"/>
      <c r="O26" s="59"/>
      <c r="P26" s="64">
        <f t="shared" si="6"/>
        <v>0</v>
      </c>
      <c r="Q26" s="59"/>
      <c r="R26" s="59"/>
      <c r="S26" s="59"/>
      <c r="T26" s="59"/>
      <c r="U26" s="64">
        <f t="shared" si="7"/>
        <v>0</v>
      </c>
      <c r="V26" s="59"/>
      <c r="W26" s="59"/>
      <c r="X26" s="59"/>
      <c r="Y26" s="59"/>
      <c r="Z26" s="64">
        <f t="shared" si="8"/>
        <v>0</v>
      </c>
      <c r="AA26" s="59"/>
      <c r="AB26" s="59"/>
      <c r="AC26" s="59"/>
      <c r="AD26" s="59"/>
      <c r="AE26" s="64">
        <f t="shared" si="9"/>
        <v>0</v>
      </c>
      <c r="AF26" s="40"/>
      <c r="AG26" s="40"/>
      <c r="AH26" s="40"/>
      <c r="AI26" s="40"/>
      <c r="AJ26" s="64">
        <f t="shared" si="10"/>
        <v>0</v>
      </c>
      <c r="AK26" s="59">
        <v>1</v>
      </c>
      <c r="AL26" s="59"/>
      <c r="AM26" s="59">
        <v>6</v>
      </c>
      <c r="AN26" s="59"/>
      <c r="AO26" s="64">
        <f t="shared" si="11"/>
        <v>7</v>
      </c>
      <c r="AP26" s="40"/>
      <c r="AQ26" s="40"/>
      <c r="AR26" s="40"/>
      <c r="AS26" s="40"/>
      <c r="AT26" s="64">
        <f t="shared" si="12"/>
        <v>0</v>
      </c>
      <c r="AU26" s="67"/>
      <c r="AV26" s="67"/>
      <c r="AW26" s="67"/>
      <c r="AX26" s="67"/>
      <c r="AY26" s="64">
        <f t="shared" si="13"/>
        <v>0</v>
      </c>
      <c r="AZ26" s="40"/>
      <c r="BA26" s="40"/>
      <c r="BB26" s="40">
        <v>4</v>
      </c>
      <c r="BC26" s="40"/>
      <c r="BD26" s="64">
        <f t="shared" si="14"/>
        <v>4</v>
      </c>
      <c r="BE26" s="68"/>
      <c r="BF26" s="68"/>
      <c r="BG26" s="68"/>
      <c r="BH26" s="68"/>
      <c r="BI26" s="64">
        <f t="shared" si="15"/>
        <v>0</v>
      </c>
      <c r="BJ26" s="59">
        <v>1</v>
      </c>
      <c r="BK26" s="59"/>
      <c r="BL26" s="59">
        <v>13</v>
      </c>
      <c r="BM26" s="59"/>
      <c r="BN26" s="64">
        <f t="shared" si="16"/>
        <v>14</v>
      </c>
    </row>
    <row r="27" spans="1:66" ht="28.8" x14ac:dyDescent="0.75">
      <c r="A27" s="58">
        <v>22</v>
      </c>
      <c r="B27" s="60">
        <f t="shared" si="0"/>
        <v>0</v>
      </c>
      <c r="C27" s="60">
        <f t="shared" si="1"/>
        <v>2</v>
      </c>
      <c r="D27" s="60">
        <f t="shared" si="2"/>
        <v>45</v>
      </c>
      <c r="E27" s="60">
        <f t="shared" si="3"/>
        <v>4</v>
      </c>
      <c r="F27" s="64">
        <f t="shared" si="4"/>
        <v>51</v>
      </c>
      <c r="G27" s="60"/>
      <c r="H27" s="60"/>
      <c r="I27" s="60">
        <v>2</v>
      </c>
      <c r="J27" s="60"/>
      <c r="K27" s="64">
        <f t="shared" si="5"/>
        <v>2</v>
      </c>
      <c r="L27" s="59"/>
      <c r="M27" s="59"/>
      <c r="N27" s="59"/>
      <c r="O27" s="59"/>
      <c r="P27" s="64">
        <f t="shared" si="6"/>
        <v>0</v>
      </c>
      <c r="Q27" s="59"/>
      <c r="R27" s="59"/>
      <c r="S27" s="59">
        <v>1</v>
      </c>
      <c r="T27" s="59"/>
      <c r="U27" s="64">
        <f t="shared" si="7"/>
        <v>1</v>
      </c>
      <c r="V27" s="59"/>
      <c r="W27" s="59"/>
      <c r="X27" s="59"/>
      <c r="Y27" s="59"/>
      <c r="Z27" s="64">
        <f t="shared" si="8"/>
        <v>0</v>
      </c>
      <c r="AA27" s="59"/>
      <c r="AB27" s="59"/>
      <c r="AC27" s="59"/>
      <c r="AD27" s="59"/>
      <c r="AE27" s="64">
        <f t="shared" si="9"/>
        <v>0</v>
      </c>
      <c r="AF27" s="40"/>
      <c r="AG27" s="40">
        <v>1</v>
      </c>
      <c r="AH27" s="40">
        <v>13</v>
      </c>
      <c r="AI27" s="40">
        <v>3</v>
      </c>
      <c r="AJ27" s="64">
        <f t="shared" si="10"/>
        <v>17</v>
      </c>
      <c r="AK27" s="59"/>
      <c r="AL27" s="59"/>
      <c r="AM27" s="59">
        <v>4</v>
      </c>
      <c r="AN27" s="59"/>
      <c r="AO27" s="64">
        <f t="shared" si="11"/>
        <v>4</v>
      </c>
      <c r="AP27" s="40"/>
      <c r="AQ27" s="40"/>
      <c r="AR27" s="40">
        <v>1</v>
      </c>
      <c r="AS27" s="40"/>
      <c r="AT27" s="64">
        <f t="shared" si="12"/>
        <v>1</v>
      </c>
      <c r="AU27" s="67"/>
      <c r="AV27" s="67"/>
      <c r="AW27" s="67">
        <v>4</v>
      </c>
      <c r="AX27" s="67"/>
      <c r="AY27" s="64">
        <f t="shared" si="13"/>
        <v>4</v>
      </c>
      <c r="AZ27" s="40"/>
      <c r="BA27" s="40"/>
      <c r="BB27" s="40"/>
      <c r="BC27" s="40"/>
      <c r="BD27" s="64">
        <f t="shared" si="14"/>
        <v>0</v>
      </c>
      <c r="BE27" s="68"/>
      <c r="BF27" s="68"/>
      <c r="BG27" s="68"/>
      <c r="BH27" s="68">
        <v>1</v>
      </c>
      <c r="BI27" s="64">
        <f t="shared" si="15"/>
        <v>1</v>
      </c>
      <c r="BJ27" s="59"/>
      <c r="BK27" s="59">
        <v>1</v>
      </c>
      <c r="BL27" s="59">
        <v>20</v>
      </c>
      <c r="BM27" s="59"/>
      <c r="BN27" s="64">
        <f t="shared" si="16"/>
        <v>21</v>
      </c>
    </row>
    <row r="28" spans="1:66" ht="28.8" x14ac:dyDescent="0.75">
      <c r="A28" s="58">
        <v>23</v>
      </c>
      <c r="B28" s="60">
        <f t="shared" si="0"/>
        <v>2</v>
      </c>
      <c r="C28" s="60">
        <f t="shared" si="1"/>
        <v>1</v>
      </c>
      <c r="D28" s="60">
        <f t="shared" si="2"/>
        <v>15</v>
      </c>
      <c r="E28" s="60">
        <f t="shared" si="3"/>
        <v>1</v>
      </c>
      <c r="F28" s="64">
        <f t="shared" si="4"/>
        <v>19</v>
      </c>
      <c r="G28" s="60"/>
      <c r="H28" s="60"/>
      <c r="I28" s="60"/>
      <c r="J28" s="60"/>
      <c r="K28" s="64">
        <f t="shared" si="5"/>
        <v>0</v>
      </c>
      <c r="L28" s="59"/>
      <c r="M28" s="59"/>
      <c r="N28" s="59"/>
      <c r="O28" s="59"/>
      <c r="P28" s="64">
        <f t="shared" si="6"/>
        <v>0</v>
      </c>
      <c r="Q28" s="59"/>
      <c r="R28" s="59"/>
      <c r="S28" s="59"/>
      <c r="T28" s="59"/>
      <c r="U28" s="64">
        <f t="shared" si="7"/>
        <v>0</v>
      </c>
      <c r="V28" s="59"/>
      <c r="W28" s="59"/>
      <c r="X28" s="59"/>
      <c r="Y28" s="59"/>
      <c r="Z28" s="64">
        <f t="shared" si="8"/>
        <v>0</v>
      </c>
      <c r="AA28" s="59"/>
      <c r="AB28" s="59"/>
      <c r="AC28" s="59">
        <v>6</v>
      </c>
      <c r="AD28" s="59"/>
      <c r="AE28" s="64">
        <f t="shared" si="9"/>
        <v>6</v>
      </c>
      <c r="AF28" s="40"/>
      <c r="AG28" s="40"/>
      <c r="AH28" s="40"/>
      <c r="AI28" s="40"/>
      <c r="AJ28" s="64">
        <f t="shared" si="10"/>
        <v>0</v>
      </c>
      <c r="AK28" s="59">
        <v>1</v>
      </c>
      <c r="AL28" s="59"/>
      <c r="AM28" s="59">
        <v>1</v>
      </c>
      <c r="AN28" s="59"/>
      <c r="AO28" s="64">
        <f t="shared" si="11"/>
        <v>2</v>
      </c>
      <c r="AP28" s="40"/>
      <c r="AQ28" s="40"/>
      <c r="AR28" s="40"/>
      <c r="AS28" s="40"/>
      <c r="AT28" s="64">
        <f t="shared" si="12"/>
        <v>0</v>
      </c>
      <c r="AU28" s="67"/>
      <c r="AV28" s="67"/>
      <c r="AW28" s="67">
        <v>2</v>
      </c>
      <c r="AX28" s="67">
        <v>1</v>
      </c>
      <c r="AY28" s="64">
        <f t="shared" si="13"/>
        <v>3</v>
      </c>
      <c r="AZ28" s="40"/>
      <c r="BA28" s="40"/>
      <c r="BB28" s="40">
        <v>5</v>
      </c>
      <c r="BC28" s="40"/>
      <c r="BD28" s="64">
        <f t="shared" si="14"/>
        <v>5</v>
      </c>
      <c r="BE28" s="68">
        <v>1</v>
      </c>
      <c r="BF28" s="68">
        <v>1</v>
      </c>
      <c r="BG28" s="68">
        <v>1</v>
      </c>
      <c r="BH28" s="68"/>
      <c r="BI28" s="64">
        <f t="shared" si="15"/>
        <v>3</v>
      </c>
      <c r="BJ28" s="59"/>
      <c r="BK28" s="59"/>
      <c r="BL28" s="59"/>
      <c r="BM28" s="59"/>
      <c r="BN28" s="64">
        <f t="shared" si="16"/>
        <v>0</v>
      </c>
    </row>
    <row r="29" spans="1:66" ht="28.8" x14ac:dyDescent="0.75">
      <c r="A29" s="58">
        <v>24</v>
      </c>
      <c r="B29" s="60">
        <f t="shared" si="0"/>
        <v>5</v>
      </c>
      <c r="C29" s="60">
        <f t="shared" si="1"/>
        <v>2</v>
      </c>
      <c r="D29" s="60">
        <f t="shared" si="2"/>
        <v>13</v>
      </c>
      <c r="E29" s="60">
        <f t="shared" si="3"/>
        <v>6</v>
      </c>
      <c r="F29" s="64">
        <f t="shared" si="4"/>
        <v>26</v>
      </c>
      <c r="G29" s="60"/>
      <c r="H29" s="60"/>
      <c r="I29" s="60"/>
      <c r="J29" s="60"/>
      <c r="K29" s="64">
        <f t="shared" si="5"/>
        <v>0</v>
      </c>
      <c r="L29" s="60">
        <v>1</v>
      </c>
      <c r="M29" s="59"/>
      <c r="N29" s="59"/>
      <c r="O29" s="60">
        <v>3</v>
      </c>
      <c r="P29" s="64">
        <f t="shared" si="6"/>
        <v>4</v>
      </c>
      <c r="Q29" s="60"/>
      <c r="R29" s="59"/>
      <c r="S29" s="59"/>
      <c r="T29" s="60"/>
      <c r="U29" s="64">
        <f t="shared" si="7"/>
        <v>0</v>
      </c>
      <c r="V29" s="60"/>
      <c r="W29" s="59"/>
      <c r="X29" s="59"/>
      <c r="Y29" s="60"/>
      <c r="Z29" s="64">
        <f t="shared" si="8"/>
        <v>0</v>
      </c>
      <c r="AA29" s="60"/>
      <c r="AB29" s="59"/>
      <c r="AC29" s="59">
        <v>3</v>
      </c>
      <c r="AD29" s="60"/>
      <c r="AE29" s="64">
        <f t="shared" si="9"/>
        <v>3</v>
      </c>
      <c r="AF29" s="40"/>
      <c r="AG29" s="40"/>
      <c r="AH29" s="40">
        <v>1</v>
      </c>
      <c r="AI29" s="40">
        <v>2</v>
      </c>
      <c r="AJ29" s="64">
        <f t="shared" si="10"/>
        <v>3</v>
      </c>
      <c r="AK29" s="60"/>
      <c r="AL29" s="59"/>
      <c r="AM29" s="59">
        <v>1</v>
      </c>
      <c r="AN29" s="60">
        <v>1</v>
      </c>
      <c r="AO29" s="64">
        <f t="shared" si="11"/>
        <v>2</v>
      </c>
      <c r="AP29" s="40"/>
      <c r="AQ29" s="40"/>
      <c r="AR29" s="40"/>
      <c r="AS29" s="40"/>
      <c r="AT29" s="64">
        <f t="shared" si="12"/>
        <v>0</v>
      </c>
      <c r="AU29" s="68"/>
      <c r="AV29" s="67"/>
      <c r="AW29" s="67">
        <v>3</v>
      </c>
      <c r="AX29" s="68"/>
      <c r="AY29" s="64">
        <f t="shared" si="13"/>
        <v>3</v>
      </c>
      <c r="AZ29" s="40"/>
      <c r="BA29" s="40">
        <v>2</v>
      </c>
      <c r="BB29" s="40"/>
      <c r="BC29" s="40"/>
      <c r="BD29" s="64">
        <f t="shared" si="14"/>
        <v>2</v>
      </c>
      <c r="BE29" s="68">
        <v>1</v>
      </c>
      <c r="BF29" s="68"/>
      <c r="BG29" s="68">
        <v>3</v>
      </c>
      <c r="BH29" s="68"/>
      <c r="BI29" s="64">
        <f t="shared" si="15"/>
        <v>4</v>
      </c>
      <c r="BJ29" s="60">
        <v>3</v>
      </c>
      <c r="BK29" s="59"/>
      <c r="BL29" s="59">
        <v>2</v>
      </c>
      <c r="BM29" s="60"/>
      <c r="BN29" s="64">
        <f t="shared" si="16"/>
        <v>5</v>
      </c>
    </row>
    <row r="30" spans="1:66" ht="28.8" x14ac:dyDescent="0.75">
      <c r="A30" s="58">
        <v>25</v>
      </c>
      <c r="B30" s="60">
        <f t="shared" si="0"/>
        <v>3</v>
      </c>
      <c r="C30" s="60">
        <f t="shared" si="1"/>
        <v>3</v>
      </c>
      <c r="D30" s="60">
        <f t="shared" si="2"/>
        <v>14</v>
      </c>
      <c r="E30" s="60">
        <f t="shared" si="3"/>
        <v>1</v>
      </c>
      <c r="F30" s="64">
        <f t="shared" si="4"/>
        <v>21</v>
      </c>
      <c r="G30" s="60">
        <v>2</v>
      </c>
      <c r="H30" s="60">
        <v>1</v>
      </c>
      <c r="I30" s="60">
        <v>1</v>
      </c>
      <c r="J30" s="60"/>
      <c r="K30" s="64">
        <f t="shared" si="5"/>
        <v>4</v>
      </c>
      <c r="L30" s="59"/>
      <c r="M30" s="60">
        <v>1</v>
      </c>
      <c r="N30" s="60">
        <v>1</v>
      </c>
      <c r="O30" s="59"/>
      <c r="P30" s="64">
        <f t="shared" si="6"/>
        <v>2</v>
      </c>
      <c r="Q30" s="59"/>
      <c r="R30" s="60"/>
      <c r="S30" s="60"/>
      <c r="T30" s="59"/>
      <c r="U30" s="64">
        <f t="shared" si="7"/>
        <v>0</v>
      </c>
      <c r="V30" s="59"/>
      <c r="W30" s="60"/>
      <c r="X30" s="60"/>
      <c r="Y30" s="59"/>
      <c r="Z30" s="64">
        <f t="shared" si="8"/>
        <v>0</v>
      </c>
      <c r="AA30" s="59"/>
      <c r="AB30" s="60"/>
      <c r="AC30" s="60">
        <v>5</v>
      </c>
      <c r="AD30" s="59">
        <v>1</v>
      </c>
      <c r="AE30" s="64">
        <f t="shared" si="9"/>
        <v>6</v>
      </c>
      <c r="AF30" s="40"/>
      <c r="AG30" s="40"/>
      <c r="AH30" s="40">
        <v>4</v>
      </c>
      <c r="AI30" s="40"/>
      <c r="AJ30" s="64">
        <f t="shared" si="10"/>
        <v>4</v>
      </c>
      <c r="AK30" s="59"/>
      <c r="AL30" s="60"/>
      <c r="AM30" s="60"/>
      <c r="AN30" s="59"/>
      <c r="AO30" s="64">
        <f t="shared" si="11"/>
        <v>0</v>
      </c>
      <c r="AP30" s="40"/>
      <c r="AQ30" s="40"/>
      <c r="AR30" s="40"/>
      <c r="AS30" s="40"/>
      <c r="AT30" s="64">
        <f t="shared" si="12"/>
        <v>0</v>
      </c>
      <c r="AU30" s="67"/>
      <c r="AV30" s="68"/>
      <c r="AW30" s="68"/>
      <c r="AX30" s="67"/>
      <c r="AY30" s="64">
        <f t="shared" si="13"/>
        <v>0</v>
      </c>
      <c r="AZ30" s="40">
        <v>1</v>
      </c>
      <c r="BA30" s="40">
        <v>1</v>
      </c>
      <c r="BB30" s="40"/>
      <c r="BC30" s="40"/>
      <c r="BD30" s="64">
        <f t="shared" si="14"/>
        <v>2</v>
      </c>
      <c r="BE30" s="68"/>
      <c r="BF30" s="68"/>
      <c r="BG30" s="68">
        <v>3</v>
      </c>
      <c r="BH30" s="68"/>
      <c r="BI30" s="64">
        <f t="shared" si="15"/>
        <v>3</v>
      </c>
      <c r="BJ30" s="59"/>
      <c r="BK30" s="60"/>
      <c r="BL30" s="60"/>
      <c r="BM30" s="59"/>
      <c r="BN30" s="64">
        <f t="shared" si="16"/>
        <v>0</v>
      </c>
    </row>
    <row r="31" spans="1:66" ht="28.8" x14ac:dyDescent="0.75">
      <c r="A31" s="58">
        <v>26</v>
      </c>
      <c r="B31" s="60">
        <f t="shared" si="0"/>
        <v>0</v>
      </c>
      <c r="C31" s="60">
        <f t="shared" si="1"/>
        <v>0</v>
      </c>
      <c r="D31" s="60">
        <f t="shared" si="2"/>
        <v>21</v>
      </c>
      <c r="E31" s="60">
        <f t="shared" si="3"/>
        <v>0</v>
      </c>
      <c r="F31" s="64">
        <f t="shared" si="4"/>
        <v>21</v>
      </c>
      <c r="G31" s="60"/>
      <c r="H31" s="60"/>
      <c r="I31" s="60">
        <v>5</v>
      </c>
      <c r="J31" s="60"/>
      <c r="K31" s="64">
        <f t="shared" si="5"/>
        <v>5</v>
      </c>
      <c r="L31" s="59"/>
      <c r="M31" s="59"/>
      <c r="N31" s="59"/>
      <c r="O31" s="59"/>
      <c r="P31" s="64">
        <f t="shared" si="6"/>
        <v>0</v>
      </c>
      <c r="Q31" s="59"/>
      <c r="R31" s="59"/>
      <c r="S31" s="59">
        <v>4</v>
      </c>
      <c r="T31" s="59"/>
      <c r="U31" s="64">
        <f t="shared" si="7"/>
        <v>4</v>
      </c>
      <c r="V31" s="59"/>
      <c r="W31" s="59"/>
      <c r="X31" s="59"/>
      <c r="Y31" s="59"/>
      <c r="Z31" s="64">
        <f t="shared" si="8"/>
        <v>0</v>
      </c>
      <c r="AA31" s="59"/>
      <c r="AB31" s="59"/>
      <c r="AC31" s="59"/>
      <c r="AD31" s="59"/>
      <c r="AE31" s="64">
        <f t="shared" si="9"/>
        <v>0</v>
      </c>
      <c r="AF31" s="40"/>
      <c r="AG31" s="40"/>
      <c r="AH31" s="40"/>
      <c r="AI31" s="40"/>
      <c r="AJ31" s="64">
        <f t="shared" si="10"/>
        <v>0</v>
      </c>
      <c r="AK31" s="59"/>
      <c r="AL31" s="59"/>
      <c r="AM31" s="59"/>
      <c r="AN31" s="59"/>
      <c r="AO31" s="64">
        <f t="shared" si="11"/>
        <v>0</v>
      </c>
      <c r="AP31" s="40"/>
      <c r="AQ31" s="40"/>
      <c r="AR31" s="40"/>
      <c r="AS31" s="40"/>
      <c r="AT31" s="64">
        <f t="shared" si="12"/>
        <v>0</v>
      </c>
      <c r="AU31" s="67"/>
      <c r="AV31" s="67"/>
      <c r="AW31" s="67">
        <v>6</v>
      </c>
      <c r="AX31" s="67"/>
      <c r="AY31" s="64">
        <f t="shared" si="13"/>
        <v>6</v>
      </c>
      <c r="AZ31" s="40"/>
      <c r="BA31" s="40"/>
      <c r="BB31" s="40">
        <v>6</v>
      </c>
      <c r="BC31" s="40"/>
      <c r="BD31" s="64">
        <f t="shared" si="14"/>
        <v>6</v>
      </c>
      <c r="BE31" s="68"/>
      <c r="BF31" s="68"/>
      <c r="BG31" s="68"/>
      <c r="BH31" s="68"/>
      <c r="BI31" s="64">
        <f t="shared" si="15"/>
        <v>0</v>
      </c>
      <c r="BJ31" s="59"/>
      <c r="BK31" s="59"/>
      <c r="BL31" s="59"/>
      <c r="BM31" s="59"/>
      <c r="BN31" s="64">
        <f t="shared" si="16"/>
        <v>0</v>
      </c>
    </row>
    <row r="32" spans="1:66" ht="28.8" x14ac:dyDescent="0.75">
      <c r="A32" s="58">
        <v>27</v>
      </c>
      <c r="B32" s="60">
        <f t="shared" si="0"/>
        <v>0</v>
      </c>
      <c r="C32" s="60">
        <f t="shared" si="1"/>
        <v>2</v>
      </c>
      <c r="D32" s="60">
        <f t="shared" si="2"/>
        <v>20</v>
      </c>
      <c r="E32" s="60">
        <f t="shared" si="3"/>
        <v>4</v>
      </c>
      <c r="F32" s="64">
        <f t="shared" si="4"/>
        <v>26</v>
      </c>
      <c r="G32" s="60"/>
      <c r="H32" s="60"/>
      <c r="I32" s="60">
        <v>8</v>
      </c>
      <c r="J32" s="60">
        <v>3</v>
      </c>
      <c r="K32" s="64">
        <f t="shared" si="5"/>
        <v>11</v>
      </c>
      <c r="L32" s="59"/>
      <c r="M32" s="59"/>
      <c r="N32" s="59"/>
      <c r="O32" s="59"/>
      <c r="P32" s="64">
        <f t="shared" si="6"/>
        <v>0</v>
      </c>
      <c r="Q32" s="59"/>
      <c r="R32" s="59"/>
      <c r="S32" s="59"/>
      <c r="T32" s="59"/>
      <c r="U32" s="64">
        <f t="shared" si="7"/>
        <v>0</v>
      </c>
      <c r="V32" s="59"/>
      <c r="W32" s="59"/>
      <c r="X32" s="59"/>
      <c r="Y32" s="59"/>
      <c r="Z32" s="64">
        <f t="shared" si="8"/>
        <v>0</v>
      </c>
      <c r="AA32" s="59"/>
      <c r="AB32" s="59"/>
      <c r="AC32" s="59">
        <v>9</v>
      </c>
      <c r="AD32" s="59"/>
      <c r="AE32" s="64">
        <f t="shared" si="9"/>
        <v>9</v>
      </c>
      <c r="AF32" s="40"/>
      <c r="AG32" s="40">
        <v>1</v>
      </c>
      <c r="AH32" s="40">
        <v>2</v>
      </c>
      <c r="AI32" s="40">
        <v>1</v>
      </c>
      <c r="AJ32" s="64">
        <f t="shared" si="10"/>
        <v>4</v>
      </c>
      <c r="AK32" s="59"/>
      <c r="AL32" s="59"/>
      <c r="AM32" s="59"/>
      <c r="AN32" s="59"/>
      <c r="AO32" s="64">
        <f t="shared" si="11"/>
        <v>0</v>
      </c>
      <c r="AP32" s="40"/>
      <c r="AQ32" s="40">
        <v>1</v>
      </c>
      <c r="AR32" s="40">
        <v>1</v>
      </c>
      <c r="AS32" s="40"/>
      <c r="AT32" s="64">
        <f t="shared" si="12"/>
        <v>2</v>
      </c>
      <c r="AU32" s="67"/>
      <c r="AV32" s="67"/>
      <c r="AW32" s="67"/>
      <c r="AX32" s="67"/>
      <c r="AY32" s="64">
        <f t="shared" si="13"/>
        <v>0</v>
      </c>
      <c r="AZ32" s="40"/>
      <c r="BA32" s="40"/>
      <c r="BB32" s="40"/>
      <c r="BC32" s="40"/>
      <c r="BD32" s="64">
        <f t="shared" si="14"/>
        <v>0</v>
      </c>
      <c r="BE32" s="68"/>
      <c r="BF32" s="68"/>
      <c r="BG32" s="68"/>
      <c r="BH32" s="68"/>
      <c r="BI32" s="64">
        <f t="shared" si="15"/>
        <v>0</v>
      </c>
      <c r="BJ32" s="59"/>
      <c r="BK32" s="59"/>
      <c r="BL32" s="59"/>
      <c r="BM32" s="59"/>
      <c r="BN32" s="64">
        <f t="shared" si="16"/>
        <v>0</v>
      </c>
    </row>
    <row r="33" spans="1:66" ht="28.8" x14ac:dyDescent="0.75">
      <c r="A33" s="58">
        <v>28</v>
      </c>
      <c r="B33" s="60">
        <f t="shared" si="0"/>
        <v>3</v>
      </c>
      <c r="C33" s="60">
        <f t="shared" si="1"/>
        <v>1</v>
      </c>
      <c r="D33" s="60">
        <f t="shared" si="2"/>
        <v>34</v>
      </c>
      <c r="E33" s="60">
        <f t="shared" si="3"/>
        <v>0</v>
      </c>
      <c r="F33" s="64">
        <f t="shared" si="4"/>
        <v>38</v>
      </c>
      <c r="G33" s="60">
        <v>1</v>
      </c>
      <c r="H33" s="60"/>
      <c r="I33" s="60">
        <v>2</v>
      </c>
      <c r="J33" s="60"/>
      <c r="K33" s="64">
        <f t="shared" si="5"/>
        <v>3</v>
      </c>
      <c r="L33" s="59"/>
      <c r="M33" s="59"/>
      <c r="N33" s="59"/>
      <c r="O33" s="59"/>
      <c r="P33" s="64">
        <f t="shared" si="6"/>
        <v>0</v>
      </c>
      <c r="Q33" s="59"/>
      <c r="R33" s="59"/>
      <c r="S33" s="59"/>
      <c r="T33" s="59"/>
      <c r="U33" s="64">
        <f t="shared" si="7"/>
        <v>0</v>
      </c>
      <c r="V33" s="59"/>
      <c r="W33" s="59"/>
      <c r="X33" s="59"/>
      <c r="Y33" s="59"/>
      <c r="Z33" s="64">
        <f t="shared" si="8"/>
        <v>0</v>
      </c>
      <c r="AA33" s="59"/>
      <c r="AB33" s="59"/>
      <c r="AC33" s="59"/>
      <c r="AD33" s="59"/>
      <c r="AE33" s="64">
        <f t="shared" si="9"/>
        <v>0</v>
      </c>
      <c r="AF33" s="40"/>
      <c r="AG33" s="40"/>
      <c r="AH33" s="40"/>
      <c r="AI33" s="40"/>
      <c r="AJ33" s="64">
        <f t="shared" si="10"/>
        <v>0</v>
      </c>
      <c r="AK33" s="59"/>
      <c r="AL33" s="59"/>
      <c r="AM33" s="59">
        <v>1</v>
      </c>
      <c r="AN33" s="59"/>
      <c r="AO33" s="64">
        <f t="shared" si="11"/>
        <v>1</v>
      </c>
      <c r="AP33" s="40"/>
      <c r="AQ33" s="40"/>
      <c r="AR33" s="40"/>
      <c r="AS33" s="40"/>
      <c r="AT33" s="64">
        <f t="shared" si="12"/>
        <v>0</v>
      </c>
      <c r="AU33" s="67"/>
      <c r="AV33" s="67"/>
      <c r="AW33" s="67"/>
      <c r="AX33" s="67"/>
      <c r="AY33" s="64">
        <f t="shared" si="13"/>
        <v>0</v>
      </c>
      <c r="AZ33" s="40"/>
      <c r="BA33" s="40"/>
      <c r="BB33" s="40"/>
      <c r="BC33" s="40"/>
      <c r="BD33" s="64">
        <f t="shared" si="14"/>
        <v>0</v>
      </c>
      <c r="BE33" s="68">
        <v>1</v>
      </c>
      <c r="BF33" s="68"/>
      <c r="BG33" s="68"/>
      <c r="BH33" s="68"/>
      <c r="BI33" s="64">
        <f t="shared" si="15"/>
        <v>1</v>
      </c>
      <c r="BJ33" s="59">
        <v>1</v>
      </c>
      <c r="BK33" s="59">
        <v>1</v>
      </c>
      <c r="BL33" s="59">
        <v>31</v>
      </c>
      <c r="BM33" s="59"/>
      <c r="BN33" s="64">
        <f t="shared" si="16"/>
        <v>33</v>
      </c>
    </row>
    <row r="34" spans="1:66" ht="23.4" customHeight="1" x14ac:dyDescent="0.75">
      <c r="A34" s="58">
        <v>29</v>
      </c>
      <c r="B34" s="60">
        <f t="shared" si="0"/>
        <v>1</v>
      </c>
      <c r="C34" s="60">
        <f t="shared" si="1"/>
        <v>3</v>
      </c>
      <c r="D34" s="60">
        <f t="shared" si="2"/>
        <v>49</v>
      </c>
      <c r="E34" s="60">
        <f t="shared" si="3"/>
        <v>0</v>
      </c>
      <c r="F34" s="64">
        <f t="shared" si="4"/>
        <v>53</v>
      </c>
      <c r="G34" s="60"/>
      <c r="H34" s="60"/>
      <c r="I34" s="60"/>
      <c r="J34" s="60"/>
      <c r="K34" s="64">
        <f t="shared" si="5"/>
        <v>0</v>
      </c>
      <c r="L34" s="40"/>
      <c r="M34" s="40"/>
      <c r="N34" s="40"/>
      <c r="O34" s="40"/>
      <c r="P34" s="64">
        <f t="shared" si="6"/>
        <v>0</v>
      </c>
      <c r="Q34" s="60"/>
      <c r="R34" s="60"/>
      <c r="S34" s="60">
        <v>2</v>
      </c>
      <c r="T34" s="60"/>
      <c r="U34" s="64">
        <f t="shared" si="7"/>
        <v>2</v>
      </c>
      <c r="V34" s="60"/>
      <c r="W34" s="60"/>
      <c r="X34" s="60"/>
      <c r="Y34" s="60"/>
      <c r="Z34" s="64">
        <f t="shared" si="8"/>
        <v>0</v>
      </c>
      <c r="AA34" s="60"/>
      <c r="AB34" s="60">
        <v>1</v>
      </c>
      <c r="AC34" s="60"/>
      <c r="AD34" s="60"/>
      <c r="AE34" s="64">
        <f t="shared" si="9"/>
        <v>1</v>
      </c>
      <c r="AF34" s="40"/>
      <c r="AG34" s="40"/>
      <c r="AH34" s="40">
        <v>1</v>
      </c>
      <c r="AI34" s="40"/>
      <c r="AJ34" s="64">
        <f t="shared" si="10"/>
        <v>1</v>
      </c>
      <c r="AK34" s="60"/>
      <c r="AL34" s="60"/>
      <c r="AM34" s="60"/>
      <c r="AN34" s="60"/>
      <c r="AO34" s="64">
        <f t="shared" si="11"/>
        <v>0</v>
      </c>
      <c r="AP34" s="40">
        <v>1</v>
      </c>
      <c r="AQ34" s="40"/>
      <c r="AR34" s="40"/>
      <c r="AS34" s="40"/>
      <c r="AT34" s="64">
        <f t="shared" si="12"/>
        <v>1</v>
      </c>
      <c r="AU34" s="68"/>
      <c r="AV34" s="68">
        <v>1</v>
      </c>
      <c r="AW34" s="68">
        <v>4</v>
      </c>
      <c r="AX34" s="68"/>
      <c r="AY34" s="64">
        <f t="shared" si="13"/>
        <v>5</v>
      </c>
      <c r="AZ34" s="40"/>
      <c r="BA34" s="40"/>
      <c r="BB34" s="40"/>
      <c r="BC34" s="40"/>
      <c r="BD34" s="64">
        <f t="shared" si="14"/>
        <v>0</v>
      </c>
      <c r="BE34" s="68"/>
      <c r="BF34" s="68"/>
      <c r="BG34" s="68">
        <v>4</v>
      </c>
      <c r="BH34" s="68"/>
      <c r="BI34" s="64">
        <f t="shared" si="15"/>
        <v>4</v>
      </c>
      <c r="BJ34" s="60"/>
      <c r="BK34" s="60">
        <v>1</v>
      </c>
      <c r="BL34" s="60">
        <v>38</v>
      </c>
      <c r="BM34" s="60"/>
      <c r="BN34" s="64">
        <f t="shared" si="16"/>
        <v>39</v>
      </c>
    </row>
    <row r="35" spans="1:66" ht="23.4" customHeight="1" x14ac:dyDescent="0.75">
      <c r="A35" s="58">
        <v>30</v>
      </c>
      <c r="B35" s="60">
        <f t="shared" si="0"/>
        <v>4</v>
      </c>
      <c r="C35" s="60">
        <f t="shared" si="1"/>
        <v>1</v>
      </c>
      <c r="D35" s="60">
        <f t="shared" si="2"/>
        <v>41</v>
      </c>
      <c r="E35" s="60">
        <f t="shared" si="3"/>
        <v>1</v>
      </c>
      <c r="F35" s="64">
        <f t="shared" si="4"/>
        <v>47</v>
      </c>
      <c r="G35" s="40"/>
      <c r="H35" s="40"/>
      <c r="I35" s="40"/>
      <c r="J35" s="40"/>
      <c r="K35" s="64">
        <f t="shared" si="5"/>
        <v>0</v>
      </c>
      <c r="L35" s="40"/>
      <c r="M35" s="40"/>
      <c r="N35" s="40"/>
      <c r="O35" s="40"/>
      <c r="P35" s="64">
        <f t="shared" si="6"/>
        <v>0</v>
      </c>
      <c r="U35" s="64">
        <f t="shared" si="7"/>
        <v>0</v>
      </c>
      <c r="Z35" s="64">
        <f t="shared" si="8"/>
        <v>0</v>
      </c>
      <c r="AC35">
        <v>9</v>
      </c>
      <c r="AE35" s="64">
        <f t="shared" si="9"/>
        <v>9</v>
      </c>
      <c r="AF35" s="40"/>
      <c r="AG35" s="40"/>
      <c r="AH35" s="40"/>
      <c r="AI35" s="40"/>
      <c r="AJ35" s="64">
        <f t="shared" si="10"/>
        <v>0</v>
      </c>
      <c r="AM35">
        <v>4</v>
      </c>
      <c r="AN35">
        <v>1</v>
      </c>
      <c r="AO35" s="64">
        <f t="shared" si="11"/>
        <v>5</v>
      </c>
      <c r="AP35" s="40"/>
      <c r="AQ35" s="40"/>
      <c r="AR35" s="40">
        <v>3</v>
      </c>
      <c r="AS35" s="40"/>
      <c r="AT35" s="64">
        <f t="shared" si="12"/>
        <v>3</v>
      </c>
      <c r="AW35" s="69"/>
      <c r="AY35" s="64">
        <f t="shared" si="13"/>
        <v>0</v>
      </c>
      <c r="AZ35" s="40">
        <v>1</v>
      </c>
      <c r="BA35" s="40"/>
      <c r="BB35" s="40">
        <v>1</v>
      </c>
      <c r="BC35" s="40"/>
      <c r="BD35" s="64">
        <f t="shared" si="14"/>
        <v>2</v>
      </c>
      <c r="BE35" s="70"/>
      <c r="BF35" s="40"/>
      <c r="BG35" s="70"/>
      <c r="BH35" s="40"/>
      <c r="BI35" s="64">
        <f t="shared" si="15"/>
        <v>0</v>
      </c>
      <c r="BJ35" s="105">
        <v>3</v>
      </c>
      <c r="BK35" s="105">
        <v>1</v>
      </c>
      <c r="BL35" s="105">
        <v>24</v>
      </c>
      <c r="BN35" s="64">
        <f t="shared" si="16"/>
        <v>28</v>
      </c>
    </row>
    <row r="36" spans="1:66" ht="23.4" customHeight="1" x14ac:dyDescent="0.75">
      <c r="A36" s="58">
        <v>31</v>
      </c>
      <c r="B36" s="60">
        <f t="shared" si="0"/>
        <v>0</v>
      </c>
      <c r="C36" s="60">
        <f t="shared" si="1"/>
        <v>0</v>
      </c>
      <c r="D36" s="60">
        <f t="shared" si="2"/>
        <v>0</v>
      </c>
      <c r="E36" s="60">
        <f t="shared" si="3"/>
        <v>0</v>
      </c>
      <c r="F36" s="64">
        <f t="shared" si="4"/>
        <v>0</v>
      </c>
      <c r="G36" s="40"/>
      <c r="H36" s="40"/>
      <c r="I36" s="40"/>
      <c r="J36" s="40"/>
      <c r="K36" s="64">
        <f t="shared" si="5"/>
        <v>0</v>
      </c>
      <c r="L36" s="40"/>
      <c r="M36" s="40"/>
      <c r="N36" s="40"/>
      <c r="O36" s="40"/>
      <c r="P36" s="64">
        <f t="shared" si="6"/>
        <v>0</v>
      </c>
      <c r="U36" s="64">
        <f t="shared" si="7"/>
        <v>0</v>
      </c>
      <c r="Z36" s="64">
        <f t="shared" si="8"/>
        <v>0</v>
      </c>
      <c r="AE36" s="64">
        <f t="shared" si="9"/>
        <v>0</v>
      </c>
      <c r="AF36" s="40"/>
      <c r="AG36" s="40"/>
      <c r="AH36" s="40"/>
      <c r="AI36" s="40"/>
      <c r="AJ36" s="64">
        <f t="shared" si="10"/>
        <v>0</v>
      </c>
      <c r="AO36" s="64">
        <f t="shared" si="11"/>
        <v>0</v>
      </c>
      <c r="AP36" s="40"/>
      <c r="AQ36" s="40"/>
      <c r="AR36" s="40"/>
      <c r="AS36" s="40"/>
      <c r="AT36" s="64">
        <f t="shared" si="12"/>
        <v>0</v>
      </c>
      <c r="AY36" s="64">
        <f t="shared" si="13"/>
        <v>0</v>
      </c>
      <c r="AZ36" s="40"/>
      <c r="BA36" s="40"/>
      <c r="BB36" s="40"/>
      <c r="BC36" s="40"/>
      <c r="BD36" s="64">
        <f t="shared" si="14"/>
        <v>0</v>
      </c>
      <c r="BI36" s="64">
        <f t="shared" si="15"/>
        <v>0</v>
      </c>
      <c r="BN36" s="64">
        <f t="shared" si="16"/>
        <v>0</v>
      </c>
    </row>
    <row r="37" spans="1:66" ht="29.4" thickBot="1" x14ac:dyDescent="0.8">
      <c r="A37" s="61" t="s">
        <v>81</v>
      </c>
      <c r="B37" s="33">
        <f>SUM(B6:B36)</f>
        <v>51</v>
      </c>
      <c r="C37" s="33">
        <f t="shared" ref="C37:E37" si="17">SUM(C6:C36)</f>
        <v>51</v>
      </c>
      <c r="D37" s="33">
        <f t="shared" si="17"/>
        <v>863</v>
      </c>
      <c r="E37" s="33">
        <f t="shared" si="17"/>
        <v>93</v>
      </c>
      <c r="F37" s="63">
        <f>SUM(F6:F36)</f>
        <v>1058</v>
      </c>
      <c r="G37" s="33">
        <f t="shared" ref="G37" si="18">SUM(G6:G36)</f>
        <v>6</v>
      </c>
      <c r="H37" s="33">
        <f t="shared" ref="H37" si="19">SUM(H6:H36)</f>
        <v>7</v>
      </c>
      <c r="I37" s="33">
        <f t="shared" ref="I37" si="20">SUM(I6:I36)</f>
        <v>135</v>
      </c>
      <c r="J37" s="33">
        <f t="shared" ref="J37" si="21">SUM(J6:J36)</f>
        <v>21</v>
      </c>
      <c r="K37" s="63">
        <f>SUM(K6:K36)</f>
        <v>169</v>
      </c>
      <c r="L37" s="33">
        <f t="shared" ref="L37" si="22">SUM(L6:L36)</f>
        <v>4</v>
      </c>
      <c r="M37" s="33">
        <f t="shared" ref="M37" si="23">SUM(M6:M36)</f>
        <v>4</v>
      </c>
      <c r="N37" s="33">
        <f t="shared" ref="N37" si="24">SUM(N6:N36)</f>
        <v>6</v>
      </c>
      <c r="O37" s="33">
        <f t="shared" ref="O37:P37" si="25">SUM(O6:O36)</f>
        <v>8</v>
      </c>
      <c r="P37" s="63">
        <f t="shared" si="25"/>
        <v>22</v>
      </c>
      <c r="Q37" s="33">
        <f t="shared" ref="Q37" si="26">SUM(Q6:Q36)</f>
        <v>1</v>
      </c>
      <c r="R37" s="33">
        <f t="shared" ref="R37" si="27">SUM(R6:R36)</f>
        <v>3</v>
      </c>
      <c r="S37" s="33">
        <f t="shared" ref="S37" si="28">SUM(S6:S36)</f>
        <v>19</v>
      </c>
      <c r="T37" s="33">
        <f t="shared" ref="T37:U37" si="29">SUM(T6:T36)</f>
        <v>8</v>
      </c>
      <c r="U37" s="63">
        <f t="shared" si="29"/>
        <v>31</v>
      </c>
      <c r="V37" s="33">
        <f t="shared" ref="V37" si="30">SUM(V6:V36)</f>
        <v>1</v>
      </c>
      <c r="W37" s="33">
        <f t="shared" ref="W37" si="31">SUM(W6:W36)</f>
        <v>5</v>
      </c>
      <c r="X37" s="33">
        <f t="shared" ref="X37" si="32">SUM(X6:X36)</f>
        <v>41</v>
      </c>
      <c r="Y37" s="33">
        <f t="shared" ref="Y37:Z37" si="33">SUM(Y6:Y36)</f>
        <v>1</v>
      </c>
      <c r="Z37" s="63">
        <f t="shared" si="33"/>
        <v>48</v>
      </c>
      <c r="AA37" s="33">
        <f t="shared" ref="AA37" si="34">SUM(AA6:AA36)</f>
        <v>0</v>
      </c>
      <c r="AB37" s="33">
        <f t="shared" ref="AB37" si="35">SUM(AB6:AB36)</f>
        <v>1</v>
      </c>
      <c r="AC37" s="33">
        <f t="shared" ref="AC37" si="36">SUM(AC6:AC36)</f>
        <v>98</v>
      </c>
      <c r="AD37" s="33">
        <f t="shared" ref="AD37:AE37" si="37">SUM(AD6:AD36)</f>
        <v>3</v>
      </c>
      <c r="AE37" s="63">
        <f t="shared" si="37"/>
        <v>102</v>
      </c>
      <c r="AF37" s="33">
        <f t="shared" ref="AF37" si="38">SUM(AF6:AF36)</f>
        <v>4</v>
      </c>
      <c r="AG37" s="33">
        <f t="shared" ref="AG37" si="39">SUM(AG6:AG36)</f>
        <v>6</v>
      </c>
      <c r="AH37" s="33">
        <f t="shared" ref="AH37" si="40">SUM(AH6:AH36)</f>
        <v>128</v>
      </c>
      <c r="AI37" s="33">
        <f t="shared" ref="AI37:AJ37" si="41">SUM(AI6:AI36)</f>
        <v>13</v>
      </c>
      <c r="AJ37" s="63">
        <f t="shared" si="41"/>
        <v>151</v>
      </c>
      <c r="AK37" s="33">
        <f t="shared" ref="AK37" si="42">SUM(AK6:AK36)</f>
        <v>5</v>
      </c>
      <c r="AL37" s="33">
        <f t="shared" ref="AL37" si="43">SUM(AL6:AL36)</f>
        <v>1</v>
      </c>
      <c r="AM37" s="33">
        <f t="shared" ref="AM37" si="44">SUM(AM6:AM36)</f>
        <v>85</v>
      </c>
      <c r="AN37" s="33">
        <f t="shared" ref="AN37:AO37" si="45">SUM(AN6:AN36)</f>
        <v>16</v>
      </c>
      <c r="AO37" s="63">
        <f t="shared" si="45"/>
        <v>107</v>
      </c>
      <c r="AP37" s="33">
        <f t="shared" ref="AP37" si="46">SUM(AP6:AP36)</f>
        <v>3</v>
      </c>
      <c r="AQ37" s="33">
        <f t="shared" ref="AQ37" si="47">SUM(AQ6:AQ36)</f>
        <v>1</v>
      </c>
      <c r="AR37" s="33">
        <f t="shared" ref="AR37" si="48">SUM(AR6:AR36)</f>
        <v>23</v>
      </c>
      <c r="AS37" s="33">
        <f t="shared" ref="AS37:AT37" si="49">SUM(AS6:AS36)</f>
        <v>6</v>
      </c>
      <c r="AT37" s="63">
        <f t="shared" si="49"/>
        <v>33</v>
      </c>
      <c r="AU37" s="33">
        <f t="shared" ref="AU37" si="50">SUM(AU6:AU36)</f>
        <v>3</v>
      </c>
      <c r="AV37" s="33">
        <f t="shared" ref="AV37" si="51">SUM(AV6:AV36)</f>
        <v>5</v>
      </c>
      <c r="AW37" s="33">
        <f t="shared" ref="AW37" si="52">SUM(AW6:AW36)</f>
        <v>58</v>
      </c>
      <c r="AX37" s="33">
        <f t="shared" ref="AX37:AY37" si="53">SUM(AX6:AX36)</f>
        <v>8</v>
      </c>
      <c r="AY37" s="63">
        <f t="shared" si="53"/>
        <v>74</v>
      </c>
      <c r="AZ37" s="33">
        <f t="shared" ref="AZ37" si="54">SUM(AZ6:AZ36)</f>
        <v>6</v>
      </c>
      <c r="BA37" s="33">
        <f t="shared" ref="BA37" si="55">SUM(BA6:BA36)</f>
        <v>8</v>
      </c>
      <c r="BB37" s="33">
        <f t="shared" ref="BB37" si="56">SUM(BB6:BB36)</f>
        <v>52</v>
      </c>
      <c r="BC37" s="33">
        <f t="shared" ref="BC37:BD37" si="57">SUM(BC6:BC36)</f>
        <v>2</v>
      </c>
      <c r="BD37" s="63">
        <f t="shared" si="57"/>
        <v>68</v>
      </c>
      <c r="BE37" s="33">
        <f t="shared" ref="BE37" si="58">SUM(BE6:BE36)</f>
        <v>5</v>
      </c>
      <c r="BF37" s="33">
        <f t="shared" ref="BF37" si="59">SUM(BF6:BF36)</f>
        <v>5</v>
      </c>
      <c r="BG37" s="33">
        <f t="shared" ref="BG37" si="60">SUM(BG6:BG36)</f>
        <v>29</v>
      </c>
      <c r="BH37" s="33">
        <f t="shared" ref="BH37:BI37" si="61">SUM(BH6:BH36)</f>
        <v>5</v>
      </c>
      <c r="BI37" s="63">
        <f t="shared" si="61"/>
        <v>44</v>
      </c>
      <c r="BJ37" s="33">
        <f t="shared" ref="BJ37" si="62">SUM(BJ6:BJ36)</f>
        <v>13</v>
      </c>
      <c r="BK37" s="33">
        <f t="shared" ref="BK37" si="63">SUM(BK6:BK36)</f>
        <v>5</v>
      </c>
      <c r="BL37" s="33">
        <f t="shared" ref="BL37" si="64">SUM(BL6:BL36)</f>
        <v>189</v>
      </c>
      <c r="BM37" s="33">
        <f t="shared" ref="BM37:BN37" si="65">SUM(BM6:BM36)</f>
        <v>2</v>
      </c>
      <c r="BN37" s="63">
        <f t="shared" si="65"/>
        <v>209</v>
      </c>
    </row>
    <row r="38" spans="1:66" ht="14.4" thickTop="1" x14ac:dyDescent="0.25"/>
  </sheetData>
  <mergeCells count="28">
    <mergeCell ref="L3:O3"/>
    <mergeCell ref="A4:A5"/>
    <mergeCell ref="G3:J3"/>
    <mergeCell ref="B4:F4"/>
    <mergeCell ref="AP3:AS3"/>
    <mergeCell ref="AK4:AO4"/>
    <mergeCell ref="AP4:AT4"/>
    <mergeCell ref="AU3:AX3"/>
    <mergeCell ref="AZ3:BC3"/>
    <mergeCell ref="AU4:AY4"/>
    <mergeCell ref="AZ4:BD4"/>
    <mergeCell ref="AK3:AN3"/>
    <mergeCell ref="BE4:BI4"/>
    <mergeCell ref="BJ4:BN4"/>
    <mergeCell ref="A2:F2"/>
    <mergeCell ref="A3:F3"/>
    <mergeCell ref="BE3:BH3"/>
    <mergeCell ref="BJ3:BM3"/>
    <mergeCell ref="L4:P4"/>
    <mergeCell ref="Q4:U4"/>
    <mergeCell ref="V4:Z4"/>
    <mergeCell ref="AA4:AE4"/>
    <mergeCell ref="AF4:AJ4"/>
    <mergeCell ref="G4:K4"/>
    <mergeCell ref="Q3:T3"/>
    <mergeCell ref="V3:Y3"/>
    <mergeCell ref="AA3:AD3"/>
    <mergeCell ref="AF3:A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ปี 68</vt:lpstr>
      <vt:lpstr>จำนวนชิ้นขนม</vt:lpstr>
      <vt:lpstr>จำนวนกล่องตีกลับ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Wanwanach SupTelesale</cp:lastModifiedBy>
  <cp:lastPrinted>2025-02-04T09:28:52Z</cp:lastPrinted>
  <dcterms:created xsi:type="dcterms:W3CDTF">2024-04-19T07:34:16Z</dcterms:created>
  <dcterms:modified xsi:type="dcterms:W3CDTF">2026-01-02T08:49:08Z</dcterms:modified>
</cp:coreProperties>
</file>