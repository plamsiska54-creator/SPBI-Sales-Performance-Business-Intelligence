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ติดตามออเดอร์ส่งของน้องกิ๊ก\ปี 68\"/>
    </mc:Choice>
  </mc:AlternateContent>
  <xr:revisionPtr revIDLastSave="0" documentId="13_ncr:1_{1D0B8B5B-5CDF-4D3B-B868-86C9AB8D5163}" xr6:coauthVersionLast="47" xr6:coauthVersionMax="47" xr10:uidLastSave="{00000000-0000-0000-0000-000000000000}"/>
  <bookViews>
    <workbookView xWindow="-108" yWindow="-108" windowWidth="23256" windowHeight="12456" tabRatio="882" firstSheet="1" activeTab="1" xr2:uid="{13EF2253-7BD7-4442-9B9C-0A72170BE943}"/>
  </bookViews>
  <sheets>
    <sheet name="ออเดอร์จัดส่ง เม.ย. 68" sheetId="31" r:id="rId1"/>
    <sheet name="สรุป" sheetId="4" r:id="rId2"/>
    <sheet name="สรุปรายการสินค้า" sheetId="7" r:id="rId3"/>
    <sheet name="จำนวนกล่องตีกลับ" sheetId="32" r:id="rId4"/>
    <sheet name="Lazada" sheetId="1" r:id="rId5"/>
    <sheet name="Shopee" sheetId="2" r:id="rId6"/>
    <sheet name="TikTok" sheetId="3" r:id="rId7"/>
    <sheet name="ไปรษณีย์" sheetId="5" r:id="rId8"/>
    <sheet name="รายการสินค้าตีกลับ" sheetId="6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  <definedName name="_xlnm.Print_Titles" localSheetId="6">TikTok!$1:$3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3" l="1"/>
  <c r="AK5" i="6" l="1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C36" i="7" s="1"/>
  <c r="AJ35" i="6"/>
  <c r="B35" i="6"/>
  <c r="L6" i="4"/>
  <c r="C36" i="32"/>
  <c r="D36" i="32"/>
  <c r="E36" i="32"/>
  <c r="B36" i="32"/>
  <c r="I1" i="1"/>
  <c r="I1" i="2"/>
  <c r="I1" i="5"/>
  <c r="X35" i="31"/>
  <c r="Y35" i="31"/>
  <c r="Z35" i="31"/>
  <c r="AA35" i="31"/>
  <c r="W35" i="31"/>
  <c r="P35" i="31"/>
  <c r="Q35" i="31"/>
  <c r="R35" i="31"/>
  <c r="S35" i="31"/>
  <c r="T35" i="31"/>
  <c r="O35" i="31"/>
  <c r="C35" i="31"/>
  <c r="D35" i="31"/>
  <c r="E35" i="31"/>
  <c r="F35" i="31"/>
  <c r="G35" i="31"/>
  <c r="B35" i="31"/>
  <c r="F36" i="32" l="1"/>
  <c r="AK35" i="6"/>
  <c r="C37" i="7"/>
  <c r="C4" i="7" l="1"/>
  <c r="C5" i="7"/>
  <c r="C6" i="7"/>
  <c r="C7" i="7"/>
  <c r="C9" i="7"/>
  <c r="C10" i="7"/>
  <c r="C11" i="7"/>
  <c r="C12" i="7"/>
  <c r="C13" i="7"/>
  <c r="C14" i="7"/>
  <c r="C15" i="7"/>
  <c r="C16" i="7"/>
  <c r="C17" i="7"/>
  <c r="C18" i="7"/>
  <c r="C20" i="7"/>
  <c r="C21" i="7"/>
  <c r="C22" i="7"/>
  <c r="C23" i="7"/>
  <c r="C24" i="7"/>
  <c r="C25" i="7"/>
  <c r="C26" i="7"/>
  <c r="C34" i="7"/>
  <c r="C35" i="7"/>
  <c r="C3" i="7" l="1"/>
  <c r="C19" i="7" l="1"/>
  <c r="C33" i="7"/>
  <c r="K9" i="4" l="1"/>
  <c r="J9" i="4"/>
  <c r="I9" i="4"/>
  <c r="H9" i="4"/>
  <c r="G9" i="4"/>
  <c r="F9" i="4"/>
  <c r="E9" i="4"/>
  <c r="D9" i="4"/>
  <c r="C9" i="4"/>
  <c r="M6" i="4"/>
  <c r="M7" i="4"/>
  <c r="M8" i="4"/>
  <c r="M5" i="4"/>
  <c r="L7" i="4"/>
  <c r="L8" i="4"/>
  <c r="L5" i="4"/>
  <c r="M9" i="4" l="1"/>
  <c r="B9" i="4" l="1"/>
  <c r="C8" i="7" l="1"/>
  <c r="C27" i="7"/>
  <c r="C28" i="7"/>
  <c r="C29" i="7"/>
  <c r="C30" i="7"/>
  <c r="C31" i="7"/>
  <c r="C32" i="7"/>
  <c r="C39" i="7" l="1"/>
  <c r="L9" i="4"/>
</calcChain>
</file>

<file path=xl/sharedStrings.xml><?xml version="1.0" encoding="utf-8"?>
<sst xmlns="http://schemas.openxmlformats.org/spreadsheetml/2006/main" count="814" uniqueCount="365">
  <si>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</si>
  <si>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</si>
  <si>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</si>
  <si>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</si>
  <si>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</si>
  <si>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</si>
  <si>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</si>
  <si>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</si>
  <si>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</si>
  <si>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</si>
  <si>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</si>
  <si>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</si>
  <si>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</si>
  <si>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</si>
  <si>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</si>
  <si>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</si>
  <si>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</si>
  <si>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</si>
  <si>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</si>
  <si>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</si>
  <si>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</si>
  <si>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</si>
  <si>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</si>
  <si>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</si>
  <si>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</si>
  <si>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</si>
  <si>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</si>
  <si>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</si>
  <si>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</si>
  <si>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</si>
  <si>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</si>
  <si>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</si>
  <si>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</si>
  <si>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</si>
  <si>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</si>
  <si>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</si>
  <si>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</si>
  <si>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</si>
  <si>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</si>
  <si>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</si>
  <si>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</si>
  <si>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</si>
  <si>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</si>
  <si>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</si>
  <si>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</si>
  <si>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</si>
  <si>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</si>
  <si>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</si>
  <si>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</si>
  <si>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</si>
  <si>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</si>
  <si>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</si>
  <si>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</si>
  <si>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</si>
  <si>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</si>
  <si>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</si>
  <si>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</si>
  <si>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</si>
  <si>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</si>
  <si>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</si>
  <si>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 xml:space="preserve">** NOTE 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</si>
  <si>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</si>
  <si>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</si>
  <si>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</si>
  <si>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</si>
  <si>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</si>
  <si>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</si>
  <si>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</si>
  <si>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</si>
  <si>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</si>
  <si>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</si>
  <si>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</si>
  <si>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</si>
  <si>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</si>
  <si>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</si>
  <si>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</si>
  <si>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</si>
  <si>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</si>
  <si>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</si>
  <si>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</si>
  <si>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</si>
  <si>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</si>
  <si>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</si>
  <si>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</si>
  <si>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</si>
  <si>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</si>
  <si>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</si>
  <si>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</si>
  <si>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</si>
  <si>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</si>
  <si>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</si>
  <si>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</si>
  <si>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เค้กหวิวถาด</t>
  </si>
  <si>
    <t>ท๊อฟฟี่ถั่ว กล่อง</t>
  </si>
  <si>
    <t>ยอดขาย</t>
  </si>
  <si>
    <t>จำนวนออเดอร์</t>
  </si>
  <si>
    <t>ปังปลา กก.</t>
  </si>
  <si>
    <t>สินค้าที่ตีกลับ</t>
  </si>
  <si>
    <t>lazada</t>
  </si>
  <si>
    <t>shopee</t>
  </si>
  <si>
    <t>tiktok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</si>
  <si>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</si>
  <si>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</si>
  <si>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</si>
  <si>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</si>
  <si>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เปี๊ยะ 450 กรัม</t>
  </si>
  <si>
    <t>พายสัปรด กล่อง</t>
  </si>
  <si>
    <t>พายสัปรด ชิ้น</t>
  </si>
  <si>
    <t>แซนวิส</t>
  </si>
  <si>
    <t>เศษขนมปังปลา</t>
  </si>
  <si>
    <t>สลิปปลอม</t>
  </si>
  <si>
    <t>ปณ</t>
  </si>
  <si>
    <t>จัดส่งสำเร็จ</t>
  </si>
  <si>
    <t>จัดส่งไม่สำเร็จ</t>
  </si>
  <si>
    <t>กล่อง</t>
  </si>
  <si>
    <t>ค้างส่ง L</t>
  </si>
  <si>
    <t>ค้างส่ง S</t>
  </si>
  <si>
    <t>ค้างส่ง T</t>
  </si>
  <si>
    <t>ช้อยส์</t>
  </si>
  <si>
    <t>ค้างส่ง ช้อยส์</t>
  </si>
  <si>
    <t>ค้างส่ง ปณ</t>
  </si>
  <si>
    <t>ฝากส่ง</t>
  </si>
  <si>
    <t>เบาหวิว ญ</t>
  </si>
  <si>
    <t>ของตีกลับ</t>
  </si>
  <si>
    <t>จำนวนกล่อง</t>
  </si>
  <si>
    <t>สรุปรายการของตีกลับของช่องทางออนไลน์ เดือนเมษายน 2568</t>
  </si>
  <si>
    <t>สรุปรายการสินค้าที่ตีกลับมารวมทุกช่องทางขายออนไลน์ เดือนเมษายน 2568</t>
  </si>
  <si>
    <t>สรุปรายการสินค้าที่ตีกลับมานับเป็นจำนวน (กล่อง) เดือนเมษายน 2568</t>
  </si>
  <si>
    <t>รายการของตีกลับช่องทาง LAZADA เดือนเมษายน 2568</t>
  </si>
  <si>
    <t>รายการของตีกลับช่องทาง SHOPEE เดือนเมษายน 2568</t>
  </si>
  <si>
    <t>รายการของตีกลับช่องทาง TikTok เดือนเมษายน 2568</t>
  </si>
  <si>
    <t>รายการของตีกลับช่องทาง Facebook , Facebook Live , Line , Line OA (ไปรษณีย์) เดือนเมษายน 2568</t>
  </si>
  <si>
    <t>รายการสินค้าที่ตีกลับมารวมทุกช่องทางขายออนไลน์ เดือนเมษายน 2568</t>
  </si>
  <si>
    <t>ยกเลิก 1 บิล (1-1=0)</t>
  </si>
  <si>
    <t>ซ้ำ 1 บิล (1-1=0)</t>
  </si>
  <si>
    <t>ยกเลิก 6 บิล (6-6=0)</t>
  </si>
  <si>
    <t>ยกเลิก 3 บิล (3-3=0)</t>
  </si>
  <si>
    <t>ยกเลิก6 บิล ซ้ำ 1 (7-7=0)</t>
  </si>
  <si>
    <t>ยกเลิก 1 บิล (2-1=1)</t>
  </si>
  <si>
    <t>ยกเลิก 2 บิล (2-2=0)</t>
  </si>
  <si>
    <t>ยกเลิก 2 บิล (14-2=12)</t>
  </si>
  <si>
    <t>ยกเลิก 6 บิล (38-6=32)</t>
  </si>
  <si>
    <t>ยกเลิก 5 บิล (23-5=18)</t>
  </si>
  <si>
    <t>25040144EDUHS4</t>
  </si>
  <si>
    <t>994787136252112</t>
  </si>
  <si>
    <t>2503216BGF35VT</t>
  </si>
  <si>
    <t>2503204G424XH4</t>
  </si>
  <si>
    <t>580113042177231615</t>
  </si>
  <si>
    <t>580140410310592604</t>
  </si>
  <si>
    <t>580136613614422855</t>
  </si>
  <si>
    <t>JA184519740TH</t>
  </si>
  <si>
    <t>CynthiaDd</t>
  </si>
  <si>
    <t>Pen</t>
  </si>
  <si>
    <t>LEXPU0472275387</t>
  </si>
  <si>
    <t>TH2530549085909</t>
  </si>
  <si>
    <t>TH258997377064C</t>
  </si>
  <si>
    <t>TH254009184956K</t>
  </si>
  <si>
    <t>THT30021MQ6772Z</t>
  </si>
  <si>
    <t>THT20022JBE7D6Z</t>
  </si>
  <si>
    <t>THT47031N540G4Z</t>
  </si>
  <si>
    <t>EVP57</t>
  </si>
  <si>
    <t>ยกเลิก 100 บิล f=89 JึT=11 (651-100=551)</t>
  </si>
  <si>
    <t>ยกเลิก 3 บิล (9-3=6)</t>
  </si>
  <si>
    <t>ยกเลิก 47 บิล F=42 J&amp;T=5 (410-47=363)</t>
  </si>
  <si>
    <t>ยกเลิก 59 (59-59=0)</t>
  </si>
  <si>
    <t>ยกเลิก 10 บิล (23-10=13)</t>
  </si>
  <si>
    <t>ยกเลิก 18 บิล (18-18=0)</t>
  </si>
  <si>
    <t>ยกเลิก (8-8=0)</t>
  </si>
  <si>
    <t>ยกเลิก 8 บิล (134-8=126)</t>
  </si>
  <si>
    <t>ยกเลิก 17 บิล (27-17=10)</t>
  </si>
  <si>
    <t>ยกเลิก 3 บิล (4-3=1)</t>
  </si>
  <si>
    <t>ยกเลิก 6 บิล (7-6=1)</t>
  </si>
  <si>
    <t>ยกเลิก 6 บิล f=3 J&amp;T=3 (6-6=0)</t>
  </si>
  <si>
    <t>250409S81KBM2P</t>
  </si>
  <si>
    <t>580168231799851889</t>
  </si>
  <si>
    <t>580176127450647209</t>
  </si>
  <si>
    <t>580148915673794899</t>
  </si>
  <si>
    <t>580157600768559511</t>
  </si>
  <si>
    <t>580181673781201090</t>
  </si>
  <si>
    <t>580176858414877426</t>
  </si>
  <si>
    <t>580162130493213411</t>
  </si>
  <si>
    <t>580176144661776766</t>
  </si>
  <si>
    <t>580181471215061575</t>
  </si>
  <si>
    <t>580179283661523217</t>
  </si>
  <si>
    <t>580178869647739757</t>
  </si>
  <si>
    <t>580171713761741019</t>
  </si>
  <si>
    <t>580175995434273271</t>
  </si>
  <si>
    <t>580157563800947425</t>
  </si>
  <si>
    <t>580181649582885729</t>
  </si>
  <si>
    <t>580177612740331941</t>
  </si>
  <si>
    <t>580179890303109125</t>
  </si>
  <si>
    <t>580179451191397062</t>
  </si>
  <si>
    <t>ยกเลิก 8 บิล (63-8=55)</t>
  </si>
  <si>
    <t>250328RFQREAQY</t>
  </si>
  <si>
    <t>580180113070721371</t>
  </si>
  <si>
    <t>580182876916779710</t>
  </si>
  <si>
    <t>580176419394128721</t>
  </si>
  <si>
    <t>580184332454955673</t>
  </si>
  <si>
    <t>580179999819926078</t>
  </si>
  <si>
    <t>580175278070139358</t>
  </si>
  <si>
    <t>580179650437024630</t>
  </si>
  <si>
    <t>580179107685304553</t>
  </si>
  <si>
    <t>580175438509476376</t>
  </si>
  <si>
    <t>580185479721683392</t>
  </si>
  <si>
    <t>580176570204195086</t>
  </si>
  <si>
    <t>580185860125789149</t>
  </si>
  <si>
    <t>580188436817807580</t>
  </si>
  <si>
    <t>580185413051451456</t>
  </si>
  <si>
    <t>580175394300594243</t>
  </si>
  <si>
    <t>580175306861546056</t>
  </si>
  <si>
    <t>580186399587338518</t>
  </si>
  <si>
    <t>580179627415276287</t>
  </si>
  <si>
    <t>580179739490224524</t>
  </si>
  <si>
    <t>580179721817262108</t>
  </si>
  <si>
    <t>THT01482K8P9E0Z</t>
  </si>
  <si>
    <t>THT64112JM8B16Z</t>
  </si>
  <si>
    <t>THT20042JTZNY4Z</t>
  </si>
  <si>
    <t>THT03042KCVXN5Z</t>
  </si>
  <si>
    <t>THT01372K8JCC5Z</t>
  </si>
  <si>
    <t>THT04062JYVMD9Z</t>
  </si>
  <si>
    <t>THT61012K8U373Z</t>
  </si>
  <si>
    <t>THT01172KD5KQ8Z</t>
  </si>
  <si>
    <t>THT16022KB11Q2Z</t>
  </si>
  <si>
    <t>THT03052KCEVK2Z</t>
  </si>
  <si>
    <t>THT16022K5TJB8Z</t>
  </si>
  <si>
    <t>THT64092K9VRV6Z</t>
  </si>
  <si>
    <t>THT01142JUATQ5Z</t>
  </si>
  <si>
    <t>756795900033</t>
  </si>
  <si>
    <t>756625148576</t>
  </si>
  <si>
    <t>THT01442KB02P2Z</t>
  </si>
  <si>
    <t>THT11022KC78Y1Z</t>
  </si>
  <si>
    <t>THT30152KA4ZV7Z</t>
  </si>
  <si>
    <t>THT56012KPV0S6Z</t>
  </si>
  <si>
    <t>THT01392KHMBT0Z</t>
  </si>
  <si>
    <t>THT01262KHBXQ0Z</t>
  </si>
  <si>
    <t>THT01382KHJ2H2Z</t>
  </si>
  <si>
    <t>THT10112KHD3C1Z</t>
  </si>
  <si>
    <t>THT28102KFP162Z</t>
  </si>
  <si>
    <t>THT03032KEMKT4Z</t>
  </si>
  <si>
    <t>THT03042KCFT28Z</t>
  </si>
  <si>
    <t>756638148700</t>
  </si>
  <si>
    <t>756638662765</t>
  </si>
  <si>
    <t>THT71112KCAVG7Z</t>
  </si>
  <si>
    <t>THT56082KCNU95Z</t>
  </si>
  <si>
    <t>THT65042KC4J90Z</t>
  </si>
  <si>
    <t>THT01392K8QY54Z</t>
  </si>
  <si>
    <t>THT67032K8M5T2Z</t>
  </si>
  <si>
    <t>THT39012K7WJU0Z</t>
  </si>
  <si>
    <t>THT55022K808P4Z</t>
  </si>
  <si>
    <t>THT50012K8KNS2Z</t>
  </si>
  <si>
    <t>THT37122K7K9M5Z</t>
  </si>
  <si>
    <t>TH251693398444F</t>
  </si>
  <si>
    <t>TH250970598443J</t>
  </si>
  <si>
    <t>ยกเลิก 13 บิล (13-13=0)</t>
  </si>
  <si>
    <t>.</t>
  </si>
  <si>
    <t>บิลยกเลิก 7 บิล f=5 j&amp;t=2 (9-7=2)</t>
  </si>
  <si>
    <t>ยกเลิก 17 บิล J&amp;T=3 F=14 (34-17=17)</t>
  </si>
  <si>
    <t>ยกเลิก6 บิล J&amp;T=2 F=4 (6-6=0)</t>
  </si>
  <si>
    <t>ยกเลิก F=1 J&amp;T=1 (2-2=0)</t>
  </si>
  <si>
    <t>ยกเลิก 7 บิล (7-7=0)</t>
  </si>
  <si>
    <t>Total</t>
  </si>
  <si>
    <t>580188237911132346</t>
  </si>
  <si>
    <t>580175299075475527</t>
  </si>
  <si>
    <t>580185931147283038</t>
  </si>
  <si>
    <t>580184598645868998</t>
  </si>
  <si>
    <t>580185822102980712</t>
  </si>
  <si>
    <t>580184131741321472</t>
  </si>
  <si>
    <t>580188524845107830</t>
  </si>
  <si>
    <t>580186988657806244</t>
  </si>
  <si>
    <t>580175599769651963</t>
  </si>
  <si>
    <t>580186123840030987</t>
  </si>
  <si>
    <t>580185847777102075</t>
  </si>
  <si>
    <t>580185958917507834</t>
  </si>
  <si>
    <t>580188319120853518</t>
  </si>
  <si>
    <t>580189755843381762</t>
  </si>
  <si>
    <t>580175277163907829</t>
  </si>
  <si>
    <t>580181876508166785</t>
  </si>
  <si>
    <t>580189887945411497</t>
  </si>
  <si>
    <t>578507041605518717</t>
  </si>
  <si>
    <t>580186981854054823</t>
  </si>
  <si>
    <t>580190063989066243</t>
  </si>
  <si>
    <t>578518943313921082</t>
  </si>
  <si>
    <t>578524751544158204</t>
  </si>
  <si>
    <t>578513517544834659</t>
  </si>
  <si>
    <t>578555734992520239</t>
  </si>
  <si>
    <t>578542148026401918</t>
  </si>
  <si>
    <t>578528167495829152</t>
  </si>
  <si>
    <t>578552494430652052</t>
  </si>
  <si>
    <t>578519741408708411</t>
  </si>
  <si>
    <t>578538245513053338</t>
  </si>
  <si>
    <t>578499992279353029</t>
  </si>
  <si>
    <t>578526828164318310</t>
  </si>
  <si>
    <t>578498397798696355</t>
  </si>
  <si>
    <t>2504232N9ANMUK</t>
  </si>
  <si>
    <t>250417GTYVKPCG</t>
  </si>
  <si>
    <t>JA196615363TH</t>
  </si>
  <si>
    <t>JA196615329TH</t>
  </si>
  <si>
    <t>JA198597013TH</t>
  </si>
  <si>
    <t>JA196615403TH</t>
  </si>
  <si>
    <t>รัศมี</t>
  </si>
  <si>
    <t>สมใจ</t>
  </si>
  <si>
    <t>หนึ่งฤทัย</t>
  </si>
  <si>
    <t>เซี่ยงโหล</t>
  </si>
  <si>
    <t>สโรชา</t>
  </si>
  <si>
    <t>ย้วยความดี</t>
  </si>
  <si>
    <t>น้อง</t>
  </si>
  <si>
    <t>พีช</t>
  </si>
  <si>
    <t>กิตติพล</t>
  </si>
  <si>
    <t>ชัยต่างหน</t>
  </si>
  <si>
    <t>ชื่อศิริกัญญา</t>
  </si>
  <si>
    <t>ไกรวงค์</t>
  </si>
  <si>
    <t>994793612054943</t>
  </si>
  <si>
    <t>บุญยง</t>
  </si>
  <si>
    <t>จิตรครบุรี</t>
  </si>
  <si>
    <t>LEXDO0157462436</t>
  </si>
  <si>
    <t>TH255211169563X</t>
  </si>
  <si>
    <t>TH253489549199Z</t>
  </si>
  <si>
    <t>756688514315</t>
  </si>
  <si>
    <t>THT68042K8FEU6Z</t>
  </si>
  <si>
    <t>THT20042K8M293Z</t>
  </si>
  <si>
    <t>756719203085</t>
  </si>
  <si>
    <t>THT31082KFPSG7Z</t>
  </si>
  <si>
    <t>THT27052KFYCE1Z</t>
  </si>
  <si>
    <t>THT27182KHDWW4Z</t>
  </si>
  <si>
    <t>THT14062KHJE10Z</t>
  </si>
  <si>
    <t>THT01242KHMJ06Z</t>
  </si>
  <si>
    <t>756727940312</t>
  </si>
  <si>
    <t>THT19012KH6H89Z</t>
  </si>
  <si>
    <t>THT04052KNRR37Z</t>
  </si>
  <si>
    <t>THT76062KNW6V8Z</t>
  </si>
  <si>
    <t>THT29142KPGY82Z</t>
  </si>
  <si>
    <t>756780419953</t>
  </si>
  <si>
    <t>THT76012KPR1Z7Z</t>
  </si>
  <si>
    <t>756733166836</t>
  </si>
  <si>
    <t>758026508455</t>
  </si>
  <si>
    <t>THT75101T42WQ9Z</t>
  </si>
  <si>
    <t>758073539064</t>
  </si>
  <si>
    <t>758074988053</t>
  </si>
  <si>
    <t>758060664966</t>
  </si>
  <si>
    <t>THT07041TBA1K4Z</t>
  </si>
  <si>
    <t>758104849040</t>
  </si>
  <si>
    <t>THT01241TBPXE4Z</t>
  </si>
  <si>
    <t>THT01051TE0XR5Z</t>
  </si>
  <si>
    <t>758133545094</t>
  </si>
  <si>
    <t>THT15071TDXT67Z</t>
  </si>
  <si>
    <t>THT60071TH1R59Z</t>
  </si>
  <si>
    <t>THT04051TGF066Z</t>
  </si>
  <si>
    <t>THT01411TKDD27Z</t>
  </si>
  <si>
    <t>THT24091TJYH36Z</t>
  </si>
  <si>
    <t>EZY4</t>
  </si>
  <si>
    <t>EZX89</t>
  </si>
  <si>
    <t>FBB73</t>
  </si>
  <si>
    <t>FAB59</t>
  </si>
  <si>
    <t>FAG18</t>
  </si>
  <si>
    <t>JA197013625TH</t>
  </si>
  <si>
    <t>TH011773KC5H4B0</t>
  </si>
  <si>
    <t>EZM68</t>
  </si>
  <si>
    <t>ยกเลิก 10 บิล (10-10=0)</t>
  </si>
  <si>
    <t>578500256164775118</t>
  </si>
  <si>
    <t>578524580392568727</t>
  </si>
  <si>
    <t>JA222456821TH</t>
  </si>
  <si>
    <t>MP Preaw</t>
  </si>
  <si>
    <t>FBN19</t>
  </si>
  <si>
    <t>THT16011T8FS41Z</t>
  </si>
  <si>
    <t>THT64091TECUM5Z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</si>
</sst>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b/>
      <sz val="16"/>
      <color rgb="FF6600CC"/>
      <name val="Angsana New"/>
      <family val="1"/>
    </font>
    <font>
      <sz val="12"/>
      <color theme="1"/>
      <name val="Tahoma"/>
      <family val="2"/>
      <scheme val="minor"/>
    </font>
    <font>
      <b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6">
    <xf numFmtId="0" fontId="0" fillId="0" borderId="0"/>
    <xf numFmtId="43" fontId="15" fillId="0" borderId="0" applyFont="0" applyFill="0" applyBorder="0" applyAlignment="0" applyProtection="0"/>
    <xf numFmtId="0" fontId="17" fillId="0" borderId="0"/>
    <xf numFmtId="0" fontId="19" fillId="0" borderId="0"/>
    <xf numFmtId="43" fontId="17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9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9" fontId="2" fillId="0" borderId="0" xfId="5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22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 wrapText="1"/>
    </xf>
    <xf numFmtId="0" fontId="0" fillId="11" borderId="0" xfId="0" applyFill="1"/>
    <xf numFmtId="0" fontId="3" fillId="11" borderId="0" xfId="0" applyFont="1" applyFill="1"/>
    <xf numFmtId="0" fontId="1" fillId="11" borderId="9" xfId="0" applyFont="1" applyFill="1" applyBorder="1" applyAlignment="1">
      <alignment horizontal="center"/>
    </xf>
    <xf numFmtId="0" fontId="3" fillId="14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7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7" xfId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</cellXfs>
  <cellStyles count="6">
    <cellStyle name="จุลภาค" xfId="1" builtinId="3"/>
    <cellStyle name="จุลภาค 2" xfId="4" xr:uid="{97C2112D-F03A-4C12-8F31-F17AF54DF6A1}"/>
    <cellStyle name="ปกติ" xfId="0" builtinId="0"/>
    <cellStyle name="ปกติ 2" xfId="2" xr:uid="{2FBAC8EE-ADA9-47EE-A36F-9E2063F829A6}"/>
    <cellStyle name="ปกติ 3" xfId="3" xr:uid="{D6CEF8DD-3F97-4702-AA96-36C99210110E}"/>
    <cellStyle name="เปอร์เซ็นต์" xfId="5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FF6600"/>
      <color rgb="FFFF99FF"/>
      <color rgb="FF00FF99"/>
      <color rgb="FFFFCCFF"/>
      <color rgb="FF0000FF"/>
      <color rgb="FFCCFF99"/>
      <color rgb="FFCCCCFF"/>
      <color rgb="FFCC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D0BC-D0DF-4EF8-9208-BB7FAD9CD93B}">
  <sheetPr>
    <tabColor rgb="FFFF0066"/>
  </sheetPr>
  <dimension ref="A1:AH36"/>
  <sheetViews>
    <sheetView zoomScale="70" zoomScaleNormal="70" workbookViewId="0">
      <pane xSplit="7" ySplit="3" topLeftCell="H28" activePane="bottomRight" state="frozen"/>
      <selection pane="topRight" activeCell="H1" sqref="H1"/>
      <selection pane="bottomLeft" activeCell="A4" sqref="A4"/>
      <selection pane="bottomRight" activeCell="B4" sqref="B4:AH33"/>
    </sheetView>
  </sheetViews>
  <sheetFormatPr defaultColWidth="8.796875" defaultRowHeight="23.4" x14ac:dyDescent="0.6"/>
  <cols>
    <col min="1" max="29" width="8.796875" style="70"/>
    <col min="30" max="34" width="8.796875" style="1"/>
    <col min="35" max="16384" width="8.796875" style="70"/>
  </cols>
  <sheetData>
    <row r="1" spans="1:34" ht="26.4" x14ac:dyDescent="0.6">
      <c r="A1" s="97" t="s">
        <v>31</v>
      </c>
      <c r="B1" s="97" t="s">
        <v>114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73"/>
      <c r="N1" s="98" t="s">
        <v>112</v>
      </c>
      <c r="O1" s="98"/>
      <c r="P1" s="98"/>
      <c r="Q1" s="98"/>
      <c r="R1" s="98"/>
      <c r="S1" s="98"/>
      <c r="T1" s="98"/>
      <c r="U1" s="73"/>
      <c r="V1" s="95" t="s">
        <v>113</v>
      </c>
      <c r="W1" s="95"/>
      <c r="X1" s="95"/>
      <c r="Y1" s="95"/>
      <c r="Z1" s="95"/>
      <c r="AA1" s="95"/>
      <c r="AB1" s="69"/>
      <c r="AC1" s="96" t="s">
        <v>20</v>
      </c>
      <c r="AD1" s="96"/>
      <c r="AE1" s="96"/>
      <c r="AF1" s="96"/>
      <c r="AG1" s="96"/>
      <c r="AH1" s="96"/>
    </row>
    <row r="2" spans="1:34" ht="26.4" x14ac:dyDescent="0.6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73"/>
      <c r="N2" s="98" t="s">
        <v>31</v>
      </c>
      <c r="O2" s="98" t="s">
        <v>114</v>
      </c>
      <c r="P2" s="98"/>
      <c r="Q2" s="98"/>
      <c r="R2" s="98"/>
      <c r="S2" s="98"/>
      <c r="T2" s="98"/>
      <c r="U2" s="73"/>
      <c r="V2" s="95" t="s">
        <v>31</v>
      </c>
      <c r="W2" s="95" t="s">
        <v>114</v>
      </c>
      <c r="X2" s="95"/>
      <c r="Y2" s="95"/>
      <c r="Z2" s="95"/>
      <c r="AA2" s="95"/>
      <c r="AB2" s="69"/>
      <c r="AC2" s="96" t="s">
        <v>31</v>
      </c>
      <c r="AD2" s="96" t="s">
        <v>114</v>
      </c>
      <c r="AE2" s="96"/>
      <c r="AF2" s="96"/>
      <c r="AG2" s="96"/>
      <c r="AH2" s="96"/>
    </row>
    <row r="3" spans="1:34" ht="52.8" x14ac:dyDescent="0.6">
      <c r="A3" s="97"/>
      <c r="B3" s="74" t="s">
        <v>98</v>
      </c>
      <c r="C3" s="74" t="s">
        <v>115</v>
      </c>
      <c r="D3" s="75" t="s">
        <v>99</v>
      </c>
      <c r="E3" s="75" t="s">
        <v>116</v>
      </c>
      <c r="F3" s="76" t="s">
        <v>100</v>
      </c>
      <c r="G3" s="76" t="s">
        <v>117</v>
      </c>
      <c r="H3" s="77" t="s">
        <v>118</v>
      </c>
      <c r="I3" s="77" t="s">
        <v>119</v>
      </c>
      <c r="J3" s="78" t="s">
        <v>111</v>
      </c>
      <c r="K3" s="78" t="s">
        <v>120</v>
      </c>
      <c r="L3" s="79" t="s">
        <v>121</v>
      </c>
      <c r="M3" s="73"/>
      <c r="N3" s="98"/>
      <c r="O3" s="74" t="s">
        <v>98</v>
      </c>
      <c r="P3" s="75" t="s">
        <v>99</v>
      </c>
      <c r="Q3" s="76" t="s">
        <v>100</v>
      </c>
      <c r="R3" s="77" t="s">
        <v>118</v>
      </c>
      <c r="S3" s="78" t="s">
        <v>111</v>
      </c>
      <c r="T3" s="79" t="s">
        <v>121</v>
      </c>
      <c r="U3" s="73"/>
      <c r="V3" s="95"/>
      <c r="W3" s="74" t="s">
        <v>98</v>
      </c>
      <c r="X3" s="75" t="s">
        <v>99</v>
      </c>
      <c r="Y3" s="76" t="s">
        <v>100</v>
      </c>
      <c r="Z3" s="77" t="s">
        <v>118</v>
      </c>
      <c r="AA3" s="78" t="s">
        <v>111</v>
      </c>
      <c r="AB3" s="69"/>
      <c r="AC3" s="96"/>
      <c r="AD3" s="74" t="s">
        <v>98</v>
      </c>
      <c r="AE3" s="75" t="s">
        <v>99</v>
      </c>
      <c r="AF3" s="76" t="s">
        <v>100</v>
      </c>
      <c r="AG3" s="77" t="s">
        <v>118</v>
      </c>
      <c r="AH3" s="78" t="s">
        <v>111</v>
      </c>
    </row>
    <row r="4" spans="1:34" ht="70.2" x14ac:dyDescent="0.6">
      <c r="A4" s="6">
        <v>1</v>
      </c>
      <c r="B4" s="6">
        <v>24</v>
      </c>
      <c r="C4" s="6">
        <v>1</v>
      </c>
      <c r="D4" s="6">
        <v>21</v>
      </c>
      <c r="E4" s="6">
        <v>0</v>
      </c>
      <c r="F4" s="6">
        <v>39</v>
      </c>
      <c r="G4" s="6">
        <v>20</v>
      </c>
      <c r="H4" s="6"/>
      <c r="I4" s="6"/>
      <c r="J4" s="6">
        <v>2</v>
      </c>
      <c r="K4" s="6">
        <v>0</v>
      </c>
      <c r="L4" s="6">
        <v>4</v>
      </c>
      <c r="M4" s="69"/>
      <c r="N4" s="6">
        <v>1</v>
      </c>
      <c r="O4" s="6">
        <v>24</v>
      </c>
      <c r="P4" s="6">
        <v>20</v>
      </c>
      <c r="Q4" s="6">
        <v>53</v>
      </c>
      <c r="R4" s="6"/>
      <c r="S4" s="6">
        <v>2</v>
      </c>
      <c r="T4" s="6">
        <v>4</v>
      </c>
      <c r="U4" s="69"/>
      <c r="V4" s="6">
        <v>1</v>
      </c>
      <c r="W4" s="6">
        <v>0</v>
      </c>
      <c r="X4" s="6">
        <v>0</v>
      </c>
      <c r="Y4" s="6">
        <v>0</v>
      </c>
      <c r="Z4" s="6"/>
      <c r="AA4" s="6">
        <v>0</v>
      </c>
      <c r="AB4" s="69"/>
      <c r="AC4" s="6">
        <v>1</v>
      </c>
      <c r="AD4" s="6" t="s">
        <v>133</v>
      </c>
      <c r="AE4" s="6" t="s">
        <v>134</v>
      </c>
      <c r="AF4" s="6" t="s">
        <v>135</v>
      </c>
      <c r="AG4" s="6"/>
      <c r="AH4" s="6"/>
    </row>
    <row r="5" spans="1:34" ht="70.2" x14ac:dyDescent="0.6">
      <c r="A5" s="6">
        <v>2</v>
      </c>
      <c r="B5" s="6">
        <v>21</v>
      </c>
      <c r="C5" s="6">
        <v>0</v>
      </c>
      <c r="D5" s="6">
        <v>49</v>
      </c>
      <c r="E5" s="6">
        <v>0</v>
      </c>
      <c r="F5" s="6">
        <v>335</v>
      </c>
      <c r="G5" s="6">
        <v>0</v>
      </c>
      <c r="H5" s="6"/>
      <c r="I5" s="6"/>
      <c r="J5" s="6">
        <v>9</v>
      </c>
      <c r="K5" s="6">
        <v>0</v>
      </c>
      <c r="L5" s="6">
        <v>0</v>
      </c>
      <c r="M5" s="69"/>
      <c r="N5" s="6">
        <v>2</v>
      </c>
      <c r="O5" s="6">
        <v>20</v>
      </c>
      <c r="P5" s="6">
        <v>46</v>
      </c>
      <c r="Q5" s="6">
        <v>328</v>
      </c>
      <c r="R5" s="6"/>
      <c r="S5" s="6">
        <v>9</v>
      </c>
      <c r="T5" s="6">
        <v>0</v>
      </c>
      <c r="U5" s="69"/>
      <c r="V5" s="6">
        <v>2</v>
      </c>
      <c r="W5" s="6">
        <v>0</v>
      </c>
      <c r="X5" s="6">
        <v>0</v>
      </c>
      <c r="Y5" s="6">
        <v>0</v>
      </c>
      <c r="Z5" s="6"/>
      <c r="AA5" s="6">
        <v>1</v>
      </c>
      <c r="AB5" s="69"/>
      <c r="AC5" s="6">
        <v>2</v>
      </c>
      <c r="AD5" s="6" t="s">
        <v>133</v>
      </c>
      <c r="AE5" s="6" t="s">
        <v>136</v>
      </c>
      <c r="AF5" s="6" t="s">
        <v>137</v>
      </c>
      <c r="AG5" s="6"/>
      <c r="AH5" s="6"/>
    </row>
    <row r="6" spans="1:34" ht="70.2" x14ac:dyDescent="0.6">
      <c r="A6" s="6">
        <v>3</v>
      </c>
      <c r="B6" s="6">
        <v>13</v>
      </c>
      <c r="C6" s="6">
        <v>0</v>
      </c>
      <c r="D6" s="6">
        <v>43</v>
      </c>
      <c r="E6" s="6">
        <v>0</v>
      </c>
      <c r="F6" s="6">
        <v>133</v>
      </c>
      <c r="G6" s="6">
        <v>0</v>
      </c>
      <c r="H6" s="6"/>
      <c r="I6" s="6"/>
      <c r="J6" s="6">
        <v>1</v>
      </c>
      <c r="K6" s="6">
        <v>1</v>
      </c>
      <c r="L6" s="6">
        <v>1</v>
      </c>
      <c r="M6" s="69"/>
      <c r="N6" s="6">
        <v>3</v>
      </c>
      <c r="O6" s="6">
        <v>13</v>
      </c>
      <c r="P6" s="6">
        <v>43</v>
      </c>
      <c r="Q6" s="6">
        <v>127</v>
      </c>
      <c r="R6" s="6"/>
      <c r="S6" s="6">
        <v>2</v>
      </c>
      <c r="T6" s="6">
        <v>1</v>
      </c>
      <c r="U6" s="69"/>
      <c r="V6" s="6">
        <v>3</v>
      </c>
      <c r="W6" s="6">
        <v>0</v>
      </c>
      <c r="X6" s="6">
        <v>0</v>
      </c>
      <c r="Y6" s="6">
        <v>0</v>
      </c>
      <c r="Z6" s="6"/>
      <c r="AA6" s="6">
        <v>0</v>
      </c>
      <c r="AB6" s="69"/>
      <c r="AC6" s="6">
        <v>3</v>
      </c>
      <c r="AD6" s="6"/>
      <c r="AE6" s="6"/>
      <c r="AF6" s="71" t="s">
        <v>135</v>
      </c>
      <c r="AG6" s="6"/>
      <c r="AH6" s="6"/>
    </row>
    <row r="7" spans="1:34" ht="70.2" x14ac:dyDescent="0.6">
      <c r="A7" s="6">
        <v>4</v>
      </c>
      <c r="B7" s="6">
        <v>20</v>
      </c>
      <c r="C7" s="6">
        <v>0</v>
      </c>
      <c r="D7" s="6">
        <v>63</v>
      </c>
      <c r="E7" s="6">
        <v>0</v>
      </c>
      <c r="F7" s="6">
        <v>177</v>
      </c>
      <c r="G7" s="6">
        <v>0</v>
      </c>
      <c r="H7" s="6"/>
      <c r="I7" s="6"/>
      <c r="J7" s="6">
        <v>14</v>
      </c>
      <c r="K7" s="6">
        <v>0</v>
      </c>
      <c r="L7" s="6">
        <v>4</v>
      </c>
      <c r="M7" s="69"/>
      <c r="N7" s="6">
        <v>4</v>
      </c>
      <c r="O7" s="6">
        <v>20</v>
      </c>
      <c r="P7" s="6">
        <v>61</v>
      </c>
      <c r="Q7" s="6">
        <v>175</v>
      </c>
      <c r="R7" s="6"/>
      <c r="S7" s="6">
        <v>14</v>
      </c>
      <c r="T7" s="6">
        <v>4</v>
      </c>
      <c r="U7" s="69"/>
      <c r="V7" s="6">
        <v>4</v>
      </c>
      <c r="W7" s="6">
        <v>0</v>
      </c>
      <c r="X7" s="6">
        <v>1</v>
      </c>
      <c r="Y7" s="6">
        <v>0</v>
      </c>
      <c r="Z7" s="6"/>
      <c r="AA7" s="6">
        <v>0</v>
      </c>
      <c r="AB7" s="69"/>
      <c r="AC7" s="6">
        <v>4</v>
      </c>
      <c r="AD7" s="6"/>
      <c r="AE7" s="6" t="s">
        <v>138</v>
      </c>
      <c r="AF7" s="71" t="s">
        <v>139</v>
      </c>
      <c r="AG7" s="6"/>
      <c r="AH7" s="6"/>
    </row>
    <row r="8" spans="1:34" ht="70.2" x14ac:dyDescent="0.6">
      <c r="A8" s="6">
        <v>5</v>
      </c>
      <c r="B8" s="6">
        <v>35</v>
      </c>
      <c r="C8" s="6">
        <v>0</v>
      </c>
      <c r="D8" s="6">
        <v>68</v>
      </c>
      <c r="E8" s="6">
        <v>1</v>
      </c>
      <c r="F8" s="6">
        <v>260</v>
      </c>
      <c r="G8" s="6">
        <v>0</v>
      </c>
      <c r="H8" s="6"/>
      <c r="I8" s="6"/>
      <c r="J8" s="6">
        <v>26</v>
      </c>
      <c r="K8" s="6">
        <v>0</v>
      </c>
      <c r="L8" s="6">
        <v>0</v>
      </c>
      <c r="M8" s="69"/>
      <c r="N8" s="6">
        <v>5</v>
      </c>
      <c r="O8" s="6">
        <v>35</v>
      </c>
      <c r="P8" s="6">
        <v>66</v>
      </c>
      <c r="Q8" s="6">
        <v>254</v>
      </c>
      <c r="R8" s="6"/>
      <c r="S8" s="6">
        <v>25</v>
      </c>
      <c r="T8" s="6">
        <v>0</v>
      </c>
      <c r="U8" s="69"/>
      <c r="V8" s="6">
        <v>5</v>
      </c>
      <c r="W8" s="6">
        <v>0</v>
      </c>
      <c r="X8" s="6">
        <v>3</v>
      </c>
      <c r="Y8" s="6">
        <v>0</v>
      </c>
      <c r="Z8" s="6"/>
      <c r="AA8" s="6">
        <v>1</v>
      </c>
      <c r="AB8" s="69"/>
      <c r="AC8" s="6">
        <v>5</v>
      </c>
      <c r="AD8" s="6"/>
      <c r="AE8" s="6"/>
      <c r="AF8" s="6" t="s">
        <v>135</v>
      </c>
      <c r="AG8" s="6"/>
      <c r="AH8" s="6"/>
    </row>
    <row r="9" spans="1:34" ht="70.2" x14ac:dyDescent="0.6">
      <c r="A9" s="6">
        <v>6</v>
      </c>
      <c r="B9" s="6">
        <v>27</v>
      </c>
      <c r="C9" s="6">
        <v>0</v>
      </c>
      <c r="D9" s="6">
        <v>63</v>
      </c>
      <c r="E9" s="6">
        <v>3</v>
      </c>
      <c r="F9" s="6">
        <v>144</v>
      </c>
      <c r="G9" s="6">
        <v>0</v>
      </c>
      <c r="H9" s="6"/>
      <c r="I9" s="6"/>
      <c r="J9" s="6">
        <v>2</v>
      </c>
      <c r="K9" s="6">
        <v>1</v>
      </c>
      <c r="L9" s="6">
        <v>0</v>
      </c>
      <c r="M9" s="69"/>
      <c r="N9" s="6">
        <v>6</v>
      </c>
      <c r="O9" s="6">
        <v>20</v>
      </c>
      <c r="P9" s="6">
        <v>52</v>
      </c>
      <c r="Q9" s="6">
        <v>106</v>
      </c>
      <c r="R9" s="6"/>
      <c r="S9" s="6">
        <v>2</v>
      </c>
      <c r="T9" s="6">
        <v>0</v>
      </c>
      <c r="U9" s="69"/>
      <c r="V9" s="6">
        <v>6</v>
      </c>
      <c r="W9" s="6">
        <v>7</v>
      </c>
      <c r="X9" s="6">
        <v>12</v>
      </c>
      <c r="Y9" s="6">
        <v>32</v>
      </c>
      <c r="Z9" s="6"/>
      <c r="AA9" s="6">
        <v>0</v>
      </c>
      <c r="AB9" s="69"/>
      <c r="AC9" s="6">
        <v>6</v>
      </c>
      <c r="AD9" s="6"/>
      <c r="AE9" s="6" t="s">
        <v>140</v>
      </c>
      <c r="AF9" s="6" t="s">
        <v>141</v>
      </c>
      <c r="AG9" s="6"/>
      <c r="AH9" s="6"/>
    </row>
    <row r="10" spans="1:34" ht="70.2" x14ac:dyDescent="0.6">
      <c r="A10" s="6">
        <v>7</v>
      </c>
      <c r="B10" s="6">
        <v>31</v>
      </c>
      <c r="C10" s="6">
        <v>7</v>
      </c>
      <c r="D10" s="6">
        <v>45</v>
      </c>
      <c r="E10" s="6">
        <v>12</v>
      </c>
      <c r="F10" s="6">
        <v>227</v>
      </c>
      <c r="G10" s="6">
        <v>32</v>
      </c>
      <c r="H10" s="69"/>
      <c r="I10" s="69"/>
      <c r="J10" s="6">
        <v>21</v>
      </c>
      <c r="K10" s="6">
        <v>0</v>
      </c>
      <c r="L10" s="6">
        <v>2</v>
      </c>
      <c r="M10" s="69"/>
      <c r="N10" s="6">
        <v>7</v>
      </c>
      <c r="O10" s="6">
        <v>38</v>
      </c>
      <c r="P10" s="6">
        <v>56</v>
      </c>
      <c r="Q10" s="6">
        <v>236</v>
      </c>
      <c r="R10" s="69"/>
      <c r="S10" s="6">
        <v>24</v>
      </c>
      <c r="T10" s="6">
        <v>2</v>
      </c>
      <c r="U10" s="69"/>
      <c r="V10" s="6">
        <v>7</v>
      </c>
      <c r="W10" s="6">
        <v>0</v>
      </c>
      <c r="X10" s="6">
        <v>0</v>
      </c>
      <c r="Y10" s="6">
        <v>18</v>
      </c>
      <c r="Z10" s="69"/>
      <c r="AA10" s="6">
        <v>0</v>
      </c>
      <c r="AB10" s="69"/>
      <c r="AC10" s="6">
        <v>7</v>
      </c>
      <c r="AD10" s="6"/>
      <c r="AE10" s="6" t="s">
        <v>133</v>
      </c>
      <c r="AF10" s="6" t="s">
        <v>142</v>
      </c>
      <c r="AG10" s="6"/>
      <c r="AH10" s="6"/>
    </row>
    <row r="11" spans="1:34" ht="70.2" x14ac:dyDescent="0.6">
      <c r="A11" s="6">
        <v>8</v>
      </c>
      <c r="B11" s="6">
        <v>22</v>
      </c>
      <c r="C11" s="6">
        <v>0</v>
      </c>
      <c r="D11" s="6">
        <v>49</v>
      </c>
      <c r="E11" s="6">
        <v>0</v>
      </c>
      <c r="F11" s="6">
        <v>178</v>
      </c>
      <c r="G11" s="6">
        <v>18</v>
      </c>
      <c r="H11" s="69"/>
      <c r="I11" s="69"/>
      <c r="J11" s="6">
        <v>14</v>
      </c>
      <c r="K11" s="6">
        <v>0</v>
      </c>
      <c r="L11" s="6">
        <v>7</v>
      </c>
      <c r="M11" s="69"/>
      <c r="N11" s="6">
        <v>8</v>
      </c>
      <c r="O11" s="6">
        <v>22</v>
      </c>
      <c r="P11" s="6">
        <v>47</v>
      </c>
      <c r="Q11" s="6">
        <v>190</v>
      </c>
      <c r="R11" s="69"/>
      <c r="S11" s="6">
        <v>14</v>
      </c>
      <c r="T11" s="6">
        <v>7</v>
      </c>
      <c r="U11" s="69"/>
      <c r="V11" s="6">
        <v>8</v>
      </c>
      <c r="W11" s="6">
        <v>0</v>
      </c>
      <c r="X11" s="6">
        <v>0</v>
      </c>
      <c r="Y11" s="6">
        <v>0</v>
      </c>
      <c r="Z11" s="69"/>
      <c r="AA11" s="6">
        <v>0</v>
      </c>
      <c r="AB11" s="69"/>
      <c r="AC11" s="6">
        <v>8</v>
      </c>
      <c r="AD11" s="6"/>
      <c r="AE11" s="6" t="s">
        <v>139</v>
      </c>
      <c r="AF11" s="6" t="s">
        <v>135</v>
      </c>
      <c r="AG11" s="6"/>
      <c r="AH11" s="6"/>
    </row>
    <row r="12" spans="1:34" x14ac:dyDescent="0.6">
      <c r="A12" s="6">
        <v>9</v>
      </c>
      <c r="B12" s="6">
        <v>22</v>
      </c>
      <c r="C12" s="6">
        <v>0</v>
      </c>
      <c r="D12" s="6">
        <v>69</v>
      </c>
      <c r="E12" s="6">
        <v>0</v>
      </c>
      <c r="F12" s="6">
        <v>994</v>
      </c>
      <c r="G12" s="6">
        <v>0</v>
      </c>
      <c r="H12" s="69"/>
      <c r="I12" s="69"/>
      <c r="J12" s="6">
        <v>25</v>
      </c>
      <c r="K12" s="6">
        <v>0</v>
      </c>
      <c r="L12" s="6">
        <v>0</v>
      </c>
      <c r="M12" s="69"/>
      <c r="N12" s="6">
        <v>9</v>
      </c>
      <c r="O12" s="6">
        <v>21</v>
      </c>
      <c r="P12" s="6">
        <v>44</v>
      </c>
      <c r="Q12" s="6">
        <v>273</v>
      </c>
      <c r="R12" s="69"/>
      <c r="S12" s="6">
        <v>15</v>
      </c>
      <c r="T12" s="6">
        <v>0</v>
      </c>
      <c r="U12" s="69"/>
      <c r="V12" s="6">
        <v>9</v>
      </c>
      <c r="W12" s="6">
        <v>1</v>
      </c>
      <c r="X12" s="6">
        <v>25</v>
      </c>
      <c r="Y12" s="6">
        <v>721</v>
      </c>
      <c r="Z12" s="69"/>
      <c r="AA12" s="6">
        <v>10</v>
      </c>
      <c r="AB12" s="69"/>
      <c r="AC12" s="6">
        <v>9</v>
      </c>
      <c r="AD12" s="6"/>
      <c r="AE12" s="6"/>
      <c r="AF12" s="6"/>
      <c r="AG12" s="6"/>
      <c r="AH12" s="6"/>
    </row>
    <row r="13" spans="1:34" ht="140.4" x14ac:dyDescent="0.6">
      <c r="A13" s="6">
        <v>10</v>
      </c>
      <c r="B13" s="6">
        <v>30</v>
      </c>
      <c r="C13" s="6">
        <v>1</v>
      </c>
      <c r="D13" s="6">
        <v>34</v>
      </c>
      <c r="E13" s="6">
        <v>25</v>
      </c>
      <c r="F13" s="6">
        <v>632</v>
      </c>
      <c r="G13" s="6">
        <v>721</v>
      </c>
      <c r="H13" s="69"/>
      <c r="I13" s="69"/>
      <c r="J13" s="6">
        <v>10</v>
      </c>
      <c r="K13" s="6">
        <v>10</v>
      </c>
      <c r="L13" s="6">
        <v>2</v>
      </c>
      <c r="M13" s="69"/>
      <c r="N13" s="6">
        <v>10</v>
      </c>
      <c r="O13" s="6">
        <v>29</v>
      </c>
      <c r="P13" s="6">
        <v>29</v>
      </c>
      <c r="Q13" s="6">
        <v>702</v>
      </c>
      <c r="R13" s="69"/>
      <c r="S13" s="6">
        <v>20</v>
      </c>
      <c r="T13" s="6">
        <v>2</v>
      </c>
      <c r="U13" s="69"/>
      <c r="V13" s="6">
        <v>10</v>
      </c>
      <c r="W13" s="6">
        <v>1</v>
      </c>
      <c r="X13" s="6">
        <v>30</v>
      </c>
      <c r="Y13" s="6">
        <v>551</v>
      </c>
      <c r="Z13" s="69"/>
      <c r="AA13" s="6">
        <v>0</v>
      </c>
      <c r="AB13" s="69"/>
      <c r="AC13" s="6">
        <v>10</v>
      </c>
      <c r="AD13" s="6" t="s">
        <v>138</v>
      </c>
      <c r="AE13" s="6"/>
      <c r="AF13" s="6" t="s">
        <v>161</v>
      </c>
      <c r="AG13" s="6"/>
      <c r="AH13" s="6"/>
    </row>
    <row r="14" spans="1:34" ht="117" x14ac:dyDescent="0.6">
      <c r="A14" s="6">
        <v>11</v>
      </c>
      <c r="B14" s="6">
        <v>21</v>
      </c>
      <c r="C14" s="6">
        <v>1</v>
      </c>
      <c r="D14" s="6">
        <v>58</v>
      </c>
      <c r="E14" s="6">
        <v>30</v>
      </c>
      <c r="F14" s="6">
        <v>761</v>
      </c>
      <c r="G14" s="6">
        <v>551</v>
      </c>
      <c r="H14" s="69"/>
      <c r="I14" s="69"/>
      <c r="J14" s="6">
        <v>9</v>
      </c>
      <c r="K14" s="6">
        <v>0</v>
      </c>
      <c r="L14" s="6">
        <v>3</v>
      </c>
      <c r="M14" s="69"/>
      <c r="N14" s="6">
        <v>11</v>
      </c>
      <c r="O14" s="6">
        <v>20</v>
      </c>
      <c r="P14" s="6">
        <v>79</v>
      </c>
      <c r="Q14" s="6">
        <v>902</v>
      </c>
      <c r="R14" s="69"/>
      <c r="S14" s="6">
        <v>12</v>
      </c>
      <c r="T14" s="6">
        <v>3</v>
      </c>
      <c r="U14" s="69"/>
      <c r="V14" s="6">
        <v>11</v>
      </c>
      <c r="W14" s="6">
        <v>2</v>
      </c>
      <c r="X14" s="6">
        <v>6</v>
      </c>
      <c r="Y14" s="6">
        <v>363</v>
      </c>
      <c r="Z14" s="69"/>
      <c r="AA14" s="6">
        <v>0</v>
      </c>
      <c r="AB14" s="69"/>
      <c r="AC14" s="6">
        <v>11</v>
      </c>
      <c r="AD14" s="6"/>
      <c r="AE14" s="6" t="s">
        <v>162</v>
      </c>
      <c r="AF14" s="6" t="s">
        <v>163</v>
      </c>
      <c r="AG14" s="6"/>
      <c r="AH14" s="6"/>
    </row>
    <row r="15" spans="1:34" ht="70.2" x14ac:dyDescent="0.6">
      <c r="A15" s="6">
        <v>12</v>
      </c>
      <c r="B15" s="6">
        <v>11</v>
      </c>
      <c r="C15" s="6">
        <v>2</v>
      </c>
      <c r="D15" s="6">
        <v>17</v>
      </c>
      <c r="E15" s="6">
        <v>6</v>
      </c>
      <c r="F15" s="6">
        <v>290</v>
      </c>
      <c r="G15" s="6">
        <v>363</v>
      </c>
      <c r="H15" s="69"/>
      <c r="I15" s="69"/>
      <c r="J15" s="6">
        <v>4</v>
      </c>
      <c r="K15" s="6">
        <v>0</v>
      </c>
      <c r="L15" s="6">
        <v>2</v>
      </c>
      <c r="M15" s="69"/>
      <c r="N15" s="6">
        <v>12</v>
      </c>
      <c r="O15" s="6">
        <v>13</v>
      </c>
      <c r="P15" s="6">
        <v>21</v>
      </c>
      <c r="Q15" s="6">
        <v>594</v>
      </c>
      <c r="R15" s="69"/>
      <c r="S15" s="6">
        <v>4</v>
      </c>
      <c r="T15" s="6">
        <v>2</v>
      </c>
      <c r="U15" s="69"/>
      <c r="V15" s="6">
        <v>12</v>
      </c>
      <c r="W15" s="6">
        <v>0</v>
      </c>
      <c r="X15" s="6">
        <v>0</v>
      </c>
      <c r="Y15" s="6">
        <v>0</v>
      </c>
      <c r="Z15" s="69"/>
      <c r="AA15" s="6">
        <v>0</v>
      </c>
      <c r="AB15" s="69"/>
      <c r="AC15" s="6">
        <v>12</v>
      </c>
      <c r="AD15" s="6"/>
      <c r="AE15" s="6" t="s">
        <v>139</v>
      </c>
      <c r="AF15" s="6" t="s">
        <v>164</v>
      </c>
      <c r="AG15" s="6"/>
      <c r="AH15" s="6"/>
    </row>
    <row r="16" spans="1:34" ht="93.6" x14ac:dyDescent="0.6">
      <c r="A16" s="6">
        <v>13</v>
      </c>
      <c r="B16" s="6">
        <v>11</v>
      </c>
      <c r="C16" s="6">
        <v>0</v>
      </c>
      <c r="D16" s="6">
        <v>26</v>
      </c>
      <c r="E16" s="6">
        <v>0</v>
      </c>
      <c r="F16" s="6">
        <v>509</v>
      </c>
      <c r="G16" s="6">
        <v>0</v>
      </c>
      <c r="H16" s="69"/>
      <c r="I16" s="69"/>
      <c r="J16" s="6">
        <v>6</v>
      </c>
      <c r="K16" s="6">
        <v>0</v>
      </c>
      <c r="L16" s="6">
        <v>1</v>
      </c>
      <c r="M16" s="69"/>
      <c r="N16" s="6">
        <v>13</v>
      </c>
      <c r="O16" s="6">
        <v>9</v>
      </c>
      <c r="P16" s="6">
        <v>23</v>
      </c>
      <c r="Q16" s="6">
        <v>486</v>
      </c>
      <c r="R16" s="69"/>
      <c r="S16" s="6">
        <v>5</v>
      </c>
      <c r="T16" s="6">
        <v>1</v>
      </c>
      <c r="U16" s="69"/>
      <c r="V16" s="6">
        <v>13</v>
      </c>
      <c r="W16" s="6">
        <v>2</v>
      </c>
      <c r="X16" s="6">
        <v>3</v>
      </c>
      <c r="Y16" s="6">
        <v>13</v>
      </c>
      <c r="Z16" s="69"/>
      <c r="AA16" s="6">
        <v>1</v>
      </c>
      <c r="AB16" s="69"/>
      <c r="AC16" s="6">
        <v>13</v>
      </c>
      <c r="AD16" s="6"/>
      <c r="AE16" s="6"/>
      <c r="AF16" s="6" t="s">
        <v>165</v>
      </c>
      <c r="AG16" s="6"/>
      <c r="AH16" s="6"/>
    </row>
    <row r="17" spans="1:34" ht="70.2" x14ac:dyDescent="0.6">
      <c r="A17" s="6">
        <v>14</v>
      </c>
      <c r="B17" s="6">
        <v>13</v>
      </c>
      <c r="C17" s="6">
        <v>2</v>
      </c>
      <c r="D17" s="6">
        <v>34</v>
      </c>
      <c r="E17" s="6">
        <v>3</v>
      </c>
      <c r="F17" s="6">
        <v>706</v>
      </c>
      <c r="G17" s="6">
        <v>13</v>
      </c>
      <c r="H17" s="69"/>
      <c r="I17" s="69"/>
      <c r="J17" s="6">
        <v>5</v>
      </c>
      <c r="K17" s="6">
        <v>1</v>
      </c>
      <c r="L17" s="6">
        <v>0</v>
      </c>
      <c r="M17" s="69"/>
      <c r="N17" s="6">
        <v>14</v>
      </c>
      <c r="O17" s="6">
        <v>16</v>
      </c>
      <c r="P17" s="6">
        <v>37</v>
      </c>
      <c r="Q17" s="6">
        <v>701</v>
      </c>
      <c r="R17" s="69"/>
      <c r="S17" s="6">
        <v>6</v>
      </c>
      <c r="T17" s="6">
        <v>0</v>
      </c>
      <c r="U17" s="69"/>
      <c r="V17" s="6">
        <v>14</v>
      </c>
      <c r="W17" s="6">
        <v>0</v>
      </c>
      <c r="X17" s="6">
        <v>0</v>
      </c>
      <c r="Y17" s="6">
        <v>0</v>
      </c>
      <c r="Z17" s="69"/>
      <c r="AA17" s="6">
        <v>0</v>
      </c>
      <c r="AB17" s="69"/>
      <c r="AC17" s="6">
        <v>14</v>
      </c>
      <c r="AD17" s="6"/>
      <c r="AE17" s="6"/>
      <c r="AF17" s="6" t="s">
        <v>166</v>
      </c>
      <c r="AG17" s="6"/>
      <c r="AH17" s="6"/>
    </row>
    <row r="18" spans="1:34" ht="70.2" x14ac:dyDescent="0.6">
      <c r="A18" s="6">
        <v>15</v>
      </c>
      <c r="B18" s="6">
        <v>15</v>
      </c>
      <c r="C18" s="6">
        <v>0</v>
      </c>
      <c r="D18" s="6">
        <v>32</v>
      </c>
      <c r="E18" s="6">
        <v>0</v>
      </c>
      <c r="F18" s="6">
        <v>534</v>
      </c>
      <c r="G18" s="6">
        <v>0</v>
      </c>
      <c r="H18" s="69"/>
      <c r="I18" s="69"/>
      <c r="J18" s="6">
        <v>13</v>
      </c>
      <c r="K18" s="6">
        <v>0</v>
      </c>
      <c r="L18" s="6">
        <v>0</v>
      </c>
      <c r="M18" s="72"/>
      <c r="N18" s="6">
        <v>15</v>
      </c>
      <c r="O18" s="6">
        <v>14</v>
      </c>
      <c r="P18" s="6">
        <v>31</v>
      </c>
      <c r="Q18" s="6">
        <v>526</v>
      </c>
      <c r="R18" s="69"/>
      <c r="S18" s="6">
        <v>13</v>
      </c>
      <c r="T18" s="6">
        <v>0</v>
      </c>
      <c r="U18" s="69"/>
      <c r="V18" s="6">
        <v>15</v>
      </c>
      <c r="W18" s="6">
        <v>0</v>
      </c>
      <c r="X18" s="6">
        <v>0</v>
      </c>
      <c r="Y18" s="6">
        <v>0</v>
      </c>
      <c r="Z18" s="69"/>
      <c r="AA18" s="6">
        <v>0</v>
      </c>
      <c r="AB18" s="69"/>
      <c r="AC18" s="6">
        <v>15</v>
      </c>
      <c r="AD18" s="6" t="s">
        <v>133</v>
      </c>
      <c r="AE18" s="6" t="s">
        <v>133</v>
      </c>
      <c r="AF18" s="6" t="s">
        <v>167</v>
      </c>
      <c r="AG18" s="6"/>
      <c r="AH18" s="6"/>
    </row>
    <row r="19" spans="1:34" ht="93.6" x14ac:dyDescent="0.6">
      <c r="A19" s="6">
        <v>16</v>
      </c>
      <c r="B19" s="6">
        <v>25</v>
      </c>
      <c r="C19" s="6">
        <v>0</v>
      </c>
      <c r="D19" s="6">
        <v>28</v>
      </c>
      <c r="E19" s="6">
        <v>0</v>
      </c>
      <c r="F19" s="6">
        <v>563</v>
      </c>
      <c r="G19" s="6">
        <v>0</v>
      </c>
      <c r="H19" s="69"/>
      <c r="I19" s="69"/>
      <c r="J19" s="6">
        <v>7</v>
      </c>
      <c r="K19" s="6">
        <v>0</v>
      </c>
      <c r="L19" s="6">
        <v>1</v>
      </c>
      <c r="M19" s="69"/>
      <c r="N19" s="6">
        <v>16</v>
      </c>
      <c r="O19" s="6">
        <v>24</v>
      </c>
      <c r="P19" s="6">
        <v>28</v>
      </c>
      <c r="Q19" s="6">
        <v>429</v>
      </c>
      <c r="R19" s="69"/>
      <c r="S19" s="6">
        <v>7</v>
      </c>
      <c r="T19" s="6">
        <v>1</v>
      </c>
      <c r="U19" s="69"/>
      <c r="V19" s="6">
        <v>16</v>
      </c>
      <c r="W19" s="6">
        <v>0</v>
      </c>
      <c r="X19" s="6">
        <v>0</v>
      </c>
      <c r="Y19" s="6">
        <v>126</v>
      </c>
      <c r="Z19" s="69"/>
      <c r="AA19" s="6">
        <v>0</v>
      </c>
      <c r="AB19" s="69"/>
      <c r="AC19" s="6">
        <v>16</v>
      </c>
      <c r="AD19" s="6" t="s">
        <v>133</v>
      </c>
      <c r="AE19" s="6"/>
      <c r="AF19" s="6" t="s">
        <v>168</v>
      </c>
      <c r="AG19" s="6"/>
      <c r="AH19" s="6"/>
    </row>
    <row r="20" spans="1:34" ht="93.6" x14ac:dyDescent="0.6">
      <c r="A20" s="6">
        <v>17</v>
      </c>
      <c r="B20" s="6">
        <v>17</v>
      </c>
      <c r="C20" s="6">
        <v>0</v>
      </c>
      <c r="D20" s="6">
        <v>22</v>
      </c>
      <c r="E20" s="6">
        <v>0</v>
      </c>
      <c r="F20" s="6">
        <v>380</v>
      </c>
      <c r="G20" s="6">
        <v>126</v>
      </c>
      <c r="H20" s="69"/>
      <c r="I20" s="69"/>
      <c r="J20" s="6">
        <v>25</v>
      </c>
      <c r="K20" s="6">
        <v>0</v>
      </c>
      <c r="L20" s="6">
        <v>1</v>
      </c>
      <c r="M20" s="69"/>
      <c r="N20" s="6">
        <v>17</v>
      </c>
      <c r="O20" s="6">
        <v>17</v>
      </c>
      <c r="P20" s="6">
        <v>21</v>
      </c>
      <c r="Q20" s="6">
        <v>479</v>
      </c>
      <c r="R20" s="69"/>
      <c r="S20" s="6">
        <v>25</v>
      </c>
      <c r="T20" s="6">
        <v>1</v>
      </c>
      <c r="U20" s="69"/>
      <c r="V20" s="6">
        <v>17</v>
      </c>
      <c r="W20" s="6">
        <v>0</v>
      </c>
      <c r="X20" s="6">
        <v>1</v>
      </c>
      <c r="Y20" s="6">
        <v>10</v>
      </c>
      <c r="Z20" s="69"/>
      <c r="AA20" s="6">
        <v>0</v>
      </c>
      <c r="AB20" s="69"/>
      <c r="AC20" s="6">
        <v>17</v>
      </c>
      <c r="AD20" s="6"/>
      <c r="AE20" s="6"/>
      <c r="AF20" s="6" t="s">
        <v>169</v>
      </c>
      <c r="AG20" s="6"/>
      <c r="AH20" s="6"/>
    </row>
    <row r="21" spans="1:34" ht="70.2" x14ac:dyDescent="0.6">
      <c r="A21" s="6">
        <v>18</v>
      </c>
      <c r="B21" s="6">
        <v>16</v>
      </c>
      <c r="C21" s="6">
        <v>0</v>
      </c>
      <c r="D21" s="6">
        <v>22</v>
      </c>
      <c r="E21" s="6">
        <v>1</v>
      </c>
      <c r="F21" s="6">
        <v>304</v>
      </c>
      <c r="G21" s="6">
        <v>10</v>
      </c>
      <c r="H21" s="69"/>
      <c r="I21" s="69"/>
      <c r="J21" s="6">
        <v>96</v>
      </c>
      <c r="K21" s="6">
        <v>0</v>
      </c>
      <c r="L21" s="6">
        <v>6</v>
      </c>
      <c r="M21" s="69"/>
      <c r="N21" s="6">
        <v>18</v>
      </c>
      <c r="O21" s="6">
        <v>16</v>
      </c>
      <c r="P21" s="6">
        <v>19</v>
      </c>
      <c r="Q21" s="6">
        <v>307</v>
      </c>
      <c r="R21" s="69"/>
      <c r="S21" s="6">
        <v>59</v>
      </c>
      <c r="T21" s="6">
        <v>6</v>
      </c>
      <c r="U21" s="69"/>
      <c r="V21" s="6">
        <v>18</v>
      </c>
      <c r="W21" s="6">
        <v>0</v>
      </c>
      <c r="X21" s="6">
        <v>1</v>
      </c>
      <c r="Y21" s="6">
        <v>1</v>
      </c>
      <c r="Z21" s="69"/>
      <c r="AA21" s="6">
        <v>40</v>
      </c>
      <c r="AB21" s="69"/>
      <c r="AC21" s="6">
        <v>18</v>
      </c>
      <c r="AD21" s="6"/>
      <c r="AE21" s="6" t="s">
        <v>170</v>
      </c>
      <c r="AF21" s="6" t="s">
        <v>171</v>
      </c>
      <c r="AG21" s="6"/>
      <c r="AH21" s="6"/>
    </row>
    <row r="22" spans="1:34" ht="93.6" x14ac:dyDescent="0.6">
      <c r="A22" s="6">
        <v>19</v>
      </c>
      <c r="B22" s="6">
        <v>7</v>
      </c>
      <c r="C22" s="6">
        <v>0</v>
      </c>
      <c r="D22" s="6">
        <v>16</v>
      </c>
      <c r="E22" s="6">
        <v>1</v>
      </c>
      <c r="F22" s="6">
        <v>247</v>
      </c>
      <c r="G22" s="6">
        <v>1</v>
      </c>
      <c r="H22" s="69"/>
      <c r="I22" s="69"/>
      <c r="J22" s="6">
        <v>25</v>
      </c>
      <c r="K22" s="6">
        <v>40</v>
      </c>
      <c r="L22" s="6">
        <v>0</v>
      </c>
      <c r="M22" s="69"/>
      <c r="N22" s="6">
        <v>19</v>
      </c>
      <c r="O22" s="6">
        <v>7</v>
      </c>
      <c r="P22" s="6">
        <v>16</v>
      </c>
      <c r="Q22" s="6">
        <v>242</v>
      </c>
      <c r="R22" s="69"/>
      <c r="S22" s="6">
        <v>14</v>
      </c>
      <c r="T22" s="6">
        <v>0</v>
      </c>
      <c r="U22" s="69"/>
      <c r="V22" s="6">
        <v>19</v>
      </c>
      <c r="W22" s="6">
        <v>0</v>
      </c>
      <c r="X22" s="6">
        <v>0</v>
      </c>
      <c r="Y22" s="6">
        <v>0</v>
      </c>
      <c r="Z22" s="69"/>
      <c r="AA22" s="6">
        <v>51</v>
      </c>
      <c r="AB22" s="69"/>
      <c r="AC22" s="6">
        <v>19</v>
      </c>
      <c r="AD22" s="6"/>
      <c r="AE22" s="6" t="s">
        <v>133</v>
      </c>
      <c r="AF22" s="6" t="s">
        <v>172</v>
      </c>
      <c r="AG22" s="6"/>
      <c r="AH22" s="6"/>
    </row>
    <row r="23" spans="1:34" ht="70.2" x14ac:dyDescent="0.6">
      <c r="A23" s="6">
        <v>20</v>
      </c>
      <c r="B23" s="6">
        <v>12</v>
      </c>
      <c r="C23" s="6">
        <v>0</v>
      </c>
      <c r="D23" s="6">
        <v>25</v>
      </c>
      <c r="E23" s="6">
        <v>0</v>
      </c>
      <c r="F23" s="6">
        <v>336</v>
      </c>
      <c r="G23" s="6">
        <v>0</v>
      </c>
      <c r="H23" s="69"/>
      <c r="I23" s="69"/>
      <c r="J23" s="6">
        <v>19</v>
      </c>
      <c r="K23" s="6">
        <v>51</v>
      </c>
      <c r="L23" s="6">
        <v>0</v>
      </c>
      <c r="M23" s="69"/>
      <c r="N23" s="6">
        <v>20</v>
      </c>
      <c r="O23" s="6">
        <v>11</v>
      </c>
      <c r="P23" s="6">
        <v>25</v>
      </c>
      <c r="Q23" s="6">
        <v>273</v>
      </c>
      <c r="R23" s="69"/>
      <c r="S23" s="6">
        <v>0</v>
      </c>
      <c r="T23" s="6">
        <v>0</v>
      </c>
      <c r="U23" s="69"/>
      <c r="V23" s="6">
        <v>20</v>
      </c>
      <c r="W23" s="6">
        <v>0</v>
      </c>
      <c r="X23" s="6">
        <v>0</v>
      </c>
      <c r="Y23" s="6">
        <v>55</v>
      </c>
      <c r="Z23" s="69"/>
      <c r="AA23" s="6">
        <v>70</v>
      </c>
      <c r="AB23" s="69"/>
      <c r="AC23" s="6">
        <v>20</v>
      </c>
      <c r="AD23" s="6" t="s">
        <v>133</v>
      </c>
      <c r="AE23" s="6"/>
      <c r="AF23" s="6" t="s">
        <v>192</v>
      </c>
      <c r="AG23" s="6"/>
      <c r="AH23" s="6"/>
    </row>
    <row r="24" spans="1:34" ht="70.2" x14ac:dyDescent="0.6">
      <c r="A24" s="6">
        <v>21</v>
      </c>
      <c r="B24" s="6">
        <v>17</v>
      </c>
      <c r="C24" s="6">
        <v>0</v>
      </c>
      <c r="D24" s="6">
        <v>24</v>
      </c>
      <c r="E24" s="6">
        <v>0</v>
      </c>
      <c r="F24" s="6">
        <v>336</v>
      </c>
      <c r="G24" s="6">
        <v>55</v>
      </c>
      <c r="H24" s="69"/>
      <c r="I24" s="69"/>
      <c r="J24" s="6">
        <v>21</v>
      </c>
      <c r="K24" s="6">
        <v>70</v>
      </c>
      <c r="L24" s="6">
        <v>7</v>
      </c>
      <c r="M24" s="69"/>
      <c r="N24" s="6">
        <v>21</v>
      </c>
      <c r="O24" s="6">
        <v>17</v>
      </c>
      <c r="P24" s="6">
        <v>23</v>
      </c>
      <c r="Q24" s="6">
        <v>378</v>
      </c>
      <c r="R24" s="69"/>
      <c r="S24" s="6">
        <v>86</v>
      </c>
      <c r="T24" s="6">
        <v>7</v>
      </c>
      <c r="U24" s="69"/>
      <c r="V24" s="6">
        <v>21</v>
      </c>
      <c r="W24" s="6">
        <v>0</v>
      </c>
      <c r="X24" s="6">
        <v>0</v>
      </c>
      <c r="Y24" s="6">
        <v>0</v>
      </c>
      <c r="Z24" s="69"/>
      <c r="AA24" s="6">
        <v>5</v>
      </c>
      <c r="AB24" s="69"/>
      <c r="AC24" s="6">
        <v>21</v>
      </c>
      <c r="AD24" s="6"/>
      <c r="AE24" s="6" t="s">
        <v>133</v>
      </c>
      <c r="AF24" s="71" t="s">
        <v>253</v>
      </c>
      <c r="AG24" s="6"/>
      <c r="AH24" s="6"/>
    </row>
    <row r="25" spans="1:34" ht="93.6" x14ac:dyDescent="0.6">
      <c r="A25" s="6">
        <v>22</v>
      </c>
      <c r="B25" s="6">
        <v>14</v>
      </c>
      <c r="C25" s="6">
        <v>0</v>
      </c>
      <c r="D25" s="6">
        <v>32</v>
      </c>
      <c r="E25" s="6">
        <v>0</v>
      </c>
      <c r="F25" s="6">
        <v>453</v>
      </c>
      <c r="G25" s="6">
        <v>0</v>
      </c>
      <c r="H25" s="69"/>
      <c r="I25" s="69"/>
      <c r="J25" s="6">
        <v>64</v>
      </c>
      <c r="K25" s="6">
        <v>5</v>
      </c>
      <c r="L25" s="6">
        <v>0</v>
      </c>
      <c r="M25" s="69"/>
      <c r="N25" s="6">
        <v>22</v>
      </c>
      <c r="O25" s="6">
        <v>14</v>
      </c>
      <c r="P25" s="6">
        <v>32</v>
      </c>
      <c r="Q25" s="6">
        <v>444</v>
      </c>
      <c r="R25" s="69"/>
      <c r="S25" s="6">
        <v>70</v>
      </c>
      <c r="T25" s="6">
        <v>0</v>
      </c>
      <c r="U25" s="69"/>
      <c r="V25" s="6">
        <v>22</v>
      </c>
      <c r="W25" s="6">
        <v>0</v>
      </c>
      <c r="X25" s="6">
        <v>0</v>
      </c>
      <c r="Y25" s="6">
        <v>2</v>
      </c>
      <c r="Z25" s="69"/>
      <c r="AA25" s="6">
        <v>0</v>
      </c>
      <c r="AB25" s="6" t="s">
        <v>254</v>
      </c>
      <c r="AC25" s="6">
        <v>22</v>
      </c>
      <c r="AD25" s="6"/>
      <c r="AE25" s="6"/>
      <c r="AF25" s="6" t="s">
        <v>255</v>
      </c>
      <c r="AG25" s="6"/>
      <c r="AH25" s="6"/>
    </row>
    <row r="26" spans="1:34" ht="117" x14ac:dyDescent="0.6">
      <c r="A26" s="6">
        <v>23</v>
      </c>
      <c r="B26" s="6">
        <v>19</v>
      </c>
      <c r="C26" s="6">
        <v>0</v>
      </c>
      <c r="D26" s="6">
        <v>30</v>
      </c>
      <c r="E26" s="6">
        <v>0</v>
      </c>
      <c r="F26" s="6">
        <v>624</v>
      </c>
      <c r="G26" s="6">
        <v>2</v>
      </c>
      <c r="H26" s="69"/>
      <c r="I26" s="69"/>
      <c r="J26" s="6">
        <v>17</v>
      </c>
      <c r="K26" s="6">
        <v>0</v>
      </c>
      <c r="L26" s="6">
        <v>1</v>
      </c>
      <c r="M26" s="72"/>
      <c r="N26" s="6">
        <v>23</v>
      </c>
      <c r="O26" s="6">
        <v>19</v>
      </c>
      <c r="P26" s="6">
        <v>30</v>
      </c>
      <c r="Q26" s="6">
        <v>592</v>
      </c>
      <c r="R26" s="69"/>
      <c r="S26" s="6">
        <v>17</v>
      </c>
      <c r="T26" s="6">
        <v>1</v>
      </c>
      <c r="U26" s="69"/>
      <c r="V26" s="6">
        <v>23</v>
      </c>
      <c r="W26" s="6">
        <v>0</v>
      </c>
      <c r="X26" s="6">
        <v>0</v>
      </c>
      <c r="Y26" s="6">
        <v>17</v>
      </c>
      <c r="Z26" s="69"/>
      <c r="AA26" s="6">
        <v>0</v>
      </c>
      <c r="AB26" s="69"/>
      <c r="AC26" s="6">
        <v>23</v>
      </c>
      <c r="AD26" s="6"/>
      <c r="AE26" s="6"/>
      <c r="AF26" s="6" t="s">
        <v>256</v>
      </c>
      <c r="AG26" s="6"/>
      <c r="AH26" s="6"/>
    </row>
    <row r="27" spans="1:34" ht="93.6" x14ac:dyDescent="0.6">
      <c r="A27" s="6">
        <v>24</v>
      </c>
      <c r="B27" s="6">
        <v>13</v>
      </c>
      <c r="C27" s="6">
        <v>0</v>
      </c>
      <c r="D27" s="6">
        <v>41</v>
      </c>
      <c r="E27" s="6">
        <v>0</v>
      </c>
      <c r="F27" s="6">
        <v>335</v>
      </c>
      <c r="G27" s="6">
        <v>17</v>
      </c>
      <c r="H27" s="69"/>
      <c r="I27" s="69"/>
      <c r="J27" s="6">
        <v>10</v>
      </c>
      <c r="K27" s="6">
        <v>0</v>
      </c>
      <c r="L27" s="6">
        <v>2</v>
      </c>
      <c r="M27" s="69"/>
      <c r="N27" s="6">
        <v>24</v>
      </c>
      <c r="O27" s="6">
        <v>14</v>
      </c>
      <c r="P27" s="6">
        <v>40</v>
      </c>
      <c r="Q27" s="6">
        <v>346</v>
      </c>
      <c r="R27" s="69"/>
      <c r="S27" s="6">
        <v>11</v>
      </c>
      <c r="T27" s="6">
        <v>2</v>
      </c>
      <c r="U27" s="69"/>
      <c r="V27" s="6">
        <v>24</v>
      </c>
      <c r="W27" s="6">
        <v>0</v>
      </c>
      <c r="X27" s="6">
        <v>0</v>
      </c>
      <c r="Y27" s="6">
        <v>0</v>
      </c>
      <c r="Z27" s="69"/>
      <c r="AA27" s="6">
        <v>0</v>
      </c>
      <c r="AB27" s="69"/>
      <c r="AC27" s="6">
        <v>24</v>
      </c>
      <c r="AD27" s="6"/>
      <c r="AE27" s="6" t="s">
        <v>133</v>
      </c>
      <c r="AF27" s="6" t="s">
        <v>257</v>
      </c>
      <c r="AG27" s="6"/>
      <c r="AH27" s="6"/>
    </row>
    <row r="28" spans="1:34" ht="93.6" x14ac:dyDescent="0.6">
      <c r="A28" s="6">
        <v>25</v>
      </c>
      <c r="B28" s="6">
        <v>11</v>
      </c>
      <c r="C28" s="6">
        <v>0</v>
      </c>
      <c r="D28" s="6">
        <v>23</v>
      </c>
      <c r="E28" s="6">
        <v>0</v>
      </c>
      <c r="F28" s="6">
        <v>66</v>
      </c>
      <c r="G28" s="6">
        <v>0</v>
      </c>
      <c r="H28" s="69"/>
      <c r="I28" s="69"/>
      <c r="J28" s="6">
        <v>22</v>
      </c>
      <c r="K28" s="6">
        <v>0</v>
      </c>
      <c r="L28" s="6">
        <v>2</v>
      </c>
      <c r="M28" s="69"/>
      <c r="N28" s="6">
        <v>25</v>
      </c>
      <c r="O28" s="6">
        <v>11</v>
      </c>
      <c r="P28" s="6">
        <v>23</v>
      </c>
      <c r="Q28" s="6">
        <v>64</v>
      </c>
      <c r="R28" s="69"/>
      <c r="S28" s="6">
        <v>22</v>
      </c>
      <c r="T28" s="6">
        <v>2</v>
      </c>
      <c r="U28" s="69"/>
      <c r="V28" s="6">
        <v>25</v>
      </c>
      <c r="W28" s="6">
        <v>0</v>
      </c>
      <c r="X28" s="6">
        <v>0</v>
      </c>
      <c r="Y28" s="6">
        <v>0</v>
      </c>
      <c r="Z28" s="69"/>
      <c r="AA28" s="6">
        <v>0</v>
      </c>
      <c r="AB28" s="69"/>
      <c r="AC28" s="6">
        <v>25</v>
      </c>
      <c r="AD28" s="6"/>
      <c r="AE28" s="6"/>
      <c r="AF28" s="6" t="s">
        <v>258</v>
      </c>
      <c r="AG28" s="6"/>
      <c r="AH28" s="6"/>
    </row>
    <row r="29" spans="1:34" ht="70.2" x14ac:dyDescent="0.6">
      <c r="A29" s="6">
        <v>26</v>
      </c>
      <c r="B29" s="6">
        <v>23</v>
      </c>
      <c r="C29" s="6">
        <v>0</v>
      </c>
      <c r="D29" s="6">
        <v>30</v>
      </c>
      <c r="E29" s="6">
        <v>0</v>
      </c>
      <c r="F29" s="6">
        <v>135</v>
      </c>
      <c r="G29" s="6">
        <v>0</v>
      </c>
      <c r="H29" s="69"/>
      <c r="I29" s="69"/>
      <c r="J29" s="6">
        <v>13</v>
      </c>
      <c r="K29" s="6">
        <v>0</v>
      </c>
      <c r="L29" s="6">
        <v>0</v>
      </c>
      <c r="M29" s="69"/>
      <c r="N29" s="6">
        <v>26</v>
      </c>
      <c r="O29" s="6">
        <v>23</v>
      </c>
      <c r="P29" s="6">
        <v>28</v>
      </c>
      <c r="Q29" s="6">
        <v>131</v>
      </c>
      <c r="R29" s="69"/>
      <c r="S29" s="6">
        <v>13</v>
      </c>
      <c r="T29" s="6">
        <v>0</v>
      </c>
      <c r="U29" s="69"/>
      <c r="V29" s="6">
        <v>26</v>
      </c>
      <c r="W29" s="6">
        <v>0</v>
      </c>
      <c r="X29" s="6">
        <v>2</v>
      </c>
      <c r="Y29" s="6">
        <v>1</v>
      </c>
      <c r="Z29" s="69"/>
      <c r="AA29" s="6">
        <v>0</v>
      </c>
      <c r="AB29" s="69"/>
      <c r="AC29" s="6">
        <v>26</v>
      </c>
      <c r="AD29" s="6"/>
      <c r="AE29" s="6"/>
      <c r="AF29" s="6" t="s">
        <v>170</v>
      </c>
      <c r="AG29" s="6"/>
      <c r="AH29" s="6"/>
    </row>
    <row r="30" spans="1:34" ht="70.2" x14ac:dyDescent="0.6">
      <c r="A30" s="6">
        <v>27</v>
      </c>
      <c r="B30" s="6">
        <v>18</v>
      </c>
      <c r="C30" s="6">
        <v>0</v>
      </c>
      <c r="D30" s="6">
        <v>14</v>
      </c>
      <c r="E30" s="6">
        <v>2</v>
      </c>
      <c r="F30" s="6">
        <v>257</v>
      </c>
      <c r="G30" s="6">
        <v>1</v>
      </c>
      <c r="H30" s="69"/>
      <c r="I30" s="69"/>
      <c r="J30" s="6">
        <v>14</v>
      </c>
      <c r="K30" s="6">
        <v>0</v>
      </c>
      <c r="L30" s="6">
        <v>0</v>
      </c>
      <c r="M30" s="69"/>
      <c r="N30" s="6">
        <v>27</v>
      </c>
      <c r="O30" s="6">
        <v>18</v>
      </c>
      <c r="P30" s="6">
        <v>16</v>
      </c>
      <c r="Q30" s="6">
        <v>251</v>
      </c>
      <c r="R30" s="69"/>
      <c r="S30" s="6">
        <v>0</v>
      </c>
      <c r="T30" s="6">
        <v>0</v>
      </c>
      <c r="U30" s="69"/>
      <c r="V30" s="6">
        <v>27</v>
      </c>
      <c r="W30" s="6">
        <v>0</v>
      </c>
      <c r="X30" s="6">
        <v>0</v>
      </c>
      <c r="Y30" s="6">
        <v>0</v>
      </c>
      <c r="Z30" s="69"/>
      <c r="AA30" s="6">
        <v>14</v>
      </c>
      <c r="AB30" s="69"/>
      <c r="AC30" s="6">
        <v>27</v>
      </c>
      <c r="AD30" s="6"/>
      <c r="AE30" s="6"/>
      <c r="AF30" s="6" t="s">
        <v>259</v>
      </c>
      <c r="AG30" s="6"/>
      <c r="AH30" s="6"/>
    </row>
    <row r="31" spans="1:34" ht="70.2" x14ac:dyDescent="0.6">
      <c r="A31" s="6">
        <v>28</v>
      </c>
      <c r="B31" s="6">
        <v>26</v>
      </c>
      <c r="C31" s="6">
        <v>0</v>
      </c>
      <c r="D31" s="6">
        <v>35</v>
      </c>
      <c r="E31" s="6">
        <v>0</v>
      </c>
      <c r="F31" s="6">
        <v>231</v>
      </c>
      <c r="G31" s="6">
        <v>0</v>
      </c>
      <c r="H31" s="69"/>
      <c r="I31" s="69"/>
      <c r="J31" s="6">
        <v>16</v>
      </c>
      <c r="K31" s="6">
        <v>14</v>
      </c>
      <c r="L31" s="6">
        <v>0</v>
      </c>
      <c r="M31" s="69"/>
      <c r="N31" s="6">
        <v>28</v>
      </c>
      <c r="O31" s="6">
        <v>25</v>
      </c>
      <c r="P31" s="6">
        <v>35</v>
      </c>
      <c r="Q31" s="6">
        <v>228</v>
      </c>
      <c r="R31" s="69"/>
      <c r="S31" s="6">
        <v>31</v>
      </c>
      <c r="T31" s="6">
        <v>0</v>
      </c>
      <c r="U31" s="69"/>
      <c r="V31" s="6">
        <v>28</v>
      </c>
      <c r="W31" s="6">
        <v>0</v>
      </c>
      <c r="X31" s="6">
        <v>0</v>
      </c>
      <c r="Y31" s="6">
        <v>0</v>
      </c>
      <c r="Z31" s="69"/>
      <c r="AA31" s="6">
        <v>0</v>
      </c>
      <c r="AB31" s="69"/>
      <c r="AC31" s="6">
        <v>28</v>
      </c>
      <c r="AD31" s="6" t="s">
        <v>133</v>
      </c>
      <c r="AE31" s="6"/>
      <c r="AF31" s="6" t="s">
        <v>136</v>
      </c>
      <c r="AG31" s="6"/>
      <c r="AH31" s="6"/>
    </row>
    <row r="32" spans="1:34" ht="70.2" x14ac:dyDescent="0.6">
      <c r="A32" s="6">
        <v>29</v>
      </c>
      <c r="B32" s="6">
        <v>22</v>
      </c>
      <c r="C32" s="6">
        <v>0</v>
      </c>
      <c r="D32" s="6">
        <v>16</v>
      </c>
      <c r="E32" s="6">
        <v>0</v>
      </c>
      <c r="F32" s="6">
        <v>214</v>
      </c>
      <c r="G32" s="6">
        <v>0</v>
      </c>
      <c r="H32" s="69"/>
      <c r="I32" s="69"/>
      <c r="J32" s="6">
        <v>3</v>
      </c>
      <c r="K32" s="6">
        <v>0</v>
      </c>
      <c r="L32" s="6">
        <v>6</v>
      </c>
      <c r="M32" s="69"/>
      <c r="N32" s="6">
        <v>29</v>
      </c>
      <c r="O32" s="6">
        <v>21</v>
      </c>
      <c r="P32" s="6">
        <v>15</v>
      </c>
      <c r="Q32" s="6">
        <v>208</v>
      </c>
      <c r="R32" s="69"/>
      <c r="S32" s="6">
        <v>3</v>
      </c>
      <c r="T32" s="6">
        <v>6</v>
      </c>
      <c r="U32" s="69"/>
      <c r="V32" s="6">
        <v>29</v>
      </c>
      <c r="W32" s="6">
        <v>1</v>
      </c>
      <c r="X32" s="6">
        <v>0</v>
      </c>
      <c r="Y32" s="6">
        <v>0</v>
      </c>
      <c r="Z32" s="69"/>
      <c r="AA32" s="6">
        <v>0</v>
      </c>
      <c r="AB32" s="69"/>
      <c r="AC32" s="6">
        <v>29</v>
      </c>
      <c r="AD32" s="6"/>
      <c r="AE32" s="6" t="s">
        <v>133</v>
      </c>
      <c r="AF32" s="6" t="s">
        <v>135</v>
      </c>
      <c r="AG32" s="6"/>
      <c r="AH32" s="6"/>
    </row>
    <row r="33" spans="1:34" ht="70.2" x14ac:dyDescent="0.6">
      <c r="A33" s="6">
        <v>30</v>
      </c>
      <c r="B33" s="69">
        <v>16</v>
      </c>
      <c r="C33" s="6">
        <v>1</v>
      </c>
      <c r="D33" s="69">
        <v>22</v>
      </c>
      <c r="E33" s="6">
        <v>0</v>
      </c>
      <c r="F33" s="69">
        <v>376</v>
      </c>
      <c r="G33" s="6">
        <v>0</v>
      </c>
      <c r="H33" s="69"/>
      <c r="I33" s="69"/>
      <c r="J33" s="69">
        <v>13</v>
      </c>
      <c r="K33" s="6">
        <v>0</v>
      </c>
      <c r="L33" s="69">
        <v>4</v>
      </c>
      <c r="M33" s="69"/>
      <c r="N33" s="6">
        <v>30</v>
      </c>
      <c r="O33" s="69">
        <v>16</v>
      </c>
      <c r="P33" s="69">
        <v>22</v>
      </c>
      <c r="Q33" s="69">
        <v>366</v>
      </c>
      <c r="R33" s="69"/>
      <c r="S33" s="69">
        <v>13</v>
      </c>
      <c r="T33" s="69">
        <v>4</v>
      </c>
      <c r="U33" s="69"/>
      <c r="V33" s="6">
        <v>30</v>
      </c>
      <c r="W33" s="69">
        <v>0</v>
      </c>
      <c r="X33" s="69">
        <v>0</v>
      </c>
      <c r="Y33" s="69">
        <v>0</v>
      </c>
      <c r="Z33" s="69"/>
      <c r="AA33" s="69">
        <v>0</v>
      </c>
      <c r="AB33" s="69"/>
      <c r="AC33" s="6">
        <v>30</v>
      </c>
      <c r="AD33" s="6" t="s">
        <v>133</v>
      </c>
      <c r="AE33" s="6"/>
      <c r="AF33" s="6" t="s">
        <v>357</v>
      </c>
      <c r="AG33" s="6"/>
      <c r="AH33" s="6"/>
    </row>
    <row r="34" spans="1:34" x14ac:dyDescent="0.6">
      <c r="A34" s="6">
        <v>31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">
        <v>31</v>
      </c>
      <c r="O34" s="69"/>
      <c r="P34" s="69"/>
      <c r="Q34" s="69"/>
      <c r="R34" s="69"/>
      <c r="S34" s="69"/>
      <c r="T34" s="69"/>
      <c r="U34" s="69"/>
      <c r="V34" s="6">
        <v>31</v>
      </c>
      <c r="W34" s="69"/>
      <c r="X34" s="69"/>
      <c r="Y34" s="69"/>
      <c r="Z34" s="69"/>
      <c r="AA34" s="69"/>
      <c r="AB34" s="69"/>
      <c r="AC34" s="6">
        <v>31</v>
      </c>
      <c r="AD34" s="6"/>
      <c r="AE34" s="6"/>
      <c r="AF34" s="6"/>
      <c r="AG34" s="6"/>
      <c r="AH34" s="6"/>
    </row>
    <row r="35" spans="1:34" s="81" customFormat="1" ht="27" thickBot="1" x14ac:dyDescent="0.75">
      <c r="A35" s="80" t="s">
        <v>16</v>
      </c>
      <c r="B35" s="82">
        <f t="shared" ref="B35:G35" si="0">SUM(B4:B34)</f>
        <v>572</v>
      </c>
      <c r="C35" s="82">
        <f t="shared" si="0"/>
        <v>15</v>
      </c>
      <c r="D35" s="82">
        <f t="shared" si="0"/>
        <v>1051</v>
      </c>
      <c r="E35" s="82">
        <f t="shared" si="0"/>
        <v>84</v>
      </c>
      <c r="F35" s="82">
        <f t="shared" si="0"/>
        <v>10776</v>
      </c>
      <c r="G35" s="82">
        <f t="shared" si="0"/>
        <v>1930</v>
      </c>
      <c r="H35" s="82">
        <v>0</v>
      </c>
      <c r="I35" s="83"/>
      <c r="J35" s="82">
        <v>407</v>
      </c>
      <c r="K35" s="83"/>
      <c r="L35" s="82">
        <v>63</v>
      </c>
      <c r="M35" s="73"/>
      <c r="N35" s="80" t="s">
        <v>16</v>
      </c>
      <c r="O35" s="82">
        <f t="shared" ref="O35:T35" si="1">SUM(O4:O34)</f>
        <v>567</v>
      </c>
      <c r="P35" s="82">
        <f t="shared" si="1"/>
        <v>1028</v>
      </c>
      <c r="Q35" s="82">
        <f t="shared" si="1"/>
        <v>10391</v>
      </c>
      <c r="R35" s="82">
        <f t="shared" si="1"/>
        <v>0</v>
      </c>
      <c r="S35" s="82">
        <f t="shared" si="1"/>
        <v>538</v>
      </c>
      <c r="T35" s="82">
        <f t="shared" si="1"/>
        <v>56</v>
      </c>
      <c r="U35" s="73"/>
      <c r="V35" s="80" t="s">
        <v>16</v>
      </c>
      <c r="W35" s="82">
        <f>SUM(W4:W34)</f>
        <v>14</v>
      </c>
      <c r="X35" s="82">
        <f>SUM(X4:X34)</f>
        <v>84</v>
      </c>
      <c r="Y35" s="82">
        <f>SUM(Y4:Y34)</f>
        <v>1910</v>
      </c>
      <c r="Z35" s="82">
        <f>SUM(Z4:Z34)</f>
        <v>0</v>
      </c>
      <c r="AA35" s="82">
        <f>SUM(AA4:AA34)</f>
        <v>193</v>
      </c>
      <c r="AB35" s="73"/>
      <c r="AC35" s="80" t="s">
        <v>16</v>
      </c>
      <c r="AD35" s="82"/>
      <c r="AE35" s="82"/>
      <c r="AF35" s="82"/>
      <c r="AG35" s="82"/>
      <c r="AH35" s="82"/>
    </row>
    <row r="36" spans="1:34" ht="24" thickTop="1" x14ac:dyDescent="0.6"/>
  </sheetData>
  <mergeCells count="11">
    <mergeCell ref="V2:V3"/>
    <mergeCell ref="AC2:AC3"/>
    <mergeCell ref="A1:A3"/>
    <mergeCell ref="B1:L2"/>
    <mergeCell ref="N1:T1"/>
    <mergeCell ref="V1:AA1"/>
    <mergeCell ref="AC1:AH1"/>
    <mergeCell ref="O2:T2"/>
    <mergeCell ref="W2:AA2"/>
    <mergeCell ref="AD2:AH2"/>
    <mergeCell ref="N2:N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5"/>
  <sheetViews>
    <sheetView tabSelected="1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M9" sqref="M9"/>
    </sheetView>
  </sheetViews>
  <sheetFormatPr defaultColWidth="9.09765625" defaultRowHeight="23.4" x14ac:dyDescent="0.25"/>
  <cols>
    <col min="1" max="1" width="23.69921875" style="3" customWidth="1"/>
    <col min="2" max="11" width="14.19921875" style="6" customWidth="1"/>
    <col min="12" max="12" width="11.69921875" style="3" customWidth="1"/>
    <col min="13" max="13" width="11.59765625" style="45" bestFit="1" customWidth="1"/>
    <col min="14" max="16384" width="9.09765625" style="3"/>
  </cols>
  <sheetData>
    <row r="1" spans="1:14" ht="32.4" x14ac:dyDescent="0.25">
      <c r="A1" s="102" t="s">
        <v>125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4" ht="26.4" x14ac:dyDescent="0.25">
      <c r="A2" s="105" t="s">
        <v>87</v>
      </c>
      <c r="B2" s="115" t="s">
        <v>15</v>
      </c>
      <c r="C2" s="116"/>
      <c r="D2" s="116"/>
      <c r="E2" s="116"/>
      <c r="F2" s="116"/>
      <c r="G2" s="116"/>
      <c r="H2" s="116"/>
      <c r="I2" s="116"/>
      <c r="J2" s="116"/>
      <c r="K2" s="117"/>
      <c r="L2" s="105" t="s">
        <v>16</v>
      </c>
      <c r="M2" s="99" t="s">
        <v>86</v>
      </c>
    </row>
    <row r="3" spans="1:14" ht="26.4" x14ac:dyDescent="0.25">
      <c r="A3" s="106"/>
      <c r="B3" s="103" t="s">
        <v>10</v>
      </c>
      <c r="C3" s="104"/>
      <c r="D3" s="108" t="s">
        <v>9</v>
      </c>
      <c r="E3" s="109"/>
      <c r="F3" s="110" t="s">
        <v>11</v>
      </c>
      <c r="G3" s="111"/>
      <c r="H3" s="112" t="s">
        <v>90</v>
      </c>
      <c r="I3" s="113"/>
      <c r="J3" s="114" t="s">
        <v>110</v>
      </c>
      <c r="K3" s="114"/>
      <c r="L3" s="106"/>
      <c r="M3" s="100"/>
    </row>
    <row r="4" spans="1:14" ht="26.4" x14ac:dyDescent="0.25">
      <c r="A4" s="107"/>
      <c r="B4" s="16" t="s">
        <v>95</v>
      </c>
      <c r="C4" s="16" t="s">
        <v>94</v>
      </c>
      <c r="D4" s="17" t="s">
        <v>95</v>
      </c>
      <c r="E4" s="17" t="s">
        <v>94</v>
      </c>
      <c r="F4" s="18" t="s">
        <v>95</v>
      </c>
      <c r="G4" s="18" t="s">
        <v>94</v>
      </c>
      <c r="H4" s="19" t="s">
        <v>95</v>
      </c>
      <c r="I4" s="19" t="s">
        <v>94</v>
      </c>
      <c r="J4" s="52" t="s">
        <v>95</v>
      </c>
      <c r="K4" s="52" t="s">
        <v>94</v>
      </c>
      <c r="L4" s="107"/>
      <c r="M4" s="101"/>
    </row>
    <row r="5" spans="1:14" x14ac:dyDescent="0.25">
      <c r="A5" s="13" t="s">
        <v>12</v>
      </c>
      <c r="B5" s="20">
        <v>2</v>
      </c>
      <c r="C5" s="54">
        <v>322</v>
      </c>
      <c r="D5" s="21">
        <v>0</v>
      </c>
      <c r="E5" s="55">
        <v>0</v>
      </c>
      <c r="F5" s="22">
        <v>0</v>
      </c>
      <c r="G5" s="56">
        <v>0</v>
      </c>
      <c r="H5" s="59">
        <v>0</v>
      </c>
      <c r="I5" s="60">
        <v>0</v>
      </c>
      <c r="J5" s="61">
        <v>0</v>
      </c>
      <c r="K5" s="62">
        <v>0</v>
      </c>
      <c r="L5" s="15">
        <f>+B5+D5+F5+H5+J5</f>
        <v>2</v>
      </c>
      <c r="M5" s="50">
        <f>+C5+E5+G5+I5+K5</f>
        <v>322</v>
      </c>
    </row>
    <row r="6" spans="1:14" x14ac:dyDescent="0.25">
      <c r="A6" s="13" t="s">
        <v>13</v>
      </c>
      <c r="B6" s="20">
        <v>7</v>
      </c>
      <c r="C6" s="54">
        <v>1154</v>
      </c>
      <c r="D6" s="21">
        <v>0</v>
      </c>
      <c r="E6" s="55">
        <v>0</v>
      </c>
      <c r="F6" s="22">
        <v>0</v>
      </c>
      <c r="G6" s="56">
        <v>0</v>
      </c>
      <c r="H6" s="59">
        <v>0</v>
      </c>
      <c r="I6" s="60">
        <v>0</v>
      </c>
      <c r="J6" s="61">
        <v>0</v>
      </c>
      <c r="K6" s="62">
        <v>0</v>
      </c>
      <c r="L6" s="15">
        <f t="shared" ref="L6:L8" si="0">+B6+D6+F6+H6+J6</f>
        <v>7</v>
      </c>
      <c r="M6" s="50">
        <f t="shared" ref="M6:M8" si="1">+C6+E6+G6+I6+K6</f>
        <v>1154</v>
      </c>
    </row>
    <row r="7" spans="1:14" x14ac:dyDescent="0.25">
      <c r="A7" s="13" t="s">
        <v>14</v>
      </c>
      <c r="B7" s="20">
        <v>73</v>
      </c>
      <c r="C7" s="54">
        <v>11714</v>
      </c>
      <c r="D7" s="21">
        <v>2</v>
      </c>
      <c r="E7" s="55">
        <v>430</v>
      </c>
      <c r="F7" s="22">
        <v>0</v>
      </c>
      <c r="G7" s="56">
        <v>0</v>
      </c>
      <c r="H7" s="59">
        <v>0</v>
      </c>
      <c r="I7" s="60">
        <v>0</v>
      </c>
      <c r="J7" s="61">
        <v>0</v>
      </c>
      <c r="K7" s="62">
        <v>0</v>
      </c>
      <c r="L7" s="15">
        <f t="shared" si="0"/>
        <v>75</v>
      </c>
      <c r="M7" s="50">
        <f t="shared" si="1"/>
        <v>12144</v>
      </c>
    </row>
    <row r="8" spans="1:14" ht="46.8" x14ac:dyDescent="0.25">
      <c r="A8" s="14" t="s">
        <v>17</v>
      </c>
      <c r="B8" s="20">
        <v>4</v>
      </c>
      <c r="C8" s="54">
        <v>1076</v>
      </c>
      <c r="D8" s="21">
        <v>4</v>
      </c>
      <c r="E8" s="55">
        <v>859</v>
      </c>
      <c r="F8" s="22">
        <v>0</v>
      </c>
      <c r="G8" s="56">
        <v>0</v>
      </c>
      <c r="H8" s="59">
        <v>0</v>
      </c>
      <c r="I8" s="60">
        <v>0</v>
      </c>
      <c r="J8" s="61">
        <v>0</v>
      </c>
      <c r="K8" s="62">
        <v>0</v>
      </c>
      <c r="L8" s="15">
        <f t="shared" si="0"/>
        <v>8</v>
      </c>
      <c r="M8" s="50">
        <f t="shared" si="1"/>
        <v>1935</v>
      </c>
    </row>
    <row r="9" spans="1:14" ht="27" thickBot="1" x14ac:dyDescent="0.75">
      <c r="A9" s="38" t="s">
        <v>19</v>
      </c>
      <c r="B9" s="39">
        <f t="shared" ref="B9:J9" si="2">SUM(B5:B8)</f>
        <v>86</v>
      </c>
      <c r="C9" s="57">
        <f>SUM(C5:C8)</f>
        <v>14266</v>
      </c>
      <c r="D9" s="39">
        <f t="shared" si="2"/>
        <v>6</v>
      </c>
      <c r="E9" s="57">
        <f>SUM(E5:E8)</f>
        <v>1289</v>
      </c>
      <c r="F9" s="39">
        <f t="shared" si="2"/>
        <v>0</v>
      </c>
      <c r="G9" s="57">
        <f>SUM(G5:G8)</f>
        <v>0</v>
      </c>
      <c r="H9" s="39">
        <f t="shared" si="2"/>
        <v>0</v>
      </c>
      <c r="I9" s="57">
        <f>SUM(I5:I8)</f>
        <v>0</v>
      </c>
      <c r="J9" s="39">
        <f t="shared" si="2"/>
        <v>0</v>
      </c>
      <c r="K9" s="57">
        <f>SUM(K5:K8)</f>
        <v>0</v>
      </c>
      <c r="L9" s="39">
        <f>SUM(L5:L8)</f>
        <v>92</v>
      </c>
      <c r="M9" s="51">
        <f>SUM(M5:M8)</f>
        <v>15555</v>
      </c>
      <c r="N9" s="2" t="s">
        <v>85</v>
      </c>
    </row>
    <row r="10" spans="1:14" ht="27" thickTop="1" x14ac:dyDescent="0.7">
      <c r="F10" s="3"/>
      <c r="G10" s="3"/>
      <c r="J10" s="38"/>
      <c r="K10" s="38"/>
      <c r="M10" s="58"/>
    </row>
    <row r="15" spans="1:14" x14ac:dyDescent="0.25">
      <c r="L15" s="68"/>
    </row>
  </sheetData>
  <mergeCells count="10">
    <mergeCell ref="M2:M4"/>
    <mergeCell ref="A1:L1"/>
    <mergeCell ref="B3:C3"/>
    <mergeCell ref="A2:A4"/>
    <mergeCell ref="D3:E3"/>
    <mergeCell ref="F3:G3"/>
    <mergeCell ref="H3:I3"/>
    <mergeCell ref="J3:K3"/>
    <mergeCell ref="B2:K2"/>
    <mergeCell ref="L2:L4"/>
  </mergeCells>
  <pageMargins left="0.25" right="0.25" top="0.75" bottom="0.75" header="0.3" footer="0.3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40"/>
  <sheetViews>
    <sheetView zoomScaleNormal="100" workbookViewId="0">
      <pane xSplit="2" ySplit="2" topLeftCell="C30" activePane="bottomRight" state="frozen"/>
      <selection activeCell="E22" sqref="E22"/>
      <selection pane="topRight" activeCell="E22" sqref="E22"/>
      <selection pane="bottomLeft" activeCell="E22" sqref="E22"/>
      <selection pane="bottomRight" activeCell="I41" sqref="I41"/>
    </sheetView>
  </sheetViews>
  <sheetFormatPr defaultColWidth="9.09765625" defaultRowHeight="23.4" x14ac:dyDescent="0.6"/>
  <cols>
    <col min="1" max="1" width="10.8984375" style="1" customWidth="1"/>
    <col min="2" max="2" width="21.3984375" style="1" bestFit="1" customWidth="1"/>
    <col min="3" max="4" width="14.19921875" style="1" customWidth="1"/>
    <col min="5" max="16384" width="9.09765625" style="1"/>
  </cols>
  <sheetData>
    <row r="1" spans="1:4" ht="32.4" x14ac:dyDescent="0.85">
      <c r="A1" s="24" t="s">
        <v>126</v>
      </c>
    </row>
    <row r="2" spans="1:4" ht="26.4" x14ac:dyDescent="0.7">
      <c r="A2" s="30" t="s">
        <v>0</v>
      </c>
      <c r="B2" s="30" t="s">
        <v>55</v>
      </c>
      <c r="C2" s="30" t="s">
        <v>59</v>
      </c>
      <c r="D2" s="30" t="s">
        <v>20</v>
      </c>
    </row>
    <row r="3" spans="1:4" x14ac:dyDescent="0.6">
      <c r="A3" s="33">
        <v>1</v>
      </c>
      <c r="B3" s="34" t="s">
        <v>101</v>
      </c>
      <c r="C3" s="34">
        <f>+รายการสินค้าตีกลับ!B35</f>
        <v>0</v>
      </c>
      <c r="D3" s="31"/>
    </row>
    <row r="4" spans="1:4" x14ac:dyDescent="0.6">
      <c r="A4" s="33">
        <v>2</v>
      </c>
      <c r="B4" s="34" t="s">
        <v>102</v>
      </c>
      <c r="C4" s="34">
        <f>+รายการสินค้าตีกลับ!C35</f>
        <v>0</v>
      </c>
      <c r="D4" s="32"/>
    </row>
    <row r="5" spans="1:4" x14ac:dyDescent="0.6">
      <c r="A5" s="33">
        <v>3</v>
      </c>
      <c r="B5" s="34" t="s">
        <v>103</v>
      </c>
      <c r="C5" s="34">
        <f>+รายการสินค้าตีกลับ!D35</f>
        <v>8</v>
      </c>
      <c r="D5" s="32"/>
    </row>
    <row r="6" spans="1:4" x14ac:dyDescent="0.6">
      <c r="A6" s="33">
        <v>4</v>
      </c>
      <c r="B6" s="34" t="s">
        <v>104</v>
      </c>
      <c r="C6" s="34">
        <f>+รายการสินค้าตีกลับ!E35</f>
        <v>4</v>
      </c>
      <c r="D6" s="32"/>
    </row>
    <row r="7" spans="1:4" x14ac:dyDescent="0.6">
      <c r="A7" s="33">
        <v>5</v>
      </c>
      <c r="B7" s="34" t="s">
        <v>33</v>
      </c>
      <c r="C7" s="34">
        <f>+รายการสินค้าตีกลับ!F35</f>
        <v>0</v>
      </c>
      <c r="D7" s="34"/>
    </row>
    <row r="8" spans="1:4" x14ac:dyDescent="0.6">
      <c r="A8" s="33">
        <v>6</v>
      </c>
      <c r="B8" s="34" t="s">
        <v>32</v>
      </c>
      <c r="C8" s="34">
        <f>+รายการสินค้าตีกลับ!G35</f>
        <v>14</v>
      </c>
      <c r="D8" s="34"/>
    </row>
    <row r="9" spans="1:4" x14ac:dyDescent="0.6">
      <c r="A9" s="33">
        <v>7</v>
      </c>
      <c r="B9" s="34" t="s">
        <v>34</v>
      </c>
      <c r="C9" s="34">
        <f>+รายการสินค้าตีกลับ!H35</f>
        <v>22</v>
      </c>
      <c r="D9" s="34"/>
    </row>
    <row r="10" spans="1:4" x14ac:dyDescent="0.6">
      <c r="A10" s="33">
        <v>8</v>
      </c>
      <c r="B10" s="34" t="s">
        <v>35</v>
      </c>
      <c r="C10" s="34">
        <f>+รายการสินค้าตีกลับ!I35</f>
        <v>135</v>
      </c>
      <c r="D10" s="34"/>
    </row>
    <row r="11" spans="1:4" x14ac:dyDescent="0.6">
      <c r="A11" s="33">
        <v>9</v>
      </c>
      <c r="B11" s="34" t="s">
        <v>105</v>
      </c>
      <c r="C11" s="34">
        <f>+รายการสินค้าตีกลับ!J35</f>
        <v>0</v>
      </c>
      <c r="D11" s="34"/>
    </row>
    <row r="12" spans="1:4" x14ac:dyDescent="0.6">
      <c r="A12" s="33">
        <v>10</v>
      </c>
      <c r="B12" s="34" t="s">
        <v>92</v>
      </c>
      <c r="C12" s="34">
        <f>+รายการสินค้าตีกลับ!K35</f>
        <v>0</v>
      </c>
      <c r="D12" s="34"/>
    </row>
    <row r="13" spans="1:4" x14ac:dyDescent="0.6">
      <c r="A13" s="33">
        <v>11</v>
      </c>
      <c r="B13" s="34" t="s">
        <v>36</v>
      </c>
      <c r="C13" s="34">
        <f>+รายการสินค้าตีกลับ!L35</f>
        <v>0</v>
      </c>
      <c r="D13" s="34"/>
    </row>
    <row r="14" spans="1:4" x14ac:dyDescent="0.6">
      <c r="A14" s="33">
        <v>12</v>
      </c>
      <c r="B14" s="34" t="s">
        <v>37</v>
      </c>
      <c r="C14" s="34">
        <f>+รายการสินค้าตีกลับ!M35</f>
        <v>0</v>
      </c>
      <c r="D14" s="34"/>
    </row>
    <row r="15" spans="1:4" x14ac:dyDescent="0.6">
      <c r="A15" s="33">
        <v>13</v>
      </c>
      <c r="B15" s="34" t="s">
        <v>38</v>
      </c>
      <c r="C15" s="34">
        <f>+รายการสินค้าตีกลับ!N35</f>
        <v>0</v>
      </c>
      <c r="D15" s="34"/>
    </row>
    <row r="16" spans="1:4" x14ac:dyDescent="0.6">
      <c r="A16" s="33">
        <v>14</v>
      </c>
      <c r="B16" s="34" t="s">
        <v>39</v>
      </c>
      <c r="C16" s="34">
        <f>+รายการสินค้าตีกลับ!O35</f>
        <v>0</v>
      </c>
      <c r="D16" s="34"/>
    </row>
    <row r="17" spans="1:4" x14ac:dyDescent="0.6">
      <c r="A17" s="33">
        <v>15</v>
      </c>
      <c r="B17" s="34" t="s">
        <v>106</v>
      </c>
      <c r="C17" s="34">
        <f>+รายการสินค้าตีกลับ!P35</f>
        <v>0</v>
      </c>
      <c r="D17" s="34"/>
    </row>
    <row r="18" spans="1:4" x14ac:dyDescent="0.6">
      <c r="A18" s="33">
        <v>16</v>
      </c>
      <c r="B18" s="34" t="s">
        <v>107</v>
      </c>
      <c r="C18" s="34">
        <f>+รายการสินค้าตีกลับ!Q35</f>
        <v>0</v>
      </c>
      <c r="D18" s="34"/>
    </row>
    <row r="19" spans="1:4" x14ac:dyDescent="0.6">
      <c r="A19" s="33">
        <v>17</v>
      </c>
      <c r="B19" s="34" t="s">
        <v>40</v>
      </c>
      <c r="C19" s="34">
        <f>+รายการสินค้าตีกลับ!R35</f>
        <v>0</v>
      </c>
      <c r="D19" s="34"/>
    </row>
    <row r="20" spans="1:4" x14ac:dyDescent="0.6">
      <c r="A20" s="33">
        <v>18</v>
      </c>
      <c r="B20" s="34" t="s">
        <v>41</v>
      </c>
      <c r="C20" s="34">
        <f>+รายการสินค้าตีกลับ!S35</f>
        <v>0</v>
      </c>
      <c r="D20" s="34"/>
    </row>
    <row r="21" spans="1:4" x14ac:dyDescent="0.6">
      <c r="A21" s="33">
        <v>19</v>
      </c>
      <c r="B21" s="34" t="s">
        <v>42</v>
      </c>
      <c r="C21" s="34">
        <f>+รายการสินค้าตีกลับ!T35</f>
        <v>0</v>
      </c>
      <c r="D21" s="34"/>
    </row>
    <row r="22" spans="1:4" x14ac:dyDescent="0.6">
      <c r="A22" s="33">
        <v>20</v>
      </c>
      <c r="B22" s="34" t="s">
        <v>43</v>
      </c>
      <c r="C22" s="34">
        <f>+รายการสินค้าตีกลับ!U35</f>
        <v>0</v>
      </c>
      <c r="D22" s="34"/>
    </row>
    <row r="23" spans="1:4" x14ac:dyDescent="0.6">
      <c r="A23" s="33">
        <v>21</v>
      </c>
      <c r="B23" s="34" t="s">
        <v>44</v>
      </c>
      <c r="C23" s="34">
        <f>+รายการสินค้าตีกลับ!V35</f>
        <v>0</v>
      </c>
      <c r="D23" s="34"/>
    </row>
    <row r="24" spans="1:4" x14ac:dyDescent="0.6">
      <c r="A24" s="33">
        <v>22</v>
      </c>
      <c r="B24" s="34" t="s">
        <v>45</v>
      </c>
      <c r="C24" s="34">
        <f>+รายการสินค้าตีกลับ!W35</f>
        <v>0</v>
      </c>
      <c r="D24" s="34"/>
    </row>
    <row r="25" spans="1:4" x14ac:dyDescent="0.6">
      <c r="A25" s="33">
        <v>23</v>
      </c>
      <c r="B25" s="34" t="s">
        <v>46</v>
      </c>
      <c r="C25" s="34">
        <f>+รายการสินค้าตีกลับ!X35</f>
        <v>0</v>
      </c>
      <c r="D25" s="34"/>
    </row>
    <row r="26" spans="1:4" x14ac:dyDescent="0.6">
      <c r="A26" s="33">
        <v>24</v>
      </c>
      <c r="B26" s="34" t="s">
        <v>47</v>
      </c>
      <c r="C26" s="34">
        <f>+รายการสินค้าตีกลับ!Y35</f>
        <v>0</v>
      </c>
      <c r="D26" s="34"/>
    </row>
    <row r="27" spans="1:4" x14ac:dyDescent="0.6">
      <c r="A27" s="33">
        <v>25</v>
      </c>
      <c r="B27" s="34" t="s">
        <v>48</v>
      </c>
      <c r="C27" s="34">
        <f>+รายการสินค้าตีกลับ!Z35</f>
        <v>0</v>
      </c>
      <c r="D27" s="34"/>
    </row>
    <row r="28" spans="1:4" x14ac:dyDescent="0.6">
      <c r="A28" s="33">
        <v>26</v>
      </c>
      <c r="B28" s="34" t="s">
        <v>49</v>
      </c>
      <c r="C28" s="34">
        <f>+รายการสินค้าตีกลับ!AA35</f>
        <v>0</v>
      </c>
      <c r="D28" s="34"/>
    </row>
    <row r="29" spans="1:4" x14ac:dyDescent="0.6">
      <c r="A29" s="33">
        <v>27</v>
      </c>
      <c r="B29" s="34" t="s">
        <v>50</v>
      </c>
      <c r="C29" s="34">
        <f>+รายการสินค้าตีกลับ!AB35</f>
        <v>4</v>
      </c>
      <c r="D29" s="34"/>
    </row>
    <row r="30" spans="1:4" x14ac:dyDescent="0.6">
      <c r="A30" s="33">
        <v>28</v>
      </c>
      <c r="B30" s="34" t="s">
        <v>51</v>
      </c>
      <c r="C30" s="34">
        <f>+รายการสินค้าตีกลับ!AC35</f>
        <v>0</v>
      </c>
      <c r="D30" s="34"/>
    </row>
    <row r="31" spans="1:4" x14ac:dyDescent="0.6">
      <c r="A31" s="33">
        <v>29</v>
      </c>
      <c r="B31" s="34" t="s">
        <v>52</v>
      </c>
      <c r="C31" s="34">
        <f>+รายการสินค้าตีกลับ!AD35</f>
        <v>0</v>
      </c>
      <c r="D31" s="34"/>
    </row>
    <row r="32" spans="1:4" x14ac:dyDescent="0.6">
      <c r="A32" s="33">
        <v>30</v>
      </c>
      <c r="B32" s="34" t="s">
        <v>93</v>
      </c>
      <c r="C32" s="34">
        <f>+รายการสินค้าตีกลับ!AE35</f>
        <v>0</v>
      </c>
      <c r="D32" s="34"/>
    </row>
    <row r="33" spans="1:4" x14ac:dyDescent="0.6">
      <c r="A33" s="33">
        <v>31</v>
      </c>
      <c r="B33" s="34" t="s">
        <v>108</v>
      </c>
      <c r="C33" s="34">
        <f>+รายการสินค้าตีกลับ!AF35</f>
        <v>0</v>
      </c>
      <c r="D33" s="34"/>
    </row>
    <row r="34" spans="1:4" x14ac:dyDescent="0.6">
      <c r="A34" s="33">
        <v>32</v>
      </c>
      <c r="B34" s="34" t="s">
        <v>96</v>
      </c>
      <c r="C34" s="34">
        <f>+รายการสินค้าตีกลับ!AG35</f>
        <v>0</v>
      </c>
      <c r="D34" s="34"/>
    </row>
    <row r="35" spans="1:4" x14ac:dyDescent="0.6">
      <c r="A35" s="33">
        <v>33</v>
      </c>
      <c r="B35" s="34" t="s">
        <v>109</v>
      </c>
      <c r="C35" s="34">
        <f>+รายการสินค้าตีกลับ!AH35</f>
        <v>5</v>
      </c>
      <c r="D35" s="34"/>
    </row>
    <row r="36" spans="1:4" x14ac:dyDescent="0.6">
      <c r="A36" s="33">
        <v>34</v>
      </c>
      <c r="B36" s="34" t="s">
        <v>53</v>
      </c>
      <c r="C36" s="34">
        <f>+รายการสินค้าตีกลับ!AI35</f>
        <v>188</v>
      </c>
      <c r="D36" s="34"/>
    </row>
    <row r="37" spans="1:4" x14ac:dyDescent="0.6">
      <c r="A37" s="33">
        <v>35</v>
      </c>
      <c r="B37" s="34" t="s">
        <v>122</v>
      </c>
      <c r="C37" s="34">
        <f>+รายการสินค้าตีกลับ!AJ35</f>
        <v>0</v>
      </c>
      <c r="D37" s="34"/>
    </row>
    <row r="38" spans="1:4" ht="22.95" customHeight="1" x14ac:dyDescent="0.6">
      <c r="A38" s="33">
        <v>36</v>
      </c>
      <c r="B38" s="34"/>
      <c r="C38" s="34"/>
      <c r="D38" s="34"/>
    </row>
    <row r="39" spans="1:4" ht="29.4" thickBot="1" x14ac:dyDescent="0.8">
      <c r="B39" s="35" t="s">
        <v>54</v>
      </c>
      <c r="C39" s="36">
        <f>SUM(C3:C38)</f>
        <v>380</v>
      </c>
      <c r="D39" s="37" t="s">
        <v>56</v>
      </c>
    </row>
    <row r="40" spans="1:4" ht="24" thickTop="1" x14ac:dyDescent="0.6"/>
  </sheetData>
  <pageMargins left="0.25" right="0.25" top="0.75" bottom="0.75" header="0.3" footer="0.3"/>
  <pageSetup paperSize="9" scale="76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5C22-AD10-45AF-822C-0CE1D62FA485}">
  <sheetPr>
    <tabColor rgb="FFFF99FF"/>
  </sheetPr>
  <dimension ref="A1:G37"/>
  <sheetViews>
    <sheetView workbookViewId="0">
      <pane xSplit="1" ySplit="4" topLeftCell="B29" activePane="bottomRight" state="frozen"/>
      <selection pane="topRight" activeCell="B1" sqref="B1"/>
      <selection pane="bottomLeft" activeCell="A6" sqref="A6"/>
      <selection pane="bottomRight" activeCell="E41" sqref="E41"/>
    </sheetView>
  </sheetViews>
  <sheetFormatPr defaultRowHeight="13.8" x14ac:dyDescent="0.25"/>
  <sheetData>
    <row r="1" spans="1:5" ht="32.4" x14ac:dyDescent="0.85">
      <c r="A1" s="24" t="s">
        <v>127</v>
      </c>
    </row>
    <row r="2" spans="1:5" ht="23.4" x14ac:dyDescent="0.25">
      <c r="A2" s="118" t="s">
        <v>123</v>
      </c>
      <c r="B2" s="118"/>
      <c r="C2" s="118"/>
      <c r="D2" s="118"/>
      <c r="E2" s="118"/>
    </row>
    <row r="3" spans="1:5" ht="23.4" x14ac:dyDescent="0.6">
      <c r="A3" s="119" t="s">
        <v>31</v>
      </c>
      <c r="B3" s="120" t="s">
        <v>124</v>
      </c>
      <c r="C3" s="120"/>
      <c r="D3" s="120"/>
      <c r="E3" s="120"/>
    </row>
    <row r="4" spans="1:5" ht="23.4" x14ac:dyDescent="0.6">
      <c r="A4" s="119"/>
      <c r="B4" s="87" t="s">
        <v>98</v>
      </c>
      <c r="C4" s="88" t="s">
        <v>99</v>
      </c>
      <c r="D4" s="89" t="s">
        <v>100</v>
      </c>
      <c r="E4" s="90" t="s">
        <v>111</v>
      </c>
    </row>
    <row r="5" spans="1:5" ht="23.4" x14ac:dyDescent="0.6">
      <c r="A5" s="84">
        <v>1</v>
      </c>
      <c r="B5" s="72">
        <v>1</v>
      </c>
      <c r="C5" s="72"/>
      <c r="D5" s="72">
        <v>1</v>
      </c>
      <c r="E5" s="72">
        <v>1</v>
      </c>
    </row>
    <row r="6" spans="1:5" ht="23.4" x14ac:dyDescent="0.6">
      <c r="A6" s="84">
        <v>2</v>
      </c>
      <c r="B6" s="72"/>
      <c r="C6" s="72">
        <v>2</v>
      </c>
      <c r="D6" s="72"/>
      <c r="E6" s="72"/>
    </row>
    <row r="7" spans="1:5" ht="23.4" x14ac:dyDescent="0.6">
      <c r="A7" s="84">
        <v>3</v>
      </c>
      <c r="B7" s="71"/>
      <c r="C7" s="72"/>
      <c r="D7" s="72"/>
      <c r="E7" s="72"/>
    </row>
    <row r="8" spans="1:5" ht="23.4" x14ac:dyDescent="0.6">
      <c r="A8" s="84">
        <v>4</v>
      </c>
      <c r="B8" s="72"/>
      <c r="C8" s="72"/>
      <c r="D8" s="72"/>
      <c r="E8" s="72"/>
    </row>
    <row r="9" spans="1:5" ht="23.4" x14ac:dyDescent="0.6">
      <c r="A9" s="84">
        <v>5</v>
      </c>
      <c r="B9" s="72"/>
      <c r="C9" s="71"/>
      <c r="D9" s="71"/>
      <c r="E9" s="71"/>
    </row>
    <row r="10" spans="1:5" ht="23.4" x14ac:dyDescent="0.6">
      <c r="A10" s="84">
        <v>6</v>
      </c>
      <c r="B10" s="72"/>
      <c r="C10" s="72"/>
      <c r="D10" s="72"/>
      <c r="E10" s="72"/>
    </row>
    <row r="11" spans="1:5" ht="23.4" x14ac:dyDescent="0.6">
      <c r="A11" s="84">
        <v>7</v>
      </c>
      <c r="B11" s="72"/>
      <c r="C11" s="72">
        <v>1</v>
      </c>
      <c r="D11" s="72">
        <v>2</v>
      </c>
      <c r="E11" s="71"/>
    </row>
    <row r="12" spans="1:5" ht="23.4" x14ac:dyDescent="0.6">
      <c r="A12" s="84">
        <v>8</v>
      </c>
      <c r="B12" s="72"/>
      <c r="C12" s="72"/>
      <c r="D12" s="72"/>
      <c r="E12" s="72"/>
    </row>
    <row r="13" spans="1:5" ht="23.4" x14ac:dyDescent="0.6">
      <c r="A13" s="84">
        <v>9</v>
      </c>
      <c r="B13" s="72"/>
      <c r="C13" s="72"/>
      <c r="D13" s="72"/>
      <c r="E13" s="72"/>
    </row>
    <row r="14" spans="1:5" ht="23.4" x14ac:dyDescent="0.6">
      <c r="A14" s="84">
        <v>10</v>
      </c>
      <c r="B14" s="72"/>
      <c r="C14" s="72"/>
      <c r="D14" s="72"/>
      <c r="E14" s="72"/>
    </row>
    <row r="15" spans="1:5" ht="23.4" x14ac:dyDescent="0.6">
      <c r="A15" s="84">
        <v>11</v>
      </c>
      <c r="B15" s="72"/>
      <c r="C15" s="72"/>
      <c r="D15" s="72"/>
      <c r="E15" s="72"/>
    </row>
    <row r="16" spans="1:5" ht="23.4" x14ac:dyDescent="0.6">
      <c r="A16" s="84">
        <v>12</v>
      </c>
      <c r="B16" s="72"/>
      <c r="C16" s="72"/>
      <c r="D16" s="72"/>
      <c r="E16" s="72"/>
    </row>
    <row r="17" spans="1:5" ht="23.4" x14ac:dyDescent="0.6">
      <c r="A17" s="84">
        <v>13</v>
      </c>
      <c r="B17" s="72"/>
      <c r="C17" s="72"/>
      <c r="D17" s="72"/>
      <c r="E17" s="72"/>
    </row>
    <row r="18" spans="1:5" ht="23.4" x14ac:dyDescent="0.6">
      <c r="A18" s="84">
        <v>14</v>
      </c>
      <c r="B18" s="72"/>
      <c r="C18" s="71"/>
      <c r="D18" s="72"/>
      <c r="E18" s="71"/>
    </row>
    <row r="19" spans="1:5" ht="23.4" x14ac:dyDescent="0.6">
      <c r="A19" s="84">
        <v>15</v>
      </c>
      <c r="B19" s="72"/>
      <c r="C19" s="72"/>
      <c r="D19" s="72"/>
      <c r="E19" s="72"/>
    </row>
    <row r="20" spans="1:5" ht="23.4" x14ac:dyDescent="0.6">
      <c r="A20" s="84">
        <v>16</v>
      </c>
      <c r="B20" s="71"/>
      <c r="C20" s="72">
        <v>1</v>
      </c>
      <c r="D20" s="72">
        <v>14</v>
      </c>
      <c r="E20" s="72"/>
    </row>
    <row r="21" spans="1:5" ht="23.4" x14ac:dyDescent="0.6">
      <c r="A21" s="84">
        <v>17</v>
      </c>
      <c r="B21" s="72"/>
      <c r="C21" s="72"/>
      <c r="D21" s="71"/>
      <c r="E21" s="72"/>
    </row>
    <row r="22" spans="1:5" ht="23.4" x14ac:dyDescent="0.6">
      <c r="A22" s="84">
        <v>18</v>
      </c>
      <c r="B22" s="72"/>
      <c r="C22" s="72"/>
      <c r="D22" s="72">
        <v>4</v>
      </c>
      <c r="E22" s="72"/>
    </row>
    <row r="23" spans="1:5" ht="23.4" x14ac:dyDescent="0.6">
      <c r="A23" s="84">
        <v>19</v>
      </c>
      <c r="B23" s="72"/>
      <c r="C23" s="71"/>
      <c r="D23" s="71"/>
      <c r="E23" s="72"/>
    </row>
    <row r="24" spans="1:5" ht="23.4" x14ac:dyDescent="0.6">
      <c r="A24" s="84">
        <v>20</v>
      </c>
      <c r="B24" s="72"/>
      <c r="C24" s="72">
        <v>1</v>
      </c>
      <c r="D24" s="72">
        <v>20</v>
      </c>
      <c r="E24" s="71"/>
    </row>
    <row r="25" spans="1:5" ht="23.4" x14ac:dyDescent="0.6">
      <c r="A25" s="84">
        <v>21</v>
      </c>
      <c r="B25" s="72"/>
      <c r="C25" s="72"/>
      <c r="D25" s="72">
        <v>6</v>
      </c>
      <c r="E25" s="72">
        <v>2</v>
      </c>
    </row>
    <row r="26" spans="1:5" ht="23.4" x14ac:dyDescent="0.6">
      <c r="A26" s="84">
        <v>22</v>
      </c>
      <c r="B26" s="72"/>
      <c r="C26" s="72"/>
      <c r="D26" s="72">
        <v>3</v>
      </c>
      <c r="E26" s="72"/>
    </row>
    <row r="27" spans="1:5" ht="23.4" x14ac:dyDescent="0.6">
      <c r="A27" s="84">
        <v>23</v>
      </c>
      <c r="B27" s="72"/>
      <c r="C27" s="72"/>
      <c r="D27" s="72">
        <v>6</v>
      </c>
      <c r="E27" s="72"/>
    </row>
    <row r="28" spans="1:5" ht="23.4" x14ac:dyDescent="0.6">
      <c r="A28" s="84">
        <v>24</v>
      </c>
      <c r="B28" s="71">
        <v>1</v>
      </c>
      <c r="C28" s="72"/>
      <c r="D28" s="72">
        <v>2</v>
      </c>
      <c r="E28" s="71"/>
    </row>
    <row r="29" spans="1:5" ht="23.4" x14ac:dyDescent="0.6">
      <c r="A29" s="84">
        <v>25</v>
      </c>
      <c r="B29" s="72"/>
      <c r="C29" s="71"/>
      <c r="D29" s="71">
        <v>3</v>
      </c>
      <c r="E29" s="72"/>
    </row>
    <row r="30" spans="1:5" ht="23.4" x14ac:dyDescent="0.6">
      <c r="A30" s="84">
        <v>26</v>
      </c>
      <c r="B30" s="72"/>
      <c r="C30" s="72"/>
      <c r="D30" s="72"/>
      <c r="E30" s="72">
        <v>4</v>
      </c>
    </row>
    <row r="31" spans="1:5" ht="23.4" x14ac:dyDescent="0.6">
      <c r="A31" s="84">
        <v>27</v>
      </c>
      <c r="B31" s="72"/>
      <c r="C31" s="72"/>
      <c r="D31" s="72"/>
      <c r="E31" s="72"/>
    </row>
    <row r="32" spans="1:5" ht="23.4" x14ac:dyDescent="0.6">
      <c r="A32" s="84">
        <v>28</v>
      </c>
      <c r="B32" s="72"/>
      <c r="C32" s="72"/>
      <c r="D32" s="72">
        <v>9</v>
      </c>
      <c r="E32" s="72"/>
    </row>
    <row r="33" spans="1:7" ht="23.4" x14ac:dyDescent="0.6">
      <c r="A33" s="84">
        <v>29</v>
      </c>
      <c r="B33" s="71"/>
      <c r="C33" s="71">
        <v>2</v>
      </c>
      <c r="D33" s="71">
        <v>3</v>
      </c>
      <c r="E33" s="71"/>
    </row>
    <row r="34" spans="1:7" ht="23.4" x14ac:dyDescent="0.6">
      <c r="A34" s="84">
        <v>30</v>
      </c>
      <c r="D34">
        <v>2</v>
      </c>
      <c r="E34">
        <v>1</v>
      </c>
    </row>
    <row r="35" spans="1:7" ht="23.4" x14ac:dyDescent="0.6">
      <c r="A35" s="84">
        <v>31</v>
      </c>
      <c r="F35" s="91" t="s">
        <v>260</v>
      </c>
      <c r="G35" s="92"/>
    </row>
    <row r="36" spans="1:7" ht="27" thickBot="1" x14ac:dyDescent="0.75">
      <c r="A36" s="86" t="s">
        <v>16</v>
      </c>
      <c r="B36" s="85">
        <f>SUM(B5:B35)</f>
        <v>2</v>
      </c>
      <c r="C36" s="85">
        <f t="shared" ref="C36:E36" si="0">SUM(C5:C35)</f>
        <v>7</v>
      </c>
      <c r="D36" s="85">
        <f t="shared" si="0"/>
        <v>75</v>
      </c>
      <c r="E36" s="85">
        <f t="shared" si="0"/>
        <v>8</v>
      </c>
      <c r="F36" s="94">
        <f>SUM(B36:E36)</f>
        <v>92</v>
      </c>
      <c r="G36" s="93" t="s">
        <v>114</v>
      </c>
    </row>
    <row r="37" spans="1:7" ht="14.4" thickTop="1" x14ac:dyDescent="0.25"/>
  </sheetData>
  <mergeCells count="3">
    <mergeCell ref="A2:E2"/>
    <mergeCell ref="A3:A4"/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  <pageSetUpPr fitToPage="1"/>
  </sheetPr>
  <dimension ref="A1:P17"/>
  <sheetViews>
    <sheetView zoomScale="70" zoomScaleNormal="70" workbookViewId="0">
      <pane xSplit="4" ySplit="3" topLeftCell="H4" activePane="bottomRight" state="frozen"/>
      <selection activeCell="E22" sqref="E22"/>
      <selection pane="topRight" activeCell="E22" sqref="E22"/>
      <selection pane="bottomLeft" activeCell="E22" sqref="E22"/>
      <selection pane="bottomRight" activeCell="I6" sqref="I6"/>
    </sheetView>
  </sheetViews>
  <sheetFormatPr defaultColWidth="9.09765625" defaultRowHeight="23.4" x14ac:dyDescent="0.25"/>
  <cols>
    <col min="1" max="1" width="6.69921875" style="3" customWidth="1"/>
    <col min="2" max="2" width="10.69921875" style="3" bestFit="1" customWidth="1"/>
    <col min="3" max="3" width="18.09765625" style="4" bestFit="1" customWidth="1"/>
    <col min="4" max="4" width="33.3984375" style="4" bestFit="1" customWidth="1"/>
    <col min="5" max="5" width="25.59765625" style="4" customWidth="1"/>
    <col min="6" max="6" width="38.19921875" style="4" customWidth="1"/>
    <col min="7" max="7" width="26.69921875" style="3" customWidth="1"/>
    <col min="8" max="8" width="16.59765625" style="3" customWidth="1"/>
    <col min="9" max="9" width="14.59765625" style="45" customWidth="1"/>
    <col min="10" max="10" width="24.8984375" style="3" bestFit="1" customWidth="1"/>
    <col min="11" max="11" width="45.69921875" style="3" bestFit="1" customWidth="1"/>
    <col min="12" max="12" width="9" style="3" customWidth="1"/>
    <col min="13" max="13" width="9.09765625" style="3"/>
    <col min="14" max="14" width="24.8984375" style="3" bestFit="1" customWidth="1"/>
    <col min="15" max="15" width="38.19921875" style="3" bestFit="1" customWidth="1"/>
    <col min="16" max="16" width="26.3984375" style="3" customWidth="1"/>
    <col min="17" max="16384" width="9.09765625" style="3"/>
  </cols>
  <sheetData>
    <row r="1" spans="1:16" ht="33" thickBot="1" x14ac:dyDescent="0.3">
      <c r="A1" s="7" t="s">
        <v>128</v>
      </c>
      <c r="H1" s="48" t="s">
        <v>16</v>
      </c>
      <c r="I1" s="47">
        <f>SUBTOTAL(9,I4:I11989)</f>
        <v>322</v>
      </c>
      <c r="J1" s="49" t="s">
        <v>85</v>
      </c>
    </row>
    <row r="2" spans="1:16" s="2" customFormat="1" ht="24" thickTop="1" x14ac:dyDescent="0.25">
      <c r="A2" s="128" t="s">
        <v>0</v>
      </c>
      <c r="B2" s="128" t="s">
        <v>4</v>
      </c>
      <c r="C2" s="129" t="s">
        <v>5</v>
      </c>
      <c r="D2" s="129" t="s">
        <v>2</v>
      </c>
      <c r="E2" s="123" t="s">
        <v>23</v>
      </c>
      <c r="F2" s="123" t="s">
        <v>21</v>
      </c>
      <c r="G2" s="129" t="s">
        <v>1</v>
      </c>
      <c r="H2" s="128"/>
      <c r="I2" s="126" t="s">
        <v>84</v>
      </c>
      <c r="J2" s="128" t="s">
        <v>3</v>
      </c>
      <c r="K2" s="125" t="s">
        <v>20</v>
      </c>
      <c r="N2" s="121" t="s">
        <v>8</v>
      </c>
      <c r="O2" s="121" t="s">
        <v>62</v>
      </c>
      <c r="P2" s="121" t="s">
        <v>73</v>
      </c>
    </row>
    <row r="3" spans="1:16" s="2" customFormat="1" x14ac:dyDescent="0.25">
      <c r="A3" s="128"/>
      <c r="B3" s="128"/>
      <c r="C3" s="129"/>
      <c r="D3" s="129"/>
      <c r="E3" s="124"/>
      <c r="F3" s="124"/>
      <c r="G3" s="23" t="s">
        <v>6</v>
      </c>
      <c r="H3" s="10" t="s">
        <v>7</v>
      </c>
      <c r="I3" s="127"/>
      <c r="J3" s="128"/>
      <c r="K3" s="125"/>
      <c r="N3" s="122"/>
      <c r="O3" s="122"/>
      <c r="P3" s="122"/>
    </row>
    <row r="4" spans="1:16" x14ac:dyDescent="0.6">
      <c r="A4" s="3">
        <v>1</v>
      </c>
      <c r="B4" s="8">
        <v>244075</v>
      </c>
      <c r="C4" s="4" t="s">
        <v>144</v>
      </c>
      <c r="D4" s="4" t="s">
        <v>153</v>
      </c>
      <c r="E4" s="5" t="s">
        <v>24</v>
      </c>
      <c r="F4" s="5" t="s">
        <v>63</v>
      </c>
      <c r="G4" s="5" t="s">
        <v>151</v>
      </c>
      <c r="H4" s="46" t="s">
        <v>152</v>
      </c>
      <c r="I4" s="45">
        <v>172</v>
      </c>
      <c r="J4" s="3" t="s">
        <v>10</v>
      </c>
      <c r="N4" s="9" t="s">
        <v>10</v>
      </c>
      <c r="O4" s="9" t="s">
        <v>63</v>
      </c>
      <c r="P4" s="43" t="s">
        <v>24</v>
      </c>
    </row>
    <row r="5" spans="1:16" x14ac:dyDescent="0.6">
      <c r="A5" s="3">
        <v>2</v>
      </c>
      <c r="B5" s="8">
        <v>244098</v>
      </c>
      <c r="C5" s="4" t="s">
        <v>311</v>
      </c>
      <c r="D5" s="4" t="s">
        <v>314</v>
      </c>
      <c r="E5" s="5" t="s">
        <v>24</v>
      </c>
      <c r="F5" s="5" t="s">
        <v>63</v>
      </c>
      <c r="G5" s="5" t="s">
        <v>312</v>
      </c>
      <c r="H5" s="4" t="s">
        <v>313</v>
      </c>
      <c r="I5" s="46">
        <v>150</v>
      </c>
      <c r="J5" s="3" t="s">
        <v>10</v>
      </c>
      <c r="N5" s="9" t="s">
        <v>9</v>
      </c>
      <c r="O5" s="9" t="s">
        <v>64</v>
      </c>
      <c r="P5" s="44" t="s">
        <v>22</v>
      </c>
    </row>
    <row r="6" spans="1:16" x14ac:dyDescent="0.6">
      <c r="B6" s="8"/>
      <c r="E6" s="5"/>
      <c r="F6" s="5"/>
      <c r="G6" s="5"/>
      <c r="H6" s="4"/>
      <c r="I6" s="46"/>
      <c r="N6" s="9" t="s">
        <v>11</v>
      </c>
      <c r="O6" s="9" t="s">
        <v>65</v>
      </c>
      <c r="P6" s="43" t="s">
        <v>30</v>
      </c>
    </row>
    <row r="7" spans="1:16" x14ac:dyDescent="0.6">
      <c r="B7" s="8"/>
      <c r="E7" s="5"/>
      <c r="F7" s="5"/>
      <c r="G7" s="5"/>
      <c r="H7" s="4"/>
      <c r="I7" s="46"/>
      <c r="N7" s="9" t="s">
        <v>18</v>
      </c>
      <c r="O7" s="9" t="s">
        <v>66</v>
      </c>
      <c r="P7" s="9"/>
    </row>
    <row r="8" spans="1:16" x14ac:dyDescent="0.6">
      <c r="B8" s="8"/>
      <c r="C8" s="5"/>
      <c r="E8" s="5"/>
      <c r="F8" s="5"/>
      <c r="G8" s="5"/>
      <c r="H8" s="4"/>
      <c r="I8" s="46"/>
      <c r="N8" s="9"/>
      <c r="O8" s="9" t="s">
        <v>67</v>
      </c>
      <c r="P8" s="9"/>
    </row>
    <row r="9" spans="1:16" x14ac:dyDescent="0.6">
      <c r="B9" s="8"/>
      <c r="C9" s="5"/>
      <c r="E9" s="5"/>
      <c r="F9" s="5"/>
      <c r="G9" s="4"/>
      <c r="H9" s="4"/>
      <c r="I9" s="46"/>
      <c r="N9" s="9"/>
      <c r="O9" s="9" t="s">
        <v>68</v>
      </c>
      <c r="P9" s="9"/>
    </row>
    <row r="10" spans="1:16" x14ac:dyDescent="0.6">
      <c r="B10" s="8"/>
      <c r="C10" s="5"/>
      <c r="E10" s="5"/>
      <c r="F10" s="5"/>
      <c r="G10" s="5"/>
      <c r="H10" s="4"/>
      <c r="I10" s="46"/>
      <c r="N10" s="9"/>
      <c r="O10" s="9" t="s">
        <v>70</v>
      </c>
      <c r="P10" s="9"/>
    </row>
    <row r="11" spans="1:16" x14ac:dyDescent="0.6">
      <c r="B11" s="8"/>
      <c r="E11" s="5"/>
      <c r="F11" s="5"/>
      <c r="G11" s="4"/>
      <c r="H11" s="4"/>
      <c r="I11" s="46"/>
      <c r="N11" s="9"/>
      <c r="O11" s="9" t="s">
        <v>69</v>
      </c>
      <c r="P11" s="9"/>
    </row>
    <row r="12" spans="1:16" x14ac:dyDescent="0.25">
      <c r="B12" s="8"/>
      <c r="E12" s="5"/>
      <c r="F12" s="5"/>
      <c r="N12" s="9"/>
      <c r="O12" s="9" t="s">
        <v>71</v>
      </c>
      <c r="P12" s="9"/>
    </row>
    <row r="13" spans="1:16" x14ac:dyDescent="0.25">
      <c r="B13" s="8"/>
      <c r="E13" s="5"/>
      <c r="F13" s="5"/>
      <c r="N13" s="9"/>
      <c r="O13" s="9" t="s">
        <v>72</v>
      </c>
      <c r="P13" s="9"/>
    </row>
    <row r="14" spans="1:16" x14ac:dyDescent="0.25">
      <c r="B14" s="8"/>
      <c r="E14" s="5"/>
      <c r="F14" s="5"/>
      <c r="K14" s="4"/>
    </row>
    <row r="15" spans="1:16" x14ac:dyDescent="0.25">
      <c r="B15" s="8"/>
      <c r="E15" s="5"/>
      <c r="F15" s="5"/>
    </row>
    <row r="16" spans="1:16" x14ac:dyDescent="0.25">
      <c r="B16" s="8"/>
      <c r="E16" s="5"/>
      <c r="F16" s="5"/>
    </row>
    <row r="17" spans="2:6" x14ac:dyDescent="0.25">
      <c r="B17" s="8"/>
      <c r="E17" s="5"/>
      <c r="F17" s="5"/>
    </row>
  </sheetData>
  <autoFilter ref="A3:AN17" xr:uid="{1679A882-3BE8-43A3-822B-826BDED3B85D}"/>
  <mergeCells count="13">
    <mergeCell ref="A2:A3"/>
    <mergeCell ref="C2:C3"/>
    <mergeCell ref="D2:D3"/>
    <mergeCell ref="J2:J3"/>
    <mergeCell ref="B2:B3"/>
    <mergeCell ref="G2:H2"/>
    <mergeCell ref="O2:O3"/>
    <mergeCell ref="P2:P3"/>
    <mergeCell ref="N2:N3"/>
    <mergeCell ref="E2:E3"/>
    <mergeCell ref="F2:F3"/>
    <mergeCell ref="K2:K3"/>
    <mergeCell ref="I2:I3"/>
  </mergeCells>
  <dataValidations count="5">
    <dataValidation type="list" allowBlank="1" showInputMessage="1" showErrorMessage="1" sqref="K4:K11 J2:J1048576" xr:uid="{150B485C-0F1F-4EAC-A79B-B7098D1663FC}">
      <formula1>$N$4:$N$17</formula1>
    </dataValidation>
    <dataValidation type="list" allowBlank="1" showInputMessage="1" showErrorMessage="1" sqref="E1:E1048576" xr:uid="{481C2C86-495E-4F80-AFBC-5A41CF787B0E}">
      <formula1>$P$4:$P$17</formula1>
    </dataValidation>
    <dataValidation type="list" allowBlank="1" showInputMessage="1" showErrorMessage="1" sqref="F1:F1048576" xr:uid="{4C3755F8-DCB1-4274-90F6-F88BDA74BCE2}">
      <formula1>$O$4:$O$17</formula1>
    </dataValidation>
    <dataValidation type="list" allowBlank="1" showInputMessage="1" showErrorMessage="1" sqref="J1" xr:uid="{D7E0FE2E-8F53-43EF-B131-2482F732AD16}">
      <formula1>$M$4:$M$35</formula1>
    </dataValidation>
    <dataValidation type="list" allowBlank="1" showInputMessage="1" showErrorMessage="1" sqref="J1" xr:uid="{AADE4609-AA99-4C9D-97B1-AD67E7974884}">
      <formula1>$M$4:$M$59</formula1>
    </dataValidation>
  </dataValidations>
  <pageMargins left="0.17" right="0.17" top="0.75" bottom="0.75" header="0.3" footer="0.3"/>
  <pageSetup paperSize="9" scale="3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 codeName="Sheet1">
    <tabColor rgb="FFFF6600"/>
    <pageSetUpPr fitToPage="1"/>
  </sheetPr>
  <dimension ref="A1:V25"/>
  <sheetViews>
    <sheetView zoomScale="70" zoomScaleNormal="70" workbookViewId="0">
      <pane xSplit="4" ySplit="3" topLeftCell="H4" activePane="bottomRight" state="frozen"/>
      <selection activeCell="G22" sqref="G21:G22"/>
      <selection pane="topRight" activeCell="G22" sqref="G21:G22"/>
      <selection pane="bottomLeft" activeCell="G22" sqref="G21:G22"/>
      <selection pane="bottomRight" activeCell="I4" sqref="I4:I10"/>
    </sheetView>
  </sheetViews>
  <sheetFormatPr defaultColWidth="9.09765625" defaultRowHeight="23.4" x14ac:dyDescent="0.25"/>
  <cols>
    <col min="1" max="1" width="11" style="3" customWidth="1"/>
    <col min="2" max="2" width="22" style="3" bestFit="1" customWidth="1"/>
    <col min="3" max="3" width="23.19921875" style="4" customWidth="1"/>
    <col min="4" max="4" width="17.69921875" style="4" bestFit="1" customWidth="1"/>
    <col min="5" max="5" width="20.19921875" style="4" customWidth="1"/>
    <col min="6" max="6" width="7" style="4" bestFit="1" customWidth="1"/>
    <col min="7" max="7" width="7.8984375" style="3" bestFit="1" customWidth="1"/>
    <col min="8" max="8" width="12.8984375" style="3" bestFit="1" customWidth="1"/>
    <col min="9" max="9" width="12.8984375" style="3" customWidth="1"/>
    <col min="10" max="10" width="23.09765625" style="3" bestFit="1" customWidth="1"/>
    <col min="11" max="11" width="9" style="3" bestFit="1" customWidth="1"/>
    <col min="12" max="12" width="9" style="3" customWidth="1"/>
    <col min="13" max="13" width="23.19921875" style="3" bestFit="1" customWidth="1"/>
    <col min="14" max="14" width="7" style="3" bestFit="1" customWidth="1"/>
    <col min="15" max="15" width="19.09765625" style="3" bestFit="1" customWidth="1"/>
    <col min="16" max="16384" width="9.09765625" style="3"/>
  </cols>
  <sheetData>
    <row r="1" spans="1:15" ht="33" thickBot="1" x14ac:dyDescent="0.3">
      <c r="A1" s="7" t="s">
        <v>129</v>
      </c>
      <c r="H1" s="48" t="s">
        <v>16</v>
      </c>
      <c r="I1" s="47">
        <f>SUBTOTAL(9,I4:I12000)</f>
        <v>1154</v>
      </c>
      <c r="J1" s="49" t="s">
        <v>85</v>
      </c>
    </row>
    <row r="2" spans="1:15" s="2" customFormat="1" ht="23.25" customHeight="1" thickTop="1" x14ac:dyDescent="0.25">
      <c r="A2" s="132" t="s">
        <v>0</v>
      </c>
      <c r="B2" s="132" t="s">
        <v>4</v>
      </c>
      <c r="C2" s="135" t="s">
        <v>5</v>
      </c>
      <c r="D2" s="135" t="s">
        <v>2</v>
      </c>
      <c r="E2" s="130" t="s">
        <v>23</v>
      </c>
      <c r="F2" s="130" t="s">
        <v>21</v>
      </c>
      <c r="G2" s="132" t="s">
        <v>1</v>
      </c>
      <c r="H2" s="132"/>
      <c r="I2" s="133" t="s">
        <v>84</v>
      </c>
      <c r="J2" s="132" t="s">
        <v>3</v>
      </c>
      <c r="K2" s="125" t="s">
        <v>20</v>
      </c>
      <c r="M2" s="121" t="s">
        <v>8</v>
      </c>
      <c r="N2" s="121" t="s">
        <v>62</v>
      </c>
      <c r="O2" s="121" t="s">
        <v>73</v>
      </c>
    </row>
    <row r="3" spans="1:15" s="2" customFormat="1" ht="23.25" customHeight="1" x14ac:dyDescent="0.25">
      <c r="A3" s="132"/>
      <c r="B3" s="132"/>
      <c r="C3" s="135"/>
      <c r="D3" s="135"/>
      <c r="E3" s="131"/>
      <c r="F3" s="131"/>
      <c r="G3" s="11" t="s">
        <v>6</v>
      </c>
      <c r="H3" s="11" t="s">
        <v>7</v>
      </c>
      <c r="I3" s="134"/>
      <c r="J3" s="132"/>
      <c r="K3" s="125"/>
      <c r="M3" s="122"/>
      <c r="N3" s="122"/>
      <c r="O3" s="122"/>
    </row>
    <row r="4" spans="1:15" ht="23.4" customHeight="1" x14ac:dyDescent="0.6">
      <c r="A4" s="3">
        <v>1</v>
      </c>
      <c r="B4" s="8">
        <v>244076</v>
      </c>
      <c r="C4" s="5" t="s">
        <v>145</v>
      </c>
      <c r="D4" s="4" t="s">
        <v>154</v>
      </c>
      <c r="F4" s="5" t="s">
        <v>74</v>
      </c>
      <c r="G4" s="6"/>
      <c r="H4" s="4"/>
      <c r="I4" s="46">
        <v>279</v>
      </c>
      <c r="J4" s="3" t="s">
        <v>10</v>
      </c>
      <c r="M4" s="9" t="s">
        <v>10</v>
      </c>
      <c r="N4" s="9" t="s">
        <v>74</v>
      </c>
      <c r="O4" s="43" t="s">
        <v>24</v>
      </c>
    </row>
    <row r="5" spans="1:15" ht="23.25" customHeight="1" x14ac:dyDescent="0.6">
      <c r="A5" s="3">
        <v>2</v>
      </c>
      <c r="B5" s="8">
        <v>244076</v>
      </c>
      <c r="C5" s="4" t="s">
        <v>146</v>
      </c>
      <c r="D5" s="4" t="s">
        <v>155</v>
      </c>
      <c r="F5" s="5" t="s">
        <v>74</v>
      </c>
      <c r="G5" s="6"/>
      <c r="H5" s="4"/>
      <c r="I5" s="46">
        <v>299</v>
      </c>
      <c r="J5" s="3" t="s">
        <v>10</v>
      </c>
      <c r="M5" s="9" t="s">
        <v>9</v>
      </c>
      <c r="N5" s="9" t="s">
        <v>75</v>
      </c>
      <c r="O5" s="44" t="s">
        <v>22</v>
      </c>
    </row>
    <row r="6" spans="1:15" ht="23.25" customHeight="1" x14ac:dyDescent="0.6">
      <c r="A6" s="3">
        <v>3</v>
      </c>
      <c r="B6" s="8">
        <v>244081</v>
      </c>
      <c r="C6" s="63" t="s">
        <v>143</v>
      </c>
      <c r="D6" s="4" t="s">
        <v>156</v>
      </c>
      <c r="F6" s="5" t="s">
        <v>74</v>
      </c>
      <c r="H6" s="4"/>
      <c r="I6" s="46">
        <v>127</v>
      </c>
      <c r="J6" s="3" t="s">
        <v>10</v>
      </c>
      <c r="M6" s="9" t="s">
        <v>11</v>
      </c>
      <c r="N6" s="9"/>
      <c r="O6" s="43" t="s">
        <v>30</v>
      </c>
    </row>
    <row r="7" spans="1:15" ht="23.25" customHeight="1" x14ac:dyDescent="0.6">
      <c r="A7" s="3">
        <v>4</v>
      </c>
      <c r="B7" s="8">
        <v>244090</v>
      </c>
      <c r="C7" s="4" t="s">
        <v>173</v>
      </c>
      <c r="D7" s="4" t="s">
        <v>251</v>
      </c>
      <c r="F7" s="5" t="s">
        <v>74</v>
      </c>
      <c r="H7" s="4"/>
      <c r="I7" s="46">
        <v>259</v>
      </c>
      <c r="J7" s="3" t="s">
        <v>10</v>
      </c>
      <c r="M7" s="9" t="s">
        <v>18</v>
      </c>
      <c r="N7" s="9"/>
      <c r="O7" s="9" t="s">
        <v>83</v>
      </c>
    </row>
    <row r="8" spans="1:15" x14ac:dyDescent="0.6">
      <c r="A8" s="3">
        <v>5</v>
      </c>
      <c r="B8" s="8">
        <v>244094</v>
      </c>
      <c r="C8" s="4" t="s">
        <v>193</v>
      </c>
      <c r="D8" s="4" t="s">
        <v>252</v>
      </c>
      <c r="F8" s="5" t="s">
        <v>74</v>
      </c>
      <c r="H8" s="4"/>
      <c r="I8" s="46">
        <v>40</v>
      </c>
      <c r="J8" s="3" t="s">
        <v>10</v>
      </c>
      <c r="M8" s="9"/>
      <c r="N8" s="9"/>
      <c r="O8" s="9" t="s">
        <v>91</v>
      </c>
    </row>
    <row r="9" spans="1:15" x14ac:dyDescent="0.6">
      <c r="A9" s="3">
        <v>6</v>
      </c>
      <c r="B9" s="8">
        <v>244103</v>
      </c>
      <c r="C9" s="4" t="s">
        <v>293</v>
      </c>
      <c r="D9" s="4" t="s">
        <v>315</v>
      </c>
      <c r="F9" s="5" t="s">
        <v>74</v>
      </c>
      <c r="H9" s="4"/>
      <c r="I9" s="46">
        <v>40</v>
      </c>
      <c r="J9" s="3" t="s">
        <v>10</v>
      </c>
    </row>
    <row r="10" spans="1:15" x14ac:dyDescent="0.6">
      <c r="A10" s="3">
        <v>7</v>
      </c>
      <c r="B10" s="8">
        <v>244103</v>
      </c>
      <c r="C10" s="8" t="s">
        <v>294</v>
      </c>
      <c r="D10" s="4" t="s">
        <v>316</v>
      </c>
      <c r="F10" s="5" t="s">
        <v>74</v>
      </c>
      <c r="H10" s="4"/>
      <c r="I10" s="46">
        <v>110</v>
      </c>
      <c r="J10" s="3" t="s">
        <v>10</v>
      </c>
    </row>
    <row r="11" spans="1:15" ht="29.4" customHeight="1" x14ac:dyDescent="0.25">
      <c r="D11" s="3"/>
    </row>
    <row r="12" spans="1:15" x14ac:dyDescent="0.25">
      <c r="A12" s="40" t="s">
        <v>60</v>
      </c>
      <c r="B12" s="41" t="s">
        <v>61</v>
      </c>
      <c r="C12" s="42"/>
      <c r="D12" s="3"/>
      <c r="H12" s="4"/>
      <c r="I12" s="4"/>
    </row>
    <row r="13" spans="1:15" x14ac:dyDescent="0.25">
      <c r="B13" s="8"/>
      <c r="C13" s="5"/>
      <c r="D13" s="5"/>
      <c r="E13" s="5"/>
      <c r="F13" s="5"/>
      <c r="H13" s="4"/>
      <c r="I13" s="4"/>
    </row>
    <row r="14" spans="1:15" x14ac:dyDescent="0.25">
      <c r="B14" s="8"/>
      <c r="H14" s="4"/>
      <c r="I14" s="4"/>
    </row>
    <row r="15" spans="1:15" x14ac:dyDescent="0.25">
      <c r="B15" s="8"/>
      <c r="H15" s="4"/>
      <c r="I15" s="4"/>
    </row>
    <row r="16" spans="1:15" x14ac:dyDescent="0.25">
      <c r="B16" s="8"/>
    </row>
    <row r="17" spans="2:22" x14ac:dyDescent="0.25">
      <c r="B17" s="8"/>
      <c r="G17" s="4"/>
    </row>
    <row r="18" spans="2:22" x14ac:dyDescent="0.25">
      <c r="B18" s="8"/>
      <c r="C18" s="5"/>
      <c r="D18" s="3"/>
      <c r="I18" s="4"/>
      <c r="R18" s="5"/>
      <c r="S18" s="5"/>
      <c r="T18" s="5"/>
      <c r="V18" s="4"/>
    </row>
    <row r="19" spans="2:22" x14ac:dyDescent="0.25">
      <c r="B19" s="8"/>
      <c r="D19" s="3"/>
      <c r="H19" s="4"/>
      <c r="I19" s="4"/>
    </row>
    <row r="20" spans="2:22" x14ac:dyDescent="0.25">
      <c r="B20" s="8"/>
      <c r="D20" s="3"/>
      <c r="H20" s="4"/>
      <c r="I20" s="4"/>
    </row>
    <row r="21" spans="2:22" x14ac:dyDescent="0.25">
      <c r="B21" s="8"/>
      <c r="C21" s="5"/>
      <c r="D21" s="5"/>
      <c r="E21" s="5"/>
      <c r="F21" s="5"/>
      <c r="H21" s="4"/>
      <c r="I21" s="4"/>
    </row>
    <row r="22" spans="2:22" x14ac:dyDescent="0.25">
      <c r="B22" s="8"/>
      <c r="H22" s="4"/>
      <c r="I22" s="4"/>
    </row>
    <row r="23" spans="2:22" x14ac:dyDescent="0.25">
      <c r="B23" s="8"/>
      <c r="H23" s="4"/>
      <c r="I23" s="4"/>
    </row>
    <row r="24" spans="2:22" x14ac:dyDescent="0.25">
      <c r="B24" s="8"/>
      <c r="C24" s="5"/>
      <c r="D24" s="5"/>
      <c r="E24" s="5"/>
      <c r="F24" s="5"/>
      <c r="H24" s="4"/>
      <c r="I24" s="4"/>
    </row>
    <row r="25" spans="2:22" x14ac:dyDescent="0.25">
      <c r="B25" s="8"/>
      <c r="H25" s="4"/>
      <c r="I25" s="4"/>
    </row>
  </sheetData>
  <autoFilter ref="A3:O12" xr:uid="{F57E75CA-9FA4-4B32-AC0E-075BEAD46C3C}"/>
  <mergeCells count="13">
    <mergeCell ref="A2:A3"/>
    <mergeCell ref="B2:B3"/>
    <mergeCell ref="C2:C3"/>
    <mergeCell ref="D2:D3"/>
    <mergeCell ref="G2:H2"/>
    <mergeCell ref="N2:N3"/>
    <mergeCell ref="O2:O3"/>
    <mergeCell ref="K2:K3"/>
    <mergeCell ref="M2:M3"/>
    <mergeCell ref="E2:E3"/>
    <mergeCell ref="F2:F3"/>
    <mergeCell ref="J2:J3"/>
    <mergeCell ref="I2:I3"/>
  </mergeCells>
  <dataValidations count="4">
    <dataValidation type="list" allowBlank="1" showInputMessage="1" showErrorMessage="1" sqref="T18 F19:F1048576 F1:F17" xr:uid="{F8BF9A11-7A30-4122-982D-45BFBB75E7BF}">
      <formula1>$N$4:$N$5</formula1>
    </dataValidation>
    <dataValidation type="list" allowBlank="1" showInputMessage="1" showErrorMessage="1" sqref="S18 E11:E1048576 E1:E3" xr:uid="{F6BEA62E-B817-44C3-AEE6-CDADF3E493E9}">
      <formula1>$O$4:$O$8</formula1>
    </dataValidation>
    <dataValidation type="list" allowBlank="1" showInputMessage="1" showErrorMessage="1" sqref="E4:E10" xr:uid="{31BF9C2A-EB88-41E6-B22C-888E96F7ADCC}">
      <formula1>$O$2:$O$10</formula1>
    </dataValidation>
    <dataValidation type="list" allowBlank="1" showInputMessage="1" showErrorMessage="1" sqref="J1:J1048576" xr:uid="{557D734F-4D85-425D-B8AA-04AA8FF8CFFB}">
      <formula1>$M:$M</formula1>
    </dataValidation>
  </dataValidations>
  <pageMargins left="0.25" right="0.25" top="0.75" bottom="0.75" header="0.3" footer="0.3"/>
  <pageSetup paperSize="9" scale="5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  <pageSetUpPr fitToPage="1"/>
  </sheetPr>
  <dimension ref="A1:O145"/>
  <sheetViews>
    <sheetView zoomScale="70" zoomScaleNormal="70" workbookViewId="0">
      <pane xSplit="4" ySplit="3" topLeftCell="E4" activePane="bottomRight" state="frozen"/>
      <selection activeCell="E22" sqref="E22"/>
      <selection pane="topRight" activeCell="E22" sqref="E22"/>
      <selection pane="bottomLeft" activeCell="E22" sqref="E22"/>
      <selection pane="bottomRight" activeCell="I78" sqref="I4:I78"/>
    </sheetView>
  </sheetViews>
  <sheetFormatPr defaultColWidth="9.09765625" defaultRowHeight="23.4" x14ac:dyDescent="0.25"/>
  <cols>
    <col min="1" max="1" width="7.69921875" style="3" customWidth="1"/>
    <col min="2" max="2" width="14.09765625" style="3" customWidth="1"/>
    <col min="3" max="3" width="19.59765625" style="4" customWidth="1"/>
    <col min="4" max="4" width="20" style="3" customWidth="1"/>
    <col min="5" max="5" width="23.8984375" style="4" customWidth="1"/>
    <col min="6" max="6" width="34.59765625" style="4" customWidth="1"/>
    <col min="7" max="8" width="12.09765625" style="3" customWidth="1"/>
    <col min="9" max="9" width="15.69921875" style="45" bestFit="1" customWidth="1"/>
    <col min="10" max="10" width="26" style="3" customWidth="1"/>
    <col min="11" max="11" width="13.3984375" style="3" bestFit="1" customWidth="1"/>
    <col min="12" max="13" width="26" style="3" customWidth="1"/>
    <col min="14" max="14" width="36" style="3" bestFit="1" customWidth="1"/>
    <col min="15" max="15" width="29.59765625" style="3" customWidth="1"/>
    <col min="16" max="16384" width="9.09765625" style="3"/>
  </cols>
  <sheetData>
    <row r="1" spans="1:15" ht="33" thickBot="1" x14ac:dyDescent="0.3">
      <c r="A1" s="7" t="s">
        <v>130</v>
      </c>
      <c r="H1" s="48" t="s">
        <v>16</v>
      </c>
      <c r="I1" s="47">
        <f>SUBTOTAL(9,I4:I12000)</f>
        <v>11604</v>
      </c>
      <c r="J1" s="49" t="s">
        <v>85</v>
      </c>
    </row>
    <row r="2" spans="1:15" s="2" customFormat="1" ht="24" thickTop="1" x14ac:dyDescent="0.25">
      <c r="A2" s="138" t="s">
        <v>0</v>
      </c>
      <c r="B2" s="138" t="s">
        <v>4</v>
      </c>
      <c r="C2" s="137" t="s">
        <v>5</v>
      </c>
      <c r="D2" s="138" t="s">
        <v>2</v>
      </c>
      <c r="E2" s="137" t="s">
        <v>23</v>
      </c>
      <c r="F2" s="137" t="s">
        <v>21</v>
      </c>
      <c r="G2" s="138" t="s">
        <v>1</v>
      </c>
      <c r="H2" s="138"/>
      <c r="I2" s="139" t="s">
        <v>84</v>
      </c>
      <c r="J2" s="138" t="s">
        <v>3</v>
      </c>
      <c r="K2" s="125" t="s">
        <v>20</v>
      </c>
      <c r="M2" s="121" t="s">
        <v>8</v>
      </c>
      <c r="N2" s="121" t="s">
        <v>62</v>
      </c>
      <c r="O2" s="121" t="s">
        <v>73</v>
      </c>
    </row>
    <row r="3" spans="1:15" s="2" customFormat="1" x14ac:dyDescent="0.25">
      <c r="A3" s="138"/>
      <c r="B3" s="138"/>
      <c r="C3" s="137"/>
      <c r="D3" s="138"/>
      <c r="E3" s="137"/>
      <c r="F3" s="137"/>
      <c r="G3" s="12" t="s">
        <v>6</v>
      </c>
      <c r="H3" s="12" t="s">
        <v>7</v>
      </c>
      <c r="I3" s="139"/>
      <c r="J3" s="138"/>
      <c r="K3" s="125"/>
      <c r="M3" s="136"/>
      <c r="N3" s="136"/>
      <c r="O3" s="136"/>
    </row>
    <row r="4" spans="1:15" x14ac:dyDescent="0.25">
      <c r="A4" s="3">
        <v>1</v>
      </c>
      <c r="B4" s="8">
        <v>244075</v>
      </c>
      <c r="C4" s="4" t="s">
        <v>147</v>
      </c>
      <c r="D4" s="6" t="s">
        <v>157</v>
      </c>
      <c r="E4" s="5" t="s">
        <v>22</v>
      </c>
      <c r="F4" s="5" t="s">
        <v>79</v>
      </c>
      <c r="I4" s="45">
        <v>106</v>
      </c>
      <c r="J4" s="3" t="s">
        <v>10</v>
      </c>
      <c r="M4" s="9" t="s">
        <v>10</v>
      </c>
      <c r="N4" s="9" t="s">
        <v>76</v>
      </c>
      <c r="O4" s="43" t="s">
        <v>24</v>
      </c>
    </row>
    <row r="5" spans="1:15" x14ac:dyDescent="0.25">
      <c r="A5" s="3">
        <v>2</v>
      </c>
      <c r="B5" s="8">
        <v>244081</v>
      </c>
      <c r="C5" s="5" t="s">
        <v>148</v>
      </c>
      <c r="D5" s="6" t="s">
        <v>158</v>
      </c>
      <c r="E5" s="5" t="s">
        <v>22</v>
      </c>
      <c r="F5" s="5" t="s">
        <v>79</v>
      </c>
      <c r="I5" s="45">
        <v>106</v>
      </c>
      <c r="J5" s="3" t="s">
        <v>10</v>
      </c>
      <c r="M5" s="9" t="s">
        <v>9</v>
      </c>
      <c r="N5" s="9" t="s">
        <v>77</v>
      </c>
      <c r="O5" s="44" t="s">
        <v>22</v>
      </c>
    </row>
    <row r="6" spans="1:15" x14ac:dyDescent="0.25">
      <c r="A6" s="3">
        <v>3</v>
      </c>
      <c r="B6" s="8">
        <v>244081</v>
      </c>
      <c r="C6" s="5" t="s">
        <v>149</v>
      </c>
      <c r="D6" s="6" t="s">
        <v>159</v>
      </c>
      <c r="E6" s="5" t="s">
        <v>22</v>
      </c>
      <c r="F6" s="5" t="s">
        <v>79</v>
      </c>
      <c r="I6" s="45">
        <v>215</v>
      </c>
      <c r="J6" s="3" t="s">
        <v>10</v>
      </c>
      <c r="M6" s="9" t="s">
        <v>11</v>
      </c>
      <c r="N6" s="9" t="s">
        <v>78</v>
      </c>
      <c r="O6" s="43" t="s">
        <v>30</v>
      </c>
    </row>
    <row r="7" spans="1:15" x14ac:dyDescent="0.25">
      <c r="A7" s="3">
        <v>4</v>
      </c>
      <c r="B7" s="8">
        <v>244090</v>
      </c>
      <c r="C7" s="5" t="s">
        <v>174</v>
      </c>
      <c r="D7" s="6">
        <v>756694146036</v>
      </c>
      <c r="E7" s="5" t="s">
        <v>81</v>
      </c>
      <c r="F7" s="5" t="s">
        <v>79</v>
      </c>
      <c r="I7" s="45">
        <v>200</v>
      </c>
      <c r="J7" s="3" t="s">
        <v>10</v>
      </c>
      <c r="M7" s="9" t="s">
        <v>18</v>
      </c>
      <c r="N7" s="9" t="s">
        <v>79</v>
      </c>
      <c r="O7" s="9" t="s">
        <v>81</v>
      </c>
    </row>
    <row r="8" spans="1:15" x14ac:dyDescent="0.25">
      <c r="A8" s="3">
        <v>5</v>
      </c>
      <c r="B8" s="8">
        <v>244090</v>
      </c>
      <c r="C8" s="4" t="s">
        <v>175</v>
      </c>
      <c r="D8" s="6" t="s">
        <v>214</v>
      </c>
      <c r="E8" s="5" t="s">
        <v>22</v>
      </c>
      <c r="F8" s="5" t="s">
        <v>79</v>
      </c>
      <c r="I8" s="45">
        <v>216</v>
      </c>
      <c r="J8" s="3" t="s">
        <v>10</v>
      </c>
      <c r="M8" s="9" t="s">
        <v>89</v>
      </c>
      <c r="N8" s="9" t="s">
        <v>80</v>
      </c>
      <c r="O8" s="9"/>
    </row>
    <row r="9" spans="1:15" x14ac:dyDescent="0.25">
      <c r="A9" s="3">
        <v>6</v>
      </c>
      <c r="B9" s="8">
        <v>244090</v>
      </c>
      <c r="C9" s="5" t="s">
        <v>176</v>
      </c>
      <c r="D9" s="6" t="s">
        <v>215</v>
      </c>
      <c r="E9" s="5" t="s">
        <v>22</v>
      </c>
      <c r="F9" s="5" t="s">
        <v>79</v>
      </c>
      <c r="I9" s="45">
        <v>106</v>
      </c>
      <c r="J9" s="3" t="s">
        <v>10</v>
      </c>
    </row>
    <row r="10" spans="1:15" x14ac:dyDescent="0.25">
      <c r="A10" s="3">
        <v>7</v>
      </c>
      <c r="B10" s="8">
        <v>244090</v>
      </c>
      <c r="C10" s="5" t="s">
        <v>177</v>
      </c>
      <c r="D10" s="6" t="s">
        <v>216</v>
      </c>
      <c r="E10" s="5" t="s">
        <v>22</v>
      </c>
      <c r="F10" s="5" t="s">
        <v>79</v>
      </c>
      <c r="H10" s="4"/>
      <c r="I10" s="45">
        <v>245</v>
      </c>
      <c r="J10" s="3" t="s">
        <v>10</v>
      </c>
      <c r="K10" s="53"/>
      <c r="L10" s="53"/>
    </row>
    <row r="11" spans="1:15" x14ac:dyDescent="0.25">
      <c r="A11" s="3">
        <v>8</v>
      </c>
      <c r="B11" s="8">
        <v>244090</v>
      </c>
      <c r="C11" s="5" t="s">
        <v>178</v>
      </c>
      <c r="D11" s="6" t="s">
        <v>217</v>
      </c>
      <c r="E11" s="5" t="s">
        <v>22</v>
      </c>
      <c r="F11" s="5" t="s">
        <v>79</v>
      </c>
      <c r="H11" s="4"/>
      <c r="I11" s="45">
        <v>200</v>
      </c>
      <c r="J11" s="3" t="s">
        <v>10</v>
      </c>
    </row>
    <row r="12" spans="1:15" x14ac:dyDescent="0.25">
      <c r="A12" s="3">
        <v>9</v>
      </c>
      <c r="B12" s="8">
        <v>244090</v>
      </c>
      <c r="C12" s="5" t="s">
        <v>179</v>
      </c>
      <c r="D12" s="6" t="s">
        <v>218</v>
      </c>
      <c r="E12" s="5" t="s">
        <v>22</v>
      </c>
      <c r="F12" s="5" t="s">
        <v>79</v>
      </c>
      <c r="G12" s="4"/>
      <c r="I12" s="45">
        <v>400</v>
      </c>
      <c r="J12" s="3" t="s">
        <v>10</v>
      </c>
    </row>
    <row r="13" spans="1:15" x14ac:dyDescent="0.25">
      <c r="A13" s="3">
        <v>10</v>
      </c>
      <c r="B13" s="8">
        <v>244090</v>
      </c>
      <c r="C13" s="5" t="s">
        <v>180</v>
      </c>
      <c r="D13" s="6" t="s">
        <v>219</v>
      </c>
      <c r="E13" s="5" t="s">
        <v>22</v>
      </c>
      <c r="F13" s="5" t="s">
        <v>79</v>
      </c>
      <c r="G13" s="4"/>
      <c r="I13" s="45">
        <v>106</v>
      </c>
      <c r="J13" s="3" t="s">
        <v>10</v>
      </c>
    </row>
    <row r="14" spans="1:15" x14ac:dyDescent="0.25">
      <c r="A14" s="3">
        <v>11</v>
      </c>
      <c r="B14" s="8">
        <v>244090</v>
      </c>
      <c r="C14" s="5" t="s">
        <v>181</v>
      </c>
      <c r="D14" s="6" t="s">
        <v>220</v>
      </c>
      <c r="E14" s="5" t="s">
        <v>22</v>
      </c>
      <c r="F14" s="5" t="s">
        <v>79</v>
      </c>
      <c r="G14" s="4"/>
      <c r="I14" s="45">
        <v>200</v>
      </c>
      <c r="J14" s="3" t="s">
        <v>10</v>
      </c>
    </row>
    <row r="15" spans="1:15" x14ac:dyDescent="0.25">
      <c r="A15" s="3">
        <v>12</v>
      </c>
      <c r="B15" s="8">
        <v>244090</v>
      </c>
      <c r="C15" s="5" t="s">
        <v>182</v>
      </c>
      <c r="D15" s="6" t="s">
        <v>221</v>
      </c>
      <c r="E15" s="5" t="s">
        <v>22</v>
      </c>
      <c r="F15" s="5" t="s">
        <v>79</v>
      </c>
      <c r="G15" s="4"/>
      <c r="I15" s="45">
        <v>106</v>
      </c>
      <c r="J15" s="3" t="s">
        <v>10</v>
      </c>
    </row>
    <row r="16" spans="1:15" x14ac:dyDescent="0.25">
      <c r="A16" s="3">
        <v>13</v>
      </c>
      <c r="B16" s="8">
        <v>244090</v>
      </c>
      <c r="C16" s="5" t="s">
        <v>183</v>
      </c>
      <c r="D16" s="6" t="s">
        <v>222</v>
      </c>
      <c r="E16" s="5" t="s">
        <v>22</v>
      </c>
      <c r="F16" s="5" t="s">
        <v>79</v>
      </c>
      <c r="G16" s="4"/>
      <c r="I16" s="45">
        <v>200</v>
      </c>
      <c r="J16" s="3" t="s">
        <v>10</v>
      </c>
    </row>
    <row r="17" spans="1:12" x14ac:dyDescent="0.25">
      <c r="A17" s="3">
        <v>14</v>
      </c>
      <c r="B17" s="8">
        <v>244090</v>
      </c>
      <c r="C17" s="5" t="s">
        <v>184</v>
      </c>
      <c r="D17" s="6" t="s">
        <v>223</v>
      </c>
      <c r="E17" s="5" t="s">
        <v>22</v>
      </c>
      <c r="F17" s="5" t="s">
        <v>79</v>
      </c>
      <c r="H17" s="4"/>
      <c r="I17" s="45">
        <v>106</v>
      </c>
      <c r="J17" s="3" t="s">
        <v>10</v>
      </c>
    </row>
    <row r="18" spans="1:12" x14ac:dyDescent="0.25">
      <c r="A18" s="3">
        <v>15</v>
      </c>
      <c r="B18" s="8">
        <v>244090</v>
      </c>
      <c r="C18" s="5" t="s">
        <v>185</v>
      </c>
      <c r="D18" s="6" t="s">
        <v>224</v>
      </c>
      <c r="E18" s="5" t="s">
        <v>22</v>
      </c>
      <c r="F18" s="5" t="s">
        <v>79</v>
      </c>
      <c r="H18" s="4"/>
      <c r="I18" s="45">
        <v>129</v>
      </c>
      <c r="J18" s="3" t="s">
        <v>10</v>
      </c>
    </row>
    <row r="19" spans="1:12" x14ac:dyDescent="0.25">
      <c r="A19" s="3">
        <v>16</v>
      </c>
      <c r="B19" s="8">
        <v>244090</v>
      </c>
      <c r="C19" s="5" t="s">
        <v>186</v>
      </c>
      <c r="D19" s="6" t="s">
        <v>225</v>
      </c>
      <c r="E19" s="5" t="s">
        <v>22</v>
      </c>
      <c r="F19" s="5" t="s">
        <v>79</v>
      </c>
      <c r="H19" s="4"/>
      <c r="I19" s="45">
        <v>200</v>
      </c>
      <c r="J19" s="3" t="s">
        <v>10</v>
      </c>
      <c r="L19" s="53"/>
    </row>
    <row r="20" spans="1:12" x14ac:dyDescent="0.25">
      <c r="A20" s="3">
        <v>17</v>
      </c>
      <c r="B20" s="8">
        <v>244090</v>
      </c>
      <c r="C20" s="5" t="s">
        <v>187</v>
      </c>
      <c r="D20" s="6" t="s">
        <v>226</v>
      </c>
      <c r="E20" s="5" t="s">
        <v>22</v>
      </c>
      <c r="F20" s="5" t="s">
        <v>79</v>
      </c>
      <c r="H20" s="4"/>
      <c r="I20" s="45">
        <v>106</v>
      </c>
      <c r="J20" s="3" t="s">
        <v>10</v>
      </c>
    </row>
    <row r="21" spans="1:12" x14ac:dyDescent="0.25">
      <c r="A21" s="3">
        <v>18</v>
      </c>
      <c r="B21" s="8">
        <v>244092</v>
      </c>
      <c r="C21" s="5" t="s">
        <v>188</v>
      </c>
      <c r="D21" s="6" t="s">
        <v>227</v>
      </c>
      <c r="E21" s="5" t="s">
        <v>81</v>
      </c>
      <c r="F21" s="5" t="s">
        <v>79</v>
      </c>
      <c r="H21" s="4"/>
      <c r="I21" s="45">
        <v>106</v>
      </c>
      <c r="J21" s="3" t="s">
        <v>10</v>
      </c>
    </row>
    <row r="22" spans="1:12" x14ac:dyDescent="0.25">
      <c r="A22" s="3">
        <v>19</v>
      </c>
      <c r="B22" s="8">
        <v>244092</v>
      </c>
      <c r="C22" s="5" t="s">
        <v>189</v>
      </c>
      <c r="D22" s="6" t="s">
        <v>228</v>
      </c>
      <c r="E22" s="5" t="s">
        <v>81</v>
      </c>
      <c r="F22" s="5" t="s">
        <v>79</v>
      </c>
      <c r="H22" s="4"/>
      <c r="I22" s="45">
        <v>145</v>
      </c>
      <c r="J22" s="3" t="s">
        <v>9</v>
      </c>
    </row>
    <row r="23" spans="1:12" x14ac:dyDescent="0.25">
      <c r="A23" s="3">
        <v>20</v>
      </c>
      <c r="B23" s="8">
        <v>244092</v>
      </c>
      <c r="C23" s="5" t="s">
        <v>190</v>
      </c>
      <c r="D23" s="6" t="s">
        <v>229</v>
      </c>
      <c r="E23" s="5" t="s">
        <v>22</v>
      </c>
      <c r="F23" s="5" t="s">
        <v>79</v>
      </c>
      <c r="I23" s="45">
        <v>200</v>
      </c>
      <c r="J23" s="3" t="s">
        <v>10</v>
      </c>
    </row>
    <row r="24" spans="1:12" x14ac:dyDescent="0.25">
      <c r="A24" s="3">
        <v>21</v>
      </c>
      <c r="B24" s="8">
        <v>244092</v>
      </c>
      <c r="C24" s="5" t="s">
        <v>191</v>
      </c>
      <c r="D24" s="6" t="s">
        <v>230</v>
      </c>
      <c r="E24" s="5" t="s">
        <v>22</v>
      </c>
      <c r="F24" s="5" t="s">
        <v>79</v>
      </c>
      <c r="H24" s="4"/>
      <c r="I24" s="45">
        <v>100</v>
      </c>
      <c r="J24" s="3" t="s">
        <v>10</v>
      </c>
    </row>
    <row r="25" spans="1:12" x14ac:dyDescent="0.25">
      <c r="A25" s="3">
        <v>22</v>
      </c>
      <c r="B25" s="8">
        <v>244094</v>
      </c>
      <c r="C25" s="5" t="s">
        <v>194</v>
      </c>
      <c r="D25" s="6" t="s">
        <v>231</v>
      </c>
      <c r="E25" s="5" t="s">
        <v>22</v>
      </c>
      <c r="F25" s="5" t="s">
        <v>79</v>
      </c>
      <c r="H25" s="4"/>
      <c r="I25" s="45">
        <v>220</v>
      </c>
      <c r="J25" s="3" t="s">
        <v>10</v>
      </c>
    </row>
    <row r="26" spans="1:12" x14ac:dyDescent="0.25">
      <c r="A26" s="3">
        <v>23</v>
      </c>
      <c r="B26" s="8">
        <v>244094</v>
      </c>
      <c r="C26" s="5" t="s">
        <v>195</v>
      </c>
      <c r="D26" s="6" t="s">
        <v>238</v>
      </c>
      <c r="E26" s="5" t="s">
        <v>22</v>
      </c>
      <c r="F26" s="5" t="s">
        <v>79</v>
      </c>
      <c r="H26" s="4"/>
      <c r="I26" s="45">
        <v>200</v>
      </c>
      <c r="J26" s="3" t="s">
        <v>10</v>
      </c>
    </row>
    <row r="27" spans="1:12" x14ac:dyDescent="0.25">
      <c r="A27" s="3">
        <v>24</v>
      </c>
      <c r="B27" s="8">
        <v>244094</v>
      </c>
      <c r="C27" s="4" t="s">
        <v>196</v>
      </c>
      <c r="D27" s="6" t="s">
        <v>246</v>
      </c>
      <c r="E27" s="5" t="s">
        <v>22</v>
      </c>
      <c r="F27" s="5" t="s">
        <v>79</v>
      </c>
      <c r="H27" s="4"/>
      <c r="I27" s="45">
        <v>300</v>
      </c>
      <c r="J27" s="3" t="s">
        <v>10</v>
      </c>
    </row>
    <row r="28" spans="1:12" x14ac:dyDescent="0.25">
      <c r="A28" s="3">
        <v>25</v>
      </c>
      <c r="B28" s="8">
        <v>244094</v>
      </c>
      <c r="C28" s="4" t="s">
        <v>197</v>
      </c>
      <c r="D28" s="6" t="s">
        <v>237</v>
      </c>
      <c r="E28" s="5" t="s">
        <v>22</v>
      </c>
      <c r="F28" s="5" t="s">
        <v>79</v>
      </c>
      <c r="H28" s="4"/>
      <c r="I28" s="45">
        <v>106</v>
      </c>
      <c r="J28" s="3" t="s">
        <v>10</v>
      </c>
    </row>
    <row r="29" spans="1:12" x14ac:dyDescent="0.25">
      <c r="A29" s="3">
        <v>26</v>
      </c>
      <c r="B29" s="8">
        <v>244094</v>
      </c>
      <c r="C29" s="4" t="s">
        <v>198</v>
      </c>
      <c r="D29" s="6" t="s">
        <v>239</v>
      </c>
      <c r="E29" s="5" t="s">
        <v>22</v>
      </c>
      <c r="F29" s="5" t="s">
        <v>79</v>
      </c>
      <c r="H29" s="4"/>
      <c r="I29" s="45">
        <v>106</v>
      </c>
      <c r="J29" s="3" t="s">
        <v>10</v>
      </c>
    </row>
    <row r="30" spans="1:12" x14ac:dyDescent="0.25">
      <c r="A30" s="3">
        <v>27</v>
      </c>
      <c r="B30" s="8">
        <v>244094</v>
      </c>
      <c r="C30" s="4" t="s">
        <v>199</v>
      </c>
      <c r="D30" s="6" t="s">
        <v>250</v>
      </c>
      <c r="E30" s="5" t="s">
        <v>22</v>
      </c>
      <c r="F30" s="5" t="s">
        <v>79</v>
      </c>
      <c r="H30" s="4"/>
      <c r="I30" s="45">
        <v>106</v>
      </c>
      <c r="J30" s="3" t="s">
        <v>10</v>
      </c>
    </row>
    <row r="31" spans="1:12" x14ac:dyDescent="0.25">
      <c r="A31" s="3">
        <v>28</v>
      </c>
      <c r="B31" s="8">
        <v>244094</v>
      </c>
      <c r="C31" s="4" t="s">
        <v>200</v>
      </c>
      <c r="D31" s="6" t="s">
        <v>242</v>
      </c>
      <c r="E31" s="5" t="s">
        <v>22</v>
      </c>
      <c r="F31" s="5" t="s">
        <v>79</v>
      </c>
      <c r="H31" s="4"/>
      <c r="I31" s="45">
        <v>106</v>
      </c>
      <c r="J31" s="3" t="s">
        <v>10</v>
      </c>
    </row>
    <row r="32" spans="1:12" x14ac:dyDescent="0.25">
      <c r="A32" s="3">
        <v>29</v>
      </c>
      <c r="B32" s="8">
        <v>244094</v>
      </c>
      <c r="C32" s="5" t="s">
        <v>201</v>
      </c>
      <c r="D32" s="6" t="s">
        <v>244</v>
      </c>
      <c r="E32" s="5" t="s">
        <v>22</v>
      </c>
      <c r="F32" s="5" t="s">
        <v>79</v>
      </c>
      <c r="H32" s="4"/>
      <c r="I32" s="45">
        <v>106</v>
      </c>
      <c r="J32" s="3" t="s">
        <v>10</v>
      </c>
    </row>
    <row r="33" spans="1:10" x14ac:dyDescent="0.25">
      <c r="A33" s="3">
        <v>30</v>
      </c>
      <c r="B33" s="8">
        <v>244094</v>
      </c>
      <c r="C33" s="5" t="s">
        <v>202</v>
      </c>
      <c r="D33" s="6" t="s">
        <v>247</v>
      </c>
      <c r="E33" s="5" t="s">
        <v>22</v>
      </c>
      <c r="F33" s="5" t="s">
        <v>79</v>
      </c>
      <c r="H33" s="4"/>
      <c r="I33" s="45">
        <v>145</v>
      </c>
      <c r="J33" s="3" t="s">
        <v>10</v>
      </c>
    </row>
    <row r="34" spans="1:10" x14ac:dyDescent="0.25">
      <c r="A34" s="3">
        <v>31</v>
      </c>
      <c r="B34" s="8">
        <v>244094</v>
      </c>
      <c r="C34" s="5" t="s">
        <v>203</v>
      </c>
      <c r="D34" s="6" t="s">
        <v>235</v>
      </c>
      <c r="E34" s="5" t="s">
        <v>22</v>
      </c>
      <c r="F34" s="5" t="s">
        <v>79</v>
      </c>
      <c r="H34" s="4"/>
      <c r="I34" s="45">
        <v>106</v>
      </c>
      <c r="J34" s="3" t="s">
        <v>10</v>
      </c>
    </row>
    <row r="35" spans="1:10" x14ac:dyDescent="0.25">
      <c r="A35" s="3">
        <v>32</v>
      </c>
      <c r="B35" s="8">
        <v>244094</v>
      </c>
      <c r="C35" s="5" t="s">
        <v>204</v>
      </c>
      <c r="D35" s="6" t="s">
        <v>245</v>
      </c>
      <c r="E35" s="5" t="s">
        <v>22</v>
      </c>
      <c r="F35" s="5" t="s">
        <v>79</v>
      </c>
      <c r="H35" s="4"/>
      <c r="I35" s="45">
        <v>116</v>
      </c>
      <c r="J35" s="3" t="s">
        <v>10</v>
      </c>
    </row>
    <row r="36" spans="1:10" x14ac:dyDescent="0.25">
      <c r="A36" s="3">
        <v>33</v>
      </c>
      <c r="B36" s="8">
        <v>244094</v>
      </c>
      <c r="C36" s="5" t="s">
        <v>205</v>
      </c>
      <c r="D36" s="6" t="s">
        <v>234</v>
      </c>
      <c r="E36" s="5" t="s">
        <v>22</v>
      </c>
      <c r="F36" s="5" t="s">
        <v>79</v>
      </c>
      <c r="H36" s="4"/>
      <c r="I36" s="45">
        <v>106</v>
      </c>
      <c r="J36" s="3" t="s">
        <v>10</v>
      </c>
    </row>
    <row r="37" spans="1:10" x14ac:dyDescent="0.25">
      <c r="A37" s="3">
        <v>34</v>
      </c>
      <c r="B37" s="8">
        <v>244094</v>
      </c>
      <c r="C37" s="5" t="s">
        <v>206</v>
      </c>
      <c r="D37" s="6" t="s">
        <v>232</v>
      </c>
      <c r="E37" s="5" t="s">
        <v>22</v>
      </c>
      <c r="F37" s="5" t="s">
        <v>79</v>
      </c>
      <c r="H37" s="4"/>
      <c r="I37" s="45">
        <v>100</v>
      </c>
      <c r="J37" s="3" t="s">
        <v>10</v>
      </c>
    </row>
    <row r="38" spans="1:10" x14ac:dyDescent="0.25">
      <c r="A38" s="3">
        <v>35</v>
      </c>
      <c r="B38" s="8">
        <v>244094</v>
      </c>
      <c r="C38" s="5" t="s">
        <v>207</v>
      </c>
      <c r="D38" s="6" t="s">
        <v>236</v>
      </c>
      <c r="E38" s="5" t="s">
        <v>22</v>
      </c>
      <c r="F38" s="5" t="s">
        <v>79</v>
      </c>
      <c r="H38" s="4"/>
      <c r="I38" s="45">
        <v>100</v>
      </c>
      <c r="J38" s="3" t="s">
        <v>10</v>
      </c>
    </row>
    <row r="39" spans="1:10" x14ac:dyDescent="0.25">
      <c r="A39" s="3">
        <v>36</v>
      </c>
      <c r="B39" s="8">
        <v>244094</v>
      </c>
      <c r="C39" s="5" t="s">
        <v>208</v>
      </c>
      <c r="D39" s="6" t="s">
        <v>248</v>
      </c>
      <c r="E39" s="5" t="s">
        <v>22</v>
      </c>
      <c r="F39" s="5" t="s">
        <v>79</v>
      </c>
      <c r="H39" s="4"/>
      <c r="I39" s="45">
        <v>200</v>
      </c>
      <c r="J39" s="3" t="s">
        <v>10</v>
      </c>
    </row>
    <row r="40" spans="1:10" x14ac:dyDescent="0.25">
      <c r="A40" s="3">
        <v>37</v>
      </c>
      <c r="B40" s="8">
        <v>244094</v>
      </c>
      <c r="C40" s="5" t="s">
        <v>209</v>
      </c>
      <c r="D40" s="6" t="s">
        <v>249</v>
      </c>
      <c r="E40" s="5" t="s">
        <v>22</v>
      </c>
      <c r="F40" s="5" t="s">
        <v>79</v>
      </c>
      <c r="H40" s="4"/>
      <c r="I40" s="45">
        <v>200</v>
      </c>
      <c r="J40" s="3" t="s">
        <v>10</v>
      </c>
    </row>
    <row r="41" spans="1:10" x14ac:dyDescent="0.25">
      <c r="A41" s="3">
        <v>38</v>
      </c>
      <c r="B41" s="8">
        <v>244094</v>
      </c>
      <c r="C41" s="5" t="s">
        <v>210</v>
      </c>
      <c r="D41" s="6" t="s">
        <v>233</v>
      </c>
      <c r="E41" s="5" t="s">
        <v>22</v>
      </c>
      <c r="F41" s="5" t="s">
        <v>79</v>
      </c>
      <c r="H41" s="4"/>
      <c r="I41" s="45">
        <v>145</v>
      </c>
      <c r="J41" s="3" t="s">
        <v>10</v>
      </c>
    </row>
    <row r="42" spans="1:10" x14ac:dyDescent="0.25">
      <c r="A42" s="3">
        <v>39</v>
      </c>
      <c r="B42" s="8">
        <v>244094</v>
      </c>
      <c r="C42" s="5" t="s">
        <v>211</v>
      </c>
      <c r="D42" s="6" t="s">
        <v>243</v>
      </c>
      <c r="E42" s="5" t="s">
        <v>22</v>
      </c>
      <c r="F42" s="5" t="s">
        <v>79</v>
      </c>
      <c r="H42" s="4"/>
      <c r="I42" s="45">
        <v>200</v>
      </c>
      <c r="J42" s="3" t="s">
        <v>10</v>
      </c>
    </row>
    <row r="43" spans="1:10" x14ac:dyDescent="0.25">
      <c r="A43" s="3">
        <v>40</v>
      </c>
      <c r="B43" s="8">
        <v>244094</v>
      </c>
      <c r="C43" s="5" t="s">
        <v>212</v>
      </c>
      <c r="D43" s="6" t="s">
        <v>240</v>
      </c>
      <c r="E43" s="5" t="s">
        <v>81</v>
      </c>
      <c r="F43" s="5" t="s">
        <v>79</v>
      </c>
      <c r="H43" s="4"/>
      <c r="I43" s="45">
        <v>285</v>
      </c>
      <c r="J43" s="3" t="s">
        <v>9</v>
      </c>
    </row>
    <row r="44" spans="1:10" x14ac:dyDescent="0.25">
      <c r="A44" s="3">
        <v>41</v>
      </c>
      <c r="B44" s="8">
        <v>244094</v>
      </c>
      <c r="C44" s="5" t="s">
        <v>213</v>
      </c>
      <c r="D44" s="6" t="s">
        <v>241</v>
      </c>
      <c r="E44" s="5" t="s">
        <v>81</v>
      </c>
      <c r="F44" s="5" t="s">
        <v>79</v>
      </c>
      <c r="H44" s="4"/>
      <c r="I44" s="45">
        <v>552</v>
      </c>
      <c r="J44" s="3" t="s">
        <v>10</v>
      </c>
    </row>
    <row r="45" spans="1:10" x14ac:dyDescent="0.25">
      <c r="A45" s="3">
        <v>42</v>
      </c>
      <c r="B45" s="8">
        <v>244095</v>
      </c>
      <c r="C45" s="5" t="s">
        <v>261</v>
      </c>
      <c r="D45" s="6" t="s">
        <v>330</v>
      </c>
      <c r="E45" s="5" t="s">
        <v>22</v>
      </c>
      <c r="F45" s="5" t="s">
        <v>79</v>
      </c>
      <c r="H45" s="4"/>
      <c r="I45" s="45">
        <v>116</v>
      </c>
      <c r="J45" s="3" t="s">
        <v>10</v>
      </c>
    </row>
    <row r="46" spans="1:10" x14ac:dyDescent="0.25">
      <c r="A46" s="3">
        <v>43</v>
      </c>
      <c r="B46" s="8">
        <v>244095</v>
      </c>
      <c r="C46" s="5" t="s">
        <v>262</v>
      </c>
      <c r="D46" s="6" t="s">
        <v>318</v>
      </c>
      <c r="E46" s="5" t="s">
        <v>22</v>
      </c>
      <c r="F46" s="5" t="s">
        <v>79</v>
      </c>
      <c r="H46" s="4"/>
      <c r="I46" s="45">
        <v>106</v>
      </c>
      <c r="J46" s="3" t="s">
        <v>10</v>
      </c>
    </row>
    <row r="47" spans="1:10" x14ac:dyDescent="0.25">
      <c r="A47" s="3">
        <v>44</v>
      </c>
      <c r="B47" s="8">
        <v>244095</v>
      </c>
      <c r="C47" s="5" t="s">
        <v>263</v>
      </c>
      <c r="D47" s="6" t="s">
        <v>325</v>
      </c>
      <c r="E47" s="5" t="s">
        <v>22</v>
      </c>
      <c r="F47" s="5" t="s">
        <v>79</v>
      </c>
      <c r="H47" s="4"/>
      <c r="I47" s="45">
        <v>116</v>
      </c>
      <c r="J47" s="3" t="s">
        <v>10</v>
      </c>
    </row>
    <row r="48" spans="1:10" x14ac:dyDescent="0.25">
      <c r="A48" s="3">
        <v>45</v>
      </c>
      <c r="B48" s="8">
        <v>244095</v>
      </c>
      <c r="C48" s="5" t="s">
        <v>264</v>
      </c>
      <c r="D48" s="6" t="s">
        <v>322</v>
      </c>
      <c r="E48" s="5" t="s">
        <v>22</v>
      </c>
      <c r="F48" s="5" t="s">
        <v>79</v>
      </c>
      <c r="H48" s="4"/>
      <c r="I48" s="45">
        <v>106</v>
      </c>
      <c r="J48" s="3" t="s">
        <v>10</v>
      </c>
    </row>
    <row r="49" spans="1:10" x14ac:dyDescent="0.25">
      <c r="A49" s="3">
        <v>46</v>
      </c>
      <c r="B49" s="8">
        <v>244095</v>
      </c>
      <c r="C49" s="5" t="s">
        <v>265</v>
      </c>
      <c r="D49" s="6" t="s">
        <v>323</v>
      </c>
      <c r="E49" s="5" t="s">
        <v>22</v>
      </c>
      <c r="F49" s="5" t="s">
        <v>79</v>
      </c>
      <c r="H49" s="4"/>
      <c r="I49" s="45">
        <v>129</v>
      </c>
      <c r="J49" s="3" t="s">
        <v>10</v>
      </c>
    </row>
    <row r="50" spans="1:10" x14ac:dyDescent="0.25">
      <c r="A50" s="3">
        <v>47</v>
      </c>
      <c r="B50" s="8">
        <v>244095</v>
      </c>
      <c r="C50" s="5" t="s">
        <v>266</v>
      </c>
      <c r="D50" s="6" t="s">
        <v>321</v>
      </c>
      <c r="E50" s="5" t="s">
        <v>22</v>
      </c>
      <c r="F50" s="5" t="s">
        <v>79</v>
      </c>
      <c r="H50" s="4"/>
      <c r="I50" s="45">
        <v>106</v>
      </c>
      <c r="J50" s="3" t="s">
        <v>10</v>
      </c>
    </row>
    <row r="51" spans="1:10" x14ac:dyDescent="0.25">
      <c r="A51" s="3">
        <v>48</v>
      </c>
      <c r="B51" s="8">
        <v>244096</v>
      </c>
      <c r="C51" s="5" t="s">
        <v>269</v>
      </c>
      <c r="D51" s="6" t="s">
        <v>319</v>
      </c>
      <c r="E51" s="5" t="s">
        <v>22</v>
      </c>
      <c r="F51" s="5" t="s">
        <v>79</v>
      </c>
      <c r="H51" s="4"/>
      <c r="I51" s="45">
        <v>200</v>
      </c>
      <c r="J51" s="3" t="s">
        <v>10</v>
      </c>
    </row>
    <row r="52" spans="1:10" x14ac:dyDescent="0.25">
      <c r="A52" s="3">
        <v>49</v>
      </c>
      <c r="B52" s="8">
        <v>244096</v>
      </c>
      <c r="C52" s="5" t="s">
        <v>270</v>
      </c>
      <c r="D52" s="6" t="s">
        <v>327</v>
      </c>
      <c r="E52" s="5" t="s">
        <v>22</v>
      </c>
      <c r="F52" s="5" t="s">
        <v>79</v>
      </c>
      <c r="H52" s="4"/>
      <c r="I52" s="45">
        <v>300</v>
      </c>
      <c r="J52" s="3" t="s">
        <v>10</v>
      </c>
    </row>
    <row r="53" spans="1:10" x14ac:dyDescent="0.25">
      <c r="A53" s="3">
        <v>50</v>
      </c>
      <c r="B53" s="8">
        <v>244096</v>
      </c>
      <c r="C53" s="5" t="s">
        <v>271</v>
      </c>
      <c r="D53" s="6" t="s">
        <v>324</v>
      </c>
      <c r="E53" s="5" t="s">
        <v>22</v>
      </c>
      <c r="F53" s="5" t="s">
        <v>79</v>
      </c>
      <c r="H53" s="4"/>
      <c r="I53" s="45">
        <v>100</v>
      </c>
      <c r="J53" s="3" t="s">
        <v>10</v>
      </c>
    </row>
    <row r="54" spans="1:10" x14ac:dyDescent="0.25">
      <c r="A54" s="3">
        <v>51</v>
      </c>
      <c r="B54" s="8">
        <v>244097</v>
      </c>
      <c r="C54" s="5" t="s">
        <v>272</v>
      </c>
      <c r="D54" s="6" t="s">
        <v>326</v>
      </c>
      <c r="E54" s="5" t="s">
        <v>81</v>
      </c>
      <c r="F54" s="5" t="s">
        <v>79</v>
      </c>
      <c r="H54" s="4"/>
      <c r="I54" s="45">
        <v>106</v>
      </c>
      <c r="J54" s="3" t="s">
        <v>10</v>
      </c>
    </row>
    <row r="55" spans="1:10" x14ac:dyDescent="0.25">
      <c r="A55" s="3">
        <v>52</v>
      </c>
      <c r="B55" s="8">
        <v>244097</v>
      </c>
      <c r="C55" s="5" t="s">
        <v>273</v>
      </c>
      <c r="D55" s="6" t="s">
        <v>331</v>
      </c>
      <c r="E55" s="5" t="s">
        <v>81</v>
      </c>
      <c r="F55" s="5" t="s">
        <v>76</v>
      </c>
      <c r="H55" s="4"/>
      <c r="I55" s="45">
        <v>200</v>
      </c>
      <c r="J55" s="3" t="s">
        <v>10</v>
      </c>
    </row>
    <row r="56" spans="1:10" x14ac:dyDescent="0.25">
      <c r="A56" s="3">
        <v>53</v>
      </c>
      <c r="B56" s="8">
        <v>244097</v>
      </c>
      <c r="C56" s="5" t="s">
        <v>274</v>
      </c>
      <c r="D56" s="6" t="s">
        <v>333</v>
      </c>
      <c r="E56" s="5" t="s">
        <v>81</v>
      </c>
      <c r="F56" s="5" t="s">
        <v>76</v>
      </c>
      <c r="H56" s="4"/>
      <c r="I56" s="45">
        <v>200</v>
      </c>
      <c r="J56" s="3" t="s">
        <v>10</v>
      </c>
    </row>
    <row r="57" spans="1:10" x14ac:dyDescent="0.25">
      <c r="A57" s="3">
        <v>54</v>
      </c>
      <c r="B57" s="8">
        <v>244097</v>
      </c>
      <c r="C57" s="5" t="s">
        <v>275</v>
      </c>
      <c r="D57" s="6" t="s">
        <v>317</v>
      </c>
      <c r="E57" s="5" t="s">
        <v>81</v>
      </c>
      <c r="F57" s="5" t="s">
        <v>76</v>
      </c>
      <c r="H57" s="4"/>
      <c r="I57" s="45">
        <v>106</v>
      </c>
      <c r="J57" s="3" t="s">
        <v>10</v>
      </c>
    </row>
    <row r="58" spans="1:10" x14ac:dyDescent="0.25">
      <c r="A58" s="3">
        <v>55</v>
      </c>
      <c r="B58" s="8">
        <v>244097</v>
      </c>
      <c r="C58" s="5" t="s">
        <v>276</v>
      </c>
      <c r="D58" s="6" t="s">
        <v>320</v>
      </c>
      <c r="E58" s="5" t="s">
        <v>81</v>
      </c>
      <c r="F58" s="5" t="s">
        <v>76</v>
      </c>
      <c r="H58" s="4"/>
      <c r="I58" s="45">
        <v>106</v>
      </c>
      <c r="J58" s="3" t="s">
        <v>10</v>
      </c>
    </row>
    <row r="59" spans="1:10" x14ac:dyDescent="0.25">
      <c r="A59" s="3">
        <v>56</v>
      </c>
      <c r="B59" s="8">
        <v>244097</v>
      </c>
      <c r="C59" s="5" t="s">
        <v>277</v>
      </c>
      <c r="D59" s="6" t="s">
        <v>334</v>
      </c>
      <c r="E59" s="5" t="s">
        <v>81</v>
      </c>
      <c r="F59" s="5" t="s">
        <v>76</v>
      </c>
      <c r="H59" s="4"/>
      <c r="I59" s="45">
        <v>100</v>
      </c>
      <c r="J59" s="3" t="s">
        <v>10</v>
      </c>
    </row>
    <row r="60" spans="1:10" x14ac:dyDescent="0.25">
      <c r="A60" s="3">
        <v>57</v>
      </c>
      <c r="B60" s="8">
        <v>244098</v>
      </c>
      <c r="C60" s="5" t="s">
        <v>267</v>
      </c>
      <c r="D60" s="6" t="s">
        <v>332</v>
      </c>
      <c r="E60" s="5" t="s">
        <v>22</v>
      </c>
      <c r="F60" s="5" t="s">
        <v>76</v>
      </c>
      <c r="H60" s="4"/>
      <c r="I60" s="45">
        <v>106</v>
      </c>
      <c r="J60" s="3" t="s">
        <v>10</v>
      </c>
    </row>
    <row r="61" spans="1:10" x14ac:dyDescent="0.25">
      <c r="A61" s="3">
        <v>58</v>
      </c>
      <c r="B61" s="8">
        <v>244098</v>
      </c>
      <c r="C61" s="5" t="s">
        <v>268</v>
      </c>
      <c r="D61" s="6" t="s">
        <v>329</v>
      </c>
      <c r="E61" s="5" t="s">
        <v>22</v>
      </c>
      <c r="F61" s="5" t="s">
        <v>76</v>
      </c>
      <c r="H61" s="4"/>
      <c r="I61" s="45">
        <v>106</v>
      </c>
      <c r="J61" s="3" t="s">
        <v>10</v>
      </c>
    </row>
    <row r="62" spans="1:10" x14ac:dyDescent="0.25">
      <c r="A62" s="3">
        <v>59</v>
      </c>
      <c r="B62" s="8">
        <v>244099</v>
      </c>
      <c r="C62" s="5" t="s">
        <v>278</v>
      </c>
      <c r="D62" s="6" t="s">
        <v>338</v>
      </c>
      <c r="E62" s="5" t="s">
        <v>81</v>
      </c>
      <c r="F62" s="5" t="s">
        <v>79</v>
      </c>
      <c r="H62" s="4"/>
      <c r="I62" s="45">
        <v>200</v>
      </c>
      <c r="J62" s="3" t="s">
        <v>10</v>
      </c>
    </row>
    <row r="63" spans="1:10" x14ac:dyDescent="0.25">
      <c r="A63" s="3">
        <v>60</v>
      </c>
      <c r="B63" s="8">
        <v>244099</v>
      </c>
      <c r="C63" s="5" t="s">
        <v>279</v>
      </c>
      <c r="D63" s="6" t="s">
        <v>328</v>
      </c>
      <c r="E63" s="5" t="s">
        <v>22</v>
      </c>
      <c r="F63" s="5" t="s">
        <v>79</v>
      </c>
      <c r="H63" s="4"/>
      <c r="I63" s="45">
        <v>100</v>
      </c>
      <c r="J63" s="3" t="s">
        <v>10</v>
      </c>
    </row>
    <row r="64" spans="1:10" x14ac:dyDescent="0.25">
      <c r="A64" s="3">
        <v>61</v>
      </c>
      <c r="B64" s="8">
        <v>244099</v>
      </c>
      <c r="C64" s="5" t="s">
        <v>280</v>
      </c>
      <c r="D64" s="6" t="s">
        <v>335</v>
      </c>
      <c r="E64" s="5" t="s">
        <v>22</v>
      </c>
      <c r="F64" s="5" t="s">
        <v>79</v>
      </c>
      <c r="H64" s="4"/>
      <c r="I64" s="45">
        <v>145</v>
      </c>
      <c r="J64" s="3" t="s">
        <v>10</v>
      </c>
    </row>
    <row r="65" spans="1:10" x14ac:dyDescent="0.25">
      <c r="A65" s="3">
        <v>62</v>
      </c>
      <c r="B65" s="8">
        <v>244102</v>
      </c>
      <c r="C65" s="5" t="s">
        <v>281</v>
      </c>
      <c r="D65" s="6" t="s">
        <v>340</v>
      </c>
      <c r="E65" s="5" t="s">
        <v>81</v>
      </c>
      <c r="F65" s="5" t="s">
        <v>76</v>
      </c>
      <c r="H65" s="4"/>
      <c r="I65" s="45">
        <v>101</v>
      </c>
      <c r="J65" s="3" t="s">
        <v>10</v>
      </c>
    </row>
    <row r="66" spans="1:10" x14ac:dyDescent="0.25">
      <c r="A66" s="3">
        <v>63</v>
      </c>
      <c r="B66" s="8">
        <v>244102</v>
      </c>
      <c r="C66" s="5" t="s">
        <v>282</v>
      </c>
      <c r="D66" s="6" t="s">
        <v>342</v>
      </c>
      <c r="E66" s="5" t="s">
        <v>22</v>
      </c>
      <c r="F66" s="5" t="s">
        <v>76</v>
      </c>
      <c r="H66" s="4"/>
      <c r="I66" s="45">
        <v>106</v>
      </c>
      <c r="J66" s="3" t="s">
        <v>10</v>
      </c>
    </row>
    <row r="67" spans="1:10" x14ac:dyDescent="0.25">
      <c r="A67" s="3">
        <v>64</v>
      </c>
      <c r="B67" s="8">
        <v>244102</v>
      </c>
      <c r="C67" s="5" t="s">
        <v>283</v>
      </c>
      <c r="D67" s="6" t="s">
        <v>339</v>
      </c>
      <c r="E67" s="5" t="s">
        <v>22</v>
      </c>
      <c r="F67" s="5" t="s">
        <v>79</v>
      </c>
      <c r="H67" s="4"/>
      <c r="I67" s="45">
        <v>100</v>
      </c>
      <c r="J67" s="3" t="s">
        <v>10</v>
      </c>
    </row>
    <row r="68" spans="1:10" x14ac:dyDescent="0.25">
      <c r="A68" s="3">
        <v>65</v>
      </c>
      <c r="B68" s="8">
        <v>244102</v>
      </c>
      <c r="C68" s="5" t="s">
        <v>284</v>
      </c>
      <c r="D68" s="6" t="s">
        <v>348</v>
      </c>
      <c r="E68" s="5" t="s">
        <v>22</v>
      </c>
      <c r="F68" s="5" t="s">
        <v>76</v>
      </c>
      <c r="H68" s="4"/>
      <c r="I68" s="45">
        <v>200</v>
      </c>
      <c r="J68" s="3" t="s">
        <v>10</v>
      </c>
    </row>
    <row r="69" spans="1:10" x14ac:dyDescent="0.25">
      <c r="A69" s="3">
        <v>66</v>
      </c>
      <c r="B69" s="8">
        <v>244102</v>
      </c>
      <c r="C69" s="5" t="s">
        <v>285</v>
      </c>
      <c r="D69" s="6" t="s">
        <v>346</v>
      </c>
      <c r="E69" s="5" t="s">
        <v>22</v>
      </c>
      <c r="F69" s="5" t="s">
        <v>79</v>
      </c>
      <c r="H69" s="4"/>
      <c r="I69" s="45">
        <v>200</v>
      </c>
      <c r="J69" s="3" t="s">
        <v>10</v>
      </c>
    </row>
    <row r="70" spans="1:10" x14ac:dyDescent="0.25">
      <c r="A70" s="3">
        <v>67</v>
      </c>
      <c r="B70" s="8">
        <v>244102</v>
      </c>
      <c r="C70" s="5" t="s">
        <v>286</v>
      </c>
      <c r="D70" s="6" t="s">
        <v>344</v>
      </c>
      <c r="E70" s="5" t="s">
        <v>22</v>
      </c>
      <c r="F70" s="5" t="s">
        <v>76</v>
      </c>
      <c r="H70" s="4"/>
      <c r="I70" s="45">
        <v>100</v>
      </c>
      <c r="J70" s="3" t="s">
        <v>10</v>
      </c>
    </row>
    <row r="71" spans="1:10" x14ac:dyDescent="0.25">
      <c r="A71" s="3">
        <v>68</v>
      </c>
      <c r="B71" s="8">
        <v>244102</v>
      </c>
      <c r="C71" s="5" t="s">
        <v>287</v>
      </c>
      <c r="D71" s="6" t="s">
        <v>347</v>
      </c>
      <c r="E71" s="5" t="s">
        <v>22</v>
      </c>
      <c r="F71" s="5" t="s">
        <v>76</v>
      </c>
      <c r="H71" s="4"/>
      <c r="I71" s="45">
        <v>106</v>
      </c>
      <c r="J71" s="3" t="s">
        <v>10</v>
      </c>
    </row>
    <row r="72" spans="1:10" x14ac:dyDescent="0.25">
      <c r="A72" s="3">
        <v>69</v>
      </c>
      <c r="B72" s="8">
        <v>244102</v>
      </c>
      <c r="C72" s="5" t="s">
        <v>288</v>
      </c>
      <c r="D72" s="6" t="s">
        <v>341</v>
      </c>
      <c r="E72" s="5" t="s">
        <v>22</v>
      </c>
      <c r="F72" s="5" t="s">
        <v>79</v>
      </c>
      <c r="H72" s="4"/>
      <c r="I72" s="45">
        <v>106</v>
      </c>
      <c r="J72" s="3" t="s">
        <v>10</v>
      </c>
    </row>
    <row r="73" spans="1:10" x14ac:dyDescent="0.25">
      <c r="A73" s="3">
        <v>70</v>
      </c>
      <c r="B73" s="8">
        <v>244102</v>
      </c>
      <c r="C73" s="5" t="s">
        <v>289</v>
      </c>
      <c r="D73" s="6" t="s">
        <v>345</v>
      </c>
      <c r="E73" s="5" t="s">
        <v>22</v>
      </c>
      <c r="F73" s="5" t="s">
        <v>79</v>
      </c>
      <c r="H73" s="4"/>
      <c r="I73" s="45">
        <v>100</v>
      </c>
      <c r="J73" s="3" t="s">
        <v>10</v>
      </c>
    </row>
    <row r="74" spans="1:10" x14ac:dyDescent="0.25">
      <c r="A74" s="3">
        <v>71</v>
      </c>
      <c r="B74" s="8">
        <v>244103</v>
      </c>
      <c r="C74" s="4" t="s">
        <v>290</v>
      </c>
      <c r="D74" s="6" t="s">
        <v>337</v>
      </c>
      <c r="E74" s="5" t="s">
        <v>81</v>
      </c>
      <c r="F74" s="5" t="s">
        <v>79</v>
      </c>
      <c r="I74" s="45">
        <v>106</v>
      </c>
      <c r="J74" s="3" t="s">
        <v>10</v>
      </c>
    </row>
    <row r="75" spans="1:10" x14ac:dyDescent="0.25">
      <c r="A75" s="3">
        <v>72</v>
      </c>
      <c r="B75" s="8">
        <v>244103</v>
      </c>
      <c r="C75" s="4" t="s">
        <v>291</v>
      </c>
      <c r="D75" s="6" t="s">
        <v>343</v>
      </c>
      <c r="E75" s="5" t="s">
        <v>81</v>
      </c>
      <c r="F75" s="5" t="s">
        <v>76</v>
      </c>
      <c r="I75" s="45">
        <v>106</v>
      </c>
      <c r="J75" s="3" t="s">
        <v>10</v>
      </c>
    </row>
    <row r="76" spans="1:10" x14ac:dyDescent="0.25">
      <c r="A76" s="3">
        <v>73</v>
      </c>
      <c r="B76" s="8">
        <v>244103</v>
      </c>
      <c r="C76" s="4" t="s">
        <v>292</v>
      </c>
      <c r="D76" s="6" t="s">
        <v>336</v>
      </c>
      <c r="E76" s="5" t="s">
        <v>81</v>
      </c>
      <c r="F76" s="5" t="s">
        <v>76</v>
      </c>
      <c r="I76" s="45">
        <v>200</v>
      </c>
      <c r="J76" s="3" t="s">
        <v>10</v>
      </c>
    </row>
    <row r="77" spans="1:10" x14ac:dyDescent="0.25">
      <c r="A77" s="3">
        <v>74</v>
      </c>
      <c r="B77" s="8">
        <v>244104</v>
      </c>
      <c r="C77" s="4" t="s">
        <v>358</v>
      </c>
      <c r="D77" s="6" t="s">
        <v>363</v>
      </c>
      <c r="E77" s="5" t="s">
        <v>22</v>
      </c>
      <c r="F77" s="5" t="s">
        <v>79</v>
      </c>
      <c r="I77" s="45">
        <v>200</v>
      </c>
      <c r="J77" s="3" t="s">
        <v>10</v>
      </c>
    </row>
    <row r="78" spans="1:10" x14ac:dyDescent="0.25">
      <c r="A78" s="3">
        <v>75</v>
      </c>
      <c r="B78" s="8">
        <v>244104</v>
      </c>
      <c r="C78" s="4" t="s">
        <v>359</v>
      </c>
      <c r="D78" s="6" t="s">
        <v>364</v>
      </c>
      <c r="E78" s="5" t="s">
        <v>22</v>
      </c>
      <c r="F78" s="5" t="s">
        <v>79</v>
      </c>
      <c r="I78" s="45">
        <v>116</v>
      </c>
      <c r="J78" s="3" t="s">
        <v>10</v>
      </c>
    </row>
    <row r="79" spans="1:10" x14ac:dyDescent="0.25">
      <c r="B79" s="8"/>
      <c r="D79" s="6"/>
      <c r="E79" s="5"/>
      <c r="F79" s="5"/>
    </row>
    <row r="80" spans="1:10" x14ac:dyDescent="0.25">
      <c r="B80" s="8"/>
      <c r="D80" s="6"/>
      <c r="E80" s="5"/>
      <c r="F80" s="5"/>
    </row>
    <row r="81" spans="2:6" x14ac:dyDescent="0.25">
      <c r="B81" s="8"/>
      <c r="D81" s="6"/>
      <c r="E81" s="5"/>
      <c r="F81" s="5"/>
    </row>
    <row r="82" spans="2:6" x14ac:dyDescent="0.25">
      <c r="B82" s="8"/>
      <c r="D82" s="6"/>
      <c r="E82" s="5"/>
      <c r="F82" s="5"/>
    </row>
    <row r="83" spans="2:6" x14ac:dyDescent="0.25">
      <c r="B83" s="8"/>
      <c r="D83" s="6"/>
      <c r="E83" s="5"/>
      <c r="F83" s="5"/>
    </row>
    <row r="84" spans="2:6" x14ac:dyDescent="0.25">
      <c r="B84" s="8"/>
      <c r="D84" s="6"/>
      <c r="E84" s="5"/>
      <c r="F84" s="5"/>
    </row>
    <row r="85" spans="2:6" x14ac:dyDescent="0.25">
      <c r="B85" s="8"/>
      <c r="D85" s="6"/>
      <c r="E85" s="5"/>
      <c r="F85" s="5"/>
    </row>
    <row r="86" spans="2:6" x14ac:dyDescent="0.25">
      <c r="B86" s="8"/>
      <c r="D86" s="6"/>
      <c r="E86" s="5"/>
      <c r="F86" s="5"/>
    </row>
    <row r="87" spans="2:6" x14ac:dyDescent="0.25">
      <c r="B87" s="8"/>
      <c r="D87" s="6"/>
      <c r="E87" s="5"/>
      <c r="F87" s="5"/>
    </row>
    <row r="88" spans="2:6" x14ac:dyDescent="0.25">
      <c r="B88" s="8"/>
      <c r="D88" s="6"/>
      <c r="E88" s="5"/>
      <c r="F88" s="5"/>
    </row>
    <row r="89" spans="2:6" x14ac:dyDescent="0.25">
      <c r="B89" s="8"/>
      <c r="D89" s="6"/>
      <c r="E89" s="5"/>
      <c r="F89" s="5"/>
    </row>
    <row r="90" spans="2:6" x14ac:dyDescent="0.25">
      <c r="B90" s="8"/>
      <c r="D90" s="6"/>
      <c r="E90" s="5"/>
      <c r="F90" s="5"/>
    </row>
    <row r="91" spans="2:6" x14ac:dyDescent="0.25">
      <c r="B91" s="8"/>
      <c r="D91" s="6"/>
      <c r="E91" s="5"/>
      <c r="F91" s="5"/>
    </row>
    <row r="92" spans="2:6" x14ac:dyDescent="0.25">
      <c r="B92" s="8"/>
      <c r="D92" s="6"/>
      <c r="E92" s="5"/>
      <c r="F92" s="5"/>
    </row>
    <row r="93" spans="2:6" x14ac:dyDescent="0.25">
      <c r="B93" s="8"/>
      <c r="D93" s="6"/>
      <c r="E93" s="5"/>
      <c r="F93" s="5"/>
    </row>
    <row r="94" spans="2:6" x14ac:dyDescent="0.25">
      <c r="B94" s="8"/>
      <c r="D94" s="6"/>
      <c r="E94" s="5"/>
      <c r="F94" s="5"/>
    </row>
    <row r="95" spans="2:6" x14ac:dyDescent="0.25">
      <c r="B95" s="8"/>
      <c r="D95" s="6"/>
      <c r="E95" s="5"/>
      <c r="F95" s="5"/>
    </row>
    <row r="96" spans="2:6" x14ac:dyDescent="0.25">
      <c r="B96" s="8"/>
      <c r="D96" s="6"/>
      <c r="E96" s="5"/>
      <c r="F96" s="5"/>
    </row>
    <row r="97" spans="2:6" x14ac:dyDescent="0.25">
      <c r="B97" s="8"/>
      <c r="D97" s="6"/>
      <c r="E97" s="5"/>
      <c r="F97" s="5"/>
    </row>
    <row r="98" spans="2:6" x14ac:dyDescent="0.25">
      <c r="B98" s="8"/>
      <c r="D98" s="6"/>
      <c r="E98" s="5"/>
      <c r="F98" s="5"/>
    </row>
    <row r="99" spans="2:6" x14ac:dyDescent="0.25">
      <c r="B99" s="8"/>
      <c r="D99" s="6"/>
      <c r="E99" s="5"/>
      <c r="F99" s="5"/>
    </row>
    <row r="100" spans="2:6" x14ac:dyDescent="0.25">
      <c r="B100" s="8"/>
      <c r="D100" s="6"/>
      <c r="E100" s="5"/>
      <c r="F100" s="5"/>
    </row>
    <row r="101" spans="2:6" x14ac:dyDescent="0.25">
      <c r="B101" s="8"/>
      <c r="D101" s="6"/>
      <c r="E101" s="5"/>
      <c r="F101" s="5"/>
    </row>
    <row r="102" spans="2:6" x14ac:dyDescent="0.25">
      <c r="B102" s="8"/>
      <c r="D102" s="6"/>
      <c r="E102" s="5"/>
      <c r="F102" s="5"/>
    </row>
    <row r="103" spans="2:6" x14ac:dyDescent="0.25">
      <c r="B103" s="8"/>
      <c r="D103" s="6"/>
      <c r="E103" s="5"/>
      <c r="F103" s="5"/>
    </row>
    <row r="104" spans="2:6" x14ac:dyDescent="0.25">
      <c r="B104" s="8"/>
      <c r="D104" s="6"/>
      <c r="E104" s="5"/>
      <c r="F104" s="5"/>
    </row>
    <row r="105" spans="2:6" x14ac:dyDescent="0.25">
      <c r="B105" s="8"/>
      <c r="D105" s="6"/>
      <c r="E105" s="5"/>
      <c r="F105" s="5"/>
    </row>
    <row r="106" spans="2:6" x14ac:dyDescent="0.25">
      <c r="B106" s="8"/>
      <c r="D106" s="6"/>
      <c r="E106" s="5"/>
      <c r="F106" s="5"/>
    </row>
    <row r="107" spans="2:6" x14ac:dyDescent="0.25">
      <c r="B107" s="8"/>
      <c r="D107" s="6"/>
      <c r="E107" s="5"/>
      <c r="F107" s="5"/>
    </row>
    <row r="108" spans="2:6" x14ac:dyDescent="0.25">
      <c r="B108" s="8"/>
      <c r="D108" s="6"/>
      <c r="E108" s="5"/>
      <c r="F108" s="5"/>
    </row>
    <row r="109" spans="2:6" x14ac:dyDescent="0.25">
      <c r="B109" s="8"/>
      <c r="D109" s="6"/>
      <c r="E109" s="5"/>
      <c r="F109" s="5"/>
    </row>
    <row r="110" spans="2:6" x14ac:dyDescent="0.25">
      <c r="B110" s="8"/>
      <c r="D110" s="6"/>
      <c r="E110" s="5"/>
      <c r="F110" s="5"/>
    </row>
    <row r="111" spans="2:6" x14ac:dyDescent="0.25">
      <c r="B111" s="8"/>
      <c r="D111" s="6"/>
      <c r="E111" s="5"/>
      <c r="F111" s="5"/>
    </row>
    <row r="112" spans="2:6" x14ac:dyDescent="0.25">
      <c r="B112" s="8"/>
      <c r="D112" s="6"/>
      <c r="E112" s="5"/>
      <c r="F112" s="5"/>
    </row>
    <row r="113" spans="2:6" x14ac:dyDescent="0.25">
      <c r="B113" s="8"/>
      <c r="D113" s="6"/>
      <c r="E113" s="5"/>
      <c r="F113" s="5"/>
    </row>
    <row r="114" spans="2:6" x14ac:dyDescent="0.25">
      <c r="B114" s="8"/>
      <c r="D114" s="6"/>
      <c r="E114" s="5"/>
      <c r="F114" s="5"/>
    </row>
    <row r="115" spans="2:6" x14ac:dyDescent="0.25">
      <c r="B115" s="8"/>
      <c r="D115" s="6"/>
      <c r="E115" s="5"/>
      <c r="F115" s="5"/>
    </row>
    <row r="116" spans="2:6" x14ac:dyDescent="0.25">
      <c r="B116" s="8"/>
      <c r="D116" s="6"/>
      <c r="E116" s="5"/>
      <c r="F116" s="5"/>
    </row>
    <row r="117" spans="2:6" x14ac:dyDescent="0.25">
      <c r="B117" s="8"/>
      <c r="D117" s="6"/>
      <c r="E117" s="5"/>
      <c r="F117" s="5"/>
    </row>
    <row r="118" spans="2:6" x14ac:dyDescent="0.25">
      <c r="B118" s="8"/>
      <c r="D118" s="6"/>
      <c r="E118" s="5"/>
      <c r="F118" s="5"/>
    </row>
    <row r="119" spans="2:6" x14ac:dyDescent="0.25">
      <c r="B119" s="8"/>
      <c r="D119" s="6"/>
      <c r="E119" s="5"/>
      <c r="F119" s="5"/>
    </row>
    <row r="120" spans="2:6" x14ac:dyDescent="0.25">
      <c r="B120" s="8"/>
      <c r="D120" s="6"/>
      <c r="E120" s="5"/>
      <c r="F120" s="5"/>
    </row>
    <row r="121" spans="2:6" x14ac:dyDescent="0.25">
      <c r="B121" s="8"/>
      <c r="D121" s="6"/>
      <c r="E121" s="5"/>
      <c r="F121" s="5"/>
    </row>
    <row r="122" spans="2:6" x14ac:dyDescent="0.25">
      <c r="B122" s="8"/>
      <c r="D122" s="6"/>
      <c r="E122" s="5"/>
      <c r="F122" s="5"/>
    </row>
    <row r="123" spans="2:6" x14ac:dyDescent="0.25">
      <c r="B123" s="8"/>
      <c r="D123" s="6"/>
      <c r="E123" s="5"/>
      <c r="F123" s="5"/>
    </row>
    <row r="124" spans="2:6" x14ac:dyDescent="0.25">
      <c r="B124" s="8"/>
      <c r="D124" s="6"/>
      <c r="E124" s="5"/>
      <c r="F124" s="5"/>
    </row>
    <row r="125" spans="2:6" x14ac:dyDescent="0.25">
      <c r="B125" s="8"/>
      <c r="D125" s="6"/>
      <c r="E125" s="5"/>
      <c r="F125" s="5"/>
    </row>
    <row r="126" spans="2:6" x14ac:dyDescent="0.25">
      <c r="B126" s="8"/>
      <c r="D126" s="6"/>
      <c r="E126" s="5"/>
      <c r="F126" s="5"/>
    </row>
    <row r="127" spans="2:6" x14ac:dyDescent="0.25">
      <c r="B127" s="8"/>
      <c r="D127" s="6"/>
      <c r="E127" s="5"/>
      <c r="F127" s="5"/>
    </row>
    <row r="128" spans="2:6" x14ac:dyDescent="0.25">
      <c r="B128" s="8"/>
      <c r="D128" s="6"/>
      <c r="E128" s="5"/>
      <c r="F128" s="5"/>
    </row>
    <row r="129" spans="2:6" x14ac:dyDescent="0.25">
      <c r="B129" s="8"/>
      <c r="D129" s="6"/>
      <c r="E129" s="5"/>
      <c r="F129" s="5"/>
    </row>
    <row r="130" spans="2:6" x14ac:dyDescent="0.25">
      <c r="B130" s="8"/>
      <c r="D130" s="6"/>
      <c r="E130" s="5"/>
      <c r="F130" s="5"/>
    </row>
    <row r="131" spans="2:6" x14ac:dyDescent="0.25">
      <c r="B131" s="8"/>
      <c r="D131" s="6"/>
      <c r="E131" s="5"/>
      <c r="F131" s="5"/>
    </row>
    <row r="132" spans="2:6" x14ac:dyDescent="0.25">
      <c r="B132" s="8"/>
      <c r="D132" s="6"/>
      <c r="E132" s="5"/>
      <c r="F132" s="5"/>
    </row>
    <row r="133" spans="2:6" x14ac:dyDescent="0.25">
      <c r="B133" s="8"/>
      <c r="D133" s="6"/>
      <c r="E133" s="5"/>
      <c r="F133" s="5"/>
    </row>
    <row r="134" spans="2:6" x14ac:dyDescent="0.25">
      <c r="B134" s="8"/>
      <c r="D134" s="6"/>
      <c r="E134" s="5"/>
      <c r="F134" s="5"/>
    </row>
    <row r="135" spans="2:6" x14ac:dyDescent="0.25">
      <c r="B135" s="8"/>
      <c r="D135" s="6"/>
      <c r="E135" s="5"/>
      <c r="F135" s="5"/>
    </row>
    <row r="136" spans="2:6" x14ac:dyDescent="0.25">
      <c r="B136" s="8"/>
      <c r="D136" s="6"/>
      <c r="E136" s="5"/>
      <c r="F136" s="5"/>
    </row>
    <row r="137" spans="2:6" x14ac:dyDescent="0.25">
      <c r="B137" s="8"/>
      <c r="D137" s="6"/>
      <c r="E137" s="5"/>
      <c r="F137" s="5"/>
    </row>
    <row r="138" spans="2:6" x14ac:dyDescent="0.25">
      <c r="B138" s="8"/>
      <c r="D138" s="6"/>
      <c r="E138" s="5"/>
      <c r="F138" s="5"/>
    </row>
    <row r="139" spans="2:6" x14ac:dyDescent="0.25">
      <c r="B139" s="8"/>
      <c r="D139" s="6"/>
      <c r="E139" s="5"/>
      <c r="F139" s="5"/>
    </row>
    <row r="140" spans="2:6" x14ac:dyDescent="0.25">
      <c r="B140" s="8"/>
      <c r="D140" s="6"/>
      <c r="E140" s="5"/>
      <c r="F140" s="5"/>
    </row>
    <row r="141" spans="2:6" x14ac:dyDescent="0.25">
      <c r="B141" s="8"/>
      <c r="D141" s="6"/>
      <c r="E141" s="5"/>
      <c r="F141" s="5"/>
    </row>
    <row r="142" spans="2:6" x14ac:dyDescent="0.25">
      <c r="B142" s="8"/>
      <c r="D142" s="6"/>
      <c r="E142" s="5"/>
      <c r="F142" s="5"/>
    </row>
    <row r="143" spans="2:6" x14ac:dyDescent="0.25">
      <c r="B143" s="8"/>
      <c r="D143" s="6"/>
      <c r="E143" s="5"/>
      <c r="F143" s="5"/>
    </row>
    <row r="144" spans="2:6" x14ac:dyDescent="0.25">
      <c r="B144" s="8"/>
      <c r="D144" s="6"/>
      <c r="E144" s="5"/>
      <c r="F144" s="5"/>
    </row>
    <row r="145" spans="2:6" x14ac:dyDescent="0.25">
      <c r="B145" s="8"/>
      <c r="D145" s="6"/>
      <c r="E145" s="5"/>
      <c r="F145" s="5"/>
    </row>
  </sheetData>
  <autoFilter ref="A3:O145" xr:uid="{2EE7E908-8DE2-4FD6-BB7A-1DA67190C67A}"/>
  <mergeCells count="13">
    <mergeCell ref="A2:A3"/>
    <mergeCell ref="B2:B3"/>
    <mergeCell ref="C2:C3"/>
    <mergeCell ref="D2:D3"/>
    <mergeCell ref="G2:H2"/>
    <mergeCell ref="N2:N3"/>
    <mergeCell ref="O2:O3"/>
    <mergeCell ref="M2:M3"/>
    <mergeCell ref="F2:F3"/>
    <mergeCell ref="E2:E3"/>
    <mergeCell ref="K2:K3"/>
    <mergeCell ref="J2:J3"/>
    <mergeCell ref="I2:I3"/>
  </mergeCells>
  <conditionalFormatting sqref="C71:C73">
    <cfRule type="duplicateValues" dxfId="3" priority="4"/>
  </conditionalFormatting>
  <conditionalFormatting sqref="C150:C1048576 C74:C142 C1:C3 C5:C70">
    <cfRule type="duplicateValues" dxfId="2" priority="7"/>
  </conditionalFormatting>
  <conditionalFormatting sqref="D12">
    <cfRule type="duplicateValues" dxfId="1" priority="2"/>
  </conditionalFormatting>
  <dataValidations count="3"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E150:E1048576 E1:E145" xr:uid="{C876B902-3CDF-4B09-8F5D-F790F4B7B977}">
      <formula1>$O$4:$O$8</formula1>
    </dataValidation>
    <dataValidation type="list" allowBlank="1" showInputMessage="1" showErrorMessage="1" sqref="J1:J1048576" xr:uid="{DA5935DB-B2A7-4FBF-9166-94B0508C6228}">
      <formula1>$M$4:$M$8</formula1>
    </dataValidation>
  </dataValidations>
  <pageMargins left="0.25" right="0.25" top="0.75" bottom="0.33" header="0.3" footer="0.3"/>
  <pageSetup paperSize="9" scale="4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  <pageSetUpPr fitToPage="1"/>
  </sheetPr>
  <dimension ref="A1:R35"/>
  <sheetViews>
    <sheetView zoomScale="55" zoomScaleNormal="5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1" activeCellId="3" sqref="I4 I6 I9 I11"/>
    </sheetView>
  </sheetViews>
  <sheetFormatPr defaultColWidth="9.09765625" defaultRowHeight="23.4" x14ac:dyDescent="0.25"/>
  <cols>
    <col min="1" max="1" width="12.59765625" style="3" customWidth="1"/>
    <col min="2" max="2" width="11.19921875" style="3" bestFit="1" customWidth="1"/>
    <col min="3" max="3" width="19.19921875" style="63" bestFit="1" customWidth="1"/>
    <col min="4" max="4" width="21.09765625" style="4" bestFit="1" customWidth="1"/>
    <col min="5" max="5" width="19" style="4" bestFit="1" customWidth="1"/>
    <col min="6" max="6" width="12.19921875" style="4" customWidth="1"/>
    <col min="7" max="8" width="15.19921875" style="3" customWidth="1"/>
    <col min="9" max="9" width="15.19921875" style="45" customWidth="1"/>
    <col min="10" max="10" width="23.8984375" style="3" bestFit="1" customWidth="1"/>
    <col min="11" max="11" width="20.09765625" style="3" bestFit="1" customWidth="1"/>
    <col min="12" max="12" width="12" style="3" customWidth="1"/>
    <col min="13" max="13" width="45.8984375" style="3" bestFit="1" customWidth="1"/>
    <col min="14" max="14" width="29.19921875" style="3" customWidth="1"/>
    <col min="15" max="15" width="29.3984375" style="3" customWidth="1"/>
    <col min="16" max="18" width="36.09765625" style="3" customWidth="1"/>
    <col min="19" max="16384" width="9.09765625" style="3"/>
  </cols>
  <sheetData>
    <row r="1" spans="1:18" ht="33" thickBot="1" x14ac:dyDescent="0.3">
      <c r="A1" s="7" t="s">
        <v>131</v>
      </c>
      <c r="H1" s="48" t="s">
        <v>16</v>
      </c>
      <c r="I1" s="47">
        <f>SUBTOTAL(9,I4:I11953)</f>
        <v>1935</v>
      </c>
      <c r="J1" s="49" t="s">
        <v>85</v>
      </c>
    </row>
    <row r="2" spans="1:18" s="2" customFormat="1" ht="27" thickTop="1" x14ac:dyDescent="0.25">
      <c r="A2" s="141" t="s">
        <v>0</v>
      </c>
      <c r="B2" s="141" t="s">
        <v>4</v>
      </c>
      <c r="C2" s="147" t="s">
        <v>5</v>
      </c>
      <c r="D2" s="149" t="s">
        <v>2</v>
      </c>
      <c r="E2" s="143" t="s">
        <v>23</v>
      </c>
      <c r="F2" s="143" t="s">
        <v>21</v>
      </c>
      <c r="G2" s="141" t="s">
        <v>1</v>
      </c>
      <c r="H2" s="141"/>
      <c r="I2" s="145" t="s">
        <v>84</v>
      </c>
      <c r="J2" s="141" t="s">
        <v>3</v>
      </c>
      <c r="K2" s="125" t="s">
        <v>20</v>
      </c>
      <c r="M2" s="121" t="s">
        <v>8</v>
      </c>
      <c r="N2" s="121" t="s">
        <v>21</v>
      </c>
      <c r="O2" s="121" t="s">
        <v>73</v>
      </c>
    </row>
    <row r="3" spans="1:18" s="2" customFormat="1" ht="26.4" x14ac:dyDescent="0.25">
      <c r="A3" s="141"/>
      <c r="B3" s="142"/>
      <c r="C3" s="148"/>
      <c r="D3" s="150"/>
      <c r="E3" s="144"/>
      <c r="F3" s="144"/>
      <c r="G3" s="64" t="s">
        <v>6</v>
      </c>
      <c r="H3" s="64" t="s">
        <v>7</v>
      </c>
      <c r="I3" s="146"/>
      <c r="J3" s="142"/>
      <c r="K3" s="140"/>
      <c r="M3" s="136"/>
      <c r="N3" s="136"/>
      <c r="O3" s="136"/>
    </row>
    <row r="4" spans="1:18" x14ac:dyDescent="0.6">
      <c r="A4" s="3">
        <v>1</v>
      </c>
      <c r="B4" s="8">
        <v>244075</v>
      </c>
      <c r="C4" s="63" t="s">
        <v>160</v>
      </c>
      <c r="D4" s="5" t="s">
        <v>150</v>
      </c>
      <c r="E4" s="4" t="s">
        <v>82</v>
      </c>
      <c r="F4" s="5" t="s">
        <v>25</v>
      </c>
      <c r="G4" s="3" t="s">
        <v>300</v>
      </c>
      <c r="I4" s="46">
        <v>420</v>
      </c>
      <c r="J4" s="3" t="s">
        <v>10</v>
      </c>
      <c r="M4" s="9" t="s">
        <v>10</v>
      </c>
      <c r="N4" s="9" t="s">
        <v>25</v>
      </c>
      <c r="O4" s="43" t="s">
        <v>24</v>
      </c>
      <c r="P4" s="2"/>
      <c r="Q4" s="2"/>
      <c r="R4" s="2"/>
    </row>
    <row r="5" spans="1:18" ht="23.4" customHeight="1" x14ac:dyDescent="0.6">
      <c r="A5" s="3">
        <v>2</v>
      </c>
      <c r="B5" s="8">
        <v>244095</v>
      </c>
      <c r="C5" s="4" t="s">
        <v>353</v>
      </c>
      <c r="D5" s="4" t="s">
        <v>354</v>
      </c>
      <c r="E5" s="4" t="s">
        <v>82</v>
      </c>
      <c r="F5" s="5" t="s">
        <v>25</v>
      </c>
      <c r="G5" s="3" t="s">
        <v>301</v>
      </c>
      <c r="H5" s="4" t="s">
        <v>302</v>
      </c>
      <c r="I5" s="65">
        <v>130</v>
      </c>
      <c r="J5" s="3" t="s">
        <v>9</v>
      </c>
      <c r="M5" s="9" t="s">
        <v>9</v>
      </c>
      <c r="N5" s="9" t="s">
        <v>26</v>
      </c>
      <c r="O5" s="44" t="s">
        <v>22</v>
      </c>
      <c r="P5" s="2"/>
      <c r="Q5" s="2"/>
      <c r="R5" s="2"/>
    </row>
    <row r="6" spans="1:18" x14ac:dyDescent="0.6">
      <c r="A6" s="3">
        <v>3</v>
      </c>
      <c r="B6" s="8">
        <v>244095</v>
      </c>
      <c r="C6" s="4" t="s">
        <v>356</v>
      </c>
      <c r="D6" s="4" t="s">
        <v>355</v>
      </c>
      <c r="E6" s="4" t="s">
        <v>22</v>
      </c>
      <c r="F6" s="5" t="s">
        <v>25</v>
      </c>
      <c r="G6" s="1" t="s">
        <v>303</v>
      </c>
      <c r="H6" s="1" t="s">
        <v>304</v>
      </c>
      <c r="I6" s="65">
        <v>218</v>
      </c>
      <c r="J6" s="3" t="s">
        <v>10</v>
      </c>
      <c r="M6" s="9" t="s">
        <v>11</v>
      </c>
      <c r="N6" s="9" t="s">
        <v>28</v>
      </c>
      <c r="O6" s="43" t="s">
        <v>30</v>
      </c>
      <c r="P6" s="2"/>
      <c r="Q6" s="2"/>
      <c r="R6" s="2"/>
    </row>
    <row r="7" spans="1:18" x14ac:dyDescent="0.6">
      <c r="A7" s="3">
        <v>4</v>
      </c>
      <c r="B7" s="8">
        <v>244100</v>
      </c>
      <c r="C7" s="63" t="s">
        <v>349</v>
      </c>
      <c r="D7" s="63" t="s">
        <v>295</v>
      </c>
      <c r="E7" s="4" t="s">
        <v>82</v>
      </c>
      <c r="F7" s="5" t="s">
        <v>25</v>
      </c>
      <c r="G7" s="6" t="s">
        <v>305</v>
      </c>
      <c r="H7" s="65" t="s">
        <v>306</v>
      </c>
      <c r="I7" s="65">
        <v>119</v>
      </c>
      <c r="J7" s="3" t="s">
        <v>9</v>
      </c>
      <c r="M7" s="9" t="s">
        <v>18</v>
      </c>
      <c r="N7" s="9" t="s">
        <v>27</v>
      </c>
      <c r="O7" s="9" t="s">
        <v>81</v>
      </c>
      <c r="P7" s="2"/>
      <c r="Q7" s="2"/>
      <c r="R7" s="2"/>
    </row>
    <row r="8" spans="1:18" x14ac:dyDescent="0.6">
      <c r="A8" s="3">
        <v>5</v>
      </c>
      <c r="B8" s="8">
        <v>244100</v>
      </c>
      <c r="C8" s="63" t="s">
        <v>350</v>
      </c>
      <c r="D8" s="63" t="s">
        <v>296</v>
      </c>
      <c r="E8" s="4" t="s">
        <v>82</v>
      </c>
      <c r="F8" s="5" t="s">
        <v>25</v>
      </c>
      <c r="G8" s="3" t="s">
        <v>307</v>
      </c>
      <c r="H8" s="4" t="s">
        <v>308</v>
      </c>
      <c r="I8" s="65">
        <v>160</v>
      </c>
      <c r="J8" s="3" t="s">
        <v>9</v>
      </c>
      <c r="M8" s="9" t="s">
        <v>88</v>
      </c>
      <c r="N8" s="9" t="s">
        <v>29</v>
      </c>
      <c r="O8" s="9" t="s">
        <v>82</v>
      </c>
      <c r="P8" s="2"/>
      <c r="Q8" s="2"/>
      <c r="R8" s="2"/>
    </row>
    <row r="9" spans="1:18" x14ac:dyDescent="0.6">
      <c r="A9" s="3">
        <v>6</v>
      </c>
      <c r="B9" s="8">
        <v>244100</v>
      </c>
      <c r="C9" s="63" t="s">
        <v>351</v>
      </c>
      <c r="D9" s="63" t="s">
        <v>297</v>
      </c>
      <c r="E9" s="4" t="s">
        <v>82</v>
      </c>
      <c r="F9" s="5" t="s">
        <v>25</v>
      </c>
      <c r="G9" s="3" t="s">
        <v>299</v>
      </c>
      <c r="H9" s="65"/>
      <c r="I9" s="65">
        <v>219</v>
      </c>
      <c r="J9" s="3" t="s">
        <v>10</v>
      </c>
      <c r="M9" s="9" t="s">
        <v>110</v>
      </c>
      <c r="P9" s="2"/>
      <c r="Q9" s="2"/>
      <c r="R9" s="2"/>
    </row>
    <row r="10" spans="1:18" x14ac:dyDescent="0.6">
      <c r="A10" s="3">
        <v>7</v>
      </c>
      <c r="B10" s="8">
        <v>244100</v>
      </c>
      <c r="C10" s="63" t="s">
        <v>352</v>
      </c>
      <c r="D10" s="63" t="s">
        <v>298</v>
      </c>
      <c r="E10" s="4" t="s">
        <v>82</v>
      </c>
      <c r="F10" s="5" t="s">
        <v>25</v>
      </c>
      <c r="G10" s="3" t="s">
        <v>309</v>
      </c>
      <c r="H10" s="4" t="s">
        <v>310</v>
      </c>
      <c r="I10" s="65">
        <v>450</v>
      </c>
      <c r="J10" s="3" t="s">
        <v>9</v>
      </c>
      <c r="P10" s="2"/>
      <c r="Q10" s="2"/>
      <c r="R10" s="2"/>
    </row>
    <row r="11" spans="1:18" x14ac:dyDescent="0.25">
      <c r="A11" s="3">
        <v>8</v>
      </c>
      <c r="B11" s="8">
        <v>244104</v>
      </c>
      <c r="C11" s="63" t="s">
        <v>362</v>
      </c>
      <c r="D11" s="4" t="s">
        <v>360</v>
      </c>
      <c r="E11" s="4" t="s">
        <v>82</v>
      </c>
      <c r="F11" s="5" t="s">
        <v>25</v>
      </c>
      <c r="G11" s="3" t="s">
        <v>361</v>
      </c>
      <c r="I11" s="45">
        <v>219</v>
      </c>
      <c r="J11" s="3" t="s">
        <v>10</v>
      </c>
      <c r="P11" s="2"/>
      <c r="Q11" s="2"/>
      <c r="R11" s="2"/>
    </row>
    <row r="15" spans="1:18" x14ac:dyDescent="0.25">
      <c r="B15" s="8"/>
      <c r="C15" s="4"/>
      <c r="F15" s="5"/>
    </row>
    <row r="16" spans="1:18" x14ac:dyDescent="0.25">
      <c r="B16" s="8"/>
      <c r="D16" s="63"/>
      <c r="F16" s="5"/>
    </row>
    <row r="17" spans="2:8" x14ac:dyDescent="0.25">
      <c r="B17" s="8"/>
      <c r="F17" s="5"/>
    </row>
    <row r="18" spans="2:8" x14ac:dyDescent="0.25">
      <c r="B18" s="8"/>
      <c r="F18" s="5"/>
    </row>
    <row r="19" spans="2:8" x14ac:dyDescent="0.25">
      <c r="B19" s="8"/>
      <c r="F19" s="5"/>
    </row>
    <row r="20" spans="2:8" x14ac:dyDescent="0.25">
      <c r="B20" s="8"/>
      <c r="F20" s="5"/>
    </row>
    <row r="21" spans="2:8" x14ac:dyDescent="0.25">
      <c r="B21" s="8"/>
      <c r="F21" s="5"/>
    </row>
    <row r="22" spans="2:8" x14ac:dyDescent="0.25">
      <c r="B22" s="8"/>
      <c r="F22" s="5"/>
    </row>
    <row r="23" spans="2:8" x14ac:dyDescent="0.25">
      <c r="B23" s="8"/>
      <c r="F23" s="5"/>
    </row>
    <row r="24" spans="2:8" x14ac:dyDescent="0.25">
      <c r="B24" s="8"/>
      <c r="F24" s="5"/>
    </row>
    <row r="25" spans="2:8" x14ac:dyDescent="0.25">
      <c r="B25" s="8"/>
      <c r="F25" s="5"/>
      <c r="H25" s="45"/>
    </row>
    <row r="26" spans="2:8" x14ac:dyDescent="0.25">
      <c r="B26" s="8"/>
      <c r="F26" s="5"/>
    </row>
    <row r="27" spans="2:8" x14ac:dyDescent="0.25">
      <c r="B27" s="8"/>
      <c r="F27" s="5"/>
    </row>
    <row r="28" spans="2:8" x14ac:dyDescent="0.25">
      <c r="B28" s="8"/>
      <c r="F28" s="5"/>
    </row>
    <row r="29" spans="2:8" x14ac:dyDescent="0.25">
      <c r="B29" s="8"/>
      <c r="F29" s="5"/>
    </row>
    <row r="30" spans="2:8" x14ac:dyDescent="0.25">
      <c r="B30" s="8"/>
      <c r="F30" s="5"/>
    </row>
    <row r="31" spans="2:8" x14ac:dyDescent="0.25">
      <c r="B31" s="8"/>
      <c r="F31" s="5"/>
    </row>
    <row r="32" spans="2:8" x14ac:dyDescent="0.25">
      <c r="B32" s="8"/>
      <c r="F32" s="5"/>
    </row>
    <row r="33" spans="2:6" x14ac:dyDescent="0.25">
      <c r="B33" s="8"/>
      <c r="F33" s="5"/>
    </row>
    <row r="34" spans="2:6" x14ac:dyDescent="0.25">
      <c r="B34" s="8"/>
      <c r="F34" s="5"/>
    </row>
    <row r="35" spans="2:6" x14ac:dyDescent="0.25">
      <c r="B35" s="8"/>
      <c r="F35" s="5"/>
    </row>
  </sheetData>
  <autoFilter ref="A3:X35" xr:uid="{5D80EBCA-1D2A-4602-883D-0120B5DC9240}"/>
  <dataConsolidate/>
  <mergeCells count="13">
    <mergeCell ref="A2:A3"/>
    <mergeCell ref="B2:B3"/>
    <mergeCell ref="C2:C3"/>
    <mergeCell ref="D2:D3"/>
    <mergeCell ref="G2:H2"/>
    <mergeCell ref="K2:K3"/>
    <mergeCell ref="M2:M3"/>
    <mergeCell ref="O2:O3"/>
    <mergeCell ref="J2:J3"/>
    <mergeCell ref="E2:E3"/>
    <mergeCell ref="F2:F3"/>
    <mergeCell ref="N2:N3"/>
    <mergeCell ref="I2:I3"/>
  </mergeCells>
  <phoneticPr fontId="16" type="noConversion"/>
  <conditionalFormatting sqref="D4">
    <cfRule type="duplicateValues" dxfId="0" priority="1"/>
  </conditionalFormatting>
  <dataValidations count="7">
    <dataValidation type="list" allowBlank="1" showInputMessage="1" showErrorMessage="1" sqref="J1:J3 J36:J1048576" xr:uid="{2736945C-7942-4DEE-A17E-B5B71DE7D63A}">
      <formula1>$M$4:$M$11</formula1>
    </dataValidation>
    <dataValidation type="list" allowBlank="1" showInputMessage="1" showErrorMessage="1" sqref="J1" xr:uid="{6386DB5B-366E-4860-AC40-E9147377B08D}">
      <formula1>$M$4:$M$23</formula1>
    </dataValidation>
    <dataValidation type="list" allowBlank="1" showInputMessage="1" showErrorMessage="1" sqref="J17:J35" xr:uid="{07F56AF3-2174-4216-B7DF-9600C7C491FB}">
      <formula1>$N$4:$N$17</formula1>
    </dataValidation>
    <dataValidation type="list" allowBlank="1" showInputMessage="1" showErrorMessage="1" sqref="E39:E1048576 E15:E35 E1:E11" xr:uid="{D2FC0E2E-1651-4C21-9903-7CD645E6E4FF}">
      <formula1>$O$4:$O$8</formula1>
    </dataValidation>
    <dataValidation type="list" allowBlank="1" showInputMessage="1" showErrorMessage="1" sqref="F39:F1048576 F1:F3 F15:F35" xr:uid="{55F7DB15-91F3-41AA-B28C-C90A1171C47B}">
      <formula1>$N$2:$N$11</formula1>
    </dataValidation>
    <dataValidation type="list" allowBlank="1" showInputMessage="1" showErrorMessage="1" sqref="J4 J9 J6 J11" xr:uid="{2318AFAB-28D3-454E-96A4-10B1906DD664}">
      <formula1>$M$4:$M$10</formula1>
    </dataValidation>
    <dataValidation type="list" allowBlank="1" showInputMessage="1" showErrorMessage="1" sqref="F4:F11" xr:uid="{8691C287-F782-48F9-8B58-2EDE19D4FC42}">
      <formula1>$N$4:$N$9</formula1>
    </dataValidation>
  </dataValidations>
  <pageMargins left="0.25" right="0.25" top="0.75" bottom="0.75" header="0.3" footer="0.3"/>
  <pageSetup paperSize="9" scale="4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K35"/>
  <sheetViews>
    <sheetView zoomScale="70" zoomScaleNormal="70" workbookViewId="0">
      <pane xSplit="5" ySplit="3" topLeftCell="V19" activePane="bottomRight" state="frozen"/>
      <selection activeCell="E22" sqref="E22"/>
      <selection pane="topRight" activeCell="E22" sqref="E22"/>
      <selection pane="bottomLeft" activeCell="E22" sqref="E22"/>
      <selection pane="bottomRight" activeCell="AJ38" sqref="AJ38"/>
    </sheetView>
  </sheetViews>
  <sheetFormatPr defaultColWidth="9.09765625" defaultRowHeight="23.4" x14ac:dyDescent="0.25"/>
  <cols>
    <col min="1" max="1" width="13.09765625" style="3" customWidth="1"/>
    <col min="2" max="2" width="25.19921875" style="3" bestFit="1" customWidth="1"/>
    <col min="3" max="3" width="22.3984375" style="3" bestFit="1" customWidth="1"/>
    <col min="4" max="4" width="22.69921875" style="3" bestFit="1" customWidth="1"/>
    <col min="5" max="5" width="16.3984375" style="3" bestFit="1" customWidth="1"/>
    <col min="6" max="6" width="22.69921875" style="3" bestFit="1" customWidth="1"/>
    <col min="7" max="7" width="15.19921875" style="3" bestFit="1" customWidth="1"/>
    <col min="8" max="8" width="22.69921875" style="3" bestFit="1" customWidth="1"/>
    <col min="9" max="9" width="10.796875" style="3" bestFit="1" customWidth="1"/>
    <col min="10" max="10" width="12.296875" style="3" bestFit="1" customWidth="1"/>
    <col min="11" max="11" width="15.3984375" style="3" bestFit="1" customWidth="1"/>
    <col min="12" max="12" width="13" style="3" bestFit="1" customWidth="1"/>
    <col min="13" max="13" width="9.796875" style="3" bestFit="1" customWidth="1"/>
    <col min="14" max="14" width="7" style="3" bestFit="1" customWidth="1"/>
    <col min="15" max="15" width="10.19921875" style="3" bestFit="1" customWidth="1"/>
    <col min="16" max="16" width="14.3984375" style="3" bestFit="1" customWidth="1"/>
    <col min="17" max="17" width="12.296875" style="3" bestFit="1" customWidth="1"/>
    <col min="18" max="18" width="7.796875" style="3" bestFit="1" customWidth="1"/>
    <col min="19" max="19" width="17.3984375" style="3" bestFit="1" customWidth="1"/>
    <col min="20" max="20" width="15.09765625" style="3" bestFit="1" customWidth="1"/>
    <col min="21" max="21" width="12.09765625" style="3" bestFit="1" customWidth="1"/>
    <col min="22" max="23" width="18.796875" style="3" bestFit="1" customWidth="1"/>
    <col min="24" max="24" width="15.09765625" style="3" bestFit="1" customWidth="1"/>
    <col min="25" max="25" width="10.3984375" style="3" bestFit="1" customWidth="1"/>
    <col min="26" max="26" width="10" style="3" bestFit="1" customWidth="1"/>
    <col min="27" max="27" width="7" style="3" bestFit="1" customWidth="1"/>
    <col min="28" max="28" width="6.69921875" style="3" bestFit="1" customWidth="1"/>
    <col min="29" max="29" width="9.19921875" style="3" bestFit="1" customWidth="1"/>
    <col min="30" max="30" width="8.19921875" style="3" bestFit="1" customWidth="1"/>
    <col min="31" max="31" width="13.796875" style="3" bestFit="1" customWidth="1"/>
    <col min="32" max="32" width="7.19921875" style="3" bestFit="1" customWidth="1"/>
    <col min="33" max="33" width="9.796875" style="3" bestFit="1" customWidth="1"/>
    <col min="34" max="34" width="14" style="3" bestFit="1" customWidth="1"/>
    <col min="35" max="35" width="9.19921875" style="3" bestFit="1" customWidth="1"/>
    <col min="36" max="36" width="8.09765625" style="3" bestFit="1" customWidth="1"/>
    <col min="37" max="37" width="21.796875" style="3" bestFit="1" customWidth="1"/>
    <col min="38" max="16384" width="9.09765625" style="3"/>
  </cols>
  <sheetData>
    <row r="1" spans="1:37" s="26" customFormat="1" ht="32.4" x14ac:dyDescent="0.25">
      <c r="A1" s="7" t="s">
        <v>132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</row>
    <row r="2" spans="1:37" s="25" customFormat="1" ht="26.25" customHeight="1" x14ac:dyDescent="0.25">
      <c r="A2" s="151" t="s">
        <v>31</v>
      </c>
      <c r="B2" s="152" t="s">
        <v>97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3" t="s">
        <v>58</v>
      </c>
    </row>
    <row r="3" spans="1:37" s="25" customFormat="1" ht="26.4" x14ac:dyDescent="0.25">
      <c r="A3" s="151"/>
      <c r="B3" s="67" t="s">
        <v>101</v>
      </c>
      <c r="C3" s="67" t="s">
        <v>102</v>
      </c>
      <c r="D3" s="67" t="s">
        <v>103</v>
      </c>
      <c r="E3" s="67" t="s">
        <v>104</v>
      </c>
      <c r="F3" s="67" t="s">
        <v>33</v>
      </c>
      <c r="G3" s="67" t="s">
        <v>32</v>
      </c>
      <c r="H3" s="67" t="s">
        <v>34</v>
      </c>
      <c r="I3" s="67" t="s">
        <v>35</v>
      </c>
      <c r="J3" s="67" t="s">
        <v>105</v>
      </c>
      <c r="K3" s="67" t="s">
        <v>92</v>
      </c>
      <c r="L3" s="67" t="s">
        <v>36</v>
      </c>
      <c r="M3" s="67" t="s">
        <v>37</v>
      </c>
      <c r="N3" s="67" t="s">
        <v>38</v>
      </c>
      <c r="O3" s="67" t="s">
        <v>39</v>
      </c>
      <c r="P3" s="67" t="s">
        <v>106</v>
      </c>
      <c r="Q3" s="67" t="s">
        <v>107</v>
      </c>
      <c r="R3" s="67" t="s">
        <v>40</v>
      </c>
      <c r="S3" s="67" t="s">
        <v>41</v>
      </c>
      <c r="T3" s="67" t="s">
        <v>42</v>
      </c>
      <c r="U3" s="67" t="s">
        <v>43</v>
      </c>
      <c r="V3" s="67" t="s">
        <v>44</v>
      </c>
      <c r="W3" s="67" t="s">
        <v>45</v>
      </c>
      <c r="X3" s="67" t="s">
        <v>46</v>
      </c>
      <c r="Y3" s="67" t="s">
        <v>47</v>
      </c>
      <c r="Z3" s="67" t="s">
        <v>48</v>
      </c>
      <c r="AA3" s="67" t="s">
        <v>49</v>
      </c>
      <c r="AB3" s="67" t="s">
        <v>50</v>
      </c>
      <c r="AC3" s="67" t="s">
        <v>51</v>
      </c>
      <c r="AD3" s="67" t="s">
        <v>52</v>
      </c>
      <c r="AE3" s="67" t="s">
        <v>93</v>
      </c>
      <c r="AF3" s="67" t="s">
        <v>108</v>
      </c>
      <c r="AG3" s="67" t="s">
        <v>96</v>
      </c>
      <c r="AH3" s="67" t="s">
        <v>109</v>
      </c>
      <c r="AI3" s="67" t="s">
        <v>53</v>
      </c>
      <c r="AJ3" s="67" t="s">
        <v>122</v>
      </c>
      <c r="AK3" s="154"/>
    </row>
    <row r="4" spans="1:37" ht="22.2" customHeight="1" x14ac:dyDescent="0.25">
      <c r="A4" s="27">
        <v>244075</v>
      </c>
      <c r="D4" s="3">
        <v>2</v>
      </c>
      <c r="I4" s="3">
        <v>13</v>
      </c>
      <c r="AK4" s="28">
        <f>SUM(B4:AJ4)</f>
        <v>15</v>
      </c>
    </row>
    <row r="5" spans="1:37" x14ac:dyDescent="0.25">
      <c r="A5" s="27">
        <v>244076</v>
      </c>
      <c r="D5" s="3">
        <v>3</v>
      </c>
      <c r="E5" s="3">
        <v>1</v>
      </c>
      <c r="I5" s="3">
        <v>3</v>
      </c>
      <c r="AI5" s="3">
        <v>1</v>
      </c>
      <c r="AK5" s="28">
        <f t="shared" ref="AK5:AK34" si="0">SUM(B5:AJ5)</f>
        <v>8</v>
      </c>
    </row>
    <row r="6" spans="1:37" x14ac:dyDescent="0.25">
      <c r="A6" s="27">
        <v>244077</v>
      </c>
      <c r="AK6" s="28">
        <f t="shared" si="0"/>
        <v>0</v>
      </c>
    </row>
    <row r="7" spans="1:37" x14ac:dyDescent="0.25">
      <c r="A7" s="27">
        <v>244078</v>
      </c>
      <c r="AK7" s="28">
        <f t="shared" si="0"/>
        <v>0</v>
      </c>
    </row>
    <row r="8" spans="1:37" x14ac:dyDescent="0.25">
      <c r="A8" s="27">
        <v>244079</v>
      </c>
      <c r="AK8" s="28">
        <f t="shared" si="0"/>
        <v>0</v>
      </c>
    </row>
    <row r="9" spans="1:37" x14ac:dyDescent="0.25">
      <c r="A9" s="27">
        <v>244080</v>
      </c>
      <c r="AK9" s="28">
        <f t="shared" si="0"/>
        <v>0</v>
      </c>
    </row>
    <row r="10" spans="1:37" x14ac:dyDescent="0.25">
      <c r="A10" s="27">
        <v>244081</v>
      </c>
      <c r="I10" s="3">
        <v>6</v>
      </c>
      <c r="AI10" s="3">
        <v>6</v>
      </c>
      <c r="AK10" s="28">
        <f t="shared" si="0"/>
        <v>12</v>
      </c>
    </row>
    <row r="11" spans="1:37" x14ac:dyDescent="0.25">
      <c r="A11" s="27">
        <v>244082</v>
      </c>
      <c r="AK11" s="28">
        <f t="shared" si="0"/>
        <v>0</v>
      </c>
    </row>
    <row r="12" spans="1:37" x14ac:dyDescent="0.25">
      <c r="A12" s="27">
        <v>244083</v>
      </c>
      <c r="AK12" s="28">
        <f t="shared" si="0"/>
        <v>0</v>
      </c>
    </row>
    <row r="13" spans="1:37" x14ac:dyDescent="0.25">
      <c r="A13" s="27">
        <v>244084</v>
      </c>
      <c r="AK13" s="28">
        <f t="shared" si="0"/>
        <v>0</v>
      </c>
    </row>
    <row r="14" spans="1:37" x14ac:dyDescent="0.25">
      <c r="A14" s="27">
        <v>244085</v>
      </c>
      <c r="AK14" s="28">
        <f t="shared" si="0"/>
        <v>0</v>
      </c>
    </row>
    <row r="15" spans="1:37" x14ac:dyDescent="0.25">
      <c r="A15" s="27">
        <v>244086</v>
      </c>
      <c r="AK15" s="28">
        <f t="shared" si="0"/>
        <v>0</v>
      </c>
    </row>
    <row r="16" spans="1:37" x14ac:dyDescent="0.25">
      <c r="A16" s="27">
        <v>244087</v>
      </c>
      <c r="AK16" s="28">
        <f t="shared" si="0"/>
        <v>0</v>
      </c>
    </row>
    <row r="17" spans="1:37" x14ac:dyDescent="0.25">
      <c r="A17" s="27">
        <v>244088</v>
      </c>
      <c r="AK17" s="28">
        <f t="shared" si="0"/>
        <v>0</v>
      </c>
    </row>
    <row r="18" spans="1:37" x14ac:dyDescent="0.25">
      <c r="A18" s="27">
        <v>244089</v>
      </c>
      <c r="AK18" s="28">
        <f t="shared" si="0"/>
        <v>0</v>
      </c>
    </row>
    <row r="19" spans="1:37" x14ac:dyDescent="0.25">
      <c r="A19" s="27">
        <v>244090</v>
      </c>
      <c r="E19" s="3">
        <v>3</v>
      </c>
      <c r="G19" s="3">
        <v>3</v>
      </c>
      <c r="I19" s="3">
        <v>36</v>
      </c>
      <c r="AI19" s="3">
        <v>33</v>
      </c>
      <c r="AK19" s="28">
        <f t="shared" si="0"/>
        <v>75</v>
      </c>
    </row>
    <row r="20" spans="1:37" x14ac:dyDescent="0.25">
      <c r="A20" s="27">
        <v>244091</v>
      </c>
      <c r="AK20" s="28">
        <f t="shared" si="0"/>
        <v>0</v>
      </c>
    </row>
    <row r="21" spans="1:37" x14ac:dyDescent="0.25">
      <c r="A21" s="27">
        <v>244092</v>
      </c>
      <c r="AI21" s="3">
        <v>15</v>
      </c>
      <c r="AK21" s="28">
        <f t="shared" si="0"/>
        <v>15</v>
      </c>
    </row>
    <row r="22" spans="1:37" x14ac:dyDescent="0.25">
      <c r="A22" s="27">
        <v>244093</v>
      </c>
      <c r="AK22" s="28">
        <f t="shared" si="0"/>
        <v>0</v>
      </c>
    </row>
    <row r="23" spans="1:37" x14ac:dyDescent="0.25">
      <c r="A23" s="27">
        <v>244094</v>
      </c>
      <c r="D23" s="3">
        <v>3</v>
      </c>
      <c r="G23" s="3">
        <v>6</v>
      </c>
      <c r="H23" s="3">
        <v>3</v>
      </c>
      <c r="I23" s="3">
        <v>33</v>
      </c>
      <c r="AB23" s="3">
        <v>1</v>
      </c>
      <c r="AI23" s="3">
        <v>54</v>
      </c>
      <c r="AK23" s="28">
        <f t="shared" si="0"/>
        <v>100</v>
      </c>
    </row>
    <row r="24" spans="1:37" x14ac:dyDescent="0.25">
      <c r="A24" s="27">
        <v>244095</v>
      </c>
      <c r="H24" s="3">
        <v>2</v>
      </c>
      <c r="I24" s="3">
        <v>7</v>
      </c>
      <c r="AI24" s="3">
        <v>15</v>
      </c>
      <c r="AK24" s="28">
        <f t="shared" si="0"/>
        <v>24</v>
      </c>
    </row>
    <row r="25" spans="1:37" x14ac:dyDescent="0.25">
      <c r="A25" s="27">
        <v>244096</v>
      </c>
      <c r="I25" s="3">
        <v>15</v>
      </c>
      <c r="AI25" s="3">
        <v>3</v>
      </c>
      <c r="AK25" s="28">
        <f t="shared" si="0"/>
        <v>18</v>
      </c>
    </row>
    <row r="26" spans="1:37" x14ac:dyDescent="0.25">
      <c r="A26" s="27">
        <v>244097</v>
      </c>
      <c r="I26" s="3">
        <v>3</v>
      </c>
      <c r="AI26" s="3">
        <v>21</v>
      </c>
      <c r="AK26" s="28">
        <f t="shared" si="0"/>
        <v>24</v>
      </c>
    </row>
    <row r="27" spans="1:37" x14ac:dyDescent="0.25">
      <c r="A27" s="27">
        <v>244098</v>
      </c>
      <c r="AH27" s="3">
        <v>5</v>
      </c>
      <c r="AI27" s="3">
        <v>6</v>
      </c>
      <c r="AK27" s="28">
        <f t="shared" si="0"/>
        <v>11</v>
      </c>
    </row>
    <row r="28" spans="1:37" x14ac:dyDescent="0.25">
      <c r="A28" s="27">
        <v>244099</v>
      </c>
      <c r="I28" s="3">
        <v>6</v>
      </c>
      <c r="AI28" s="3">
        <v>6</v>
      </c>
      <c r="AK28" s="28">
        <f t="shared" si="0"/>
        <v>12</v>
      </c>
    </row>
    <row r="29" spans="1:37" x14ac:dyDescent="0.25">
      <c r="A29" s="27">
        <v>244100</v>
      </c>
      <c r="G29" s="3">
        <v>2</v>
      </c>
      <c r="H29" s="3">
        <v>11</v>
      </c>
      <c r="I29" s="3">
        <v>4</v>
      </c>
      <c r="AI29" s="3">
        <v>1</v>
      </c>
      <c r="AK29" s="28">
        <f t="shared" si="0"/>
        <v>18</v>
      </c>
    </row>
    <row r="30" spans="1:37" x14ac:dyDescent="0.25">
      <c r="A30" s="27">
        <v>244101</v>
      </c>
      <c r="AK30" s="28">
        <f t="shared" si="0"/>
        <v>0</v>
      </c>
    </row>
    <row r="31" spans="1:37" x14ac:dyDescent="0.25">
      <c r="A31" s="27">
        <v>244102</v>
      </c>
      <c r="G31" s="3">
        <v>3</v>
      </c>
      <c r="H31" s="3">
        <v>6</v>
      </c>
      <c r="I31" s="3">
        <v>9</v>
      </c>
      <c r="AB31" s="3">
        <v>3</v>
      </c>
      <c r="AI31" s="3">
        <v>12</v>
      </c>
      <c r="AK31" s="28">
        <f t="shared" si="0"/>
        <v>33</v>
      </c>
    </row>
    <row r="32" spans="1:37" x14ac:dyDescent="0.25">
      <c r="A32" s="27">
        <v>244103</v>
      </c>
      <c r="AI32" s="3">
        <v>15</v>
      </c>
      <c r="AK32" s="28">
        <f t="shared" si="0"/>
        <v>15</v>
      </c>
    </row>
    <row r="33" spans="1:37" x14ac:dyDescent="0.25">
      <c r="A33" s="27">
        <v>244104</v>
      </c>
      <c r="AK33" s="28">
        <f t="shared" si="0"/>
        <v>0</v>
      </c>
    </row>
    <row r="34" spans="1:37" x14ac:dyDescent="0.25">
      <c r="A34" s="27">
        <v>244105</v>
      </c>
      <c r="AK34" s="28">
        <f t="shared" si="0"/>
        <v>0</v>
      </c>
    </row>
    <row r="35" spans="1:37" x14ac:dyDescent="0.25">
      <c r="A35" s="28" t="s">
        <v>57</v>
      </c>
      <c r="B35" s="28">
        <f>SUM(B4:B34)</f>
        <v>0</v>
      </c>
      <c r="C35" s="28">
        <f t="shared" ref="C35:AJ35" si="1">SUM(C4:C34)</f>
        <v>0</v>
      </c>
      <c r="D35" s="28">
        <f t="shared" si="1"/>
        <v>8</v>
      </c>
      <c r="E35" s="28">
        <f t="shared" si="1"/>
        <v>4</v>
      </c>
      <c r="F35" s="28">
        <f t="shared" si="1"/>
        <v>0</v>
      </c>
      <c r="G35" s="28">
        <f t="shared" si="1"/>
        <v>14</v>
      </c>
      <c r="H35" s="28">
        <f t="shared" si="1"/>
        <v>22</v>
      </c>
      <c r="I35" s="28">
        <f t="shared" si="1"/>
        <v>135</v>
      </c>
      <c r="J35" s="28">
        <f t="shared" si="1"/>
        <v>0</v>
      </c>
      <c r="K35" s="28">
        <f t="shared" si="1"/>
        <v>0</v>
      </c>
      <c r="L35" s="28">
        <f t="shared" si="1"/>
        <v>0</v>
      </c>
      <c r="M35" s="28">
        <f t="shared" si="1"/>
        <v>0</v>
      </c>
      <c r="N35" s="28">
        <f t="shared" si="1"/>
        <v>0</v>
      </c>
      <c r="O35" s="28">
        <f t="shared" si="1"/>
        <v>0</v>
      </c>
      <c r="P35" s="28">
        <f t="shared" si="1"/>
        <v>0</v>
      </c>
      <c r="Q35" s="28">
        <f t="shared" si="1"/>
        <v>0</v>
      </c>
      <c r="R35" s="28">
        <f t="shared" si="1"/>
        <v>0</v>
      </c>
      <c r="S35" s="28">
        <f t="shared" si="1"/>
        <v>0</v>
      </c>
      <c r="T35" s="28">
        <f t="shared" si="1"/>
        <v>0</v>
      </c>
      <c r="U35" s="28">
        <f t="shared" si="1"/>
        <v>0</v>
      </c>
      <c r="V35" s="28">
        <f t="shared" si="1"/>
        <v>0</v>
      </c>
      <c r="W35" s="28">
        <f t="shared" si="1"/>
        <v>0</v>
      </c>
      <c r="X35" s="28">
        <f t="shared" si="1"/>
        <v>0</v>
      </c>
      <c r="Y35" s="28">
        <f t="shared" si="1"/>
        <v>0</v>
      </c>
      <c r="Z35" s="28">
        <f t="shared" si="1"/>
        <v>0</v>
      </c>
      <c r="AA35" s="28">
        <f t="shared" si="1"/>
        <v>0</v>
      </c>
      <c r="AB35" s="28">
        <f t="shared" si="1"/>
        <v>4</v>
      </c>
      <c r="AC35" s="28">
        <f t="shared" si="1"/>
        <v>0</v>
      </c>
      <c r="AD35" s="28">
        <f t="shared" si="1"/>
        <v>0</v>
      </c>
      <c r="AE35" s="28">
        <f t="shared" si="1"/>
        <v>0</v>
      </c>
      <c r="AF35" s="28">
        <f t="shared" si="1"/>
        <v>0</v>
      </c>
      <c r="AG35" s="28">
        <f t="shared" si="1"/>
        <v>0</v>
      </c>
      <c r="AH35" s="28">
        <f t="shared" si="1"/>
        <v>5</v>
      </c>
      <c r="AI35" s="28">
        <f t="shared" si="1"/>
        <v>188</v>
      </c>
      <c r="AJ35" s="28">
        <f t="shared" si="1"/>
        <v>0</v>
      </c>
      <c r="AK35" s="29">
        <f>SUM(B35:AJ35)</f>
        <v>380</v>
      </c>
    </row>
  </sheetData>
  <mergeCells count="3">
    <mergeCell ref="A2:A3"/>
    <mergeCell ref="B2:AJ2"/>
    <mergeCell ref="AK2:AK3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1</vt:i4>
      </vt:variant>
    </vt:vector>
  </HeadingPairs>
  <TitlesOfParts>
    <vt:vector size="10" baseType="lpstr">
      <vt:lpstr>ออเดอร์จัดส่ง เม.ย.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TikTok!Print_Titles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Kanokon plam</cp:lastModifiedBy>
  <cp:lastPrinted>2025-04-21T09:09:39Z</cp:lastPrinted>
  <dcterms:created xsi:type="dcterms:W3CDTF">2024-02-13T02:39:23Z</dcterms:created>
  <dcterms:modified xsi:type="dcterms:W3CDTF">2025-05-02T09:58:15Z</dcterms:modified>
</cp:coreProperties>
</file>