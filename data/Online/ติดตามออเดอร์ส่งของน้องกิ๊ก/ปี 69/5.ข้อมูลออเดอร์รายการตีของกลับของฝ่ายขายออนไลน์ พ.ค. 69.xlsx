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9\"/>
    </mc:Choice>
  </mc:AlternateContent>
  <xr:revisionPtr revIDLastSave="0" documentId="13_ncr:1_{06593675-752B-4D4B-AB5B-ED6CDAE0996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ออเดอร์จัดส่ง พ.ค. 69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TikTok!$A$3:$O$215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fZCLFbrod6mJHk4zvjxEBk0GohO+X2egDE6U7CN+hqI="/>
    </ext>
  </extLst>
</workbook>
</file>

<file path=xl/calcChain.xml><?xml version="1.0" encoding="utf-8"?>
<calcChain xmlns="http://schemas.openxmlformats.org/spreadsheetml/2006/main">
  <c r="B36" i="4" l="1"/>
  <c r="AD35" i="9"/>
  <c r="AC35" i="9"/>
  <c r="AB35" i="9"/>
  <c r="AA35" i="9"/>
  <c r="Z35" i="9"/>
  <c r="Y35" i="9"/>
  <c r="X35" i="9"/>
  <c r="W35" i="9"/>
  <c r="V35" i="9"/>
  <c r="U35" i="9"/>
  <c r="T35" i="9"/>
  <c r="S35" i="9"/>
  <c r="C20" i="3" s="1"/>
  <c r="R35" i="9"/>
  <c r="C19" i="3" s="1"/>
  <c r="Q35" i="9"/>
  <c r="C16" i="3" s="1"/>
  <c r="P35" i="9"/>
  <c r="C15" i="3" s="1"/>
  <c r="O35" i="9"/>
  <c r="N35" i="9"/>
  <c r="M35" i="9"/>
  <c r="L35" i="9"/>
  <c r="K35" i="9"/>
  <c r="J35" i="9"/>
  <c r="C10" i="3" s="1"/>
  <c r="I35" i="9"/>
  <c r="C9" i="3" s="1"/>
  <c r="H35" i="9"/>
  <c r="G35" i="9"/>
  <c r="C8" i="3" s="1"/>
  <c r="F35" i="9"/>
  <c r="C7" i="3" s="1"/>
  <c r="E35" i="9"/>
  <c r="C6" i="3" s="1"/>
  <c r="D35" i="9"/>
  <c r="C5" i="3" s="1"/>
  <c r="C35" i="9"/>
  <c r="C4" i="3" s="1"/>
  <c r="B35" i="9"/>
  <c r="C3" i="3" s="1"/>
  <c r="AE34" i="9"/>
  <c r="AE35" i="9" s="1"/>
  <c r="I1" i="8"/>
  <c r="I1" i="7"/>
  <c r="I1" i="6"/>
  <c r="I1" i="5"/>
  <c r="E36" i="4"/>
  <c r="D36" i="4"/>
  <c r="C36" i="4"/>
  <c r="C36" i="3"/>
  <c r="C35" i="3"/>
  <c r="C29" i="3"/>
  <c r="C14" i="3"/>
  <c r="C13" i="3"/>
  <c r="C12" i="3"/>
  <c r="C11" i="3"/>
  <c r="K9" i="2"/>
  <c r="J9" i="2"/>
  <c r="I9" i="2"/>
  <c r="H9" i="2"/>
  <c r="G9" i="2"/>
  <c r="F9" i="2"/>
  <c r="E9" i="2"/>
  <c r="D9" i="2"/>
  <c r="C9" i="2"/>
  <c r="B9" i="2"/>
  <c r="M8" i="2"/>
  <c r="L8" i="2"/>
  <c r="M7" i="2"/>
  <c r="L7" i="2"/>
  <c r="M6" i="2"/>
  <c r="L6" i="2"/>
  <c r="M5" i="2"/>
  <c r="L5" i="2"/>
  <c r="L9" i="2" s="1"/>
  <c r="AG35" i="1"/>
  <c r="AF35" i="1"/>
  <c r="AE35" i="1"/>
  <c r="AD35" i="1"/>
  <c r="AA35" i="1"/>
  <c r="Z35" i="1"/>
  <c r="Y35" i="1"/>
  <c r="X35" i="1"/>
  <c r="W35" i="1"/>
  <c r="T35" i="1"/>
  <c r="S35" i="1"/>
  <c r="R35" i="1"/>
  <c r="Q35" i="1"/>
  <c r="P35" i="1"/>
  <c r="O35" i="1"/>
  <c r="L35" i="1"/>
  <c r="K35" i="1"/>
  <c r="J35" i="1"/>
  <c r="I35" i="1"/>
  <c r="H35" i="1"/>
  <c r="G35" i="1"/>
  <c r="F35" i="1"/>
  <c r="E35" i="1"/>
  <c r="D35" i="1"/>
  <c r="C35" i="1"/>
  <c r="B35" i="1"/>
  <c r="M9" i="2" l="1"/>
  <c r="C39" i="3"/>
</calcChain>
</file>

<file path=xl/sharedStrings.xml><?xml version="1.0" encoding="utf-8"?>
<sst xmlns="http://schemas.openxmlformats.org/spreadsheetml/2006/main" count="957" uniqueCount="463">
  <si>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</si>
  <si>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</si>
  <si>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</si>
  <si>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</si>
  <si>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</si>
  <si>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</si>
  <si>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</si>
  <si>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</si>
  <si>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</si>
  <si>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</si>
  <si>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</si>
  <si>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</si>
  <si>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</si>
  <si>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</si>
  <si>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</si>
  <si>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</si>
  <si>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ค้าง 1 บิล *ขาดเศษขนมปัง ไม่มีของ</t>
  </si>
  <si>
    <t>ยกเลิก 3 บิล (13-3=10) 
ค้าง 10 บิล แฟรช 2 เจแอนที 8 *ขาด ปังแถว ไม่มียอดเบิก</t>
  </si>
  <si>
    <t>ยกเลิก 1 บิล (8-1=7)
ค้าง 7 บิล *ขาดปังแถว สอดไส้ เปี๊ยะ ของไม่ออก</t>
  </si>
  <si>
    <t>ค้าง 29 บิล *ขาด สอดไส้ เปี๊ยะ ปังมินิ ปังแถว ของไม่ออก</t>
  </si>
  <si>
    <t>ยกเลิก 4 บิล (37-4=33)
ค้าง 33 บิล *ขาด สอดไส้ เปี๊ยะ ปังมินิ ปังแถวของไม่ออก</t>
  </si>
  <si>
    <t>ค้าง 40 บิล *ขาด สอดไส้ เปี๊ยะ ปังมินิ ปังแถวของไม่ออก</t>
  </si>
  <si>
    <t>ยกเลิก 1 บิล (1-1=0)</t>
  </si>
  <si>
    <t>ยกเลิก 5 บิล (5-5=0)</t>
  </si>
  <si>
    <t>ยกเลิก 1 บิล (1-1=0)
ค้าง 1 บิล *ขาดเปี๊ยะถัว ไม่มียอดเบิก</t>
  </si>
  <si>
    <t>ยกเลิก 1 บิล (10-1=9)
ค้าง 9 บิล *ขาด สอดไส้ ปังพิสซ่า รวมรส8ชิ้น ไม่มียอดเบิก</t>
  </si>
  <si>
    <t>ค้าง 3 บิล*ขาด เบาหวิว ไม่มียอดเบิก</t>
  </si>
  <si>
    <t>ยกเลิก 1 บิล (2-1=1)
ค้าง 1 บิล* ขาดปังแถวไม่มียิดเบิก</t>
  </si>
  <si>
    <t>ค้าง 5 บิล *ขาดปังพิสซ่า ไม่มียอดเบิก</t>
  </si>
  <si>
    <t>บกเลิก 1 บิล (1-1=0)</t>
  </si>
  <si>
    <t>ยกเลิก 3 บิล (3-3=0)</t>
  </si>
  <si>
    <t>ยกเลิก 2 บิล (16-2=14)
ค้าง 14 บิล *ขาด มินบิน,แฮมเห็ด ขนมไม่ออก</t>
  </si>
  <si>
    <t>ค้าง 2 บิล บิลลงมาบ่าย ปณ เปิดแค่ครึ่งวันเช้า</t>
  </si>
  <si>
    <t>ค้าง 4 บิล *ขาดเปี๊ยะ ของไม่ออก</t>
  </si>
  <si>
    <t>ค้าง 12 บิล *ขาดเปี๊ยะ ของไม่ออก</t>
  </si>
  <si>
    <t>ยกเลิก 2 บิล (22-2=20)
ค้าง 20 บิล *ขาดเปี๊ยะ ปังพิสซ่า มินิบันน้ำสลัด ของไม่ออก</t>
  </si>
  <si>
    <t>ค้าง 13 บิล *ขาดเปี๊ยะ มินิบันน้ำสลัด แฮมเห็ด ของไม่ออก</t>
  </si>
  <si>
    <t>ค้าง 1 บิล *ขาด มินิบันพริกเผา ของไม่ออก</t>
  </si>
  <si>
    <t>ยกเลิก 4 บิล (14-4=10)
ค้าง 10 บิล *ขาด มินิบันพริกเผา ของไม่ออก</t>
  </si>
  <si>
    <t>ค้าง 8 บิล *ขาด มินิบันพริกเผา ของไม่ออก</t>
  </si>
  <si>
    <t xml:space="preserve">ยกเลิก 4 บิล (9-4=5)
ค้าง 5 บิล แฟรช1 เจแอนที4 *ขาด ปังแถว ไม่มียอดเบิก,ขาดมินิบันน้ำสลัด ไม่มีของ </t>
  </si>
  <si>
    <t>ยกเลิก 3 บิล (7-3=4)
ค้าง 4 บิล *ขาด ยอดฮิต ของไม่ออก</t>
  </si>
  <si>
    <t>ยกเลิก 1 บิล (2-1=1)
ค้าง 1 บิล *ขาดยอดฮิต ของไม่ออก</t>
  </si>
  <si>
    <t>ค้าง 4 บิล *ขาด เปี๊ยะ ของไม่ออก</t>
  </si>
  <si>
    <t>ค้าง 12 *ขาด เปี๊ยะ ไม่มีของ ยอดเบิกในวันไม่มี มีเมโม่ วันที่ 19/5/2569</t>
  </si>
  <si>
    <t>ค้าง 6 *ขาด เปี๊ยะ ไม่มีของ ยอดเบิกในวันไม่มี มีเมโม่ วันที่ 19/5/2569</t>
  </si>
  <si>
    <t>ยกเลิก 7 บิล (113-7=106)
ค้าง 106 *ขาด เปี๊ยะ ไม่มีของ ยอดเบิกในวันไม่มี มีเมโม่ วันที่ 19/5/2569</t>
  </si>
  <si>
    <t>ยกเลิก 3 บิล (6-3=3)
ค้าง 3 บิล *ขาดปังแถวไม่มีของ ขาดมินิบันไก่หยองน้ำสลัดไม่มียอดเบิก</t>
  </si>
  <si>
    <t>ยกเลิก 11 บิล (77-11=66)
บิลค้าง 66 บิล *ขาดปังแถวไม่มีของ ขาดมินิบันน้ำสลัด ไม่มียอดเบิก</t>
  </si>
  <si>
    <t>บิลค้าง 1 *ขาด ปังพิสซ่า ไม่มียอดเบิก</t>
  </si>
  <si>
    <t>ยกเลิก 8 บิล (8-8=0)</t>
  </si>
  <si>
    <t>ค้าง 5 บิล *ขาด ปังแถว,พิสซ่า,เบาหวิว,มินิบันน้ำสลัด ไม่มียอดเบิก</t>
  </si>
  <si>
    <t>ค้าง 4 บิล *ขาด ปังแถว,พิสซ่า,เบาหวิว,มินิบันน้ำสลัด ไม่มียอดเบิก</t>
  </si>
  <si>
    <t>ค้าง 2 บิล *ขาด มินิบันน้ำสลัด ไม่มียอดเบิก</t>
  </si>
  <si>
    <t>ค้าง 1 บิล *ขาดเปี๊ยะถั่ว ไม่มียอดเบิก</t>
  </si>
  <si>
    <t>ยกเลิก 1 บิล (4-1=3)
บิลค้าง 3 บิล *ขาดขนมเปี๊ยะถั่ว ไม่มียอดเบิก</t>
  </si>
  <si>
    <t>ยกเลิก 2 บิล (35-2=33)
ค้าง 33 บิล *ขาด เบาหวิวคละรส ของออกไม่ครบ</t>
  </si>
  <si>
    <t>ค้าง 4 บิล *ขาด เบาหวิวคละรส ของออกไม่ครบ</t>
  </si>
  <si>
    <t>ยกเลิก 6 บิล (6-6=0)</t>
  </si>
  <si>
    <t>ยกเลิก 4 บิล (4-4=0)</t>
  </si>
  <si>
    <t>ยกเลิก 2 บิล (2-2=0)</t>
  </si>
  <si>
    <t>ค้าง 1 บิล * ขาดเบาหวิวฝอยใหญ่ ไม่มียอดเบิก</t>
  </si>
  <si>
    <t>ยกเลิก 3 บิล (8-3=5)
ค้าง 5 บิล *ขาดปังพิสซ่า ไม่มียอดเบิก</t>
  </si>
  <si>
    <t>รวม</t>
  </si>
  <si>
    <t>สรุปรายการของตีกลับของช่องทางออนไลน์ เดือนพฤษภาคม  2569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</si>
  <si>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</si>
  <si>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</si>
  <si>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</si>
  <si>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</si>
  <si>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</si>
  <si>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</si>
  <si>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</si>
  <si>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</si>
  <si>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</si>
  <si>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</si>
  <si>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</si>
  <si>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</si>
  <si>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</si>
  <si>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</si>
  <si>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</si>
  <si>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</si>
  <si>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เดือนพฤษภาคม  69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</si>
  <si>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</si>
  <si>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</si>
  <si>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</si>
  <si>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</si>
  <si>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</si>
  <si>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</si>
  <si>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</si>
  <si>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</si>
  <si>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</si>
  <si>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</si>
  <si>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</si>
  <si>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</si>
  <si>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</si>
  <si>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</si>
  <si>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</si>
  <si>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</si>
  <si>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</si>
  <si>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</si>
  <si>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</si>
  <si>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</si>
  <si>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</si>
  <si>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</si>
  <si>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</si>
  <si>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</si>
  <si>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</si>
  <si>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</si>
  <si>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</si>
  <si>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</si>
  <si>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</si>
  <si>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</si>
  <si>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</si>
  <si>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</si>
  <si>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</si>
  <si>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</si>
  <si>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</si>
  <si>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</si>
  <si>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</si>
  <si>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ยอดรวม</t>
  </si>
  <si>
    <t>ชิ้น</t>
  </si>
  <si>
    <t>สรุปรายการสินค้าที่ตีกลับมานับเป็นจำนวน (กล่อง) เดือนพฤษภาคม  2569</t>
  </si>
  <si>
    <t>ของตีกลับ</t>
  </si>
  <si>
    <t>จำนวนกล่อง</t>
  </si>
  <si>
    <t>รายการของตีกลับช่องทาง LAZADA เดือนพฤษภาคม 2569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</si>
  <si>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</si>
  <si>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</si>
  <si>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</si>
  <si>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</si>
  <si>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</si>
  <si>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</si>
  <si>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</si>
  <si>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</si>
  <si>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</si>
  <si>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</si>
  <si>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</si>
  <si>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</si>
  <si>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</si>
  <si>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1098760724258142</t>
  </si>
  <si>
    <t>LEXPU0679430320</t>
  </si>
  <si>
    <t>LEX TH</t>
  </si>
  <si>
    <t>วรรณวนัช (0944831646)ร้าน 3</t>
  </si>
  <si>
    <t xml:space="preserve">นัดดา </t>
  </si>
  <si>
    <t>ทรัพย์สุวรรณ</t>
  </si>
  <si>
    <t>วรรณวนัช เบเกอรี่ (ร้านที่ 1 ร้านหลัก)</t>
  </si>
  <si>
    <t>1099254508820565</t>
  </si>
  <si>
    <t>LEXPU0679990323</t>
  </si>
  <si>
    <t xml:space="preserve">จินตนา </t>
  </si>
  <si>
    <t>โสดา</t>
  </si>
  <si>
    <t>ของฝากวรรณวนัช (cakewanwanach.lzd)</t>
  </si>
  <si>
    <t>Flash Express Thailand</t>
  </si>
  <si>
    <t>1099254507020565</t>
  </si>
  <si>
    <t>LEXPU0680396812</t>
  </si>
  <si>
    <t>วรรณวนัช ชิฟฟ่อน (chiffonlazada)</t>
  </si>
  <si>
    <t>Kerry_dropoff</t>
  </si>
  <si>
    <t>1091742498852227</t>
  </si>
  <si>
    <t>TH70028NBPY66J</t>
  </si>
  <si>
    <t xml:space="preserve">กิตติพศ </t>
  </si>
  <si>
    <t>เพชรฉิม</t>
  </si>
  <si>
    <t>ลูกค้าแจ้งว่าไม่ได้สั่ง</t>
  </si>
  <si>
    <t>1090473020605128</t>
  </si>
  <si>
    <t>LEXPU0679126485</t>
  </si>
  <si>
    <t xml:space="preserve">น.ส.ดวงนภา </t>
  </si>
  <si>
    <t>พงษ์วิชัยนาง</t>
  </si>
  <si>
    <t>ชิฟฟ่อน กำแพงแสน (chiffonk.kps) ร้าน 6</t>
  </si>
  <si>
    <t>1090727696968277</t>
  </si>
  <si>
    <t>LEXPU0679680302</t>
  </si>
  <si>
    <t xml:space="preserve">ระพีพรรณ </t>
  </si>
  <si>
    <t>หรั่งชะเอม</t>
  </si>
  <si>
    <t>วรรณวนัช ของอร่อย (cakewanwanach.kps) ร้าน 8</t>
  </si>
  <si>
    <t>1100246569567726</t>
  </si>
  <si>
    <t>TH68148NGTQE3B</t>
  </si>
  <si>
    <t>ป้ายเขียว</t>
  </si>
  <si>
    <t>ของฝาก นครปฐม (khongfhak.kps)</t>
  </si>
  <si>
    <t>1100246569367726</t>
  </si>
  <si>
    <t>TH68148NFSHQ4B</t>
  </si>
  <si>
    <t>วรรณวนัช ไทยแลนด์ (chiffon.kps)</t>
  </si>
  <si>
    <t>1101766981009520</t>
  </si>
  <si>
    <t>LEXPU0683632922</t>
  </si>
  <si>
    <t xml:space="preserve">นางอรรยา </t>
  </si>
  <si>
    <t>ขอนดอก</t>
  </si>
  <si>
    <t>ของอร่อยกำแพงแสน (kahnomcake.lzd)ร้าน 9</t>
  </si>
  <si>
    <t>1100925747604397</t>
  </si>
  <si>
    <t>TH54028NZ7M39B</t>
  </si>
  <si>
    <t xml:space="preserve">มุก </t>
  </si>
  <si>
    <t>มณีจันทร์</t>
  </si>
  <si>
    <t>ชิฟฟ่อน เบเกอรี่ (wanwanachcake)ร้าน 10</t>
  </si>
  <si>
    <t>1092632048680401</t>
  </si>
  <si>
    <t>LEXPU0682427891</t>
  </si>
  <si>
    <t xml:space="preserve">สุรศักดิ์ </t>
  </si>
  <si>
    <t>น้ำในเมือง</t>
  </si>
  <si>
    <t>15/5/2569</t>
  </si>
  <si>
    <t>1100122196505486</t>
  </si>
  <si>
    <t>LEXPU0681479758</t>
  </si>
  <si>
    <t xml:space="preserve">กันยกร </t>
  </si>
  <si>
    <t>สุวรรณี</t>
  </si>
  <si>
    <t>17/5/2569</t>
  </si>
  <si>
    <t>1101846372500912</t>
  </si>
  <si>
    <t>LEXPU0683628449</t>
  </si>
  <si>
    <t xml:space="preserve">ปิยะ </t>
  </si>
  <si>
    <t>ชัยมณี</t>
  </si>
  <si>
    <t>18/5/2569</t>
  </si>
  <si>
    <t>1103049796220325</t>
  </si>
  <si>
    <t>KEXLM1000401997</t>
  </si>
  <si>
    <t>ศุภรักษ์</t>
  </si>
  <si>
    <t>1094168244548858</t>
  </si>
  <si>
    <t>TH63118PW1NW4C</t>
  </si>
  <si>
    <t>จักกะดึ๋ย</t>
  </si>
  <si>
    <t>23/5/2569</t>
  </si>
  <si>
    <t>1096146269896027</t>
  </si>
  <si>
    <t>LEXPU0686818397</t>
  </si>
  <si>
    <t xml:space="preserve">รำไพ </t>
  </si>
  <si>
    <t>ไกรทอง</t>
  </si>
  <si>
    <t>27/5/2569</t>
  </si>
  <si>
    <t>1096212694812542</t>
  </si>
  <si>
    <t>LEXPU0687066322</t>
  </si>
  <si>
    <t xml:space="preserve">วราภรณ์ </t>
  </si>
  <si>
    <t>ชะเวียตะคุ</t>
  </si>
  <si>
    <t>รายการของตีกลับช่องทาง SHOPEE เดือนพฤษภาคม  2569</t>
  </si>
  <si>
    <t>260424M8BS60MV</t>
  </si>
  <si>
    <t>TH266074592091G</t>
  </si>
  <si>
    <t>ร้านที่ 1</t>
  </si>
  <si>
    <t>260504GNDSEBCA</t>
  </si>
  <si>
    <t>TH265698926084O</t>
  </si>
  <si>
    <t>ร้านที่ 2</t>
  </si>
  <si>
    <t>26042945MKGB1R</t>
  </si>
  <si>
    <t>TH262024613521P</t>
  </si>
  <si>
    <t>2605128D43AB9R</t>
  </si>
  <si>
    <t>TH260440799656G</t>
  </si>
  <si>
    <t>J&amp;T</t>
  </si>
  <si>
    <t>25/5/2569</t>
  </si>
  <si>
    <t>2605210182V9AK</t>
  </si>
  <si>
    <t>TH264155290556S</t>
  </si>
  <si>
    <t>Express Delivery</t>
  </si>
  <si>
    <t>SPX Express</t>
  </si>
  <si>
    <t xml:space="preserve">** NOTE </t>
  </si>
  <si>
    <t>ชื่อลูกค้า ไม่มีในข้อมูล Shopee</t>
  </si>
  <si>
    <t>รายการของตีกลับช่องทาง TikTok เดือนพฤษภาคม 2569</t>
  </si>
  <si>
    <t>583532444598764750</t>
  </si>
  <si>
    <t>795064559671</t>
  </si>
  <si>
    <t>J&amp;T Express</t>
  </si>
  <si>
    <t>วรรณวนัชเบเกอรี่ (พี่กุ๊ก)</t>
  </si>
  <si>
    <t>ปฏิเสธ</t>
  </si>
  <si>
    <t>583678035718670294</t>
  </si>
  <si>
    <t>795615688512</t>
  </si>
  <si>
    <t>วรรณวนัช เบเกอรี่ (แอม)</t>
  </si>
  <si>
    <t>583655649819657776</t>
  </si>
  <si>
    <t>795541162522</t>
  </si>
  <si>
    <t>วรรณวนัช โรงงานจำหน่ายโดยตรง (นุ่น)</t>
  </si>
  <si>
    <t>583616903525861059</t>
  </si>
  <si>
    <t>795440861250</t>
  </si>
  <si>
    <t>ของฝากวรรณวนัช By:แอดอั้ม (อั้ม)</t>
  </si>
  <si>
    <t>583734816914638287</t>
  </si>
  <si>
    <t>795896407655</t>
  </si>
  <si>
    <t>เกินเวลานัดรับพัสดุ</t>
  </si>
  <si>
    <t>ชิฟฟ่อนเค้กวรรณวนัช (พี่เอฟ)</t>
  </si>
  <si>
    <t>583623564903548616</t>
  </si>
  <si>
    <t>795449452265</t>
  </si>
  <si>
    <t>เบอร์ผิด</t>
  </si>
  <si>
    <t>583655854258095314</t>
  </si>
  <si>
    <t>795588531570</t>
  </si>
  <si>
    <t>583735121307469006</t>
  </si>
  <si>
    <t>795814004624</t>
  </si>
  <si>
    <t>583696428259116700</t>
  </si>
  <si>
    <t>795737202153</t>
  </si>
  <si>
    <t>583662748480603346</t>
  </si>
  <si>
    <t>795568455076</t>
  </si>
  <si>
    <t>583772296715011978</t>
  </si>
  <si>
    <t>795905293971</t>
  </si>
  <si>
    <t>583758116009379676</t>
  </si>
  <si>
    <t>795920161805</t>
  </si>
  <si>
    <t>583767671248028979</t>
  </si>
  <si>
    <t>795993667700</t>
  </si>
  <si>
    <t>583792542553048106</t>
  </si>
  <si>
    <t>796049871562</t>
  </si>
  <si>
    <t>583772763045004698</t>
  </si>
  <si>
    <t>795973771913</t>
  </si>
  <si>
    <t>583764270180763394</t>
  </si>
  <si>
    <t>795975458880</t>
  </si>
  <si>
    <t>583683253682406568</t>
  </si>
  <si>
    <t>795623358552</t>
  </si>
  <si>
    <t>583783497248310440</t>
  </si>
  <si>
    <t>796089160366</t>
  </si>
  <si>
    <t>13/5/2569</t>
  </si>
  <si>
    <t>583849570585970241</t>
  </si>
  <si>
    <t>796267182572</t>
  </si>
  <si>
    <t>583867691588814677</t>
  </si>
  <si>
    <t>796347675362</t>
  </si>
  <si>
    <t>16/5/2569</t>
  </si>
  <si>
    <t>583936212119488369</t>
  </si>
  <si>
    <t>796550858084</t>
  </si>
  <si>
    <t>583912749366871661</t>
  </si>
  <si>
    <t>796586956292</t>
  </si>
  <si>
    <t>583950218180527849</t>
  </si>
  <si>
    <t>796688685435</t>
  </si>
  <si>
    <t>583931751765411296</t>
  </si>
  <si>
    <t>796508673951</t>
  </si>
  <si>
    <t>583895968289228190</t>
  </si>
  <si>
    <t>796492406861</t>
  </si>
  <si>
    <t>583936307757287322</t>
  </si>
  <si>
    <t>796589729051</t>
  </si>
  <si>
    <t>583908854598895038</t>
  </si>
  <si>
    <t>796524279305</t>
  </si>
  <si>
    <t>21/5/2569</t>
  </si>
  <si>
    <t>583957244543206914</t>
  </si>
  <si>
    <t>796702414115</t>
  </si>
  <si>
    <t>583887967773820533</t>
  </si>
  <si>
    <t>796416694743</t>
  </si>
  <si>
    <t>584002749002254282</t>
  </si>
  <si>
    <t>796882037641</t>
  </si>
  <si>
    <t>584013052020754009</t>
  </si>
  <si>
    <t>796935918155</t>
  </si>
  <si>
    <t>583986188065277103</t>
  </si>
  <si>
    <t>796772816081</t>
  </si>
  <si>
    <t>583990833357424217</t>
  </si>
  <si>
    <t>796852508513</t>
  </si>
  <si>
    <t>22/5/2569</t>
  </si>
  <si>
    <t>584028392341931739</t>
  </si>
  <si>
    <t>796918432774</t>
  </si>
  <si>
    <t>584095524684137880</t>
  </si>
  <si>
    <t>797162735073</t>
  </si>
  <si>
    <t>584060182724707929</t>
  </si>
  <si>
    <t>797022353621</t>
  </si>
  <si>
    <t>584021780676838651</t>
  </si>
  <si>
    <t>796970432764</t>
  </si>
  <si>
    <t>584020562422695672</t>
  </si>
  <si>
    <t>796999619743</t>
  </si>
  <si>
    <t>26/5/2569</t>
  </si>
  <si>
    <t>584099126466742183</t>
  </si>
  <si>
    <t>797250979560</t>
  </si>
  <si>
    <t>584101066566895271</t>
  </si>
  <si>
    <t>797212427690</t>
  </si>
  <si>
    <t>584090395443169149</t>
  </si>
  <si>
    <t>797170071014</t>
  </si>
  <si>
    <t>584070037505017331</t>
  </si>
  <si>
    <t>797164018932</t>
  </si>
  <si>
    <t>584110009078482702</t>
  </si>
  <si>
    <t>797203842654</t>
  </si>
  <si>
    <t>584029598274978873</t>
  </si>
  <si>
    <t>796974968613</t>
  </si>
  <si>
    <t>584124302663321040</t>
  </si>
  <si>
    <t>797371604234</t>
  </si>
  <si>
    <t>584116534332393202</t>
  </si>
  <si>
    <t>797266403010</t>
  </si>
  <si>
    <t>584070037505148403</t>
  </si>
  <si>
    <t>797102205001</t>
  </si>
  <si>
    <t>584105737935488770</t>
  </si>
  <si>
    <t>797260481415</t>
  </si>
  <si>
    <t>584090141121087050</t>
  </si>
  <si>
    <t>797117907073</t>
  </si>
  <si>
    <t>29/5/2569</t>
  </si>
  <si>
    <t>584140798402725666</t>
  </si>
  <si>
    <t>797342796633</t>
  </si>
  <si>
    <t>584142204597536581</t>
  </si>
  <si>
    <t>797375361635</t>
  </si>
  <si>
    <t>รายการของตีกลับช่องทาง Facebook , Facebook Live , Line , Line OA (ไปรษณีย์) เดือนพฤษภาคม  2569</t>
  </si>
  <si>
    <t>HBM1</t>
  </si>
  <si>
    <t>WA123974158TH</t>
  </si>
  <si>
    <t>ไปรษณีย์ไทย</t>
  </si>
  <si>
    <t>Facebook</t>
  </si>
  <si>
    <t xml:space="preserve">สากล </t>
  </si>
  <si>
    <t>จันทวิชัย</t>
  </si>
  <si>
    <t>HBX94</t>
  </si>
  <si>
    <t>WA124961005TH</t>
  </si>
  <si>
    <t xml:space="preserve">ชื่อเกษรา </t>
  </si>
  <si>
    <t>บุญรักษ์</t>
  </si>
  <si>
    <t>Facebook Live</t>
  </si>
  <si>
    <t>HAY4</t>
  </si>
  <si>
    <t>WA122754513TH</t>
  </si>
  <si>
    <t xml:space="preserve">คุณกานต์รวี </t>
  </si>
  <si>
    <t>แก่นทอง</t>
  </si>
  <si>
    <t>Line</t>
  </si>
  <si>
    <t>HBI80</t>
  </si>
  <si>
    <t>WA123801360TH</t>
  </si>
  <si>
    <t>อรนุช</t>
  </si>
  <si>
    <t>สีมาน</t>
  </si>
  <si>
    <t>Line OA</t>
  </si>
  <si>
    <t>HAR20</t>
  </si>
  <si>
    <t>WA121900395TH</t>
  </si>
  <si>
    <t xml:space="preserve">Banjong </t>
  </si>
  <si>
    <t>Santchat</t>
  </si>
  <si>
    <t>ลูกค้าตีกลับ เนื่องจาก มดขึ้นขนม ขนมมีรสฟาดเฟื่อน</t>
  </si>
  <si>
    <t>Phone</t>
  </si>
  <si>
    <t>HBF53</t>
  </si>
  <si>
    <t>WA123530914TH</t>
  </si>
  <si>
    <t xml:space="preserve">คุณสากล </t>
  </si>
  <si>
    <t>สังข์มงคล</t>
  </si>
  <si>
    <t>HBV18</t>
  </si>
  <si>
    <t>WA124721257TH</t>
  </si>
  <si>
    <t xml:space="preserve">แสงดาว </t>
  </si>
  <si>
    <t>เจริญพันธ์</t>
  </si>
  <si>
    <t>เกินเวลานัดรับ</t>
  </si>
  <si>
    <t>HBU65</t>
  </si>
  <si>
    <t>WA124721345TH</t>
  </si>
  <si>
    <t xml:space="preserve">ศิรินทิพย์ </t>
  </si>
  <si>
    <t>ปลีสุวรรณ</t>
  </si>
  <si>
    <t>9/5/2569</t>
  </si>
  <si>
    <t>HBO82</t>
  </si>
  <si>
    <t>WA124213833TH</t>
  </si>
  <si>
    <t xml:space="preserve">วราพร </t>
  </si>
  <si>
    <t>นวนนุ่น</t>
  </si>
  <si>
    <t>9/5/2570</t>
  </si>
  <si>
    <t>HBR32</t>
  </si>
  <si>
    <t>WA124478455TH</t>
  </si>
  <si>
    <t xml:space="preserve">คุณสกล </t>
  </si>
  <si>
    <t>สุงข์มงคล</t>
  </si>
  <si>
    <t>11/5/2569</t>
  </si>
  <si>
    <t>HCJ82</t>
  </si>
  <si>
    <t>WA125929103TH</t>
  </si>
  <si>
    <t>ชื่อดาว</t>
  </si>
  <si>
    <t>HCH50</t>
  </si>
  <si>
    <t>WA125630380TH</t>
  </si>
  <si>
    <t>ส่งร้านครัวเม็ดทราย</t>
  </si>
  <si>
    <t>HBP4</t>
  </si>
  <si>
    <t>WA124213691TH</t>
  </si>
  <si>
    <t>ขวัญ</t>
  </si>
  <si>
    <t>HCJ57</t>
  </si>
  <si>
    <t>WA125929240TH</t>
  </si>
  <si>
    <t xml:space="preserve">ศิริกานต์ </t>
  </si>
  <si>
    <t>พรมจันทึก</t>
  </si>
  <si>
    <t>HDG31</t>
  </si>
  <si>
    <t>WA137427951TH</t>
  </si>
  <si>
    <t xml:space="preserve">สมใจ </t>
  </si>
  <si>
    <t>ตั้ง</t>
  </si>
  <si>
    <t>HCR34</t>
  </si>
  <si>
    <t>WA126523679TH</t>
  </si>
  <si>
    <t xml:space="preserve">ฐรินดา </t>
  </si>
  <si>
    <t>แถวไทสงฆ์</t>
  </si>
  <si>
    <t>HDJ90</t>
  </si>
  <si>
    <t>WA137724773TH</t>
  </si>
  <si>
    <t>Be Happy Nee</t>
  </si>
  <si>
    <t>HDD72</t>
  </si>
  <si>
    <t>WA137123592TH</t>
  </si>
  <si>
    <t xml:space="preserve">ฤทธิเดช </t>
  </si>
  <si>
    <t>พวงแก้ว</t>
  </si>
  <si>
    <t>HDD71</t>
  </si>
  <si>
    <t>WA137123601TH</t>
  </si>
  <si>
    <t xml:space="preserve">รุ่งเรื่อง </t>
  </si>
  <si>
    <t>แก้วดวงดี</t>
  </si>
  <si>
    <t>20/5/2569</t>
  </si>
  <si>
    <t>HDP76</t>
  </si>
  <si>
    <t>WA138275360TH</t>
  </si>
  <si>
    <t>ผู้น้ำ</t>
  </si>
  <si>
    <t>HEK5</t>
  </si>
  <si>
    <t>WA139465175TH</t>
  </si>
  <si>
    <t xml:space="preserve">นพวรรณ </t>
  </si>
  <si>
    <t>ชีวะเกรียงไกร</t>
  </si>
  <si>
    <t>28/5/2569</t>
  </si>
  <si>
    <t>HET99</t>
  </si>
  <si>
    <t>WA140666333TH</t>
  </si>
  <si>
    <t>สมชาย</t>
  </si>
  <si>
    <t>อยู่ใจ</t>
  </si>
  <si>
    <t>HEJ61</t>
  </si>
  <si>
    <t>WA139465396TH</t>
  </si>
  <si>
    <t xml:space="preserve">Kusuma </t>
  </si>
  <si>
    <t>Koloy</t>
  </si>
  <si>
    <t>รายการสินค้าที่ตีกลับมารวมทุกช่องทางขายออนไลน์ เดือนพฤษภาคม  2569</t>
  </si>
  <si>
    <t>สินค้าที่ตีกลับ</t>
  </si>
  <si>
    <t>ยอดรวม/วัน (ทุกรายการ)</t>
  </si>
  <si>
    <t>ชิฟฟอนไส้ 3 ชิ้น</t>
  </si>
  <si>
    <t>เบาหวิว ญ</t>
  </si>
  <si>
    <t>ปังพิซซ่า</t>
  </si>
  <si>
    <t>คุกกี้ฮ่องกง(ชิ้น)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</si>
</sst>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m/d/yyyy"/>
  </numFmts>
  <fonts count="19" x14ac:knownFonts="1">
    <font>
      <sz val="11"/>
      <color theme="1"/>
      <name val="Calibri"/>
      <scheme val="minor"/>
    </font>
    <font>
      <b/>
      <sz val="18"/>
      <color theme="1"/>
      <name val="Angsana New"/>
    </font>
    <font>
      <sz val="11"/>
      <name val="Calibri"/>
    </font>
    <font>
      <sz val="16"/>
      <color theme="1"/>
      <name val="Angsana New"/>
    </font>
    <font>
      <b/>
      <sz val="22"/>
      <color theme="1"/>
      <name val="Angsana New"/>
    </font>
    <font>
      <b/>
      <sz val="16"/>
      <color theme="1"/>
      <name val="Angsana New"/>
    </font>
    <font>
      <b/>
      <sz val="16"/>
      <color rgb="FF00B050"/>
      <name val="Angsana New"/>
    </font>
    <font>
      <b/>
      <sz val="16"/>
      <color rgb="FFFF0066"/>
      <name val="Angsana New"/>
    </font>
    <font>
      <b/>
      <sz val="16"/>
      <color rgb="FF0000FF"/>
      <name val="Angsana New"/>
    </font>
    <font>
      <b/>
      <sz val="16"/>
      <color rgb="FF6600CC"/>
      <name val="Angsana New"/>
    </font>
    <font>
      <b/>
      <sz val="16"/>
      <color rgb="FFFF0000"/>
      <name val="Angsana New"/>
    </font>
    <font>
      <b/>
      <sz val="20"/>
      <color theme="1"/>
      <name val="Angsana New"/>
    </font>
    <font>
      <b/>
      <sz val="20"/>
      <color rgb="FF0000FF"/>
      <name val="Angsana New"/>
    </font>
    <font>
      <sz val="11"/>
      <color theme="1"/>
      <name val="Calibri"/>
    </font>
    <font>
      <sz val="11"/>
      <color theme="1"/>
      <name val="Calibri"/>
    </font>
    <font>
      <sz val="16"/>
      <color rgb="FFFF0000"/>
      <name val="Angsana New"/>
    </font>
    <font>
      <sz val="22"/>
      <color theme="1"/>
      <name val="Angsana New"/>
    </font>
    <font>
      <b/>
      <sz val="10"/>
      <color theme="1"/>
      <name val="Arial"/>
    </font>
    <font>
      <b/>
      <sz val="18"/>
      <color rgb="FF0000FF"/>
      <name val="Angsana New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/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19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187" fontId="6" fillId="0" borderId="19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87" fontId="7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87" fontId="8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87" fontId="9" fillId="0" borderId="19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87" fontId="10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87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0" xfId="0" applyFont="1" applyBorder="1" applyAlignment="1">
      <alignment horizontal="center"/>
    </xf>
    <xf numFmtId="187" fontId="1" fillId="0" borderId="20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2" fillId="0" borderId="2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19" borderId="8" xfId="0" applyFont="1" applyFill="1" applyBorder="1" applyAlignment="1">
      <alignment horizontal="center" wrapText="1"/>
    </xf>
    <xf numFmtId="0" fontId="5" fillId="20" borderId="8" xfId="0" applyFont="1" applyFill="1" applyBorder="1" applyAlignment="1">
      <alignment horizontal="center" wrapText="1"/>
    </xf>
    <xf numFmtId="0" fontId="5" fillId="21" borderId="8" xfId="0" applyFont="1" applyFill="1" applyBorder="1" applyAlignment="1">
      <alignment horizontal="center" wrapText="1"/>
    </xf>
    <xf numFmtId="0" fontId="5" fillId="22" borderId="8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right"/>
    </xf>
    <xf numFmtId="0" fontId="5" fillId="0" borderId="21" xfId="0" applyFont="1" applyBorder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87" fontId="1" fillId="0" borderId="2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19" borderId="22" xfId="0" applyFont="1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9" borderId="23" xfId="0" applyFont="1" applyFill="1" applyBorder="1" applyAlignment="1">
      <alignment horizontal="center" vertical="center"/>
    </xf>
    <xf numFmtId="49" fontId="5" fillId="19" borderId="19" xfId="0" applyNumberFormat="1" applyFont="1" applyFill="1" applyBorder="1" applyAlignment="1">
      <alignment horizontal="center" vertical="center"/>
    </xf>
    <xf numFmtId="0" fontId="5" fillId="19" borderId="19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19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 wrapText="1"/>
    </xf>
    <xf numFmtId="188" fontId="3" fillId="0" borderId="0" xfId="0" applyNumberFormat="1" applyFont="1" applyAlignment="1">
      <alignment horizontal="center" vertical="center"/>
    </xf>
    <xf numFmtId="0" fontId="5" fillId="20" borderId="22" xfId="0" applyFont="1" applyFill="1" applyBorder="1" applyAlignment="1">
      <alignment horizontal="center" vertical="center"/>
    </xf>
    <xf numFmtId="0" fontId="5" fillId="20" borderId="23" xfId="0" applyFont="1" applyFill="1" applyBorder="1" applyAlignment="1">
      <alignment horizontal="center" vertical="center"/>
    </xf>
    <xf numFmtId="0" fontId="5" fillId="20" borderId="24" xfId="0" applyFont="1" applyFill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5" fillId="23" borderId="8" xfId="0" applyFont="1" applyFill="1" applyBorder="1" applyAlignment="1">
      <alignment horizontal="center" vertical="center"/>
    </xf>
    <xf numFmtId="49" fontId="15" fillId="23" borderId="8" xfId="0" applyNumberFormat="1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" fillId="15" borderId="19" xfId="0" applyFont="1" applyFill="1" applyBorder="1" applyAlignment="1">
      <alignment vertical="center"/>
    </xf>
    <xf numFmtId="0" fontId="5" fillId="15" borderId="19" xfId="0" applyFont="1" applyFill="1" applyBorder="1" applyAlignment="1">
      <alignment horizontal="center"/>
    </xf>
    <xf numFmtId="0" fontId="5" fillId="15" borderId="27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88" fontId="3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187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187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right" vertical="center"/>
    </xf>
    <xf numFmtId="187" fontId="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" fillId="10" borderId="28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14" fontId="15" fillId="23" borderId="8" xfId="0" applyNumberFormat="1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87" fontId="1" fillId="11" borderId="11" xfId="0" applyNumberFormat="1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1" fillId="12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1" fillId="13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2" fillId="0" borderId="10" xfId="0" applyFont="1" applyBorder="1"/>
    <xf numFmtId="0" fontId="1" fillId="11" borderId="11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5" fillId="17" borderId="4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wrapText="1"/>
    </xf>
    <xf numFmtId="49" fontId="5" fillId="19" borderId="16" xfId="0" applyNumberFormat="1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2" fillId="0" borderId="28" xfId="0" applyFont="1" applyBorder="1"/>
    <xf numFmtId="0" fontId="1" fillId="10" borderId="28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vertical="center"/>
    </xf>
    <xf numFmtId="0" fontId="2" fillId="0" borderId="26" xfId="0" applyFont="1" applyBorder="1"/>
    <xf numFmtId="0" fontId="18" fillId="12" borderId="1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G1000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K5" sqref="A4:K5"/>
    </sheetView>
  </sheetViews>
  <sheetFormatPr defaultColWidth="14.44140625" defaultRowHeight="15" customHeight="1" x14ac:dyDescent="0.3"/>
  <cols>
    <col min="1" max="29" width="8.88671875" customWidth="1"/>
    <col min="30" max="33" width="17.33203125" customWidth="1"/>
  </cols>
  <sheetData>
    <row r="1" spans="1:33" ht="25.5" customHeight="1" x14ac:dyDescent="0.3">
      <c r="A1" s="117" t="s">
        <v>0</v>
      </c>
      <c r="B1" s="119" t="s">
        <v>1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"/>
      <c r="N1" s="123" t="s">
        <v>2</v>
      </c>
      <c r="O1" s="115"/>
      <c r="P1" s="115"/>
      <c r="Q1" s="115"/>
      <c r="R1" s="115"/>
      <c r="S1" s="115"/>
      <c r="T1" s="115"/>
      <c r="U1" s="1"/>
      <c r="V1" s="114" t="s">
        <v>3</v>
      </c>
      <c r="W1" s="115"/>
      <c r="X1" s="115"/>
      <c r="Y1" s="115"/>
      <c r="Z1" s="115"/>
      <c r="AA1" s="115"/>
      <c r="AB1" s="2"/>
      <c r="AC1" s="116" t="s">
        <v>4</v>
      </c>
      <c r="AD1" s="115"/>
      <c r="AE1" s="115"/>
      <c r="AF1" s="115"/>
      <c r="AG1" s="115"/>
    </row>
    <row r="2" spans="1:33" ht="25.5" customHeight="1" x14ac:dyDescent="0.3">
      <c r="A2" s="118"/>
      <c r="B2" s="121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"/>
      <c r="N2" s="124" t="s">
        <v>0</v>
      </c>
      <c r="O2" s="123" t="s">
        <v>1</v>
      </c>
      <c r="P2" s="115"/>
      <c r="Q2" s="115"/>
      <c r="R2" s="115"/>
      <c r="S2" s="115"/>
      <c r="T2" s="115"/>
      <c r="U2" s="1"/>
      <c r="V2" s="125" t="s">
        <v>0</v>
      </c>
      <c r="W2" s="114" t="s">
        <v>1</v>
      </c>
      <c r="X2" s="115"/>
      <c r="Y2" s="115"/>
      <c r="Z2" s="115"/>
      <c r="AA2" s="115"/>
      <c r="AB2" s="2"/>
      <c r="AC2" s="126" t="s">
        <v>0</v>
      </c>
      <c r="AD2" s="116" t="s">
        <v>1</v>
      </c>
      <c r="AE2" s="115"/>
      <c r="AF2" s="115"/>
      <c r="AG2" s="115"/>
    </row>
    <row r="3" spans="1:33" ht="25.5" customHeight="1" x14ac:dyDescent="0.3">
      <c r="A3" s="118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118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118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118"/>
      <c r="AD3" s="3" t="s">
        <v>5</v>
      </c>
      <c r="AE3" s="4" t="s">
        <v>7</v>
      </c>
      <c r="AF3" s="5" t="s">
        <v>9</v>
      </c>
      <c r="AG3" s="7" t="s">
        <v>13</v>
      </c>
    </row>
    <row r="4" spans="1:33" ht="196.5" customHeight="1" x14ac:dyDescent="0.3">
      <c r="A4" s="9">
        <v>1</v>
      </c>
      <c r="B4" s="9">
        <v>9</v>
      </c>
      <c r="C4" s="9">
        <v>0</v>
      </c>
      <c r="D4" s="9">
        <v>56</v>
      </c>
      <c r="E4" s="9">
        <v>4</v>
      </c>
      <c r="F4" s="9">
        <v>159</v>
      </c>
      <c r="G4" s="9">
        <v>0</v>
      </c>
      <c r="H4" s="9"/>
      <c r="I4" s="9"/>
      <c r="J4" s="9">
        <v>13</v>
      </c>
      <c r="K4" s="9">
        <v>0</v>
      </c>
      <c r="L4" s="9">
        <v>3</v>
      </c>
      <c r="M4" s="2"/>
      <c r="N4" s="9">
        <v>1</v>
      </c>
      <c r="O4" s="9">
        <v>9</v>
      </c>
      <c r="P4" s="9">
        <v>59</v>
      </c>
      <c r="Q4" s="9">
        <v>159</v>
      </c>
      <c r="R4" s="9"/>
      <c r="S4" s="9">
        <v>13</v>
      </c>
      <c r="T4" s="9">
        <v>3</v>
      </c>
      <c r="U4" s="2"/>
      <c r="V4" s="9">
        <v>1</v>
      </c>
      <c r="W4" s="9">
        <v>0</v>
      </c>
      <c r="X4" s="9">
        <v>1</v>
      </c>
      <c r="Y4" s="9">
        <v>0</v>
      </c>
      <c r="Z4" s="9"/>
      <c r="AA4" s="9">
        <v>0</v>
      </c>
      <c r="AB4" s="2"/>
      <c r="AC4" s="9">
        <v>1</v>
      </c>
      <c r="AD4" s="2"/>
      <c r="AE4" s="9" t="s">
        <v>16</v>
      </c>
      <c r="AF4" s="2"/>
      <c r="AG4" s="2"/>
    </row>
    <row r="5" spans="1:33" ht="196.5" customHeight="1" x14ac:dyDescent="0.3">
      <c r="A5" s="9">
        <v>2</v>
      </c>
      <c r="B5" s="9">
        <v>22</v>
      </c>
      <c r="C5" s="9">
        <v>0</v>
      </c>
      <c r="D5" s="9">
        <v>64</v>
      </c>
      <c r="E5" s="9">
        <v>1</v>
      </c>
      <c r="F5" s="9">
        <v>174</v>
      </c>
      <c r="G5" s="9">
        <v>0</v>
      </c>
      <c r="H5" s="9"/>
      <c r="I5" s="9"/>
      <c r="J5" s="9">
        <v>13</v>
      </c>
      <c r="K5" s="9">
        <v>0</v>
      </c>
      <c r="L5" s="9">
        <v>4</v>
      </c>
      <c r="M5" s="2"/>
      <c r="N5" s="9">
        <v>2</v>
      </c>
      <c r="O5" s="9">
        <v>21</v>
      </c>
      <c r="P5" s="9">
        <v>65</v>
      </c>
      <c r="Q5" s="9">
        <v>161</v>
      </c>
      <c r="R5" s="9"/>
      <c r="S5" s="9">
        <v>13</v>
      </c>
      <c r="T5" s="9">
        <v>4</v>
      </c>
      <c r="U5" s="2"/>
      <c r="V5" s="9">
        <v>2</v>
      </c>
      <c r="W5" s="9">
        <v>1</v>
      </c>
      <c r="X5" s="9">
        <v>0</v>
      </c>
      <c r="Y5" s="9">
        <v>10</v>
      </c>
      <c r="Z5" s="9"/>
      <c r="AA5" s="9">
        <v>0</v>
      </c>
      <c r="AB5" s="2"/>
      <c r="AC5" s="9">
        <v>2</v>
      </c>
      <c r="AD5" s="2"/>
      <c r="AE5" s="2"/>
      <c r="AF5" s="2" t="s">
        <v>17</v>
      </c>
      <c r="AG5" s="2"/>
    </row>
    <row r="6" spans="1:33" ht="196.5" customHeight="1" x14ac:dyDescent="0.6">
      <c r="A6" s="9">
        <v>3</v>
      </c>
      <c r="B6" s="9">
        <v>10</v>
      </c>
      <c r="C6" s="9">
        <v>1</v>
      </c>
      <c r="D6" s="9">
        <v>66</v>
      </c>
      <c r="E6" s="9">
        <v>0</v>
      </c>
      <c r="F6" s="9">
        <v>200</v>
      </c>
      <c r="G6" s="9">
        <v>10</v>
      </c>
      <c r="H6" s="9"/>
      <c r="I6" s="9"/>
      <c r="J6" s="9">
        <v>41</v>
      </c>
      <c r="K6" s="9">
        <v>0</v>
      </c>
      <c r="L6" s="9">
        <v>0</v>
      </c>
      <c r="M6" s="2"/>
      <c r="N6" s="9">
        <v>3</v>
      </c>
      <c r="O6" s="9">
        <v>3</v>
      </c>
      <c r="P6" s="9">
        <v>37</v>
      </c>
      <c r="Q6" s="9">
        <v>173</v>
      </c>
      <c r="R6" s="9"/>
      <c r="S6" s="9">
        <v>1</v>
      </c>
      <c r="T6" s="9">
        <v>0</v>
      </c>
      <c r="U6" s="2"/>
      <c r="V6" s="9">
        <v>3</v>
      </c>
      <c r="W6" s="9">
        <v>7</v>
      </c>
      <c r="X6" s="9">
        <v>29</v>
      </c>
      <c r="Y6" s="9">
        <v>33</v>
      </c>
      <c r="Z6" s="9"/>
      <c r="AA6" s="9">
        <v>40</v>
      </c>
      <c r="AB6" s="2"/>
      <c r="AC6" s="9">
        <v>3</v>
      </c>
      <c r="AD6" s="9" t="s">
        <v>18</v>
      </c>
      <c r="AE6" s="9" t="s">
        <v>19</v>
      </c>
      <c r="AF6" s="10" t="s">
        <v>20</v>
      </c>
      <c r="AG6" s="2" t="s">
        <v>21</v>
      </c>
    </row>
    <row r="7" spans="1:33" ht="196.5" customHeight="1" x14ac:dyDescent="0.6">
      <c r="A7" s="9">
        <v>4</v>
      </c>
      <c r="B7" s="9">
        <v>20</v>
      </c>
      <c r="C7" s="9">
        <v>7</v>
      </c>
      <c r="D7" s="9">
        <v>72</v>
      </c>
      <c r="E7" s="9">
        <v>29</v>
      </c>
      <c r="F7" s="9">
        <v>137</v>
      </c>
      <c r="G7" s="9">
        <v>33</v>
      </c>
      <c r="H7" s="9"/>
      <c r="I7" s="9"/>
      <c r="J7" s="9">
        <v>15</v>
      </c>
      <c r="K7" s="9">
        <v>40</v>
      </c>
      <c r="L7" s="9">
        <v>0</v>
      </c>
      <c r="M7" s="2"/>
      <c r="N7" s="9">
        <v>4</v>
      </c>
      <c r="O7" s="9">
        <v>26</v>
      </c>
      <c r="P7" s="9">
        <v>101</v>
      </c>
      <c r="Q7" s="9">
        <v>165</v>
      </c>
      <c r="R7" s="9"/>
      <c r="S7" s="9">
        <v>55</v>
      </c>
      <c r="T7" s="9">
        <v>0</v>
      </c>
      <c r="U7" s="2"/>
      <c r="V7" s="9">
        <v>4</v>
      </c>
      <c r="W7" s="9">
        <v>0</v>
      </c>
      <c r="X7" s="9">
        <v>0</v>
      </c>
      <c r="Y7" s="9">
        <v>0</v>
      </c>
      <c r="Z7" s="9"/>
      <c r="AA7" s="9">
        <v>0</v>
      </c>
      <c r="AB7" s="2"/>
      <c r="AC7" s="9">
        <v>4</v>
      </c>
      <c r="AD7" s="9" t="s">
        <v>22</v>
      </c>
      <c r="AE7" s="9"/>
      <c r="AF7" s="10" t="s">
        <v>23</v>
      </c>
      <c r="AG7" s="2"/>
    </row>
    <row r="8" spans="1:33" ht="196.5" customHeight="1" x14ac:dyDescent="0.3">
      <c r="A8" s="9">
        <v>5</v>
      </c>
      <c r="B8" s="9">
        <v>21</v>
      </c>
      <c r="C8" s="9">
        <v>0</v>
      </c>
      <c r="D8" s="9">
        <v>99</v>
      </c>
      <c r="E8" s="9">
        <v>0</v>
      </c>
      <c r="F8" s="9">
        <v>201</v>
      </c>
      <c r="G8" s="9">
        <v>0</v>
      </c>
      <c r="H8" s="9"/>
      <c r="I8" s="9"/>
      <c r="J8" s="9">
        <v>42</v>
      </c>
      <c r="K8" s="9">
        <v>0</v>
      </c>
      <c r="L8" s="9">
        <v>6</v>
      </c>
      <c r="M8" s="2"/>
      <c r="N8" s="9">
        <v>5</v>
      </c>
      <c r="O8" s="9">
        <v>19</v>
      </c>
      <c r="P8" s="9">
        <v>89</v>
      </c>
      <c r="Q8" s="9">
        <v>196</v>
      </c>
      <c r="R8" s="9"/>
      <c r="S8" s="9">
        <v>42</v>
      </c>
      <c r="T8" s="9">
        <v>3</v>
      </c>
      <c r="U8" s="2"/>
      <c r="V8" s="9">
        <v>5</v>
      </c>
      <c r="W8" s="9">
        <v>1</v>
      </c>
      <c r="X8" s="9">
        <v>9</v>
      </c>
      <c r="Y8" s="9">
        <v>0</v>
      </c>
      <c r="Z8" s="9"/>
      <c r="AA8" s="9">
        <v>0</v>
      </c>
      <c r="AB8" s="2"/>
      <c r="AC8" s="9">
        <v>5</v>
      </c>
      <c r="AD8" s="2" t="s">
        <v>24</v>
      </c>
      <c r="AE8" s="2" t="s">
        <v>25</v>
      </c>
      <c r="AF8" s="9" t="s">
        <v>23</v>
      </c>
      <c r="AG8" s="2"/>
    </row>
    <row r="9" spans="1:33" ht="196.5" customHeight="1" x14ac:dyDescent="0.3">
      <c r="A9" s="9">
        <v>6</v>
      </c>
      <c r="B9" s="9">
        <v>18</v>
      </c>
      <c r="C9" s="9">
        <v>1</v>
      </c>
      <c r="D9" s="9">
        <v>26</v>
      </c>
      <c r="E9" s="9">
        <v>9</v>
      </c>
      <c r="F9" s="9">
        <v>165</v>
      </c>
      <c r="G9" s="9">
        <v>0</v>
      </c>
      <c r="H9" s="9"/>
      <c r="I9" s="9"/>
      <c r="J9" s="9">
        <v>23</v>
      </c>
      <c r="K9" s="9">
        <v>0</v>
      </c>
      <c r="L9" s="9">
        <v>7</v>
      </c>
      <c r="M9" s="2"/>
      <c r="N9" s="9">
        <v>6</v>
      </c>
      <c r="O9" s="9">
        <v>19</v>
      </c>
      <c r="P9" s="9">
        <v>32</v>
      </c>
      <c r="Q9" s="9">
        <v>163</v>
      </c>
      <c r="R9" s="9"/>
      <c r="S9" s="9">
        <v>18</v>
      </c>
      <c r="T9" s="9">
        <v>7</v>
      </c>
      <c r="U9" s="2"/>
      <c r="V9" s="9">
        <v>6</v>
      </c>
      <c r="W9" s="9">
        <v>0</v>
      </c>
      <c r="X9" s="9">
        <v>3</v>
      </c>
      <c r="Y9" s="9">
        <v>1</v>
      </c>
      <c r="Z9" s="9"/>
      <c r="AA9" s="9">
        <v>5</v>
      </c>
      <c r="AB9" s="2"/>
      <c r="AC9" s="9">
        <v>6</v>
      </c>
      <c r="AD9" s="9"/>
      <c r="AE9" s="9" t="s">
        <v>26</v>
      </c>
      <c r="AF9" s="9" t="s">
        <v>27</v>
      </c>
      <c r="AG9" s="2" t="s">
        <v>28</v>
      </c>
    </row>
    <row r="10" spans="1:33" ht="196.5" customHeight="1" x14ac:dyDescent="0.3">
      <c r="A10" s="9">
        <v>7</v>
      </c>
      <c r="B10" s="9">
        <v>12</v>
      </c>
      <c r="C10" s="9">
        <v>0</v>
      </c>
      <c r="D10" s="9">
        <v>50</v>
      </c>
      <c r="E10" s="9">
        <v>3</v>
      </c>
      <c r="F10" s="9">
        <v>212</v>
      </c>
      <c r="G10" s="9">
        <v>1</v>
      </c>
      <c r="H10" s="2"/>
      <c r="I10" s="2"/>
      <c r="J10" s="9">
        <v>45</v>
      </c>
      <c r="K10" s="9">
        <v>5</v>
      </c>
      <c r="L10" s="9">
        <v>1</v>
      </c>
      <c r="M10" s="2"/>
      <c r="N10" s="9">
        <v>7</v>
      </c>
      <c r="O10" s="9">
        <v>12</v>
      </c>
      <c r="P10" s="9">
        <v>52</v>
      </c>
      <c r="Q10" s="9">
        <v>208</v>
      </c>
      <c r="R10" s="2"/>
      <c r="S10" s="9">
        <v>50</v>
      </c>
      <c r="T10" s="9">
        <v>1</v>
      </c>
      <c r="U10" s="2"/>
      <c r="V10" s="9">
        <v>7</v>
      </c>
      <c r="W10" s="9">
        <v>0</v>
      </c>
      <c r="X10" s="9">
        <v>0</v>
      </c>
      <c r="Y10" s="9">
        <v>0</v>
      </c>
      <c r="Z10" s="2"/>
      <c r="AA10" s="9">
        <v>0</v>
      </c>
      <c r="AB10" s="2"/>
      <c r="AC10" s="9">
        <v>7</v>
      </c>
      <c r="AD10" s="2"/>
      <c r="AE10" s="9" t="s">
        <v>22</v>
      </c>
      <c r="AF10" s="9" t="s">
        <v>23</v>
      </c>
      <c r="AG10" s="2"/>
    </row>
    <row r="11" spans="1:33" ht="196.5" customHeight="1" x14ac:dyDescent="0.3">
      <c r="A11" s="9">
        <v>8</v>
      </c>
      <c r="B11" s="9">
        <v>15</v>
      </c>
      <c r="C11" s="9">
        <v>0</v>
      </c>
      <c r="D11" s="9">
        <v>72</v>
      </c>
      <c r="E11" s="9">
        <v>0</v>
      </c>
      <c r="F11" s="9">
        <v>189</v>
      </c>
      <c r="G11" s="9">
        <v>0</v>
      </c>
      <c r="H11" s="2"/>
      <c r="I11" s="2"/>
      <c r="J11" s="9">
        <v>3</v>
      </c>
      <c r="K11" s="9">
        <v>0</v>
      </c>
      <c r="L11" s="9">
        <v>4</v>
      </c>
      <c r="M11" s="2"/>
      <c r="N11" s="9">
        <v>8</v>
      </c>
      <c r="O11" s="9">
        <v>15</v>
      </c>
      <c r="P11" s="9">
        <v>72</v>
      </c>
      <c r="Q11" s="9">
        <v>188</v>
      </c>
      <c r="R11" s="2"/>
      <c r="S11" s="9">
        <v>3</v>
      </c>
      <c r="T11" s="9">
        <v>4</v>
      </c>
      <c r="U11" s="2"/>
      <c r="V11" s="9">
        <v>8</v>
      </c>
      <c r="W11" s="9">
        <v>0</v>
      </c>
      <c r="X11" s="9">
        <v>0</v>
      </c>
      <c r="Y11" s="9">
        <v>0</v>
      </c>
      <c r="Z11" s="2"/>
      <c r="AA11" s="9">
        <v>0</v>
      </c>
      <c r="AB11" s="2"/>
      <c r="AC11" s="9">
        <v>8</v>
      </c>
      <c r="AD11" s="9"/>
      <c r="AE11" s="9"/>
      <c r="AF11" s="2" t="s">
        <v>22</v>
      </c>
      <c r="AG11" s="2"/>
    </row>
    <row r="12" spans="1:33" ht="196.5" customHeight="1" x14ac:dyDescent="0.3">
      <c r="A12" s="9">
        <v>9</v>
      </c>
      <c r="B12" s="9">
        <v>22</v>
      </c>
      <c r="C12" s="9">
        <v>0</v>
      </c>
      <c r="D12" s="9">
        <v>47</v>
      </c>
      <c r="E12" s="9">
        <v>0</v>
      </c>
      <c r="F12" s="9">
        <v>185</v>
      </c>
      <c r="G12" s="9">
        <v>0</v>
      </c>
      <c r="H12" s="2"/>
      <c r="I12" s="2"/>
      <c r="J12" s="9">
        <v>18</v>
      </c>
      <c r="K12" s="9">
        <v>0</v>
      </c>
      <c r="L12" s="9">
        <v>1</v>
      </c>
      <c r="M12" s="2"/>
      <c r="N12" s="9">
        <v>9</v>
      </c>
      <c r="O12" s="9">
        <v>22</v>
      </c>
      <c r="P12" s="9">
        <v>46</v>
      </c>
      <c r="Q12" s="9">
        <v>182</v>
      </c>
      <c r="R12" s="2"/>
      <c r="S12" s="9">
        <v>18</v>
      </c>
      <c r="T12" s="9">
        <v>1</v>
      </c>
      <c r="U12" s="2"/>
      <c r="V12" s="9">
        <v>9</v>
      </c>
      <c r="W12" s="9">
        <v>0</v>
      </c>
      <c r="X12" s="9">
        <v>0</v>
      </c>
      <c r="Y12" s="9">
        <v>0</v>
      </c>
      <c r="Z12" s="2"/>
      <c r="AA12" s="9">
        <v>0</v>
      </c>
      <c r="AB12" s="2"/>
      <c r="AC12" s="9">
        <v>9</v>
      </c>
      <c r="AD12" s="9"/>
      <c r="AE12" s="9" t="s">
        <v>29</v>
      </c>
      <c r="AF12" s="9" t="s">
        <v>30</v>
      </c>
      <c r="AG12" s="2"/>
    </row>
    <row r="13" spans="1:33" ht="196.5" customHeight="1" x14ac:dyDescent="0.3">
      <c r="A13" s="9">
        <v>10</v>
      </c>
      <c r="B13" s="9">
        <v>16</v>
      </c>
      <c r="C13" s="9">
        <v>0</v>
      </c>
      <c r="D13" s="9">
        <v>42</v>
      </c>
      <c r="E13" s="9">
        <v>0</v>
      </c>
      <c r="F13" s="9">
        <v>224</v>
      </c>
      <c r="G13" s="9">
        <v>0</v>
      </c>
      <c r="H13" s="2"/>
      <c r="I13" s="2"/>
      <c r="J13" s="9">
        <v>0</v>
      </c>
      <c r="K13" s="9">
        <v>0</v>
      </c>
      <c r="L13" s="9">
        <v>0</v>
      </c>
      <c r="M13" s="2"/>
      <c r="N13" s="9">
        <v>10</v>
      </c>
      <c r="O13" s="9">
        <v>16</v>
      </c>
      <c r="P13" s="9">
        <v>42</v>
      </c>
      <c r="Q13" s="9">
        <v>208</v>
      </c>
      <c r="R13" s="2"/>
      <c r="S13" s="9">
        <v>0</v>
      </c>
      <c r="T13" s="9">
        <v>0</v>
      </c>
      <c r="U13" s="2"/>
      <c r="V13" s="9">
        <v>10</v>
      </c>
      <c r="W13" s="9">
        <v>0</v>
      </c>
      <c r="X13" s="9">
        <v>0</v>
      </c>
      <c r="Y13" s="9">
        <v>14</v>
      </c>
      <c r="Z13" s="2"/>
      <c r="AA13" s="9">
        <v>0</v>
      </c>
      <c r="AB13" s="2"/>
      <c r="AC13" s="9">
        <v>10</v>
      </c>
      <c r="AD13" s="9"/>
      <c r="AE13" s="2"/>
      <c r="AF13" s="9" t="s">
        <v>31</v>
      </c>
      <c r="AG13" s="2"/>
    </row>
    <row r="14" spans="1:33" ht="196.5" customHeight="1" x14ac:dyDescent="0.3">
      <c r="A14" s="9">
        <v>11</v>
      </c>
      <c r="B14" s="9">
        <v>12</v>
      </c>
      <c r="C14" s="9">
        <v>0</v>
      </c>
      <c r="D14" s="9">
        <v>41</v>
      </c>
      <c r="E14" s="9">
        <v>0</v>
      </c>
      <c r="F14" s="9">
        <v>147</v>
      </c>
      <c r="G14" s="9">
        <v>14</v>
      </c>
      <c r="H14" s="2"/>
      <c r="I14" s="2"/>
      <c r="J14" s="9">
        <v>41</v>
      </c>
      <c r="K14" s="9">
        <v>0</v>
      </c>
      <c r="L14" s="9">
        <v>2</v>
      </c>
      <c r="M14" s="2"/>
      <c r="N14" s="9">
        <v>11</v>
      </c>
      <c r="O14" s="9">
        <v>12</v>
      </c>
      <c r="P14" s="9">
        <v>41</v>
      </c>
      <c r="Q14" s="9">
        <v>158</v>
      </c>
      <c r="R14" s="2"/>
      <c r="S14" s="9">
        <v>41</v>
      </c>
      <c r="T14" s="9">
        <v>2</v>
      </c>
      <c r="U14" s="2"/>
      <c r="V14" s="9">
        <v>11</v>
      </c>
      <c r="W14" s="9">
        <v>0</v>
      </c>
      <c r="X14" s="9">
        <v>0</v>
      </c>
      <c r="Y14" s="9">
        <v>0</v>
      </c>
      <c r="Z14" s="2"/>
      <c r="AA14" s="9">
        <v>0</v>
      </c>
      <c r="AB14" s="2"/>
      <c r="AC14" s="9">
        <v>11</v>
      </c>
      <c r="AD14" s="9"/>
      <c r="AE14" s="2"/>
      <c r="AF14" s="9" t="s">
        <v>30</v>
      </c>
      <c r="AG14" s="2"/>
    </row>
    <row r="15" spans="1:33" ht="196.5" customHeight="1" x14ac:dyDescent="0.3">
      <c r="A15" s="9">
        <v>12</v>
      </c>
      <c r="B15" s="9">
        <v>16</v>
      </c>
      <c r="C15" s="9">
        <v>0</v>
      </c>
      <c r="D15" s="9">
        <v>64</v>
      </c>
      <c r="E15" s="9">
        <v>0</v>
      </c>
      <c r="F15" s="9">
        <v>118</v>
      </c>
      <c r="G15" s="9">
        <v>0</v>
      </c>
      <c r="H15" s="2"/>
      <c r="I15" s="2"/>
      <c r="J15" s="9">
        <v>26</v>
      </c>
      <c r="K15" s="9">
        <v>0</v>
      </c>
      <c r="L15" s="9">
        <v>9</v>
      </c>
      <c r="M15" s="2"/>
      <c r="N15" s="9">
        <v>12</v>
      </c>
      <c r="O15" s="9">
        <v>16</v>
      </c>
      <c r="P15" s="9">
        <v>63</v>
      </c>
      <c r="Q15" s="9">
        <v>118</v>
      </c>
      <c r="R15" s="2"/>
      <c r="S15" s="9">
        <v>26</v>
      </c>
      <c r="T15" s="9">
        <v>9</v>
      </c>
      <c r="U15" s="2"/>
      <c r="V15" s="9">
        <v>12</v>
      </c>
      <c r="W15" s="9">
        <v>0</v>
      </c>
      <c r="X15" s="9">
        <v>0</v>
      </c>
      <c r="Y15" s="9">
        <v>0</v>
      </c>
      <c r="Z15" s="2"/>
      <c r="AA15" s="9">
        <v>0</v>
      </c>
      <c r="AB15" s="2"/>
      <c r="AC15" s="9">
        <v>12</v>
      </c>
      <c r="AD15" s="9"/>
      <c r="AE15" s="9" t="s">
        <v>22</v>
      </c>
      <c r="AF15" s="9"/>
      <c r="AG15" s="2"/>
    </row>
    <row r="16" spans="1:33" ht="196.5" customHeight="1" x14ac:dyDescent="0.3">
      <c r="A16" s="9">
        <v>13</v>
      </c>
      <c r="B16" s="9">
        <v>14</v>
      </c>
      <c r="C16" s="9">
        <v>0</v>
      </c>
      <c r="D16" s="9">
        <v>182</v>
      </c>
      <c r="E16" s="9">
        <v>0</v>
      </c>
      <c r="F16" s="9">
        <v>113</v>
      </c>
      <c r="G16" s="9">
        <v>0</v>
      </c>
      <c r="H16" s="2"/>
      <c r="I16" s="2"/>
      <c r="J16" s="9">
        <v>43</v>
      </c>
      <c r="K16" s="9">
        <v>0</v>
      </c>
      <c r="L16" s="9">
        <v>0</v>
      </c>
      <c r="M16" s="2"/>
      <c r="N16" s="9">
        <v>13</v>
      </c>
      <c r="O16" s="9">
        <v>13</v>
      </c>
      <c r="P16" s="9">
        <v>181</v>
      </c>
      <c r="Q16" s="9">
        <v>110</v>
      </c>
      <c r="R16" s="2"/>
      <c r="S16" s="9">
        <v>41</v>
      </c>
      <c r="T16" s="9">
        <v>0</v>
      </c>
      <c r="U16" s="2"/>
      <c r="V16" s="9">
        <v>13</v>
      </c>
      <c r="W16" s="9">
        <v>0</v>
      </c>
      <c r="X16" s="9">
        <v>0</v>
      </c>
      <c r="Y16" s="9">
        <v>0</v>
      </c>
      <c r="Z16" s="2"/>
      <c r="AA16" s="9">
        <v>2</v>
      </c>
      <c r="AB16" s="2"/>
      <c r="AC16" s="9">
        <v>13</v>
      </c>
      <c r="AD16" s="9" t="s">
        <v>22</v>
      </c>
      <c r="AE16" s="2" t="s">
        <v>22</v>
      </c>
      <c r="AF16" s="9" t="s">
        <v>30</v>
      </c>
      <c r="AG16" s="2" t="s">
        <v>32</v>
      </c>
    </row>
    <row r="17" spans="1:33" ht="196.5" customHeight="1" x14ac:dyDescent="0.3">
      <c r="A17" s="9">
        <v>14</v>
      </c>
      <c r="B17" s="9">
        <v>17</v>
      </c>
      <c r="C17" s="9">
        <v>0</v>
      </c>
      <c r="D17" s="9">
        <v>60</v>
      </c>
      <c r="E17" s="9">
        <v>0</v>
      </c>
      <c r="F17" s="9">
        <v>132</v>
      </c>
      <c r="G17" s="9">
        <v>0</v>
      </c>
      <c r="H17" s="2"/>
      <c r="I17" s="2"/>
      <c r="J17" s="9">
        <v>30</v>
      </c>
      <c r="K17" s="9">
        <v>2</v>
      </c>
      <c r="L17" s="9">
        <v>3</v>
      </c>
      <c r="M17" s="2"/>
      <c r="N17" s="9">
        <v>14</v>
      </c>
      <c r="O17" s="9">
        <v>13</v>
      </c>
      <c r="P17" s="9">
        <v>48</v>
      </c>
      <c r="Q17" s="9">
        <v>110</v>
      </c>
      <c r="R17" s="2"/>
      <c r="S17" s="9">
        <v>17</v>
      </c>
      <c r="T17" s="9">
        <v>3</v>
      </c>
      <c r="U17" s="2"/>
      <c r="V17" s="9">
        <v>14</v>
      </c>
      <c r="W17" s="9">
        <v>4</v>
      </c>
      <c r="X17" s="9">
        <v>12</v>
      </c>
      <c r="Y17" s="9">
        <v>20</v>
      </c>
      <c r="Z17" s="2"/>
      <c r="AA17" s="9">
        <v>13</v>
      </c>
      <c r="AB17" s="2"/>
      <c r="AC17" s="9">
        <v>14</v>
      </c>
      <c r="AD17" s="2" t="s">
        <v>33</v>
      </c>
      <c r="AE17" s="2" t="s">
        <v>34</v>
      </c>
      <c r="AF17" s="9" t="s">
        <v>35</v>
      </c>
      <c r="AG17" s="2" t="s">
        <v>36</v>
      </c>
    </row>
    <row r="18" spans="1:33" ht="196.5" customHeight="1" x14ac:dyDescent="0.6">
      <c r="A18" s="9">
        <v>15</v>
      </c>
      <c r="B18" s="9">
        <v>26</v>
      </c>
      <c r="C18" s="9">
        <v>4</v>
      </c>
      <c r="D18" s="9">
        <v>66</v>
      </c>
      <c r="E18" s="9">
        <v>12</v>
      </c>
      <c r="F18" s="9">
        <v>150</v>
      </c>
      <c r="G18" s="9">
        <v>21</v>
      </c>
      <c r="H18" s="2"/>
      <c r="I18" s="2"/>
      <c r="J18" s="9">
        <v>37</v>
      </c>
      <c r="K18" s="9">
        <v>14</v>
      </c>
      <c r="L18" s="9">
        <v>3</v>
      </c>
      <c r="M18" s="11"/>
      <c r="N18" s="9">
        <v>15</v>
      </c>
      <c r="O18" s="9">
        <v>30</v>
      </c>
      <c r="P18" s="9">
        <v>77</v>
      </c>
      <c r="Q18" s="9">
        <v>157</v>
      </c>
      <c r="R18" s="2"/>
      <c r="S18" s="9">
        <v>43</v>
      </c>
      <c r="T18" s="9">
        <v>3</v>
      </c>
      <c r="U18" s="2"/>
      <c r="V18" s="9">
        <v>15</v>
      </c>
      <c r="W18" s="9">
        <v>0</v>
      </c>
      <c r="X18" s="9">
        <v>1</v>
      </c>
      <c r="Y18" s="9">
        <v>10</v>
      </c>
      <c r="Z18" s="2"/>
      <c r="AA18" s="9">
        <v>8</v>
      </c>
      <c r="AB18" s="2"/>
      <c r="AC18" s="9">
        <v>15</v>
      </c>
      <c r="AD18" s="2"/>
      <c r="AE18" s="2" t="s">
        <v>37</v>
      </c>
      <c r="AF18" s="9" t="s">
        <v>38</v>
      </c>
      <c r="AG18" s="2" t="s">
        <v>39</v>
      </c>
    </row>
    <row r="19" spans="1:33" ht="196.5" customHeight="1" x14ac:dyDescent="0.3">
      <c r="A19" s="9">
        <v>16</v>
      </c>
      <c r="B19" s="9">
        <v>19</v>
      </c>
      <c r="C19" s="9">
        <v>0</v>
      </c>
      <c r="D19" s="9">
        <v>66</v>
      </c>
      <c r="E19" s="9">
        <v>1</v>
      </c>
      <c r="F19" s="9">
        <v>144</v>
      </c>
      <c r="G19" s="9">
        <v>10</v>
      </c>
      <c r="H19" s="2"/>
      <c r="I19" s="2"/>
      <c r="J19" s="9">
        <v>11</v>
      </c>
      <c r="K19" s="9">
        <v>8</v>
      </c>
      <c r="L19" s="9">
        <v>2</v>
      </c>
      <c r="M19" s="2"/>
      <c r="N19" s="9">
        <v>16</v>
      </c>
      <c r="O19" s="9">
        <v>19</v>
      </c>
      <c r="P19" s="9">
        <v>66</v>
      </c>
      <c r="Q19" s="9">
        <v>145</v>
      </c>
      <c r="R19" s="2"/>
      <c r="S19" s="9">
        <v>19</v>
      </c>
      <c r="T19" s="9">
        <v>2</v>
      </c>
      <c r="U19" s="2"/>
      <c r="V19" s="9">
        <v>16</v>
      </c>
      <c r="W19" s="9">
        <v>0</v>
      </c>
      <c r="X19" s="9">
        <v>0</v>
      </c>
      <c r="Y19" s="9">
        <v>5</v>
      </c>
      <c r="Z19" s="2"/>
      <c r="AA19" s="9">
        <v>0</v>
      </c>
      <c r="AB19" s="2"/>
      <c r="AC19" s="9">
        <v>16</v>
      </c>
      <c r="AD19" s="9"/>
      <c r="AE19" s="9" t="s">
        <v>22</v>
      </c>
      <c r="AF19" s="9" t="s">
        <v>40</v>
      </c>
      <c r="AG19" s="2"/>
    </row>
    <row r="20" spans="1:33" ht="196.5" customHeight="1" x14ac:dyDescent="0.3">
      <c r="A20" s="9">
        <v>17</v>
      </c>
      <c r="B20" s="9">
        <v>17</v>
      </c>
      <c r="C20" s="9">
        <v>0</v>
      </c>
      <c r="D20" s="9">
        <v>33</v>
      </c>
      <c r="E20" s="9">
        <v>0</v>
      </c>
      <c r="F20" s="9">
        <v>100</v>
      </c>
      <c r="G20" s="9">
        <v>5</v>
      </c>
      <c r="H20" s="2"/>
      <c r="I20" s="2"/>
      <c r="J20" s="9">
        <v>7</v>
      </c>
      <c r="K20" s="9">
        <v>0</v>
      </c>
      <c r="L20" s="9">
        <v>0</v>
      </c>
      <c r="M20" s="2"/>
      <c r="N20" s="9">
        <v>17</v>
      </c>
      <c r="O20" s="9">
        <v>17</v>
      </c>
      <c r="P20" s="9">
        <v>26</v>
      </c>
      <c r="Q20" s="9">
        <v>103</v>
      </c>
      <c r="R20" s="2"/>
      <c r="S20" s="9">
        <v>3</v>
      </c>
      <c r="T20" s="9">
        <v>0</v>
      </c>
      <c r="U20" s="2"/>
      <c r="V20" s="9">
        <v>17</v>
      </c>
      <c r="W20" s="9">
        <v>0</v>
      </c>
      <c r="X20" s="9">
        <v>4</v>
      </c>
      <c r="Y20" s="9">
        <v>1</v>
      </c>
      <c r="Z20" s="2"/>
      <c r="AA20" s="9">
        <v>4</v>
      </c>
      <c r="AB20" s="2"/>
      <c r="AC20" s="9">
        <v>17</v>
      </c>
      <c r="AD20" s="2"/>
      <c r="AE20" s="9" t="s">
        <v>41</v>
      </c>
      <c r="AF20" s="9" t="s">
        <v>42</v>
      </c>
      <c r="AG20" s="2" t="s">
        <v>43</v>
      </c>
    </row>
    <row r="21" spans="1:33" ht="196.5" customHeight="1" x14ac:dyDescent="0.3">
      <c r="A21" s="9">
        <v>18</v>
      </c>
      <c r="B21" s="9">
        <v>15</v>
      </c>
      <c r="C21" s="9">
        <v>0</v>
      </c>
      <c r="D21" s="9">
        <v>56</v>
      </c>
      <c r="E21" s="9">
        <v>4</v>
      </c>
      <c r="F21" s="9">
        <v>531</v>
      </c>
      <c r="G21" s="9">
        <v>1</v>
      </c>
      <c r="H21" s="2"/>
      <c r="I21" s="2"/>
      <c r="J21" s="9">
        <v>21</v>
      </c>
      <c r="K21" s="9">
        <v>4</v>
      </c>
      <c r="L21" s="9">
        <v>0</v>
      </c>
      <c r="M21" s="2"/>
      <c r="N21" s="9">
        <v>18</v>
      </c>
      <c r="O21" s="9">
        <v>3</v>
      </c>
      <c r="P21" s="9">
        <v>54</v>
      </c>
      <c r="Q21" s="9">
        <v>419</v>
      </c>
      <c r="R21" s="2"/>
      <c r="S21" s="9">
        <v>25</v>
      </c>
      <c r="T21" s="9">
        <v>0</v>
      </c>
      <c r="U21" s="2"/>
      <c r="V21" s="9">
        <v>18</v>
      </c>
      <c r="W21" s="9">
        <v>12</v>
      </c>
      <c r="X21" s="9">
        <v>6</v>
      </c>
      <c r="Y21" s="9">
        <v>106</v>
      </c>
      <c r="Z21" s="2"/>
      <c r="AA21" s="9">
        <v>0</v>
      </c>
      <c r="AB21" s="2"/>
      <c r="AC21" s="9">
        <v>18</v>
      </c>
      <c r="AD21" s="9" t="s">
        <v>44</v>
      </c>
      <c r="AE21" s="2" t="s">
        <v>45</v>
      </c>
      <c r="AF21" s="9" t="s">
        <v>46</v>
      </c>
      <c r="AG21" s="2"/>
    </row>
    <row r="22" spans="1:33" ht="196.5" customHeight="1" x14ac:dyDescent="0.3">
      <c r="A22" s="9">
        <v>19</v>
      </c>
      <c r="B22" s="9">
        <v>23</v>
      </c>
      <c r="C22" s="9">
        <v>12</v>
      </c>
      <c r="D22" s="9">
        <v>49</v>
      </c>
      <c r="E22" s="9">
        <v>6</v>
      </c>
      <c r="F22" s="9">
        <v>350</v>
      </c>
      <c r="G22" s="9">
        <v>106</v>
      </c>
      <c r="H22" s="2"/>
      <c r="I22" s="2"/>
      <c r="J22" s="9">
        <v>3</v>
      </c>
      <c r="K22" s="9">
        <v>0</v>
      </c>
      <c r="L22" s="9">
        <v>5</v>
      </c>
      <c r="M22" s="2"/>
      <c r="N22" s="9">
        <v>19</v>
      </c>
      <c r="O22" s="9">
        <v>34</v>
      </c>
      <c r="P22" s="9">
        <v>49</v>
      </c>
      <c r="Q22" s="9">
        <v>379</v>
      </c>
      <c r="R22" s="2"/>
      <c r="S22" s="9">
        <v>3</v>
      </c>
      <c r="T22" s="9">
        <v>5</v>
      </c>
      <c r="U22" s="2"/>
      <c r="V22" s="9">
        <v>19</v>
      </c>
      <c r="W22" s="9">
        <v>0</v>
      </c>
      <c r="X22" s="9">
        <v>3</v>
      </c>
      <c r="Y22" s="9">
        <v>66</v>
      </c>
      <c r="Z22" s="2"/>
      <c r="AA22" s="9">
        <v>0</v>
      </c>
      <c r="AB22" s="2"/>
      <c r="AC22" s="9">
        <v>19</v>
      </c>
      <c r="AD22" s="2" t="s">
        <v>22</v>
      </c>
      <c r="AE22" s="2" t="s">
        <v>47</v>
      </c>
      <c r="AF22" s="9" t="s">
        <v>48</v>
      </c>
      <c r="AG22" s="2"/>
    </row>
    <row r="23" spans="1:33" ht="196.5" customHeight="1" x14ac:dyDescent="0.3">
      <c r="A23" s="9">
        <v>20</v>
      </c>
      <c r="B23" s="9">
        <v>29</v>
      </c>
      <c r="C23" s="9">
        <v>0</v>
      </c>
      <c r="D23" s="9">
        <v>51</v>
      </c>
      <c r="E23" s="9">
        <v>3</v>
      </c>
      <c r="F23" s="9">
        <v>189</v>
      </c>
      <c r="G23" s="9">
        <v>66</v>
      </c>
      <c r="H23" s="2"/>
      <c r="I23" s="2"/>
      <c r="J23" s="9">
        <v>57</v>
      </c>
      <c r="K23" s="9">
        <v>0</v>
      </c>
      <c r="L23" s="9">
        <v>1</v>
      </c>
      <c r="M23" s="2"/>
      <c r="N23" s="9">
        <v>20</v>
      </c>
      <c r="O23" s="9">
        <v>29</v>
      </c>
      <c r="P23" s="9">
        <v>53</v>
      </c>
      <c r="Q23" s="9">
        <v>247</v>
      </c>
      <c r="R23" s="2"/>
      <c r="S23" s="9">
        <v>57</v>
      </c>
      <c r="T23" s="9">
        <v>1</v>
      </c>
      <c r="U23" s="2"/>
      <c r="V23" s="9">
        <v>20</v>
      </c>
      <c r="W23" s="9">
        <v>0</v>
      </c>
      <c r="X23" s="9">
        <v>1</v>
      </c>
      <c r="Y23" s="9">
        <v>0</v>
      </c>
      <c r="Z23" s="2"/>
      <c r="AA23" s="9">
        <v>0</v>
      </c>
      <c r="AB23" s="2"/>
      <c r="AC23" s="9">
        <v>20</v>
      </c>
      <c r="AD23" s="2"/>
      <c r="AE23" s="2" t="s">
        <v>49</v>
      </c>
      <c r="AF23" s="9" t="s">
        <v>50</v>
      </c>
      <c r="AG23" s="2"/>
    </row>
    <row r="24" spans="1:33" ht="196.5" customHeight="1" x14ac:dyDescent="0.6">
      <c r="A24" s="9">
        <v>21</v>
      </c>
      <c r="B24" s="9">
        <v>27</v>
      </c>
      <c r="C24" s="9">
        <v>0</v>
      </c>
      <c r="D24" s="9">
        <v>31</v>
      </c>
      <c r="E24" s="9">
        <v>1</v>
      </c>
      <c r="F24" s="9">
        <v>109</v>
      </c>
      <c r="G24" s="9">
        <v>0</v>
      </c>
      <c r="H24" s="2"/>
      <c r="I24" s="2"/>
      <c r="J24" s="9">
        <v>16</v>
      </c>
      <c r="K24" s="9">
        <v>0</v>
      </c>
      <c r="L24" s="9">
        <v>11</v>
      </c>
      <c r="M24" s="2"/>
      <c r="N24" s="9">
        <v>21</v>
      </c>
      <c r="O24" s="9">
        <v>26</v>
      </c>
      <c r="P24" s="9">
        <v>27</v>
      </c>
      <c r="Q24" s="9">
        <v>105</v>
      </c>
      <c r="R24" s="2"/>
      <c r="S24" s="9">
        <v>14</v>
      </c>
      <c r="T24" s="9">
        <v>11</v>
      </c>
      <c r="U24" s="2"/>
      <c r="V24" s="9">
        <v>21</v>
      </c>
      <c r="W24" s="9">
        <v>0</v>
      </c>
      <c r="X24" s="9">
        <v>5</v>
      </c>
      <c r="Y24" s="9">
        <v>4</v>
      </c>
      <c r="Z24" s="2"/>
      <c r="AA24" s="9">
        <v>2</v>
      </c>
      <c r="AB24" s="2"/>
      <c r="AC24" s="9">
        <v>21</v>
      </c>
      <c r="AD24" s="2" t="s">
        <v>22</v>
      </c>
      <c r="AE24" s="9" t="s">
        <v>51</v>
      </c>
      <c r="AF24" s="10" t="s">
        <v>52</v>
      </c>
      <c r="AG24" s="2" t="s">
        <v>53</v>
      </c>
    </row>
    <row r="25" spans="1:33" ht="196.5" customHeight="1" x14ac:dyDescent="0.3">
      <c r="A25" s="9">
        <v>22</v>
      </c>
      <c r="B25" s="9">
        <v>26</v>
      </c>
      <c r="C25" s="9">
        <v>0</v>
      </c>
      <c r="D25" s="9">
        <v>45</v>
      </c>
      <c r="E25" s="9">
        <v>5</v>
      </c>
      <c r="F25" s="9">
        <v>172</v>
      </c>
      <c r="G25" s="9">
        <v>4</v>
      </c>
      <c r="H25" s="2"/>
      <c r="I25" s="2"/>
      <c r="J25" s="9">
        <v>12</v>
      </c>
      <c r="K25" s="9">
        <v>2</v>
      </c>
      <c r="L25" s="9">
        <v>5</v>
      </c>
      <c r="M25" s="2"/>
      <c r="N25" s="9">
        <v>22</v>
      </c>
      <c r="O25" s="9">
        <v>25</v>
      </c>
      <c r="P25" s="9">
        <v>46</v>
      </c>
      <c r="Q25" s="9">
        <v>175</v>
      </c>
      <c r="R25" s="2"/>
      <c r="S25" s="9">
        <v>14</v>
      </c>
      <c r="T25" s="9">
        <v>5</v>
      </c>
      <c r="U25" s="2"/>
      <c r="V25" s="9">
        <v>22</v>
      </c>
      <c r="W25" s="9">
        <v>1</v>
      </c>
      <c r="X25" s="9">
        <v>3</v>
      </c>
      <c r="Y25" s="9">
        <v>0</v>
      </c>
      <c r="Z25" s="2"/>
      <c r="AA25" s="9">
        <v>0</v>
      </c>
      <c r="AB25" s="9"/>
      <c r="AC25" s="9">
        <v>22</v>
      </c>
      <c r="AD25" s="2" t="s">
        <v>54</v>
      </c>
      <c r="AE25" s="2" t="s">
        <v>55</v>
      </c>
      <c r="AF25" s="9" t="s">
        <v>22</v>
      </c>
      <c r="AG25" s="2"/>
    </row>
    <row r="26" spans="1:33" ht="196.5" customHeight="1" x14ac:dyDescent="0.6">
      <c r="A26" s="9">
        <v>23</v>
      </c>
      <c r="B26" s="9">
        <v>21</v>
      </c>
      <c r="C26" s="9">
        <v>1</v>
      </c>
      <c r="D26" s="9">
        <v>24</v>
      </c>
      <c r="E26" s="9">
        <v>3</v>
      </c>
      <c r="F26" s="9">
        <v>128</v>
      </c>
      <c r="G26" s="9">
        <v>0</v>
      </c>
      <c r="H26" s="2"/>
      <c r="I26" s="2"/>
      <c r="J26" s="9">
        <v>19</v>
      </c>
      <c r="K26" s="9">
        <v>0</v>
      </c>
      <c r="L26" s="9">
        <v>8</v>
      </c>
      <c r="M26" s="11"/>
      <c r="N26" s="9">
        <v>23</v>
      </c>
      <c r="O26" s="9">
        <v>22</v>
      </c>
      <c r="P26" s="9">
        <v>27</v>
      </c>
      <c r="Q26" s="9">
        <v>127</v>
      </c>
      <c r="R26" s="2"/>
      <c r="S26" s="9">
        <v>20</v>
      </c>
      <c r="T26" s="9">
        <v>8</v>
      </c>
      <c r="U26" s="2"/>
      <c r="V26" s="9">
        <v>23</v>
      </c>
      <c r="W26" s="9">
        <v>0</v>
      </c>
      <c r="X26" s="9">
        <v>0</v>
      </c>
      <c r="Y26" s="9">
        <v>0</v>
      </c>
      <c r="Z26" s="2"/>
      <c r="AA26" s="9">
        <v>0</v>
      </c>
      <c r="AB26" s="2"/>
      <c r="AC26" s="9">
        <v>23</v>
      </c>
      <c r="AD26" s="9"/>
      <c r="AE26" s="9"/>
      <c r="AF26" s="9" t="s">
        <v>22</v>
      </c>
      <c r="AG26" s="9"/>
    </row>
    <row r="27" spans="1:33" ht="196.5" customHeight="1" x14ac:dyDescent="0.3">
      <c r="A27" s="9">
        <v>24</v>
      </c>
      <c r="B27" s="9">
        <v>20</v>
      </c>
      <c r="C27" s="9">
        <v>0</v>
      </c>
      <c r="D27" s="9">
        <v>35</v>
      </c>
      <c r="E27" s="9">
        <v>0</v>
      </c>
      <c r="F27" s="9">
        <v>191</v>
      </c>
      <c r="G27" s="9">
        <v>0</v>
      </c>
      <c r="H27" s="2"/>
      <c r="I27" s="2"/>
      <c r="J27" s="9">
        <v>13</v>
      </c>
      <c r="K27" s="9">
        <v>0</v>
      </c>
      <c r="L27" s="9">
        <v>0</v>
      </c>
      <c r="M27" s="2"/>
      <c r="N27" s="9">
        <v>24</v>
      </c>
      <c r="O27" s="9">
        <v>20</v>
      </c>
      <c r="P27" s="9">
        <v>35</v>
      </c>
      <c r="Q27" s="9">
        <v>156</v>
      </c>
      <c r="R27" s="2"/>
      <c r="S27" s="9">
        <v>9</v>
      </c>
      <c r="T27" s="9">
        <v>0</v>
      </c>
      <c r="U27" s="2"/>
      <c r="V27" s="9">
        <v>24</v>
      </c>
      <c r="W27" s="9">
        <v>0</v>
      </c>
      <c r="X27" s="9">
        <v>0</v>
      </c>
      <c r="Y27" s="9">
        <v>33</v>
      </c>
      <c r="Z27" s="2"/>
      <c r="AA27" s="9">
        <v>4</v>
      </c>
      <c r="AB27" s="2"/>
      <c r="AC27" s="9">
        <v>24</v>
      </c>
      <c r="AD27" s="9"/>
      <c r="AE27" s="2"/>
      <c r="AF27" s="9" t="s">
        <v>56</v>
      </c>
      <c r="AG27" s="9" t="s">
        <v>57</v>
      </c>
    </row>
    <row r="28" spans="1:33" ht="196.5" customHeight="1" x14ac:dyDescent="0.3">
      <c r="A28" s="9">
        <v>25</v>
      </c>
      <c r="B28" s="9">
        <v>21</v>
      </c>
      <c r="C28" s="9">
        <v>0</v>
      </c>
      <c r="D28" s="9">
        <v>49</v>
      </c>
      <c r="E28" s="9">
        <v>0</v>
      </c>
      <c r="F28" s="9">
        <v>216</v>
      </c>
      <c r="G28" s="9">
        <v>33</v>
      </c>
      <c r="H28" s="2"/>
      <c r="I28" s="2"/>
      <c r="J28" s="9">
        <v>22</v>
      </c>
      <c r="K28" s="9">
        <v>4</v>
      </c>
      <c r="L28" s="9">
        <v>0</v>
      </c>
      <c r="M28" s="2"/>
      <c r="N28" s="9">
        <v>25</v>
      </c>
      <c r="O28" s="9">
        <v>21</v>
      </c>
      <c r="P28" s="9">
        <v>49</v>
      </c>
      <c r="Q28" s="9">
        <v>243</v>
      </c>
      <c r="R28" s="2"/>
      <c r="S28" s="9">
        <v>26</v>
      </c>
      <c r="T28" s="9">
        <v>0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0</v>
      </c>
      <c r="AB28" s="2"/>
      <c r="AC28" s="9">
        <v>25</v>
      </c>
      <c r="AD28" s="2"/>
      <c r="AE28" s="2"/>
      <c r="AF28" s="9" t="s">
        <v>58</v>
      </c>
      <c r="AG28" s="9"/>
    </row>
    <row r="29" spans="1:33" ht="196.5" customHeight="1" x14ac:dyDescent="0.3">
      <c r="A29" s="9">
        <v>26</v>
      </c>
      <c r="B29" s="9">
        <v>20</v>
      </c>
      <c r="C29" s="9">
        <v>0</v>
      </c>
      <c r="D29" s="9">
        <v>50</v>
      </c>
      <c r="E29" s="9">
        <v>0</v>
      </c>
      <c r="F29" s="9">
        <v>156</v>
      </c>
      <c r="G29" s="9">
        <v>0</v>
      </c>
      <c r="H29" s="2"/>
      <c r="I29" s="2"/>
      <c r="J29" s="9">
        <v>8</v>
      </c>
      <c r="K29" s="9">
        <v>0</v>
      </c>
      <c r="L29" s="9">
        <v>1</v>
      </c>
      <c r="M29" s="2"/>
      <c r="N29" s="9">
        <v>26</v>
      </c>
      <c r="O29" s="9">
        <v>20</v>
      </c>
      <c r="P29" s="9">
        <v>50</v>
      </c>
      <c r="Q29" s="9">
        <v>152</v>
      </c>
      <c r="R29" s="2"/>
      <c r="S29" s="9">
        <v>8</v>
      </c>
      <c r="T29" s="9">
        <v>1</v>
      </c>
      <c r="U29" s="2"/>
      <c r="V29" s="9">
        <v>26</v>
      </c>
      <c r="W29" s="9">
        <v>0</v>
      </c>
      <c r="X29" s="9">
        <v>0</v>
      </c>
      <c r="Y29" s="9">
        <v>0</v>
      </c>
      <c r="Z29" s="2"/>
      <c r="AA29" s="9">
        <v>0</v>
      </c>
      <c r="AB29" s="2"/>
      <c r="AC29" s="9">
        <v>26</v>
      </c>
      <c r="AD29" s="9"/>
      <c r="AE29" s="2"/>
      <c r="AF29" s="2" t="s">
        <v>59</v>
      </c>
      <c r="AG29" s="2"/>
    </row>
    <row r="30" spans="1:33" ht="196.5" customHeight="1" x14ac:dyDescent="0.3">
      <c r="A30" s="9">
        <v>27</v>
      </c>
      <c r="B30" s="2">
        <v>21</v>
      </c>
      <c r="C30" s="9">
        <v>0</v>
      </c>
      <c r="D30" s="2">
        <v>52</v>
      </c>
      <c r="E30" s="9">
        <v>0</v>
      </c>
      <c r="F30" s="2">
        <v>225</v>
      </c>
      <c r="G30" s="9">
        <v>0</v>
      </c>
      <c r="H30" s="2"/>
      <c r="I30" s="2"/>
      <c r="J30" s="2">
        <v>27</v>
      </c>
      <c r="K30" s="9">
        <v>0</v>
      </c>
      <c r="L30" s="2">
        <v>1</v>
      </c>
      <c r="M30" s="2"/>
      <c r="N30" s="9">
        <v>27</v>
      </c>
      <c r="O30" s="2">
        <v>21</v>
      </c>
      <c r="P30" s="2">
        <v>51</v>
      </c>
      <c r="Q30" s="2">
        <v>223</v>
      </c>
      <c r="R30" s="2"/>
      <c r="S30" s="2">
        <v>27</v>
      </c>
      <c r="T30" s="2">
        <v>1</v>
      </c>
      <c r="U30" s="2"/>
      <c r="V30" s="9">
        <v>27</v>
      </c>
      <c r="W30" s="2">
        <v>0</v>
      </c>
      <c r="X30" s="2">
        <v>0</v>
      </c>
      <c r="Y30" s="2">
        <v>0</v>
      </c>
      <c r="Z30" s="2"/>
      <c r="AA30" s="2">
        <v>0</v>
      </c>
      <c r="AB30" s="2"/>
      <c r="AC30" s="9">
        <v>27</v>
      </c>
      <c r="AD30" s="2"/>
      <c r="AE30" s="2" t="s">
        <v>22</v>
      </c>
      <c r="AF30" s="2" t="s">
        <v>60</v>
      </c>
      <c r="AG30" s="2"/>
    </row>
    <row r="31" spans="1:33" ht="196.5" customHeight="1" x14ac:dyDescent="0.3">
      <c r="A31" s="9">
        <v>28</v>
      </c>
      <c r="B31" s="2">
        <v>24</v>
      </c>
      <c r="C31" s="2">
        <v>0</v>
      </c>
      <c r="D31" s="2">
        <v>31</v>
      </c>
      <c r="E31" s="2">
        <v>0</v>
      </c>
      <c r="F31" s="2">
        <v>147</v>
      </c>
      <c r="G31" s="2">
        <v>0</v>
      </c>
      <c r="H31" s="2"/>
      <c r="I31" s="2"/>
      <c r="J31" s="2">
        <v>7</v>
      </c>
      <c r="K31" s="2">
        <v>0</v>
      </c>
      <c r="L31" s="2">
        <v>1</v>
      </c>
      <c r="M31" s="2"/>
      <c r="N31" s="9">
        <v>28</v>
      </c>
      <c r="O31" s="2">
        <v>23</v>
      </c>
      <c r="P31" s="2">
        <v>31</v>
      </c>
      <c r="Q31" s="2">
        <v>146</v>
      </c>
      <c r="R31" s="2"/>
      <c r="S31" s="2">
        <v>7</v>
      </c>
      <c r="T31" s="2">
        <v>1</v>
      </c>
      <c r="U31" s="2"/>
      <c r="V31" s="9">
        <v>28</v>
      </c>
      <c r="W31" s="2">
        <v>0</v>
      </c>
      <c r="X31" s="2">
        <v>0</v>
      </c>
      <c r="Y31" s="2">
        <v>1</v>
      </c>
      <c r="Z31" s="2"/>
      <c r="AA31" s="2">
        <v>0</v>
      </c>
      <c r="AB31" s="2"/>
      <c r="AC31" s="9">
        <v>28</v>
      </c>
      <c r="AD31" s="2" t="s">
        <v>22</v>
      </c>
      <c r="AE31" s="2"/>
      <c r="AF31" s="2" t="s">
        <v>61</v>
      </c>
      <c r="AG31" s="2"/>
    </row>
    <row r="32" spans="1:33" ht="196.5" customHeight="1" x14ac:dyDescent="0.3">
      <c r="A32" s="9">
        <v>29</v>
      </c>
      <c r="B32" s="2">
        <v>21</v>
      </c>
      <c r="C32" s="2">
        <v>0</v>
      </c>
      <c r="D32" s="2">
        <v>11</v>
      </c>
      <c r="E32" s="2">
        <v>0</v>
      </c>
      <c r="F32" s="2">
        <v>195</v>
      </c>
      <c r="G32" s="2">
        <v>1</v>
      </c>
      <c r="H32" s="2"/>
      <c r="I32" s="2"/>
      <c r="J32" s="2">
        <v>5</v>
      </c>
      <c r="K32" s="2">
        <v>0</v>
      </c>
      <c r="L32" s="2">
        <v>0</v>
      </c>
      <c r="M32" s="2"/>
      <c r="N32" s="9">
        <v>29</v>
      </c>
      <c r="O32" s="2">
        <v>21</v>
      </c>
      <c r="P32" s="2">
        <v>11</v>
      </c>
      <c r="Q32" s="2">
        <v>188</v>
      </c>
      <c r="R32" s="2"/>
      <c r="S32" s="2">
        <v>5</v>
      </c>
      <c r="T32" s="2">
        <v>0</v>
      </c>
      <c r="U32" s="2"/>
      <c r="V32" s="9">
        <v>29</v>
      </c>
      <c r="W32" s="2">
        <v>0</v>
      </c>
      <c r="X32" s="2">
        <v>0</v>
      </c>
      <c r="Y32" s="2">
        <v>5</v>
      </c>
      <c r="Z32" s="2"/>
      <c r="AA32" s="2">
        <v>0</v>
      </c>
      <c r="AB32" s="2"/>
      <c r="AC32" s="9">
        <v>29</v>
      </c>
      <c r="AD32" s="2"/>
      <c r="AE32" s="2"/>
      <c r="AF32" s="2" t="s">
        <v>62</v>
      </c>
      <c r="AG32" s="2"/>
    </row>
    <row r="33" spans="1:33" ht="196.5" customHeight="1" x14ac:dyDescent="0.6">
      <c r="A33" s="9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9">
        <v>30</v>
      </c>
      <c r="O33" s="2"/>
      <c r="P33" s="2"/>
      <c r="Q33" s="2"/>
      <c r="R33" s="2"/>
      <c r="S33" s="2"/>
      <c r="T33" s="2"/>
      <c r="U33" s="2"/>
      <c r="V33" s="9">
        <v>30</v>
      </c>
      <c r="W33" s="2"/>
      <c r="X33" s="2"/>
      <c r="Y33" s="2"/>
      <c r="Z33" s="2"/>
      <c r="AA33" s="2"/>
      <c r="AB33" s="9"/>
      <c r="AC33" s="9">
        <v>30</v>
      </c>
      <c r="AD33" s="2"/>
      <c r="AE33" s="2"/>
      <c r="AF33" s="2"/>
      <c r="AG33" s="11"/>
    </row>
    <row r="34" spans="1:33" ht="196.5" customHeight="1" x14ac:dyDescent="0.6">
      <c r="A34" s="9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9">
        <v>31</v>
      </c>
      <c r="O34" s="2"/>
      <c r="P34" s="2"/>
      <c r="Q34" s="2"/>
      <c r="R34" s="2"/>
      <c r="S34" s="2"/>
      <c r="T34" s="2"/>
      <c r="U34" s="2"/>
      <c r="V34" s="9">
        <v>31</v>
      </c>
      <c r="W34" s="2"/>
      <c r="X34" s="2"/>
      <c r="Y34" s="2"/>
      <c r="Z34" s="2"/>
      <c r="AA34" s="2"/>
      <c r="AB34" s="2"/>
      <c r="AC34" s="9">
        <v>31</v>
      </c>
      <c r="AD34" s="2"/>
      <c r="AE34" s="2"/>
      <c r="AF34" s="2"/>
      <c r="AG34" s="11"/>
    </row>
    <row r="35" spans="1:33" ht="25.5" customHeight="1" x14ac:dyDescent="0.3">
      <c r="A35" s="12" t="s">
        <v>63</v>
      </c>
      <c r="B35" s="13">
        <f t="shared" ref="B35:L35" si="0">SUM(B4:B34)</f>
        <v>554</v>
      </c>
      <c r="C35" s="13">
        <f t="shared" si="0"/>
        <v>26</v>
      </c>
      <c r="D35" s="13">
        <f t="shared" si="0"/>
        <v>1590</v>
      </c>
      <c r="E35" s="13">
        <f t="shared" si="0"/>
        <v>81</v>
      </c>
      <c r="F35" s="13">
        <f t="shared" si="0"/>
        <v>5359</v>
      </c>
      <c r="G35" s="13">
        <f t="shared" si="0"/>
        <v>305</v>
      </c>
      <c r="H35" s="13">
        <f t="shared" si="0"/>
        <v>0</v>
      </c>
      <c r="I35" s="13">
        <f t="shared" si="0"/>
        <v>0</v>
      </c>
      <c r="J35" s="13">
        <f t="shared" si="0"/>
        <v>618</v>
      </c>
      <c r="K35" s="13">
        <f t="shared" si="0"/>
        <v>79</v>
      </c>
      <c r="L35" s="13">
        <f t="shared" si="0"/>
        <v>78</v>
      </c>
      <c r="M35" s="1"/>
      <c r="N35" s="12" t="s">
        <v>63</v>
      </c>
      <c r="O35" s="13">
        <f t="shared" ref="O35:T35" si="1">SUM(O4:O34)</f>
        <v>547</v>
      </c>
      <c r="P35" s="13">
        <f t="shared" si="1"/>
        <v>1580</v>
      </c>
      <c r="Q35" s="13">
        <f t="shared" si="1"/>
        <v>5264</v>
      </c>
      <c r="R35" s="13">
        <f t="shared" si="1"/>
        <v>0</v>
      </c>
      <c r="S35" s="13">
        <f t="shared" si="1"/>
        <v>618</v>
      </c>
      <c r="T35" s="13">
        <f t="shared" si="1"/>
        <v>75</v>
      </c>
      <c r="U35" s="1"/>
      <c r="V35" s="12" t="s">
        <v>63</v>
      </c>
      <c r="W35" s="13">
        <f t="shared" ref="W35:AA35" si="2">SUM(W4:W34)</f>
        <v>26</v>
      </c>
      <c r="X35" s="13">
        <f t="shared" si="2"/>
        <v>77</v>
      </c>
      <c r="Y35" s="13">
        <f t="shared" si="2"/>
        <v>309</v>
      </c>
      <c r="Z35" s="13">
        <f t="shared" si="2"/>
        <v>0</v>
      </c>
      <c r="AA35" s="13">
        <f t="shared" si="2"/>
        <v>78</v>
      </c>
      <c r="AB35" s="1"/>
      <c r="AC35" s="12" t="s">
        <v>63</v>
      </c>
      <c r="AD35" s="13">
        <f t="shared" ref="AD35:AG35" si="3">SUM(AD4:AD34)</f>
        <v>0</v>
      </c>
      <c r="AE35" s="13">
        <f t="shared" si="3"/>
        <v>0</v>
      </c>
      <c r="AF35" s="13">
        <f t="shared" si="3"/>
        <v>0</v>
      </c>
      <c r="AG35" s="13">
        <f t="shared" si="3"/>
        <v>0</v>
      </c>
    </row>
    <row r="36" spans="1:33" ht="25.5" customHeight="1" x14ac:dyDescent="0.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25.5" customHeight="1" x14ac:dyDescent="0.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25.5" customHeight="1" x14ac:dyDescent="0.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25.5" customHeight="1" x14ac:dyDescent="0.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25.5" customHeight="1" x14ac:dyDescent="0.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25.5" customHeight="1" x14ac:dyDescent="0.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25.5" customHeight="1" x14ac:dyDescent="0.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25.5" customHeight="1" x14ac:dyDescent="0.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25.5" customHeight="1" x14ac:dyDescent="0.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ht="25.5" customHeight="1" x14ac:dyDescent="0.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25.5" customHeight="1" x14ac:dyDescent="0.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ht="25.5" customHeight="1" x14ac:dyDescent="0.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25.5" customHeight="1" x14ac:dyDescent="0.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25.5" customHeight="1" x14ac:dyDescent="0.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25.5" customHeight="1" x14ac:dyDescent="0.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ht="25.5" customHeight="1" x14ac:dyDescent="0.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ht="25.5" customHeight="1" x14ac:dyDescent="0.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25.5" customHeight="1" x14ac:dyDescent="0.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ht="25.5" customHeight="1" x14ac:dyDescent="0.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ht="25.5" customHeight="1" x14ac:dyDescent="0.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ht="25.5" customHeight="1" x14ac:dyDescent="0.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ht="25.5" customHeight="1" x14ac:dyDescent="0.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ht="25.5" customHeight="1" x14ac:dyDescent="0.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ht="25.5" customHeight="1" x14ac:dyDescent="0.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ht="25.5" customHeight="1" x14ac:dyDescent="0.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ht="25.5" customHeight="1" x14ac:dyDescent="0.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ht="25.5" customHeight="1" x14ac:dyDescent="0.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1:33" ht="25.5" customHeight="1" x14ac:dyDescent="0.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1:33" ht="25.5" customHeight="1" x14ac:dyDescent="0.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1:33" ht="25.5" customHeight="1" x14ac:dyDescent="0.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ht="25.5" customHeight="1" x14ac:dyDescent="0.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25.5" customHeight="1" x14ac:dyDescent="0.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ht="25.5" customHeight="1" x14ac:dyDescent="0.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25.5" customHeight="1" x14ac:dyDescent="0.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ht="25.5" customHeight="1" x14ac:dyDescent="0.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ht="25.5" customHeight="1" x14ac:dyDescent="0.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ht="25.5" customHeight="1" x14ac:dyDescent="0.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25.5" customHeight="1" x14ac:dyDescent="0.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ht="25.5" customHeight="1" x14ac:dyDescent="0.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ht="25.5" customHeight="1" x14ac:dyDescent="0.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ht="25.5" customHeight="1" x14ac:dyDescent="0.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ht="25.5" customHeight="1" x14ac:dyDescent="0.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ht="25.5" customHeight="1" x14ac:dyDescent="0.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ht="25.5" customHeight="1" x14ac:dyDescent="0.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ht="25.5" customHeight="1" x14ac:dyDescent="0.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ht="25.5" customHeight="1" x14ac:dyDescent="0.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ht="25.5" customHeight="1" x14ac:dyDescent="0.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ht="25.5" customHeight="1" x14ac:dyDescent="0.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ht="25.5" customHeight="1" x14ac:dyDescent="0.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ht="25.5" customHeight="1" x14ac:dyDescent="0.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ht="25.5" customHeight="1" x14ac:dyDescent="0.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ht="25.5" customHeight="1" x14ac:dyDescent="0.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ht="25.5" customHeight="1" x14ac:dyDescent="0.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25.5" customHeight="1" x14ac:dyDescent="0.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ht="25.5" customHeight="1" x14ac:dyDescent="0.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ht="25.5" customHeight="1" x14ac:dyDescent="0.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ht="25.5" customHeight="1" x14ac:dyDescent="0.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25.5" customHeight="1" x14ac:dyDescent="0.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ht="25.5" customHeight="1" x14ac:dyDescent="0.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ht="25.5" customHeight="1" x14ac:dyDescent="0.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ht="25.5" customHeight="1" x14ac:dyDescent="0.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ht="25.5" customHeight="1" x14ac:dyDescent="0.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ht="25.5" customHeight="1" x14ac:dyDescent="0.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ht="25.5" customHeight="1" x14ac:dyDescent="0.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25.5" customHeight="1" x14ac:dyDescent="0.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ht="25.5" customHeight="1" x14ac:dyDescent="0.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ht="25.5" customHeight="1" x14ac:dyDescent="0.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ht="25.5" customHeight="1" x14ac:dyDescent="0.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1:33" ht="25.5" customHeight="1" x14ac:dyDescent="0.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ht="25.5" customHeight="1" x14ac:dyDescent="0.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1:33" ht="25.5" customHeight="1" x14ac:dyDescent="0.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25.5" customHeight="1" x14ac:dyDescent="0.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1:33" ht="25.5" customHeight="1" x14ac:dyDescent="0.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25.5" customHeight="1" x14ac:dyDescent="0.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1:33" ht="25.5" customHeight="1" x14ac:dyDescent="0.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1:33" ht="25.5" customHeight="1" x14ac:dyDescent="0.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1:33" ht="25.5" customHeight="1" x14ac:dyDescent="0.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25.5" customHeight="1" x14ac:dyDescent="0.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1:33" ht="25.5" customHeight="1" x14ac:dyDescent="0.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1:33" ht="25.5" customHeight="1" x14ac:dyDescent="0.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1:33" ht="25.5" customHeight="1" x14ac:dyDescent="0.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1:33" ht="25.5" customHeight="1" x14ac:dyDescent="0.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1:33" ht="25.5" customHeight="1" x14ac:dyDescent="0.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1:33" ht="25.5" customHeight="1" x14ac:dyDescent="0.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1:33" ht="25.5" customHeight="1" x14ac:dyDescent="0.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1:33" ht="25.5" customHeight="1" x14ac:dyDescent="0.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ht="25.5" customHeight="1" x14ac:dyDescent="0.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1:33" ht="25.5" customHeight="1" x14ac:dyDescent="0.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1:33" ht="25.5" customHeight="1" x14ac:dyDescent="0.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1:33" ht="25.5" customHeight="1" x14ac:dyDescent="0.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1:33" ht="25.5" customHeight="1" x14ac:dyDescent="0.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1:33" ht="25.5" customHeight="1" x14ac:dyDescent="0.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1:33" ht="25.5" customHeight="1" x14ac:dyDescent="0.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25.5" customHeight="1" x14ac:dyDescent="0.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1:33" ht="25.5" customHeight="1" x14ac:dyDescent="0.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1:33" ht="25.5" customHeight="1" x14ac:dyDescent="0.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1:33" ht="25.5" customHeight="1" x14ac:dyDescent="0.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25.5" customHeight="1" x14ac:dyDescent="0.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1:33" ht="25.5" customHeight="1" x14ac:dyDescent="0.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1:33" ht="25.5" customHeight="1" x14ac:dyDescent="0.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1:33" ht="25.5" customHeight="1" x14ac:dyDescent="0.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ht="25.5" customHeight="1" x14ac:dyDescent="0.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spans="1:33" ht="25.5" customHeight="1" x14ac:dyDescent="0.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spans="1:33" ht="25.5" customHeight="1" x14ac:dyDescent="0.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spans="1:33" ht="25.5" customHeight="1" x14ac:dyDescent="0.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ht="25.5" customHeight="1" x14ac:dyDescent="0.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spans="1:33" ht="25.5" customHeight="1" x14ac:dyDescent="0.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spans="1:33" ht="25.5" customHeight="1" x14ac:dyDescent="0.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spans="1:33" ht="25.5" customHeight="1" x14ac:dyDescent="0.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spans="1:33" ht="25.5" customHeight="1" x14ac:dyDescent="0.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spans="1:33" ht="25.5" customHeight="1" x14ac:dyDescent="0.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spans="1:33" ht="25.5" customHeight="1" x14ac:dyDescent="0.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spans="1:33" ht="25.5" customHeight="1" x14ac:dyDescent="0.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spans="1:33" ht="25.5" customHeight="1" x14ac:dyDescent="0.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spans="1:33" ht="25.5" customHeight="1" x14ac:dyDescent="0.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spans="1:33" ht="25.5" customHeight="1" x14ac:dyDescent="0.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spans="1:33" ht="25.5" customHeight="1" x14ac:dyDescent="0.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1:33" ht="25.5" customHeight="1" x14ac:dyDescent="0.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spans="1:33" ht="25.5" customHeight="1" x14ac:dyDescent="0.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spans="1:33" ht="25.5" customHeight="1" x14ac:dyDescent="0.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spans="1:33" ht="25.5" customHeight="1" x14ac:dyDescent="0.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spans="1:33" ht="25.5" customHeight="1" x14ac:dyDescent="0.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spans="1:33" ht="25.5" customHeight="1" x14ac:dyDescent="0.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spans="1:33" ht="25.5" customHeight="1" x14ac:dyDescent="0.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spans="1:33" ht="25.5" customHeight="1" x14ac:dyDescent="0.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spans="1:33" ht="25.5" customHeight="1" x14ac:dyDescent="0.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spans="1:33" ht="25.5" customHeight="1" x14ac:dyDescent="0.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spans="1:33" ht="25.5" customHeight="1" x14ac:dyDescent="0.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spans="1:33" ht="25.5" customHeight="1" x14ac:dyDescent="0.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spans="1:33" ht="25.5" customHeight="1" x14ac:dyDescent="0.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spans="1:33" ht="25.5" customHeight="1" x14ac:dyDescent="0.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spans="1:33" ht="25.5" customHeight="1" x14ac:dyDescent="0.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spans="1:33" ht="25.5" customHeight="1" x14ac:dyDescent="0.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spans="1:33" ht="25.5" customHeight="1" x14ac:dyDescent="0.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spans="1:33" ht="25.5" customHeight="1" x14ac:dyDescent="0.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ht="25.5" customHeight="1" x14ac:dyDescent="0.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spans="1:33" ht="25.5" customHeight="1" x14ac:dyDescent="0.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spans="1:33" ht="25.5" customHeight="1" x14ac:dyDescent="0.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spans="1:33" ht="25.5" customHeight="1" x14ac:dyDescent="0.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ht="25.5" customHeight="1" x14ac:dyDescent="0.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spans="1:33" ht="25.5" customHeight="1" x14ac:dyDescent="0.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spans="1:33" ht="25.5" customHeight="1" x14ac:dyDescent="0.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spans="1:33" ht="25.5" customHeight="1" x14ac:dyDescent="0.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spans="1:33" ht="25.5" customHeight="1" x14ac:dyDescent="0.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spans="1:33" ht="25.5" customHeight="1" x14ac:dyDescent="0.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spans="1:33" ht="25.5" customHeight="1" x14ac:dyDescent="0.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spans="1:33" ht="25.5" customHeight="1" x14ac:dyDescent="0.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spans="1:33" ht="25.5" customHeight="1" x14ac:dyDescent="0.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spans="1:33" ht="25.5" customHeight="1" x14ac:dyDescent="0.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spans="1:33" ht="25.5" customHeight="1" x14ac:dyDescent="0.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spans="1:33" ht="25.5" customHeight="1" x14ac:dyDescent="0.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spans="1:33" ht="25.5" customHeight="1" x14ac:dyDescent="0.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spans="1:33" ht="25.5" customHeight="1" x14ac:dyDescent="0.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spans="1:33" ht="25.5" customHeight="1" x14ac:dyDescent="0.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spans="1:33" ht="25.5" customHeight="1" x14ac:dyDescent="0.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spans="1:33" ht="25.5" customHeight="1" x14ac:dyDescent="0.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spans="1:33" ht="25.5" customHeight="1" x14ac:dyDescent="0.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spans="1:33" ht="25.5" customHeight="1" x14ac:dyDescent="0.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spans="1:33" ht="25.5" customHeight="1" x14ac:dyDescent="0.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spans="1:33" ht="25.5" customHeight="1" x14ac:dyDescent="0.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spans="1:33" ht="25.5" customHeight="1" x14ac:dyDescent="0.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spans="1:33" ht="25.5" customHeight="1" x14ac:dyDescent="0.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spans="1:33" ht="25.5" customHeight="1" x14ac:dyDescent="0.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spans="1:33" ht="25.5" customHeight="1" x14ac:dyDescent="0.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spans="1:33" ht="25.5" customHeight="1" x14ac:dyDescent="0.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spans="1:33" ht="25.5" customHeight="1" x14ac:dyDescent="0.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1:33" ht="25.5" customHeight="1" x14ac:dyDescent="0.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1:33" ht="25.5" customHeight="1" x14ac:dyDescent="0.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spans="1:33" ht="25.5" customHeight="1" x14ac:dyDescent="0.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ht="25.5" customHeight="1" x14ac:dyDescent="0.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spans="1:33" ht="25.5" customHeight="1" x14ac:dyDescent="0.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1:33" ht="25.5" customHeight="1" x14ac:dyDescent="0.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spans="1:33" ht="25.5" customHeight="1" x14ac:dyDescent="0.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ht="25.5" customHeight="1" x14ac:dyDescent="0.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spans="1:33" ht="25.5" customHeight="1" x14ac:dyDescent="0.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spans="1:33" ht="25.5" customHeight="1" x14ac:dyDescent="0.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spans="1:33" ht="25.5" customHeight="1" x14ac:dyDescent="0.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spans="1:33" ht="25.5" customHeight="1" x14ac:dyDescent="0.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spans="1:33" ht="25.5" customHeight="1" x14ac:dyDescent="0.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spans="1:33" ht="25.5" customHeight="1" x14ac:dyDescent="0.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spans="1:33" ht="25.5" customHeight="1" x14ac:dyDescent="0.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1:33" ht="25.5" customHeight="1" x14ac:dyDescent="0.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spans="1:33" ht="25.5" customHeight="1" x14ac:dyDescent="0.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spans="1:33" ht="25.5" customHeight="1" x14ac:dyDescent="0.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spans="1:33" ht="25.5" customHeight="1" x14ac:dyDescent="0.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spans="1:33" ht="25.5" customHeight="1" x14ac:dyDescent="0.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ht="25.5" customHeight="1" x14ac:dyDescent="0.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ht="25.5" customHeight="1" x14ac:dyDescent="0.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ht="25.5" customHeight="1" x14ac:dyDescent="0.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ht="25.5" customHeight="1" x14ac:dyDescent="0.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ht="25.5" customHeight="1" x14ac:dyDescent="0.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ht="25.5" customHeight="1" x14ac:dyDescent="0.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ht="25.5" customHeight="1" x14ac:dyDescent="0.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ht="25.5" customHeight="1" x14ac:dyDescent="0.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ht="25.5" customHeight="1" x14ac:dyDescent="0.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ht="25.5" customHeight="1" x14ac:dyDescent="0.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ht="25.5" customHeight="1" x14ac:dyDescent="0.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ht="25.5" customHeight="1" x14ac:dyDescent="0.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ht="25.5" customHeight="1" x14ac:dyDescent="0.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ht="25.5" customHeight="1" x14ac:dyDescent="0.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ht="25.5" customHeight="1" x14ac:dyDescent="0.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ht="25.5" customHeight="1" x14ac:dyDescent="0.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ht="25.5" customHeight="1" x14ac:dyDescent="0.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25.5" customHeight="1" x14ac:dyDescent="0.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ht="25.5" customHeight="1" x14ac:dyDescent="0.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ht="25.5" customHeight="1" x14ac:dyDescent="0.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ht="25.5" customHeight="1" x14ac:dyDescent="0.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25.5" customHeight="1" x14ac:dyDescent="0.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ht="25.5" customHeight="1" x14ac:dyDescent="0.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ht="25.5" customHeight="1" x14ac:dyDescent="0.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ht="25.5" customHeight="1" x14ac:dyDescent="0.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ht="25.5" customHeight="1" x14ac:dyDescent="0.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ht="25.5" customHeight="1" x14ac:dyDescent="0.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ht="25.5" customHeight="1" x14ac:dyDescent="0.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ht="25.5" customHeight="1" x14ac:dyDescent="0.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ht="25.5" customHeight="1" x14ac:dyDescent="0.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ht="25.5" customHeight="1" x14ac:dyDescent="0.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ht="25.5" customHeight="1" x14ac:dyDescent="0.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ht="25.5" customHeight="1" x14ac:dyDescent="0.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ht="25.5" customHeight="1" x14ac:dyDescent="0.6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ht="25.5" customHeight="1" x14ac:dyDescent="0.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ht="25.5" customHeight="1" x14ac:dyDescent="0.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ht="25.5" customHeight="1" x14ac:dyDescent="0.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ht="25.5" customHeight="1" x14ac:dyDescent="0.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ht="25.5" customHeight="1" x14ac:dyDescent="0.6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ht="25.5" customHeight="1" x14ac:dyDescent="0.6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ht="25.5" customHeight="1" x14ac:dyDescent="0.6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ht="25.5" customHeight="1" x14ac:dyDescent="0.6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ht="25.5" customHeight="1" x14ac:dyDescent="0.6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ht="25.5" customHeight="1" x14ac:dyDescent="0.6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ht="25.5" customHeight="1" x14ac:dyDescent="0.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ht="25.5" customHeight="1" x14ac:dyDescent="0.6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ht="25.5" customHeight="1" x14ac:dyDescent="0.6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ht="25.5" customHeight="1" x14ac:dyDescent="0.6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ht="25.5" customHeight="1" x14ac:dyDescent="0.6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ht="25.5" customHeight="1" x14ac:dyDescent="0.6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ht="25.5" customHeight="1" x14ac:dyDescent="0.6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25.5" customHeight="1" x14ac:dyDescent="0.6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ht="25.5" customHeight="1" x14ac:dyDescent="0.6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ht="25.5" customHeight="1" x14ac:dyDescent="0.6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ht="25.5" customHeight="1" x14ac:dyDescent="0.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25.5" customHeight="1" x14ac:dyDescent="0.6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ht="25.5" customHeight="1" x14ac:dyDescent="0.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ht="25.5" customHeight="1" x14ac:dyDescent="0.6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ht="25.5" customHeight="1" x14ac:dyDescent="0.6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ht="25.5" customHeight="1" x14ac:dyDescent="0.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ht="25.5" customHeight="1" x14ac:dyDescent="0.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ht="25.5" customHeight="1" x14ac:dyDescent="0.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ht="25.5" customHeight="1" x14ac:dyDescent="0.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ht="25.5" customHeight="1" x14ac:dyDescent="0.6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ht="25.5" customHeight="1" x14ac:dyDescent="0.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ht="25.5" customHeight="1" x14ac:dyDescent="0.6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ht="25.5" customHeight="1" x14ac:dyDescent="0.6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ht="25.5" customHeight="1" x14ac:dyDescent="0.6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ht="25.5" customHeight="1" x14ac:dyDescent="0.6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ht="25.5" customHeight="1" x14ac:dyDescent="0.6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ht="25.5" customHeight="1" x14ac:dyDescent="0.6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ht="25.5" customHeight="1" x14ac:dyDescent="0.6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ht="25.5" customHeight="1" x14ac:dyDescent="0.6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ht="25.5" customHeight="1" x14ac:dyDescent="0.6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ht="25.5" customHeight="1" x14ac:dyDescent="0.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ht="25.5" customHeight="1" x14ac:dyDescent="0.6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ht="25.5" customHeight="1" x14ac:dyDescent="0.6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ht="25.5" customHeight="1" x14ac:dyDescent="0.6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ht="25.5" customHeight="1" x14ac:dyDescent="0.6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ht="25.5" customHeight="1" x14ac:dyDescent="0.6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ht="25.5" customHeight="1" x14ac:dyDescent="0.6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ht="25.5" customHeight="1" x14ac:dyDescent="0.6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ht="25.5" customHeight="1" x14ac:dyDescent="0.6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ht="25.5" customHeight="1" x14ac:dyDescent="0.6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ht="25.5" customHeight="1" x14ac:dyDescent="0.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25.5" customHeight="1" x14ac:dyDescent="0.6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ht="25.5" customHeight="1" x14ac:dyDescent="0.6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ht="25.5" customHeight="1" x14ac:dyDescent="0.6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ht="25.5" customHeight="1" x14ac:dyDescent="0.6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ht="25.5" customHeight="1" x14ac:dyDescent="0.6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ht="25.5" customHeight="1" x14ac:dyDescent="0.6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ht="25.5" customHeight="1" x14ac:dyDescent="0.6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ht="25.5" customHeight="1" x14ac:dyDescent="0.6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ht="25.5" customHeight="1" x14ac:dyDescent="0.6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ht="25.5" customHeight="1" x14ac:dyDescent="0.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ht="25.5" customHeight="1" x14ac:dyDescent="0.6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ht="25.5" customHeight="1" x14ac:dyDescent="0.6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ht="25.5" customHeight="1" x14ac:dyDescent="0.6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ht="25.5" customHeight="1" x14ac:dyDescent="0.6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ht="25.5" customHeight="1" x14ac:dyDescent="0.6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ht="25.5" customHeight="1" x14ac:dyDescent="0.6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ht="25.5" customHeight="1" x14ac:dyDescent="0.6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ht="25.5" customHeight="1" x14ac:dyDescent="0.6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ht="25.5" customHeight="1" x14ac:dyDescent="0.6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ht="25.5" customHeight="1" x14ac:dyDescent="0.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ht="25.5" customHeight="1" x14ac:dyDescent="0.6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ht="25.5" customHeight="1" x14ac:dyDescent="0.6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ht="25.5" customHeight="1" x14ac:dyDescent="0.6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ht="25.5" customHeight="1" x14ac:dyDescent="0.6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ht="25.5" customHeight="1" x14ac:dyDescent="0.6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ht="25.5" customHeight="1" x14ac:dyDescent="0.6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ht="25.5" customHeight="1" x14ac:dyDescent="0.6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ht="25.5" customHeight="1" x14ac:dyDescent="0.6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ht="25.5" customHeight="1" x14ac:dyDescent="0.6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ht="25.5" customHeight="1" x14ac:dyDescent="0.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ht="25.5" customHeight="1" x14ac:dyDescent="0.6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ht="25.5" customHeight="1" x14ac:dyDescent="0.6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ht="25.5" customHeight="1" x14ac:dyDescent="0.6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ht="25.5" customHeight="1" x14ac:dyDescent="0.6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ht="25.5" customHeight="1" x14ac:dyDescent="0.6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ht="25.5" customHeight="1" x14ac:dyDescent="0.6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ht="25.5" customHeight="1" x14ac:dyDescent="0.6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ht="25.5" customHeight="1" x14ac:dyDescent="0.6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ht="25.5" customHeight="1" x14ac:dyDescent="0.6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 ht="25.5" customHeight="1" x14ac:dyDescent="0.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spans="1:33" ht="25.5" customHeight="1" x14ac:dyDescent="0.6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spans="1:33" ht="25.5" customHeight="1" x14ac:dyDescent="0.6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spans="1:33" ht="25.5" customHeight="1" x14ac:dyDescent="0.6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spans="1:33" ht="25.5" customHeight="1" x14ac:dyDescent="0.6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spans="1:33" ht="25.5" customHeight="1" x14ac:dyDescent="0.6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spans="1:33" ht="25.5" customHeight="1" x14ac:dyDescent="0.6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spans="1:33" ht="25.5" customHeight="1" x14ac:dyDescent="0.6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spans="1:33" ht="25.5" customHeight="1" x14ac:dyDescent="0.6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spans="1:33" ht="25.5" customHeight="1" x14ac:dyDescent="0.6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spans="1:33" ht="25.5" customHeight="1" x14ac:dyDescent="0.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spans="1:33" ht="25.5" customHeight="1" x14ac:dyDescent="0.6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spans="1:33" ht="25.5" customHeight="1" x14ac:dyDescent="0.6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spans="1:33" ht="25.5" customHeight="1" x14ac:dyDescent="0.6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spans="1:33" ht="25.5" customHeight="1" x14ac:dyDescent="0.6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spans="1:33" ht="25.5" customHeight="1" x14ac:dyDescent="0.6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spans="1:33" ht="25.5" customHeight="1" x14ac:dyDescent="0.6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spans="1:33" ht="25.5" customHeight="1" x14ac:dyDescent="0.6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spans="1:33" ht="25.5" customHeight="1" x14ac:dyDescent="0.6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spans="1:33" ht="25.5" customHeight="1" x14ac:dyDescent="0.6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spans="1:33" ht="25.5" customHeight="1" x14ac:dyDescent="0.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ht="25.5" customHeight="1" x14ac:dyDescent="0.6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25.5" customHeight="1" x14ac:dyDescent="0.6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spans="1:33" ht="25.5" customHeight="1" x14ac:dyDescent="0.6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spans="1:33" ht="25.5" customHeight="1" x14ac:dyDescent="0.6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spans="1:33" ht="25.5" customHeight="1" x14ac:dyDescent="0.6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spans="1:33" ht="25.5" customHeight="1" x14ac:dyDescent="0.6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spans="1:33" ht="25.5" customHeight="1" x14ac:dyDescent="0.6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spans="1:33" ht="25.5" customHeight="1" x14ac:dyDescent="0.6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spans="1:33" ht="25.5" customHeight="1" x14ac:dyDescent="0.6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spans="1:33" ht="25.5" customHeight="1" x14ac:dyDescent="0.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spans="1:33" ht="25.5" customHeight="1" x14ac:dyDescent="0.6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spans="1:33" ht="25.5" customHeight="1" x14ac:dyDescent="0.6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spans="1:33" ht="25.5" customHeight="1" x14ac:dyDescent="0.6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spans="1:33" ht="25.5" customHeight="1" x14ac:dyDescent="0.6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spans="1:33" ht="25.5" customHeight="1" x14ac:dyDescent="0.6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spans="1:33" ht="25.5" customHeight="1" x14ac:dyDescent="0.6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spans="1:33" ht="25.5" customHeight="1" x14ac:dyDescent="0.6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spans="1:33" ht="25.5" customHeight="1" x14ac:dyDescent="0.6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spans="1:33" ht="25.5" customHeight="1" x14ac:dyDescent="0.6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spans="1:33" ht="25.5" customHeight="1" x14ac:dyDescent="0.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spans="1:33" ht="25.5" customHeight="1" x14ac:dyDescent="0.6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spans="1:33" ht="25.5" customHeight="1" x14ac:dyDescent="0.6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spans="1:33" ht="25.5" customHeight="1" x14ac:dyDescent="0.6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spans="1:33" ht="25.5" customHeight="1" x14ac:dyDescent="0.6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spans="1:33" ht="25.5" customHeight="1" x14ac:dyDescent="0.6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spans="1:33" ht="25.5" customHeight="1" x14ac:dyDescent="0.6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spans="1:33" ht="25.5" customHeight="1" x14ac:dyDescent="0.6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spans="1:33" ht="25.5" customHeight="1" x14ac:dyDescent="0.6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spans="1:33" ht="25.5" customHeight="1" x14ac:dyDescent="0.6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spans="1:33" ht="25.5" customHeight="1" x14ac:dyDescent="0.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spans="1:33" ht="25.5" customHeight="1" x14ac:dyDescent="0.6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spans="1:33" ht="25.5" customHeight="1" x14ac:dyDescent="0.6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spans="1:33" ht="25.5" customHeight="1" x14ac:dyDescent="0.6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spans="1:33" ht="25.5" customHeight="1" x14ac:dyDescent="0.6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spans="1:33" ht="25.5" customHeight="1" x14ac:dyDescent="0.6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spans="1:33" ht="25.5" customHeight="1" x14ac:dyDescent="0.6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spans="1:33" ht="25.5" customHeight="1" x14ac:dyDescent="0.6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spans="1:33" ht="25.5" customHeight="1" x14ac:dyDescent="0.6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spans="1:33" ht="25.5" customHeight="1" x14ac:dyDescent="0.6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spans="1:33" ht="25.5" customHeight="1" x14ac:dyDescent="0.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spans="1:33" ht="25.5" customHeight="1" x14ac:dyDescent="0.6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spans="1:33" ht="25.5" customHeight="1" x14ac:dyDescent="0.6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spans="1:33" ht="25.5" customHeight="1" x14ac:dyDescent="0.6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spans="1:33" ht="25.5" customHeight="1" x14ac:dyDescent="0.6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spans="1:33" ht="25.5" customHeight="1" x14ac:dyDescent="0.6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spans="1:33" ht="25.5" customHeight="1" x14ac:dyDescent="0.6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spans="1:33" ht="25.5" customHeight="1" x14ac:dyDescent="0.6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spans="1:33" ht="25.5" customHeight="1" x14ac:dyDescent="0.6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spans="1:33" ht="25.5" customHeight="1" x14ac:dyDescent="0.6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spans="1:33" ht="25.5" customHeight="1" x14ac:dyDescent="0.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spans="1:33" ht="25.5" customHeight="1" x14ac:dyDescent="0.6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spans="1:33" ht="25.5" customHeight="1" x14ac:dyDescent="0.6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spans="1:33" ht="25.5" customHeight="1" x14ac:dyDescent="0.6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spans="1:33" ht="25.5" customHeight="1" x14ac:dyDescent="0.6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spans="1:33" ht="25.5" customHeight="1" x14ac:dyDescent="0.6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spans="1:33" ht="25.5" customHeight="1" x14ac:dyDescent="0.6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spans="1:33" ht="25.5" customHeight="1" x14ac:dyDescent="0.6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spans="1:33" ht="25.5" customHeight="1" x14ac:dyDescent="0.6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spans="1:33" ht="25.5" customHeight="1" x14ac:dyDescent="0.6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spans="1:33" ht="25.5" customHeight="1" x14ac:dyDescent="0.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spans="1:33" ht="25.5" customHeight="1" x14ac:dyDescent="0.6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spans="1:33" ht="25.5" customHeight="1" x14ac:dyDescent="0.6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spans="1:33" ht="25.5" customHeight="1" x14ac:dyDescent="0.6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spans="1:33" ht="25.5" customHeight="1" x14ac:dyDescent="0.6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spans="1:33" ht="25.5" customHeight="1" x14ac:dyDescent="0.6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spans="1:33" ht="25.5" customHeight="1" x14ac:dyDescent="0.6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spans="1:33" ht="25.5" customHeight="1" x14ac:dyDescent="0.6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spans="1:33" ht="25.5" customHeight="1" x14ac:dyDescent="0.6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spans="1:33" ht="25.5" customHeight="1" x14ac:dyDescent="0.6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spans="1:33" ht="25.5" customHeight="1" x14ac:dyDescent="0.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spans="1:33" ht="25.5" customHeight="1" x14ac:dyDescent="0.6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spans="1:33" ht="25.5" customHeight="1" x14ac:dyDescent="0.6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spans="1:33" ht="25.5" customHeight="1" x14ac:dyDescent="0.6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spans="1:33" ht="25.5" customHeight="1" x14ac:dyDescent="0.6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spans="1:33" ht="25.5" customHeight="1" x14ac:dyDescent="0.6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spans="1:33" ht="25.5" customHeight="1" x14ac:dyDescent="0.6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spans="1:33" ht="25.5" customHeight="1" x14ac:dyDescent="0.6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spans="1:33" ht="25.5" customHeight="1" x14ac:dyDescent="0.6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spans="1:33" ht="25.5" customHeight="1" x14ac:dyDescent="0.6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spans="1:33" ht="25.5" customHeight="1" x14ac:dyDescent="0.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spans="1:33" ht="25.5" customHeight="1" x14ac:dyDescent="0.6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spans="1:33" ht="25.5" customHeight="1" x14ac:dyDescent="0.6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spans="1:33" ht="25.5" customHeight="1" x14ac:dyDescent="0.6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spans="1:33" ht="25.5" customHeight="1" x14ac:dyDescent="0.6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spans="1:33" ht="25.5" customHeight="1" x14ac:dyDescent="0.6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spans="1:33" ht="25.5" customHeight="1" x14ac:dyDescent="0.6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spans="1:33" ht="25.5" customHeight="1" x14ac:dyDescent="0.6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spans="1:33" ht="25.5" customHeight="1" x14ac:dyDescent="0.6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spans="1:33" ht="25.5" customHeight="1" x14ac:dyDescent="0.6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spans="1:33" ht="25.5" customHeight="1" x14ac:dyDescent="0.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spans="1:33" ht="25.5" customHeight="1" x14ac:dyDescent="0.6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spans="1:33" ht="25.5" customHeight="1" x14ac:dyDescent="0.6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spans="1:33" ht="25.5" customHeight="1" x14ac:dyDescent="0.6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spans="1:33" ht="25.5" customHeight="1" x14ac:dyDescent="0.6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spans="1:33" ht="25.5" customHeight="1" x14ac:dyDescent="0.6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spans="1:33" ht="25.5" customHeight="1" x14ac:dyDescent="0.6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spans="1:33" ht="25.5" customHeight="1" x14ac:dyDescent="0.6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spans="1:33" ht="25.5" customHeight="1" x14ac:dyDescent="0.6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spans="1:33" ht="25.5" customHeight="1" x14ac:dyDescent="0.6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spans="1:33" ht="25.5" customHeight="1" x14ac:dyDescent="0.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spans="1:33" ht="25.5" customHeight="1" x14ac:dyDescent="0.6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spans="1:33" ht="25.5" customHeight="1" x14ac:dyDescent="0.6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spans="1:33" ht="25.5" customHeight="1" x14ac:dyDescent="0.6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spans="1:33" ht="25.5" customHeight="1" x14ac:dyDescent="0.6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spans="1:33" ht="25.5" customHeight="1" x14ac:dyDescent="0.6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spans="1:33" ht="25.5" customHeight="1" x14ac:dyDescent="0.6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spans="1:33" ht="25.5" customHeight="1" x14ac:dyDescent="0.6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spans="1:33" ht="25.5" customHeight="1" x14ac:dyDescent="0.6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spans="1:33" ht="25.5" customHeight="1" x14ac:dyDescent="0.6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spans="1:33" ht="25.5" customHeight="1" x14ac:dyDescent="0.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spans="1:33" ht="25.5" customHeight="1" x14ac:dyDescent="0.6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spans="1:33" ht="25.5" customHeight="1" x14ac:dyDescent="0.6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spans="1:33" ht="25.5" customHeight="1" x14ac:dyDescent="0.6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spans="1:33" ht="25.5" customHeight="1" x14ac:dyDescent="0.6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spans="1:33" ht="25.5" customHeight="1" x14ac:dyDescent="0.6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spans="1:33" ht="25.5" customHeight="1" x14ac:dyDescent="0.6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spans="1:33" ht="25.5" customHeight="1" x14ac:dyDescent="0.6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spans="1:33" ht="25.5" customHeight="1" x14ac:dyDescent="0.6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spans="1:33" ht="25.5" customHeight="1" x14ac:dyDescent="0.6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spans="1:33" ht="25.5" customHeight="1" x14ac:dyDescent="0.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spans="1:33" ht="25.5" customHeight="1" x14ac:dyDescent="0.6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spans="1:33" ht="25.5" customHeight="1" x14ac:dyDescent="0.6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spans="1:33" ht="25.5" customHeight="1" x14ac:dyDescent="0.6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spans="1:33" ht="25.5" customHeight="1" x14ac:dyDescent="0.6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spans="1:33" ht="25.5" customHeight="1" x14ac:dyDescent="0.6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spans="1:33" ht="25.5" customHeight="1" x14ac:dyDescent="0.6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spans="1:33" ht="25.5" customHeight="1" x14ac:dyDescent="0.6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spans="1:33" ht="25.5" customHeight="1" x14ac:dyDescent="0.6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spans="1:33" ht="25.5" customHeight="1" x14ac:dyDescent="0.6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spans="1:33" ht="25.5" customHeight="1" x14ac:dyDescent="0.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spans="1:33" ht="25.5" customHeight="1" x14ac:dyDescent="0.6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spans="1:33" ht="25.5" customHeight="1" x14ac:dyDescent="0.6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spans="1:33" ht="25.5" customHeight="1" x14ac:dyDescent="0.6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spans="1:33" ht="25.5" customHeight="1" x14ac:dyDescent="0.6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spans="1:33" ht="25.5" customHeight="1" x14ac:dyDescent="0.6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spans="1:33" ht="25.5" customHeight="1" x14ac:dyDescent="0.6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spans="1:33" ht="25.5" customHeight="1" x14ac:dyDescent="0.6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spans="1:33" ht="25.5" customHeight="1" x14ac:dyDescent="0.6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spans="1:33" ht="25.5" customHeight="1" x14ac:dyDescent="0.6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spans="1:33" ht="25.5" customHeight="1" x14ac:dyDescent="0.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spans="1:33" ht="25.5" customHeight="1" x14ac:dyDescent="0.6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spans="1:33" ht="25.5" customHeight="1" x14ac:dyDescent="0.6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spans="1:33" ht="25.5" customHeight="1" x14ac:dyDescent="0.6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spans="1:33" ht="25.5" customHeight="1" x14ac:dyDescent="0.6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spans="1:33" ht="25.5" customHeight="1" x14ac:dyDescent="0.6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spans="1:33" ht="25.5" customHeight="1" x14ac:dyDescent="0.6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spans="1:33" ht="25.5" customHeight="1" x14ac:dyDescent="0.6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spans="1:33" ht="25.5" customHeight="1" x14ac:dyDescent="0.6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spans="1:33" ht="25.5" customHeight="1" x14ac:dyDescent="0.6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spans="1:33" ht="25.5" customHeight="1" x14ac:dyDescent="0.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spans="1:33" ht="25.5" customHeight="1" x14ac:dyDescent="0.6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spans="1:33" ht="25.5" customHeight="1" x14ac:dyDescent="0.6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spans="1:33" ht="25.5" customHeight="1" x14ac:dyDescent="0.6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spans="1:33" ht="25.5" customHeight="1" x14ac:dyDescent="0.6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spans="1:33" ht="25.5" customHeight="1" x14ac:dyDescent="0.6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spans="1:33" ht="25.5" customHeight="1" x14ac:dyDescent="0.6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spans="1:33" ht="25.5" customHeight="1" x14ac:dyDescent="0.6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spans="1:33" ht="25.5" customHeight="1" x14ac:dyDescent="0.6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spans="1:33" ht="25.5" customHeight="1" x14ac:dyDescent="0.6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spans="1:33" ht="25.5" customHeight="1" x14ac:dyDescent="0.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spans="1:33" ht="25.5" customHeight="1" x14ac:dyDescent="0.6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spans="1:33" ht="25.5" customHeight="1" x14ac:dyDescent="0.6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spans="1:33" ht="25.5" customHeight="1" x14ac:dyDescent="0.6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spans="1:33" ht="25.5" customHeight="1" x14ac:dyDescent="0.6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spans="1:33" ht="25.5" customHeight="1" x14ac:dyDescent="0.6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spans="1:33" ht="25.5" customHeight="1" x14ac:dyDescent="0.6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spans="1:33" ht="25.5" customHeight="1" x14ac:dyDescent="0.6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spans="1:33" ht="25.5" customHeight="1" x14ac:dyDescent="0.6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spans="1:33" ht="25.5" customHeight="1" x14ac:dyDescent="0.6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spans="1:33" ht="25.5" customHeight="1" x14ac:dyDescent="0.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spans="1:33" ht="25.5" customHeight="1" x14ac:dyDescent="0.6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spans="1:33" ht="25.5" customHeight="1" x14ac:dyDescent="0.6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spans="1:33" ht="25.5" customHeight="1" x14ac:dyDescent="0.6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spans="1:33" ht="25.5" customHeight="1" x14ac:dyDescent="0.6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spans="1:33" ht="25.5" customHeight="1" x14ac:dyDescent="0.6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spans="1:33" ht="25.5" customHeight="1" x14ac:dyDescent="0.6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spans="1:33" ht="25.5" customHeight="1" x14ac:dyDescent="0.6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spans="1:33" ht="25.5" customHeight="1" x14ac:dyDescent="0.6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spans="1:33" ht="25.5" customHeight="1" x14ac:dyDescent="0.6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spans="1:33" ht="25.5" customHeight="1" x14ac:dyDescent="0.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spans="1:33" ht="25.5" customHeight="1" x14ac:dyDescent="0.6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spans="1:33" ht="25.5" customHeight="1" x14ac:dyDescent="0.6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spans="1:33" ht="25.5" customHeight="1" x14ac:dyDescent="0.6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spans="1:33" ht="25.5" customHeight="1" x14ac:dyDescent="0.6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spans="1:33" ht="25.5" customHeight="1" x14ac:dyDescent="0.6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spans="1:33" ht="25.5" customHeight="1" x14ac:dyDescent="0.6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spans="1:33" ht="25.5" customHeight="1" x14ac:dyDescent="0.6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spans="1:33" ht="25.5" customHeight="1" x14ac:dyDescent="0.6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spans="1:33" ht="25.5" customHeight="1" x14ac:dyDescent="0.6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spans="1:33" ht="25.5" customHeight="1" x14ac:dyDescent="0.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spans="1:33" ht="25.5" customHeight="1" x14ac:dyDescent="0.6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spans="1:33" ht="25.5" customHeight="1" x14ac:dyDescent="0.6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spans="1:33" ht="25.5" customHeight="1" x14ac:dyDescent="0.6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spans="1:33" ht="25.5" customHeight="1" x14ac:dyDescent="0.6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spans="1:33" ht="25.5" customHeight="1" x14ac:dyDescent="0.6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spans="1:33" ht="25.5" customHeight="1" x14ac:dyDescent="0.6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spans="1:33" ht="25.5" customHeight="1" x14ac:dyDescent="0.6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spans="1:33" ht="25.5" customHeight="1" x14ac:dyDescent="0.6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spans="1:33" ht="25.5" customHeight="1" x14ac:dyDescent="0.6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spans="1:33" ht="25.5" customHeight="1" x14ac:dyDescent="0.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spans="1:33" ht="25.5" customHeight="1" x14ac:dyDescent="0.6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spans="1:33" ht="25.5" customHeight="1" x14ac:dyDescent="0.6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spans="1:33" ht="25.5" customHeight="1" x14ac:dyDescent="0.6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spans="1:33" ht="25.5" customHeight="1" x14ac:dyDescent="0.6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spans="1:33" ht="25.5" customHeight="1" x14ac:dyDescent="0.6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spans="1:33" ht="25.5" customHeight="1" x14ac:dyDescent="0.6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spans="1:33" ht="25.5" customHeight="1" x14ac:dyDescent="0.6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spans="1:33" ht="25.5" customHeight="1" x14ac:dyDescent="0.6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spans="1:33" ht="25.5" customHeight="1" x14ac:dyDescent="0.6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spans="1:33" ht="25.5" customHeight="1" x14ac:dyDescent="0.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spans="1:33" ht="25.5" customHeight="1" x14ac:dyDescent="0.6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spans="1:33" ht="25.5" customHeight="1" x14ac:dyDescent="0.6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spans="1:33" ht="25.5" customHeight="1" x14ac:dyDescent="0.6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spans="1:33" ht="25.5" customHeight="1" x14ac:dyDescent="0.6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spans="1:33" ht="25.5" customHeight="1" x14ac:dyDescent="0.6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spans="1:33" ht="25.5" customHeight="1" x14ac:dyDescent="0.6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spans="1:33" ht="25.5" customHeight="1" x14ac:dyDescent="0.6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spans="1:33" ht="25.5" customHeight="1" x14ac:dyDescent="0.6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spans="1:33" ht="25.5" customHeight="1" x14ac:dyDescent="0.6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spans="1:33" ht="25.5" customHeight="1" x14ac:dyDescent="0.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spans="1:33" ht="25.5" customHeight="1" x14ac:dyDescent="0.6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spans="1:33" ht="25.5" customHeight="1" x14ac:dyDescent="0.6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spans="1:33" ht="25.5" customHeight="1" x14ac:dyDescent="0.6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spans="1:33" ht="25.5" customHeight="1" x14ac:dyDescent="0.6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spans="1:33" ht="25.5" customHeight="1" x14ac:dyDescent="0.6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spans="1:33" ht="25.5" customHeight="1" x14ac:dyDescent="0.6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spans="1:33" ht="25.5" customHeight="1" x14ac:dyDescent="0.6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spans="1:33" ht="25.5" customHeight="1" x14ac:dyDescent="0.6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spans="1:33" ht="25.5" customHeight="1" x14ac:dyDescent="0.6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spans="1:33" ht="25.5" customHeight="1" x14ac:dyDescent="0.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spans="1:33" ht="25.5" customHeight="1" x14ac:dyDescent="0.6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spans="1:33" ht="25.5" customHeight="1" x14ac:dyDescent="0.6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spans="1:33" ht="25.5" customHeight="1" x14ac:dyDescent="0.6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spans="1:33" ht="25.5" customHeight="1" x14ac:dyDescent="0.6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spans="1:33" ht="25.5" customHeight="1" x14ac:dyDescent="0.6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spans="1:33" ht="25.5" customHeight="1" x14ac:dyDescent="0.6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spans="1:33" ht="25.5" customHeight="1" x14ac:dyDescent="0.6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spans="1:33" ht="25.5" customHeight="1" x14ac:dyDescent="0.6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spans="1:33" ht="25.5" customHeight="1" x14ac:dyDescent="0.6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spans="1:33" ht="25.5" customHeight="1" x14ac:dyDescent="0.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spans="1:33" ht="25.5" customHeight="1" x14ac:dyDescent="0.6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spans="1:33" ht="25.5" customHeight="1" x14ac:dyDescent="0.6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spans="1:33" ht="25.5" customHeight="1" x14ac:dyDescent="0.6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spans="1:33" ht="25.5" customHeight="1" x14ac:dyDescent="0.6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spans="1:33" ht="25.5" customHeight="1" x14ac:dyDescent="0.6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spans="1:33" ht="25.5" customHeight="1" x14ac:dyDescent="0.6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spans="1:33" ht="25.5" customHeight="1" x14ac:dyDescent="0.6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spans="1:33" ht="25.5" customHeight="1" x14ac:dyDescent="0.6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spans="1:33" ht="25.5" customHeight="1" x14ac:dyDescent="0.6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spans="1:33" ht="25.5" customHeight="1" x14ac:dyDescent="0.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spans="1:33" ht="25.5" customHeight="1" x14ac:dyDescent="0.6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spans="1:33" ht="25.5" customHeight="1" x14ac:dyDescent="0.6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spans="1:33" ht="25.5" customHeight="1" x14ac:dyDescent="0.6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spans="1:33" ht="25.5" customHeight="1" x14ac:dyDescent="0.6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spans="1:33" ht="25.5" customHeight="1" x14ac:dyDescent="0.6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spans="1:33" ht="25.5" customHeight="1" x14ac:dyDescent="0.6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spans="1:33" ht="25.5" customHeight="1" x14ac:dyDescent="0.6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spans="1:33" ht="25.5" customHeight="1" x14ac:dyDescent="0.6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spans="1:33" ht="25.5" customHeight="1" x14ac:dyDescent="0.6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spans="1:33" ht="25.5" customHeight="1" x14ac:dyDescent="0.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spans="1:33" ht="25.5" customHeight="1" x14ac:dyDescent="0.6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spans="1:33" ht="25.5" customHeight="1" x14ac:dyDescent="0.6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spans="1:33" ht="25.5" customHeight="1" x14ac:dyDescent="0.6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spans="1:33" ht="25.5" customHeight="1" x14ac:dyDescent="0.6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spans="1:33" ht="25.5" customHeight="1" x14ac:dyDescent="0.6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spans="1:33" ht="25.5" customHeight="1" x14ac:dyDescent="0.6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spans="1:33" ht="25.5" customHeight="1" x14ac:dyDescent="0.6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spans="1:33" ht="25.5" customHeight="1" x14ac:dyDescent="0.6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spans="1:33" ht="25.5" customHeight="1" x14ac:dyDescent="0.6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spans="1:33" ht="25.5" customHeight="1" x14ac:dyDescent="0.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spans="1:33" ht="25.5" customHeight="1" x14ac:dyDescent="0.6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spans="1:33" ht="25.5" customHeight="1" x14ac:dyDescent="0.6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spans="1:33" ht="25.5" customHeight="1" x14ac:dyDescent="0.6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spans="1:33" ht="25.5" customHeight="1" x14ac:dyDescent="0.6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spans="1:33" ht="25.5" customHeight="1" x14ac:dyDescent="0.6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spans="1:33" ht="25.5" customHeight="1" x14ac:dyDescent="0.6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spans="1:33" ht="25.5" customHeight="1" x14ac:dyDescent="0.6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spans="1:33" ht="25.5" customHeight="1" x14ac:dyDescent="0.6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spans="1:33" ht="25.5" customHeight="1" x14ac:dyDescent="0.6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spans="1:33" ht="25.5" customHeight="1" x14ac:dyDescent="0.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spans="1:33" ht="25.5" customHeight="1" x14ac:dyDescent="0.6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spans="1:33" ht="25.5" customHeight="1" x14ac:dyDescent="0.6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spans="1:33" ht="25.5" customHeight="1" x14ac:dyDescent="0.6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spans="1:33" ht="25.5" customHeight="1" x14ac:dyDescent="0.6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spans="1:33" ht="25.5" customHeight="1" x14ac:dyDescent="0.6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spans="1:33" ht="25.5" customHeight="1" x14ac:dyDescent="0.6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spans="1:33" ht="25.5" customHeight="1" x14ac:dyDescent="0.6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spans="1:33" ht="25.5" customHeight="1" x14ac:dyDescent="0.6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spans="1:33" ht="25.5" customHeight="1" x14ac:dyDescent="0.6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spans="1:33" ht="25.5" customHeight="1" x14ac:dyDescent="0.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spans="1:33" ht="25.5" customHeight="1" x14ac:dyDescent="0.6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spans="1:33" ht="25.5" customHeight="1" x14ac:dyDescent="0.6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spans="1:33" ht="25.5" customHeight="1" x14ac:dyDescent="0.6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spans="1:33" ht="25.5" customHeight="1" x14ac:dyDescent="0.6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spans="1:33" ht="25.5" customHeight="1" x14ac:dyDescent="0.6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spans="1:33" ht="25.5" customHeight="1" x14ac:dyDescent="0.6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spans="1:33" ht="25.5" customHeight="1" x14ac:dyDescent="0.6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spans="1:33" ht="25.5" customHeight="1" x14ac:dyDescent="0.6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spans="1:33" ht="25.5" customHeight="1" x14ac:dyDescent="0.6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spans="1:33" ht="25.5" customHeight="1" x14ac:dyDescent="0.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spans="1:33" ht="25.5" customHeight="1" x14ac:dyDescent="0.6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spans="1:33" ht="25.5" customHeight="1" x14ac:dyDescent="0.6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spans="1:33" ht="25.5" customHeight="1" x14ac:dyDescent="0.6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spans="1:33" ht="25.5" customHeight="1" x14ac:dyDescent="0.6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spans="1:33" ht="25.5" customHeight="1" x14ac:dyDescent="0.6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spans="1:33" ht="25.5" customHeight="1" x14ac:dyDescent="0.6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spans="1:33" ht="25.5" customHeight="1" x14ac:dyDescent="0.6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spans="1:33" ht="25.5" customHeight="1" x14ac:dyDescent="0.6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spans="1:33" ht="25.5" customHeight="1" x14ac:dyDescent="0.6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spans="1:33" ht="25.5" customHeight="1" x14ac:dyDescent="0.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spans="1:33" ht="25.5" customHeight="1" x14ac:dyDescent="0.6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spans="1:33" ht="25.5" customHeight="1" x14ac:dyDescent="0.6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spans="1:33" ht="25.5" customHeight="1" x14ac:dyDescent="0.6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spans="1:33" ht="25.5" customHeight="1" x14ac:dyDescent="0.6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spans="1:33" ht="25.5" customHeight="1" x14ac:dyDescent="0.6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spans="1:33" ht="25.5" customHeight="1" x14ac:dyDescent="0.6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spans="1:33" ht="25.5" customHeight="1" x14ac:dyDescent="0.6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spans="1:33" ht="25.5" customHeight="1" x14ac:dyDescent="0.6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spans="1:33" ht="25.5" customHeight="1" x14ac:dyDescent="0.6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spans="1:33" ht="25.5" customHeight="1" x14ac:dyDescent="0.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spans="1:33" ht="25.5" customHeight="1" x14ac:dyDescent="0.6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spans="1:33" ht="25.5" customHeight="1" x14ac:dyDescent="0.6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spans="1:33" ht="25.5" customHeight="1" x14ac:dyDescent="0.6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spans="1:33" ht="25.5" customHeight="1" x14ac:dyDescent="0.6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spans="1:33" ht="25.5" customHeight="1" x14ac:dyDescent="0.6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spans="1:33" ht="25.5" customHeight="1" x14ac:dyDescent="0.6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spans="1:33" ht="25.5" customHeight="1" x14ac:dyDescent="0.6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spans="1:33" ht="25.5" customHeight="1" x14ac:dyDescent="0.6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spans="1:33" ht="25.5" customHeight="1" x14ac:dyDescent="0.6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spans="1:33" ht="25.5" customHeight="1" x14ac:dyDescent="0.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spans="1:33" ht="25.5" customHeight="1" x14ac:dyDescent="0.6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spans="1:33" ht="25.5" customHeight="1" x14ac:dyDescent="0.6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spans="1:33" ht="25.5" customHeight="1" x14ac:dyDescent="0.6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spans="1:33" ht="25.5" customHeight="1" x14ac:dyDescent="0.6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spans="1:33" ht="25.5" customHeight="1" x14ac:dyDescent="0.6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spans="1:33" ht="25.5" customHeight="1" x14ac:dyDescent="0.6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spans="1:33" ht="25.5" customHeight="1" x14ac:dyDescent="0.6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spans="1:33" ht="25.5" customHeight="1" x14ac:dyDescent="0.6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spans="1:33" ht="25.5" customHeight="1" x14ac:dyDescent="0.6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spans="1:33" ht="25.5" customHeight="1" x14ac:dyDescent="0.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spans="1:33" ht="25.5" customHeight="1" x14ac:dyDescent="0.6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spans="1:33" ht="25.5" customHeight="1" x14ac:dyDescent="0.6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spans="1:33" ht="25.5" customHeight="1" x14ac:dyDescent="0.6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spans="1:33" ht="25.5" customHeight="1" x14ac:dyDescent="0.6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spans="1:33" ht="25.5" customHeight="1" x14ac:dyDescent="0.6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spans="1:33" ht="25.5" customHeight="1" x14ac:dyDescent="0.6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spans="1:33" ht="25.5" customHeight="1" x14ac:dyDescent="0.6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spans="1:33" ht="25.5" customHeight="1" x14ac:dyDescent="0.6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spans="1:33" ht="25.5" customHeight="1" x14ac:dyDescent="0.6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spans="1:33" ht="25.5" customHeight="1" x14ac:dyDescent="0.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spans="1:33" ht="25.5" customHeight="1" x14ac:dyDescent="0.6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spans="1:33" ht="25.5" customHeight="1" x14ac:dyDescent="0.6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spans="1:33" ht="25.5" customHeight="1" x14ac:dyDescent="0.6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spans="1:33" ht="25.5" customHeight="1" x14ac:dyDescent="0.6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spans="1:33" ht="25.5" customHeight="1" x14ac:dyDescent="0.6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spans="1:33" ht="25.5" customHeight="1" x14ac:dyDescent="0.6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spans="1:33" ht="25.5" customHeight="1" x14ac:dyDescent="0.6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spans="1:33" ht="25.5" customHeight="1" x14ac:dyDescent="0.6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spans="1:33" ht="25.5" customHeight="1" x14ac:dyDescent="0.6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spans="1:33" ht="25.5" customHeight="1" x14ac:dyDescent="0.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spans="1:33" ht="25.5" customHeight="1" x14ac:dyDescent="0.6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spans="1:33" ht="25.5" customHeight="1" x14ac:dyDescent="0.6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spans="1:33" ht="25.5" customHeight="1" x14ac:dyDescent="0.6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spans="1:33" ht="25.5" customHeight="1" x14ac:dyDescent="0.6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spans="1:33" ht="25.5" customHeight="1" x14ac:dyDescent="0.6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spans="1:33" ht="25.5" customHeight="1" x14ac:dyDescent="0.6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spans="1:33" ht="25.5" customHeight="1" x14ac:dyDescent="0.6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spans="1:33" ht="25.5" customHeight="1" x14ac:dyDescent="0.6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spans="1:33" ht="25.5" customHeight="1" x14ac:dyDescent="0.6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spans="1:33" ht="25.5" customHeight="1" x14ac:dyDescent="0.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spans="1:33" ht="25.5" customHeight="1" x14ac:dyDescent="0.6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spans="1:33" ht="25.5" customHeight="1" x14ac:dyDescent="0.6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spans="1:33" ht="25.5" customHeight="1" x14ac:dyDescent="0.6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spans="1:33" ht="25.5" customHeight="1" x14ac:dyDescent="0.6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spans="1:33" ht="25.5" customHeight="1" x14ac:dyDescent="0.6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spans="1:33" ht="25.5" customHeight="1" x14ac:dyDescent="0.6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spans="1:33" ht="25.5" customHeight="1" x14ac:dyDescent="0.6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spans="1:33" ht="25.5" customHeight="1" x14ac:dyDescent="0.6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spans="1:33" ht="25.5" customHeight="1" x14ac:dyDescent="0.6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spans="1:33" ht="25.5" customHeight="1" x14ac:dyDescent="0.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spans="1:33" ht="25.5" customHeight="1" x14ac:dyDescent="0.6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spans="1:33" ht="25.5" customHeight="1" x14ac:dyDescent="0.6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spans="1:33" ht="25.5" customHeight="1" x14ac:dyDescent="0.6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spans="1:33" ht="25.5" customHeight="1" x14ac:dyDescent="0.6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spans="1:33" ht="25.5" customHeight="1" x14ac:dyDescent="0.6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spans="1:33" ht="25.5" customHeight="1" x14ac:dyDescent="0.6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spans="1:33" ht="25.5" customHeight="1" x14ac:dyDescent="0.6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spans="1:33" ht="25.5" customHeight="1" x14ac:dyDescent="0.6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spans="1:33" ht="25.5" customHeight="1" x14ac:dyDescent="0.6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spans="1:33" ht="25.5" customHeight="1" x14ac:dyDescent="0.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spans="1:33" ht="25.5" customHeight="1" x14ac:dyDescent="0.6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spans="1:33" ht="25.5" customHeight="1" x14ac:dyDescent="0.6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spans="1:33" ht="25.5" customHeight="1" x14ac:dyDescent="0.6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spans="1:33" ht="25.5" customHeight="1" x14ac:dyDescent="0.6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spans="1:33" ht="25.5" customHeight="1" x14ac:dyDescent="0.6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spans="1:33" ht="25.5" customHeight="1" x14ac:dyDescent="0.6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spans="1:33" ht="25.5" customHeight="1" x14ac:dyDescent="0.6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spans="1:33" ht="25.5" customHeight="1" x14ac:dyDescent="0.6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spans="1:33" ht="25.5" customHeight="1" x14ac:dyDescent="0.6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spans="1:33" ht="25.5" customHeight="1" x14ac:dyDescent="0.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spans="1:33" ht="25.5" customHeight="1" x14ac:dyDescent="0.6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spans="1:33" ht="25.5" customHeight="1" x14ac:dyDescent="0.6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spans="1:33" ht="25.5" customHeight="1" x14ac:dyDescent="0.6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spans="1:33" ht="25.5" customHeight="1" x14ac:dyDescent="0.6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spans="1:33" ht="25.5" customHeight="1" x14ac:dyDescent="0.6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spans="1:33" ht="25.5" customHeight="1" x14ac:dyDescent="0.6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spans="1:33" ht="25.5" customHeight="1" x14ac:dyDescent="0.6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spans="1:33" ht="25.5" customHeight="1" x14ac:dyDescent="0.6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spans="1:33" ht="25.5" customHeight="1" x14ac:dyDescent="0.6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spans="1:33" ht="25.5" customHeight="1" x14ac:dyDescent="0.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spans="1:33" ht="25.5" customHeight="1" x14ac:dyDescent="0.6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spans="1:33" ht="25.5" customHeight="1" x14ac:dyDescent="0.6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spans="1:33" ht="25.5" customHeight="1" x14ac:dyDescent="0.6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spans="1:33" ht="25.5" customHeight="1" x14ac:dyDescent="0.6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spans="1:33" ht="25.5" customHeight="1" x14ac:dyDescent="0.6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spans="1:33" ht="25.5" customHeight="1" x14ac:dyDescent="0.6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spans="1:33" ht="25.5" customHeight="1" x14ac:dyDescent="0.6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spans="1:33" ht="25.5" customHeight="1" x14ac:dyDescent="0.6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spans="1:33" ht="25.5" customHeight="1" x14ac:dyDescent="0.6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spans="1:33" ht="25.5" customHeight="1" x14ac:dyDescent="0.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spans="1:33" ht="25.5" customHeight="1" x14ac:dyDescent="0.6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spans="1:33" ht="25.5" customHeight="1" x14ac:dyDescent="0.6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spans="1:33" ht="25.5" customHeight="1" x14ac:dyDescent="0.6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spans="1:33" ht="25.5" customHeight="1" x14ac:dyDescent="0.6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spans="1:33" ht="25.5" customHeight="1" x14ac:dyDescent="0.6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spans="1:33" ht="25.5" customHeight="1" x14ac:dyDescent="0.6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spans="1:33" ht="25.5" customHeight="1" x14ac:dyDescent="0.6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spans="1:33" ht="25.5" customHeight="1" x14ac:dyDescent="0.6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spans="1:33" ht="25.5" customHeight="1" x14ac:dyDescent="0.6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spans="1:33" ht="25.5" customHeight="1" x14ac:dyDescent="0.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spans="1:33" ht="25.5" customHeight="1" x14ac:dyDescent="0.6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spans="1:33" ht="25.5" customHeight="1" x14ac:dyDescent="0.6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spans="1:33" ht="25.5" customHeight="1" x14ac:dyDescent="0.6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spans="1:33" ht="25.5" customHeight="1" x14ac:dyDescent="0.6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spans="1:33" ht="25.5" customHeight="1" x14ac:dyDescent="0.6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spans="1:33" ht="25.5" customHeight="1" x14ac:dyDescent="0.6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spans="1:33" ht="25.5" customHeight="1" x14ac:dyDescent="0.6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spans="1:33" ht="25.5" customHeight="1" x14ac:dyDescent="0.6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spans="1:33" ht="25.5" customHeight="1" x14ac:dyDescent="0.6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spans="1:33" ht="25.5" customHeight="1" x14ac:dyDescent="0.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spans="1:33" ht="25.5" customHeight="1" x14ac:dyDescent="0.6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spans="1:33" ht="25.5" customHeight="1" x14ac:dyDescent="0.6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spans="1:33" ht="25.5" customHeight="1" x14ac:dyDescent="0.6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spans="1:33" ht="25.5" customHeight="1" x14ac:dyDescent="0.6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spans="1:33" ht="25.5" customHeight="1" x14ac:dyDescent="0.6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spans="1:33" ht="25.5" customHeight="1" x14ac:dyDescent="0.6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spans="1:33" ht="25.5" customHeight="1" x14ac:dyDescent="0.6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spans="1:33" ht="25.5" customHeight="1" x14ac:dyDescent="0.6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spans="1:33" ht="25.5" customHeight="1" x14ac:dyDescent="0.6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spans="1:33" ht="25.5" customHeight="1" x14ac:dyDescent="0.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spans="1:33" ht="25.5" customHeight="1" x14ac:dyDescent="0.6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spans="1:33" ht="25.5" customHeight="1" x14ac:dyDescent="0.6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spans="1:33" ht="25.5" customHeight="1" x14ac:dyDescent="0.6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spans="1:33" ht="25.5" customHeight="1" x14ac:dyDescent="0.6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spans="1:33" ht="25.5" customHeight="1" x14ac:dyDescent="0.6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spans="1:33" ht="25.5" customHeight="1" x14ac:dyDescent="0.6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spans="1:33" ht="25.5" customHeight="1" x14ac:dyDescent="0.6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spans="1:33" ht="25.5" customHeight="1" x14ac:dyDescent="0.6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spans="1:33" ht="25.5" customHeight="1" x14ac:dyDescent="0.6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spans="1:33" ht="25.5" customHeight="1" x14ac:dyDescent="0.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spans="1:33" ht="25.5" customHeight="1" x14ac:dyDescent="0.6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spans="1:33" ht="25.5" customHeight="1" x14ac:dyDescent="0.6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spans="1:33" ht="25.5" customHeight="1" x14ac:dyDescent="0.6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spans="1:33" ht="25.5" customHeight="1" x14ac:dyDescent="0.6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spans="1:33" ht="25.5" customHeight="1" x14ac:dyDescent="0.6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spans="1:33" ht="25.5" customHeight="1" x14ac:dyDescent="0.6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spans="1:33" ht="25.5" customHeight="1" x14ac:dyDescent="0.6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spans="1:33" ht="25.5" customHeight="1" x14ac:dyDescent="0.6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spans="1:33" ht="25.5" customHeight="1" x14ac:dyDescent="0.6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spans="1:33" ht="25.5" customHeight="1" x14ac:dyDescent="0.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spans="1:33" ht="25.5" customHeight="1" x14ac:dyDescent="0.6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spans="1:33" ht="25.5" customHeight="1" x14ac:dyDescent="0.6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spans="1:33" ht="25.5" customHeight="1" x14ac:dyDescent="0.6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spans="1:33" ht="25.5" customHeight="1" x14ac:dyDescent="0.6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spans="1:33" ht="25.5" customHeight="1" x14ac:dyDescent="0.6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spans="1:33" ht="25.5" customHeight="1" x14ac:dyDescent="0.6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spans="1:33" ht="25.5" customHeight="1" x14ac:dyDescent="0.6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spans="1:33" ht="25.5" customHeight="1" x14ac:dyDescent="0.6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spans="1:33" ht="25.5" customHeight="1" x14ac:dyDescent="0.6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spans="1:33" ht="25.5" customHeight="1" x14ac:dyDescent="0.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spans="1:33" ht="25.5" customHeight="1" x14ac:dyDescent="0.6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spans="1:33" ht="25.5" customHeight="1" x14ac:dyDescent="0.6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spans="1:33" ht="25.5" customHeight="1" x14ac:dyDescent="0.6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spans="1:33" ht="25.5" customHeight="1" x14ac:dyDescent="0.6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spans="1:33" ht="25.5" customHeight="1" x14ac:dyDescent="0.6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spans="1:33" ht="25.5" customHeight="1" x14ac:dyDescent="0.6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spans="1:33" ht="25.5" customHeight="1" x14ac:dyDescent="0.6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spans="1:33" ht="25.5" customHeight="1" x14ac:dyDescent="0.6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spans="1:33" ht="25.5" customHeight="1" x14ac:dyDescent="0.6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spans="1:33" ht="25.5" customHeight="1" x14ac:dyDescent="0.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spans="1:33" ht="25.5" customHeight="1" x14ac:dyDescent="0.6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spans="1:33" ht="25.5" customHeight="1" x14ac:dyDescent="0.6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spans="1:33" ht="25.5" customHeight="1" x14ac:dyDescent="0.6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spans="1:33" ht="25.5" customHeight="1" x14ac:dyDescent="0.6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spans="1:33" ht="25.5" customHeight="1" x14ac:dyDescent="0.6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spans="1:33" ht="25.5" customHeight="1" x14ac:dyDescent="0.6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spans="1:33" ht="25.5" customHeight="1" x14ac:dyDescent="0.6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spans="1:33" ht="25.5" customHeight="1" x14ac:dyDescent="0.6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spans="1:33" ht="25.5" customHeight="1" x14ac:dyDescent="0.6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spans="1:33" ht="25.5" customHeight="1" x14ac:dyDescent="0.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spans="1:33" ht="25.5" customHeight="1" x14ac:dyDescent="0.6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spans="1:33" ht="25.5" customHeight="1" x14ac:dyDescent="0.6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spans="1:33" ht="25.5" customHeight="1" x14ac:dyDescent="0.6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spans="1:33" ht="25.5" customHeight="1" x14ac:dyDescent="0.6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spans="1:33" ht="25.5" customHeight="1" x14ac:dyDescent="0.6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spans="1:33" ht="25.5" customHeight="1" x14ac:dyDescent="0.6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spans="1:33" ht="25.5" customHeight="1" x14ac:dyDescent="0.6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spans="1:33" ht="25.5" customHeight="1" x14ac:dyDescent="0.6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spans="1:33" ht="25.5" customHeight="1" x14ac:dyDescent="0.6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spans="1:33" ht="25.5" customHeight="1" x14ac:dyDescent="0.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spans="1:33" ht="25.5" customHeight="1" x14ac:dyDescent="0.6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spans="1:33" ht="25.5" customHeight="1" x14ac:dyDescent="0.6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spans="1:33" ht="25.5" customHeight="1" x14ac:dyDescent="0.6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spans="1:33" ht="25.5" customHeight="1" x14ac:dyDescent="0.6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spans="1:33" ht="25.5" customHeight="1" x14ac:dyDescent="0.6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spans="1:33" ht="25.5" customHeight="1" x14ac:dyDescent="0.6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spans="1:33" ht="25.5" customHeight="1" x14ac:dyDescent="0.6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spans="1:33" ht="25.5" customHeight="1" x14ac:dyDescent="0.6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spans="1:33" ht="25.5" customHeight="1" x14ac:dyDescent="0.6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spans="1:33" ht="25.5" customHeight="1" x14ac:dyDescent="0.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spans="1:33" ht="25.5" customHeight="1" x14ac:dyDescent="0.6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spans="1:33" ht="25.5" customHeight="1" x14ac:dyDescent="0.6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spans="1:33" ht="25.5" customHeight="1" x14ac:dyDescent="0.6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spans="1:33" ht="25.5" customHeight="1" x14ac:dyDescent="0.6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spans="1:33" ht="25.5" customHeight="1" x14ac:dyDescent="0.6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spans="1:33" ht="25.5" customHeight="1" x14ac:dyDescent="0.6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spans="1:33" ht="25.5" customHeight="1" x14ac:dyDescent="0.6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spans="1:33" ht="25.5" customHeight="1" x14ac:dyDescent="0.6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spans="1:33" ht="25.5" customHeight="1" x14ac:dyDescent="0.6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spans="1:33" ht="25.5" customHeight="1" x14ac:dyDescent="0.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spans="1:33" ht="25.5" customHeight="1" x14ac:dyDescent="0.6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spans="1:33" ht="25.5" customHeight="1" x14ac:dyDescent="0.6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spans="1:33" ht="25.5" customHeight="1" x14ac:dyDescent="0.6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spans="1:33" ht="25.5" customHeight="1" x14ac:dyDescent="0.6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spans="1:33" ht="25.5" customHeight="1" x14ac:dyDescent="0.6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spans="1:33" ht="25.5" customHeight="1" x14ac:dyDescent="0.6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spans="1:33" ht="25.5" customHeight="1" x14ac:dyDescent="0.6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spans="1:33" ht="25.5" customHeight="1" x14ac:dyDescent="0.6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spans="1:33" ht="25.5" customHeight="1" x14ac:dyDescent="0.6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spans="1:33" ht="25.5" customHeight="1" x14ac:dyDescent="0.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spans="1:33" ht="25.5" customHeight="1" x14ac:dyDescent="0.6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spans="1:33" ht="25.5" customHeight="1" x14ac:dyDescent="0.6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spans="1:33" ht="25.5" customHeight="1" x14ac:dyDescent="0.6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spans="1:33" ht="25.5" customHeight="1" x14ac:dyDescent="0.6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spans="1:33" ht="25.5" customHeight="1" x14ac:dyDescent="0.6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spans="1:33" ht="25.5" customHeight="1" x14ac:dyDescent="0.6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spans="1:33" ht="25.5" customHeight="1" x14ac:dyDescent="0.6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spans="1:33" ht="25.5" customHeight="1" x14ac:dyDescent="0.6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spans="1:33" ht="25.5" customHeight="1" x14ac:dyDescent="0.6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spans="1:33" ht="25.5" customHeight="1" x14ac:dyDescent="0.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spans="1:33" ht="25.5" customHeight="1" x14ac:dyDescent="0.6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spans="1:33" ht="25.5" customHeight="1" x14ac:dyDescent="0.6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spans="1:33" ht="25.5" customHeight="1" x14ac:dyDescent="0.6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spans="1:33" ht="25.5" customHeight="1" x14ac:dyDescent="0.6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spans="1:33" ht="25.5" customHeight="1" x14ac:dyDescent="0.6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spans="1:33" ht="25.5" customHeight="1" x14ac:dyDescent="0.6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spans="1:33" ht="25.5" customHeight="1" x14ac:dyDescent="0.6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spans="1:33" ht="25.5" customHeight="1" x14ac:dyDescent="0.6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spans="1:33" ht="25.5" customHeight="1" x14ac:dyDescent="0.6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spans="1:33" ht="25.5" customHeight="1" x14ac:dyDescent="0.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spans="1:33" ht="25.5" customHeight="1" x14ac:dyDescent="0.6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spans="1:33" ht="25.5" customHeight="1" x14ac:dyDescent="0.6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spans="1:33" ht="25.5" customHeight="1" x14ac:dyDescent="0.6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spans="1:33" ht="25.5" customHeight="1" x14ac:dyDescent="0.6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spans="1:33" ht="25.5" customHeight="1" x14ac:dyDescent="0.6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spans="1:33" ht="25.5" customHeight="1" x14ac:dyDescent="0.6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spans="1:33" ht="25.5" customHeight="1" x14ac:dyDescent="0.6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spans="1:33" ht="25.5" customHeight="1" x14ac:dyDescent="0.6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spans="1:33" ht="25.5" customHeight="1" x14ac:dyDescent="0.6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spans="1:33" ht="25.5" customHeight="1" x14ac:dyDescent="0.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spans="1:33" ht="25.5" customHeight="1" x14ac:dyDescent="0.6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spans="1:33" ht="25.5" customHeight="1" x14ac:dyDescent="0.6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spans="1:33" ht="25.5" customHeight="1" x14ac:dyDescent="0.6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spans="1:33" ht="25.5" customHeight="1" x14ac:dyDescent="0.6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spans="1:33" ht="25.5" customHeight="1" x14ac:dyDescent="0.6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spans="1:33" ht="25.5" customHeight="1" x14ac:dyDescent="0.6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spans="1:33" ht="25.5" customHeight="1" x14ac:dyDescent="0.6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spans="1:33" ht="25.5" customHeight="1" x14ac:dyDescent="0.6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spans="1:33" ht="25.5" customHeight="1" x14ac:dyDescent="0.6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spans="1:33" ht="25.5" customHeight="1" x14ac:dyDescent="0.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spans="1:33" ht="25.5" customHeight="1" x14ac:dyDescent="0.6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spans="1:33" ht="25.5" customHeight="1" x14ac:dyDescent="0.6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spans="1:33" ht="25.5" customHeight="1" x14ac:dyDescent="0.6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spans="1:33" ht="25.5" customHeight="1" x14ac:dyDescent="0.6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spans="1:33" ht="25.5" customHeight="1" x14ac:dyDescent="0.6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spans="1:33" ht="25.5" customHeight="1" x14ac:dyDescent="0.6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spans="1:33" ht="25.5" customHeight="1" x14ac:dyDescent="0.6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spans="1:33" ht="25.5" customHeight="1" x14ac:dyDescent="0.6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spans="1:33" ht="25.5" customHeight="1" x14ac:dyDescent="0.6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spans="1:33" ht="25.5" customHeight="1" x14ac:dyDescent="0.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spans="1:33" ht="25.5" customHeight="1" x14ac:dyDescent="0.6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spans="1:33" ht="25.5" customHeight="1" x14ac:dyDescent="0.6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spans="1:33" ht="25.5" customHeight="1" x14ac:dyDescent="0.6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spans="1:33" ht="25.5" customHeight="1" x14ac:dyDescent="0.6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spans="1:33" ht="25.5" customHeight="1" x14ac:dyDescent="0.6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spans="1:33" ht="25.5" customHeight="1" x14ac:dyDescent="0.6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spans="1:33" ht="25.5" customHeight="1" x14ac:dyDescent="0.6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spans="1:33" ht="25.5" customHeight="1" x14ac:dyDescent="0.6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spans="1:33" ht="25.5" customHeight="1" x14ac:dyDescent="0.6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spans="1:33" ht="25.5" customHeight="1" x14ac:dyDescent="0.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spans="1:33" ht="25.5" customHeight="1" x14ac:dyDescent="0.6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spans="1:33" ht="25.5" customHeight="1" x14ac:dyDescent="0.6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spans="1:33" ht="25.5" customHeight="1" x14ac:dyDescent="0.6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spans="1:33" ht="25.5" customHeight="1" x14ac:dyDescent="0.6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spans="1:33" ht="25.5" customHeight="1" x14ac:dyDescent="0.6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spans="1:33" ht="25.5" customHeight="1" x14ac:dyDescent="0.6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spans="1:33" ht="25.5" customHeight="1" x14ac:dyDescent="0.6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spans="1:33" ht="25.5" customHeight="1" x14ac:dyDescent="0.6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spans="1:33" ht="25.5" customHeight="1" x14ac:dyDescent="0.6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spans="1:33" ht="25.5" customHeight="1" x14ac:dyDescent="0.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spans="1:33" ht="25.5" customHeight="1" x14ac:dyDescent="0.6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spans="1:33" ht="25.5" customHeight="1" x14ac:dyDescent="0.6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spans="1:33" ht="25.5" customHeight="1" x14ac:dyDescent="0.6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spans="1:33" ht="25.5" customHeight="1" x14ac:dyDescent="0.6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spans="1:33" ht="25.5" customHeight="1" x14ac:dyDescent="0.6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spans="1:33" ht="25.5" customHeight="1" x14ac:dyDescent="0.6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spans="1:33" ht="25.5" customHeight="1" x14ac:dyDescent="0.6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spans="1:33" ht="25.5" customHeight="1" x14ac:dyDescent="0.6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spans="1:33" ht="25.5" customHeight="1" x14ac:dyDescent="0.6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spans="1:33" ht="25.5" customHeight="1" x14ac:dyDescent="0.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spans="1:33" ht="25.5" customHeight="1" x14ac:dyDescent="0.6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spans="1:33" ht="25.5" customHeight="1" x14ac:dyDescent="0.6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spans="1:33" ht="25.5" customHeight="1" x14ac:dyDescent="0.6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spans="1:33" ht="25.5" customHeight="1" x14ac:dyDescent="0.6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spans="1:33" ht="25.5" customHeight="1" x14ac:dyDescent="0.6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spans="1:33" ht="25.5" customHeight="1" x14ac:dyDescent="0.6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spans="1:33" ht="25.5" customHeight="1" x14ac:dyDescent="0.6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spans="1:33" ht="25.5" customHeight="1" x14ac:dyDescent="0.6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spans="1:33" ht="25.5" customHeight="1" x14ac:dyDescent="0.6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spans="1:33" ht="25.5" customHeight="1" x14ac:dyDescent="0.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spans="1:33" ht="25.5" customHeight="1" x14ac:dyDescent="0.6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spans="1:33" ht="25.5" customHeight="1" x14ac:dyDescent="0.6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spans="1:33" ht="25.5" customHeight="1" x14ac:dyDescent="0.6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spans="1:33" ht="25.5" customHeight="1" x14ac:dyDescent="0.6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</sheetData>
  <mergeCells count="11">
    <mergeCell ref="V1:AA1"/>
    <mergeCell ref="W2:AA2"/>
    <mergeCell ref="AC1:AG1"/>
    <mergeCell ref="AD2:AG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9" sqref="M9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2" customWidth="1"/>
    <col min="14" max="26" width="9.109375" customWidth="1"/>
  </cols>
  <sheetData>
    <row r="1" spans="1:26" ht="23.25" customHeight="1" x14ac:dyDescent="0.3">
      <c r="A1" s="136" t="s">
        <v>64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138" t="s">
        <v>65</v>
      </c>
      <c r="B2" s="139" t="s">
        <v>66</v>
      </c>
      <c r="C2" s="140"/>
      <c r="D2" s="140"/>
      <c r="E2" s="140"/>
      <c r="F2" s="140"/>
      <c r="G2" s="140"/>
      <c r="H2" s="140"/>
      <c r="I2" s="140"/>
      <c r="J2" s="140"/>
      <c r="K2" s="141"/>
      <c r="L2" s="138" t="s">
        <v>63</v>
      </c>
      <c r="M2" s="127" t="s">
        <v>67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3.25" customHeight="1" x14ac:dyDescent="0.3">
      <c r="A3" s="128"/>
      <c r="B3" s="130" t="s">
        <v>68</v>
      </c>
      <c r="C3" s="131"/>
      <c r="D3" s="132" t="s">
        <v>69</v>
      </c>
      <c r="E3" s="131"/>
      <c r="F3" s="134" t="s">
        <v>70</v>
      </c>
      <c r="G3" s="131"/>
      <c r="H3" s="135" t="s">
        <v>71</v>
      </c>
      <c r="I3" s="131"/>
      <c r="J3" s="133" t="s">
        <v>72</v>
      </c>
      <c r="K3" s="131"/>
      <c r="L3" s="128"/>
      <c r="M3" s="128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3.25" customHeight="1" x14ac:dyDescent="0.3">
      <c r="A4" s="129"/>
      <c r="B4" s="17" t="s">
        <v>73</v>
      </c>
      <c r="C4" s="17" t="s">
        <v>74</v>
      </c>
      <c r="D4" s="18" t="s">
        <v>73</v>
      </c>
      <c r="E4" s="18" t="s">
        <v>74</v>
      </c>
      <c r="F4" s="19" t="s">
        <v>73</v>
      </c>
      <c r="G4" s="19" t="s">
        <v>74</v>
      </c>
      <c r="H4" s="20" t="s">
        <v>73</v>
      </c>
      <c r="I4" s="20" t="s">
        <v>74</v>
      </c>
      <c r="J4" s="21" t="s">
        <v>73</v>
      </c>
      <c r="K4" s="21" t="s">
        <v>74</v>
      </c>
      <c r="L4" s="129"/>
      <c r="M4" s="129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3">
      <c r="A5" s="22" t="s">
        <v>75</v>
      </c>
      <c r="B5" s="23">
        <v>17</v>
      </c>
      <c r="C5" s="24">
        <v>3615.05</v>
      </c>
      <c r="D5" s="25">
        <v>0</v>
      </c>
      <c r="E5" s="26">
        <v>0</v>
      </c>
      <c r="F5" s="27">
        <v>0</v>
      </c>
      <c r="G5" s="28">
        <v>0</v>
      </c>
      <c r="H5" s="29">
        <v>0</v>
      </c>
      <c r="I5" s="30">
        <v>0</v>
      </c>
      <c r="J5" s="31">
        <v>0</v>
      </c>
      <c r="K5" s="32">
        <v>0</v>
      </c>
      <c r="L5" s="33">
        <f t="shared" ref="L5:M5" si="0">+B5+D5+F5+H5+J5</f>
        <v>17</v>
      </c>
      <c r="M5" s="34">
        <f t="shared" si="0"/>
        <v>3615.05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3">
      <c r="A6" s="22" t="s">
        <v>76</v>
      </c>
      <c r="B6" s="23">
        <v>5</v>
      </c>
      <c r="C6" s="24">
        <v>567</v>
      </c>
      <c r="D6" s="25">
        <v>0</v>
      </c>
      <c r="E6" s="26">
        <v>0</v>
      </c>
      <c r="F6" s="27">
        <v>0</v>
      </c>
      <c r="G6" s="28">
        <v>0</v>
      </c>
      <c r="H6" s="29">
        <v>0</v>
      </c>
      <c r="I6" s="30">
        <v>0</v>
      </c>
      <c r="J6" s="31">
        <v>0</v>
      </c>
      <c r="K6" s="32">
        <v>0</v>
      </c>
      <c r="L6" s="33">
        <f t="shared" ref="L6:M6" si="1">+B6+D6+F6+H6+J6</f>
        <v>5</v>
      </c>
      <c r="M6" s="34">
        <f t="shared" si="1"/>
        <v>567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3">
      <c r="A7" s="22" t="s">
        <v>77</v>
      </c>
      <c r="B7" s="23">
        <v>51</v>
      </c>
      <c r="C7" s="24">
        <v>7246.74</v>
      </c>
      <c r="D7" s="25">
        <v>0</v>
      </c>
      <c r="E7" s="26">
        <v>0</v>
      </c>
      <c r="F7" s="27">
        <v>0</v>
      </c>
      <c r="G7" s="28">
        <v>0</v>
      </c>
      <c r="H7" s="29">
        <v>0</v>
      </c>
      <c r="I7" s="30">
        <v>0</v>
      </c>
      <c r="J7" s="31">
        <v>0</v>
      </c>
      <c r="K7" s="32">
        <v>0</v>
      </c>
      <c r="L7" s="33">
        <f t="shared" ref="L7:M7" si="2">+B7+D7+F7+H7+J7</f>
        <v>51</v>
      </c>
      <c r="M7" s="34">
        <f t="shared" si="2"/>
        <v>7246.74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3">
      <c r="A8" s="35" t="s">
        <v>78</v>
      </c>
      <c r="B8" s="23">
        <v>23</v>
      </c>
      <c r="C8" s="24">
        <v>5206</v>
      </c>
      <c r="D8" s="25">
        <v>0</v>
      </c>
      <c r="E8" s="26">
        <v>0</v>
      </c>
      <c r="F8" s="27">
        <v>0</v>
      </c>
      <c r="G8" s="28">
        <v>0</v>
      </c>
      <c r="H8" s="29">
        <v>0</v>
      </c>
      <c r="I8" s="30">
        <v>0</v>
      </c>
      <c r="J8" s="31">
        <v>0</v>
      </c>
      <c r="K8" s="32">
        <v>0</v>
      </c>
      <c r="L8" s="33">
        <f t="shared" ref="L8:M8" si="3">+B8+D8+F8+H8+J8</f>
        <v>23</v>
      </c>
      <c r="M8" s="34">
        <f t="shared" si="3"/>
        <v>5206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7">
      <c r="A9" s="36" t="s">
        <v>79</v>
      </c>
      <c r="B9" s="37">
        <f t="shared" ref="B9:M9" si="4">SUM(B5:B8)</f>
        <v>96</v>
      </c>
      <c r="C9" s="38">
        <f t="shared" si="4"/>
        <v>16634.79</v>
      </c>
      <c r="D9" s="37">
        <f t="shared" si="4"/>
        <v>0</v>
      </c>
      <c r="E9" s="38">
        <f t="shared" si="4"/>
        <v>0</v>
      </c>
      <c r="F9" s="37">
        <f t="shared" si="4"/>
        <v>0</v>
      </c>
      <c r="G9" s="38">
        <f t="shared" si="4"/>
        <v>0</v>
      </c>
      <c r="H9" s="37">
        <f t="shared" si="4"/>
        <v>0</v>
      </c>
      <c r="I9" s="38">
        <f t="shared" si="4"/>
        <v>0</v>
      </c>
      <c r="J9" s="37">
        <f t="shared" si="4"/>
        <v>0</v>
      </c>
      <c r="K9" s="38">
        <f t="shared" si="4"/>
        <v>0</v>
      </c>
      <c r="L9" s="37">
        <f t="shared" si="4"/>
        <v>96</v>
      </c>
      <c r="M9" s="38">
        <f t="shared" si="4"/>
        <v>16634.79</v>
      </c>
      <c r="N9" s="39" t="s">
        <v>80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7">
      <c r="A10" s="16"/>
      <c r="B10" s="9"/>
      <c r="C10" s="9"/>
      <c r="D10" s="9"/>
      <c r="E10" s="9"/>
      <c r="F10" s="16"/>
      <c r="G10" s="16"/>
      <c r="H10" s="9"/>
      <c r="I10" s="9"/>
      <c r="J10" s="36"/>
      <c r="K10" s="36"/>
      <c r="L10" s="16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3">
      <c r="A11" s="16"/>
      <c r="B11" s="9"/>
      <c r="C11" s="9"/>
      <c r="D11" s="9"/>
      <c r="E11" s="9"/>
      <c r="F11" s="9"/>
      <c r="G11" s="9"/>
      <c r="H11" s="9"/>
      <c r="I11" s="9"/>
      <c r="J11" s="9"/>
      <c r="K11" s="9"/>
      <c r="L11" s="16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16"/>
      <c r="B12" s="9"/>
      <c r="C12" s="9"/>
      <c r="D12" s="9"/>
      <c r="E12" s="9"/>
      <c r="F12" s="9"/>
      <c r="G12" s="9"/>
      <c r="H12" s="9"/>
      <c r="I12" s="9"/>
      <c r="J12" s="9"/>
      <c r="K12" s="9"/>
      <c r="L12" s="16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/>
      <c r="B13" s="9"/>
      <c r="C13" s="9"/>
      <c r="D13" s="9"/>
      <c r="E13" s="9"/>
      <c r="F13" s="9"/>
      <c r="G13" s="9"/>
      <c r="H13" s="9"/>
      <c r="I13" s="9"/>
      <c r="J13" s="9"/>
      <c r="K13" s="9"/>
      <c r="L13" s="16"/>
      <c r="M13" s="15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/>
      <c r="B14" s="9"/>
      <c r="C14" s="9"/>
      <c r="D14" s="9"/>
      <c r="E14" s="9"/>
      <c r="F14" s="9"/>
      <c r="G14" s="9"/>
      <c r="H14" s="9"/>
      <c r="I14" s="9"/>
      <c r="J14" s="9"/>
      <c r="K14" s="9"/>
      <c r="L14" s="16"/>
      <c r="M14" s="15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/>
      <c r="B15" s="9"/>
      <c r="C15" s="9"/>
      <c r="D15" s="9"/>
      <c r="E15" s="9"/>
      <c r="F15" s="9"/>
      <c r="G15" s="9"/>
      <c r="H15" s="9"/>
      <c r="I15" s="9"/>
      <c r="J15" s="9"/>
      <c r="K15" s="9"/>
      <c r="L15" s="40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/>
      <c r="B16" s="9"/>
      <c r="C16" s="9"/>
      <c r="D16" s="9"/>
      <c r="E16" s="9"/>
      <c r="F16" s="9"/>
      <c r="G16" s="9"/>
      <c r="H16" s="9"/>
      <c r="I16" s="9"/>
      <c r="J16" s="9"/>
      <c r="K16" s="9"/>
      <c r="L16" s="16"/>
      <c r="M16" s="15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16"/>
      <c r="B17" s="9"/>
      <c r="C17" s="9"/>
      <c r="D17" s="9"/>
      <c r="E17" s="9"/>
      <c r="F17" s="9"/>
      <c r="G17" s="9"/>
      <c r="H17" s="9"/>
      <c r="I17" s="9"/>
      <c r="J17" s="9"/>
      <c r="K17" s="9"/>
      <c r="L17" s="16"/>
      <c r="M17" s="15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/>
      <c r="B18" s="9"/>
      <c r="C18" s="9"/>
      <c r="D18" s="9"/>
      <c r="E18" s="9"/>
      <c r="F18" s="9"/>
      <c r="G18" s="9"/>
      <c r="H18" s="9"/>
      <c r="I18" s="9"/>
      <c r="J18" s="9"/>
      <c r="K18" s="9"/>
      <c r="L18" s="16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16"/>
      <c r="B19" s="9"/>
      <c r="C19" s="9"/>
      <c r="D19" s="9"/>
      <c r="E19" s="9"/>
      <c r="F19" s="9"/>
      <c r="G19" s="9"/>
      <c r="H19" s="9"/>
      <c r="I19" s="9"/>
      <c r="J19" s="9"/>
      <c r="K19" s="9"/>
      <c r="L19" s="16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/>
      <c r="B20" s="9"/>
      <c r="C20" s="9"/>
      <c r="D20" s="9"/>
      <c r="E20" s="9"/>
      <c r="F20" s="9"/>
      <c r="G20" s="9"/>
      <c r="H20" s="9"/>
      <c r="I20" s="9"/>
      <c r="J20" s="9"/>
      <c r="K20" s="9"/>
      <c r="L20" s="16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/>
      <c r="B21" s="9"/>
      <c r="C21" s="9"/>
      <c r="D21" s="9"/>
      <c r="E21" s="9"/>
      <c r="F21" s="9"/>
      <c r="G21" s="9"/>
      <c r="H21" s="9"/>
      <c r="I21" s="9"/>
      <c r="J21" s="9"/>
      <c r="K21" s="9"/>
      <c r="L21" s="16"/>
      <c r="M21" s="15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/>
      <c r="B22" s="9"/>
      <c r="C22" s="9"/>
      <c r="D22" s="9"/>
      <c r="E22" s="9"/>
      <c r="F22" s="9"/>
      <c r="G22" s="9"/>
      <c r="H22" s="9"/>
      <c r="I22" s="9"/>
      <c r="J22" s="9"/>
      <c r="K22" s="9"/>
      <c r="L22" s="16"/>
      <c r="M22" s="15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/>
      <c r="B23" s="9"/>
      <c r="C23" s="9"/>
      <c r="D23" s="9"/>
      <c r="E23" s="9"/>
      <c r="F23" s="9"/>
      <c r="G23" s="9"/>
      <c r="H23" s="9"/>
      <c r="I23" s="9"/>
      <c r="J23" s="9"/>
      <c r="K23" s="9"/>
      <c r="L23" s="16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L24" s="16"/>
      <c r="M24" s="15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/>
      <c r="B25" s="9"/>
      <c r="C25" s="9"/>
      <c r="D25" s="9"/>
      <c r="E25" s="9"/>
      <c r="F25" s="9"/>
      <c r="G25" s="9"/>
      <c r="H25" s="9"/>
      <c r="I25" s="9"/>
      <c r="J25" s="9"/>
      <c r="K25" s="9"/>
      <c r="L25" s="16"/>
      <c r="M25" s="15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/>
      <c r="B26" s="9"/>
      <c r="C26" s="9"/>
      <c r="D26" s="9"/>
      <c r="E26" s="9"/>
      <c r="F26" s="9"/>
      <c r="G26" s="9"/>
      <c r="H26" s="9"/>
      <c r="I26" s="9"/>
      <c r="J26" s="9"/>
      <c r="K26" s="9"/>
      <c r="L26" s="16"/>
      <c r="M26" s="15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/>
      <c r="B27" s="9"/>
      <c r="C27" s="9"/>
      <c r="D27" s="9"/>
      <c r="E27" s="9"/>
      <c r="F27" s="9"/>
      <c r="G27" s="9"/>
      <c r="H27" s="9"/>
      <c r="I27" s="9"/>
      <c r="J27" s="9"/>
      <c r="K27" s="9"/>
      <c r="L27" s="16"/>
      <c r="M27" s="15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/>
      <c r="B28" s="9"/>
      <c r="C28" s="9"/>
      <c r="D28" s="9"/>
      <c r="E28" s="9"/>
      <c r="F28" s="9"/>
      <c r="G28" s="9"/>
      <c r="H28" s="9"/>
      <c r="I28" s="9"/>
      <c r="J28" s="9"/>
      <c r="K28" s="9"/>
      <c r="L28" s="16"/>
      <c r="M28" s="15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9"/>
      <c r="C29" s="9"/>
      <c r="D29" s="9"/>
      <c r="E29" s="9"/>
      <c r="F29" s="9"/>
      <c r="G29" s="9"/>
      <c r="H29" s="9"/>
      <c r="I29" s="9"/>
      <c r="J29" s="9"/>
      <c r="K29" s="9"/>
      <c r="L29" s="16"/>
      <c r="M29" s="1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9"/>
      <c r="C30" s="9"/>
      <c r="D30" s="9"/>
      <c r="E30" s="9"/>
      <c r="F30" s="9"/>
      <c r="G30" s="9"/>
      <c r="H30" s="9"/>
      <c r="I30" s="9"/>
      <c r="J30" s="9"/>
      <c r="K30" s="9"/>
      <c r="L30" s="16"/>
      <c r="M30" s="15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9"/>
      <c r="C31" s="9"/>
      <c r="D31" s="9"/>
      <c r="E31" s="9"/>
      <c r="F31" s="9"/>
      <c r="G31" s="9"/>
      <c r="H31" s="9"/>
      <c r="I31" s="9"/>
      <c r="J31" s="9"/>
      <c r="K31" s="9"/>
      <c r="L31" s="16"/>
      <c r="M31" s="15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9"/>
      <c r="C32" s="9"/>
      <c r="D32" s="9"/>
      <c r="E32" s="9"/>
      <c r="F32" s="9"/>
      <c r="G32" s="9"/>
      <c r="H32" s="9"/>
      <c r="I32" s="9"/>
      <c r="J32" s="9"/>
      <c r="K32" s="9"/>
      <c r="L32" s="16"/>
      <c r="M32" s="15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9"/>
      <c r="C33" s="9"/>
      <c r="D33" s="9"/>
      <c r="E33" s="9"/>
      <c r="F33" s="9"/>
      <c r="G33" s="9"/>
      <c r="H33" s="9"/>
      <c r="I33" s="9"/>
      <c r="J33" s="9"/>
      <c r="K33" s="9"/>
      <c r="L33" s="16"/>
      <c r="M33" s="15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9"/>
      <c r="C34" s="9"/>
      <c r="D34" s="9"/>
      <c r="E34" s="9"/>
      <c r="F34" s="9"/>
      <c r="G34" s="9"/>
      <c r="H34" s="9"/>
      <c r="I34" s="9"/>
      <c r="J34" s="9"/>
      <c r="K34" s="9"/>
      <c r="L34" s="16"/>
      <c r="M34" s="15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9"/>
      <c r="C35" s="9"/>
      <c r="D35" s="9"/>
      <c r="E35" s="9"/>
      <c r="F35" s="9"/>
      <c r="G35" s="9"/>
      <c r="H35" s="9"/>
      <c r="I35" s="9"/>
      <c r="J35" s="9"/>
      <c r="K35" s="9"/>
      <c r="L35" s="16"/>
      <c r="M35" s="15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9"/>
      <c r="C36" s="9"/>
      <c r="D36" s="9"/>
      <c r="E36" s="9"/>
      <c r="F36" s="9"/>
      <c r="G36" s="9"/>
      <c r="H36" s="9"/>
      <c r="I36" s="9"/>
      <c r="J36" s="9"/>
      <c r="K36" s="9"/>
      <c r="L36" s="16"/>
      <c r="M36" s="15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9"/>
      <c r="C37" s="9"/>
      <c r="D37" s="9"/>
      <c r="E37" s="9"/>
      <c r="F37" s="9"/>
      <c r="G37" s="9"/>
      <c r="H37" s="9"/>
      <c r="I37" s="9"/>
      <c r="J37" s="9"/>
      <c r="K37" s="9"/>
      <c r="L37" s="16"/>
      <c r="M37" s="15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9"/>
      <c r="C38" s="9"/>
      <c r="D38" s="9"/>
      <c r="E38" s="9"/>
      <c r="F38" s="9"/>
      <c r="G38" s="9"/>
      <c r="H38" s="9"/>
      <c r="I38" s="9"/>
      <c r="J38" s="9"/>
      <c r="K38" s="9"/>
      <c r="L38" s="16"/>
      <c r="M38" s="15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9"/>
      <c r="C39" s="9"/>
      <c r="D39" s="9"/>
      <c r="E39" s="9"/>
      <c r="F39" s="9"/>
      <c r="G39" s="9"/>
      <c r="H39" s="9"/>
      <c r="I39" s="9"/>
      <c r="J39" s="9"/>
      <c r="K39" s="9"/>
      <c r="L39" s="16"/>
      <c r="M39" s="15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9"/>
      <c r="C40" s="9"/>
      <c r="D40" s="9"/>
      <c r="E40" s="9"/>
      <c r="F40" s="9"/>
      <c r="G40" s="9"/>
      <c r="H40" s="9"/>
      <c r="I40" s="9"/>
      <c r="J40" s="9"/>
      <c r="K40" s="9"/>
      <c r="L40" s="16"/>
      <c r="M40" s="1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9"/>
      <c r="C41" s="9"/>
      <c r="D41" s="9"/>
      <c r="E41" s="9"/>
      <c r="F41" s="9"/>
      <c r="G41" s="9"/>
      <c r="H41" s="9"/>
      <c r="I41" s="9"/>
      <c r="J41" s="9"/>
      <c r="K41" s="9"/>
      <c r="L41" s="16"/>
      <c r="M41" s="15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9"/>
      <c r="C42" s="9"/>
      <c r="D42" s="9"/>
      <c r="E42" s="9"/>
      <c r="F42" s="9"/>
      <c r="G42" s="9"/>
      <c r="H42" s="9"/>
      <c r="I42" s="9"/>
      <c r="J42" s="9"/>
      <c r="K42" s="9"/>
      <c r="L42" s="16"/>
      <c r="M42" s="15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9"/>
      <c r="C43" s="9"/>
      <c r="D43" s="9"/>
      <c r="E43" s="9"/>
      <c r="F43" s="9"/>
      <c r="G43" s="9"/>
      <c r="H43" s="9"/>
      <c r="I43" s="9"/>
      <c r="J43" s="9"/>
      <c r="K43" s="9"/>
      <c r="L43" s="16"/>
      <c r="M43" s="15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9"/>
      <c r="C44" s="9"/>
      <c r="D44" s="9"/>
      <c r="E44" s="9"/>
      <c r="F44" s="9"/>
      <c r="G44" s="9"/>
      <c r="H44" s="9"/>
      <c r="I44" s="9"/>
      <c r="J44" s="9"/>
      <c r="K44" s="9"/>
      <c r="L44" s="16"/>
      <c r="M44" s="15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9"/>
      <c r="C45" s="9"/>
      <c r="D45" s="9"/>
      <c r="E45" s="9"/>
      <c r="F45" s="9"/>
      <c r="G45" s="9"/>
      <c r="H45" s="9"/>
      <c r="I45" s="9"/>
      <c r="J45" s="9"/>
      <c r="K45" s="9"/>
      <c r="L45" s="16"/>
      <c r="M45" s="15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9"/>
      <c r="C46" s="9"/>
      <c r="D46" s="9"/>
      <c r="E46" s="9"/>
      <c r="F46" s="9"/>
      <c r="G46" s="9"/>
      <c r="H46" s="9"/>
      <c r="I46" s="9"/>
      <c r="J46" s="9"/>
      <c r="K46" s="9"/>
      <c r="L46" s="16"/>
      <c r="M46" s="15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9"/>
      <c r="C47" s="9"/>
      <c r="D47" s="9"/>
      <c r="E47" s="9"/>
      <c r="F47" s="9"/>
      <c r="G47" s="9"/>
      <c r="H47" s="9"/>
      <c r="I47" s="9"/>
      <c r="J47" s="9"/>
      <c r="K47" s="9"/>
      <c r="L47" s="16"/>
      <c r="M47" s="15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9"/>
      <c r="C48" s="9"/>
      <c r="D48" s="9"/>
      <c r="E48" s="9"/>
      <c r="F48" s="9"/>
      <c r="G48" s="9"/>
      <c r="H48" s="9"/>
      <c r="I48" s="9"/>
      <c r="J48" s="9"/>
      <c r="K48" s="9"/>
      <c r="L48" s="16"/>
      <c r="M48" s="15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9"/>
      <c r="C49" s="9"/>
      <c r="D49" s="9"/>
      <c r="E49" s="9"/>
      <c r="F49" s="9"/>
      <c r="G49" s="9"/>
      <c r="H49" s="9"/>
      <c r="I49" s="9"/>
      <c r="J49" s="9"/>
      <c r="K49" s="9"/>
      <c r="L49" s="16"/>
      <c r="M49" s="15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9"/>
      <c r="C50" s="9"/>
      <c r="D50" s="9"/>
      <c r="E50" s="9"/>
      <c r="F50" s="9"/>
      <c r="G50" s="9"/>
      <c r="H50" s="9"/>
      <c r="I50" s="9"/>
      <c r="J50" s="9"/>
      <c r="K50" s="9"/>
      <c r="L50" s="16"/>
      <c r="M50" s="1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9"/>
      <c r="C51" s="9"/>
      <c r="D51" s="9"/>
      <c r="E51" s="9"/>
      <c r="F51" s="9"/>
      <c r="G51" s="9"/>
      <c r="H51" s="9"/>
      <c r="I51" s="9"/>
      <c r="J51" s="9"/>
      <c r="K51" s="9"/>
      <c r="L51" s="16"/>
      <c r="M51" s="15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9"/>
      <c r="C52" s="9"/>
      <c r="D52" s="9"/>
      <c r="E52" s="9"/>
      <c r="F52" s="9"/>
      <c r="G52" s="9"/>
      <c r="H52" s="9"/>
      <c r="I52" s="9"/>
      <c r="J52" s="9"/>
      <c r="K52" s="9"/>
      <c r="L52" s="16"/>
      <c r="M52" s="15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9"/>
      <c r="C53" s="9"/>
      <c r="D53" s="9"/>
      <c r="E53" s="9"/>
      <c r="F53" s="9"/>
      <c r="G53" s="9"/>
      <c r="H53" s="9"/>
      <c r="I53" s="9"/>
      <c r="J53" s="9"/>
      <c r="K53" s="9"/>
      <c r="L53" s="16"/>
      <c r="M53" s="15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9"/>
      <c r="C54" s="9"/>
      <c r="D54" s="9"/>
      <c r="E54" s="9"/>
      <c r="F54" s="9"/>
      <c r="G54" s="9"/>
      <c r="H54" s="9"/>
      <c r="I54" s="9"/>
      <c r="J54" s="9"/>
      <c r="K54" s="9"/>
      <c r="L54" s="16"/>
      <c r="M54" s="15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9"/>
      <c r="C55" s="9"/>
      <c r="D55" s="9"/>
      <c r="E55" s="9"/>
      <c r="F55" s="9"/>
      <c r="G55" s="9"/>
      <c r="H55" s="9"/>
      <c r="I55" s="9"/>
      <c r="J55" s="9"/>
      <c r="K55" s="9"/>
      <c r="L55" s="16"/>
      <c r="M55" s="15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9"/>
      <c r="C56" s="9"/>
      <c r="D56" s="9"/>
      <c r="E56" s="9"/>
      <c r="F56" s="9"/>
      <c r="G56" s="9"/>
      <c r="H56" s="9"/>
      <c r="I56" s="9"/>
      <c r="J56" s="9"/>
      <c r="K56" s="9"/>
      <c r="L56" s="16"/>
      <c r="M56" s="15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9"/>
      <c r="C57" s="9"/>
      <c r="D57" s="9"/>
      <c r="E57" s="9"/>
      <c r="F57" s="9"/>
      <c r="G57" s="9"/>
      <c r="H57" s="9"/>
      <c r="I57" s="9"/>
      <c r="J57" s="9"/>
      <c r="K57" s="9"/>
      <c r="L57" s="16"/>
      <c r="M57" s="15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9"/>
      <c r="C58" s="9"/>
      <c r="D58" s="9"/>
      <c r="E58" s="9"/>
      <c r="F58" s="9"/>
      <c r="G58" s="9"/>
      <c r="H58" s="9"/>
      <c r="I58" s="9"/>
      <c r="J58" s="9"/>
      <c r="K58" s="9"/>
      <c r="L58" s="16"/>
      <c r="M58" s="15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9"/>
      <c r="C59" s="9"/>
      <c r="D59" s="9"/>
      <c r="E59" s="9"/>
      <c r="F59" s="9"/>
      <c r="G59" s="9"/>
      <c r="H59" s="9"/>
      <c r="I59" s="9"/>
      <c r="J59" s="9"/>
      <c r="K59" s="9"/>
      <c r="L59" s="16"/>
      <c r="M59" s="15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9"/>
      <c r="C60" s="9"/>
      <c r="D60" s="9"/>
      <c r="E60" s="9"/>
      <c r="F60" s="9"/>
      <c r="G60" s="9"/>
      <c r="H60" s="9"/>
      <c r="I60" s="9"/>
      <c r="J60" s="9"/>
      <c r="K60" s="9"/>
      <c r="L60" s="16"/>
      <c r="M60" s="15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9"/>
      <c r="C61" s="9"/>
      <c r="D61" s="9"/>
      <c r="E61" s="9"/>
      <c r="F61" s="9"/>
      <c r="G61" s="9"/>
      <c r="H61" s="9"/>
      <c r="I61" s="9"/>
      <c r="J61" s="9"/>
      <c r="K61" s="9"/>
      <c r="L61" s="16"/>
      <c r="M61" s="15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9"/>
      <c r="C62" s="9"/>
      <c r="D62" s="9"/>
      <c r="E62" s="9"/>
      <c r="F62" s="9"/>
      <c r="G62" s="9"/>
      <c r="H62" s="9"/>
      <c r="I62" s="9"/>
      <c r="J62" s="9"/>
      <c r="K62" s="9"/>
      <c r="L62" s="16"/>
      <c r="M62" s="15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9"/>
      <c r="C63" s="9"/>
      <c r="D63" s="9"/>
      <c r="E63" s="9"/>
      <c r="F63" s="9"/>
      <c r="G63" s="9"/>
      <c r="H63" s="9"/>
      <c r="I63" s="9"/>
      <c r="J63" s="9"/>
      <c r="K63" s="9"/>
      <c r="L63" s="16"/>
      <c r="M63" s="15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9"/>
      <c r="C64" s="9"/>
      <c r="D64" s="9"/>
      <c r="E64" s="9"/>
      <c r="F64" s="9"/>
      <c r="G64" s="9"/>
      <c r="H64" s="9"/>
      <c r="I64" s="9"/>
      <c r="J64" s="9"/>
      <c r="K64" s="9"/>
      <c r="L64" s="16"/>
      <c r="M64" s="15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9"/>
      <c r="C65" s="9"/>
      <c r="D65" s="9"/>
      <c r="E65" s="9"/>
      <c r="F65" s="9"/>
      <c r="G65" s="9"/>
      <c r="H65" s="9"/>
      <c r="I65" s="9"/>
      <c r="J65" s="9"/>
      <c r="K65" s="9"/>
      <c r="L65" s="16"/>
      <c r="M65" s="15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9"/>
      <c r="C66" s="9"/>
      <c r="D66" s="9"/>
      <c r="E66" s="9"/>
      <c r="F66" s="9"/>
      <c r="G66" s="9"/>
      <c r="H66" s="9"/>
      <c r="I66" s="9"/>
      <c r="J66" s="9"/>
      <c r="K66" s="9"/>
      <c r="L66" s="16"/>
      <c r="M66" s="15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9"/>
      <c r="C67" s="9"/>
      <c r="D67" s="9"/>
      <c r="E67" s="9"/>
      <c r="F67" s="9"/>
      <c r="G67" s="9"/>
      <c r="H67" s="9"/>
      <c r="I67" s="9"/>
      <c r="J67" s="9"/>
      <c r="K67" s="9"/>
      <c r="L67" s="16"/>
      <c r="M67" s="15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9"/>
      <c r="C68" s="9"/>
      <c r="D68" s="9"/>
      <c r="E68" s="9"/>
      <c r="F68" s="9"/>
      <c r="G68" s="9"/>
      <c r="H68" s="9"/>
      <c r="I68" s="9"/>
      <c r="J68" s="9"/>
      <c r="K68" s="9"/>
      <c r="L68" s="16"/>
      <c r="M68" s="15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9"/>
      <c r="C69" s="9"/>
      <c r="D69" s="9"/>
      <c r="E69" s="9"/>
      <c r="F69" s="9"/>
      <c r="G69" s="9"/>
      <c r="H69" s="9"/>
      <c r="I69" s="9"/>
      <c r="J69" s="9"/>
      <c r="K69" s="9"/>
      <c r="L69" s="16"/>
      <c r="M69" s="15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9"/>
      <c r="C70" s="9"/>
      <c r="D70" s="9"/>
      <c r="E70" s="9"/>
      <c r="F70" s="9"/>
      <c r="G70" s="9"/>
      <c r="H70" s="9"/>
      <c r="I70" s="9"/>
      <c r="J70" s="9"/>
      <c r="K70" s="9"/>
      <c r="L70" s="16"/>
      <c r="M70" s="15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9"/>
      <c r="C71" s="9"/>
      <c r="D71" s="9"/>
      <c r="E71" s="9"/>
      <c r="F71" s="9"/>
      <c r="G71" s="9"/>
      <c r="H71" s="9"/>
      <c r="I71" s="9"/>
      <c r="J71" s="9"/>
      <c r="K71" s="9"/>
      <c r="L71" s="16"/>
      <c r="M71" s="15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9"/>
      <c r="C72" s="9"/>
      <c r="D72" s="9"/>
      <c r="E72" s="9"/>
      <c r="F72" s="9"/>
      <c r="G72" s="9"/>
      <c r="H72" s="9"/>
      <c r="I72" s="9"/>
      <c r="J72" s="9"/>
      <c r="K72" s="9"/>
      <c r="L72" s="16"/>
      <c r="M72" s="15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9"/>
      <c r="C73" s="9"/>
      <c r="D73" s="9"/>
      <c r="E73" s="9"/>
      <c r="F73" s="9"/>
      <c r="G73" s="9"/>
      <c r="H73" s="9"/>
      <c r="I73" s="9"/>
      <c r="J73" s="9"/>
      <c r="K73" s="9"/>
      <c r="L73" s="16"/>
      <c r="M73" s="15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9"/>
      <c r="C74" s="9"/>
      <c r="D74" s="9"/>
      <c r="E74" s="9"/>
      <c r="F74" s="9"/>
      <c r="G74" s="9"/>
      <c r="H74" s="9"/>
      <c r="I74" s="9"/>
      <c r="J74" s="9"/>
      <c r="K74" s="9"/>
      <c r="L74" s="16"/>
      <c r="M74" s="15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9"/>
      <c r="C75" s="9"/>
      <c r="D75" s="9"/>
      <c r="E75" s="9"/>
      <c r="F75" s="9"/>
      <c r="G75" s="9"/>
      <c r="H75" s="9"/>
      <c r="I75" s="9"/>
      <c r="J75" s="9"/>
      <c r="K75" s="9"/>
      <c r="L75" s="16"/>
      <c r="M75" s="15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9"/>
      <c r="C76" s="9"/>
      <c r="D76" s="9"/>
      <c r="E76" s="9"/>
      <c r="F76" s="9"/>
      <c r="G76" s="9"/>
      <c r="H76" s="9"/>
      <c r="I76" s="9"/>
      <c r="J76" s="9"/>
      <c r="K76" s="9"/>
      <c r="L76" s="16"/>
      <c r="M76" s="15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9"/>
      <c r="C77" s="9"/>
      <c r="D77" s="9"/>
      <c r="E77" s="9"/>
      <c r="F77" s="9"/>
      <c r="G77" s="9"/>
      <c r="H77" s="9"/>
      <c r="I77" s="9"/>
      <c r="J77" s="9"/>
      <c r="K77" s="9"/>
      <c r="L77" s="16"/>
      <c r="M77" s="15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9"/>
      <c r="C78" s="9"/>
      <c r="D78" s="9"/>
      <c r="E78" s="9"/>
      <c r="F78" s="9"/>
      <c r="G78" s="9"/>
      <c r="H78" s="9"/>
      <c r="I78" s="9"/>
      <c r="J78" s="9"/>
      <c r="K78" s="9"/>
      <c r="L78" s="16"/>
      <c r="M78" s="15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9"/>
      <c r="C79" s="9"/>
      <c r="D79" s="9"/>
      <c r="E79" s="9"/>
      <c r="F79" s="9"/>
      <c r="G79" s="9"/>
      <c r="H79" s="9"/>
      <c r="I79" s="9"/>
      <c r="J79" s="9"/>
      <c r="K79" s="9"/>
      <c r="L79" s="16"/>
      <c r="M79" s="15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9"/>
      <c r="C80" s="9"/>
      <c r="D80" s="9"/>
      <c r="E80" s="9"/>
      <c r="F80" s="9"/>
      <c r="G80" s="9"/>
      <c r="H80" s="9"/>
      <c r="I80" s="9"/>
      <c r="J80" s="9"/>
      <c r="K80" s="9"/>
      <c r="L80" s="16"/>
      <c r="M80" s="15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9"/>
      <c r="C81" s="9"/>
      <c r="D81" s="9"/>
      <c r="E81" s="9"/>
      <c r="F81" s="9"/>
      <c r="G81" s="9"/>
      <c r="H81" s="9"/>
      <c r="I81" s="9"/>
      <c r="J81" s="9"/>
      <c r="K81" s="9"/>
      <c r="L81" s="16"/>
      <c r="M81" s="15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9"/>
      <c r="C82" s="9"/>
      <c r="D82" s="9"/>
      <c r="E82" s="9"/>
      <c r="F82" s="9"/>
      <c r="G82" s="9"/>
      <c r="H82" s="9"/>
      <c r="I82" s="9"/>
      <c r="J82" s="9"/>
      <c r="K82" s="9"/>
      <c r="L82" s="16"/>
      <c r="M82" s="15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9"/>
      <c r="C83" s="9"/>
      <c r="D83" s="9"/>
      <c r="E83" s="9"/>
      <c r="F83" s="9"/>
      <c r="G83" s="9"/>
      <c r="H83" s="9"/>
      <c r="I83" s="9"/>
      <c r="J83" s="9"/>
      <c r="K83" s="9"/>
      <c r="L83" s="16"/>
      <c r="M83" s="15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9"/>
      <c r="C84" s="9"/>
      <c r="D84" s="9"/>
      <c r="E84" s="9"/>
      <c r="F84" s="9"/>
      <c r="G84" s="9"/>
      <c r="H84" s="9"/>
      <c r="I84" s="9"/>
      <c r="J84" s="9"/>
      <c r="K84" s="9"/>
      <c r="L84" s="16"/>
      <c r="M84" s="15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9"/>
      <c r="C85" s="9"/>
      <c r="D85" s="9"/>
      <c r="E85" s="9"/>
      <c r="F85" s="9"/>
      <c r="G85" s="9"/>
      <c r="H85" s="9"/>
      <c r="I85" s="9"/>
      <c r="J85" s="9"/>
      <c r="K85" s="9"/>
      <c r="L85" s="16"/>
      <c r="M85" s="15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9"/>
      <c r="C86" s="9"/>
      <c r="D86" s="9"/>
      <c r="E86" s="9"/>
      <c r="F86" s="9"/>
      <c r="G86" s="9"/>
      <c r="H86" s="9"/>
      <c r="I86" s="9"/>
      <c r="J86" s="9"/>
      <c r="K86" s="9"/>
      <c r="L86" s="16"/>
      <c r="M86" s="15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9"/>
      <c r="C87" s="9"/>
      <c r="D87" s="9"/>
      <c r="E87" s="9"/>
      <c r="F87" s="9"/>
      <c r="G87" s="9"/>
      <c r="H87" s="9"/>
      <c r="I87" s="9"/>
      <c r="J87" s="9"/>
      <c r="K87" s="9"/>
      <c r="L87" s="16"/>
      <c r="M87" s="15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9"/>
      <c r="C88" s="9"/>
      <c r="D88" s="9"/>
      <c r="E88" s="9"/>
      <c r="F88" s="9"/>
      <c r="G88" s="9"/>
      <c r="H88" s="9"/>
      <c r="I88" s="9"/>
      <c r="J88" s="9"/>
      <c r="K88" s="9"/>
      <c r="L88" s="16"/>
      <c r="M88" s="15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9"/>
      <c r="C89" s="9"/>
      <c r="D89" s="9"/>
      <c r="E89" s="9"/>
      <c r="F89" s="9"/>
      <c r="G89" s="9"/>
      <c r="H89" s="9"/>
      <c r="I89" s="9"/>
      <c r="J89" s="9"/>
      <c r="K89" s="9"/>
      <c r="L89" s="16"/>
      <c r="M89" s="15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9"/>
      <c r="C90" s="9"/>
      <c r="D90" s="9"/>
      <c r="E90" s="9"/>
      <c r="F90" s="9"/>
      <c r="G90" s="9"/>
      <c r="H90" s="9"/>
      <c r="I90" s="9"/>
      <c r="J90" s="9"/>
      <c r="K90" s="9"/>
      <c r="L90" s="16"/>
      <c r="M90" s="15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9"/>
      <c r="C91" s="9"/>
      <c r="D91" s="9"/>
      <c r="E91" s="9"/>
      <c r="F91" s="9"/>
      <c r="G91" s="9"/>
      <c r="H91" s="9"/>
      <c r="I91" s="9"/>
      <c r="J91" s="9"/>
      <c r="K91" s="9"/>
      <c r="L91" s="16"/>
      <c r="M91" s="15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9"/>
      <c r="C92" s="9"/>
      <c r="D92" s="9"/>
      <c r="E92" s="9"/>
      <c r="F92" s="9"/>
      <c r="G92" s="9"/>
      <c r="H92" s="9"/>
      <c r="I92" s="9"/>
      <c r="J92" s="9"/>
      <c r="K92" s="9"/>
      <c r="L92" s="16"/>
      <c r="M92" s="15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9"/>
      <c r="C93" s="9"/>
      <c r="D93" s="9"/>
      <c r="E93" s="9"/>
      <c r="F93" s="9"/>
      <c r="G93" s="9"/>
      <c r="H93" s="9"/>
      <c r="I93" s="9"/>
      <c r="J93" s="9"/>
      <c r="K93" s="9"/>
      <c r="L93" s="16"/>
      <c r="M93" s="15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9"/>
      <c r="C94" s="9"/>
      <c r="D94" s="9"/>
      <c r="E94" s="9"/>
      <c r="F94" s="9"/>
      <c r="G94" s="9"/>
      <c r="H94" s="9"/>
      <c r="I94" s="9"/>
      <c r="J94" s="9"/>
      <c r="K94" s="9"/>
      <c r="L94" s="16"/>
      <c r="M94" s="15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9"/>
      <c r="C95" s="9"/>
      <c r="D95" s="9"/>
      <c r="E95" s="9"/>
      <c r="F95" s="9"/>
      <c r="G95" s="9"/>
      <c r="H95" s="9"/>
      <c r="I95" s="9"/>
      <c r="J95" s="9"/>
      <c r="K95" s="9"/>
      <c r="L95" s="16"/>
      <c r="M95" s="15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9"/>
      <c r="C96" s="9"/>
      <c r="D96" s="9"/>
      <c r="E96" s="9"/>
      <c r="F96" s="9"/>
      <c r="G96" s="9"/>
      <c r="H96" s="9"/>
      <c r="I96" s="9"/>
      <c r="J96" s="9"/>
      <c r="K96" s="9"/>
      <c r="L96" s="16"/>
      <c r="M96" s="15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9"/>
      <c r="C97" s="9"/>
      <c r="D97" s="9"/>
      <c r="E97" s="9"/>
      <c r="F97" s="9"/>
      <c r="G97" s="9"/>
      <c r="H97" s="9"/>
      <c r="I97" s="9"/>
      <c r="J97" s="9"/>
      <c r="K97" s="9"/>
      <c r="L97" s="16"/>
      <c r="M97" s="15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9"/>
      <c r="C98" s="9"/>
      <c r="D98" s="9"/>
      <c r="E98" s="9"/>
      <c r="F98" s="9"/>
      <c r="G98" s="9"/>
      <c r="H98" s="9"/>
      <c r="I98" s="9"/>
      <c r="J98" s="9"/>
      <c r="K98" s="9"/>
      <c r="L98" s="16"/>
      <c r="M98" s="15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9"/>
      <c r="C99" s="9"/>
      <c r="D99" s="9"/>
      <c r="E99" s="9"/>
      <c r="F99" s="9"/>
      <c r="G99" s="9"/>
      <c r="H99" s="9"/>
      <c r="I99" s="9"/>
      <c r="J99" s="9"/>
      <c r="K99" s="9"/>
      <c r="L99" s="16"/>
      <c r="M99" s="15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6"/>
      <c r="M100" s="15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6"/>
      <c r="M101" s="15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6"/>
      <c r="M102" s="15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6"/>
      <c r="M103" s="15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6"/>
      <c r="M104" s="15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6"/>
      <c r="M105" s="15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6"/>
      <c r="M106" s="15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6"/>
      <c r="M107" s="15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6"/>
      <c r="M108" s="15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6"/>
      <c r="M109" s="15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6"/>
      <c r="M110" s="15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6"/>
      <c r="M111" s="15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6"/>
      <c r="M112" s="15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6"/>
      <c r="M113" s="15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6"/>
      <c r="M114" s="15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6"/>
      <c r="M115" s="15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6"/>
      <c r="M116" s="15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6"/>
      <c r="M117" s="15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6"/>
      <c r="M118" s="15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6"/>
      <c r="M119" s="15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6"/>
      <c r="M120" s="15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6"/>
      <c r="M121" s="15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6"/>
      <c r="M122" s="15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6"/>
      <c r="M123" s="15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6"/>
      <c r="M124" s="15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6"/>
      <c r="M125" s="15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6"/>
      <c r="M126" s="15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6"/>
      <c r="M127" s="15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6"/>
      <c r="M128" s="15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6"/>
      <c r="M129" s="15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6"/>
      <c r="M130" s="15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6"/>
      <c r="M131" s="15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6"/>
      <c r="M132" s="15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6"/>
      <c r="M133" s="15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6"/>
      <c r="M134" s="15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6"/>
      <c r="M135" s="15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6"/>
      <c r="M136" s="15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6"/>
      <c r="M137" s="15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6"/>
      <c r="M138" s="15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6"/>
      <c r="M139" s="15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6"/>
      <c r="M140" s="15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6"/>
      <c r="M141" s="15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6"/>
      <c r="M142" s="15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6"/>
      <c r="M143" s="15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6"/>
      <c r="M144" s="15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6"/>
      <c r="M145" s="15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6"/>
      <c r="M146" s="15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6"/>
      <c r="M147" s="15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6"/>
      <c r="M148" s="15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6"/>
      <c r="M149" s="15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6"/>
      <c r="M150" s="15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6"/>
      <c r="M151" s="15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6"/>
      <c r="M152" s="15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6"/>
      <c r="M153" s="15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6"/>
      <c r="M154" s="15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6"/>
      <c r="M155" s="15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6"/>
      <c r="M156" s="15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6"/>
      <c r="M157" s="15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6"/>
      <c r="M158" s="15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6"/>
      <c r="M159" s="15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6"/>
      <c r="M160" s="15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6"/>
      <c r="M161" s="15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6"/>
      <c r="M162" s="15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6"/>
      <c r="M163" s="15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6"/>
      <c r="M164" s="15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6"/>
      <c r="M165" s="15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6"/>
      <c r="M166" s="15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6"/>
      <c r="M167" s="15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6"/>
      <c r="M168" s="15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6"/>
      <c r="M169" s="15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6"/>
      <c r="M170" s="15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6"/>
      <c r="M171" s="15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6"/>
      <c r="M172" s="15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6"/>
      <c r="M173" s="15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6"/>
      <c r="M174" s="15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6"/>
      <c r="M175" s="15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6"/>
      <c r="M176" s="15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6"/>
      <c r="M177" s="15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6"/>
      <c r="M178" s="15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6"/>
      <c r="M179" s="15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6"/>
      <c r="M180" s="15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6"/>
      <c r="M181" s="15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6"/>
      <c r="M182" s="15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6"/>
      <c r="M183" s="15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6"/>
      <c r="M184" s="15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6"/>
      <c r="M185" s="15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6"/>
      <c r="M186" s="15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6"/>
      <c r="M187" s="15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6"/>
      <c r="M188" s="15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6"/>
      <c r="M189" s="15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6"/>
      <c r="M190" s="15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6"/>
      <c r="M191" s="15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6"/>
      <c r="M192" s="15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6"/>
      <c r="M193" s="15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6"/>
      <c r="M194" s="15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6"/>
      <c r="M195" s="15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6"/>
      <c r="M196" s="15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6"/>
      <c r="M197" s="15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6"/>
      <c r="M198" s="15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6"/>
      <c r="M199" s="15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6"/>
      <c r="M200" s="15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6"/>
      <c r="M201" s="15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6"/>
      <c r="M202" s="15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6"/>
      <c r="M203" s="15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6"/>
      <c r="M204" s="15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6"/>
      <c r="M205" s="15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6"/>
      <c r="M206" s="15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6"/>
      <c r="M207" s="15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6"/>
      <c r="M208" s="15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6"/>
      <c r="M209" s="15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6"/>
      <c r="M210" s="15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6"/>
      <c r="M211" s="15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6"/>
      <c r="M212" s="15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6"/>
      <c r="M213" s="15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6"/>
      <c r="M214" s="15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6"/>
      <c r="M215" s="15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6"/>
      <c r="M216" s="15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6"/>
      <c r="M217" s="15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6"/>
      <c r="M218" s="15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6"/>
      <c r="M219" s="15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6"/>
      <c r="M220" s="15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6"/>
      <c r="M221" s="15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6"/>
      <c r="M222" s="15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6"/>
      <c r="M223" s="15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6"/>
      <c r="M224" s="15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6"/>
      <c r="M225" s="15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6"/>
      <c r="M226" s="15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6"/>
      <c r="M227" s="15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6"/>
      <c r="M228" s="15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6"/>
      <c r="M229" s="15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6"/>
      <c r="M230" s="15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6"/>
      <c r="M231" s="15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6"/>
      <c r="M232" s="15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6"/>
      <c r="M233" s="15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6"/>
      <c r="M234" s="15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6"/>
      <c r="M235" s="15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6"/>
      <c r="M236" s="15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6"/>
      <c r="M237" s="15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6"/>
      <c r="M238" s="15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6"/>
      <c r="M239" s="15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6"/>
      <c r="M240" s="15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6"/>
      <c r="M241" s="15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6"/>
      <c r="M242" s="15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6"/>
      <c r="M243" s="15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6"/>
      <c r="M244" s="15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6"/>
      <c r="M245" s="15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6"/>
      <c r="M246" s="15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6"/>
      <c r="M247" s="15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6"/>
      <c r="M248" s="15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6"/>
      <c r="M249" s="15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6"/>
      <c r="M250" s="15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6"/>
      <c r="M251" s="15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6"/>
      <c r="M252" s="15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6"/>
      <c r="M253" s="15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6"/>
      <c r="M254" s="15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6"/>
      <c r="M255" s="15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6"/>
      <c r="M256" s="15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6"/>
      <c r="M257" s="15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6"/>
      <c r="M258" s="15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6"/>
      <c r="M259" s="15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6"/>
      <c r="M260" s="15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6"/>
      <c r="M261" s="15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6"/>
      <c r="M262" s="15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6"/>
      <c r="M263" s="15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6"/>
      <c r="M264" s="15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6"/>
      <c r="M265" s="15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6"/>
      <c r="M266" s="15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6"/>
      <c r="M267" s="15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6"/>
      <c r="M268" s="15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6"/>
      <c r="M269" s="15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6"/>
      <c r="M270" s="15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6"/>
      <c r="M271" s="15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6"/>
      <c r="M272" s="15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6"/>
      <c r="M273" s="15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6"/>
      <c r="M274" s="15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6"/>
      <c r="M275" s="15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6"/>
      <c r="M276" s="15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6"/>
      <c r="M277" s="15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6"/>
      <c r="M278" s="15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6"/>
      <c r="M279" s="15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6"/>
      <c r="M280" s="15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6"/>
      <c r="M281" s="15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6"/>
      <c r="M282" s="15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6"/>
      <c r="M283" s="15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6"/>
      <c r="M284" s="15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6"/>
      <c r="M285" s="15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6"/>
      <c r="M286" s="15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6"/>
      <c r="M287" s="15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6"/>
      <c r="M288" s="15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6"/>
      <c r="M289" s="15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6"/>
      <c r="M290" s="15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6"/>
      <c r="M291" s="15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6"/>
      <c r="M292" s="15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6"/>
      <c r="M293" s="15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6"/>
      <c r="M294" s="15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6"/>
      <c r="M295" s="15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6"/>
      <c r="M296" s="15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6"/>
      <c r="M297" s="15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6"/>
      <c r="M298" s="15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6"/>
      <c r="M299" s="15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6"/>
      <c r="M300" s="15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6"/>
      <c r="M301" s="15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6"/>
      <c r="M302" s="15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6"/>
      <c r="M303" s="15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6"/>
      <c r="M304" s="15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6"/>
      <c r="M305" s="15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6"/>
      <c r="M306" s="15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6"/>
      <c r="M307" s="15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6"/>
      <c r="M308" s="15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6"/>
      <c r="M309" s="15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6"/>
      <c r="M310" s="15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6"/>
      <c r="M311" s="15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6"/>
      <c r="M312" s="15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6"/>
      <c r="M313" s="15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6"/>
      <c r="M314" s="15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6"/>
      <c r="M315" s="15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6"/>
      <c r="M316" s="15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6"/>
      <c r="M317" s="15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6"/>
      <c r="M318" s="15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6"/>
      <c r="M319" s="15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6"/>
      <c r="M320" s="15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6"/>
      <c r="M321" s="15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6"/>
      <c r="M322" s="15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6"/>
      <c r="M323" s="15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6"/>
      <c r="M324" s="15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6"/>
      <c r="M325" s="15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6"/>
      <c r="M326" s="15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6"/>
      <c r="M327" s="15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6"/>
      <c r="M328" s="15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6"/>
      <c r="M329" s="15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6"/>
      <c r="M330" s="15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6"/>
      <c r="M331" s="15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6"/>
      <c r="M332" s="15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6"/>
      <c r="M333" s="15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6"/>
      <c r="M334" s="15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6"/>
      <c r="M335" s="15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6"/>
      <c r="M336" s="15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6"/>
      <c r="M337" s="15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6"/>
      <c r="M338" s="15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6"/>
      <c r="M339" s="15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6"/>
      <c r="M340" s="15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6"/>
      <c r="M341" s="15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6"/>
      <c r="M342" s="15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6"/>
      <c r="M343" s="15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6"/>
      <c r="M344" s="15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6"/>
      <c r="M345" s="15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6"/>
      <c r="M346" s="15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6"/>
      <c r="M347" s="15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6"/>
      <c r="M348" s="15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6"/>
      <c r="M349" s="15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6"/>
      <c r="M350" s="15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6"/>
      <c r="M351" s="15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6"/>
      <c r="M352" s="15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6"/>
      <c r="M353" s="15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6"/>
      <c r="M354" s="15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6"/>
      <c r="M355" s="15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6"/>
      <c r="M356" s="15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6"/>
      <c r="M357" s="15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6"/>
      <c r="M358" s="15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6"/>
      <c r="M359" s="15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6"/>
      <c r="M360" s="15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6"/>
      <c r="M361" s="15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6"/>
      <c r="M362" s="15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6"/>
      <c r="M363" s="15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6"/>
      <c r="M364" s="15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6"/>
      <c r="M365" s="15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6"/>
      <c r="M366" s="15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6"/>
      <c r="M367" s="15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6"/>
      <c r="M368" s="15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6"/>
      <c r="M369" s="15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6"/>
      <c r="M370" s="15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6"/>
      <c r="M371" s="15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6"/>
      <c r="M372" s="15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6"/>
      <c r="M373" s="15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6"/>
      <c r="M374" s="15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6"/>
      <c r="M375" s="15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6"/>
      <c r="M376" s="15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6"/>
      <c r="M377" s="15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6"/>
      <c r="M378" s="15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6"/>
      <c r="M379" s="15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6"/>
      <c r="M380" s="15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6"/>
      <c r="M381" s="15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6"/>
      <c r="M382" s="15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6"/>
      <c r="M383" s="15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6"/>
      <c r="M384" s="15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6"/>
      <c r="M385" s="15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6"/>
      <c r="M386" s="15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6"/>
      <c r="M387" s="15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6"/>
      <c r="M388" s="15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6"/>
      <c r="M389" s="15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6"/>
      <c r="M390" s="15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6"/>
      <c r="M391" s="15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6"/>
      <c r="M392" s="15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6"/>
      <c r="M393" s="15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6"/>
      <c r="M394" s="15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6"/>
      <c r="M395" s="15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6"/>
      <c r="M396" s="15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6"/>
      <c r="M397" s="15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6"/>
      <c r="M398" s="15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6"/>
      <c r="M399" s="15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6"/>
      <c r="M400" s="15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6"/>
      <c r="M401" s="15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6"/>
      <c r="M402" s="15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6"/>
      <c r="M403" s="15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6"/>
      <c r="M404" s="15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6"/>
      <c r="M405" s="15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6"/>
      <c r="M406" s="15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6"/>
      <c r="M407" s="15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6"/>
      <c r="M408" s="15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6"/>
      <c r="M409" s="15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6"/>
      <c r="M410" s="15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6"/>
      <c r="M411" s="15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6"/>
      <c r="M412" s="15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6"/>
      <c r="M413" s="15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6"/>
      <c r="M414" s="15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6"/>
      <c r="M415" s="15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6"/>
      <c r="M416" s="15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6"/>
      <c r="M417" s="15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6"/>
      <c r="M418" s="15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6"/>
      <c r="M419" s="15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6"/>
      <c r="M420" s="15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6"/>
      <c r="M421" s="15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6"/>
      <c r="M422" s="15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6"/>
      <c r="M423" s="15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6"/>
      <c r="M424" s="15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6"/>
      <c r="M425" s="15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6"/>
      <c r="M426" s="15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6"/>
      <c r="M427" s="15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6"/>
      <c r="M428" s="15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6"/>
      <c r="M429" s="15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6"/>
      <c r="M430" s="15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6"/>
      <c r="M431" s="15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6"/>
      <c r="M432" s="15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6"/>
      <c r="M433" s="15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6"/>
      <c r="M434" s="15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6"/>
      <c r="M435" s="15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6"/>
      <c r="M436" s="15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6"/>
      <c r="M437" s="15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6"/>
      <c r="M438" s="15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6"/>
      <c r="M439" s="15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6"/>
      <c r="M440" s="15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6"/>
      <c r="M441" s="15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6"/>
      <c r="M442" s="15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6"/>
      <c r="M443" s="15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6"/>
      <c r="M444" s="15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6"/>
      <c r="M445" s="15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6"/>
      <c r="M446" s="15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6"/>
      <c r="M447" s="15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6"/>
      <c r="M448" s="15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6"/>
      <c r="M449" s="15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6"/>
      <c r="M450" s="15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6"/>
      <c r="M451" s="15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6"/>
      <c r="M452" s="15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6"/>
      <c r="M453" s="15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6"/>
      <c r="M454" s="15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6"/>
      <c r="M455" s="15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6"/>
      <c r="M456" s="15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6"/>
      <c r="M457" s="15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6"/>
      <c r="M458" s="15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6"/>
      <c r="M459" s="15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6"/>
      <c r="M460" s="15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6"/>
      <c r="M461" s="15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6"/>
      <c r="M462" s="15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6"/>
      <c r="M463" s="15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6"/>
      <c r="M464" s="15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6"/>
      <c r="M465" s="15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6"/>
      <c r="M466" s="15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6"/>
      <c r="M467" s="15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6"/>
      <c r="M468" s="15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6"/>
      <c r="M469" s="15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6"/>
      <c r="M470" s="15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6"/>
      <c r="M471" s="15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6"/>
      <c r="M472" s="15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6"/>
      <c r="M473" s="15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6"/>
      <c r="M474" s="15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6"/>
      <c r="M475" s="15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6"/>
      <c r="M476" s="15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6"/>
      <c r="M477" s="15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6"/>
      <c r="M478" s="15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6"/>
      <c r="M479" s="15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6"/>
      <c r="M480" s="15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6"/>
      <c r="M481" s="15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6"/>
      <c r="M482" s="15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6"/>
      <c r="M483" s="15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6"/>
      <c r="M484" s="15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6"/>
      <c r="M485" s="15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6"/>
      <c r="M486" s="15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6"/>
      <c r="M487" s="15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6"/>
      <c r="M488" s="15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6"/>
      <c r="M489" s="15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6"/>
      <c r="M490" s="15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6"/>
      <c r="M491" s="15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6"/>
      <c r="M492" s="15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6"/>
      <c r="M493" s="15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6"/>
      <c r="M494" s="15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6"/>
      <c r="M495" s="15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6"/>
      <c r="M496" s="15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6"/>
      <c r="M497" s="15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6"/>
      <c r="M498" s="15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6"/>
      <c r="M499" s="15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6"/>
      <c r="M500" s="15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6"/>
      <c r="M501" s="15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6"/>
      <c r="M502" s="15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6"/>
      <c r="M503" s="15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6"/>
      <c r="M504" s="15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6"/>
      <c r="M505" s="15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6"/>
      <c r="M506" s="15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6"/>
      <c r="M507" s="15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6"/>
      <c r="M508" s="15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6"/>
      <c r="M509" s="15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6"/>
      <c r="M510" s="15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6"/>
      <c r="M511" s="15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6"/>
      <c r="M512" s="15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6"/>
      <c r="M513" s="15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6"/>
      <c r="M514" s="15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6"/>
      <c r="M515" s="15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6"/>
      <c r="M516" s="15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6"/>
      <c r="M517" s="15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6"/>
      <c r="M518" s="15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6"/>
      <c r="M519" s="15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6"/>
      <c r="M520" s="15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6"/>
      <c r="M521" s="15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6"/>
      <c r="M522" s="15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6"/>
      <c r="M523" s="15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6"/>
      <c r="M524" s="15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6"/>
      <c r="M525" s="15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6"/>
      <c r="M526" s="15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6"/>
      <c r="M527" s="15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6"/>
      <c r="M528" s="15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6"/>
      <c r="M529" s="15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6"/>
      <c r="M530" s="15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6"/>
      <c r="M531" s="15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6"/>
      <c r="M532" s="15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6"/>
      <c r="M533" s="15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6"/>
      <c r="M534" s="15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6"/>
      <c r="M535" s="15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6"/>
      <c r="M536" s="15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6"/>
      <c r="M537" s="15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6"/>
      <c r="M538" s="15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6"/>
      <c r="M539" s="15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6"/>
      <c r="M540" s="15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6"/>
      <c r="M541" s="15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6"/>
      <c r="M542" s="15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6"/>
      <c r="M543" s="15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6"/>
      <c r="M544" s="15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6"/>
      <c r="M545" s="15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6"/>
      <c r="M546" s="15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6"/>
      <c r="M547" s="15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6"/>
      <c r="M548" s="15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6"/>
      <c r="M549" s="15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6"/>
      <c r="M550" s="15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6"/>
      <c r="M551" s="15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6"/>
      <c r="M552" s="15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6"/>
      <c r="M553" s="15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6"/>
      <c r="M554" s="15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6"/>
      <c r="M555" s="15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6"/>
      <c r="M556" s="15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6"/>
      <c r="M557" s="15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6"/>
      <c r="M558" s="15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6"/>
      <c r="M559" s="15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6"/>
      <c r="M560" s="15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6"/>
      <c r="M561" s="15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6"/>
      <c r="M562" s="15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6"/>
      <c r="M563" s="15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6"/>
      <c r="M564" s="15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6"/>
      <c r="M565" s="15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6"/>
      <c r="M566" s="15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6"/>
      <c r="M567" s="15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6"/>
      <c r="M568" s="15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6"/>
      <c r="M569" s="15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6"/>
      <c r="M570" s="15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6"/>
      <c r="M571" s="15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6"/>
      <c r="M572" s="15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6"/>
      <c r="M573" s="15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6"/>
      <c r="M574" s="15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6"/>
      <c r="M575" s="15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6"/>
      <c r="M576" s="15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6"/>
      <c r="M577" s="15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6"/>
      <c r="M578" s="15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6"/>
      <c r="M579" s="15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6"/>
      <c r="M580" s="15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6"/>
      <c r="M581" s="15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6"/>
      <c r="M582" s="15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6"/>
      <c r="M583" s="15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6"/>
      <c r="M584" s="15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6"/>
      <c r="M585" s="15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6"/>
      <c r="M586" s="15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6"/>
      <c r="M587" s="15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6"/>
      <c r="M588" s="15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6"/>
      <c r="M589" s="15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6"/>
      <c r="M590" s="15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6"/>
      <c r="M591" s="15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6"/>
      <c r="M592" s="15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6"/>
      <c r="M593" s="15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6"/>
      <c r="M594" s="15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6"/>
      <c r="M595" s="15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6"/>
      <c r="M596" s="15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6"/>
      <c r="M597" s="15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6"/>
      <c r="M598" s="15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6"/>
      <c r="M599" s="15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6"/>
      <c r="M600" s="15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6"/>
      <c r="M601" s="15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6"/>
      <c r="M602" s="15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6"/>
      <c r="M603" s="15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6"/>
      <c r="M604" s="15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6"/>
      <c r="M605" s="15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6"/>
      <c r="M606" s="15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6"/>
      <c r="M607" s="15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6"/>
      <c r="M608" s="15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6"/>
      <c r="M609" s="15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6"/>
      <c r="M610" s="15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6"/>
      <c r="M611" s="15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6"/>
      <c r="M612" s="15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6"/>
      <c r="M613" s="15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6"/>
      <c r="M614" s="15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6"/>
      <c r="M615" s="15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6"/>
      <c r="M616" s="15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6"/>
      <c r="M617" s="15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6"/>
      <c r="M618" s="15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6"/>
      <c r="M619" s="15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6"/>
      <c r="M620" s="15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6"/>
      <c r="M621" s="15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6"/>
      <c r="M622" s="15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6"/>
      <c r="M623" s="15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6"/>
      <c r="M624" s="15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6"/>
      <c r="M625" s="15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6"/>
      <c r="M626" s="15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6"/>
      <c r="M627" s="15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6"/>
      <c r="M628" s="15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6"/>
      <c r="M629" s="15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6"/>
      <c r="M630" s="15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6"/>
      <c r="M631" s="15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6"/>
      <c r="M632" s="15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6"/>
      <c r="M633" s="15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6"/>
      <c r="M634" s="15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6"/>
      <c r="M635" s="15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6"/>
      <c r="M636" s="15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6"/>
      <c r="M637" s="15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6"/>
      <c r="M638" s="15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6"/>
      <c r="M639" s="15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6"/>
      <c r="M640" s="15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6"/>
      <c r="M641" s="15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6"/>
      <c r="M642" s="15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6"/>
      <c r="M643" s="15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6"/>
      <c r="M644" s="15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6"/>
      <c r="M645" s="15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6"/>
      <c r="M646" s="15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6"/>
      <c r="M647" s="15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6"/>
      <c r="M648" s="15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6"/>
      <c r="M649" s="15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6"/>
      <c r="M650" s="15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6"/>
      <c r="M651" s="15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6"/>
      <c r="M652" s="15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6"/>
      <c r="M653" s="15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6"/>
      <c r="M654" s="15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6"/>
      <c r="M655" s="15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6"/>
      <c r="M656" s="15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6"/>
      <c r="M657" s="15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6"/>
      <c r="M658" s="15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6"/>
      <c r="M659" s="15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6"/>
      <c r="M660" s="15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6"/>
      <c r="M661" s="15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6"/>
      <c r="M662" s="15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6"/>
      <c r="M663" s="15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6"/>
      <c r="M664" s="15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6"/>
      <c r="M665" s="15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6"/>
      <c r="M666" s="15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6"/>
      <c r="M667" s="15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6"/>
      <c r="M668" s="15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6"/>
      <c r="M669" s="15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6"/>
      <c r="M670" s="15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6"/>
      <c r="M671" s="15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6"/>
      <c r="M672" s="15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6"/>
      <c r="M673" s="15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6"/>
      <c r="M674" s="15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6"/>
      <c r="M675" s="15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6"/>
      <c r="M676" s="15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6"/>
      <c r="M677" s="15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6"/>
      <c r="M678" s="15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6"/>
      <c r="M679" s="15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6"/>
      <c r="M680" s="15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6"/>
      <c r="M681" s="15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6"/>
      <c r="M682" s="15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6"/>
      <c r="M683" s="15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6"/>
      <c r="M684" s="15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6"/>
      <c r="M685" s="15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6"/>
      <c r="M686" s="15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6"/>
      <c r="M687" s="15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6"/>
      <c r="M688" s="15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6"/>
      <c r="M689" s="15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6"/>
      <c r="M690" s="15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6"/>
      <c r="M691" s="15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6"/>
      <c r="M692" s="15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6"/>
      <c r="M693" s="15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6"/>
      <c r="M694" s="15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6"/>
      <c r="M695" s="15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6"/>
      <c r="M696" s="15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6"/>
      <c r="M697" s="15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6"/>
      <c r="M698" s="15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6"/>
      <c r="M699" s="15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6"/>
      <c r="M700" s="15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6"/>
      <c r="M701" s="15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6"/>
      <c r="M702" s="15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6"/>
      <c r="M703" s="15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6"/>
      <c r="M704" s="15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6"/>
      <c r="M705" s="15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6"/>
      <c r="M706" s="15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6"/>
      <c r="M707" s="15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6"/>
      <c r="M708" s="15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6"/>
      <c r="M709" s="15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6"/>
      <c r="M710" s="15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6"/>
      <c r="M711" s="15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6"/>
      <c r="M712" s="15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6"/>
      <c r="M713" s="15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6"/>
      <c r="M714" s="15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6"/>
      <c r="M715" s="15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6"/>
      <c r="M716" s="15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6"/>
      <c r="M717" s="15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6"/>
      <c r="M718" s="15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6"/>
      <c r="M719" s="15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6"/>
      <c r="M720" s="15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6"/>
      <c r="M721" s="15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6"/>
      <c r="M722" s="15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6"/>
      <c r="M723" s="15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6"/>
      <c r="M724" s="15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6"/>
      <c r="M725" s="15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6"/>
      <c r="M726" s="15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6"/>
      <c r="M727" s="15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6"/>
      <c r="M728" s="15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6"/>
      <c r="M729" s="15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6"/>
      <c r="M730" s="15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6"/>
      <c r="M731" s="15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6"/>
      <c r="M732" s="15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6"/>
      <c r="M733" s="15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6"/>
      <c r="M734" s="15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6"/>
      <c r="M735" s="15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6"/>
      <c r="M736" s="15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6"/>
      <c r="M737" s="15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6"/>
      <c r="M738" s="15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6"/>
      <c r="M739" s="15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6"/>
      <c r="M740" s="15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6"/>
      <c r="M741" s="15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6"/>
      <c r="M742" s="15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6"/>
      <c r="M743" s="15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6"/>
      <c r="M744" s="15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6"/>
      <c r="M745" s="15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6"/>
      <c r="M746" s="15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6"/>
      <c r="M747" s="15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6"/>
      <c r="M748" s="15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6"/>
      <c r="M749" s="15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6"/>
      <c r="M750" s="15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6"/>
      <c r="M751" s="15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6"/>
      <c r="M752" s="15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6"/>
      <c r="M753" s="15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6"/>
      <c r="M754" s="15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6"/>
      <c r="M755" s="15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6"/>
      <c r="M756" s="15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6"/>
      <c r="M757" s="15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6"/>
      <c r="M758" s="15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6"/>
      <c r="M759" s="15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6"/>
      <c r="M760" s="15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6"/>
      <c r="M761" s="15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6"/>
      <c r="M762" s="15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6"/>
      <c r="M763" s="15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6"/>
      <c r="M764" s="15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6"/>
      <c r="M765" s="15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6"/>
      <c r="M766" s="15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6"/>
      <c r="M767" s="15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6"/>
      <c r="M768" s="15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6"/>
      <c r="M769" s="15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6"/>
      <c r="M770" s="15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6"/>
      <c r="M771" s="15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6"/>
      <c r="M772" s="15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6"/>
      <c r="M773" s="15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6"/>
      <c r="M774" s="15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6"/>
      <c r="M775" s="15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6"/>
      <c r="M776" s="15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6"/>
      <c r="M777" s="15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6"/>
      <c r="M778" s="15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6"/>
      <c r="M779" s="15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6"/>
      <c r="M780" s="15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6"/>
      <c r="M781" s="15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6"/>
      <c r="M782" s="15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6"/>
      <c r="M783" s="15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6"/>
      <c r="M784" s="15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6"/>
      <c r="M785" s="15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6"/>
      <c r="M786" s="15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6"/>
      <c r="M787" s="15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6"/>
      <c r="M788" s="15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6"/>
      <c r="M789" s="15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6"/>
      <c r="M790" s="15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6"/>
      <c r="M791" s="15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6"/>
      <c r="M792" s="15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6"/>
      <c r="M793" s="15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6"/>
      <c r="M794" s="15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6"/>
      <c r="M795" s="15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6"/>
      <c r="M796" s="15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6"/>
      <c r="M797" s="15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6"/>
      <c r="M798" s="15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6"/>
      <c r="M799" s="15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6"/>
      <c r="M800" s="15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6"/>
      <c r="M801" s="15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6"/>
      <c r="M802" s="15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6"/>
      <c r="M803" s="15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6"/>
      <c r="M804" s="15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6"/>
      <c r="M805" s="15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6"/>
      <c r="M806" s="15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6"/>
      <c r="M807" s="15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6"/>
      <c r="M808" s="15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6"/>
      <c r="M809" s="15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6"/>
      <c r="M810" s="15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6"/>
      <c r="M811" s="15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6"/>
      <c r="M812" s="15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6"/>
      <c r="M813" s="15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6"/>
      <c r="M814" s="15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6"/>
      <c r="M815" s="15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6"/>
      <c r="M816" s="15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6"/>
      <c r="M817" s="15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6"/>
      <c r="M818" s="15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6"/>
      <c r="M819" s="15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6"/>
      <c r="M820" s="15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6"/>
      <c r="M821" s="15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6"/>
      <c r="M822" s="15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6"/>
      <c r="M823" s="15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6"/>
      <c r="M824" s="15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6"/>
      <c r="M825" s="15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6"/>
      <c r="M826" s="15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6"/>
      <c r="M827" s="15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6"/>
      <c r="M828" s="15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6"/>
      <c r="M829" s="15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6"/>
      <c r="M830" s="15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6"/>
      <c r="M831" s="15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6"/>
      <c r="M832" s="15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6"/>
      <c r="M833" s="15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6"/>
      <c r="M834" s="15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6"/>
      <c r="M835" s="15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6"/>
      <c r="M836" s="15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6"/>
      <c r="M837" s="15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6"/>
      <c r="M838" s="15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6"/>
      <c r="M839" s="15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6"/>
      <c r="M840" s="15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6"/>
      <c r="M841" s="15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6"/>
      <c r="M842" s="15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6"/>
      <c r="M843" s="15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6"/>
      <c r="M844" s="15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6"/>
      <c r="M845" s="15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6"/>
      <c r="M846" s="15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6"/>
      <c r="M847" s="15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6"/>
      <c r="M848" s="15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6"/>
      <c r="M849" s="15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6"/>
      <c r="M850" s="15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6"/>
      <c r="M851" s="15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6"/>
      <c r="M852" s="15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6"/>
      <c r="M853" s="15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6"/>
      <c r="M854" s="15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6"/>
      <c r="M855" s="15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6"/>
      <c r="M856" s="15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6"/>
      <c r="M857" s="15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6"/>
      <c r="M858" s="15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6"/>
      <c r="M859" s="15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6"/>
      <c r="M860" s="15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6"/>
      <c r="M861" s="15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6"/>
      <c r="M862" s="15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6"/>
      <c r="M863" s="15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6"/>
      <c r="M864" s="15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6"/>
      <c r="M865" s="15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6"/>
      <c r="M866" s="15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6"/>
      <c r="M867" s="15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6"/>
      <c r="M868" s="15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6"/>
      <c r="M869" s="15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6"/>
      <c r="M870" s="15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6"/>
      <c r="M871" s="15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6"/>
      <c r="M872" s="15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6"/>
      <c r="M873" s="15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6"/>
      <c r="M874" s="15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6"/>
      <c r="M875" s="15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6"/>
      <c r="M876" s="15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6"/>
      <c r="M877" s="15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6"/>
      <c r="M878" s="15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6"/>
      <c r="M879" s="15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6"/>
      <c r="M880" s="15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6"/>
      <c r="M881" s="15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6"/>
      <c r="M882" s="15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6"/>
      <c r="M883" s="15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6"/>
      <c r="M884" s="15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6"/>
      <c r="M885" s="15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6"/>
      <c r="M886" s="15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6"/>
      <c r="M887" s="15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6"/>
      <c r="M888" s="15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6"/>
      <c r="M889" s="15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6"/>
      <c r="M890" s="15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6"/>
      <c r="M891" s="15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6"/>
      <c r="M892" s="15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6"/>
      <c r="M893" s="15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6"/>
      <c r="M894" s="15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6"/>
      <c r="M895" s="15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6"/>
      <c r="M896" s="15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6"/>
      <c r="M897" s="15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6"/>
      <c r="M898" s="15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6"/>
      <c r="M899" s="15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6"/>
      <c r="M900" s="15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6"/>
      <c r="M901" s="15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6"/>
      <c r="M902" s="15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6"/>
      <c r="M903" s="15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6"/>
      <c r="M904" s="15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6"/>
      <c r="M905" s="15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6"/>
      <c r="M906" s="15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6"/>
      <c r="M907" s="15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6"/>
      <c r="M908" s="15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6"/>
      <c r="M909" s="15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6"/>
      <c r="M910" s="15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6"/>
      <c r="M911" s="15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6"/>
      <c r="M912" s="15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6"/>
      <c r="M913" s="15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6"/>
      <c r="M914" s="15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6"/>
      <c r="M915" s="15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6"/>
      <c r="M916" s="15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6"/>
      <c r="M917" s="15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6"/>
      <c r="M918" s="15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6"/>
      <c r="M919" s="15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6"/>
      <c r="M920" s="15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6"/>
      <c r="M921" s="15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6"/>
      <c r="M922" s="15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6"/>
      <c r="M923" s="15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6"/>
      <c r="M924" s="15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6"/>
      <c r="M925" s="15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6"/>
      <c r="M926" s="15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6"/>
      <c r="M927" s="15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6"/>
      <c r="M928" s="15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6"/>
      <c r="M929" s="15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6"/>
      <c r="M930" s="15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6"/>
      <c r="M931" s="15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6"/>
      <c r="M932" s="15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6"/>
      <c r="M933" s="15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6"/>
      <c r="M934" s="15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6"/>
      <c r="M935" s="15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6"/>
      <c r="M936" s="15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6"/>
      <c r="M937" s="15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6"/>
      <c r="M938" s="15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6"/>
      <c r="M939" s="15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6"/>
      <c r="M940" s="15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6"/>
      <c r="M941" s="15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6"/>
      <c r="M942" s="15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6"/>
      <c r="M943" s="15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6"/>
      <c r="M944" s="15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6"/>
      <c r="M945" s="15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6"/>
      <c r="M946" s="15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6"/>
      <c r="M947" s="15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6"/>
      <c r="M948" s="15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6"/>
      <c r="M949" s="15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6"/>
      <c r="M950" s="15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6"/>
      <c r="M951" s="15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6"/>
      <c r="M952" s="15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6"/>
      <c r="M953" s="15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6"/>
      <c r="M954" s="15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6"/>
      <c r="M955" s="15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6"/>
      <c r="M956" s="15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6"/>
      <c r="M957" s="15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6"/>
      <c r="M958" s="15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6"/>
      <c r="M959" s="15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6"/>
      <c r="M960" s="15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6"/>
      <c r="M961" s="15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6"/>
      <c r="M962" s="15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6"/>
      <c r="M963" s="15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6"/>
      <c r="M964" s="15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6"/>
      <c r="M965" s="15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6"/>
      <c r="M966" s="15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6"/>
      <c r="M967" s="15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6"/>
      <c r="M968" s="15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6"/>
      <c r="M969" s="15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6"/>
      <c r="M970" s="15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6"/>
      <c r="M971" s="15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6"/>
      <c r="M972" s="15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6"/>
      <c r="M973" s="15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6"/>
      <c r="M974" s="15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6"/>
      <c r="M975" s="15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6"/>
      <c r="M976" s="15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6"/>
      <c r="M977" s="15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6"/>
      <c r="M978" s="15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6"/>
      <c r="M979" s="15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6"/>
      <c r="M980" s="15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6"/>
      <c r="M981" s="15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6"/>
      <c r="M982" s="15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6"/>
      <c r="M983" s="15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6"/>
      <c r="M984" s="15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6"/>
      <c r="M985" s="15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6"/>
      <c r="M986" s="15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6"/>
      <c r="M987" s="15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6"/>
      <c r="M988" s="15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6"/>
      <c r="M989" s="15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6"/>
      <c r="M990" s="15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6"/>
      <c r="M991" s="15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6"/>
      <c r="M992" s="15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6"/>
      <c r="M993" s="15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6"/>
      <c r="M994" s="15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6"/>
      <c r="M995" s="15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6"/>
      <c r="M996" s="15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6"/>
      <c r="M997" s="15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6"/>
      <c r="M998" s="15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6"/>
      <c r="M999" s="15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6"/>
      <c r="M1000" s="15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22" activePane="bottomRight" state="frozen"/>
      <selection pane="topRight" activeCell="C1" sqref="C1"/>
      <selection pane="bottomLeft" activeCell="A3" sqref="A3"/>
      <selection pane="bottomRight" activeCell="C3" sqref="C3:C36"/>
    </sheetView>
  </sheetViews>
  <sheetFormatPr defaultColWidth="14.44140625" defaultRowHeight="15" customHeight="1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28.5" customHeight="1" x14ac:dyDescent="0.85">
      <c r="A1" s="41" t="s">
        <v>81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28.5" customHeight="1" x14ac:dyDescent="0.7">
      <c r="A2" s="43" t="s">
        <v>82</v>
      </c>
      <c r="B2" s="43" t="s">
        <v>83</v>
      </c>
      <c r="C2" s="43" t="s">
        <v>84</v>
      </c>
      <c r="D2" s="43" t="s">
        <v>4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28.5" customHeight="1" x14ac:dyDescent="0.6">
      <c r="A3" s="44">
        <v>1</v>
      </c>
      <c r="B3" s="45" t="s">
        <v>85</v>
      </c>
      <c r="C3" s="45">
        <f>+รายการสินค้าตีกลับ!B35</f>
        <v>0</v>
      </c>
      <c r="D3" s="46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28.5" customHeight="1" x14ac:dyDescent="0.6">
      <c r="A4" s="44">
        <v>2</v>
      </c>
      <c r="B4" s="45" t="s">
        <v>86</v>
      </c>
      <c r="C4" s="45">
        <f>+รายการสินค้าตีกลับ!C35</f>
        <v>0</v>
      </c>
      <c r="D4" s="47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28.5" customHeight="1" x14ac:dyDescent="0.6">
      <c r="A5" s="44">
        <v>3</v>
      </c>
      <c r="B5" s="45" t="s">
        <v>87</v>
      </c>
      <c r="C5" s="45">
        <f>+รายการสินค้าตีกลับ!D35</f>
        <v>21</v>
      </c>
      <c r="D5" s="47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28.5" customHeight="1" x14ac:dyDescent="0.6">
      <c r="A6" s="44">
        <v>4</v>
      </c>
      <c r="B6" s="45" t="s">
        <v>88</v>
      </c>
      <c r="C6" s="45">
        <f>+รายการสินค้าตีกลับ!E35</f>
        <v>0</v>
      </c>
      <c r="D6" s="47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28.5" customHeight="1" x14ac:dyDescent="0.6">
      <c r="A7" s="44">
        <v>5</v>
      </c>
      <c r="B7" s="45" t="s">
        <v>89</v>
      </c>
      <c r="C7" s="45">
        <f>+รายการสินค้าตีกลับ!F35</f>
        <v>1</v>
      </c>
      <c r="D7" s="45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28.5" customHeight="1" x14ac:dyDescent="0.6">
      <c r="A8" s="44">
        <v>6</v>
      </c>
      <c r="B8" s="45" t="s">
        <v>90</v>
      </c>
      <c r="C8" s="45">
        <f>+รายการสินค้าตีกลับ!G35</f>
        <v>0</v>
      </c>
      <c r="D8" s="45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28.5" customHeight="1" x14ac:dyDescent="0.6">
      <c r="A9" s="44">
        <v>7</v>
      </c>
      <c r="B9" s="45" t="s">
        <v>91</v>
      </c>
      <c r="C9" s="45">
        <f>+รายการสินค้าตีกลับ!I35</f>
        <v>168</v>
      </c>
      <c r="D9" s="45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28.5" customHeight="1" x14ac:dyDescent="0.6">
      <c r="A10" s="44">
        <v>8</v>
      </c>
      <c r="B10" s="45" t="s">
        <v>92</v>
      </c>
      <c r="C10" s="45">
        <f>+รายการสินค้าตีกลับ!J35</f>
        <v>9</v>
      </c>
      <c r="D10" s="45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28.5" customHeight="1" x14ac:dyDescent="0.6">
      <c r="A11" s="44">
        <v>9</v>
      </c>
      <c r="B11" s="45" t="s">
        <v>93</v>
      </c>
      <c r="C11" s="45">
        <f>+รายการสินค้าตีกลับ!L35</f>
        <v>0</v>
      </c>
      <c r="D11" s="45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28.5" customHeight="1" x14ac:dyDescent="0.6">
      <c r="A12" s="44">
        <v>10</v>
      </c>
      <c r="B12" s="45" t="s">
        <v>94</v>
      </c>
      <c r="C12" s="45">
        <f>+รายการสินค้าตีกลับ!M35</f>
        <v>0</v>
      </c>
      <c r="D12" s="45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28.5" customHeight="1" x14ac:dyDescent="0.6">
      <c r="A13" s="44">
        <v>11</v>
      </c>
      <c r="B13" s="45" t="s">
        <v>95</v>
      </c>
      <c r="C13" s="45">
        <f>+รายการสินค้าตีกลับ!N35</f>
        <v>0</v>
      </c>
      <c r="D13" s="45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28.5" customHeight="1" x14ac:dyDescent="0.6">
      <c r="A14" s="44">
        <v>12</v>
      </c>
      <c r="B14" s="45" t="s">
        <v>96</v>
      </c>
      <c r="C14" s="45">
        <f>+รายการสินค้าตีกลับ!O35</f>
        <v>0</v>
      </c>
      <c r="D14" s="45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28.5" customHeight="1" x14ac:dyDescent="0.6">
      <c r="A15" s="44">
        <v>13</v>
      </c>
      <c r="B15" s="45" t="s">
        <v>97</v>
      </c>
      <c r="C15" s="45">
        <f>+รายการสินค้าตีกลับ!P35</f>
        <v>0</v>
      </c>
      <c r="D15" s="45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28.5" customHeight="1" x14ac:dyDescent="0.6">
      <c r="A16" s="44">
        <v>14</v>
      </c>
      <c r="B16" s="45" t="s">
        <v>98</v>
      </c>
      <c r="C16" s="45">
        <f>+รายการสินค้าตีกลับ!Q35</f>
        <v>0</v>
      </c>
      <c r="D16" s="45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8.5" customHeight="1" x14ac:dyDescent="0.6">
      <c r="A17" s="44">
        <v>15</v>
      </c>
      <c r="B17" s="45" t="s">
        <v>99</v>
      </c>
      <c r="C17" s="45">
        <v>0</v>
      </c>
      <c r="D17" s="45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8.5" customHeight="1" x14ac:dyDescent="0.6">
      <c r="A18" s="44">
        <v>16</v>
      </c>
      <c r="B18" s="45" t="s">
        <v>100</v>
      </c>
      <c r="C18" s="45">
        <v>0</v>
      </c>
      <c r="D18" s="45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8.5" customHeight="1" x14ac:dyDescent="0.6">
      <c r="A19" s="44">
        <v>17</v>
      </c>
      <c r="B19" s="45" t="s">
        <v>101</v>
      </c>
      <c r="C19" s="45">
        <f>+รายการสินค้าตีกลับ!R35</f>
        <v>0</v>
      </c>
      <c r="D19" s="45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28.5" customHeight="1" x14ac:dyDescent="0.6">
      <c r="A20" s="44">
        <v>18</v>
      </c>
      <c r="B20" s="45" t="s">
        <v>102</v>
      </c>
      <c r="C20" s="45">
        <f>+รายการสินค้าตีกลับ!S35</f>
        <v>0</v>
      </c>
      <c r="D20" s="45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8.5" customHeight="1" x14ac:dyDescent="0.6">
      <c r="A21" s="44">
        <v>19</v>
      </c>
      <c r="B21" s="45" t="s">
        <v>103</v>
      </c>
      <c r="C21" s="45">
        <v>0</v>
      </c>
      <c r="D21" s="45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8.5" customHeight="1" x14ac:dyDescent="0.6">
      <c r="A22" s="44">
        <v>20</v>
      </c>
      <c r="B22" s="45" t="s">
        <v>104</v>
      </c>
      <c r="C22" s="45">
        <v>0</v>
      </c>
      <c r="D22" s="45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28.5" customHeight="1" x14ac:dyDescent="0.6">
      <c r="A23" s="44">
        <v>21</v>
      </c>
      <c r="B23" s="45" t="s">
        <v>105</v>
      </c>
      <c r="C23" s="45">
        <v>0</v>
      </c>
      <c r="D23" s="45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8.5" customHeight="1" x14ac:dyDescent="0.6">
      <c r="A24" s="44">
        <v>22</v>
      </c>
      <c r="B24" s="45" t="s">
        <v>106</v>
      </c>
      <c r="C24" s="45">
        <v>0</v>
      </c>
      <c r="D24" s="45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28.5" customHeight="1" x14ac:dyDescent="0.6">
      <c r="A25" s="44">
        <v>23</v>
      </c>
      <c r="B25" s="45" t="s">
        <v>107</v>
      </c>
      <c r="C25" s="45">
        <v>0</v>
      </c>
      <c r="D25" s="4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8.5" customHeight="1" x14ac:dyDescent="0.6">
      <c r="A26" s="44">
        <v>24</v>
      </c>
      <c r="B26" s="45" t="s">
        <v>108</v>
      </c>
      <c r="C26" s="45">
        <v>0</v>
      </c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8.5" customHeight="1" x14ac:dyDescent="0.6">
      <c r="A27" s="44">
        <v>25</v>
      </c>
      <c r="B27" s="45" t="s">
        <v>109</v>
      </c>
      <c r="C27" s="45">
        <v>0</v>
      </c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8.5" customHeight="1" x14ac:dyDescent="0.6">
      <c r="A28" s="44">
        <v>26</v>
      </c>
      <c r="B28" s="45" t="s">
        <v>110</v>
      </c>
      <c r="C28" s="45">
        <v>0</v>
      </c>
      <c r="D28" s="45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8.5" customHeight="1" x14ac:dyDescent="0.6">
      <c r="A29" s="44">
        <v>27</v>
      </c>
      <c r="B29" s="45" t="s">
        <v>111</v>
      </c>
      <c r="C29" s="45">
        <f>+รายการสินค้าตีกลับ!Y35</f>
        <v>0</v>
      </c>
      <c r="D29" s="45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8.5" customHeight="1" x14ac:dyDescent="0.6">
      <c r="A30" s="44">
        <v>28</v>
      </c>
      <c r="B30" s="45" t="s">
        <v>112</v>
      </c>
      <c r="C30" s="45">
        <v>0</v>
      </c>
      <c r="D30" s="45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8.5" customHeight="1" x14ac:dyDescent="0.6">
      <c r="A31" s="44">
        <v>29</v>
      </c>
      <c r="B31" s="45" t="s">
        <v>113</v>
      </c>
      <c r="C31" s="45">
        <v>0</v>
      </c>
      <c r="D31" s="4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8.5" customHeight="1" x14ac:dyDescent="0.6">
      <c r="A32" s="44">
        <v>30</v>
      </c>
      <c r="B32" s="45" t="s">
        <v>114</v>
      </c>
      <c r="C32" s="45">
        <v>0</v>
      </c>
      <c r="D32" s="45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8.5" customHeight="1" x14ac:dyDescent="0.6">
      <c r="A33" s="44">
        <v>31</v>
      </c>
      <c r="B33" s="45" t="s">
        <v>115</v>
      </c>
      <c r="C33" s="45">
        <v>0</v>
      </c>
      <c r="D33" s="45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8.5" customHeight="1" x14ac:dyDescent="0.6">
      <c r="A34" s="44">
        <v>32</v>
      </c>
      <c r="B34" s="45" t="s">
        <v>116</v>
      </c>
      <c r="C34" s="45">
        <v>0</v>
      </c>
      <c r="D34" s="45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8.5" customHeight="1" x14ac:dyDescent="0.6">
      <c r="A35" s="44">
        <v>33</v>
      </c>
      <c r="B35" s="45" t="s">
        <v>117</v>
      </c>
      <c r="C35" s="45">
        <f>+รายการสินค้าตีกลับ!AC35</f>
        <v>7</v>
      </c>
      <c r="D35" s="45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8.5" customHeight="1" x14ac:dyDescent="0.6">
      <c r="A36" s="44">
        <v>34</v>
      </c>
      <c r="B36" s="45" t="s">
        <v>118</v>
      </c>
      <c r="C36" s="45">
        <f>+รายการสินค้าตีกลับ!AD35</f>
        <v>5</v>
      </c>
      <c r="D36" s="45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8.5" customHeight="1" x14ac:dyDescent="0.6">
      <c r="A37" s="44">
        <v>35</v>
      </c>
      <c r="B37" s="45"/>
      <c r="C37" s="45"/>
      <c r="D37" s="45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8.5" customHeight="1" x14ac:dyDescent="0.6">
      <c r="A38" s="44">
        <v>36</v>
      </c>
      <c r="B38" s="45"/>
      <c r="C38" s="45"/>
      <c r="D38" s="45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8.5" customHeight="1" x14ac:dyDescent="0.75">
      <c r="A39" s="42"/>
      <c r="B39" s="48" t="s">
        <v>119</v>
      </c>
      <c r="C39" s="49">
        <f>SUM(C3:C38)</f>
        <v>211</v>
      </c>
      <c r="D39" s="50" t="s">
        <v>120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8.5" customHeight="1" x14ac:dyDescent="0.6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8.5" customHeight="1" x14ac:dyDescent="0.6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8.5" customHeight="1" x14ac:dyDescent="0.6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8.5" customHeight="1" x14ac:dyDescent="0.6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8.5" customHeight="1" x14ac:dyDescent="0.6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8.5" customHeight="1" x14ac:dyDescent="0.6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8.5" customHeight="1" x14ac:dyDescent="0.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8.5" customHeight="1" x14ac:dyDescent="0.6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8.5" customHeight="1" x14ac:dyDescent="0.6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8.5" customHeight="1" x14ac:dyDescent="0.6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8.5" customHeight="1" x14ac:dyDescent="0.6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8.5" customHeight="1" x14ac:dyDescent="0.6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8.5" customHeight="1" x14ac:dyDescent="0.6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8.5" customHeight="1" x14ac:dyDescent="0.6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8.5" customHeight="1" x14ac:dyDescent="0.6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8.5" customHeight="1" x14ac:dyDescent="0.6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8.5" customHeight="1" x14ac:dyDescent="0.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8.5" customHeight="1" x14ac:dyDescent="0.6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8.5" customHeight="1" x14ac:dyDescent="0.6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8.5" customHeight="1" x14ac:dyDescent="0.6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8.5" customHeight="1" x14ac:dyDescent="0.6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8.5" customHeight="1" x14ac:dyDescent="0.6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8.5" customHeight="1" x14ac:dyDescent="0.6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8.5" customHeight="1" x14ac:dyDescent="0.6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8.5" customHeight="1" x14ac:dyDescent="0.6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8.5" customHeight="1" x14ac:dyDescent="0.6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8.5" customHeight="1" x14ac:dyDescent="0.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8.5" customHeight="1" x14ac:dyDescent="0.6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8.5" customHeight="1" x14ac:dyDescent="0.6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8.5" customHeight="1" x14ac:dyDescent="0.6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8.5" customHeight="1" x14ac:dyDescent="0.6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8.5" customHeight="1" x14ac:dyDescent="0.6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8.5" customHeight="1" x14ac:dyDescent="0.6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8.5" customHeight="1" x14ac:dyDescent="0.6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8.5" customHeight="1" x14ac:dyDescent="0.6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8.5" customHeight="1" x14ac:dyDescent="0.6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8.5" customHeight="1" x14ac:dyDescent="0.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8.5" customHeight="1" x14ac:dyDescent="0.6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8.5" customHeight="1" x14ac:dyDescent="0.6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8.5" customHeight="1" x14ac:dyDescent="0.6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8.5" customHeight="1" x14ac:dyDescent="0.6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8.5" customHeight="1" x14ac:dyDescent="0.6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8.5" customHeight="1" x14ac:dyDescent="0.6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8.5" customHeight="1" x14ac:dyDescent="0.6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8.5" customHeight="1" x14ac:dyDescent="0.6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8.5" customHeight="1" x14ac:dyDescent="0.6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8.5" customHeight="1" x14ac:dyDescent="0.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8.5" customHeight="1" x14ac:dyDescent="0.6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8.5" customHeight="1" x14ac:dyDescent="0.6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8.5" customHeight="1" x14ac:dyDescent="0.6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8.5" customHeight="1" x14ac:dyDescent="0.6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8.5" customHeight="1" x14ac:dyDescent="0.6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8.5" customHeight="1" x14ac:dyDescent="0.6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8.5" customHeight="1" x14ac:dyDescent="0.6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8.5" customHeight="1" x14ac:dyDescent="0.6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8.5" customHeight="1" x14ac:dyDescent="0.6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8.5" customHeight="1" x14ac:dyDescent="0.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8.5" customHeight="1" x14ac:dyDescent="0.6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8.5" customHeight="1" x14ac:dyDescent="0.6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8.5" customHeight="1" x14ac:dyDescent="0.6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8.5" customHeight="1" x14ac:dyDescent="0.6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8.5" customHeight="1" x14ac:dyDescent="0.6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8.5" customHeight="1" x14ac:dyDescent="0.6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8.5" customHeight="1" x14ac:dyDescent="0.6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8.5" customHeight="1" x14ac:dyDescent="0.6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8.5" customHeight="1" x14ac:dyDescent="0.6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8.5" customHeight="1" x14ac:dyDescent="0.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8.5" customHeight="1" x14ac:dyDescent="0.6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8.5" customHeight="1" x14ac:dyDescent="0.6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8.5" customHeight="1" x14ac:dyDescent="0.6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8.5" customHeight="1" x14ac:dyDescent="0.6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8.5" customHeight="1" x14ac:dyDescent="0.6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8.5" customHeight="1" x14ac:dyDescent="0.6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8.5" customHeight="1" x14ac:dyDescent="0.6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8.5" customHeight="1" x14ac:dyDescent="0.6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8.5" customHeight="1" x14ac:dyDescent="0.6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8.5" customHeight="1" x14ac:dyDescent="0.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8.5" customHeight="1" x14ac:dyDescent="0.6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8.5" customHeight="1" x14ac:dyDescent="0.6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8.5" customHeight="1" x14ac:dyDescent="0.6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8.5" customHeight="1" x14ac:dyDescent="0.6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8.5" customHeight="1" x14ac:dyDescent="0.6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8.5" customHeight="1" x14ac:dyDescent="0.6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8.5" customHeight="1" x14ac:dyDescent="0.6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8.5" customHeight="1" x14ac:dyDescent="0.6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8.5" customHeight="1" x14ac:dyDescent="0.6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8.5" customHeight="1" x14ac:dyDescent="0.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8.5" customHeight="1" x14ac:dyDescent="0.6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8.5" customHeight="1" x14ac:dyDescent="0.6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8.5" customHeight="1" x14ac:dyDescent="0.6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8.5" customHeight="1" x14ac:dyDescent="0.6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8.5" customHeight="1" x14ac:dyDescent="0.6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8.5" customHeight="1" x14ac:dyDescent="0.6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8.5" customHeight="1" x14ac:dyDescent="0.6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8.5" customHeight="1" x14ac:dyDescent="0.6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8.5" customHeight="1" x14ac:dyDescent="0.6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8.5" customHeight="1" x14ac:dyDescent="0.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8.5" customHeight="1" x14ac:dyDescent="0.6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8.5" customHeight="1" x14ac:dyDescent="0.6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8.5" customHeight="1" x14ac:dyDescent="0.6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8.5" customHeight="1" x14ac:dyDescent="0.6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8.5" customHeight="1" x14ac:dyDescent="0.6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8.5" customHeight="1" x14ac:dyDescent="0.6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8.5" customHeight="1" x14ac:dyDescent="0.6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8.5" customHeight="1" x14ac:dyDescent="0.6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8.5" customHeight="1" x14ac:dyDescent="0.6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8.5" customHeight="1" x14ac:dyDescent="0.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8.5" customHeight="1" x14ac:dyDescent="0.6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8.5" customHeight="1" x14ac:dyDescent="0.6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8.5" customHeight="1" x14ac:dyDescent="0.6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8.5" customHeight="1" x14ac:dyDescent="0.6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8.5" customHeight="1" x14ac:dyDescent="0.6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8.5" customHeight="1" x14ac:dyDescent="0.6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8.5" customHeight="1" x14ac:dyDescent="0.6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8.5" customHeight="1" x14ac:dyDescent="0.6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8.5" customHeight="1" x14ac:dyDescent="0.6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8.5" customHeight="1" x14ac:dyDescent="0.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8.5" customHeight="1" x14ac:dyDescent="0.6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8.5" customHeight="1" x14ac:dyDescent="0.6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8.5" customHeight="1" x14ac:dyDescent="0.6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8.5" customHeight="1" x14ac:dyDescent="0.6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8.5" customHeight="1" x14ac:dyDescent="0.6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8.5" customHeight="1" x14ac:dyDescent="0.6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8.5" customHeight="1" x14ac:dyDescent="0.6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8.5" customHeight="1" x14ac:dyDescent="0.6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8.5" customHeight="1" x14ac:dyDescent="0.6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8.5" customHeight="1" x14ac:dyDescent="0.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8.5" customHeight="1" x14ac:dyDescent="0.6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8.5" customHeight="1" x14ac:dyDescent="0.6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8.5" customHeight="1" x14ac:dyDescent="0.6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8.5" customHeight="1" x14ac:dyDescent="0.6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8.5" customHeight="1" x14ac:dyDescent="0.6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8.5" customHeight="1" x14ac:dyDescent="0.6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8.5" customHeight="1" x14ac:dyDescent="0.6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8.5" customHeight="1" x14ac:dyDescent="0.6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8.5" customHeight="1" x14ac:dyDescent="0.6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8.5" customHeight="1" x14ac:dyDescent="0.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8.5" customHeight="1" x14ac:dyDescent="0.6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8.5" customHeight="1" x14ac:dyDescent="0.6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8.5" customHeight="1" x14ac:dyDescent="0.6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8.5" customHeight="1" x14ac:dyDescent="0.6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8.5" customHeight="1" x14ac:dyDescent="0.6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8.5" customHeight="1" x14ac:dyDescent="0.6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8.5" customHeight="1" x14ac:dyDescent="0.6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8.5" customHeight="1" x14ac:dyDescent="0.6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8.5" customHeight="1" x14ac:dyDescent="0.6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8.5" customHeight="1" x14ac:dyDescent="0.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8.5" customHeight="1" x14ac:dyDescent="0.6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8.5" customHeight="1" x14ac:dyDescent="0.6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8.5" customHeight="1" x14ac:dyDescent="0.6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8.5" customHeight="1" x14ac:dyDescent="0.6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8.5" customHeight="1" x14ac:dyDescent="0.6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8.5" customHeight="1" x14ac:dyDescent="0.6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8.5" customHeight="1" x14ac:dyDescent="0.6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8.5" customHeight="1" x14ac:dyDescent="0.6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8.5" customHeight="1" x14ac:dyDescent="0.6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8.5" customHeight="1" x14ac:dyDescent="0.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8.5" customHeight="1" x14ac:dyDescent="0.6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8.5" customHeight="1" x14ac:dyDescent="0.6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8.5" customHeight="1" x14ac:dyDescent="0.6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8.5" customHeight="1" x14ac:dyDescent="0.6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8.5" customHeight="1" x14ac:dyDescent="0.6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8.5" customHeight="1" x14ac:dyDescent="0.6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8.5" customHeight="1" x14ac:dyDescent="0.6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8.5" customHeight="1" x14ac:dyDescent="0.6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8.5" customHeight="1" x14ac:dyDescent="0.6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8.5" customHeight="1" x14ac:dyDescent="0.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8.5" customHeight="1" x14ac:dyDescent="0.6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8.5" customHeight="1" x14ac:dyDescent="0.6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8.5" customHeight="1" x14ac:dyDescent="0.6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8.5" customHeight="1" x14ac:dyDescent="0.6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8.5" customHeight="1" x14ac:dyDescent="0.6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8.5" customHeight="1" x14ac:dyDescent="0.6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8.5" customHeight="1" x14ac:dyDescent="0.6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8.5" customHeight="1" x14ac:dyDescent="0.6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8.5" customHeight="1" x14ac:dyDescent="0.6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8.5" customHeight="1" x14ac:dyDescent="0.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8.5" customHeight="1" x14ac:dyDescent="0.6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8.5" customHeight="1" x14ac:dyDescent="0.6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8.5" customHeight="1" x14ac:dyDescent="0.6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8.5" customHeight="1" x14ac:dyDescent="0.6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8.5" customHeight="1" x14ac:dyDescent="0.6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8.5" customHeight="1" x14ac:dyDescent="0.6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8.5" customHeight="1" x14ac:dyDescent="0.6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8.5" customHeight="1" x14ac:dyDescent="0.6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8.5" customHeight="1" x14ac:dyDescent="0.6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8.5" customHeight="1" x14ac:dyDescent="0.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8.5" customHeight="1" x14ac:dyDescent="0.6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8.5" customHeight="1" x14ac:dyDescent="0.6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8.5" customHeight="1" x14ac:dyDescent="0.6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8.5" customHeight="1" x14ac:dyDescent="0.6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8.5" customHeight="1" x14ac:dyDescent="0.6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8.5" customHeight="1" x14ac:dyDescent="0.6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8.5" customHeight="1" x14ac:dyDescent="0.6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8.5" customHeight="1" x14ac:dyDescent="0.6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8.5" customHeight="1" x14ac:dyDescent="0.6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8.5" customHeight="1" x14ac:dyDescent="0.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8.5" customHeight="1" x14ac:dyDescent="0.6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8.5" customHeight="1" x14ac:dyDescent="0.6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8.5" customHeight="1" x14ac:dyDescent="0.6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8.5" customHeight="1" x14ac:dyDescent="0.6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8.5" customHeight="1" x14ac:dyDescent="0.6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8.5" customHeight="1" x14ac:dyDescent="0.6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8.5" customHeight="1" x14ac:dyDescent="0.6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8.5" customHeight="1" x14ac:dyDescent="0.6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8.5" customHeight="1" x14ac:dyDescent="0.6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8.5" customHeight="1" x14ac:dyDescent="0.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8.5" customHeight="1" x14ac:dyDescent="0.6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8.5" customHeight="1" x14ac:dyDescent="0.6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8.5" customHeight="1" x14ac:dyDescent="0.6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8.5" customHeight="1" x14ac:dyDescent="0.6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8.5" customHeight="1" x14ac:dyDescent="0.6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8.5" customHeight="1" x14ac:dyDescent="0.6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8.5" customHeight="1" x14ac:dyDescent="0.6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8.5" customHeight="1" x14ac:dyDescent="0.6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8.5" customHeight="1" x14ac:dyDescent="0.6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8.5" customHeight="1" x14ac:dyDescent="0.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8.5" customHeight="1" x14ac:dyDescent="0.6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8.5" customHeight="1" x14ac:dyDescent="0.6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8.5" customHeight="1" x14ac:dyDescent="0.6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8.5" customHeight="1" x14ac:dyDescent="0.6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8.5" customHeight="1" x14ac:dyDescent="0.6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8.5" customHeight="1" x14ac:dyDescent="0.6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8.5" customHeight="1" x14ac:dyDescent="0.6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8.5" customHeight="1" x14ac:dyDescent="0.6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8.5" customHeight="1" x14ac:dyDescent="0.6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8.5" customHeight="1" x14ac:dyDescent="0.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8.5" customHeight="1" x14ac:dyDescent="0.6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8.5" customHeight="1" x14ac:dyDescent="0.6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8.5" customHeight="1" x14ac:dyDescent="0.6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8.5" customHeight="1" x14ac:dyDescent="0.6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8.5" customHeight="1" x14ac:dyDescent="0.6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8.5" customHeight="1" x14ac:dyDescent="0.6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8.5" customHeight="1" x14ac:dyDescent="0.6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8.5" customHeight="1" x14ac:dyDescent="0.6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8.5" customHeight="1" x14ac:dyDescent="0.6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8.5" customHeight="1" x14ac:dyDescent="0.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8.5" customHeight="1" x14ac:dyDescent="0.6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8.5" customHeight="1" x14ac:dyDescent="0.6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8.5" customHeight="1" x14ac:dyDescent="0.6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8.5" customHeight="1" x14ac:dyDescent="0.6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8.5" customHeight="1" x14ac:dyDescent="0.6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8.5" customHeight="1" x14ac:dyDescent="0.6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8.5" customHeight="1" x14ac:dyDescent="0.6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8.5" customHeight="1" x14ac:dyDescent="0.6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8.5" customHeight="1" x14ac:dyDescent="0.6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8.5" customHeight="1" x14ac:dyDescent="0.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8.5" customHeight="1" x14ac:dyDescent="0.6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8.5" customHeight="1" x14ac:dyDescent="0.6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8.5" customHeight="1" x14ac:dyDescent="0.6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8.5" customHeight="1" x14ac:dyDescent="0.6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8.5" customHeight="1" x14ac:dyDescent="0.6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8.5" customHeight="1" x14ac:dyDescent="0.6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8.5" customHeight="1" x14ac:dyDescent="0.6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8.5" customHeight="1" x14ac:dyDescent="0.6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8.5" customHeight="1" x14ac:dyDescent="0.6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8.5" customHeight="1" x14ac:dyDescent="0.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8.5" customHeight="1" x14ac:dyDescent="0.6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8.5" customHeight="1" x14ac:dyDescent="0.6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8.5" customHeight="1" x14ac:dyDescent="0.6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8.5" customHeight="1" x14ac:dyDescent="0.6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8.5" customHeight="1" x14ac:dyDescent="0.6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8.5" customHeight="1" x14ac:dyDescent="0.6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8.5" customHeight="1" x14ac:dyDescent="0.6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8.5" customHeight="1" x14ac:dyDescent="0.6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8.5" customHeight="1" x14ac:dyDescent="0.6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8.5" customHeight="1" x14ac:dyDescent="0.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8.5" customHeight="1" x14ac:dyDescent="0.6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8.5" customHeight="1" x14ac:dyDescent="0.6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8.5" customHeight="1" x14ac:dyDescent="0.6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8.5" customHeight="1" x14ac:dyDescent="0.6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8.5" customHeight="1" x14ac:dyDescent="0.6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8.5" customHeight="1" x14ac:dyDescent="0.6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8.5" customHeight="1" x14ac:dyDescent="0.6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8.5" customHeight="1" x14ac:dyDescent="0.6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8.5" customHeight="1" x14ac:dyDescent="0.6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8.5" customHeight="1" x14ac:dyDescent="0.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8.5" customHeight="1" x14ac:dyDescent="0.6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8.5" customHeight="1" x14ac:dyDescent="0.6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8.5" customHeight="1" x14ac:dyDescent="0.6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8.5" customHeight="1" x14ac:dyDescent="0.6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8.5" customHeight="1" x14ac:dyDescent="0.6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8.5" customHeight="1" x14ac:dyDescent="0.6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8.5" customHeight="1" x14ac:dyDescent="0.6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8.5" customHeight="1" x14ac:dyDescent="0.6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8.5" customHeight="1" x14ac:dyDescent="0.6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8.5" customHeight="1" x14ac:dyDescent="0.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8.5" customHeight="1" x14ac:dyDescent="0.6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8.5" customHeight="1" x14ac:dyDescent="0.6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8.5" customHeight="1" x14ac:dyDescent="0.6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8.5" customHeight="1" x14ac:dyDescent="0.6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8.5" customHeight="1" x14ac:dyDescent="0.6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8.5" customHeight="1" x14ac:dyDescent="0.6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8.5" customHeight="1" x14ac:dyDescent="0.6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8.5" customHeight="1" x14ac:dyDescent="0.6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8.5" customHeight="1" x14ac:dyDescent="0.6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8.5" customHeight="1" x14ac:dyDescent="0.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8.5" customHeight="1" x14ac:dyDescent="0.6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8.5" customHeight="1" x14ac:dyDescent="0.6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8.5" customHeight="1" x14ac:dyDescent="0.6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8.5" customHeight="1" x14ac:dyDescent="0.6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8.5" customHeight="1" x14ac:dyDescent="0.6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8.5" customHeight="1" x14ac:dyDescent="0.6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8.5" customHeight="1" x14ac:dyDescent="0.6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8.5" customHeight="1" x14ac:dyDescent="0.6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8.5" customHeight="1" x14ac:dyDescent="0.6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8.5" customHeight="1" x14ac:dyDescent="0.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8.5" customHeight="1" x14ac:dyDescent="0.6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8.5" customHeight="1" x14ac:dyDescent="0.6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8.5" customHeight="1" x14ac:dyDescent="0.6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8.5" customHeight="1" x14ac:dyDescent="0.6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8.5" customHeight="1" x14ac:dyDescent="0.6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8.5" customHeight="1" x14ac:dyDescent="0.6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8.5" customHeight="1" x14ac:dyDescent="0.6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8.5" customHeight="1" x14ac:dyDescent="0.6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8.5" customHeight="1" x14ac:dyDescent="0.6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8.5" customHeight="1" x14ac:dyDescent="0.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8.5" customHeight="1" x14ac:dyDescent="0.6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8.5" customHeight="1" x14ac:dyDescent="0.6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8.5" customHeight="1" x14ac:dyDescent="0.6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8.5" customHeight="1" x14ac:dyDescent="0.6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8.5" customHeight="1" x14ac:dyDescent="0.6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8.5" customHeight="1" x14ac:dyDescent="0.6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8.5" customHeight="1" x14ac:dyDescent="0.6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8.5" customHeight="1" x14ac:dyDescent="0.6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8.5" customHeight="1" x14ac:dyDescent="0.6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8.5" customHeight="1" x14ac:dyDescent="0.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8.5" customHeight="1" x14ac:dyDescent="0.6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8.5" customHeight="1" x14ac:dyDescent="0.6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8.5" customHeight="1" x14ac:dyDescent="0.6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8.5" customHeight="1" x14ac:dyDescent="0.6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8.5" customHeight="1" x14ac:dyDescent="0.6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8.5" customHeight="1" x14ac:dyDescent="0.6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8.5" customHeight="1" x14ac:dyDescent="0.6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8.5" customHeight="1" x14ac:dyDescent="0.6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8.5" customHeight="1" x14ac:dyDescent="0.6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8.5" customHeight="1" x14ac:dyDescent="0.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8.5" customHeight="1" x14ac:dyDescent="0.6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8.5" customHeight="1" x14ac:dyDescent="0.6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8.5" customHeight="1" x14ac:dyDescent="0.6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8.5" customHeight="1" x14ac:dyDescent="0.6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8.5" customHeight="1" x14ac:dyDescent="0.6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8.5" customHeight="1" x14ac:dyDescent="0.6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8.5" customHeight="1" x14ac:dyDescent="0.6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8.5" customHeight="1" x14ac:dyDescent="0.6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8.5" customHeight="1" x14ac:dyDescent="0.6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8.5" customHeight="1" x14ac:dyDescent="0.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8.5" customHeight="1" x14ac:dyDescent="0.6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8.5" customHeight="1" x14ac:dyDescent="0.6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8.5" customHeight="1" x14ac:dyDescent="0.6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8.5" customHeight="1" x14ac:dyDescent="0.6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8.5" customHeight="1" x14ac:dyDescent="0.6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8.5" customHeight="1" x14ac:dyDescent="0.6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8.5" customHeight="1" x14ac:dyDescent="0.6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8.5" customHeight="1" x14ac:dyDescent="0.6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8.5" customHeight="1" x14ac:dyDescent="0.6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8.5" customHeight="1" x14ac:dyDescent="0.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8.5" customHeight="1" x14ac:dyDescent="0.6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8.5" customHeight="1" x14ac:dyDescent="0.6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8.5" customHeight="1" x14ac:dyDescent="0.6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8.5" customHeight="1" x14ac:dyDescent="0.6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8.5" customHeight="1" x14ac:dyDescent="0.6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8.5" customHeight="1" x14ac:dyDescent="0.6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8.5" customHeight="1" x14ac:dyDescent="0.6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8.5" customHeight="1" x14ac:dyDescent="0.6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8.5" customHeight="1" x14ac:dyDescent="0.6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8.5" customHeight="1" x14ac:dyDescent="0.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8.5" customHeight="1" x14ac:dyDescent="0.6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8.5" customHeight="1" x14ac:dyDescent="0.6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8.5" customHeight="1" x14ac:dyDescent="0.6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8.5" customHeight="1" x14ac:dyDescent="0.6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8.5" customHeight="1" x14ac:dyDescent="0.6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8.5" customHeight="1" x14ac:dyDescent="0.6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8.5" customHeight="1" x14ac:dyDescent="0.6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8.5" customHeight="1" x14ac:dyDescent="0.6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8.5" customHeight="1" x14ac:dyDescent="0.6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8.5" customHeight="1" x14ac:dyDescent="0.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8.5" customHeight="1" x14ac:dyDescent="0.6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8.5" customHeight="1" x14ac:dyDescent="0.6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8.5" customHeight="1" x14ac:dyDescent="0.6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8.5" customHeight="1" x14ac:dyDescent="0.6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8.5" customHeight="1" x14ac:dyDescent="0.6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8.5" customHeight="1" x14ac:dyDescent="0.6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8.5" customHeight="1" x14ac:dyDescent="0.6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8.5" customHeight="1" x14ac:dyDescent="0.6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8.5" customHeight="1" x14ac:dyDescent="0.6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8.5" customHeight="1" x14ac:dyDescent="0.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8.5" customHeight="1" x14ac:dyDescent="0.6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8.5" customHeight="1" x14ac:dyDescent="0.6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8.5" customHeight="1" x14ac:dyDescent="0.6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8.5" customHeight="1" x14ac:dyDescent="0.6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8.5" customHeight="1" x14ac:dyDescent="0.6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8.5" customHeight="1" x14ac:dyDescent="0.6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8.5" customHeight="1" x14ac:dyDescent="0.6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8.5" customHeight="1" x14ac:dyDescent="0.6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8.5" customHeight="1" x14ac:dyDescent="0.6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8.5" customHeight="1" x14ac:dyDescent="0.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8.5" customHeight="1" x14ac:dyDescent="0.6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8.5" customHeight="1" x14ac:dyDescent="0.6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8.5" customHeight="1" x14ac:dyDescent="0.6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8.5" customHeight="1" x14ac:dyDescent="0.6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8.5" customHeight="1" x14ac:dyDescent="0.6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8.5" customHeight="1" x14ac:dyDescent="0.6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8.5" customHeight="1" x14ac:dyDescent="0.6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8.5" customHeight="1" x14ac:dyDescent="0.6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8.5" customHeight="1" x14ac:dyDescent="0.6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8.5" customHeight="1" x14ac:dyDescent="0.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8.5" customHeight="1" x14ac:dyDescent="0.6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8.5" customHeight="1" x14ac:dyDescent="0.6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8.5" customHeight="1" x14ac:dyDescent="0.6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8.5" customHeight="1" x14ac:dyDescent="0.6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8.5" customHeight="1" x14ac:dyDescent="0.6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8.5" customHeight="1" x14ac:dyDescent="0.6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8.5" customHeight="1" x14ac:dyDescent="0.6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8.5" customHeight="1" x14ac:dyDescent="0.6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8.5" customHeight="1" x14ac:dyDescent="0.6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8.5" customHeight="1" x14ac:dyDescent="0.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8.5" customHeight="1" x14ac:dyDescent="0.6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8.5" customHeight="1" x14ac:dyDescent="0.6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8.5" customHeight="1" x14ac:dyDescent="0.6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8.5" customHeight="1" x14ac:dyDescent="0.6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8.5" customHeight="1" x14ac:dyDescent="0.6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8.5" customHeight="1" x14ac:dyDescent="0.6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8.5" customHeight="1" x14ac:dyDescent="0.6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8.5" customHeight="1" x14ac:dyDescent="0.6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8.5" customHeight="1" x14ac:dyDescent="0.6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8.5" customHeight="1" x14ac:dyDescent="0.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8.5" customHeight="1" x14ac:dyDescent="0.6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8.5" customHeight="1" x14ac:dyDescent="0.6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8.5" customHeight="1" x14ac:dyDescent="0.6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8.5" customHeight="1" x14ac:dyDescent="0.6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8.5" customHeight="1" x14ac:dyDescent="0.6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8.5" customHeight="1" x14ac:dyDescent="0.6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8.5" customHeight="1" x14ac:dyDescent="0.6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8.5" customHeight="1" x14ac:dyDescent="0.6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8.5" customHeight="1" x14ac:dyDescent="0.6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8.5" customHeight="1" x14ac:dyDescent="0.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8.5" customHeight="1" x14ac:dyDescent="0.6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8.5" customHeight="1" x14ac:dyDescent="0.6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8.5" customHeight="1" x14ac:dyDescent="0.6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8.5" customHeight="1" x14ac:dyDescent="0.6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8.5" customHeight="1" x14ac:dyDescent="0.6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8.5" customHeight="1" x14ac:dyDescent="0.6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8.5" customHeight="1" x14ac:dyDescent="0.6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8.5" customHeight="1" x14ac:dyDescent="0.6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8.5" customHeight="1" x14ac:dyDescent="0.6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8.5" customHeight="1" x14ac:dyDescent="0.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8.5" customHeight="1" x14ac:dyDescent="0.6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8.5" customHeight="1" x14ac:dyDescent="0.6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8.5" customHeight="1" x14ac:dyDescent="0.6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8.5" customHeight="1" x14ac:dyDescent="0.6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8.5" customHeight="1" x14ac:dyDescent="0.6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8.5" customHeight="1" x14ac:dyDescent="0.6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8.5" customHeight="1" x14ac:dyDescent="0.6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8.5" customHeight="1" x14ac:dyDescent="0.6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8.5" customHeight="1" x14ac:dyDescent="0.6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8.5" customHeight="1" x14ac:dyDescent="0.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8.5" customHeight="1" x14ac:dyDescent="0.6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8.5" customHeight="1" x14ac:dyDescent="0.6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8.5" customHeight="1" x14ac:dyDescent="0.6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8.5" customHeight="1" x14ac:dyDescent="0.6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8.5" customHeight="1" x14ac:dyDescent="0.6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8.5" customHeight="1" x14ac:dyDescent="0.6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8.5" customHeight="1" x14ac:dyDescent="0.6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8.5" customHeight="1" x14ac:dyDescent="0.6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8.5" customHeight="1" x14ac:dyDescent="0.6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8.5" customHeight="1" x14ac:dyDescent="0.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8.5" customHeight="1" x14ac:dyDescent="0.6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8.5" customHeight="1" x14ac:dyDescent="0.6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8.5" customHeight="1" x14ac:dyDescent="0.6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8.5" customHeight="1" x14ac:dyDescent="0.6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8.5" customHeight="1" x14ac:dyDescent="0.6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8.5" customHeight="1" x14ac:dyDescent="0.6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8.5" customHeight="1" x14ac:dyDescent="0.6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8.5" customHeight="1" x14ac:dyDescent="0.6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8.5" customHeight="1" x14ac:dyDescent="0.6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8.5" customHeight="1" x14ac:dyDescent="0.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8.5" customHeight="1" x14ac:dyDescent="0.6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8.5" customHeight="1" x14ac:dyDescent="0.6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8.5" customHeight="1" x14ac:dyDescent="0.6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8.5" customHeight="1" x14ac:dyDescent="0.6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8.5" customHeight="1" x14ac:dyDescent="0.6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8.5" customHeight="1" x14ac:dyDescent="0.6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8.5" customHeight="1" x14ac:dyDescent="0.6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8.5" customHeight="1" x14ac:dyDescent="0.6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8.5" customHeight="1" x14ac:dyDescent="0.6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8.5" customHeight="1" x14ac:dyDescent="0.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8.5" customHeight="1" x14ac:dyDescent="0.6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8.5" customHeight="1" x14ac:dyDescent="0.6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8.5" customHeight="1" x14ac:dyDescent="0.6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8.5" customHeight="1" x14ac:dyDescent="0.6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8.5" customHeight="1" x14ac:dyDescent="0.6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8.5" customHeight="1" x14ac:dyDescent="0.6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8.5" customHeight="1" x14ac:dyDescent="0.6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8.5" customHeight="1" x14ac:dyDescent="0.6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8.5" customHeight="1" x14ac:dyDescent="0.6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8.5" customHeight="1" x14ac:dyDescent="0.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8.5" customHeight="1" x14ac:dyDescent="0.6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8.5" customHeight="1" x14ac:dyDescent="0.6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8.5" customHeight="1" x14ac:dyDescent="0.6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8.5" customHeight="1" x14ac:dyDescent="0.6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8.5" customHeight="1" x14ac:dyDescent="0.6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8.5" customHeight="1" x14ac:dyDescent="0.6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8.5" customHeight="1" x14ac:dyDescent="0.6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8.5" customHeight="1" x14ac:dyDescent="0.6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8.5" customHeight="1" x14ac:dyDescent="0.6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8.5" customHeight="1" x14ac:dyDescent="0.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8.5" customHeight="1" x14ac:dyDescent="0.6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8.5" customHeight="1" x14ac:dyDescent="0.6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8.5" customHeight="1" x14ac:dyDescent="0.6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8.5" customHeight="1" x14ac:dyDescent="0.6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8.5" customHeight="1" x14ac:dyDescent="0.6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8.5" customHeight="1" x14ac:dyDescent="0.6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8.5" customHeight="1" x14ac:dyDescent="0.6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8.5" customHeight="1" x14ac:dyDescent="0.6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8.5" customHeight="1" x14ac:dyDescent="0.6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8.5" customHeight="1" x14ac:dyDescent="0.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8.5" customHeight="1" x14ac:dyDescent="0.6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8.5" customHeight="1" x14ac:dyDescent="0.6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8.5" customHeight="1" x14ac:dyDescent="0.6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8.5" customHeight="1" x14ac:dyDescent="0.6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8.5" customHeight="1" x14ac:dyDescent="0.6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8.5" customHeight="1" x14ac:dyDescent="0.6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8.5" customHeight="1" x14ac:dyDescent="0.6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8.5" customHeight="1" x14ac:dyDescent="0.6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8.5" customHeight="1" x14ac:dyDescent="0.6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8.5" customHeight="1" x14ac:dyDescent="0.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8.5" customHeight="1" x14ac:dyDescent="0.6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8.5" customHeight="1" x14ac:dyDescent="0.6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8.5" customHeight="1" x14ac:dyDescent="0.6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8.5" customHeight="1" x14ac:dyDescent="0.6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8.5" customHeight="1" x14ac:dyDescent="0.6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8.5" customHeight="1" x14ac:dyDescent="0.6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8.5" customHeight="1" x14ac:dyDescent="0.6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8.5" customHeight="1" x14ac:dyDescent="0.6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8.5" customHeight="1" x14ac:dyDescent="0.6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8.5" customHeight="1" x14ac:dyDescent="0.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8.5" customHeight="1" x14ac:dyDescent="0.6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8.5" customHeight="1" x14ac:dyDescent="0.6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8.5" customHeight="1" x14ac:dyDescent="0.6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8.5" customHeight="1" x14ac:dyDescent="0.6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8.5" customHeight="1" x14ac:dyDescent="0.6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8.5" customHeight="1" x14ac:dyDescent="0.6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8.5" customHeight="1" x14ac:dyDescent="0.6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8.5" customHeight="1" x14ac:dyDescent="0.6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8.5" customHeight="1" x14ac:dyDescent="0.6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8.5" customHeight="1" x14ac:dyDescent="0.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8.5" customHeight="1" x14ac:dyDescent="0.6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8.5" customHeight="1" x14ac:dyDescent="0.6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8.5" customHeight="1" x14ac:dyDescent="0.6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8.5" customHeight="1" x14ac:dyDescent="0.6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8.5" customHeight="1" x14ac:dyDescent="0.6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8.5" customHeight="1" x14ac:dyDescent="0.6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8.5" customHeight="1" x14ac:dyDescent="0.6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8.5" customHeight="1" x14ac:dyDescent="0.6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8.5" customHeight="1" x14ac:dyDescent="0.6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8.5" customHeight="1" x14ac:dyDescent="0.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8.5" customHeight="1" x14ac:dyDescent="0.6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8.5" customHeight="1" x14ac:dyDescent="0.6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8.5" customHeight="1" x14ac:dyDescent="0.6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8.5" customHeight="1" x14ac:dyDescent="0.6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8.5" customHeight="1" x14ac:dyDescent="0.6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8.5" customHeight="1" x14ac:dyDescent="0.6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8.5" customHeight="1" x14ac:dyDescent="0.6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8.5" customHeight="1" x14ac:dyDescent="0.6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8.5" customHeight="1" x14ac:dyDescent="0.6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8.5" customHeight="1" x14ac:dyDescent="0.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8.5" customHeight="1" x14ac:dyDescent="0.6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8.5" customHeight="1" x14ac:dyDescent="0.6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8.5" customHeight="1" x14ac:dyDescent="0.6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8.5" customHeight="1" x14ac:dyDescent="0.6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8.5" customHeight="1" x14ac:dyDescent="0.6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8.5" customHeight="1" x14ac:dyDescent="0.6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8.5" customHeight="1" x14ac:dyDescent="0.6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8.5" customHeight="1" x14ac:dyDescent="0.6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8.5" customHeight="1" x14ac:dyDescent="0.6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8.5" customHeight="1" x14ac:dyDescent="0.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8.5" customHeight="1" x14ac:dyDescent="0.6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8.5" customHeight="1" x14ac:dyDescent="0.6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8.5" customHeight="1" x14ac:dyDescent="0.6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8.5" customHeight="1" x14ac:dyDescent="0.6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8.5" customHeight="1" x14ac:dyDescent="0.6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8.5" customHeight="1" x14ac:dyDescent="0.6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8.5" customHeight="1" x14ac:dyDescent="0.6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8.5" customHeight="1" x14ac:dyDescent="0.6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8.5" customHeight="1" x14ac:dyDescent="0.6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8.5" customHeight="1" x14ac:dyDescent="0.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8.5" customHeight="1" x14ac:dyDescent="0.6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8.5" customHeight="1" x14ac:dyDescent="0.6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8.5" customHeight="1" x14ac:dyDescent="0.6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8.5" customHeight="1" x14ac:dyDescent="0.6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8.5" customHeight="1" x14ac:dyDescent="0.6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8.5" customHeight="1" x14ac:dyDescent="0.6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8.5" customHeight="1" x14ac:dyDescent="0.6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8.5" customHeight="1" x14ac:dyDescent="0.6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8.5" customHeight="1" x14ac:dyDescent="0.6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8.5" customHeight="1" x14ac:dyDescent="0.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8.5" customHeight="1" x14ac:dyDescent="0.6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8.5" customHeight="1" x14ac:dyDescent="0.6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8.5" customHeight="1" x14ac:dyDescent="0.6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8.5" customHeight="1" x14ac:dyDescent="0.6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8.5" customHeight="1" x14ac:dyDescent="0.6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8.5" customHeight="1" x14ac:dyDescent="0.6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8.5" customHeight="1" x14ac:dyDescent="0.6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8.5" customHeight="1" x14ac:dyDescent="0.6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8.5" customHeight="1" x14ac:dyDescent="0.6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8.5" customHeight="1" x14ac:dyDescent="0.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8.5" customHeight="1" x14ac:dyDescent="0.6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8.5" customHeight="1" x14ac:dyDescent="0.6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8.5" customHeight="1" x14ac:dyDescent="0.6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8.5" customHeight="1" x14ac:dyDescent="0.6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8.5" customHeight="1" x14ac:dyDescent="0.6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8.5" customHeight="1" x14ac:dyDescent="0.6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8.5" customHeight="1" x14ac:dyDescent="0.6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8.5" customHeight="1" x14ac:dyDescent="0.6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8.5" customHeight="1" x14ac:dyDescent="0.6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8.5" customHeight="1" x14ac:dyDescent="0.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8.5" customHeight="1" x14ac:dyDescent="0.6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8.5" customHeight="1" x14ac:dyDescent="0.6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8.5" customHeight="1" x14ac:dyDescent="0.6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8.5" customHeight="1" x14ac:dyDescent="0.6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8.5" customHeight="1" x14ac:dyDescent="0.6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8.5" customHeight="1" x14ac:dyDescent="0.6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8.5" customHeight="1" x14ac:dyDescent="0.6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8.5" customHeight="1" x14ac:dyDescent="0.6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8.5" customHeight="1" x14ac:dyDescent="0.6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8.5" customHeight="1" x14ac:dyDescent="0.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8.5" customHeight="1" x14ac:dyDescent="0.6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8.5" customHeight="1" x14ac:dyDescent="0.6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8.5" customHeight="1" x14ac:dyDescent="0.6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8.5" customHeight="1" x14ac:dyDescent="0.6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8.5" customHeight="1" x14ac:dyDescent="0.6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8.5" customHeight="1" x14ac:dyDescent="0.6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8.5" customHeight="1" x14ac:dyDescent="0.6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8.5" customHeight="1" x14ac:dyDescent="0.6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8.5" customHeight="1" x14ac:dyDescent="0.6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8.5" customHeight="1" x14ac:dyDescent="0.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8.5" customHeight="1" x14ac:dyDescent="0.6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8.5" customHeight="1" x14ac:dyDescent="0.6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8.5" customHeight="1" x14ac:dyDescent="0.6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8.5" customHeight="1" x14ac:dyDescent="0.6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8.5" customHeight="1" x14ac:dyDescent="0.6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8.5" customHeight="1" x14ac:dyDescent="0.6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8.5" customHeight="1" x14ac:dyDescent="0.6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8.5" customHeight="1" x14ac:dyDescent="0.6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8.5" customHeight="1" x14ac:dyDescent="0.6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8.5" customHeight="1" x14ac:dyDescent="0.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8.5" customHeight="1" x14ac:dyDescent="0.6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8.5" customHeight="1" x14ac:dyDescent="0.6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8.5" customHeight="1" x14ac:dyDescent="0.6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8.5" customHeight="1" x14ac:dyDescent="0.6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8.5" customHeight="1" x14ac:dyDescent="0.6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8.5" customHeight="1" x14ac:dyDescent="0.6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8.5" customHeight="1" x14ac:dyDescent="0.6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8.5" customHeight="1" x14ac:dyDescent="0.6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8.5" customHeight="1" x14ac:dyDescent="0.6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8.5" customHeight="1" x14ac:dyDescent="0.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8.5" customHeight="1" x14ac:dyDescent="0.6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8.5" customHeight="1" x14ac:dyDescent="0.6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8.5" customHeight="1" x14ac:dyDescent="0.6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8.5" customHeight="1" x14ac:dyDescent="0.6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8.5" customHeight="1" x14ac:dyDescent="0.6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8.5" customHeight="1" x14ac:dyDescent="0.6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8.5" customHeight="1" x14ac:dyDescent="0.6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8.5" customHeight="1" x14ac:dyDescent="0.6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8.5" customHeight="1" x14ac:dyDescent="0.6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8.5" customHeight="1" x14ac:dyDescent="0.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8.5" customHeight="1" x14ac:dyDescent="0.6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8.5" customHeight="1" x14ac:dyDescent="0.6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8.5" customHeight="1" x14ac:dyDescent="0.6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8.5" customHeight="1" x14ac:dyDescent="0.6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8.5" customHeight="1" x14ac:dyDescent="0.6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8.5" customHeight="1" x14ac:dyDescent="0.6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8.5" customHeight="1" x14ac:dyDescent="0.6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8.5" customHeight="1" x14ac:dyDescent="0.6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8.5" customHeight="1" x14ac:dyDescent="0.6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8.5" customHeight="1" x14ac:dyDescent="0.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8.5" customHeight="1" x14ac:dyDescent="0.6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8.5" customHeight="1" x14ac:dyDescent="0.6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8.5" customHeight="1" x14ac:dyDescent="0.6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8.5" customHeight="1" x14ac:dyDescent="0.6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8.5" customHeight="1" x14ac:dyDescent="0.6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8.5" customHeight="1" x14ac:dyDescent="0.6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8.5" customHeight="1" x14ac:dyDescent="0.6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8.5" customHeight="1" x14ac:dyDescent="0.6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8.5" customHeight="1" x14ac:dyDescent="0.6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8.5" customHeight="1" x14ac:dyDescent="0.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8.5" customHeight="1" x14ac:dyDescent="0.6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8.5" customHeight="1" x14ac:dyDescent="0.6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8.5" customHeight="1" x14ac:dyDescent="0.6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8.5" customHeight="1" x14ac:dyDescent="0.6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8.5" customHeight="1" x14ac:dyDescent="0.6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8.5" customHeight="1" x14ac:dyDescent="0.6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8.5" customHeight="1" x14ac:dyDescent="0.6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8.5" customHeight="1" x14ac:dyDescent="0.6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8.5" customHeight="1" x14ac:dyDescent="0.6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8.5" customHeight="1" x14ac:dyDescent="0.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8.5" customHeight="1" x14ac:dyDescent="0.6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8.5" customHeight="1" x14ac:dyDescent="0.6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8.5" customHeight="1" x14ac:dyDescent="0.6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8.5" customHeight="1" x14ac:dyDescent="0.6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8.5" customHeight="1" x14ac:dyDescent="0.6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8.5" customHeight="1" x14ac:dyDescent="0.6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8.5" customHeight="1" x14ac:dyDescent="0.6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8.5" customHeight="1" x14ac:dyDescent="0.6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8.5" customHeight="1" x14ac:dyDescent="0.6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8.5" customHeight="1" x14ac:dyDescent="0.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8.5" customHeight="1" x14ac:dyDescent="0.6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8.5" customHeight="1" x14ac:dyDescent="0.6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8.5" customHeight="1" x14ac:dyDescent="0.6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8.5" customHeight="1" x14ac:dyDescent="0.6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8.5" customHeight="1" x14ac:dyDescent="0.6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8.5" customHeight="1" x14ac:dyDescent="0.6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8.5" customHeight="1" x14ac:dyDescent="0.6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8.5" customHeight="1" x14ac:dyDescent="0.6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8.5" customHeight="1" x14ac:dyDescent="0.6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8.5" customHeight="1" x14ac:dyDescent="0.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8.5" customHeight="1" x14ac:dyDescent="0.6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8.5" customHeight="1" x14ac:dyDescent="0.6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8.5" customHeight="1" x14ac:dyDescent="0.6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8.5" customHeight="1" x14ac:dyDescent="0.6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8.5" customHeight="1" x14ac:dyDescent="0.6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8.5" customHeight="1" x14ac:dyDescent="0.6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8.5" customHeight="1" x14ac:dyDescent="0.6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8.5" customHeight="1" x14ac:dyDescent="0.6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8.5" customHeight="1" x14ac:dyDescent="0.6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8.5" customHeight="1" x14ac:dyDescent="0.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8.5" customHeight="1" x14ac:dyDescent="0.6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8.5" customHeight="1" x14ac:dyDescent="0.6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8.5" customHeight="1" x14ac:dyDescent="0.6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8.5" customHeight="1" x14ac:dyDescent="0.6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8.5" customHeight="1" x14ac:dyDescent="0.6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8.5" customHeight="1" x14ac:dyDescent="0.6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8.5" customHeight="1" x14ac:dyDescent="0.6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8.5" customHeight="1" x14ac:dyDescent="0.6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8.5" customHeight="1" x14ac:dyDescent="0.6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8.5" customHeight="1" x14ac:dyDescent="0.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8.5" customHeight="1" x14ac:dyDescent="0.6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8.5" customHeight="1" x14ac:dyDescent="0.6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8.5" customHeight="1" x14ac:dyDescent="0.6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8.5" customHeight="1" x14ac:dyDescent="0.6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8.5" customHeight="1" x14ac:dyDescent="0.6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8.5" customHeight="1" x14ac:dyDescent="0.6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8.5" customHeight="1" x14ac:dyDescent="0.6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8.5" customHeight="1" x14ac:dyDescent="0.6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8.5" customHeight="1" x14ac:dyDescent="0.6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8.5" customHeight="1" x14ac:dyDescent="0.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8.5" customHeight="1" x14ac:dyDescent="0.6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8.5" customHeight="1" x14ac:dyDescent="0.6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8.5" customHeight="1" x14ac:dyDescent="0.6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8.5" customHeight="1" x14ac:dyDescent="0.6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8.5" customHeight="1" x14ac:dyDescent="0.6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8.5" customHeight="1" x14ac:dyDescent="0.6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8.5" customHeight="1" x14ac:dyDescent="0.6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8.5" customHeight="1" x14ac:dyDescent="0.6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8.5" customHeight="1" x14ac:dyDescent="0.6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8.5" customHeight="1" x14ac:dyDescent="0.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8.5" customHeight="1" x14ac:dyDescent="0.6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8.5" customHeight="1" x14ac:dyDescent="0.6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8.5" customHeight="1" x14ac:dyDescent="0.6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8.5" customHeight="1" x14ac:dyDescent="0.6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8.5" customHeight="1" x14ac:dyDescent="0.6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8.5" customHeight="1" x14ac:dyDescent="0.6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8.5" customHeight="1" x14ac:dyDescent="0.6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8.5" customHeight="1" x14ac:dyDescent="0.6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8.5" customHeight="1" x14ac:dyDescent="0.6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8.5" customHeight="1" x14ac:dyDescent="0.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8.5" customHeight="1" x14ac:dyDescent="0.6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8.5" customHeight="1" x14ac:dyDescent="0.6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8.5" customHeight="1" x14ac:dyDescent="0.6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8.5" customHeight="1" x14ac:dyDescent="0.6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8.5" customHeight="1" x14ac:dyDescent="0.6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8.5" customHeight="1" x14ac:dyDescent="0.6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8.5" customHeight="1" x14ac:dyDescent="0.6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8.5" customHeight="1" x14ac:dyDescent="0.6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8.5" customHeight="1" x14ac:dyDescent="0.6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8.5" customHeight="1" x14ac:dyDescent="0.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8.5" customHeight="1" x14ac:dyDescent="0.6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8.5" customHeight="1" x14ac:dyDescent="0.6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8.5" customHeight="1" x14ac:dyDescent="0.6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8.5" customHeight="1" x14ac:dyDescent="0.6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8.5" customHeight="1" x14ac:dyDescent="0.6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8.5" customHeight="1" x14ac:dyDescent="0.6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8.5" customHeight="1" x14ac:dyDescent="0.6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8.5" customHeight="1" x14ac:dyDescent="0.6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8.5" customHeight="1" x14ac:dyDescent="0.6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8.5" customHeight="1" x14ac:dyDescent="0.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8.5" customHeight="1" x14ac:dyDescent="0.6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8.5" customHeight="1" x14ac:dyDescent="0.6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8.5" customHeight="1" x14ac:dyDescent="0.6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8.5" customHeight="1" x14ac:dyDescent="0.6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8.5" customHeight="1" x14ac:dyDescent="0.6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8.5" customHeight="1" x14ac:dyDescent="0.6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8.5" customHeight="1" x14ac:dyDescent="0.6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8.5" customHeight="1" x14ac:dyDescent="0.6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8.5" customHeight="1" x14ac:dyDescent="0.6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8.5" customHeight="1" x14ac:dyDescent="0.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8.5" customHeight="1" x14ac:dyDescent="0.6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8.5" customHeight="1" x14ac:dyDescent="0.6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8.5" customHeight="1" x14ac:dyDescent="0.6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8.5" customHeight="1" x14ac:dyDescent="0.6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8.5" customHeight="1" x14ac:dyDescent="0.6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8.5" customHeight="1" x14ac:dyDescent="0.6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8.5" customHeight="1" x14ac:dyDescent="0.6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8.5" customHeight="1" x14ac:dyDescent="0.6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8.5" customHeight="1" x14ac:dyDescent="0.6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8.5" customHeight="1" x14ac:dyDescent="0.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8.5" customHeight="1" x14ac:dyDescent="0.6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8.5" customHeight="1" x14ac:dyDescent="0.6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8.5" customHeight="1" x14ac:dyDescent="0.6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8.5" customHeight="1" x14ac:dyDescent="0.6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8.5" customHeight="1" x14ac:dyDescent="0.6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8.5" customHeight="1" x14ac:dyDescent="0.6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8.5" customHeight="1" x14ac:dyDescent="0.6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8.5" customHeight="1" x14ac:dyDescent="0.6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8.5" customHeight="1" x14ac:dyDescent="0.6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8.5" customHeight="1" x14ac:dyDescent="0.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8.5" customHeight="1" x14ac:dyDescent="0.6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8.5" customHeight="1" x14ac:dyDescent="0.6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8.5" customHeight="1" x14ac:dyDescent="0.6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8.5" customHeight="1" x14ac:dyDescent="0.6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8.5" customHeight="1" x14ac:dyDescent="0.6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8.5" customHeight="1" x14ac:dyDescent="0.6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8.5" customHeight="1" x14ac:dyDescent="0.6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8.5" customHeight="1" x14ac:dyDescent="0.6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8.5" customHeight="1" x14ac:dyDescent="0.6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8.5" customHeight="1" x14ac:dyDescent="0.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8.5" customHeight="1" x14ac:dyDescent="0.6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8.5" customHeight="1" x14ac:dyDescent="0.6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8.5" customHeight="1" x14ac:dyDescent="0.6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8.5" customHeight="1" x14ac:dyDescent="0.6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8.5" customHeight="1" x14ac:dyDescent="0.6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8.5" customHeight="1" x14ac:dyDescent="0.6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8.5" customHeight="1" x14ac:dyDescent="0.6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8.5" customHeight="1" x14ac:dyDescent="0.6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8.5" customHeight="1" x14ac:dyDescent="0.6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8.5" customHeight="1" x14ac:dyDescent="0.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8.5" customHeight="1" x14ac:dyDescent="0.6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8.5" customHeight="1" x14ac:dyDescent="0.6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8.5" customHeight="1" x14ac:dyDescent="0.6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8.5" customHeight="1" x14ac:dyDescent="0.6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8.5" customHeight="1" x14ac:dyDescent="0.6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8.5" customHeight="1" x14ac:dyDescent="0.6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8.5" customHeight="1" x14ac:dyDescent="0.6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8.5" customHeight="1" x14ac:dyDescent="0.6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8.5" customHeight="1" x14ac:dyDescent="0.6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8.5" customHeight="1" x14ac:dyDescent="0.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8.5" customHeight="1" x14ac:dyDescent="0.6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8.5" customHeight="1" x14ac:dyDescent="0.6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8.5" customHeight="1" x14ac:dyDescent="0.6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8.5" customHeight="1" x14ac:dyDescent="0.6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8.5" customHeight="1" x14ac:dyDescent="0.6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8.5" customHeight="1" x14ac:dyDescent="0.6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8.5" customHeight="1" x14ac:dyDescent="0.6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8.5" customHeight="1" x14ac:dyDescent="0.6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8.5" customHeight="1" x14ac:dyDescent="0.6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8.5" customHeight="1" x14ac:dyDescent="0.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8.5" customHeight="1" x14ac:dyDescent="0.6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8.5" customHeight="1" x14ac:dyDescent="0.6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8.5" customHeight="1" x14ac:dyDescent="0.6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8.5" customHeight="1" x14ac:dyDescent="0.6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8.5" customHeight="1" x14ac:dyDescent="0.6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8.5" customHeight="1" x14ac:dyDescent="0.6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8.5" customHeight="1" x14ac:dyDescent="0.6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8.5" customHeight="1" x14ac:dyDescent="0.6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8.5" customHeight="1" x14ac:dyDescent="0.6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8.5" customHeight="1" x14ac:dyDescent="0.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8.5" customHeight="1" x14ac:dyDescent="0.6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8.5" customHeight="1" x14ac:dyDescent="0.6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8.5" customHeight="1" x14ac:dyDescent="0.6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8.5" customHeight="1" x14ac:dyDescent="0.6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8.5" customHeight="1" x14ac:dyDescent="0.6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8.5" customHeight="1" x14ac:dyDescent="0.6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8.5" customHeight="1" x14ac:dyDescent="0.6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8.5" customHeight="1" x14ac:dyDescent="0.6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8.5" customHeight="1" x14ac:dyDescent="0.6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8.5" customHeight="1" x14ac:dyDescent="0.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8.5" customHeight="1" x14ac:dyDescent="0.6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8.5" customHeight="1" x14ac:dyDescent="0.6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8.5" customHeight="1" x14ac:dyDescent="0.6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28.5" customHeight="1" x14ac:dyDescent="0.6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28.5" customHeight="1" x14ac:dyDescent="0.6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28.5" customHeight="1" x14ac:dyDescent="0.6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28.5" customHeight="1" x14ac:dyDescent="0.6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28.5" customHeight="1" x14ac:dyDescent="0.6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28.5" customHeight="1" x14ac:dyDescent="0.6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28.5" customHeight="1" x14ac:dyDescent="0.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28.5" customHeight="1" x14ac:dyDescent="0.6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28.5" customHeight="1" x14ac:dyDescent="0.6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28.5" customHeight="1" x14ac:dyDescent="0.6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28.5" customHeight="1" x14ac:dyDescent="0.6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28.5" customHeight="1" x14ac:dyDescent="0.6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28.5" customHeight="1" x14ac:dyDescent="0.6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28.5" customHeight="1" x14ac:dyDescent="0.6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28.5" customHeight="1" x14ac:dyDescent="0.6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28.5" customHeight="1" x14ac:dyDescent="0.6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28.5" customHeight="1" x14ac:dyDescent="0.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28.5" customHeight="1" x14ac:dyDescent="0.6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28.5" customHeight="1" x14ac:dyDescent="0.6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28.5" customHeight="1" x14ac:dyDescent="0.6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28.5" customHeight="1" x14ac:dyDescent="0.6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28.5" customHeight="1" x14ac:dyDescent="0.6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28.5" customHeight="1" x14ac:dyDescent="0.6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28.5" customHeight="1" x14ac:dyDescent="0.6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28.5" customHeight="1" x14ac:dyDescent="0.6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28.5" customHeight="1" x14ac:dyDescent="0.6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28.5" customHeight="1" x14ac:dyDescent="0.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28.5" customHeight="1" x14ac:dyDescent="0.6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28.5" customHeight="1" x14ac:dyDescent="0.6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28.5" customHeight="1" x14ac:dyDescent="0.6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28.5" customHeight="1" x14ac:dyDescent="0.6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28.5" customHeight="1" x14ac:dyDescent="0.6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28.5" customHeight="1" x14ac:dyDescent="0.6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28.5" customHeight="1" x14ac:dyDescent="0.6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28.5" customHeight="1" x14ac:dyDescent="0.6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28.5" customHeight="1" x14ac:dyDescent="0.6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28.5" customHeight="1" x14ac:dyDescent="0.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28.5" customHeight="1" x14ac:dyDescent="0.6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28.5" customHeight="1" x14ac:dyDescent="0.6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28.5" customHeight="1" x14ac:dyDescent="0.6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28.5" customHeight="1" x14ac:dyDescent="0.6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28.5" customHeight="1" x14ac:dyDescent="0.6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28.5" customHeight="1" x14ac:dyDescent="0.6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28.5" customHeight="1" x14ac:dyDescent="0.6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28.5" customHeight="1" x14ac:dyDescent="0.6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28.5" customHeight="1" x14ac:dyDescent="0.6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28.5" customHeight="1" x14ac:dyDescent="0.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28.5" customHeight="1" x14ac:dyDescent="0.6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28.5" customHeight="1" x14ac:dyDescent="0.6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28.5" customHeight="1" x14ac:dyDescent="0.6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28.5" customHeight="1" x14ac:dyDescent="0.6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28.5" customHeight="1" x14ac:dyDescent="0.6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28.5" customHeight="1" x14ac:dyDescent="0.6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28.5" customHeight="1" x14ac:dyDescent="0.6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28.5" customHeight="1" x14ac:dyDescent="0.6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28.5" customHeight="1" x14ac:dyDescent="0.6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28.5" customHeight="1" x14ac:dyDescent="0.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28.5" customHeight="1" x14ac:dyDescent="0.6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28.5" customHeight="1" x14ac:dyDescent="0.6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28.5" customHeight="1" x14ac:dyDescent="0.6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28.5" customHeight="1" x14ac:dyDescent="0.6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28.5" customHeight="1" x14ac:dyDescent="0.6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28.5" customHeight="1" x14ac:dyDescent="0.6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28.5" customHeight="1" x14ac:dyDescent="0.6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28.5" customHeight="1" x14ac:dyDescent="0.6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28.5" customHeight="1" x14ac:dyDescent="0.6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28.5" customHeight="1" x14ac:dyDescent="0.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28.5" customHeight="1" x14ac:dyDescent="0.6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28.5" customHeight="1" x14ac:dyDescent="0.6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28.5" customHeight="1" x14ac:dyDescent="0.6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28.5" customHeight="1" x14ac:dyDescent="0.6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28.5" customHeight="1" x14ac:dyDescent="0.6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28.5" customHeight="1" x14ac:dyDescent="0.6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28.5" customHeight="1" x14ac:dyDescent="0.6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28.5" customHeight="1" x14ac:dyDescent="0.6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28.5" customHeight="1" x14ac:dyDescent="0.6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28.5" customHeight="1" x14ac:dyDescent="0.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28.5" customHeight="1" x14ac:dyDescent="0.6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28.5" customHeight="1" x14ac:dyDescent="0.6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28.5" customHeight="1" x14ac:dyDescent="0.6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28.5" customHeight="1" x14ac:dyDescent="0.6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F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5" sqref="I15"/>
    </sheetView>
  </sheetViews>
  <sheetFormatPr defaultColWidth="14.44140625" defaultRowHeight="15" customHeight="1" x14ac:dyDescent="0.3"/>
  <cols>
    <col min="1" max="26" width="8.6640625" customWidth="1"/>
  </cols>
  <sheetData>
    <row r="1" spans="1:5" ht="26.25" customHeight="1" x14ac:dyDescent="0.85">
      <c r="A1" s="41" t="s">
        <v>121</v>
      </c>
    </row>
    <row r="2" spans="1:5" ht="26.25" customHeight="1" x14ac:dyDescent="0.3">
      <c r="A2" s="142" t="s">
        <v>122</v>
      </c>
      <c r="B2" s="115"/>
      <c r="C2" s="115"/>
      <c r="D2" s="115"/>
      <c r="E2" s="115"/>
    </row>
    <row r="3" spans="1:5" ht="26.25" customHeight="1" x14ac:dyDescent="0.6">
      <c r="A3" s="143" t="s">
        <v>0</v>
      </c>
      <c r="B3" s="144" t="s">
        <v>123</v>
      </c>
      <c r="C3" s="115"/>
      <c r="D3" s="115"/>
      <c r="E3" s="115"/>
    </row>
    <row r="4" spans="1:5" ht="26.25" customHeight="1" x14ac:dyDescent="0.6">
      <c r="A4" s="118"/>
      <c r="B4" s="51" t="s">
        <v>5</v>
      </c>
      <c r="C4" s="52" t="s">
        <v>7</v>
      </c>
      <c r="D4" s="53" t="s">
        <v>9</v>
      </c>
      <c r="E4" s="54" t="s">
        <v>13</v>
      </c>
    </row>
    <row r="5" spans="1:5" ht="26.25" customHeight="1" x14ac:dyDescent="0.6">
      <c r="A5" s="55">
        <v>1</v>
      </c>
      <c r="B5" s="11">
        <v>1</v>
      </c>
      <c r="C5" s="11"/>
      <c r="D5" s="11">
        <v>5</v>
      </c>
      <c r="E5" s="11"/>
    </row>
    <row r="6" spans="1:5" ht="26.25" customHeight="1" x14ac:dyDescent="0.6">
      <c r="A6" s="55">
        <v>2</v>
      </c>
      <c r="B6" s="11"/>
      <c r="C6" s="11"/>
      <c r="D6" s="11"/>
      <c r="E6" s="11"/>
    </row>
    <row r="7" spans="1:5" ht="26.25" customHeight="1" x14ac:dyDescent="0.6">
      <c r="A7" s="55">
        <v>3</v>
      </c>
      <c r="B7" s="10"/>
      <c r="C7" s="11"/>
      <c r="D7" s="11"/>
      <c r="E7" s="11"/>
    </row>
    <row r="8" spans="1:5" ht="26.25" customHeight="1" x14ac:dyDescent="0.6">
      <c r="A8" s="55">
        <v>4</v>
      </c>
      <c r="B8" s="11"/>
      <c r="C8" s="11"/>
      <c r="D8" s="11"/>
      <c r="E8" s="11"/>
    </row>
    <row r="9" spans="1:5" ht="26.25" customHeight="1" x14ac:dyDescent="0.6">
      <c r="A9" s="55">
        <v>5</v>
      </c>
      <c r="B9" s="11">
        <v>5</v>
      </c>
      <c r="C9" s="10">
        <v>1</v>
      </c>
      <c r="D9" s="10">
        <v>5</v>
      </c>
      <c r="E9" s="10"/>
    </row>
    <row r="10" spans="1:5" ht="26.25" customHeight="1" x14ac:dyDescent="0.6">
      <c r="A10" s="55">
        <v>6</v>
      </c>
      <c r="B10" s="11">
        <v>2</v>
      </c>
      <c r="C10" s="11"/>
      <c r="D10" s="11"/>
      <c r="E10" s="11">
        <v>6</v>
      </c>
    </row>
    <row r="11" spans="1:5" ht="26.25" customHeight="1" x14ac:dyDescent="0.6">
      <c r="A11" s="55">
        <v>7</v>
      </c>
      <c r="B11" s="11"/>
      <c r="C11" s="11"/>
      <c r="D11" s="11">
        <v>4</v>
      </c>
      <c r="E11" s="10"/>
    </row>
    <row r="12" spans="1:5" ht="26.25" customHeight="1" x14ac:dyDescent="0.6">
      <c r="A12" s="55">
        <v>8</v>
      </c>
      <c r="B12" s="11"/>
      <c r="C12" s="11"/>
      <c r="D12" s="11">
        <v>1</v>
      </c>
      <c r="E12" s="11">
        <v>2</v>
      </c>
    </row>
    <row r="13" spans="1:5" ht="26.25" customHeight="1" x14ac:dyDescent="0.6">
      <c r="A13" s="55">
        <v>9</v>
      </c>
      <c r="B13" s="11"/>
      <c r="C13" s="11"/>
      <c r="D13" s="11">
        <v>1</v>
      </c>
      <c r="E13" s="11">
        <v>2</v>
      </c>
    </row>
    <row r="14" spans="1:5" ht="26.25" customHeight="1" x14ac:dyDescent="0.6">
      <c r="A14" s="55">
        <v>10</v>
      </c>
      <c r="B14" s="11">
        <v>1</v>
      </c>
      <c r="C14" s="11"/>
      <c r="D14" s="11">
        <v>2</v>
      </c>
      <c r="E14" s="11"/>
    </row>
    <row r="15" spans="1:5" ht="26.25" customHeight="1" x14ac:dyDescent="0.6">
      <c r="A15" s="55">
        <v>11</v>
      </c>
      <c r="B15" s="11">
        <v>1</v>
      </c>
      <c r="C15" s="11">
        <v>1</v>
      </c>
      <c r="D15" s="11">
        <v>4</v>
      </c>
      <c r="E15" s="11"/>
    </row>
    <row r="16" spans="1:5" ht="26.25" customHeight="1" x14ac:dyDescent="0.6">
      <c r="A16" s="55">
        <v>12</v>
      </c>
      <c r="B16" s="11">
        <v>1</v>
      </c>
      <c r="C16" s="11">
        <v>1</v>
      </c>
      <c r="D16" s="11">
        <v>4</v>
      </c>
      <c r="E16" s="11"/>
    </row>
    <row r="17" spans="1:5" ht="26.25" customHeight="1" x14ac:dyDescent="0.6">
      <c r="A17" s="55">
        <v>13</v>
      </c>
      <c r="B17" s="11"/>
      <c r="C17" s="11"/>
      <c r="D17" s="11">
        <v>2</v>
      </c>
      <c r="E17" s="11"/>
    </row>
    <row r="18" spans="1:5" ht="26.25" customHeight="1" x14ac:dyDescent="0.6">
      <c r="A18" s="55">
        <v>14</v>
      </c>
      <c r="B18" s="11"/>
      <c r="C18" s="10"/>
      <c r="D18" s="11"/>
      <c r="E18" s="10"/>
    </row>
    <row r="19" spans="1:5" ht="26.25" customHeight="1" x14ac:dyDescent="0.6">
      <c r="A19" s="55">
        <v>15</v>
      </c>
      <c r="B19" s="11">
        <v>1</v>
      </c>
      <c r="C19" s="11"/>
      <c r="D19" s="11"/>
      <c r="E19" s="11">
        <v>2</v>
      </c>
    </row>
    <row r="20" spans="1:5" ht="26.25" customHeight="1" x14ac:dyDescent="0.6">
      <c r="A20" s="55">
        <v>16</v>
      </c>
      <c r="B20" s="10"/>
      <c r="C20" s="11"/>
      <c r="D20" s="11">
        <v>7</v>
      </c>
      <c r="E20" s="11">
        <v>3</v>
      </c>
    </row>
    <row r="21" spans="1:5" ht="26.25" customHeight="1" x14ac:dyDescent="0.6">
      <c r="A21" s="55">
        <v>17</v>
      </c>
      <c r="B21" s="11">
        <v>1</v>
      </c>
      <c r="C21" s="11"/>
      <c r="D21" s="10"/>
      <c r="E21" s="11"/>
    </row>
    <row r="22" spans="1:5" ht="26.25" customHeight="1" x14ac:dyDescent="0.6">
      <c r="A22" s="55">
        <v>18</v>
      </c>
      <c r="B22" s="11">
        <v>2</v>
      </c>
      <c r="C22" s="11">
        <v>1</v>
      </c>
      <c r="D22" s="11"/>
      <c r="E22" s="11"/>
    </row>
    <row r="23" spans="1:5" ht="26.25" customHeight="1" x14ac:dyDescent="0.6">
      <c r="A23" s="55">
        <v>19</v>
      </c>
      <c r="B23" s="11"/>
      <c r="C23" s="10"/>
      <c r="D23" s="10"/>
      <c r="E23" s="11"/>
    </row>
    <row r="24" spans="1:5" ht="26.25" customHeight="1" x14ac:dyDescent="0.6">
      <c r="A24" s="55">
        <v>20</v>
      </c>
      <c r="B24" s="11"/>
      <c r="C24" s="11"/>
      <c r="D24" s="11"/>
      <c r="E24" s="10">
        <v>1</v>
      </c>
    </row>
    <row r="25" spans="1:5" ht="26.25" customHeight="1" x14ac:dyDescent="0.6">
      <c r="A25" s="55">
        <v>21</v>
      </c>
      <c r="B25" s="11"/>
      <c r="C25" s="11"/>
      <c r="D25" s="11">
        <v>6</v>
      </c>
      <c r="E25" s="11"/>
    </row>
    <row r="26" spans="1:5" ht="26.25" customHeight="1" x14ac:dyDescent="0.6">
      <c r="A26" s="55">
        <v>22</v>
      </c>
      <c r="B26" s="11"/>
      <c r="C26" s="11"/>
      <c r="D26" s="11">
        <v>5</v>
      </c>
      <c r="E26" s="11"/>
    </row>
    <row r="27" spans="1:5" ht="26.25" customHeight="1" x14ac:dyDescent="0.6">
      <c r="A27" s="55">
        <v>23</v>
      </c>
      <c r="B27" s="11">
        <v>1</v>
      </c>
      <c r="C27" s="11"/>
      <c r="D27" s="11">
        <v>1</v>
      </c>
      <c r="E27" s="11"/>
    </row>
    <row r="28" spans="1:5" ht="26.25" customHeight="1" x14ac:dyDescent="0.6">
      <c r="A28" s="55">
        <v>24</v>
      </c>
      <c r="B28" s="10"/>
      <c r="C28" s="11"/>
      <c r="D28" s="11"/>
      <c r="E28" s="10"/>
    </row>
    <row r="29" spans="1:5" ht="26.25" customHeight="1" x14ac:dyDescent="0.6">
      <c r="A29" s="55">
        <v>25</v>
      </c>
      <c r="B29" s="11"/>
      <c r="C29" s="10">
        <v>1</v>
      </c>
      <c r="D29" s="10"/>
      <c r="E29" s="11"/>
    </row>
    <row r="30" spans="1:5" ht="26.25" customHeight="1" x14ac:dyDescent="0.6">
      <c r="A30" s="55">
        <v>26</v>
      </c>
      <c r="B30" s="11"/>
      <c r="C30" s="11"/>
      <c r="D30" s="11">
        <v>11</v>
      </c>
      <c r="E30" s="11"/>
    </row>
    <row r="31" spans="1:5" ht="26.25" customHeight="1" x14ac:dyDescent="0.6">
      <c r="A31" s="55">
        <v>27</v>
      </c>
      <c r="B31" s="11">
        <v>1</v>
      </c>
      <c r="C31" s="11"/>
      <c r="D31" s="11"/>
      <c r="E31" s="11"/>
    </row>
    <row r="32" spans="1:5" ht="26.25" customHeight="1" x14ac:dyDescent="0.6">
      <c r="A32" s="55">
        <v>28</v>
      </c>
      <c r="B32" s="11"/>
      <c r="C32" s="11"/>
      <c r="D32" s="11"/>
      <c r="E32" s="11">
        <v>2</v>
      </c>
    </row>
    <row r="33" spans="1:6" ht="26.25" customHeight="1" x14ac:dyDescent="0.6">
      <c r="A33" s="55">
        <v>29</v>
      </c>
      <c r="B33" s="10"/>
      <c r="C33" s="10"/>
      <c r="D33" s="10"/>
      <c r="E33" s="10"/>
    </row>
    <row r="34" spans="1:6" ht="26.25" customHeight="1" x14ac:dyDescent="0.6">
      <c r="A34" s="55">
        <v>30</v>
      </c>
      <c r="D34" s="56"/>
    </row>
    <row r="35" spans="1:6" ht="26.25" customHeight="1" x14ac:dyDescent="0.6">
      <c r="A35" s="55">
        <v>31</v>
      </c>
      <c r="D35" s="57"/>
    </row>
    <row r="36" spans="1:6" ht="26.25" customHeight="1" x14ac:dyDescent="0.7">
      <c r="A36" s="58" t="s">
        <v>63</v>
      </c>
      <c r="B36" s="59">
        <f>SUM(B5:B35)</f>
        <v>17</v>
      </c>
      <c r="C36" s="59">
        <f t="shared" ref="C36:E36" si="0">SUM(C5:C35)</f>
        <v>5</v>
      </c>
      <c r="D36" s="59">
        <f t="shared" si="0"/>
        <v>58</v>
      </c>
      <c r="E36" s="59">
        <f t="shared" si="0"/>
        <v>18</v>
      </c>
      <c r="F36" s="60" t="s">
        <v>1</v>
      </c>
    </row>
    <row r="37" spans="1:6" ht="26.25" customHeight="1" x14ac:dyDescent="0.3"/>
    <row r="38" spans="1:6" ht="26.25" customHeight="1" x14ac:dyDescent="0.3"/>
    <row r="39" spans="1:6" ht="26.25" customHeight="1" x14ac:dyDescent="0.3"/>
    <row r="40" spans="1:6" ht="26.25" customHeight="1" x14ac:dyDescent="0.3"/>
    <row r="41" spans="1:6" ht="26.25" customHeight="1" x14ac:dyDescent="0.3"/>
    <row r="42" spans="1:6" ht="26.25" customHeight="1" x14ac:dyDescent="0.3"/>
    <row r="43" spans="1:6" ht="26.25" customHeight="1" x14ac:dyDescent="0.3"/>
    <row r="44" spans="1:6" ht="26.25" customHeight="1" x14ac:dyDescent="0.3"/>
    <row r="45" spans="1:6" ht="26.25" customHeight="1" x14ac:dyDescent="0.3"/>
    <row r="46" spans="1:6" ht="26.25" customHeight="1" x14ac:dyDescent="0.3"/>
    <row r="47" spans="1:6" ht="26.25" customHeight="1" x14ac:dyDescent="0.3"/>
    <row r="48" spans="1:6" ht="26.25" customHeight="1" x14ac:dyDescent="0.3"/>
    <row r="49" ht="26.25" customHeight="1" x14ac:dyDescent="0.3"/>
    <row r="50" ht="26.25" customHeight="1" x14ac:dyDescent="0.3"/>
    <row r="51" ht="26.25" customHeight="1" x14ac:dyDescent="0.3"/>
    <row r="52" ht="26.25" customHeight="1" x14ac:dyDescent="0.3"/>
    <row r="53" ht="26.25" customHeight="1" x14ac:dyDescent="0.3"/>
    <row r="54" ht="26.25" customHeight="1" x14ac:dyDescent="0.3"/>
    <row r="55" ht="26.25" customHeight="1" x14ac:dyDescent="0.3"/>
    <row r="56" ht="26.25" customHeight="1" x14ac:dyDescent="0.3"/>
    <row r="57" ht="26.25" customHeight="1" x14ac:dyDescent="0.3"/>
    <row r="58" ht="26.25" customHeight="1" x14ac:dyDescent="0.3"/>
    <row r="59" ht="26.25" customHeight="1" x14ac:dyDescent="0.3"/>
    <row r="60" ht="26.25" customHeight="1" x14ac:dyDescent="0.3"/>
    <row r="61" ht="26.25" customHeight="1" x14ac:dyDescent="0.3"/>
    <row r="62" ht="26.25" customHeight="1" x14ac:dyDescent="0.3"/>
    <row r="63" ht="26.25" customHeight="1" x14ac:dyDescent="0.3"/>
    <row r="64" ht="26.25" customHeight="1" x14ac:dyDescent="0.3"/>
    <row r="65" ht="26.25" customHeight="1" x14ac:dyDescent="0.3"/>
    <row r="66" ht="26.25" customHeight="1" x14ac:dyDescent="0.3"/>
    <row r="67" ht="26.25" customHeight="1" x14ac:dyDescent="0.3"/>
    <row r="68" ht="26.25" customHeight="1" x14ac:dyDescent="0.3"/>
    <row r="69" ht="26.25" customHeight="1" x14ac:dyDescent="0.3"/>
    <row r="70" ht="26.25" customHeight="1" x14ac:dyDescent="0.3"/>
    <row r="71" ht="26.25" customHeight="1" x14ac:dyDescent="0.3"/>
    <row r="72" ht="26.25" customHeight="1" x14ac:dyDescent="0.3"/>
    <row r="73" ht="26.25" customHeight="1" x14ac:dyDescent="0.3"/>
    <row r="74" ht="26.25" customHeight="1" x14ac:dyDescent="0.3"/>
    <row r="75" ht="26.25" customHeight="1" x14ac:dyDescent="0.3"/>
    <row r="76" ht="26.25" customHeight="1" x14ac:dyDescent="0.3"/>
    <row r="77" ht="26.25" customHeight="1" x14ac:dyDescent="0.3"/>
    <row r="78" ht="26.25" customHeight="1" x14ac:dyDescent="0.3"/>
    <row r="79" ht="26.25" customHeight="1" x14ac:dyDescent="0.3"/>
    <row r="80" ht="26.25" customHeight="1" x14ac:dyDescent="0.3"/>
    <row r="81" ht="26.25" customHeight="1" x14ac:dyDescent="0.3"/>
    <row r="82" ht="26.25" customHeight="1" x14ac:dyDescent="0.3"/>
    <row r="83" ht="26.25" customHeight="1" x14ac:dyDescent="0.3"/>
    <row r="84" ht="26.25" customHeight="1" x14ac:dyDescent="0.3"/>
    <row r="85" ht="26.25" customHeight="1" x14ac:dyDescent="0.3"/>
    <row r="86" ht="26.25" customHeight="1" x14ac:dyDescent="0.3"/>
    <row r="87" ht="26.25" customHeight="1" x14ac:dyDescent="0.3"/>
    <row r="88" ht="26.25" customHeight="1" x14ac:dyDescent="0.3"/>
    <row r="89" ht="26.25" customHeight="1" x14ac:dyDescent="0.3"/>
    <row r="90" ht="26.25" customHeight="1" x14ac:dyDescent="0.3"/>
    <row r="91" ht="26.25" customHeight="1" x14ac:dyDescent="0.3"/>
    <row r="92" ht="26.25" customHeight="1" x14ac:dyDescent="0.3"/>
    <row r="93" ht="26.25" customHeight="1" x14ac:dyDescent="0.3"/>
    <row r="94" ht="26.25" customHeight="1" x14ac:dyDescent="0.3"/>
    <row r="95" ht="26.25" customHeight="1" x14ac:dyDescent="0.3"/>
    <row r="96" ht="26.25" customHeight="1" x14ac:dyDescent="0.3"/>
    <row r="97" ht="26.25" customHeight="1" x14ac:dyDescent="0.3"/>
    <row r="98" ht="26.25" customHeight="1" x14ac:dyDescent="0.3"/>
    <row r="99" ht="26.25" customHeight="1" x14ac:dyDescent="0.3"/>
    <row r="100" ht="26.25" customHeight="1" x14ac:dyDescent="0.3"/>
    <row r="101" ht="26.25" customHeight="1" x14ac:dyDescent="0.3"/>
    <row r="102" ht="26.25" customHeight="1" x14ac:dyDescent="0.3"/>
    <row r="103" ht="26.25" customHeight="1" x14ac:dyDescent="0.3"/>
    <row r="104" ht="26.25" customHeight="1" x14ac:dyDescent="0.3"/>
    <row r="105" ht="26.25" customHeight="1" x14ac:dyDescent="0.3"/>
    <row r="106" ht="26.25" customHeight="1" x14ac:dyDescent="0.3"/>
    <row r="107" ht="26.25" customHeight="1" x14ac:dyDescent="0.3"/>
    <row r="108" ht="26.25" customHeight="1" x14ac:dyDescent="0.3"/>
    <row r="109" ht="26.25" customHeight="1" x14ac:dyDescent="0.3"/>
    <row r="110" ht="26.25" customHeight="1" x14ac:dyDescent="0.3"/>
    <row r="111" ht="26.25" customHeight="1" x14ac:dyDescent="0.3"/>
    <row r="112" ht="26.25" customHeight="1" x14ac:dyDescent="0.3"/>
    <row r="113" ht="26.25" customHeight="1" x14ac:dyDescent="0.3"/>
    <row r="114" ht="26.25" customHeight="1" x14ac:dyDescent="0.3"/>
    <row r="115" ht="26.25" customHeight="1" x14ac:dyDescent="0.3"/>
    <row r="116" ht="26.25" customHeight="1" x14ac:dyDescent="0.3"/>
    <row r="117" ht="26.25" customHeight="1" x14ac:dyDescent="0.3"/>
    <row r="118" ht="26.25" customHeight="1" x14ac:dyDescent="0.3"/>
    <row r="119" ht="26.25" customHeight="1" x14ac:dyDescent="0.3"/>
    <row r="120" ht="26.25" customHeight="1" x14ac:dyDescent="0.3"/>
    <row r="121" ht="26.25" customHeight="1" x14ac:dyDescent="0.3"/>
    <row r="122" ht="26.25" customHeight="1" x14ac:dyDescent="0.3"/>
    <row r="123" ht="26.25" customHeight="1" x14ac:dyDescent="0.3"/>
    <row r="124" ht="26.25" customHeight="1" x14ac:dyDescent="0.3"/>
    <row r="125" ht="26.25" customHeight="1" x14ac:dyDescent="0.3"/>
    <row r="126" ht="26.25" customHeight="1" x14ac:dyDescent="0.3"/>
    <row r="127" ht="26.25" customHeight="1" x14ac:dyDescent="0.3"/>
    <row r="128" ht="26.25" customHeight="1" x14ac:dyDescent="0.3"/>
    <row r="129" ht="26.25" customHeight="1" x14ac:dyDescent="0.3"/>
    <row r="130" ht="26.25" customHeight="1" x14ac:dyDescent="0.3"/>
    <row r="131" ht="26.25" customHeight="1" x14ac:dyDescent="0.3"/>
    <row r="132" ht="26.25" customHeight="1" x14ac:dyDescent="0.3"/>
    <row r="133" ht="26.25" customHeight="1" x14ac:dyDescent="0.3"/>
    <row r="134" ht="26.25" customHeight="1" x14ac:dyDescent="0.3"/>
    <row r="135" ht="26.25" customHeight="1" x14ac:dyDescent="0.3"/>
    <row r="136" ht="26.25" customHeight="1" x14ac:dyDescent="0.3"/>
    <row r="137" ht="26.25" customHeight="1" x14ac:dyDescent="0.3"/>
    <row r="138" ht="26.25" customHeight="1" x14ac:dyDescent="0.3"/>
    <row r="139" ht="26.25" customHeight="1" x14ac:dyDescent="0.3"/>
    <row r="140" ht="26.25" customHeight="1" x14ac:dyDescent="0.3"/>
    <row r="141" ht="26.25" customHeight="1" x14ac:dyDescent="0.3"/>
    <row r="142" ht="26.25" customHeight="1" x14ac:dyDescent="0.3"/>
    <row r="143" ht="26.25" customHeight="1" x14ac:dyDescent="0.3"/>
    <row r="144" ht="26.25" customHeight="1" x14ac:dyDescent="0.3"/>
    <row r="145" ht="26.25" customHeight="1" x14ac:dyDescent="0.3"/>
    <row r="146" ht="26.25" customHeight="1" x14ac:dyDescent="0.3"/>
    <row r="147" ht="26.25" customHeight="1" x14ac:dyDescent="0.3"/>
    <row r="148" ht="26.25" customHeight="1" x14ac:dyDescent="0.3"/>
    <row r="149" ht="26.25" customHeight="1" x14ac:dyDescent="0.3"/>
    <row r="150" ht="26.25" customHeight="1" x14ac:dyDescent="0.3"/>
    <row r="151" ht="26.25" customHeight="1" x14ac:dyDescent="0.3"/>
    <row r="152" ht="26.25" customHeight="1" x14ac:dyDescent="0.3"/>
    <row r="153" ht="26.25" customHeight="1" x14ac:dyDescent="0.3"/>
    <row r="154" ht="26.25" customHeight="1" x14ac:dyDescent="0.3"/>
    <row r="155" ht="26.25" customHeight="1" x14ac:dyDescent="0.3"/>
    <row r="156" ht="26.25" customHeight="1" x14ac:dyDescent="0.3"/>
    <row r="157" ht="26.25" customHeight="1" x14ac:dyDescent="0.3"/>
    <row r="158" ht="26.25" customHeight="1" x14ac:dyDescent="0.3"/>
    <row r="159" ht="26.25" customHeight="1" x14ac:dyDescent="0.3"/>
    <row r="160" ht="26.25" customHeight="1" x14ac:dyDescent="0.3"/>
    <row r="161" ht="26.25" customHeight="1" x14ac:dyDescent="0.3"/>
    <row r="162" ht="26.25" customHeight="1" x14ac:dyDescent="0.3"/>
    <row r="163" ht="26.25" customHeight="1" x14ac:dyDescent="0.3"/>
    <row r="164" ht="26.25" customHeight="1" x14ac:dyDescent="0.3"/>
    <row r="165" ht="26.25" customHeight="1" x14ac:dyDescent="0.3"/>
    <row r="166" ht="26.25" customHeight="1" x14ac:dyDescent="0.3"/>
    <row r="167" ht="26.25" customHeight="1" x14ac:dyDescent="0.3"/>
    <row r="168" ht="26.25" customHeight="1" x14ac:dyDescent="0.3"/>
    <row r="169" ht="26.25" customHeight="1" x14ac:dyDescent="0.3"/>
    <row r="170" ht="26.25" customHeight="1" x14ac:dyDescent="0.3"/>
    <row r="171" ht="26.25" customHeight="1" x14ac:dyDescent="0.3"/>
    <row r="172" ht="26.25" customHeight="1" x14ac:dyDescent="0.3"/>
    <row r="173" ht="26.25" customHeight="1" x14ac:dyDescent="0.3"/>
    <row r="174" ht="26.25" customHeight="1" x14ac:dyDescent="0.3"/>
    <row r="175" ht="26.25" customHeight="1" x14ac:dyDescent="0.3"/>
    <row r="176" ht="26.25" customHeight="1" x14ac:dyDescent="0.3"/>
    <row r="177" ht="26.25" customHeight="1" x14ac:dyDescent="0.3"/>
    <row r="178" ht="26.25" customHeight="1" x14ac:dyDescent="0.3"/>
    <row r="179" ht="26.25" customHeight="1" x14ac:dyDescent="0.3"/>
    <row r="180" ht="26.25" customHeight="1" x14ac:dyDescent="0.3"/>
    <row r="181" ht="26.25" customHeight="1" x14ac:dyDescent="0.3"/>
    <row r="182" ht="26.25" customHeight="1" x14ac:dyDescent="0.3"/>
    <row r="183" ht="26.25" customHeight="1" x14ac:dyDescent="0.3"/>
    <row r="184" ht="26.25" customHeight="1" x14ac:dyDescent="0.3"/>
    <row r="185" ht="26.25" customHeight="1" x14ac:dyDescent="0.3"/>
    <row r="186" ht="26.25" customHeight="1" x14ac:dyDescent="0.3"/>
    <row r="187" ht="26.25" customHeight="1" x14ac:dyDescent="0.3"/>
    <row r="188" ht="26.25" customHeight="1" x14ac:dyDescent="0.3"/>
    <row r="189" ht="26.25" customHeight="1" x14ac:dyDescent="0.3"/>
    <row r="190" ht="26.25" customHeight="1" x14ac:dyDescent="0.3"/>
    <row r="191" ht="26.25" customHeight="1" x14ac:dyDescent="0.3"/>
    <row r="192" ht="26.25" customHeight="1" x14ac:dyDescent="0.3"/>
    <row r="193" ht="26.25" customHeight="1" x14ac:dyDescent="0.3"/>
    <row r="194" ht="26.25" customHeight="1" x14ac:dyDescent="0.3"/>
    <row r="195" ht="26.25" customHeight="1" x14ac:dyDescent="0.3"/>
    <row r="196" ht="26.25" customHeight="1" x14ac:dyDescent="0.3"/>
    <row r="197" ht="26.25" customHeight="1" x14ac:dyDescent="0.3"/>
    <row r="198" ht="26.25" customHeight="1" x14ac:dyDescent="0.3"/>
    <row r="199" ht="26.25" customHeight="1" x14ac:dyDescent="0.3"/>
    <row r="200" ht="26.25" customHeight="1" x14ac:dyDescent="0.3"/>
    <row r="201" ht="26.25" customHeight="1" x14ac:dyDescent="0.3"/>
    <row r="202" ht="26.25" customHeight="1" x14ac:dyDescent="0.3"/>
    <row r="203" ht="26.25" customHeight="1" x14ac:dyDescent="0.3"/>
    <row r="204" ht="26.25" customHeight="1" x14ac:dyDescent="0.3"/>
    <row r="205" ht="26.25" customHeight="1" x14ac:dyDescent="0.3"/>
    <row r="206" ht="26.25" customHeight="1" x14ac:dyDescent="0.3"/>
    <row r="207" ht="26.25" customHeight="1" x14ac:dyDescent="0.3"/>
    <row r="208" ht="26.25" customHeight="1" x14ac:dyDescent="0.3"/>
    <row r="209" ht="26.25" customHeight="1" x14ac:dyDescent="0.3"/>
    <row r="210" ht="26.25" customHeight="1" x14ac:dyDescent="0.3"/>
    <row r="211" ht="26.25" customHeight="1" x14ac:dyDescent="0.3"/>
    <row r="212" ht="26.25" customHeight="1" x14ac:dyDescent="0.3"/>
    <row r="213" ht="26.25" customHeight="1" x14ac:dyDescent="0.3"/>
    <row r="214" ht="26.25" customHeight="1" x14ac:dyDescent="0.3"/>
    <row r="215" ht="26.25" customHeight="1" x14ac:dyDescent="0.3"/>
    <row r="216" ht="26.25" customHeight="1" x14ac:dyDescent="0.3"/>
    <row r="217" ht="26.25" customHeight="1" x14ac:dyDescent="0.3"/>
    <row r="218" ht="26.25" customHeight="1" x14ac:dyDescent="0.3"/>
    <row r="219" ht="26.25" customHeight="1" x14ac:dyDescent="0.3"/>
    <row r="220" ht="26.25" customHeight="1" x14ac:dyDescent="0.3"/>
    <row r="221" ht="26.25" customHeight="1" x14ac:dyDescent="0.3"/>
    <row r="222" ht="26.25" customHeight="1" x14ac:dyDescent="0.3"/>
    <row r="223" ht="26.25" customHeight="1" x14ac:dyDescent="0.3"/>
    <row r="224" ht="26.25" customHeight="1" x14ac:dyDescent="0.3"/>
    <row r="225" ht="26.25" customHeight="1" x14ac:dyDescent="0.3"/>
    <row r="226" ht="26.25" customHeight="1" x14ac:dyDescent="0.3"/>
    <row r="227" ht="26.25" customHeight="1" x14ac:dyDescent="0.3"/>
    <row r="228" ht="26.25" customHeight="1" x14ac:dyDescent="0.3"/>
    <row r="229" ht="26.25" customHeight="1" x14ac:dyDescent="0.3"/>
    <row r="230" ht="26.25" customHeight="1" x14ac:dyDescent="0.3"/>
    <row r="231" ht="26.25" customHeight="1" x14ac:dyDescent="0.3"/>
    <row r="232" ht="26.25" customHeight="1" x14ac:dyDescent="0.3"/>
    <row r="233" ht="26.25" customHeight="1" x14ac:dyDescent="0.3"/>
    <row r="234" ht="26.25" customHeight="1" x14ac:dyDescent="0.3"/>
    <row r="235" ht="26.25" customHeight="1" x14ac:dyDescent="0.3"/>
    <row r="236" ht="26.25" customHeight="1" x14ac:dyDescent="0.3"/>
    <row r="237" ht="26.25" customHeight="1" x14ac:dyDescent="0.3"/>
    <row r="238" ht="26.25" customHeight="1" x14ac:dyDescent="0.3"/>
    <row r="239" ht="26.25" customHeight="1" x14ac:dyDescent="0.3"/>
    <row r="240" ht="26.25" customHeight="1" x14ac:dyDescent="0.3"/>
    <row r="241" ht="26.25" customHeight="1" x14ac:dyDescent="0.3"/>
    <row r="242" ht="26.25" customHeight="1" x14ac:dyDescent="0.3"/>
    <row r="243" ht="26.25" customHeight="1" x14ac:dyDescent="0.3"/>
    <row r="244" ht="26.25" customHeight="1" x14ac:dyDescent="0.3"/>
    <row r="245" ht="26.25" customHeight="1" x14ac:dyDescent="0.3"/>
    <row r="246" ht="26.25" customHeight="1" x14ac:dyDescent="0.3"/>
    <row r="247" ht="26.25" customHeight="1" x14ac:dyDescent="0.3"/>
    <row r="248" ht="26.25" customHeight="1" x14ac:dyDescent="0.3"/>
    <row r="249" ht="26.25" customHeight="1" x14ac:dyDescent="0.3"/>
    <row r="250" ht="26.25" customHeight="1" x14ac:dyDescent="0.3"/>
    <row r="251" ht="26.25" customHeight="1" x14ac:dyDescent="0.3"/>
    <row r="252" ht="26.25" customHeight="1" x14ac:dyDescent="0.3"/>
    <row r="253" ht="26.25" customHeight="1" x14ac:dyDescent="0.3"/>
    <row r="254" ht="26.25" customHeight="1" x14ac:dyDescent="0.3"/>
    <row r="255" ht="26.25" customHeight="1" x14ac:dyDescent="0.3"/>
    <row r="256" ht="26.25" customHeight="1" x14ac:dyDescent="0.3"/>
    <row r="257" ht="26.25" customHeight="1" x14ac:dyDescent="0.3"/>
    <row r="258" ht="26.25" customHeight="1" x14ac:dyDescent="0.3"/>
    <row r="259" ht="26.25" customHeight="1" x14ac:dyDescent="0.3"/>
    <row r="260" ht="26.25" customHeight="1" x14ac:dyDescent="0.3"/>
    <row r="261" ht="26.25" customHeight="1" x14ac:dyDescent="0.3"/>
    <row r="262" ht="26.25" customHeight="1" x14ac:dyDescent="0.3"/>
    <row r="263" ht="26.25" customHeight="1" x14ac:dyDescent="0.3"/>
    <row r="264" ht="26.25" customHeight="1" x14ac:dyDescent="0.3"/>
    <row r="265" ht="26.25" customHeight="1" x14ac:dyDescent="0.3"/>
    <row r="266" ht="26.25" customHeight="1" x14ac:dyDescent="0.3"/>
    <row r="267" ht="26.25" customHeight="1" x14ac:dyDescent="0.3"/>
    <row r="268" ht="26.25" customHeight="1" x14ac:dyDescent="0.3"/>
    <row r="269" ht="26.25" customHeight="1" x14ac:dyDescent="0.3"/>
    <row r="270" ht="26.25" customHeight="1" x14ac:dyDescent="0.3"/>
    <row r="271" ht="26.25" customHeight="1" x14ac:dyDescent="0.3"/>
    <row r="272" ht="26.25" customHeight="1" x14ac:dyDescent="0.3"/>
    <row r="273" ht="26.25" customHeight="1" x14ac:dyDescent="0.3"/>
    <row r="274" ht="26.25" customHeight="1" x14ac:dyDescent="0.3"/>
    <row r="275" ht="26.25" customHeight="1" x14ac:dyDescent="0.3"/>
    <row r="276" ht="26.25" customHeight="1" x14ac:dyDescent="0.3"/>
    <row r="277" ht="26.25" customHeight="1" x14ac:dyDescent="0.3"/>
    <row r="278" ht="26.25" customHeight="1" x14ac:dyDescent="0.3"/>
    <row r="279" ht="26.25" customHeight="1" x14ac:dyDescent="0.3"/>
    <row r="280" ht="26.25" customHeight="1" x14ac:dyDescent="0.3"/>
    <row r="281" ht="26.25" customHeight="1" x14ac:dyDescent="0.3"/>
    <row r="282" ht="26.25" customHeight="1" x14ac:dyDescent="0.3"/>
    <row r="283" ht="26.25" customHeight="1" x14ac:dyDescent="0.3"/>
    <row r="284" ht="26.25" customHeight="1" x14ac:dyDescent="0.3"/>
    <row r="285" ht="26.25" customHeight="1" x14ac:dyDescent="0.3"/>
    <row r="286" ht="26.25" customHeight="1" x14ac:dyDescent="0.3"/>
    <row r="287" ht="26.25" customHeight="1" x14ac:dyDescent="0.3"/>
    <row r="288" ht="26.25" customHeight="1" x14ac:dyDescent="0.3"/>
    <row r="289" ht="26.25" customHeight="1" x14ac:dyDescent="0.3"/>
    <row r="290" ht="26.25" customHeight="1" x14ac:dyDescent="0.3"/>
    <row r="291" ht="26.25" customHeight="1" x14ac:dyDescent="0.3"/>
    <row r="292" ht="26.25" customHeight="1" x14ac:dyDescent="0.3"/>
    <row r="293" ht="26.25" customHeight="1" x14ac:dyDescent="0.3"/>
    <row r="294" ht="26.25" customHeight="1" x14ac:dyDescent="0.3"/>
    <row r="295" ht="26.25" customHeight="1" x14ac:dyDescent="0.3"/>
    <row r="296" ht="26.25" customHeight="1" x14ac:dyDescent="0.3"/>
    <row r="297" ht="26.25" customHeight="1" x14ac:dyDescent="0.3"/>
    <row r="298" ht="26.25" customHeight="1" x14ac:dyDescent="0.3"/>
    <row r="299" ht="26.25" customHeight="1" x14ac:dyDescent="0.3"/>
    <row r="300" ht="26.25" customHeight="1" x14ac:dyDescent="0.3"/>
    <row r="301" ht="26.25" customHeight="1" x14ac:dyDescent="0.3"/>
    <row r="302" ht="26.25" customHeight="1" x14ac:dyDescent="0.3"/>
    <row r="303" ht="26.25" customHeight="1" x14ac:dyDescent="0.3"/>
    <row r="304" ht="26.25" customHeight="1" x14ac:dyDescent="0.3"/>
    <row r="305" ht="26.25" customHeight="1" x14ac:dyDescent="0.3"/>
    <row r="306" ht="26.25" customHeight="1" x14ac:dyDescent="0.3"/>
    <row r="307" ht="26.25" customHeight="1" x14ac:dyDescent="0.3"/>
    <row r="308" ht="26.25" customHeight="1" x14ac:dyDescent="0.3"/>
    <row r="309" ht="26.25" customHeight="1" x14ac:dyDescent="0.3"/>
    <row r="310" ht="26.25" customHeight="1" x14ac:dyDescent="0.3"/>
    <row r="311" ht="26.25" customHeight="1" x14ac:dyDescent="0.3"/>
    <row r="312" ht="26.25" customHeight="1" x14ac:dyDescent="0.3"/>
    <row r="313" ht="26.25" customHeight="1" x14ac:dyDescent="0.3"/>
    <row r="314" ht="26.25" customHeight="1" x14ac:dyDescent="0.3"/>
    <row r="315" ht="26.25" customHeight="1" x14ac:dyDescent="0.3"/>
    <row r="316" ht="26.25" customHeight="1" x14ac:dyDescent="0.3"/>
    <row r="317" ht="26.25" customHeight="1" x14ac:dyDescent="0.3"/>
    <row r="318" ht="26.25" customHeight="1" x14ac:dyDescent="0.3"/>
    <row r="319" ht="26.25" customHeight="1" x14ac:dyDescent="0.3"/>
    <row r="320" ht="26.25" customHeight="1" x14ac:dyDescent="0.3"/>
    <row r="321" ht="26.25" customHeight="1" x14ac:dyDescent="0.3"/>
    <row r="322" ht="26.25" customHeight="1" x14ac:dyDescent="0.3"/>
    <row r="323" ht="26.25" customHeight="1" x14ac:dyDescent="0.3"/>
    <row r="324" ht="26.25" customHeight="1" x14ac:dyDescent="0.3"/>
    <row r="325" ht="26.25" customHeight="1" x14ac:dyDescent="0.3"/>
    <row r="326" ht="26.25" customHeight="1" x14ac:dyDescent="0.3"/>
    <row r="327" ht="26.25" customHeight="1" x14ac:dyDescent="0.3"/>
    <row r="328" ht="26.25" customHeight="1" x14ac:dyDescent="0.3"/>
    <row r="329" ht="26.25" customHeight="1" x14ac:dyDescent="0.3"/>
    <row r="330" ht="26.25" customHeight="1" x14ac:dyDescent="0.3"/>
    <row r="331" ht="26.25" customHeight="1" x14ac:dyDescent="0.3"/>
    <row r="332" ht="26.25" customHeight="1" x14ac:dyDescent="0.3"/>
    <row r="333" ht="26.25" customHeight="1" x14ac:dyDescent="0.3"/>
    <row r="334" ht="26.25" customHeight="1" x14ac:dyDescent="0.3"/>
    <row r="335" ht="26.25" customHeight="1" x14ac:dyDescent="0.3"/>
    <row r="336" ht="26.25" customHeight="1" x14ac:dyDescent="0.3"/>
    <row r="337" ht="26.25" customHeight="1" x14ac:dyDescent="0.3"/>
    <row r="338" ht="26.25" customHeight="1" x14ac:dyDescent="0.3"/>
    <row r="339" ht="26.25" customHeight="1" x14ac:dyDescent="0.3"/>
    <row r="340" ht="26.25" customHeight="1" x14ac:dyDescent="0.3"/>
    <row r="341" ht="26.25" customHeight="1" x14ac:dyDescent="0.3"/>
    <row r="342" ht="26.25" customHeight="1" x14ac:dyDescent="0.3"/>
    <row r="343" ht="26.25" customHeight="1" x14ac:dyDescent="0.3"/>
    <row r="344" ht="26.25" customHeight="1" x14ac:dyDescent="0.3"/>
    <row r="345" ht="26.25" customHeight="1" x14ac:dyDescent="0.3"/>
    <row r="346" ht="26.25" customHeight="1" x14ac:dyDescent="0.3"/>
    <row r="347" ht="26.25" customHeight="1" x14ac:dyDescent="0.3"/>
    <row r="348" ht="26.25" customHeight="1" x14ac:dyDescent="0.3"/>
    <row r="349" ht="26.25" customHeight="1" x14ac:dyDescent="0.3"/>
    <row r="350" ht="26.25" customHeight="1" x14ac:dyDescent="0.3"/>
    <row r="351" ht="26.25" customHeight="1" x14ac:dyDescent="0.3"/>
    <row r="352" ht="26.25" customHeight="1" x14ac:dyDescent="0.3"/>
    <row r="353" ht="26.25" customHeight="1" x14ac:dyDescent="0.3"/>
    <row r="354" ht="26.25" customHeight="1" x14ac:dyDescent="0.3"/>
    <row r="355" ht="26.25" customHeight="1" x14ac:dyDescent="0.3"/>
    <row r="356" ht="26.25" customHeight="1" x14ac:dyDescent="0.3"/>
    <row r="357" ht="26.25" customHeight="1" x14ac:dyDescent="0.3"/>
    <row r="358" ht="26.25" customHeight="1" x14ac:dyDescent="0.3"/>
    <row r="359" ht="26.25" customHeight="1" x14ac:dyDescent="0.3"/>
    <row r="360" ht="26.25" customHeight="1" x14ac:dyDescent="0.3"/>
    <row r="361" ht="26.25" customHeight="1" x14ac:dyDescent="0.3"/>
    <row r="362" ht="26.25" customHeight="1" x14ac:dyDescent="0.3"/>
    <row r="363" ht="26.25" customHeight="1" x14ac:dyDescent="0.3"/>
    <row r="364" ht="26.25" customHeight="1" x14ac:dyDescent="0.3"/>
    <row r="365" ht="26.25" customHeight="1" x14ac:dyDescent="0.3"/>
    <row r="366" ht="26.25" customHeight="1" x14ac:dyDescent="0.3"/>
    <row r="367" ht="26.25" customHeight="1" x14ac:dyDescent="0.3"/>
    <row r="368" ht="26.25" customHeight="1" x14ac:dyDescent="0.3"/>
    <row r="369" ht="26.25" customHeight="1" x14ac:dyDescent="0.3"/>
    <row r="370" ht="26.25" customHeight="1" x14ac:dyDescent="0.3"/>
    <row r="371" ht="26.25" customHeight="1" x14ac:dyDescent="0.3"/>
    <row r="372" ht="26.25" customHeight="1" x14ac:dyDescent="0.3"/>
    <row r="373" ht="26.25" customHeight="1" x14ac:dyDescent="0.3"/>
    <row r="374" ht="26.25" customHeight="1" x14ac:dyDescent="0.3"/>
    <row r="375" ht="26.25" customHeight="1" x14ac:dyDescent="0.3"/>
    <row r="376" ht="26.25" customHeight="1" x14ac:dyDescent="0.3"/>
    <row r="377" ht="26.25" customHeight="1" x14ac:dyDescent="0.3"/>
    <row r="378" ht="26.25" customHeight="1" x14ac:dyDescent="0.3"/>
    <row r="379" ht="26.25" customHeight="1" x14ac:dyDescent="0.3"/>
    <row r="380" ht="26.25" customHeight="1" x14ac:dyDescent="0.3"/>
    <row r="381" ht="26.25" customHeight="1" x14ac:dyDescent="0.3"/>
    <row r="382" ht="26.25" customHeight="1" x14ac:dyDescent="0.3"/>
    <row r="383" ht="26.25" customHeight="1" x14ac:dyDescent="0.3"/>
    <row r="384" ht="26.25" customHeight="1" x14ac:dyDescent="0.3"/>
    <row r="385" ht="26.25" customHeight="1" x14ac:dyDescent="0.3"/>
    <row r="386" ht="26.25" customHeight="1" x14ac:dyDescent="0.3"/>
    <row r="387" ht="26.25" customHeight="1" x14ac:dyDescent="0.3"/>
    <row r="388" ht="26.25" customHeight="1" x14ac:dyDescent="0.3"/>
    <row r="389" ht="26.25" customHeight="1" x14ac:dyDescent="0.3"/>
    <row r="390" ht="26.25" customHeight="1" x14ac:dyDescent="0.3"/>
    <row r="391" ht="26.25" customHeight="1" x14ac:dyDescent="0.3"/>
    <row r="392" ht="26.25" customHeight="1" x14ac:dyDescent="0.3"/>
    <row r="393" ht="26.25" customHeight="1" x14ac:dyDescent="0.3"/>
    <row r="394" ht="26.25" customHeight="1" x14ac:dyDescent="0.3"/>
    <row r="395" ht="26.25" customHeight="1" x14ac:dyDescent="0.3"/>
    <row r="396" ht="26.25" customHeight="1" x14ac:dyDescent="0.3"/>
    <row r="397" ht="26.25" customHeight="1" x14ac:dyDescent="0.3"/>
    <row r="398" ht="26.25" customHeight="1" x14ac:dyDescent="0.3"/>
    <row r="399" ht="26.25" customHeight="1" x14ac:dyDescent="0.3"/>
    <row r="400" ht="26.25" customHeight="1" x14ac:dyDescent="0.3"/>
    <row r="401" ht="26.25" customHeight="1" x14ac:dyDescent="0.3"/>
    <row r="402" ht="26.25" customHeight="1" x14ac:dyDescent="0.3"/>
    <row r="403" ht="26.25" customHeight="1" x14ac:dyDescent="0.3"/>
    <row r="404" ht="26.25" customHeight="1" x14ac:dyDescent="0.3"/>
    <row r="405" ht="26.25" customHeight="1" x14ac:dyDescent="0.3"/>
    <row r="406" ht="26.25" customHeight="1" x14ac:dyDescent="0.3"/>
    <row r="407" ht="26.25" customHeight="1" x14ac:dyDescent="0.3"/>
    <row r="408" ht="26.25" customHeight="1" x14ac:dyDescent="0.3"/>
    <row r="409" ht="26.25" customHeight="1" x14ac:dyDescent="0.3"/>
    <row r="410" ht="26.25" customHeight="1" x14ac:dyDescent="0.3"/>
    <row r="411" ht="26.25" customHeight="1" x14ac:dyDescent="0.3"/>
    <row r="412" ht="26.25" customHeight="1" x14ac:dyDescent="0.3"/>
    <row r="413" ht="26.25" customHeight="1" x14ac:dyDescent="0.3"/>
    <row r="414" ht="26.25" customHeight="1" x14ac:dyDescent="0.3"/>
    <row r="415" ht="26.25" customHeight="1" x14ac:dyDescent="0.3"/>
    <row r="416" ht="26.25" customHeight="1" x14ac:dyDescent="0.3"/>
    <row r="417" ht="26.25" customHeight="1" x14ac:dyDescent="0.3"/>
    <row r="418" ht="26.25" customHeight="1" x14ac:dyDescent="0.3"/>
    <row r="419" ht="26.25" customHeight="1" x14ac:dyDescent="0.3"/>
    <row r="420" ht="26.25" customHeight="1" x14ac:dyDescent="0.3"/>
    <row r="421" ht="26.25" customHeight="1" x14ac:dyDescent="0.3"/>
    <row r="422" ht="26.25" customHeight="1" x14ac:dyDescent="0.3"/>
    <row r="423" ht="26.25" customHeight="1" x14ac:dyDescent="0.3"/>
    <row r="424" ht="26.25" customHeight="1" x14ac:dyDescent="0.3"/>
    <row r="425" ht="26.25" customHeight="1" x14ac:dyDescent="0.3"/>
    <row r="426" ht="26.25" customHeight="1" x14ac:dyDescent="0.3"/>
    <row r="427" ht="26.25" customHeight="1" x14ac:dyDescent="0.3"/>
    <row r="428" ht="26.25" customHeight="1" x14ac:dyDescent="0.3"/>
    <row r="429" ht="26.25" customHeight="1" x14ac:dyDescent="0.3"/>
    <row r="430" ht="26.25" customHeight="1" x14ac:dyDescent="0.3"/>
    <row r="431" ht="26.25" customHeight="1" x14ac:dyDescent="0.3"/>
    <row r="432" ht="26.25" customHeight="1" x14ac:dyDescent="0.3"/>
    <row r="433" ht="26.25" customHeight="1" x14ac:dyDescent="0.3"/>
    <row r="434" ht="26.25" customHeight="1" x14ac:dyDescent="0.3"/>
    <row r="435" ht="26.25" customHeight="1" x14ac:dyDescent="0.3"/>
    <row r="436" ht="26.25" customHeight="1" x14ac:dyDescent="0.3"/>
    <row r="437" ht="26.25" customHeight="1" x14ac:dyDescent="0.3"/>
    <row r="438" ht="26.25" customHeight="1" x14ac:dyDescent="0.3"/>
    <row r="439" ht="26.25" customHeight="1" x14ac:dyDescent="0.3"/>
    <row r="440" ht="26.25" customHeight="1" x14ac:dyDescent="0.3"/>
    <row r="441" ht="26.25" customHeight="1" x14ac:dyDescent="0.3"/>
    <row r="442" ht="26.25" customHeight="1" x14ac:dyDescent="0.3"/>
    <row r="443" ht="26.25" customHeight="1" x14ac:dyDescent="0.3"/>
    <row r="444" ht="26.25" customHeight="1" x14ac:dyDescent="0.3"/>
    <row r="445" ht="26.25" customHeight="1" x14ac:dyDescent="0.3"/>
    <row r="446" ht="26.25" customHeight="1" x14ac:dyDescent="0.3"/>
    <row r="447" ht="26.25" customHeight="1" x14ac:dyDescent="0.3"/>
    <row r="448" ht="26.25" customHeight="1" x14ac:dyDescent="0.3"/>
    <row r="449" ht="26.25" customHeight="1" x14ac:dyDescent="0.3"/>
    <row r="450" ht="26.25" customHeight="1" x14ac:dyDescent="0.3"/>
    <row r="451" ht="26.25" customHeight="1" x14ac:dyDescent="0.3"/>
    <row r="452" ht="26.25" customHeight="1" x14ac:dyDescent="0.3"/>
    <row r="453" ht="26.25" customHeight="1" x14ac:dyDescent="0.3"/>
    <row r="454" ht="26.25" customHeight="1" x14ac:dyDescent="0.3"/>
    <row r="455" ht="26.25" customHeight="1" x14ac:dyDescent="0.3"/>
    <row r="456" ht="26.25" customHeight="1" x14ac:dyDescent="0.3"/>
    <row r="457" ht="26.25" customHeight="1" x14ac:dyDescent="0.3"/>
    <row r="458" ht="26.25" customHeight="1" x14ac:dyDescent="0.3"/>
    <row r="459" ht="26.25" customHeight="1" x14ac:dyDescent="0.3"/>
    <row r="460" ht="26.25" customHeight="1" x14ac:dyDescent="0.3"/>
    <row r="461" ht="26.25" customHeight="1" x14ac:dyDescent="0.3"/>
    <row r="462" ht="26.25" customHeight="1" x14ac:dyDescent="0.3"/>
    <row r="463" ht="26.25" customHeight="1" x14ac:dyDescent="0.3"/>
    <row r="464" ht="26.25" customHeight="1" x14ac:dyDescent="0.3"/>
    <row r="465" ht="26.25" customHeight="1" x14ac:dyDescent="0.3"/>
    <row r="466" ht="26.25" customHeight="1" x14ac:dyDescent="0.3"/>
    <row r="467" ht="26.25" customHeight="1" x14ac:dyDescent="0.3"/>
    <row r="468" ht="26.25" customHeight="1" x14ac:dyDescent="0.3"/>
    <row r="469" ht="26.25" customHeight="1" x14ac:dyDescent="0.3"/>
    <row r="470" ht="26.25" customHeight="1" x14ac:dyDescent="0.3"/>
    <row r="471" ht="26.25" customHeight="1" x14ac:dyDescent="0.3"/>
    <row r="472" ht="26.25" customHeight="1" x14ac:dyDescent="0.3"/>
    <row r="473" ht="26.25" customHeight="1" x14ac:dyDescent="0.3"/>
    <row r="474" ht="26.25" customHeight="1" x14ac:dyDescent="0.3"/>
    <row r="475" ht="26.25" customHeight="1" x14ac:dyDescent="0.3"/>
    <row r="476" ht="26.25" customHeight="1" x14ac:dyDescent="0.3"/>
    <row r="477" ht="26.25" customHeight="1" x14ac:dyDescent="0.3"/>
    <row r="478" ht="26.25" customHeight="1" x14ac:dyDescent="0.3"/>
    <row r="479" ht="26.25" customHeight="1" x14ac:dyDescent="0.3"/>
    <row r="480" ht="26.25" customHeight="1" x14ac:dyDescent="0.3"/>
    <row r="481" ht="26.25" customHeight="1" x14ac:dyDescent="0.3"/>
    <row r="482" ht="26.25" customHeight="1" x14ac:dyDescent="0.3"/>
    <row r="483" ht="26.25" customHeight="1" x14ac:dyDescent="0.3"/>
    <row r="484" ht="26.25" customHeight="1" x14ac:dyDescent="0.3"/>
    <row r="485" ht="26.25" customHeight="1" x14ac:dyDescent="0.3"/>
    <row r="486" ht="26.25" customHeight="1" x14ac:dyDescent="0.3"/>
    <row r="487" ht="26.25" customHeight="1" x14ac:dyDescent="0.3"/>
    <row r="488" ht="26.25" customHeight="1" x14ac:dyDescent="0.3"/>
    <row r="489" ht="26.25" customHeight="1" x14ac:dyDescent="0.3"/>
    <row r="490" ht="26.25" customHeight="1" x14ac:dyDescent="0.3"/>
    <row r="491" ht="26.25" customHeight="1" x14ac:dyDescent="0.3"/>
    <row r="492" ht="26.25" customHeight="1" x14ac:dyDescent="0.3"/>
    <row r="493" ht="26.25" customHeight="1" x14ac:dyDescent="0.3"/>
    <row r="494" ht="26.25" customHeight="1" x14ac:dyDescent="0.3"/>
    <row r="495" ht="26.25" customHeight="1" x14ac:dyDescent="0.3"/>
    <row r="496" ht="26.25" customHeight="1" x14ac:dyDescent="0.3"/>
    <row r="497" ht="26.25" customHeight="1" x14ac:dyDescent="0.3"/>
    <row r="498" ht="26.25" customHeight="1" x14ac:dyDescent="0.3"/>
    <row r="499" ht="26.25" customHeight="1" x14ac:dyDescent="0.3"/>
    <row r="500" ht="26.25" customHeight="1" x14ac:dyDescent="0.3"/>
    <row r="501" ht="26.25" customHeight="1" x14ac:dyDescent="0.3"/>
    <row r="502" ht="26.25" customHeight="1" x14ac:dyDescent="0.3"/>
    <row r="503" ht="26.25" customHeight="1" x14ac:dyDescent="0.3"/>
    <row r="504" ht="26.25" customHeight="1" x14ac:dyDescent="0.3"/>
    <row r="505" ht="26.25" customHeight="1" x14ac:dyDescent="0.3"/>
    <row r="506" ht="26.25" customHeight="1" x14ac:dyDescent="0.3"/>
    <row r="507" ht="26.25" customHeight="1" x14ac:dyDescent="0.3"/>
    <row r="508" ht="26.25" customHeight="1" x14ac:dyDescent="0.3"/>
    <row r="509" ht="26.25" customHeight="1" x14ac:dyDescent="0.3"/>
    <row r="510" ht="26.25" customHeight="1" x14ac:dyDescent="0.3"/>
    <row r="511" ht="26.25" customHeight="1" x14ac:dyDescent="0.3"/>
    <row r="512" ht="26.25" customHeight="1" x14ac:dyDescent="0.3"/>
    <row r="513" ht="26.25" customHeight="1" x14ac:dyDescent="0.3"/>
    <row r="514" ht="26.25" customHeight="1" x14ac:dyDescent="0.3"/>
    <row r="515" ht="26.25" customHeight="1" x14ac:dyDescent="0.3"/>
    <row r="516" ht="26.25" customHeight="1" x14ac:dyDescent="0.3"/>
    <row r="517" ht="26.25" customHeight="1" x14ac:dyDescent="0.3"/>
    <row r="518" ht="26.25" customHeight="1" x14ac:dyDescent="0.3"/>
    <row r="519" ht="26.25" customHeight="1" x14ac:dyDescent="0.3"/>
    <row r="520" ht="26.25" customHeight="1" x14ac:dyDescent="0.3"/>
    <row r="521" ht="26.25" customHeight="1" x14ac:dyDescent="0.3"/>
    <row r="522" ht="26.25" customHeight="1" x14ac:dyDescent="0.3"/>
    <row r="523" ht="26.25" customHeight="1" x14ac:dyDescent="0.3"/>
    <row r="524" ht="26.25" customHeight="1" x14ac:dyDescent="0.3"/>
    <row r="525" ht="26.25" customHeight="1" x14ac:dyDescent="0.3"/>
    <row r="526" ht="26.25" customHeight="1" x14ac:dyDescent="0.3"/>
    <row r="527" ht="26.25" customHeight="1" x14ac:dyDescent="0.3"/>
    <row r="528" ht="26.25" customHeight="1" x14ac:dyDescent="0.3"/>
    <row r="529" ht="26.25" customHeight="1" x14ac:dyDescent="0.3"/>
    <row r="530" ht="26.25" customHeight="1" x14ac:dyDescent="0.3"/>
    <row r="531" ht="26.25" customHeight="1" x14ac:dyDescent="0.3"/>
    <row r="532" ht="26.25" customHeight="1" x14ac:dyDescent="0.3"/>
    <row r="533" ht="26.25" customHeight="1" x14ac:dyDescent="0.3"/>
    <row r="534" ht="26.25" customHeight="1" x14ac:dyDescent="0.3"/>
    <row r="535" ht="26.25" customHeight="1" x14ac:dyDescent="0.3"/>
    <row r="536" ht="26.25" customHeight="1" x14ac:dyDescent="0.3"/>
    <row r="537" ht="26.25" customHeight="1" x14ac:dyDescent="0.3"/>
    <row r="538" ht="26.25" customHeight="1" x14ac:dyDescent="0.3"/>
    <row r="539" ht="26.25" customHeight="1" x14ac:dyDescent="0.3"/>
    <row r="540" ht="26.25" customHeight="1" x14ac:dyDescent="0.3"/>
    <row r="541" ht="26.25" customHeight="1" x14ac:dyDescent="0.3"/>
    <row r="542" ht="26.25" customHeight="1" x14ac:dyDescent="0.3"/>
    <row r="543" ht="26.25" customHeight="1" x14ac:dyDescent="0.3"/>
    <row r="544" ht="26.25" customHeight="1" x14ac:dyDescent="0.3"/>
    <row r="545" ht="26.25" customHeight="1" x14ac:dyDescent="0.3"/>
    <row r="546" ht="26.25" customHeight="1" x14ac:dyDescent="0.3"/>
    <row r="547" ht="26.25" customHeight="1" x14ac:dyDescent="0.3"/>
    <row r="548" ht="26.25" customHeight="1" x14ac:dyDescent="0.3"/>
    <row r="549" ht="26.25" customHeight="1" x14ac:dyDescent="0.3"/>
    <row r="550" ht="26.25" customHeight="1" x14ac:dyDescent="0.3"/>
    <row r="551" ht="26.25" customHeight="1" x14ac:dyDescent="0.3"/>
    <row r="552" ht="26.25" customHeight="1" x14ac:dyDescent="0.3"/>
    <row r="553" ht="26.25" customHeight="1" x14ac:dyDescent="0.3"/>
    <row r="554" ht="26.25" customHeight="1" x14ac:dyDescent="0.3"/>
    <row r="555" ht="26.25" customHeight="1" x14ac:dyDescent="0.3"/>
    <row r="556" ht="26.25" customHeight="1" x14ac:dyDescent="0.3"/>
    <row r="557" ht="26.25" customHeight="1" x14ac:dyDescent="0.3"/>
    <row r="558" ht="26.25" customHeight="1" x14ac:dyDescent="0.3"/>
    <row r="559" ht="26.25" customHeight="1" x14ac:dyDescent="0.3"/>
    <row r="560" ht="26.25" customHeight="1" x14ac:dyDescent="0.3"/>
    <row r="561" ht="26.25" customHeight="1" x14ac:dyDescent="0.3"/>
    <row r="562" ht="26.25" customHeight="1" x14ac:dyDescent="0.3"/>
    <row r="563" ht="26.25" customHeight="1" x14ac:dyDescent="0.3"/>
    <row r="564" ht="26.25" customHeight="1" x14ac:dyDescent="0.3"/>
    <row r="565" ht="26.25" customHeight="1" x14ac:dyDescent="0.3"/>
    <row r="566" ht="26.25" customHeight="1" x14ac:dyDescent="0.3"/>
    <row r="567" ht="26.25" customHeight="1" x14ac:dyDescent="0.3"/>
    <row r="568" ht="26.25" customHeight="1" x14ac:dyDescent="0.3"/>
    <row r="569" ht="26.25" customHeight="1" x14ac:dyDescent="0.3"/>
    <row r="570" ht="26.25" customHeight="1" x14ac:dyDescent="0.3"/>
    <row r="571" ht="26.25" customHeight="1" x14ac:dyDescent="0.3"/>
    <row r="572" ht="26.25" customHeight="1" x14ac:dyDescent="0.3"/>
    <row r="573" ht="26.25" customHeight="1" x14ac:dyDescent="0.3"/>
    <row r="574" ht="26.25" customHeight="1" x14ac:dyDescent="0.3"/>
    <row r="575" ht="26.25" customHeight="1" x14ac:dyDescent="0.3"/>
    <row r="576" ht="26.25" customHeight="1" x14ac:dyDescent="0.3"/>
    <row r="577" ht="26.25" customHeight="1" x14ac:dyDescent="0.3"/>
    <row r="578" ht="26.25" customHeight="1" x14ac:dyDescent="0.3"/>
    <row r="579" ht="26.25" customHeight="1" x14ac:dyDescent="0.3"/>
    <row r="580" ht="26.25" customHeight="1" x14ac:dyDescent="0.3"/>
    <row r="581" ht="26.25" customHeight="1" x14ac:dyDescent="0.3"/>
    <row r="582" ht="26.25" customHeight="1" x14ac:dyDescent="0.3"/>
    <row r="583" ht="26.25" customHeight="1" x14ac:dyDescent="0.3"/>
    <row r="584" ht="26.25" customHeight="1" x14ac:dyDescent="0.3"/>
    <row r="585" ht="26.25" customHeight="1" x14ac:dyDescent="0.3"/>
    <row r="586" ht="26.25" customHeight="1" x14ac:dyDescent="0.3"/>
    <row r="587" ht="26.25" customHeight="1" x14ac:dyDescent="0.3"/>
    <row r="588" ht="26.25" customHeight="1" x14ac:dyDescent="0.3"/>
    <row r="589" ht="26.25" customHeight="1" x14ac:dyDescent="0.3"/>
    <row r="590" ht="26.25" customHeight="1" x14ac:dyDescent="0.3"/>
    <row r="591" ht="26.25" customHeight="1" x14ac:dyDescent="0.3"/>
    <row r="592" ht="26.25" customHeight="1" x14ac:dyDescent="0.3"/>
    <row r="593" ht="26.25" customHeight="1" x14ac:dyDescent="0.3"/>
    <row r="594" ht="26.25" customHeight="1" x14ac:dyDescent="0.3"/>
    <row r="595" ht="26.25" customHeight="1" x14ac:dyDescent="0.3"/>
    <row r="596" ht="26.25" customHeight="1" x14ac:dyDescent="0.3"/>
    <row r="597" ht="26.25" customHeight="1" x14ac:dyDescent="0.3"/>
    <row r="598" ht="26.25" customHeight="1" x14ac:dyDescent="0.3"/>
    <row r="599" ht="26.25" customHeight="1" x14ac:dyDescent="0.3"/>
    <row r="600" ht="26.25" customHeight="1" x14ac:dyDescent="0.3"/>
    <row r="601" ht="26.25" customHeight="1" x14ac:dyDescent="0.3"/>
    <row r="602" ht="26.25" customHeight="1" x14ac:dyDescent="0.3"/>
    <row r="603" ht="26.25" customHeight="1" x14ac:dyDescent="0.3"/>
    <row r="604" ht="26.25" customHeight="1" x14ac:dyDescent="0.3"/>
    <row r="605" ht="26.25" customHeight="1" x14ac:dyDescent="0.3"/>
    <row r="606" ht="26.25" customHeight="1" x14ac:dyDescent="0.3"/>
    <row r="607" ht="26.25" customHeight="1" x14ac:dyDescent="0.3"/>
    <row r="608" ht="26.25" customHeight="1" x14ac:dyDescent="0.3"/>
    <row r="609" ht="26.25" customHeight="1" x14ac:dyDescent="0.3"/>
    <row r="610" ht="26.25" customHeight="1" x14ac:dyDescent="0.3"/>
    <row r="611" ht="26.25" customHeight="1" x14ac:dyDescent="0.3"/>
    <row r="612" ht="26.25" customHeight="1" x14ac:dyDescent="0.3"/>
    <row r="613" ht="26.25" customHeight="1" x14ac:dyDescent="0.3"/>
    <row r="614" ht="26.25" customHeight="1" x14ac:dyDescent="0.3"/>
    <row r="615" ht="26.25" customHeight="1" x14ac:dyDescent="0.3"/>
    <row r="616" ht="26.25" customHeight="1" x14ac:dyDescent="0.3"/>
    <row r="617" ht="26.25" customHeight="1" x14ac:dyDescent="0.3"/>
    <row r="618" ht="26.25" customHeight="1" x14ac:dyDescent="0.3"/>
    <row r="619" ht="26.25" customHeight="1" x14ac:dyDescent="0.3"/>
    <row r="620" ht="26.25" customHeight="1" x14ac:dyDescent="0.3"/>
    <row r="621" ht="26.25" customHeight="1" x14ac:dyDescent="0.3"/>
    <row r="622" ht="26.25" customHeight="1" x14ac:dyDescent="0.3"/>
    <row r="623" ht="26.25" customHeight="1" x14ac:dyDescent="0.3"/>
    <row r="624" ht="26.25" customHeight="1" x14ac:dyDescent="0.3"/>
    <row r="625" ht="26.25" customHeight="1" x14ac:dyDescent="0.3"/>
    <row r="626" ht="26.25" customHeight="1" x14ac:dyDescent="0.3"/>
    <row r="627" ht="26.25" customHeight="1" x14ac:dyDescent="0.3"/>
    <row r="628" ht="26.25" customHeight="1" x14ac:dyDescent="0.3"/>
    <row r="629" ht="26.25" customHeight="1" x14ac:dyDescent="0.3"/>
    <row r="630" ht="26.25" customHeight="1" x14ac:dyDescent="0.3"/>
    <row r="631" ht="26.25" customHeight="1" x14ac:dyDescent="0.3"/>
    <row r="632" ht="26.25" customHeight="1" x14ac:dyDescent="0.3"/>
    <row r="633" ht="26.25" customHeight="1" x14ac:dyDescent="0.3"/>
    <row r="634" ht="26.25" customHeight="1" x14ac:dyDescent="0.3"/>
    <row r="635" ht="26.25" customHeight="1" x14ac:dyDescent="0.3"/>
    <row r="636" ht="26.25" customHeight="1" x14ac:dyDescent="0.3"/>
    <row r="637" ht="26.25" customHeight="1" x14ac:dyDescent="0.3"/>
    <row r="638" ht="26.25" customHeight="1" x14ac:dyDescent="0.3"/>
    <row r="639" ht="26.25" customHeight="1" x14ac:dyDescent="0.3"/>
    <row r="640" ht="26.25" customHeight="1" x14ac:dyDescent="0.3"/>
    <row r="641" ht="26.25" customHeight="1" x14ac:dyDescent="0.3"/>
    <row r="642" ht="26.25" customHeight="1" x14ac:dyDescent="0.3"/>
    <row r="643" ht="26.25" customHeight="1" x14ac:dyDescent="0.3"/>
    <row r="644" ht="26.25" customHeight="1" x14ac:dyDescent="0.3"/>
    <row r="645" ht="26.25" customHeight="1" x14ac:dyDescent="0.3"/>
    <row r="646" ht="26.25" customHeight="1" x14ac:dyDescent="0.3"/>
    <row r="647" ht="26.25" customHeight="1" x14ac:dyDescent="0.3"/>
    <row r="648" ht="26.25" customHeight="1" x14ac:dyDescent="0.3"/>
    <row r="649" ht="26.25" customHeight="1" x14ac:dyDescent="0.3"/>
    <row r="650" ht="26.25" customHeight="1" x14ac:dyDescent="0.3"/>
    <row r="651" ht="26.25" customHeight="1" x14ac:dyDescent="0.3"/>
    <row r="652" ht="26.25" customHeight="1" x14ac:dyDescent="0.3"/>
    <row r="653" ht="26.25" customHeight="1" x14ac:dyDescent="0.3"/>
    <row r="654" ht="26.25" customHeight="1" x14ac:dyDescent="0.3"/>
    <row r="655" ht="26.25" customHeight="1" x14ac:dyDescent="0.3"/>
    <row r="656" ht="26.25" customHeight="1" x14ac:dyDescent="0.3"/>
    <row r="657" ht="26.25" customHeight="1" x14ac:dyDescent="0.3"/>
    <row r="658" ht="26.25" customHeight="1" x14ac:dyDescent="0.3"/>
    <row r="659" ht="26.25" customHeight="1" x14ac:dyDescent="0.3"/>
    <row r="660" ht="26.25" customHeight="1" x14ac:dyDescent="0.3"/>
    <row r="661" ht="26.25" customHeight="1" x14ac:dyDescent="0.3"/>
    <row r="662" ht="26.25" customHeight="1" x14ac:dyDescent="0.3"/>
    <row r="663" ht="26.25" customHeight="1" x14ac:dyDescent="0.3"/>
    <row r="664" ht="26.25" customHeight="1" x14ac:dyDescent="0.3"/>
    <row r="665" ht="26.25" customHeight="1" x14ac:dyDescent="0.3"/>
    <row r="666" ht="26.25" customHeight="1" x14ac:dyDescent="0.3"/>
    <row r="667" ht="26.25" customHeight="1" x14ac:dyDescent="0.3"/>
    <row r="668" ht="26.25" customHeight="1" x14ac:dyDescent="0.3"/>
    <row r="669" ht="26.25" customHeight="1" x14ac:dyDescent="0.3"/>
    <row r="670" ht="26.25" customHeight="1" x14ac:dyDescent="0.3"/>
    <row r="671" ht="26.25" customHeight="1" x14ac:dyDescent="0.3"/>
    <row r="672" ht="26.25" customHeight="1" x14ac:dyDescent="0.3"/>
    <row r="673" ht="26.25" customHeight="1" x14ac:dyDescent="0.3"/>
    <row r="674" ht="26.25" customHeight="1" x14ac:dyDescent="0.3"/>
    <row r="675" ht="26.25" customHeight="1" x14ac:dyDescent="0.3"/>
    <row r="676" ht="26.25" customHeight="1" x14ac:dyDescent="0.3"/>
    <row r="677" ht="26.25" customHeight="1" x14ac:dyDescent="0.3"/>
    <row r="678" ht="26.25" customHeight="1" x14ac:dyDescent="0.3"/>
    <row r="679" ht="26.25" customHeight="1" x14ac:dyDescent="0.3"/>
    <row r="680" ht="26.25" customHeight="1" x14ac:dyDescent="0.3"/>
    <row r="681" ht="26.25" customHeight="1" x14ac:dyDescent="0.3"/>
    <row r="682" ht="26.25" customHeight="1" x14ac:dyDescent="0.3"/>
    <row r="683" ht="26.25" customHeight="1" x14ac:dyDescent="0.3"/>
    <row r="684" ht="26.25" customHeight="1" x14ac:dyDescent="0.3"/>
    <row r="685" ht="26.25" customHeight="1" x14ac:dyDescent="0.3"/>
    <row r="686" ht="26.25" customHeight="1" x14ac:dyDescent="0.3"/>
    <row r="687" ht="26.25" customHeight="1" x14ac:dyDescent="0.3"/>
    <row r="688" ht="26.25" customHeight="1" x14ac:dyDescent="0.3"/>
    <row r="689" ht="26.25" customHeight="1" x14ac:dyDescent="0.3"/>
    <row r="690" ht="26.25" customHeight="1" x14ac:dyDescent="0.3"/>
    <row r="691" ht="26.25" customHeight="1" x14ac:dyDescent="0.3"/>
    <row r="692" ht="26.25" customHeight="1" x14ac:dyDescent="0.3"/>
    <row r="693" ht="26.25" customHeight="1" x14ac:dyDescent="0.3"/>
    <row r="694" ht="26.25" customHeight="1" x14ac:dyDescent="0.3"/>
    <row r="695" ht="26.25" customHeight="1" x14ac:dyDescent="0.3"/>
    <row r="696" ht="26.25" customHeight="1" x14ac:dyDescent="0.3"/>
    <row r="697" ht="26.25" customHeight="1" x14ac:dyDescent="0.3"/>
    <row r="698" ht="26.25" customHeight="1" x14ac:dyDescent="0.3"/>
    <row r="699" ht="26.25" customHeight="1" x14ac:dyDescent="0.3"/>
    <row r="700" ht="26.25" customHeight="1" x14ac:dyDescent="0.3"/>
    <row r="701" ht="26.25" customHeight="1" x14ac:dyDescent="0.3"/>
    <row r="702" ht="26.25" customHeight="1" x14ac:dyDescent="0.3"/>
    <row r="703" ht="26.25" customHeight="1" x14ac:dyDescent="0.3"/>
    <row r="704" ht="26.25" customHeight="1" x14ac:dyDescent="0.3"/>
    <row r="705" ht="26.25" customHeight="1" x14ac:dyDescent="0.3"/>
    <row r="706" ht="26.25" customHeight="1" x14ac:dyDescent="0.3"/>
    <row r="707" ht="26.25" customHeight="1" x14ac:dyDescent="0.3"/>
    <row r="708" ht="26.25" customHeight="1" x14ac:dyDescent="0.3"/>
    <row r="709" ht="26.25" customHeight="1" x14ac:dyDescent="0.3"/>
    <row r="710" ht="26.25" customHeight="1" x14ac:dyDescent="0.3"/>
    <row r="711" ht="26.25" customHeight="1" x14ac:dyDescent="0.3"/>
    <row r="712" ht="26.25" customHeight="1" x14ac:dyDescent="0.3"/>
    <row r="713" ht="26.25" customHeight="1" x14ac:dyDescent="0.3"/>
    <row r="714" ht="26.25" customHeight="1" x14ac:dyDescent="0.3"/>
    <row r="715" ht="26.25" customHeight="1" x14ac:dyDescent="0.3"/>
    <row r="716" ht="26.25" customHeight="1" x14ac:dyDescent="0.3"/>
    <row r="717" ht="26.25" customHeight="1" x14ac:dyDescent="0.3"/>
    <row r="718" ht="26.25" customHeight="1" x14ac:dyDescent="0.3"/>
    <row r="719" ht="26.25" customHeight="1" x14ac:dyDescent="0.3"/>
    <row r="720" ht="26.25" customHeight="1" x14ac:dyDescent="0.3"/>
    <row r="721" ht="26.25" customHeight="1" x14ac:dyDescent="0.3"/>
    <row r="722" ht="26.25" customHeight="1" x14ac:dyDescent="0.3"/>
    <row r="723" ht="26.25" customHeight="1" x14ac:dyDescent="0.3"/>
    <row r="724" ht="26.25" customHeight="1" x14ac:dyDescent="0.3"/>
    <row r="725" ht="26.25" customHeight="1" x14ac:dyDescent="0.3"/>
    <row r="726" ht="26.25" customHeight="1" x14ac:dyDescent="0.3"/>
    <row r="727" ht="26.25" customHeight="1" x14ac:dyDescent="0.3"/>
    <row r="728" ht="26.25" customHeight="1" x14ac:dyDescent="0.3"/>
    <row r="729" ht="26.25" customHeight="1" x14ac:dyDescent="0.3"/>
    <row r="730" ht="26.25" customHeight="1" x14ac:dyDescent="0.3"/>
    <row r="731" ht="26.25" customHeight="1" x14ac:dyDescent="0.3"/>
    <row r="732" ht="26.25" customHeight="1" x14ac:dyDescent="0.3"/>
    <row r="733" ht="26.25" customHeight="1" x14ac:dyDescent="0.3"/>
    <row r="734" ht="26.25" customHeight="1" x14ac:dyDescent="0.3"/>
    <row r="735" ht="26.25" customHeight="1" x14ac:dyDescent="0.3"/>
    <row r="736" ht="26.25" customHeight="1" x14ac:dyDescent="0.3"/>
    <row r="737" ht="26.25" customHeight="1" x14ac:dyDescent="0.3"/>
    <row r="738" ht="26.25" customHeight="1" x14ac:dyDescent="0.3"/>
    <row r="739" ht="26.25" customHeight="1" x14ac:dyDescent="0.3"/>
    <row r="740" ht="26.25" customHeight="1" x14ac:dyDescent="0.3"/>
    <row r="741" ht="26.25" customHeight="1" x14ac:dyDescent="0.3"/>
    <row r="742" ht="26.25" customHeight="1" x14ac:dyDescent="0.3"/>
    <row r="743" ht="26.25" customHeight="1" x14ac:dyDescent="0.3"/>
    <row r="744" ht="26.25" customHeight="1" x14ac:dyDescent="0.3"/>
    <row r="745" ht="26.25" customHeight="1" x14ac:dyDescent="0.3"/>
    <row r="746" ht="26.25" customHeight="1" x14ac:dyDescent="0.3"/>
    <row r="747" ht="26.25" customHeight="1" x14ac:dyDescent="0.3"/>
    <row r="748" ht="26.25" customHeight="1" x14ac:dyDescent="0.3"/>
    <row r="749" ht="26.25" customHeight="1" x14ac:dyDescent="0.3"/>
    <row r="750" ht="26.25" customHeight="1" x14ac:dyDescent="0.3"/>
    <row r="751" ht="26.25" customHeight="1" x14ac:dyDescent="0.3"/>
    <row r="752" ht="26.25" customHeight="1" x14ac:dyDescent="0.3"/>
    <row r="753" ht="26.25" customHeight="1" x14ac:dyDescent="0.3"/>
    <row r="754" ht="26.25" customHeight="1" x14ac:dyDescent="0.3"/>
    <row r="755" ht="26.25" customHeight="1" x14ac:dyDescent="0.3"/>
    <row r="756" ht="26.25" customHeight="1" x14ac:dyDescent="0.3"/>
    <row r="757" ht="26.25" customHeight="1" x14ac:dyDescent="0.3"/>
    <row r="758" ht="26.25" customHeight="1" x14ac:dyDescent="0.3"/>
    <row r="759" ht="26.25" customHeight="1" x14ac:dyDescent="0.3"/>
    <row r="760" ht="26.25" customHeight="1" x14ac:dyDescent="0.3"/>
    <row r="761" ht="26.25" customHeight="1" x14ac:dyDescent="0.3"/>
    <row r="762" ht="26.25" customHeight="1" x14ac:dyDescent="0.3"/>
    <row r="763" ht="26.25" customHeight="1" x14ac:dyDescent="0.3"/>
    <row r="764" ht="26.25" customHeight="1" x14ac:dyDescent="0.3"/>
    <row r="765" ht="26.25" customHeight="1" x14ac:dyDescent="0.3"/>
    <row r="766" ht="26.25" customHeight="1" x14ac:dyDescent="0.3"/>
    <row r="767" ht="26.25" customHeight="1" x14ac:dyDescent="0.3"/>
    <row r="768" ht="26.25" customHeight="1" x14ac:dyDescent="0.3"/>
    <row r="769" ht="26.25" customHeight="1" x14ac:dyDescent="0.3"/>
    <row r="770" ht="26.25" customHeight="1" x14ac:dyDescent="0.3"/>
    <row r="771" ht="26.25" customHeight="1" x14ac:dyDescent="0.3"/>
    <row r="772" ht="26.25" customHeight="1" x14ac:dyDescent="0.3"/>
    <row r="773" ht="26.25" customHeight="1" x14ac:dyDescent="0.3"/>
    <row r="774" ht="26.25" customHeight="1" x14ac:dyDescent="0.3"/>
    <row r="775" ht="26.25" customHeight="1" x14ac:dyDescent="0.3"/>
    <row r="776" ht="26.25" customHeight="1" x14ac:dyDescent="0.3"/>
    <row r="777" ht="26.25" customHeight="1" x14ac:dyDescent="0.3"/>
    <row r="778" ht="26.25" customHeight="1" x14ac:dyDescent="0.3"/>
    <row r="779" ht="26.25" customHeight="1" x14ac:dyDescent="0.3"/>
    <row r="780" ht="26.25" customHeight="1" x14ac:dyDescent="0.3"/>
    <row r="781" ht="26.25" customHeight="1" x14ac:dyDescent="0.3"/>
    <row r="782" ht="26.25" customHeight="1" x14ac:dyDescent="0.3"/>
    <row r="783" ht="26.25" customHeight="1" x14ac:dyDescent="0.3"/>
    <row r="784" ht="26.25" customHeight="1" x14ac:dyDescent="0.3"/>
    <row r="785" ht="26.25" customHeight="1" x14ac:dyDescent="0.3"/>
    <row r="786" ht="26.25" customHeight="1" x14ac:dyDescent="0.3"/>
    <row r="787" ht="26.25" customHeight="1" x14ac:dyDescent="0.3"/>
    <row r="788" ht="26.25" customHeight="1" x14ac:dyDescent="0.3"/>
    <row r="789" ht="26.25" customHeight="1" x14ac:dyDescent="0.3"/>
    <row r="790" ht="26.25" customHeight="1" x14ac:dyDescent="0.3"/>
    <row r="791" ht="26.25" customHeight="1" x14ac:dyDescent="0.3"/>
    <row r="792" ht="26.25" customHeight="1" x14ac:dyDescent="0.3"/>
    <row r="793" ht="26.25" customHeight="1" x14ac:dyDescent="0.3"/>
    <row r="794" ht="26.25" customHeight="1" x14ac:dyDescent="0.3"/>
    <row r="795" ht="26.25" customHeight="1" x14ac:dyDescent="0.3"/>
    <row r="796" ht="26.25" customHeight="1" x14ac:dyDescent="0.3"/>
    <row r="797" ht="26.25" customHeight="1" x14ac:dyDescent="0.3"/>
    <row r="798" ht="26.25" customHeight="1" x14ac:dyDescent="0.3"/>
    <row r="799" ht="26.25" customHeight="1" x14ac:dyDescent="0.3"/>
    <row r="800" ht="26.25" customHeight="1" x14ac:dyDescent="0.3"/>
    <row r="801" ht="26.25" customHeight="1" x14ac:dyDescent="0.3"/>
    <row r="802" ht="26.25" customHeight="1" x14ac:dyDescent="0.3"/>
    <row r="803" ht="26.25" customHeight="1" x14ac:dyDescent="0.3"/>
    <row r="804" ht="26.25" customHeight="1" x14ac:dyDescent="0.3"/>
    <row r="805" ht="26.25" customHeight="1" x14ac:dyDescent="0.3"/>
    <row r="806" ht="26.25" customHeight="1" x14ac:dyDescent="0.3"/>
    <row r="807" ht="26.25" customHeight="1" x14ac:dyDescent="0.3"/>
    <row r="808" ht="26.25" customHeight="1" x14ac:dyDescent="0.3"/>
    <row r="809" ht="26.25" customHeight="1" x14ac:dyDescent="0.3"/>
    <row r="810" ht="26.25" customHeight="1" x14ac:dyDescent="0.3"/>
    <row r="811" ht="26.25" customHeight="1" x14ac:dyDescent="0.3"/>
    <row r="812" ht="26.25" customHeight="1" x14ac:dyDescent="0.3"/>
    <row r="813" ht="26.25" customHeight="1" x14ac:dyDescent="0.3"/>
    <row r="814" ht="26.25" customHeight="1" x14ac:dyDescent="0.3"/>
    <row r="815" ht="26.25" customHeight="1" x14ac:dyDescent="0.3"/>
    <row r="816" ht="26.25" customHeight="1" x14ac:dyDescent="0.3"/>
    <row r="817" ht="26.25" customHeight="1" x14ac:dyDescent="0.3"/>
    <row r="818" ht="26.25" customHeight="1" x14ac:dyDescent="0.3"/>
    <row r="819" ht="26.25" customHeight="1" x14ac:dyDescent="0.3"/>
    <row r="820" ht="26.25" customHeight="1" x14ac:dyDescent="0.3"/>
    <row r="821" ht="26.25" customHeight="1" x14ac:dyDescent="0.3"/>
    <row r="822" ht="26.25" customHeight="1" x14ac:dyDescent="0.3"/>
    <row r="823" ht="26.25" customHeight="1" x14ac:dyDescent="0.3"/>
    <row r="824" ht="26.25" customHeight="1" x14ac:dyDescent="0.3"/>
    <row r="825" ht="26.25" customHeight="1" x14ac:dyDescent="0.3"/>
    <row r="826" ht="26.25" customHeight="1" x14ac:dyDescent="0.3"/>
    <row r="827" ht="26.25" customHeight="1" x14ac:dyDescent="0.3"/>
    <row r="828" ht="26.25" customHeight="1" x14ac:dyDescent="0.3"/>
    <row r="829" ht="26.25" customHeight="1" x14ac:dyDescent="0.3"/>
    <row r="830" ht="26.25" customHeight="1" x14ac:dyDescent="0.3"/>
    <row r="831" ht="26.25" customHeight="1" x14ac:dyDescent="0.3"/>
    <row r="832" ht="26.25" customHeight="1" x14ac:dyDescent="0.3"/>
    <row r="833" ht="26.25" customHeight="1" x14ac:dyDescent="0.3"/>
    <row r="834" ht="26.25" customHeight="1" x14ac:dyDescent="0.3"/>
    <row r="835" ht="26.25" customHeight="1" x14ac:dyDescent="0.3"/>
    <row r="836" ht="26.25" customHeight="1" x14ac:dyDescent="0.3"/>
    <row r="837" ht="26.25" customHeight="1" x14ac:dyDescent="0.3"/>
    <row r="838" ht="26.25" customHeight="1" x14ac:dyDescent="0.3"/>
    <row r="839" ht="26.25" customHeight="1" x14ac:dyDescent="0.3"/>
    <row r="840" ht="26.25" customHeight="1" x14ac:dyDescent="0.3"/>
    <row r="841" ht="26.25" customHeight="1" x14ac:dyDescent="0.3"/>
    <row r="842" ht="26.25" customHeight="1" x14ac:dyDescent="0.3"/>
    <row r="843" ht="26.25" customHeight="1" x14ac:dyDescent="0.3"/>
    <row r="844" ht="26.25" customHeight="1" x14ac:dyDescent="0.3"/>
    <row r="845" ht="26.25" customHeight="1" x14ac:dyDescent="0.3"/>
    <row r="846" ht="26.25" customHeight="1" x14ac:dyDescent="0.3"/>
    <row r="847" ht="26.25" customHeight="1" x14ac:dyDescent="0.3"/>
    <row r="848" ht="26.25" customHeight="1" x14ac:dyDescent="0.3"/>
    <row r="849" ht="26.25" customHeight="1" x14ac:dyDescent="0.3"/>
    <row r="850" ht="26.25" customHeight="1" x14ac:dyDescent="0.3"/>
    <row r="851" ht="26.25" customHeight="1" x14ac:dyDescent="0.3"/>
    <row r="852" ht="26.25" customHeight="1" x14ac:dyDescent="0.3"/>
    <row r="853" ht="26.25" customHeight="1" x14ac:dyDescent="0.3"/>
    <row r="854" ht="26.25" customHeight="1" x14ac:dyDescent="0.3"/>
    <row r="855" ht="26.25" customHeight="1" x14ac:dyDescent="0.3"/>
    <row r="856" ht="26.25" customHeight="1" x14ac:dyDescent="0.3"/>
    <row r="857" ht="26.25" customHeight="1" x14ac:dyDescent="0.3"/>
    <row r="858" ht="26.25" customHeight="1" x14ac:dyDescent="0.3"/>
    <row r="859" ht="26.25" customHeight="1" x14ac:dyDescent="0.3"/>
    <row r="860" ht="26.25" customHeight="1" x14ac:dyDescent="0.3"/>
    <row r="861" ht="26.25" customHeight="1" x14ac:dyDescent="0.3"/>
    <row r="862" ht="26.25" customHeight="1" x14ac:dyDescent="0.3"/>
    <row r="863" ht="26.25" customHeight="1" x14ac:dyDescent="0.3"/>
    <row r="864" ht="26.25" customHeight="1" x14ac:dyDescent="0.3"/>
    <row r="865" ht="26.25" customHeight="1" x14ac:dyDescent="0.3"/>
    <row r="866" ht="26.25" customHeight="1" x14ac:dyDescent="0.3"/>
    <row r="867" ht="26.25" customHeight="1" x14ac:dyDescent="0.3"/>
    <row r="868" ht="26.25" customHeight="1" x14ac:dyDescent="0.3"/>
    <row r="869" ht="26.25" customHeight="1" x14ac:dyDescent="0.3"/>
    <row r="870" ht="26.25" customHeight="1" x14ac:dyDescent="0.3"/>
    <row r="871" ht="26.25" customHeight="1" x14ac:dyDescent="0.3"/>
    <row r="872" ht="26.25" customHeight="1" x14ac:dyDescent="0.3"/>
    <row r="873" ht="26.25" customHeight="1" x14ac:dyDescent="0.3"/>
    <row r="874" ht="26.25" customHeight="1" x14ac:dyDescent="0.3"/>
    <row r="875" ht="26.25" customHeight="1" x14ac:dyDescent="0.3"/>
    <row r="876" ht="26.25" customHeight="1" x14ac:dyDescent="0.3"/>
    <row r="877" ht="26.25" customHeight="1" x14ac:dyDescent="0.3"/>
    <row r="878" ht="26.25" customHeight="1" x14ac:dyDescent="0.3"/>
    <row r="879" ht="26.25" customHeight="1" x14ac:dyDescent="0.3"/>
    <row r="880" ht="26.25" customHeight="1" x14ac:dyDescent="0.3"/>
    <row r="881" ht="26.25" customHeight="1" x14ac:dyDescent="0.3"/>
    <row r="882" ht="26.25" customHeight="1" x14ac:dyDescent="0.3"/>
    <row r="883" ht="26.25" customHeight="1" x14ac:dyDescent="0.3"/>
    <row r="884" ht="26.25" customHeight="1" x14ac:dyDescent="0.3"/>
    <row r="885" ht="26.25" customHeight="1" x14ac:dyDescent="0.3"/>
    <row r="886" ht="26.25" customHeight="1" x14ac:dyDescent="0.3"/>
    <row r="887" ht="26.25" customHeight="1" x14ac:dyDescent="0.3"/>
    <row r="888" ht="26.25" customHeight="1" x14ac:dyDescent="0.3"/>
    <row r="889" ht="26.25" customHeight="1" x14ac:dyDescent="0.3"/>
    <row r="890" ht="26.25" customHeight="1" x14ac:dyDescent="0.3"/>
    <row r="891" ht="26.25" customHeight="1" x14ac:dyDescent="0.3"/>
    <row r="892" ht="26.25" customHeight="1" x14ac:dyDescent="0.3"/>
    <row r="893" ht="26.25" customHeight="1" x14ac:dyDescent="0.3"/>
    <row r="894" ht="26.25" customHeight="1" x14ac:dyDescent="0.3"/>
    <row r="895" ht="26.25" customHeight="1" x14ac:dyDescent="0.3"/>
    <row r="896" ht="26.25" customHeight="1" x14ac:dyDescent="0.3"/>
    <row r="897" ht="26.25" customHeight="1" x14ac:dyDescent="0.3"/>
    <row r="898" ht="26.25" customHeight="1" x14ac:dyDescent="0.3"/>
    <row r="899" ht="26.25" customHeight="1" x14ac:dyDescent="0.3"/>
    <row r="900" ht="26.25" customHeight="1" x14ac:dyDescent="0.3"/>
    <row r="901" ht="26.25" customHeight="1" x14ac:dyDescent="0.3"/>
    <row r="902" ht="26.25" customHeight="1" x14ac:dyDescent="0.3"/>
    <row r="903" ht="26.25" customHeight="1" x14ac:dyDescent="0.3"/>
    <row r="904" ht="26.25" customHeight="1" x14ac:dyDescent="0.3"/>
    <row r="905" ht="26.25" customHeight="1" x14ac:dyDescent="0.3"/>
    <row r="906" ht="26.25" customHeight="1" x14ac:dyDescent="0.3"/>
    <row r="907" ht="26.25" customHeight="1" x14ac:dyDescent="0.3"/>
    <row r="908" ht="26.25" customHeight="1" x14ac:dyDescent="0.3"/>
    <row r="909" ht="26.25" customHeight="1" x14ac:dyDescent="0.3"/>
    <row r="910" ht="26.25" customHeight="1" x14ac:dyDescent="0.3"/>
    <row r="911" ht="26.25" customHeight="1" x14ac:dyDescent="0.3"/>
    <row r="912" ht="26.25" customHeight="1" x14ac:dyDescent="0.3"/>
    <row r="913" ht="26.25" customHeight="1" x14ac:dyDescent="0.3"/>
    <row r="914" ht="26.25" customHeight="1" x14ac:dyDescent="0.3"/>
    <row r="915" ht="26.25" customHeight="1" x14ac:dyDescent="0.3"/>
    <row r="916" ht="26.25" customHeight="1" x14ac:dyDescent="0.3"/>
    <row r="917" ht="26.25" customHeight="1" x14ac:dyDescent="0.3"/>
    <row r="918" ht="26.25" customHeight="1" x14ac:dyDescent="0.3"/>
    <row r="919" ht="26.25" customHeight="1" x14ac:dyDescent="0.3"/>
    <row r="920" ht="26.25" customHeight="1" x14ac:dyDescent="0.3"/>
    <row r="921" ht="26.25" customHeight="1" x14ac:dyDescent="0.3"/>
    <row r="922" ht="26.25" customHeight="1" x14ac:dyDescent="0.3"/>
    <row r="923" ht="26.25" customHeight="1" x14ac:dyDescent="0.3"/>
    <row r="924" ht="26.25" customHeight="1" x14ac:dyDescent="0.3"/>
    <row r="925" ht="26.25" customHeight="1" x14ac:dyDescent="0.3"/>
    <row r="926" ht="26.25" customHeight="1" x14ac:dyDescent="0.3"/>
    <row r="927" ht="26.25" customHeight="1" x14ac:dyDescent="0.3"/>
    <row r="928" ht="26.25" customHeight="1" x14ac:dyDescent="0.3"/>
    <row r="929" ht="26.25" customHeight="1" x14ac:dyDescent="0.3"/>
    <row r="930" ht="26.25" customHeight="1" x14ac:dyDescent="0.3"/>
    <row r="931" ht="26.25" customHeight="1" x14ac:dyDescent="0.3"/>
    <row r="932" ht="26.25" customHeight="1" x14ac:dyDescent="0.3"/>
    <row r="933" ht="26.25" customHeight="1" x14ac:dyDescent="0.3"/>
    <row r="934" ht="26.25" customHeight="1" x14ac:dyDescent="0.3"/>
    <row r="935" ht="26.25" customHeight="1" x14ac:dyDescent="0.3"/>
    <row r="936" ht="26.25" customHeight="1" x14ac:dyDescent="0.3"/>
    <row r="937" ht="26.25" customHeight="1" x14ac:dyDescent="0.3"/>
    <row r="938" ht="26.25" customHeight="1" x14ac:dyDescent="0.3"/>
    <row r="939" ht="26.25" customHeight="1" x14ac:dyDescent="0.3"/>
    <row r="940" ht="26.25" customHeight="1" x14ac:dyDescent="0.3"/>
    <row r="941" ht="26.25" customHeight="1" x14ac:dyDescent="0.3"/>
    <row r="942" ht="26.25" customHeight="1" x14ac:dyDescent="0.3"/>
    <row r="943" ht="26.25" customHeight="1" x14ac:dyDescent="0.3"/>
    <row r="944" ht="26.25" customHeight="1" x14ac:dyDescent="0.3"/>
    <row r="945" ht="26.25" customHeight="1" x14ac:dyDescent="0.3"/>
    <row r="946" ht="26.25" customHeight="1" x14ac:dyDescent="0.3"/>
    <row r="947" ht="26.25" customHeight="1" x14ac:dyDescent="0.3"/>
    <row r="948" ht="26.25" customHeight="1" x14ac:dyDescent="0.3"/>
    <row r="949" ht="26.25" customHeight="1" x14ac:dyDescent="0.3"/>
    <row r="950" ht="26.25" customHeight="1" x14ac:dyDescent="0.3"/>
    <row r="951" ht="26.25" customHeight="1" x14ac:dyDescent="0.3"/>
    <row r="952" ht="26.25" customHeight="1" x14ac:dyDescent="0.3"/>
    <row r="953" ht="26.25" customHeight="1" x14ac:dyDescent="0.3"/>
    <row r="954" ht="26.25" customHeight="1" x14ac:dyDescent="0.3"/>
    <row r="955" ht="26.25" customHeight="1" x14ac:dyDescent="0.3"/>
    <row r="956" ht="26.25" customHeight="1" x14ac:dyDescent="0.3"/>
    <row r="957" ht="26.25" customHeight="1" x14ac:dyDescent="0.3"/>
    <row r="958" ht="26.25" customHeight="1" x14ac:dyDescent="0.3"/>
    <row r="959" ht="26.25" customHeight="1" x14ac:dyDescent="0.3"/>
    <row r="960" ht="26.25" customHeight="1" x14ac:dyDescent="0.3"/>
    <row r="961" ht="26.25" customHeight="1" x14ac:dyDescent="0.3"/>
    <row r="962" ht="26.25" customHeight="1" x14ac:dyDescent="0.3"/>
    <row r="963" ht="26.25" customHeight="1" x14ac:dyDescent="0.3"/>
    <row r="964" ht="26.25" customHeight="1" x14ac:dyDescent="0.3"/>
    <row r="965" ht="26.25" customHeight="1" x14ac:dyDescent="0.3"/>
    <row r="966" ht="26.25" customHeight="1" x14ac:dyDescent="0.3"/>
    <row r="967" ht="26.25" customHeight="1" x14ac:dyDescent="0.3"/>
    <row r="968" ht="26.25" customHeight="1" x14ac:dyDescent="0.3"/>
    <row r="969" ht="26.25" customHeight="1" x14ac:dyDescent="0.3"/>
    <row r="970" ht="26.25" customHeight="1" x14ac:dyDescent="0.3"/>
    <row r="971" ht="26.25" customHeight="1" x14ac:dyDescent="0.3"/>
    <row r="972" ht="26.25" customHeight="1" x14ac:dyDescent="0.3"/>
    <row r="973" ht="26.25" customHeight="1" x14ac:dyDescent="0.3"/>
    <row r="974" ht="26.25" customHeight="1" x14ac:dyDescent="0.3"/>
    <row r="975" ht="26.25" customHeight="1" x14ac:dyDescent="0.3"/>
    <row r="976" ht="26.25" customHeight="1" x14ac:dyDescent="0.3"/>
    <row r="977" ht="26.25" customHeight="1" x14ac:dyDescent="0.3"/>
    <row r="978" ht="26.25" customHeight="1" x14ac:dyDescent="0.3"/>
    <row r="979" ht="26.25" customHeight="1" x14ac:dyDescent="0.3"/>
    <row r="980" ht="26.25" customHeight="1" x14ac:dyDescent="0.3"/>
    <row r="981" ht="26.25" customHeight="1" x14ac:dyDescent="0.3"/>
    <row r="982" ht="26.25" customHeight="1" x14ac:dyDescent="0.3"/>
    <row r="983" ht="26.25" customHeight="1" x14ac:dyDescent="0.3"/>
    <row r="984" ht="26.25" customHeight="1" x14ac:dyDescent="0.3"/>
    <row r="985" ht="26.25" customHeight="1" x14ac:dyDescent="0.3"/>
    <row r="986" ht="26.25" customHeight="1" x14ac:dyDescent="0.3"/>
    <row r="987" ht="26.25" customHeight="1" x14ac:dyDescent="0.3"/>
    <row r="988" ht="26.25" customHeight="1" x14ac:dyDescent="0.3"/>
    <row r="989" ht="26.25" customHeight="1" x14ac:dyDescent="0.3"/>
    <row r="990" ht="26.25" customHeight="1" x14ac:dyDescent="0.3"/>
    <row r="991" ht="26.25" customHeight="1" x14ac:dyDescent="0.3"/>
    <row r="992" ht="26.25" customHeight="1" x14ac:dyDescent="0.3"/>
    <row r="993" ht="26.25" customHeight="1" x14ac:dyDescent="0.3"/>
    <row r="994" ht="26.25" customHeight="1" x14ac:dyDescent="0.3"/>
    <row r="995" ht="26.25" customHeight="1" x14ac:dyDescent="0.3"/>
    <row r="996" ht="26.25" customHeight="1" x14ac:dyDescent="0.3"/>
    <row r="997" ht="26.25" customHeight="1" x14ac:dyDescent="0.3"/>
    <row r="998" ht="26.25" customHeight="1" x14ac:dyDescent="0.3"/>
    <row r="999" ht="26.25" customHeight="1" x14ac:dyDescent="0.3"/>
    <row r="1000" ht="26.25" customHeight="1" x14ac:dyDescent="0.3"/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8" sqref="E18"/>
    </sheetView>
  </sheetViews>
  <sheetFormatPr defaultColWidth="14.44140625" defaultRowHeight="15" customHeight="1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38.109375" customWidth="1"/>
    <col min="7" max="7" width="26.6640625" customWidth="1"/>
    <col min="8" max="8" width="16.5546875" customWidth="1"/>
    <col min="9" max="9" width="14.5546875" customWidth="1"/>
    <col min="10" max="10" width="28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50" customWidth="1"/>
    <col min="16" max="16" width="26.44140625" customWidth="1"/>
    <col min="17" max="40" width="9.109375" customWidth="1"/>
  </cols>
  <sheetData>
    <row r="1" spans="1:40" ht="27" customHeight="1" x14ac:dyDescent="0.3">
      <c r="A1" s="61" t="s">
        <v>124</v>
      </c>
      <c r="B1" s="16"/>
      <c r="C1" s="62"/>
      <c r="D1" s="62"/>
      <c r="E1" s="62"/>
      <c r="F1" s="62"/>
      <c r="G1" s="16"/>
      <c r="H1" s="63" t="s">
        <v>63</v>
      </c>
      <c r="I1" s="64">
        <f>SUBTOTAL(9,I4:I11989)</f>
        <v>3615.05</v>
      </c>
      <c r="J1" s="65" t="s">
        <v>80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7" customHeight="1" x14ac:dyDescent="0.3">
      <c r="A2" s="66" t="s">
        <v>82</v>
      </c>
      <c r="B2" s="66" t="s">
        <v>125</v>
      </c>
      <c r="C2" s="66" t="s">
        <v>126</v>
      </c>
      <c r="D2" s="66" t="s">
        <v>127</v>
      </c>
      <c r="E2" s="66" t="s">
        <v>128</v>
      </c>
      <c r="F2" s="66" t="s">
        <v>129</v>
      </c>
      <c r="G2" s="145" t="s">
        <v>130</v>
      </c>
      <c r="H2" s="131"/>
      <c r="I2" s="66" t="s">
        <v>131</v>
      </c>
      <c r="J2" s="66" t="s">
        <v>132</v>
      </c>
      <c r="K2" s="67" t="s">
        <v>4</v>
      </c>
      <c r="L2" s="39"/>
      <c r="M2" s="39"/>
      <c r="N2" s="68" t="s">
        <v>133</v>
      </c>
      <c r="O2" s="68" t="s">
        <v>134</v>
      </c>
      <c r="P2" s="68" t="s">
        <v>135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1:40" ht="27" customHeight="1" x14ac:dyDescent="0.3">
      <c r="A3" s="69"/>
      <c r="B3" s="69"/>
      <c r="C3" s="69"/>
      <c r="D3" s="69"/>
      <c r="E3" s="69"/>
      <c r="F3" s="69"/>
      <c r="G3" s="70" t="s">
        <v>136</v>
      </c>
      <c r="H3" s="71" t="s">
        <v>137</v>
      </c>
      <c r="I3" s="69"/>
      <c r="J3" s="69"/>
      <c r="K3" s="72"/>
      <c r="L3" s="39"/>
      <c r="M3" s="39"/>
      <c r="N3" s="73"/>
      <c r="O3" s="73"/>
      <c r="P3" s="73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4" spans="1:40" ht="27" customHeight="1" x14ac:dyDescent="0.6">
      <c r="A4" s="16">
        <v>1</v>
      </c>
      <c r="B4" s="74">
        <v>244354</v>
      </c>
      <c r="C4" s="62" t="s">
        <v>138</v>
      </c>
      <c r="D4" s="62" t="s">
        <v>139</v>
      </c>
      <c r="E4" s="75" t="s">
        <v>140</v>
      </c>
      <c r="F4" s="75" t="s">
        <v>141</v>
      </c>
      <c r="G4" s="75" t="s">
        <v>142</v>
      </c>
      <c r="H4" s="62" t="s">
        <v>143</v>
      </c>
      <c r="I4" s="76">
        <v>106.19</v>
      </c>
      <c r="J4" s="16" t="s">
        <v>68</v>
      </c>
      <c r="K4" s="16"/>
      <c r="L4" s="16"/>
      <c r="M4" s="16"/>
      <c r="N4" s="77" t="s">
        <v>68</v>
      </c>
      <c r="O4" s="45" t="s">
        <v>144</v>
      </c>
      <c r="P4" s="78" t="s">
        <v>140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ht="27" customHeight="1" x14ac:dyDescent="0.6">
      <c r="A5" s="16">
        <v>2</v>
      </c>
      <c r="B5" s="74">
        <v>244474</v>
      </c>
      <c r="C5" s="62" t="s">
        <v>145</v>
      </c>
      <c r="D5" s="62" t="s">
        <v>146</v>
      </c>
      <c r="E5" s="75" t="s">
        <v>140</v>
      </c>
      <c r="F5" s="75" t="s">
        <v>141</v>
      </c>
      <c r="G5" s="75" t="s">
        <v>147</v>
      </c>
      <c r="H5" s="62" t="s">
        <v>148</v>
      </c>
      <c r="I5" s="76">
        <v>680.36</v>
      </c>
      <c r="J5" s="16" t="s">
        <v>68</v>
      </c>
      <c r="K5" s="16"/>
      <c r="L5" s="16"/>
      <c r="M5" s="16"/>
      <c r="N5" s="77" t="s">
        <v>69</v>
      </c>
      <c r="O5" s="45" t="s">
        <v>149</v>
      </c>
      <c r="P5" s="79" t="s">
        <v>150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spans="1:40" ht="27" customHeight="1" x14ac:dyDescent="0.6">
      <c r="A6" s="16">
        <v>3</v>
      </c>
      <c r="B6" s="74">
        <v>244474</v>
      </c>
      <c r="C6" s="62" t="s">
        <v>151</v>
      </c>
      <c r="D6" s="62" t="s">
        <v>152</v>
      </c>
      <c r="E6" s="75" t="s">
        <v>140</v>
      </c>
      <c r="F6" s="75" t="s">
        <v>141</v>
      </c>
      <c r="G6" s="75" t="s">
        <v>147</v>
      </c>
      <c r="H6" s="62" t="s">
        <v>148</v>
      </c>
      <c r="I6" s="76">
        <v>488.44</v>
      </c>
      <c r="J6" s="16" t="s">
        <v>68</v>
      </c>
      <c r="K6" s="16"/>
      <c r="L6" s="16"/>
      <c r="M6" s="16"/>
      <c r="N6" s="77" t="s">
        <v>70</v>
      </c>
      <c r="O6" s="45" t="s">
        <v>153</v>
      </c>
      <c r="P6" s="78" t="s">
        <v>154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27" customHeight="1" x14ac:dyDescent="0.6">
      <c r="A7" s="16">
        <v>4</v>
      </c>
      <c r="B7" s="74">
        <v>244474</v>
      </c>
      <c r="C7" s="75" t="s">
        <v>155</v>
      </c>
      <c r="D7" s="62" t="s">
        <v>156</v>
      </c>
      <c r="E7" s="75" t="s">
        <v>150</v>
      </c>
      <c r="F7" s="75" t="s">
        <v>144</v>
      </c>
      <c r="G7" s="75" t="s">
        <v>157</v>
      </c>
      <c r="H7" s="62" t="s">
        <v>158</v>
      </c>
      <c r="I7" s="76">
        <v>187</v>
      </c>
      <c r="J7" s="16" t="s">
        <v>68</v>
      </c>
      <c r="K7" s="16"/>
      <c r="L7" s="16"/>
      <c r="M7" s="16"/>
      <c r="N7" s="77" t="s">
        <v>159</v>
      </c>
      <c r="O7" s="45" t="s">
        <v>141</v>
      </c>
      <c r="P7" s="77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27" customHeight="1" x14ac:dyDescent="0.6">
      <c r="A8" s="16">
        <v>5</v>
      </c>
      <c r="B8" s="74">
        <v>244474</v>
      </c>
      <c r="C8" s="75" t="s">
        <v>160</v>
      </c>
      <c r="D8" s="62" t="s">
        <v>161</v>
      </c>
      <c r="E8" s="75" t="s">
        <v>140</v>
      </c>
      <c r="F8" s="75" t="s">
        <v>141</v>
      </c>
      <c r="G8" s="75" t="s">
        <v>162</v>
      </c>
      <c r="H8" s="62" t="s">
        <v>163</v>
      </c>
      <c r="I8" s="76">
        <v>97.2</v>
      </c>
      <c r="J8" s="16" t="s">
        <v>68</v>
      </c>
      <c r="K8" s="16"/>
      <c r="L8" s="16"/>
      <c r="M8" s="16"/>
      <c r="N8" s="77"/>
      <c r="O8" s="45" t="s">
        <v>164</v>
      </c>
      <c r="P8" s="77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spans="1:40" ht="27" customHeight="1" x14ac:dyDescent="0.6">
      <c r="A9" s="16">
        <v>6</v>
      </c>
      <c r="B9" s="74">
        <v>244474</v>
      </c>
      <c r="C9" s="75" t="s">
        <v>165</v>
      </c>
      <c r="D9" s="62" t="s">
        <v>166</v>
      </c>
      <c r="E9" s="75" t="s">
        <v>140</v>
      </c>
      <c r="F9" s="75" t="s">
        <v>141</v>
      </c>
      <c r="G9" s="62" t="s">
        <v>167</v>
      </c>
      <c r="H9" s="62" t="s">
        <v>168</v>
      </c>
      <c r="I9" s="76">
        <v>78</v>
      </c>
      <c r="J9" s="16" t="s">
        <v>68</v>
      </c>
      <c r="K9" s="16"/>
      <c r="L9" s="16"/>
      <c r="M9" s="16"/>
      <c r="N9" s="77"/>
      <c r="O9" s="45" t="s">
        <v>169</v>
      </c>
      <c r="P9" s="77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spans="1:40" ht="27" customHeight="1" x14ac:dyDescent="0.6">
      <c r="A10" s="16">
        <v>7</v>
      </c>
      <c r="B10" s="80">
        <v>244505</v>
      </c>
      <c r="C10" s="75" t="s">
        <v>170</v>
      </c>
      <c r="D10" s="62" t="s">
        <v>171</v>
      </c>
      <c r="E10" s="75" t="s">
        <v>150</v>
      </c>
      <c r="F10" s="75" t="s">
        <v>141</v>
      </c>
      <c r="G10" s="75" t="s">
        <v>172</v>
      </c>
      <c r="H10" s="62"/>
      <c r="I10" s="76">
        <v>259.64999999999998</v>
      </c>
      <c r="J10" s="16" t="s">
        <v>68</v>
      </c>
      <c r="K10" s="16"/>
      <c r="L10" s="16"/>
      <c r="M10" s="16"/>
      <c r="N10" s="77"/>
      <c r="O10" s="45" t="s">
        <v>173</v>
      </c>
      <c r="P10" s="7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27" customHeight="1" x14ac:dyDescent="0.6">
      <c r="A11" s="16">
        <v>8</v>
      </c>
      <c r="B11" s="80">
        <v>244505</v>
      </c>
      <c r="C11" s="62" t="s">
        <v>174</v>
      </c>
      <c r="D11" s="62" t="s">
        <v>175</v>
      </c>
      <c r="E11" s="75" t="s">
        <v>150</v>
      </c>
      <c r="F11" s="75" t="s">
        <v>144</v>
      </c>
      <c r="G11" s="75" t="s">
        <v>172</v>
      </c>
      <c r="H11" s="62"/>
      <c r="I11" s="76">
        <v>138.31</v>
      </c>
      <c r="J11" s="16" t="s">
        <v>68</v>
      </c>
      <c r="K11" s="16"/>
      <c r="L11" s="16"/>
      <c r="M11" s="16"/>
      <c r="N11" s="77"/>
      <c r="O11" s="45" t="s">
        <v>176</v>
      </c>
      <c r="P11" s="7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spans="1:40" ht="27" customHeight="1" x14ac:dyDescent="0.6">
      <c r="A12" s="16">
        <v>9</v>
      </c>
      <c r="B12" s="80">
        <v>244627</v>
      </c>
      <c r="C12" s="62" t="s">
        <v>177</v>
      </c>
      <c r="D12" s="62" t="s">
        <v>178</v>
      </c>
      <c r="E12" s="75" t="s">
        <v>140</v>
      </c>
      <c r="F12" s="75" t="s">
        <v>144</v>
      </c>
      <c r="G12" s="16" t="s">
        <v>179</v>
      </c>
      <c r="H12" s="16" t="s">
        <v>180</v>
      </c>
      <c r="I12" s="15">
        <v>98.1</v>
      </c>
      <c r="J12" s="16" t="s">
        <v>68</v>
      </c>
      <c r="K12" s="16"/>
      <c r="L12" s="16"/>
      <c r="M12" s="16"/>
      <c r="N12" s="77"/>
      <c r="O12" s="45" t="s">
        <v>181</v>
      </c>
      <c r="P12" s="7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pans="1:40" ht="27" customHeight="1" x14ac:dyDescent="0.6">
      <c r="A13" s="16">
        <v>10</v>
      </c>
      <c r="B13" s="80">
        <v>244658</v>
      </c>
      <c r="C13" s="62" t="s">
        <v>182</v>
      </c>
      <c r="D13" s="62" t="s">
        <v>183</v>
      </c>
      <c r="E13" s="75" t="s">
        <v>150</v>
      </c>
      <c r="F13" s="75" t="s">
        <v>141</v>
      </c>
      <c r="G13" s="16" t="s">
        <v>184</v>
      </c>
      <c r="H13" s="16" t="s">
        <v>185</v>
      </c>
      <c r="I13" s="15">
        <v>242</v>
      </c>
      <c r="J13" s="16" t="s">
        <v>68</v>
      </c>
      <c r="K13" s="16"/>
      <c r="L13" s="16"/>
      <c r="M13" s="16"/>
      <c r="N13" s="77"/>
      <c r="O13" s="45" t="s">
        <v>186</v>
      </c>
      <c r="P13" s="7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1:40" ht="27" customHeight="1" x14ac:dyDescent="0.3">
      <c r="A14" s="16">
        <v>11</v>
      </c>
      <c r="B14" s="80">
        <v>244688</v>
      </c>
      <c r="C14" s="62" t="s">
        <v>187</v>
      </c>
      <c r="D14" s="62" t="s">
        <v>188</v>
      </c>
      <c r="E14" s="75" t="s">
        <v>140</v>
      </c>
      <c r="F14" s="75" t="s">
        <v>141</v>
      </c>
      <c r="G14" s="16" t="s">
        <v>189</v>
      </c>
      <c r="H14" s="16" t="s">
        <v>190</v>
      </c>
      <c r="I14" s="15">
        <v>244</v>
      </c>
      <c r="J14" s="16" t="s">
        <v>68</v>
      </c>
      <c r="K14" s="6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spans="1:40" ht="27" customHeight="1" x14ac:dyDescent="0.3">
      <c r="A15" s="16">
        <v>12</v>
      </c>
      <c r="B15" s="16" t="s">
        <v>191</v>
      </c>
      <c r="C15" s="62" t="s">
        <v>192</v>
      </c>
      <c r="D15" s="62" t="s">
        <v>193</v>
      </c>
      <c r="E15" s="75" t="s">
        <v>140</v>
      </c>
      <c r="F15" s="75" t="s">
        <v>141</v>
      </c>
      <c r="G15" s="16" t="s">
        <v>194</v>
      </c>
      <c r="H15" s="16" t="s">
        <v>195</v>
      </c>
      <c r="I15" s="15">
        <v>244</v>
      </c>
      <c r="J15" s="16" t="s">
        <v>68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spans="1:40" ht="27" customHeight="1" x14ac:dyDescent="0.3">
      <c r="A16" s="16">
        <v>13</v>
      </c>
      <c r="B16" s="16" t="s">
        <v>196</v>
      </c>
      <c r="C16" s="62" t="s">
        <v>197</v>
      </c>
      <c r="D16" s="62" t="s">
        <v>198</v>
      </c>
      <c r="E16" s="75" t="s">
        <v>140</v>
      </c>
      <c r="F16" s="75" t="s">
        <v>144</v>
      </c>
      <c r="G16" s="16" t="s">
        <v>199</v>
      </c>
      <c r="H16" s="16" t="s">
        <v>200</v>
      </c>
      <c r="I16" s="15">
        <v>117</v>
      </c>
      <c r="J16" s="16" t="s">
        <v>68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spans="1:40" ht="27" customHeight="1" x14ac:dyDescent="0.3">
      <c r="A17" s="16">
        <v>14</v>
      </c>
      <c r="B17" s="16" t="s">
        <v>201</v>
      </c>
      <c r="C17" s="62" t="s">
        <v>202</v>
      </c>
      <c r="D17" s="62" t="s">
        <v>203</v>
      </c>
      <c r="E17" s="75" t="s">
        <v>154</v>
      </c>
      <c r="F17" s="75" t="s">
        <v>141</v>
      </c>
      <c r="G17" s="16" t="s">
        <v>204</v>
      </c>
      <c r="H17" s="16"/>
      <c r="I17" s="15">
        <v>61</v>
      </c>
      <c r="J17" s="16" t="s">
        <v>68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spans="1:40" ht="27" customHeight="1" x14ac:dyDescent="0.3">
      <c r="A18" s="16">
        <v>15</v>
      </c>
      <c r="B18" s="16" t="s">
        <v>201</v>
      </c>
      <c r="C18" s="62" t="s">
        <v>205</v>
      </c>
      <c r="D18" s="62" t="s">
        <v>206</v>
      </c>
      <c r="E18" s="75" t="s">
        <v>150</v>
      </c>
      <c r="F18" s="75" t="s">
        <v>144</v>
      </c>
      <c r="G18" s="16" t="s">
        <v>207</v>
      </c>
      <c r="H18" s="16"/>
      <c r="I18" s="15">
        <v>444.76</v>
      </c>
      <c r="J18" s="16" t="s">
        <v>68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spans="1:40" ht="27" customHeight="1" x14ac:dyDescent="0.3">
      <c r="A19" s="16">
        <v>16</v>
      </c>
      <c r="B19" s="16" t="s">
        <v>208</v>
      </c>
      <c r="C19" s="62" t="s">
        <v>209</v>
      </c>
      <c r="D19" s="62" t="s">
        <v>210</v>
      </c>
      <c r="E19" s="75" t="s">
        <v>140</v>
      </c>
      <c r="F19" s="75" t="s">
        <v>141</v>
      </c>
      <c r="G19" s="16" t="s">
        <v>211</v>
      </c>
      <c r="H19" s="16" t="s">
        <v>212</v>
      </c>
      <c r="I19" s="15">
        <v>71.94</v>
      </c>
      <c r="J19" s="16" t="s">
        <v>68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spans="1:40" ht="27" customHeight="1" x14ac:dyDescent="0.3">
      <c r="A20" s="16">
        <v>17</v>
      </c>
      <c r="B20" s="16" t="s">
        <v>213</v>
      </c>
      <c r="C20" s="62" t="s">
        <v>214</v>
      </c>
      <c r="D20" s="62" t="s">
        <v>215</v>
      </c>
      <c r="E20" s="75" t="s">
        <v>140</v>
      </c>
      <c r="F20" s="75" t="s">
        <v>141</v>
      </c>
      <c r="G20" s="16" t="s">
        <v>216</v>
      </c>
      <c r="H20" s="16" t="s">
        <v>217</v>
      </c>
      <c r="I20" s="15">
        <v>57.1</v>
      </c>
      <c r="J20" s="16" t="s">
        <v>68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spans="1:40" ht="27" customHeight="1" x14ac:dyDescent="0.3">
      <c r="A21" s="16"/>
      <c r="B21" s="16"/>
      <c r="C21" s="62"/>
      <c r="D21" s="62"/>
      <c r="E21" s="62"/>
      <c r="F21" s="62"/>
      <c r="G21" s="16"/>
      <c r="H21" s="16"/>
      <c r="I21" s="15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spans="1:40" ht="27" customHeight="1" x14ac:dyDescent="0.3">
      <c r="A22" s="16"/>
      <c r="B22" s="16"/>
      <c r="C22" s="62"/>
      <c r="D22" s="62"/>
      <c r="E22" s="62"/>
      <c r="F22" s="62"/>
      <c r="G22" s="16"/>
      <c r="H22" s="16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spans="1:40" ht="27" customHeight="1" x14ac:dyDescent="0.3">
      <c r="A23" s="16"/>
      <c r="B23" s="16"/>
      <c r="C23" s="62"/>
      <c r="D23" s="62"/>
      <c r="E23" s="62"/>
      <c r="F23" s="62"/>
      <c r="G23" s="16"/>
      <c r="H23" s="16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spans="1:40" ht="27" customHeight="1" x14ac:dyDescent="0.3">
      <c r="A24" s="16"/>
      <c r="B24" s="16"/>
      <c r="C24" s="62"/>
      <c r="D24" s="62"/>
      <c r="E24" s="62"/>
      <c r="F24" s="62"/>
      <c r="G24" s="16"/>
      <c r="H24" s="16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spans="1:40" ht="27" customHeight="1" x14ac:dyDescent="0.3">
      <c r="A25" s="16"/>
      <c r="B25" s="16"/>
      <c r="C25" s="62"/>
      <c r="D25" s="62"/>
      <c r="E25" s="62"/>
      <c r="F25" s="62"/>
      <c r="G25" s="16"/>
      <c r="H25" s="16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spans="1:40" ht="27" customHeight="1" x14ac:dyDescent="0.3">
      <c r="A26" s="16"/>
      <c r="B26" s="16"/>
      <c r="C26" s="62"/>
      <c r="D26" s="62"/>
      <c r="E26" s="62"/>
      <c r="F26" s="62"/>
      <c r="G26" s="16"/>
      <c r="H26" s="16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spans="1:40" ht="27" customHeight="1" x14ac:dyDescent="0.3">
      <c r="A27" s="16"/>
      <c r="B27" s="16"/>
      <c r="C27" s="62"/>
      <c r="D27" s="62"/>
      <c r="E27" s="62"/>
      <c r="F27" s="62"/>
      <c r="G27" s="16"/>
      <c r="H27" s="16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spans="1:40" ht="27" customHeight="1" x14ac:dyDescent="0.3">
      <c r="A28" s="16"/>
      <c r="B28" s="16"/>
      <c r="C28" s="62"/>
      <c r="D28" s="62"/>
      <c r="E28" s="62"/>
      <c r="F28" s="62"/>
      <c r="G28" s="16"/>
      <c r="H28" s="16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spans="1:40" ht="27" customHeight="1" x14ac:dyDescent="0.3">
      <c r="A29" s="16"/>
      <c r="B29" s="16"/>
      <c r="C29" s="62"/>
      <c r="D29" s="62"/>
      <c r="E29" s="62"/>
      <c r="F29" s="62"/>
      <c r="G29" s="16"/>
      <c r="H29" s="16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spans="1:40" ht="27" customHeight="1" x14ac:dyDescent="0.3">
      <c r="A30" s="16"/>
      <c r="B30" s="16"/>
      <c r="C30" s="62"/>
      <c r="D30" s="62"/>
      <c r="E30" s="62"/>
      <c r="F30" s="62"/>
      <c r="G30" s="16"/>
      <c r="H30" s="16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spans="1:40" ht="27" customHeight="1" x14ac:dyDescent="0.3">
      <c r="A31" s="16"/>
      <c r="B31" s="16"/>
      <c r="C31" s="62"/>
      <c r="D31" s="62"/>
      <c r="E31" s="62"/>
      <c r="F31" s="62"/>
      <c r="G31" s="16"/>
      <c r="H31" s="16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spans="1:40" ht="27" customHeight="1" x14ac:dyDescent="0.3">
      <c r="A32" s="16"/>
      <c r="B32" s="16"/>
      <c r="C32" s="62"/>
      <c r="D32" s="62"/>
      <c r="E32" s="62"/>
      <c r="F32" s="62"/>
      <c r="G32" s="16"/>
      <c r="H32" s="16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spans="1:40" ht="27" customHeight="1" x14ac:dyDescent="0.3">
      <c r="A33" s="16"/>
      <c r="B33" s="16"/>
      <c r="C33" s="62"/>
      <c r="D33" s="62"/>
      <c r="E33" s="62"/>
      <c r="F33" s="62"/>
      <c r="G33" s="16"/>
      <c r="H33" s="16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spans="1:40" ht="27" customHeight="1" x14ac:dyDescent="0.3">
      <c r="A34" s="16"/>
      <c r="B34" s="16"/>
      <c r="C34" s="62"/>
      <c r="D34" s="62"/>
      <c r="E34" s="62"/>
      <c r="F34" s="62"/>
      <c r="G34" s="16"/>
      <c r="H34" s="16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spans="1:40" ht="27" customHeight="1" x14ac:dyDescent="0.3">
      <c r="A35" s="16"/>
      <c r="B35" s="16"/>
      <c r="C35" s="62"/>
      <c r="D35" s="62"/>
      <c r="E35" s="62"/>
      <c r="F35" s="62"/>
      <c r="G35" s="16"/>
      <c r="H35" s="16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spans="1:40" ht="27" customHeight="1" x14ac:dyDescent="0.3">
      <c r="A36" s="16"/>
      <c r="B36" s="16"/>
      <c r="C36" s="62"/>
      <c r="D36" s="62"/>
      <c r="E36" s="62"/>
      <c r="F36" s="62"/>
      <c r="G36" s="16"/>
      <c r="H36" s="16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spans="1:40" ht="27" customHeight="1" x14ac:dyDescent="0.3">
      <c r="A37" s="16"/>
      <c r="B37" s="16"/>
      <c r="C37" s="62"/>
      <c r="D37" s="62"/>
      <c r="E37" s="62"/>
      <c r="F37" s="62"/>
      <c r="G37" s="16"/>
      <c r="H37" s="16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spans="1:40" ht="27" customHeight="1" x14ac:dyDescent="0.3">
      <c r="A38" s="16"/>
      <c r="B38" s="16"/>
      <c r="C38" s="62"/>
      <c r="D38" s="62"/>
      <c r="E38" s="62"/>
      <c r="F38" s="62"/>
      <c r="G38" s="16"/>
      <c r="H38" s="16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spans="1:40" ht="27" customHeight="1" x14ac:dyDescent="0.3">
      <c r="A39" s="16"/>
      <c r="B39" s="16"/>
      <c r="C39" s="62"/>
      <c r="D39" s="62"/>
      <c r="E39" s="62"/>
      <c r="F39" s="62"/>
      <c r="G39" s="16"/>
      <c r="H39" s="16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spans="1:40" ht="27" customHeight="1" x14ac:dyDescent="0.3">
      <c r="A40" s="16"/>
      <c r="B40" s="16"/>
      <c r="C40" s="62"/>
      <c r="D40" s="62"/>
      <c r="E40" s="62"/>
      <c r="F40" s="62"/>
      <c r="G40" s="16"/>
      <c r="H40" s="16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spans="1:40" ht="27" customHeight="1" x14ac:dyDescent="0.3">
      <c r="A41" s="16"/>
      <c r="B41" s="16"/>
      <c r="C41" s="62"/>
      <c r="D41" s="62"/>
      <c r="E41" s="62"/>
      <c r="F41" s="62"/>
      <c r="G41" s="16"/>
      <c r="H41" s="16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spans="1:40" ht="27" customHeight="1" x14ac:dyDescent="0.3">
      <c r="A42" s="16"/>
      <c r="B42" s="16"/>
      <c r="C42" s="62"/>
      <c r="D42" s="62"/>
      <c r="E42" s="62"/>
      <c r="F42" s="62"/>
      <c r="G42" s="16"/>
      <c r="H42" s="16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spans="1:40" ht="27" customHeight="1" x14ac:dyDescent="0.3">
      <c r="A43" s="16"/>
      <c r="B43" s="16"/>
      <c r="C43" s="62"/>
      <c r="D43" s="62"/>
      <c r="E43" s="62"/>
      <c r="F43" s="62"/>
      <c r="G43" s="16"/>
      <c r="H43" s="16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spans="1:40" ht="27" customHeight="1" x14ac:dyDescent="0.3">
      <c r="A44" s="16"/>
      <c r="B44" s="16"/>
      <c r="C44" s="62"/>
      <c r="D44" s="62"/>
      <c r="E44" s="62"/>
      <c r="F44" s="62"/>
      <c r="G44" s="16"/>
      <c r="H44" s="16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spans="1:40" ht="27" customHeight="1" x14ac:dyDescent="0.3">
      <c r="A45" s="16"/>
      <c r="B45" s="16"/>
      <c r="C45" s="62"/>
      <c r="D45" s="62"/>
      <c r="E45" s="62"/>
      <c r="F45" s="62"/>
      <c r="G45" s="16"/>
      <c r="H45" s="16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spans="1:40" ht="27" customHeight="1" x14ac:dyDescent="0.3">
      <c r="A46" s="16"/>
      <c r="B46" s="16"/>
      <c r="C46" s="62"/>
      <c r="D46" s="62"/>
      <c r="E46" s="62"/>
      <c r="F46" s="62"/>
      <c r="G46" s="16"/>
      <c r="H46" s="16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spans="1:40" ht="27" customHeight="1" x14ac:dyDescent="0.3">
      <c r="A47" s="16"/>
      <c r="B47" s="16"/>
      <c r="C47" s="62"/>
      <c r="D47" s="62"/>
      <c r="E47" s="62"/>
      <c r="F47" s="62"/>
      <c r="G47" s="16"/>
      <c r="H47" s="16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spans="1:40" ht="27" customHeight="1" x14ac:dyDescent="0.3">
      <c r="A48" s="16"/>
      <c r="B48" s="16"/>
      <c r="C48" s="62"/>
      <c r="D48" s="62"/>
      <c r="E48" s="62"/>
      <c r="F48" s="62"/>
      <c r="G48" s="16"/>
      <c r="H48" s="16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spans="1:40" ht="27" customHeight="1" x14ac:dyDescent="0.3">
      <c r="A49" s="16"/>
      <c r="B49" s="16"/>
      <c r="C49" s="62"/>
      <c r="D49" s="62"/>
      <c r="E49" s="62"/>
      <c r="F49" s="62"/>
      <c r="G49" s="16"/>
      <c r="H49" s="16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spans="1:40" ht="27" customHeight="1" x14ac:dyDescent="0.3">
      <c r="A50" s="16"/>
      <c r="B50" s="16"/>
      <c r="C50" s="62"/>
      <c r="D50" s="62"/>
      <c r="E50" s="62"/>
      <c r="F50" s="62"/>
      <c r="G50" s="16"/>
      <c r="H50" s="16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spans="1:40" ht="27" customHeight="1" x14ac:dyDescent="0.3">
      <c r="A51" s="16"/>
      <c r="B51" s="16"/>
      <c r="C51" s="62"/>
      <c r="D51" s="62"/>
      <c r="E51" s="62"/>
      <c r="F51" s="62"/>
      <c r="G51" s="16"/>
      <c r="H51" s="16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spans="1:40" ht="27" customHeight="1" x14ac:dyDescent="0.3">
      <c r="A52" s="16"/>
      <c r="B52" s="16"/>
      <c r="C52" s="62"/>
      <c r="D52" s="62"/>
      <c r="E52" s="62"/>
      <c r="F52" s="62"/>
      <c r="G52" s="16"/>
      <c r="H52" s="16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spans="1:40" ht="27" customHeight="1" x14ac:dyDescent="0.3">
      <c r="A53" s="16"/>
      <c r="B53" s="16"/>
      <c r="C53" s="62"/>
      <c r="D53" s="62"/>
      <c r="E53" s="62"/>
      <c r="F53" s="62"/>
      <c r="G53" s="16"/>
      <c r="H53" s="16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spans="1:40" ht="27" customHeight="1" x14ac:dyDescent="0.3">
      <c r="A54" s="16"/>
      <c r="B54" s="16"/>
      <c r="C54" s="62"/>
      <c r="D54" s="62"/>
      <c r="E54" s="62"/>
      <c r="F54" s="62"/>
      <c r="G54" s="16"/>
      <c r="H54" s="16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spans="1:40" ht="27" customHeight="1" x14ac:dyDescent="0.3">
      <c r="A55" s="16"/>
      <c r="B55" s="16"/>
      <c r="C55" s="62"/>
      <c r="D55" s="62"/>
      <c r="E55" s="62"/>
      <c r="F55" s="62"/>
      <c r="G55" s="16"/>
      <c r="H55" s="16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spans="1:40" ht="27" customHeight="1" x14ac:dyDescent="0.3">
      <c r="A56" s="16"/>
      <c r="B56" s="16"/>
      <c r="C56" s="62"/>
      <c r="D56" s="62"/>
      <c r="E56" s="62"/>
      <c r="F56" s="62"/>
      <c r="G56" s="16"/>
      <c r="H56" s="16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spans="1:40" ht="27" customHeight="1" x14ac:dyDescent="0.3">
      <c r="A57" s="16"/>
      <c r="B57" s="16"/>
      <c r="C57" s="62"/>
      <c r="D57" s="62"/>
      <c r="E57" s="62"/>
      <c r="F57" s="62"/>
      <c r="G57" s="16"/>
      <c r="H57" s="16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spans="1:40" ht="27" customHeight="1" x14ac:dyDescent="0.3">
      <c r="A58" s="16"/>
      <c r="B58" s="16"/>
      <c r="C58" s="62"/>
      <c r="D58" s="62"/>
      <c r="E58" s="62"/>
      <c r="F58" s="62"/>
      <c r="G58" s="16"/>
      <c r="H58" s="16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spans="1:40" ht="27" customHeight="1" x14ac:dyDescent="0.3">
      <c r="A59" s="16"/>
      <c r="B59" s="16"/>
      <c r="C59" s="62"/>
      <c r="D59" s="62"/>
      <c r="E59" s="62"/>
      <c r="F59" s="62"/>
      <c r="G59" s="16"/>
      <c r="H59" s="16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spans="1:40" ht="27" customHeight="1" x14ac:dyDescent="0.3">
      <c r="A60" s="16"/>
      <c r="B60" s="16"/>
      <c r="C60" s="62"/>
      <c r="D60" s="62"/>
      <c r="E60" s="62"/>
      <c r="F60" s="62"/>
      <c r="G60" s="16"/>
      <c r="H60" s="16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spans="1:40" ht="27" customHeight="1" x14ac:dyDescent="0.3">
      <c r="A61" s="16"/>
      <c r="B61" s="16"/>
      <c r="C61" s="62"/>
      <c r="D61" s="62"/>
      <c r="E61" s="62"/>
      <c r="F61" s="62"/>
      <c r="G61" s="16"/>
      <c r="H61" s="16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spans="1:40" ht="27" customHeight="1" x14ac:dyDescent="0.3">
      <c r="A62" s="16"/>
      <c r="B62" s="16"/>
      <c r="C62" s="62"/>
      <c r="D62" s="62"/>
      <c r="E62" s="62"/>
      <c r="F62" s="62"/>
      <c r="G62" s="16"/>
      <c r="H62" s="16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spans="1:40" ht="27" customHeight="1" x14ac:dyDescent="0.3">
      <c r="A63" s="16"/>
      <c r="B63" s="16"/>
      <c r="C63" s="62"/>
      <c r="D63" s="62"/>
      <c r="E63" s="62"/>
      <c r="F63" s="62"/>
      <c r="G63" s="16"/>
      <c r="H63" s="16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spans="1:40" ht="27" customHeight="1" x14ac:dyDescent="0.3">
      <c r="A64" s="16"/>
      <c r="B64" s="16"/>
      <c r="C64" s="62"/>
      <c r="D64" s="62"/>
      <c r="E64" s="62"/>
      <c r="F64" s="62"/>
      <c r="G64" s="16"/>
      <c r="H64" s="16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spans="1:40" ht="27" customHeight="1" x14ac:dyDescent="0.3">
      <c r="A65" s="16"/>
      <c r="B65" s="16"/>
      <c r="C65" s="62"/>
      <c r="D65" s="62"/>
      <c r="E65" s="62"/>
      <c r="F65" s="62"/>
      <c r="G65" s="16"/>
      <c r="H65" s="16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spans="1:40" ht="27" customHeight="1" x14ac:dyDescent="0.3">
      <c r="A66" s="16"/>
      <c r="B66" s="16"/>
      <c r="C66" s="62"/>
      <c r="D66" s="62"/>
      <c r="E66" s="62"/>
      <c r="F66" s="62"/>
      <c r="G66" s="16"/>
      <c r="H66" s="16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spans="1:40" ht="27" customHeight="1" x14ac:dyDescent="0.3">
      <c r="A67" s="16"/>
      <c r="B67" s="16"/>
      <c r="C67" s="62"/>
      <c r="D67" s="62"/>
      <c r="E67" s="62"/>
      <c r="F67" s="62"/>
      <c r="G67" s="16"/>
      <c r="H67" s="16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spans="1:40" ht="27" customHeight="1" x14ac:dyDescent="0.3">
      <c r="A68" s="16"/>
      <c r="B68" s="16"/>
      <c r="C68" s="62"/>
      <c r="D68" s="62"/>
      <c r="E68" s="62"/>
      <c r="F68" s="62"/>
      <c r="G68" s="16"/>
      <c r="H68" s="16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spans="1:40" ht="27" customHeight="1" x14ac:dyDescent="0.3">
      <c r="A69" s="16"/>
      <c r="B69" s="16"/>
      <c r="C69" s="62"/>
      <c r="D69" s="62"/>
      <c r="E69" s="62"/>
      <c r="F69" s="62"/>
      <c r="G69" s="16"/>
      <c r="H69" s="16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spans="1:40" ht="27" customHeight="1" x14ac:dyDescent="0.3">
      <c r="A70" s="16"/>
      <c r="B70" s="16"/>
      <c r="C70" s="62"/>
      <c r="D70" s="62"/>
      <c r="E70" s="62"/>
      <c r="F70" s="62"/>
      <c r="G70" s="16"/>
      <c r="H70" s="16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spans="1:40" ht="27" customHeight="1" x14ac:dyDescent="0.3">
      <c r="A71" s="16"/>
      <c r="B71" s="16"/>
      <c r="C71" s="62"/>
      <c r="D71" s="62"/>
      <c r="E71" s="62"/>
      <c r="F71" s="62"/>
      <c r="G71" s="16"/>
      <c r="H71" s="16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spans="1:40" ht="27" customHeight="1" x14ac:dyDescent="0.3">
      <c r="A72" s="16"/>
      <c r="B72" s="16"/>
      <c r="C72" s="62"/>
      <c r="D72" s="62"/>
      <c r="E72" s="62"/>
      <c r="F72" s="62"/>
      <c r="G72" s="16"/>
      <c r="H72" s="16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spans="1:40" ht="27" customHeight="1" x14ac:dyDescent="0.3">
      <c r="A73" s="16"/>
      <c r="B73" s="16"/>
      <c r="C73" s="62"/>
      <c r="D73" s="62"/>
      <c r="E73" s="62"/>
      <c r="F73" s="62"/>
      <c r="G73" s="16"/>
      <c r="H73" s="16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spans="1:40" ht="27" customHeight="1" x14ac:dyDescent="0.3">
      <c r="A74" s="16"/>
      <c r="B74" s="16"/>
      <c r="C74" s="62"/>
      <c r="D74" s="62"/>
      <c r="E74" s="62"/>
      <c r="F74" s="62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spans="1:40" ht="27" customHeight="1" x14ac:dyDescent="0.3">
      <c r="A75" s="16"/>
      <c r="B75" s="16"/>
      <c r="C75" s="62"/>
      <c r="D75" s="62"/>
      <c r="E75" s="62"/>
      <c r="F75" s="62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spans="1:40" ht="27" customHeight="1" x14ac:dyDescent="0.3">
      <c r="A76" s="16"/>
      <c r="B76" s="16"/>
      <c r="C76" s="62"/>
      <c r="D76" s="62"/>
      <c r="E76" s="62"/>
      <c r="F76" s="62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spans="1:40" ht="27" customHeight="1" x14ac:dyDescent="0.3">
      <c r="A77" s="16"/>
      <c r="B77" s="16"/>
      <c r="C77" s="62"/>
      <c r="D77" s="62"/>
      <c r="E77" s="62"/>
      <c r="F77" s="62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spans="1:40" ht="27" customHeight="1" x14ac:dyDescent="0.3">
      <c r="A78" s="16"/>
      <c r="B78" s="16"/>
      <c r="C78" s="62"/>
      <c r="D78" s="62"/>
      <c r="E78" s="62"/>
      <c r="F78" s="62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spans="1:40" ht="27" customHeight="1" x14ac:dyDescent="0.3">
      <c r="A79" s="16"/>
      <c r="B79" s="16"/>
      <c r="C79" s="62"/>
      <c r="D79" s="62"/>
      <c r="E79" s="62"/>
      <c r="F79" s="62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spans="1:40" ht="27" customHeight="1" x14ac:dyDescent="0.3">
      <c r="A80" s="16"/>
      <c r="B80" s="16"/>
      <c r="C80" s="62"/>
      <c r="D80" s="62"/>
      <c r="E80" s="62"/>
      <c r="F80" s="62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spans="1:40" ht="27" customHeight="1" x14ac:dyDescent="0.3">
      <c r="A81" s="16"/>
      <c r="B81" s="16"/>
      <c r="C81" s="62"/>
      <c r="D81" s="62"/>
      <c r="E81" s="62"/>
      <c r="F81" s="62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spans="1:40" ht="27" customHeight="1" x14ac:dyDescent="0.3">
      <c r="A82" s="16"/>
      <c r="B82" s="16"/>
      <c r="C82" s="62"/>
      <c r="D82" s="62"/>
      <c r="E82" s="62"/>
      <c r="F82" s="62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spans="1:40" ht="27" customHeight="1" x14ac:dyDescent="0.3">
      <c r="A83" s="16"/>
      <c r="B83" s="16"/>
      <c r="C83" s="62"/>
      <c r="D83" s="62"/>
      <c r="E83" s="62"/>
      <c r="F83" s="62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spans="1:40" ht="27" customHeight="1" x14ac:dyDescent="0.3">
      <c r="A84" s="16"/>
      <c r="B84" s="16"/>
      <c r="C84" s="62"/>
      <c r="D84" s="62"/>
      <c r="E84" s="62"/>
      <c r="F84" s="62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spans="1:40" ht="27" customHeight="1" x14ac:dyDescent="0.3">
      <c r="A85" s="16"/>
      <c r="B85" s="16"/>
      <c r="C85" s="62"/>
      <c r="D85" s="62"/>
      <c r="E85" s="62"/>
      <c r="F85" s="62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spans="1:40" ht="27" customHeight="1" x14ac:dyDescent="0.3">
      <c r="A86" s="16"/>
      <c r="B86" s="16"/>
      <c r="C86" s="62"/>
      <c r="D86" s="62"/>
      <c r="E86" s="62"/>
      <c r="F86" s="62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spans="1:40" ht="27" customHeight="1" x14ac:dyDescent="0.3">
      <c r="A87" s="16"/>
      <c r="B87" s="16"/>
      <c r="C87" s="62"/>
      <c r="D87" s="62"/>
      <c r="E87" s="62"/>
      <c r="F87" s="62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spans="1:40" ht="27" customHeight="1" x14ac:dyDescent="0.3">
      <c r="A88" s="16"/>
      <c r="B88" s="16"/>
      <c r="C88" s="62"/>
      <c r="D88" s="62"/>
      <c r="E88" s="62"/>
      <c r="F88" s="62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spans="1:40" ht="27" customHeight="1" x14ac:dyDescent="0.3">
      <c r="A89" s="16"/>
      <c r="B89" s="16"/>
      <c r="C89" s="62"/>
      <c r="D89" s="62"/>
      <c r="E89" s="62"/>
      <c r="F89" s="62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spans="1:40" ht="27" customHeight="1" x14ac:dyDescent="0.3">
      <c r="A90" s="16"/>
      <c r="B90" s="16"/>
      <c r="C90" s="62"/>
      <c r="D90" s="62"/>
      <c r="E90" s="62"/>
      <c r="F90" s="62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spans="1:40" ht="27" customHeight="1" x14ac:dyDescent="0.3">
      <c r="A91" s="16"/>
      <c r="B91" s="16"/>
      <c r="C91" s="62"/>
      <c r="D91" s="62"/>
      <c r="E91" s="62"/>
      <c r="F91" s="62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spans="1:40" ht="27" customHeight="1" x14ac:dyDescent="0.3">
      <c r="A92" s="16"/>
      <c r="B92" s="16"/>
      <c r="C92" s="62"/>
      <c r="D92" s="62"/>
      <c r="E92" s="62"/>
      <c r="F92" s="62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spans="1:40" ht="27" customHeight="1" x14ac:dyDescent="0.3">
      <c r="A93" s="16"/>
      <c r="B93" s="16"/>
      <c r="C93" s="62"/>
      <c r="D93" s="62"/>
      <c r="E93" s="62"/>
      <c r="F93" s="62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spans="1:40" ht="27" customHeight="1" x14ac:dyDescent="0.3">
      <c r="A94" s="16"/>
      <c r="B94" s="16"/>
      <c r="C94" s="62"/>
      <c r="D94" s="62"/>
      <c r="E94" s="62"/>
      <c r="F94" s="62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spans="1:40" ht="27" customHeight="1" x14ac:dyDescent="0.3">
      <c r="A95" s="16"/>
      <c r="B95" s="16"/>
      <c r="C95" s="62"/>
      <c r="D95" s="62"/>
      <c r="E95" s="62"/>
      <c r="F95" s="62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spans="1:40" ht="27" customHeight="1" x14ac:dyDescent="0.3">
      <c r="A96" s="16"/>
      <c r="B96" s="16"/>
      <c r="C96" s="62"/>
      <c r="D96" s="62"/>
      <c r="E96" s="62"/>
      <c r="F96" s="62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spans="1:40" ht="27" customHeight="1" x14ac:dyDescent="0.3">
      <c r="A97" s="16"/>
      <c r="B97" s="16"/>
      <c r="C97" s="62"/>
      <c r="D97" s="62"/>
      <c r="E97" s="62"/>
      <c r="F97" s="62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spans="1:40" ht="27" customHeight="1" x14ac:dyDescent="0.3">
      <c r="A98" s="16"/>
      <c r="B98" s="16"/>
      <c r="C98" s="62"/>
      <c r="D98" s="62"/>
      <c r="E98" s="62"/>
      <c r="F98" s="62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spans="1:40" ht="27" customHeight="1" x14ac:dyDescent="0.3">
      <c r="A99" s="16"/>
      <c r="B99" s="16"/>
      <c r="C99" s="62"/>
      <c r="D99" s="62"/>
      <c r="E99" s="62"/>
      <c r="F99" s="62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spans="1:40" ht="27" customHeight="1" x14ac:dyDescent="0.3">
      <c r="A100" s="16"/>
      <c r="B100" s="16"/>
      <c r="C100" s="62"/>
      <c r="D100" s="62"/>
      <c r="E100" s="62"/>
      <c r="F100" s="62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spans="1:40" ht="27" customHeight="1" x14ac:dyDescent="0.3">
      <c r="A101" s="16"/>
      <c r="B101" s="16"/>
      <c r="C101" s="62"/>
      <c r="D101" s="62"/>
      <c r="E101" s="62"/>
      <c r="F101" s="62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spans="1:40" ht="27" customHeight="1" x14ac:dyDescent="0.3">
      <c r="A102" s="16"/>
      <c r="B102" s="16"/>
      <c r="C102" s="62"/>
      <c r="D102" s="62"/>
      <c r="E102" s="62"/>
      <c r="F102" s="62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spans="1:40" ht="27" customHeight="1" x14ac:dyDescent="0.3">
      <c r="A103" s="16"/>
      <c r="B103" s="16"/>
      <c r="C103" s="62"/>
      <c r="D103" s="62"/>
      <c r="E103" s="62"/>
      <c r="F103" s="62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spans="1:40" ht="27" customHeight="1" x14ac:dyDescent="0.3">
      <c r="A104" s="16"/>
      <c r="B104" s="16"/>
      <c r="C104" s="62"/>
      <c r="D104" s="62"/>
      <c r="E104" s="62"/>
      <c r="F104" s="62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spans="1:40" ht="27" customHeight="1" x14ac:dyDescent="0.3">
      <c r="A105" s="16"/>
      <c r="B105" s="16"/>
      <c r="C105" s="62"/>
      <c r="D105" s="62"/>
      <c r="E105" s="62"/>
      <c r="F105" s="62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spans="1:40" ht="27" customHeight="1" x14ac:dyDescent="0.3">
      <c r="A106" s="16"/>
      <c r="B106" s="16"/>
      <c r="C106" s="62"/>
      <c r="D106" s="62"/>
      <c r="E106" s="62"/>
      <c r="F106" s="62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spans="1:40" ht="27" customHeight="1" x14ac:dyDescent="0.3">
      <c r="A107" s="16"/>
      <c r="B107" s="16"/>
      <c r="C107" s="62"/>
      <c r="D107" s="62"/>
      <c r="E107" s="62"/>
      <c r="F107" s="62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spans="1:40" ht="27" customHeight="1" x14ac:dyDescent="0.3">
      <c r="A108" s="16"/>
      <c r="B108" s="16"/>
      <c r="C108" s="62"/>
      <c r="D108" s="62"/>
      <c r="E108" s="62"/>
      <c r="F108" s="62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spans="1:40" ht="27" customHeight="1" x14ac:dyDescent="0.3">
      <c r="A109" s="16"/>
      <c r="B109" s="16"/>
      <c r="C109" s="62"/>
      <c r="D109" s="62"/>
      <c r="E109" s="62"/>
      <c r="F109" s="62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spans="1:40" ht="27" customHeight="1" x14ac:dyDescent="0.3">
      <c r="A110" s="16"/>
      <c r="B110" s="16"/>
      <c r="C110" s="62"/>
      <c r="D110" s="62"/>
      <c r="E110" s="62"/>
      <c r="F110" s="62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spans="1:40" ht="27" customHeight="1" x14ac:dyDescent="0.3">
      <c r="A111" s="16"/>
      <c r="B111" s="16"/>
      <c r="C111" s="62"/>
      <c r="D111" s="62"/>
      <c r="E111" s="62"/>
      <c r="F111" s="62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spans="1:40" ht="27" customHeight="1" x14ac:dyDescent="0.3">
      <c r="A112" s="16"/>
      <c r="B112" s="16"/>
      <c r="C112" s="62"/>
      <c r="D112" s="62"/>
      <c r="E112" s="62"/>
      <c r="F112" s="62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spans="1:40" ht="27" customHeight="1" x14ac:dyDescent="0.3">
      <c r="A113" s="16"/>
      <c r="B113" s="16"/>
      <c r="C113" s="62"/>
      <c r="D113" s="62"/>
      <c r="E113" s="62"/>
      <c r="F113" s="62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spans="1:40" ht="27" customHeight="1" x14ac:dyDescent="0.3">
      <c r="A114" s="16"/>
      <c r="B114" s="16"/>
      <c r="C114" s="62"/>
      <c r="D114" s="62"/>
      <c r="E114" s="62"/>
      <c r="F114" s="62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spans="1:40" ht="27" customHeight="1" x14ac:dyDescent="0.3">
      <c r="A115" s="16"/>
      <c r="B115" s="16"/>
      <c r="C115" s="62"/>
      <c r="D115" s="62"/>
      <c r="E115" s="62"/>
      <c r="F115" s="62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spans="1:40" ht="27" customHeight="1" x14ac:dyDescent="0.3">
      <c r="A116" s="16"/>
      <c r="B116" s="16"/>
      <c r="C116" s="62"/>
      <c r="D116" s="62"/>
      <c r="E116" s="62"/>
      <c r="F116" s="62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spans="1:40" ht="27" customHeight="1" x14ac:dyDescent="0.3">
      <c r="A117" s="16"/>
      <c r="B117" s="16"/>
      <c r="C117" s="62"/>
      <c r="D117" s="62"/>
      <c r="E117" s="62"/>
      <c r="F117" s="62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spans="1:40" ht="27" customHeight="1" x14ac:dyDescent="0.3">
      <c r="A118" s="16"/>
      <c r="B118" s="16"/>
      <c r="C118" s="62"/>
      <c r="D118" s="62"/>
      <c r="E118" s="62"/>
      <c r="F118" s="62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spans="1:40" ht="27" customHeight="1" x14ac:dyDescent="0.3">
      <c r="A119" s="16"/>
      <c r="B119" s="16"/>
      <c r="C119" s="62"/>
      <c r="D119" s="62"/>
      <c r="E119" s="62"/>
      <c r="F119" s="62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spans="1:40" ht="27" customHeight="1" x14ac:dyDescent="0.3">
      <c r="A120" s="16"/>
      <c r="B120" s="16"/>
      <c r="C120" s="62"/>
      <c r="D120" s="62"/>
      <c r="E120" s="62"/>
      <c r="F120" s="62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spans="1:40" ht="27" customHeight="1" x14ac:dyDescent="0.3">
      <c r="A121" s="16"/>
      <c r="B121" s="16"/>
      <c r="C121" s="62"/>
      <c r="D121" s="62"/>
      <c r="E121" s="62"/>
      <c r="F121" s="62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spans="1:40" ht="27" customHeight="1" x14ac:dyDescent="0.3">
      <c r="A122" s="16"/>
      <c r="B122" s="16"/>
      <c r="C122" s="62"/>
      <c r="D122" s="62"/>
      <c r="E122" s="62"/>
      <c r="F122" s="62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spans="1:40" ht="27" customHeight="1" x14ac:dyDescent="0.3">
      <c r="A123" s="16"/>
      <c r="B123" s="16"/>
      <c r="C123" s="62"/>
      <c r="D123" s="62"/>
      <c r="E123" s="62"/>
      <c r="F123" s="62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spans="1:40" ht="27" customHeight="1" x14ac:dyDescent="0.3">
      <c r="A124" s="16"/>
      <c r="B124" s="16"/>
      <c r="C124" s="62"/>
      <c r="D124" s="62"/>
      <c r="E124" s="62"/>
      <c r="F124" s="62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spans="1:40" ht="27" customHeight="1" x14ac:dyDescent="0.3">
      <c r="A125" s="16"/>
      <c r="B125" s="16"/>
      <c r="C125" s="62"/>
      <c r="D125" s="62"/>
      <c r="E125" s="62"/>
      <c r="F125" s="62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spans="1:40" ht="27" customHeight="1" x14ac:dyDescent="0.3">
      <c r="A126" s="16"/>
      <c r="B126" s="16"/>
      <c r="C126" s="62"/>
      <c r="D126" s="62"/>
      <c r="E126" s="62"/>
      <c r="F126" s="62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spans="1:40" ht="27" customHeight="1" x14ac:dyDescent="0.3">
      <c r="A127" s="16"/>
      <c r="B127" s="16"/>
      <c r="C127" s="62"/>
      <c r="D127" s="62"/>
      <c r="E127" s="62"/>
      <c r="F127" s="62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spans="1:40" ht="27" customHeight="1" x14ac:dyDescent="0.3">
      <c r="A128" s="16"/>
      <c r="B128" s="16"/>
      <c r="C128" s="62"/>
      <c r="D128" s="62"/>
      <c r="E128" s="62"/>
      <c r="F128" s="62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spans="1:40" ht="27" customHeight="1" x14ac:dyDescent="0.3">
      <c r="A129" s="16"/>
      <c r="B129" s="16"/>
      <c r="C129" s="62"/>
      <c r="D129" s="62"/>
      <c r="E129" s="62"/>
      <c r="F129" s="62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spans="1:40" ht="27" customHeight="1" x14ac:dyDescent="0.3">
      <c r="A130" s="16"/>
      <c r="B130" s="16"/>
      <c r="C130" s="62"/>
      <c r="D130" s="62"/>
      <c r="E130" s="62"/>
      <c r="F130" s="62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spans="1:40" ht="27" customHeight="1" x14ac:dyDescent="0.3">
      <c r="A131" s="16"/>
      <c r="B131" s="16"/>
      <c r="C131" s="62"/>
      <c r="D131" s="62"/>
      <c r="E131" s="62"/>
      <c r="F131" s="62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spans="1:40" ht="27" customHeight="1" x14ac:dyDescent="0.3">
      <c r="A132" s="16"/>
      <c r="B132" s="16"/>
      <c r="C132" s="62"/>
      <c r="D132" s="62"/>
      <c r="E132" s="62"/>
      <c r="F132" s="62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spans="1:40" ht="27" customHeight="1" x14ac:dyDescent="0.3">
      <c r="A133" s="16"/>
      <c r="B133" s="16"/>
      <c r="C133" s="62"/>
      <c r="D133" s="62"/>
      <c r="E133" s="62"/>
      <c r="F133" s="62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spans="1:40" ht="27" customHeight="1" x14ac:dyDescent="0.3">
      <c r="A134" s="16"/>
      <c r="B134" s="16"/>
      <c r="C134" s="62"/>
      <c r="D134" s="62"/>
      <c r="E134" s="62"/>
      <c r="F134" s="62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spans="1:40" ht="27" customHeight="1" x14ac:dyDescent="0.3">
      <c r="A135" s="16"/>
      <c r="B135" s="16"/>
      <c r="C135" s="62"/>
      <c r="D135" s="62"/>
      <c r="E135" s="62"/>
      <c r="F135" s="62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spans="1:40" ht="27" customHeight="1" x14ac:dyDescent="0.3">
      <c r="A136" s="16"/>
      <c r="B136" s="16"/>
      <c r="C136" s="62"/>
      <c r="D136" s="62"/>
      <c r="E136" s="62"/>
      <c r="F136" s="62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spans="1:40" ht="27" customHeight="1" x14ac:dyDescent="0.3">
      <c r="A137" s="16"/>
      <c r="B137" s="16"/>
      <c r="C137" s="62"/>
      <c r="D137" s="62"/>
      <c r="E137" s="62"/>
      <c r="F137" s="62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spans="1:40" ht="27" customHeight="1" x14ac:dyDescent="0.3">
      <c r="A138" s="16"/>
      <c r="B138" s="16"/>
      <c r="C138" s="62"/>
      <c r="D138" s="62"/>
      <c r="E138" s="62"/>
      <c r="F138" s="62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spans="1:40" ht="27" customHeight="1" x14ac:dyDescent="0.3">
      <c r="A139" s="16"/>
      <c r="B139" s="16"/>
      <c r="C139" s="62"/>
      <c r="D139" s="62"/>
      <c r="E139" s="62"/>
      <c r="F139" s="62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spans="1:40" ht="27" customHeight="1" x14ac:dyDescent="0.3">
      <c r="A140" s="16"/>
      <c r="B140" s="16"/>
      <c r="C140" s="62"/>
      <c r="D140" s="62"/>
      <c r="E140" s="62"/>
      <c r="F140" s="62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spans="1:40" ht="27" customHeight="1" x14ac:dyDescent="0.3">
      <c r="A141" s="16"/>
      <c r="B141" s="16"/>
      <c r="C141" s="62"/>
      <c r="D141" s="62"/>
      <c r="E141" s="62"/>
      <c r="F141" s="62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spans="1:40" ht="27" customHeight="1" x14ac:dyDescent="0.3">
      <c r="A142" s="16"/>
      <c r="B142" s="16"/>
      <c r="C142" s="62"/>
      <c r="D142" s="62"/>
      <c r="E142" s="62"/>
      <c r="F142" s="62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spans="1:40" ht="27" customHeight="1" x14ac:dyDescent="0.3">
      <c r="A143" s="16"/>
      <c r="B143" s="16"/>
      <c r="C143" s="62"/>
      <c r="D143" s="62"/>
      <c r="E143" s="62"/>
      <c r="F143" s="62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spans="1:40" ht="27" customHeight="1" x14ac:dyDescent="0.3">
      <c r="A144" s="16"/>
      <c r="B144" s="16"/>
      <c r="C144" s="62"/>
      <c r="D144" s="62"/>
      <c r="E144" s="62"/>
      <c r="F144" s="62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spans="1:40" ht="27" customHeight="1" x14ac:dyDescent="0.3">
      <c r="A145" s="16"/>
      <c r="B145" s="16"/>
      <c r="C145" s="62"/>
      <c r="D145" s="62"/>
      <c r="E145" s="62"/>
      <c r="F145" s="62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spans="1:40" ht="27" customHeight="1" x14ac:dyDescent="0.3">
      <c r="A146" s="16"/>
      <c r="B146" s="16"/>
      <c r="C146" s="62"/>
      <c r="D146" s="62"/>
      <c r="E146" s="62"/>
      <c r="F146" s="62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spans="1:40" ht="27" customHeight="1" x14ac:dyDescent="0.3">
      <c r="A147" s="16"/>
      <c r="B147" s="16"/>
      <c r="C147" s="62"/>
      <c r="D147" s="62"/>
      <c r="E147" s="62"/>
      <c r="F147" s="62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spans="1:40" ht="27" customHeight="1" x14ac:dyDescent="0.3">
      <c r="A148" s="16"/>
      <c r="B148" s="16"/>
      <c r="C148" s="62"/>
      <c r="D148" s="62"/>
      <c r="E148" s="62"/>
      <c r="F148" s="62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spans="1:40" ht="27" customHeight="1" x14ac:dyDescent="0.3">
      <c r="A149" s="16"/>
      <c r="B149" s="16"/>
      <c r="C149" s="62"/>
      <c r="D149" s="62"/>
      <c r="E149" s="62"/>
      <c r="F149" s="62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spans="1:40" ht="27" customHeight="1" x14ac:dyDescent="0.3">
      <c r="A150" s="16"/>
      <c r="B150" s="16"/>
      <c r="C150" s="62"/>
      <c r="D150" s="62"/>
      <c r="E150" s="62"/>
      <c r="F150" s="62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spans="1:40" ht="27" customHeight="1" x14ac:dyDescent="0.3">
      <c r="A151" s="16"/>
      <c r="B151" s="16"/>
      <c r="C151" s="62"/>
      <c r="D151" s="62"/>
      <c r="E151" s="62"/>
      <c r="F151" s="62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spans="1:40" ht="27" customHeight="1" x14ac:dyDescent="0.3">
      <c r="A152" s="16"/>
      <c r="B152" s="16"/>
      <c r="C152" s="62"/>
      <c r="D152" s="62"/>
      <c r="E152" s="62"/>
      <c r="F152" s="62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spans="1:40" ht="27" customHeight="1" x14ac:dyDescent="0.3">
      <c r="A153" s="16"/>
      <c r="B153" s="16"/>
      <c r="C153" s="62"/>
      <c r="D153" s="62"/>
      <c r="E153" s="62"/>
      <c r="F153" s="62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spans="1:40" ht="27" customHeight="1" x14ac:dyDescent="0.3">
      <c r="A154" s="16"/>
      <c r="B154" s="16"/>
      <c r="C154" s="62"/>
      <c r="D154" s="62"/>
      <c r="E154" s="62"/>
      <c r="F154" s="62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spans="1:40" ht="27" customHeight="1" x14ac:dyDescent="0.3">
      <c r="A155" s="16"/>
      <c r="B155" s="16"/>
      <c r="C155" s="62"/>
      <c r="D155" s="62"/>
      <c r="E155" s="62"/>
      <c r="F155" s="62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spans="1:40" ht="27" customHeight="1" x14ac:dyDescent="0.3">
      <c r="A156" s="16"/>
      <c r="B156" s="16"/>
      <c r="C156" s="62"/>
      <c r="D156" s="62"/>
      <c r="E156" s="62"/>
      <c r="F156" s="62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spans="1:40" ht="27" customHeight="1" x14ac:dyDescent="0.3">
      <c r="A157" s="16"/>
      <c r="B157" s="16"/>
      <c r="C157" s="62"/>
      <c r="D157" s="62"/>
      <c r="E157" s="62"/>
      <c r="F157" s="62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spans="1:40" ht="27" customHeight="1" x14ac:dyDescent="0.3">
      <c r="A158" s="16"/>
      <c r="B158" s="16"/>
      <c r="C158" s="62"/>
      <c r="D158" s="62"/>
      <c r="E158" s="62"/>
      <c r="F158" s="62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spans="1:40" ht="27" customHeight="1" x14ac:dyDescent="0.3">
      <c r="A159" s="16"/>
      <c r="B159" s="16"/>
      <c r="C159" s="62"/>
      <c r="D159" s="62"/>
      <c r="E159" s="62"/>
      <c r="F159" s="62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spans="1:40" ht="27" customHeight="1" x14ac:dyDescent="0.3">
      <c r="A160" s="16"/>
      <c r="B160" s="16"/>
      <c r="C160" s="62"/>
      <c r="D160" s="62"/>
      <c r="E160" s="62"/>
      <c r="F160" s="62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spans="1:40" ht="27" customHeight="1" x14ac:dyDescent="0.3">
      <c r="A161" s="16"/>
      <c r="B161" s="16"/>
      <c r="C161" s="62"/>
      <c r="D161" s="62"/>
      <c r="E161" s="62"/>
      <c r="F161" s="62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spans="1:40" ht="27" customHeight="1" x14ac:dyDescent="0.3">
      <c r="A162" s="16"/>
      <c r="B162" s="16"/>
      <c r="C162" s="62"/>
      <c r="D162" s="62"/>
      <c r="E162" s="62"/>
      <c r="F162" s="62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spans="1:40" ht="27" customHeight="1" x14ac:dyDescent="0.3">
      <c r="A163" s="16"/>
      <c r="B163" s="16"/>
      <c r="C163" s="62"/>
      <c r="D163" s="62"/>
      <c r="E163" s="62"/>
      <c r="F163" s="62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spans="1:40" ht="27" customHeight="1" x14ac:dyDescent="0.3">
      <c r="A164" s="16"/>
      <c r="B164" s="16"/>
      <c r="C164" s="62"/>
      <c r="D164" s="62"/>
      <c r="E164" s="62"/>
      <c r="F164" s="62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spans="1:40" ht="27" customHeight="1" x14ac:dyDescent="0.3">
      <c r="A165" s="16"/>
      <c r="B165" s="16"/>
      <c r="C165" s="62"/>
      <c r="D165" s="62"/>
      <c r="E165" s="62"/>
      <c r="F165" s="62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spans="1:40" ht="27" customHeight="1" x14ac:dyDescent="0.3">
      <c r="A166" s="16"/>
      <c r="B166" s="16"/>
      <c r="C166" s="62"/>
      <c r="D166" s="62"/>
      <c r="E166" s="62"/>
      <c r="F166" s="62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spans="1:40" ht="27" customHeight="1" x14ac:dyDescent="0.3">
      <c r="A167" s="16"/>
      <c r="B167" s="16"/>
      <c r="C167" s="62"/>
      <c r="D167" s="62"/>
      <c r="E167" s="62"/>
      <c r="F167" s="62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spans="1:40" ht="27" customHeight="1" x14ac:dyDescent="0.3">
      <c r="A168" s="16"/>
      <c r="B168" s="16"/>
      <c r="C168" s="62"/>
      <c r="D168" s="62"/>
      <c r="E168" s="62"/>
      <c r="F168" s="62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spans="1:40" ht="27" customHeight="1" x14ac:dyDescent="0.3">
      <c r="A169" s="16"/>
      <c r="B169" s="16"/>
      <c r="C169" s="62"/>
      <c r="D169" s="62"/>
      <c r="E169" s="62"/>
      <c r="F169" s="62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spans="1:40" ht="27" customHeight="1" x14ac:dyDescent="0.3">
      <c r="A170" s="16"/>
      <c r="B170" s="16"/>
      <c r="C170" s="62"/>
      <c r="D170" s="62"/>
      <c r="E170" s="62"/>
      <c r="F170" s="62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spans="1:40" ht="27" customHeight="1" x14ac:dyDescent="0.3">
      <c r="A171" s="16"/>
      <c r="B171" s="16"/>
      <c r="C171" s="62"/>
      <c r="D171" s="62"/>
      <c r="E171" s="62"/>
      <c r="F171" s="62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spans="1:40" ht="27" customHeight="1" x14ac:dyDescent="0.3">
      <c r="A172" s="16"/>
      <c r="B172" s="16"/>
      <c r="C172" s="62"/>
      <c r="D172" s="62"/>
      <c r="E172" s="62"/>
      <c r="F172" s="62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spans="1:40" ht="27" customHeight="1" x14ac:dyDescent="0.3">
      <c r="A173" s="16"/>
      <c r="B173" s="16"/>
      <c r="C173" s="62"/>
      <c r="D173" s="62"/>
      <c r="E173" s="62"/>
      <c r="F173" s="62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spans="1:40" ht="27" customHeight="1" x14ac:dyDescent="0.3">
      <c r="A174" s="16"/>
      <c r="B174" s="16"/>
      <c r="C174" s="62"/>
      <c r="D174" s="62"/>
      <c r="E174" s="62"/>
      <c r="F174" s="62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spans="1:40" ht="27" customHeight="1" x14ac:dyDescent="0.3">
      <c r="A175" s="16"/>
      <c r="B175" s="16"/>
      <c r="C175" s="62"/>
      <c r="D175" s="62"/>
      <c r="E175" s="62"/>
      <c r="F175" s="62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spans="1:40" ht="27" customHeight="1" x14ac:dyDescent="0.3">
      <c r="A176" s="16"/>
      <c r="B176" s="16"/>
      <c r="C176" s="62"/>
      <c r="D176" s="62"/>
      <c r="E176" s="62"/>
      <c r="F176" s="62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spans="1:40" ht="27" customHeight="1" x14ac:dyDescent="0.3">
      <c r="A177" s="16"/>
      <c r="B177" s="16"/>
      <c r="C177" s="62"/>
      <c r="D177" s="62"/>
      <c r="E177" s="62"/>
      <c r="F177" s="62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spans="1:40" ht="27" customHeight="1" x14ac:dyDescent="0.3">
      <c r="A178" s="16"/>
      <c r="B178" s="16"/>
      <c r="C178" s="62"/>
      <c r="D178" s="62"/>
      <c r="E178" s="62"/>
      <c r="F178" s="62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spans="1:40" ht="27" customHeight="1" x14ac:dyDescent="0.3">
      <c r="A179" s="16"/>
      <c r="B179" s="16"/>
      <c r="C179" s="62"/>
      <c r="D179" s="62"/>
      <c r="E179" s="62"/>
      <c r="F179" s="62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spans="1:40" ht="27" customHeight="1" x14ac:dyDescent="0.3">
      <c r="A180" s="16"/>
      <c r="B180" s="16"/>
      <c r="C180" s="62"/>
      <c r="D180" s="62"/>
      <c r="E180" s="62"/>
      <c r="F180" s="62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spans="1:40" ht="27" customHeight="1" x14ac:dyDescent="0.3">
      <c r="A181" s="16"/>
      <c r="B181" s="16"/>
      <c r="C181" s="62"/>
      <c r="D181" s="62"/>
      <c r="E181" s="62"/>
      <c r="F181" s="62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spans="1:40" ht="27" customHeight="1" x14ac:dyDescent="0.3">
      <c r="A182" s="16"/>
      <c r="B182" s="16"/>
      <c r="C182" s="62"/>
      <c r="D182" s="62"/>
      <c r="E182" s="62"/>
      <c r="F182" s="62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spans="1:40" ht="27" customHeight="1" x14ac:dyDescent="0.3">
      <c r="A183" s="16"/>
      <c r="B183" s="16"/>
      <c r="C183" s="62"/>
      <c r="D183" s="62"/>
      <c r="E183" s="62"/>
      <c r="F183" s="62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spans="1:40" ht="27" customHeight="1" x14ac:dyDescent="0.3">
      <c r="A184" s="16"/>
      <c r="B184" s="16"/>
      <c r="C184" s="62"/>
      <c r="D184" s="62"/>
      <c r="E184" s="62"/>
      <c r="F184" s="62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spans="1:40" ht="27" customHeight="1" x14ac:dyDescent="0.3">
      <c r="A185" s="16"/>
      <c r="B185" s="16"/>
      <c r="C185" s="62"/>
      <c r="D185" s="62"/>
      <c r="E185" s="62"/>
      <c r="F185" s="62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spans="1:40" ht="27" customHeight="1" x14ac:dyDescent="0.3">
      <c r="A186" s="16"/>
      <c r="B186" s="16"/>
      <c r="C186" s="62"/>
      <c r="D186" s="62"/>
      <c r="E186" s="62"/>
      <c r="F186" s="62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spans="1:40" ht="27" customHeight="1" x14ac:dyDescent="0.3">
      <c r="A187" s="16"/>
      <c r="B187" s="16"/>
      <c r="C187" s="62"/>
      <c r="D187" s="62"/>
      <c r="E187" s="62"/>
      <c r="F187" s="62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spans="1:40" ht="27" customHeight="1" x14ac:dyDescent="0.3">
      <c r="A188" s="16"/>
      <c r="B188" s="16"/>
      <c r="C188" s="62"/>
      <c r="D188" s="62"/>
      <c r="E188" s="62"/>
      <c r="F188" s="62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spans="1:40" ht="27" customHeight="1" x14ac:dyDescent="0.3">
      <c r="A189" s="16"/>
      <c r="B189" s="16"/>
      <c r="C189" s="62"/>
      <c r="D189" s="62"/>
      <c r="E189" s="62"/>
      <c r="F189" s="62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spans="1:40" ht="27" customHeight="1" x14ac:dyDescent="0.3">
      <c r="A190" s="16"/>
      <c r="B190" s="16"/>
      <c r="C190" s="62"/>
      <c r="D190" s="62"/>
      <c r="E190" s="62"/>
      <c r="F190" s="62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spans="1:40" ht="27" customHeight="1" x14ac:dyDescent="0.3">
      <c r="A191" s="16"/>
      <c r="B191" s="16"/>
      <c r="C191" s="62"/>
      <c r="D191" s="62"/>
      <c r="E191" s="62"/>
      <c r="F191" s="62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spans="1:40" ht="27" customHeight="1" x14ac:dyDescent="0.3">
      <c r="A192" s="16"/>
      <c r="B192" s="16"/>
      <c r="C192" s="62"/>
      <c r="D192" s="62"/>
      <c r="E192" s="62"/>
      <c r="F192" s="62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spans="1:40" ht="27" customHeight="1" x14ac:dyDescent="0.3">
      <c r="A193" s="16"/>
      <c r="B193" s="16"/>
      <c r="C193" s="62"/>
      <c r="D193" s="62"/>
      <c r="E193" s="62"/>
      <c r="F193" s="62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spans="1:40" ht="27" customHeight="1" x14ac:dyDescent="0.3">
      <c r="A194" s="16"/>
      <c r="B194" s="16"/>
      <c r="C194" s="62"/>
      <c r="D194" s="62"/>
      <c r="E194" s="62"/>
      <c r="F194" s="62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spans="1:40" ht="27" customHeight="1" x14ac:dyDescent="0.3">
      <c r="A195" s="16"/>
      <c r="B195" s="16"/>
      <c r="C195" s="62"/>
      <c r="D195" s="62"/>
      <c r="E195" s="62"/>
      <c r="F195" s="62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spans="1:40" ht="27" customHeight="1" x14ac:dyDescent="0.3">
      <c r="A196" s="16"/>
      <c r="B196" s="16"/>
      <c r="C196" s="62"/>
      <c r="D196" s="62"/>
      <c r="E196" s="62"/>
      <c r="F196" s="62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spans="1:40" ht="27" customHeight="1" x14ac:dyDescent="0.3">
      <c r="A197" s="16"/>
      <c r="B197" s="16"/>
      <c r="C197" s="62"/>
      <c r="D197" s="62"/>
      <c r="E197" s="62"/>
      <c r="F197" s="62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spans="1:40" ht="27" customHeight="1" x14ac:dyDescent="0.3">
      <c r="A198" s="16"/>
      <c r="B198" s="16"/>
      <c r="C198" s="62"/>
      <c r="D198" s="62"/>
      <c r="E198" s="62"/>
      <c r="F198" s="62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  <row r="199" spans="1:40" ht="27" customHeight="1" x14ac:dyDescent="0.3">
      <c r="A199" s="16"/>
      <c r="B199" s="16"/>
      <c r="C199" s="62"/>
      <c r="D199" s="62"/>
      <c r="E199" s="62"/>
      <c r="F199" s="62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</row>
    <row r="200" spans="1:40" ht="27" customHeight="1" x14ac:dyDescent="0.3">
      <c r="A200" s="16"/>
      <c r="B200" s="16"/>
      <c r="C200" s="62"/>
      <c r="D200" s="62"/>
      <c r="E200" s="62"/>
      <c r="F200" s="62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</row>
    <row r="201" spans="1:40" ht="27" customHeight="1" x14ac:dyDescent="0.3">
      <c r="A201" s="16"/>
      <c r="B201" s="16"/>
      <c r="C201" s="62"/>
      <c r="D201" s="62"/>
      <c r="E201" s="62"/>
      <c r="F201" s="62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</row>
    <row r="202" spans="1:40" ht="27" customHeight="1" x14ac:dyDescent="0.3">
      <c r="A202" s="16"/>
      <c r="B202" s="16"/>
      <c r="C202" s="62"/>
      <c r="D202" s="62"/>
      <c r="E202" s="62"/>
      <c r="F202" s="62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</row>
    <row r="203" spans="1:40" ht="27" customHeight="1" x14ac:dyDescent="0.3">
      <c r="A203" s="16"/>
      <c r="B203" s="16"/>
      <c r="C203" s="62"/>
      <c r="D203" s="62"/>
      <c r="E203" s="62"/>
      <c r="F203" s="62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</row>
    <row r="204" spans="1:40" ht="27" customHeight="1" x14ac:dyDescent="0.3">
      <c r="A204" s="16"/>
      <c r="B204" s="16"/>
      <c r="C204" s="62"/>
      <c r="D204" s="62"/>
      <c r="E204" s="62"/>
      <c r="F204" s="62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</row>
    <row r="205" spans="1:40" ht="27" customHeight="1" x14ac:dyDescent="0.3">
      <c r="A205" s="16"/>
      <c r="B205" s="16"/>
      <c r="C205" s="62"/>
      <c r="D205" s="62"/>
      <c r="E205" s="62"/>
      <c r="F205" s="62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</row>
    <row r="206" spans="1:40" ht="27" customHeight="1" x14ac:dyDescent="0.3">
      <c r="A206" s="16"/>
      <c r="B206" s="16"/>
      <c r="C206" s="62"/>
      <c r="D206" s="62"/>
      <c r="E206" s="62"/>
      <c r="F206" s="62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</row>
    <row r="207" spans="1:40" ht="27" customHeight="1" x14ac:dyDescent="0.3">
      <c r="A207" s="16"/>
      <c r="B207" s="16"/>
      <c r="C207" s="62"/>
      <c r="D207" s="62"/>
      <c r="E207" s="62"/>
      <c r="F207" s="62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</row>
    <row r="208" spans="1:40" ht="27" customHeight="1" x14ac:dyDescent="0.3">
      <c r="A208" s="16"/>
      <c r="B208" s="16"/>
      <c r="C208" s="62"/>
      <c r="D208" s="62"/>
      <c r="E208" s="62"/>
      <c r="F208" s="62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</row>
    <row r="209" spans="1:40" ht="27" customHeight="1" x14ac:dyDescent="0.3">
      <c r="A209" s="16"/>
      <c r="B209" s="16"/>
      <c r="C209" s="62"/>
      <c r="D209" s="62"/>
      <c r="E209" s="62"/>
      <c r="F209" s="62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</row>
    <row r="210" spans="1:40" ht="27" customHeight="1" x14ac:dyDescent="0.3">
      <c r="A210" s="16"/>
      <c r="B210" s="16"/>
      <c r="C210" s="62"/>
      <c r="D210" s="62"/>
      <c r="E210" s="62"/>
      <c r="F210" s="62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</row>
    <row r="211" spans="1:40" ht="27" customHeight="1" x14ac:dyDescent="0.3">
      <c r="A211" s="16"/>
      <c r="B211" s="16"/>
      <c r="C211" s="62"/>
      <c r="D211" s="62"/>
      <c r="E211" s="62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</row>
    <row r="212" spans="1:40" ht="27" customHeight="1" x14ac:dyDescent="0.3">
      <c r="A212" s="16"/>
      <c r="B212" s="16"/>
      <c r="C212" s="62"/>
      <c r="D212" s="62"/>
      <c r="E212" s="62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</row>
    <row r="213" spans="1:40" ht="27" customHeight="1" x14ac:dyDescent="0.3">
      <c r="A213" s="16"/>
      <c r="B213" s="16"/>
      <c r="C213" s="62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</row>
    <row r="214" spans="1:40" ht="27" customHeight="1" x14ac:dyDescent="0.3">
      <c r="A214" s="16"/>
      <c r="B214" s="16"/>
      <c r="C214" s="62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</row>
    <row r="215" spans="1:40" ht="27" customHeight="1" x14ac:dyDescent="0.3">
      <c r="A215" s="16"/>
      <c r="B215" s="16"/>
      <c r="C215" s="62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</row>
    <row r="216" spans="1:40" ht="27" customHeight="1" x14ac:dyDescent="0.3">
      <c r="A216" s="16"/>
      <c r="B216" s="16"/>
      <c r="C216" s="62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</row>
    <row r="217" spans="1:40" ht="27" customHeight="1" x14ac:dyDescent="0.3">
      <c r="A217" s="16"/>
      <c r="B217" s="16"/>
      <c r="C217" s="62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</row>
    <row r="218" spans="1:40" ht="27" customHeight="1" x14ac:dyDescent="0.3">
      <c r="A218" s="16"/>
      <c r="B218" s="16"/>
      <c r="C218" s="62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</row>
    <row r="219" spans="1:40" ht="27" customHeight="1" x14ac:dyDescent="0.3">
      <c r="A219" s="16"/>
      <c r="B219" s="16"/>
      <c r="C219" s="62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</row>
    <row r="220" spans="1:40" ht="27" customHeight="1" x14ac:dyDescent="0.3">
      <c r="A220" s="16"/>
      <c r="B220" s="16"/>
      <c r="C220" s="62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</row>
    <row r="221" spans="1:40" ht="27" customHeight="1" x14ac:dyDescent="0.3">
      <c r="A221" s="16"/>
      <c r="B221" s="16"/>
      <c r="C221" s="62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</row>
    <row r="222" spans="1:40" ht="27" customHeight="1" x14ac:dyDescent="0.3">
      <c r="A222" s="16"/>
      <c r="B222" s="16"/>
      <c r="C222" s="62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</row>
    <row r="223" spans="1:40" ht="27" customHeight="1" x14ac:dyDescent="0.3">
      <c r="A223" s="16"/>
      <c r="B223" s="16"/>
      <c r="C223" s="62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</row>
    <row r="224" spans="1:40" ht="27" customHeight="1" x14ac:dyDescent="0.3">
      <c r="A224" s="16"/>
      <c r="B224" s="16"/>
      <c r="C224" s="62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</row>
    <row r="225" spans="1:40" ht="27" customHeight="1" x14ac:dyDescent="0.3">
      <c r="A225" s="16"/>
      <c r="B225" s="16"/>
      <c r="C225" s="62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</row>
    <row r="226" spans="1:40" ht="27" customHeight="1" x14ac:dyDescent="0.3">
      <c r="A226" s="16"/>
      <c r="B226" s="16"/>
      <c r="C226" s="62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</row>
    <row r="227" spans="1:40" ht="27" customHeight="1" x14ac:dyDescent="0.3">
      <c r="A227" s="16"/>
      <c r="B227" s="16"/>
      <c r="C227" s="62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</row>
    <row r="228" spans="1:40" ht="27" customHeight="1" x14ac:dyDescent="0.3">
      <c r="A228" s="16"/>
      <c r="B228" s="16"/>
      <c r="C228" s="62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</row>
    <row r="229" spans="1:40" ht="27" customHeight="1" x14ac:dyDescent="0.3">
      <c r="A229" s="16"/>
      <c r="B229" s="16"/>
      <c r="C229" s="62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</row>
    <row r="230" spans="1:40" ht="27" customHeight="1" x14ac:dyDescent="0.3">
      <c r="A230" s="16"/>
      <c r="B230" s="16"/>
      <c r="C230" s="62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</row>
    <row r="231" spans="1:40" ht="27" customHeight="1" x14ac:dyDescent="0.3">
      <c r="A231" s="16"/>
      <c r="B231" s="16"/>
      <c r="C231" s="62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</row>
    <row r="232" spans="1:40" ht="27" customHeight="1" x14ac:dyDescent="0.3">
      <c r="A232" s="16"/>
      <c r="B232" s="16"/>
      <c r="C232" s="62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</row>
    <row r="233" spans="1:40" ht="27" customHeight="1" x14ac:dyDescent="0.3">
      <c r="A233" s="16"/>
      <c r="B233" s="16"/>
      <c r="C233" s="62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</row>
    <row r="234" spans="1:40" ht="27" customHeight="1" x14ac:dyDescent="0.3">
      <c r="A234" s="16"/>
      <c r="B234" s="16"/>
      <c r="C234" s="62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</row>
    <row r="235" spans="1:40" ht="27" customHeight="1" x14ac:dyDescent="0.3">
      <c r="A235" s="16"/>
      <c r="B235" s="16"/>
      <c r="C235" s="62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</row>
    <row r="236" spans="1:40" ht="27" customHeight="1" x14ac:dyDescent="0.3">
      <c r="A236" s="16"/>
      <c r="B236" s="16"/>
      <c r="C236" s="62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</row>
    <row r="237" spans="1:40" ht="27" customHeight="1" x14ac:dyDescent="0.3">
      <c r="A237" s="16"/>
      <c r="B237" s="16"/>
      <c r="C237" s="62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</row>
    <row r="238" spans="1:40" ht="27" customHeight="1" x14ac:dyDescent="0.3">
      <c r="A238" s="16"/>
      <c r="B238" s="16"/>
      <c r="C238" s="62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</row>
    <row r="239" spans="1:40" ht="27" customHeight="1" x14ac:dyDescent="0.3">
      <c r="A239" s="16"/>
      <c r="B239" s="16"/>
      <c r="C239" s="62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</row>
    <row r="240" spans="1:40" ht="27" customHeight="1" x14ac:dyDescent="0.3">
      <c r="A240" s="16"/>
      <c r="B240" s="16"/>
      <c r="C240" s="62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</row>
    <row r="241" spans="1:40" ht="27" customHeight="1" x14ac:dyDescent="0.3">
      <c r="A241" s="16"/>
      <c r="B241" s="16"/>
      <c r="C241" s="62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</row>
    <row r="242" spans="1:40" ht="27" customHeight="1" x14ac:dyDescent="0.3">
      <c r="A242" s="16"/>
      <c r="B242" s="16"/>
      <c r="C242" s="62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</row>
    <row r="243" spans="1:40" ht="27" customHeight="1" x14ac:dyDescent="0.3">
      <c r="A243" s="16"/>
      <c r="B243" s="16"/>
      <c r="C243" s="62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</row>
    <row r="244" spans="1:40" ht="27" customHeight="1" x14ac:dyDescent="0.3">
      <c r="A244" s="16"/>
      <c r="B244" s="16"/>
      <c r="C244" s="62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</row>
    <row r="245" spans="1:40" ht="27" customHeight="1" x14ac:dyDescent="0.3">
      <c r="A245" s="16"/>
      <c r="B245" s="16"/>
      <c r="C245" s="62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</row>
    <row r="246" spans="1:40" ht="27" customHeight="1" x14ac:dyDescent="0.3">
      <c r="A246" s="16"/>
      <c r="B246" s="16"/>
      <c r="C246" s="62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</row>
    <row r="247" spans="1:40" ht="27" customHeight="1" x14ac:dyDescent="0.3">
      <c r="A247" s="16"/>
      <c r="B247" s="16"/>
      <c r="C247" s="62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</row>
    <row r="248" spans="1:40" ht="27" customHeight="1" x14ac:dyDescent="0.3">
      <c r="A248" s="16"/>
      <c r="B248" s="16"/>
      <c r="C248" s="62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</row>
    <row r="249" spans="1:40" ht="27" customHeight="1" x14ac:dyDescent="0.3">
      <c r="A249" s="16"/>
      <c r="B249" s="16"/>
      <c r="C249" s="62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</row>
    <row r="250" spans="1:40" ht="27" customHeight="1" x14ac:dyDescent="0.3">
      <c r="A250" s="16"/>
      <c r="B250" s="16"/>
      <c r="C250" s="62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</row>
    <row r="251" spans="1:40" ht="27" customHeight="1" x14ac:dyDescent="0.3">
      <c r="A251" s="16"/>
      <c r="B251" s="16"/>
      <c r="C251" s="62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</row>
    <row r="252" spans="1:40" ht="27" customHeight="1" x14ac:dyDescent="0.3">
      <c r="A252" s="16"/>
      <c r="B252" s="16"/>
      <c r="C252" s="62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</row>
    <row r="253" spans="1:40" ht="27" customHeight="1" x14ac:dyDescent="0.3">
      <c r="A253" s="16"/>
      <c r="B253" s="16"/>
      <c r="C253" s="62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</row>
    <row r="254" spans="1:40" ht="27" customHeight="1" x14ac:dyDescent="0.3">
      <c r="A254" s="16"/>
      <c r="B254" s="16"/>
      <c r="C254" s="62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</row>
    <row r="255" spans="1:40" ht="27" customHeight="1" x14ac:dyDescent="0.3">
      <c r="A255" s="16"/>
      <c r="B255" s="16"/>
      <c r="C255" s="62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</row>
    <row r="256" spans="1:40" ht="27" customHeight="1" x14ac:dyDescent="0.3">
      <c r="A256" s="16"/>
      <c r="B256" s="16"/>
      <c r="C256" s="62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</row>
    <row r="257" spans="1:40" ht="27" customHeight="1" x14ac:dyDescent="0.3">
      <c r="A257" s="16"/>
      <c r="B257" s="16"/>
      <c r="C257" s="62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</row>
    <row r="258" spans="1:40" ht="27" customHeight="1" x14ac:dyDescent="0.3">
      <c r="A258" s="16"/>
      <c r="B258" s="16"/>
      <c r="C258" s="62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</row>
    <row r="259" spans="1:40" ht="27" customHeight="1" x14ac:dyDescent="0.3">
      <c r="A259" s="16"/>
      <c r="B259" s="16"/>
      <c r="C259" s="62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</row>
    <row r="260" spans="1:40" ht="27" customHeight="1" x14ac:dyDescent="0.3">
      <c r="A260" s="16"/>
      <c r="B260" s="16"/>
      <c r="C260" s="62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</row>
    <row r="261" spans="1:40" ht="27" customHeight="1" x14ac:dyDescent="0.3">
      <c r="A261" s="16"/>
      <c r="B261" s="16"/>
      <c r="C261" s="62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</row>
    <row r="262" spans="1:40" ht="27" customHeight="1" x14ac:dyDescent="0.3">
      <c r="A262" s="16"/>
      <c r="B262" s="16"/>
      <c r="C262" s="62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</row>
    <row r="263" spans="1:40" ht="27" customHeight="1" x14ac:dyDescent="0.3">
      <c r="A263" s="16"/>
      <c r="B263" s="16"/>
      <c r="C263" s="62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</row>
    <row r="264" spans="1:40" ht="27" customHeight="1" x14ac:dyDescent="0.3">
      <c r="A264" s="16"/>
      <c r="B264" s="16"/>
      <c r="C264" s="62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</row>
    <row r="265" spans="1:40" ht="27" customHeight="1" x14ac:dyDescent="0.3">
      <c r="A265" s="16"/>
      <c r="B265" s="16"/>
      <c r="C265" s="62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</row>
    <row r="266" spans="1:40" ht="27" customHeight="1" x14ac:dyDescent="0.3">
      <c r="A266" s="16"/>
      <c r="B266" s="16"/>
      <c r="C266" s="62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</row>
    <row r="267" spans="1:40" ht="27" customHeight="1" x14ac:dyDescent="0.3">
      <c r="A267" s="16"/>
      <c r="B267" s="16"/>
      <c r="C267" s="62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</row>
    <row r="268" spans="1:40" ht="27" customHeight="1" x14ac:dyDescent="0.3">
      <c r="A268" s="16"/>
      <c r="B268" s="16"/>
      <c r="C268" s="62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</row>
    <row r="269" spans="1:40" ht="27" customHeight="1" x14ac:dyDescent="0.3">
      <c r="A269" s="16"/>
      <c r="B269" s="16"/>
      <c r="C269" s="62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</row>
    <row r="270" spans="1:40" ht="27" customHeight="1" x14ac:dyDescent="0.3">
      <c r="A270" s="16"/>
      <c r="B270" s="16"/>
      <c r="C270" s="62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</row>
    <row r="271" spans="1:40" ht="27" customHeight="1" x14ac:dyDescent="0.3">
      <c r="A271" s="16"/>
      <c r="B271" s="16"/>
      <c r="C271" s="62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</row>
    <row r="272" spans="1:40" ht="27" customHeight="1" x14ac:dyDescent="0.3">
      <c r="A272" s="16"/>
      <c r="B272" s="16"/>
      <c r="C272" s="62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</row>
    <row r="273" spans="1:40" ht="27" customHeight="1" x14ac:dyDescent="0.3">
      <c r="A273" s="16"/>
      <c r="B273" s="16"/>
      <c r="C273" s="62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</row>
    <row r="274" spans="1:40" ht="27" customHeight="1" x14ac:dyDescent="0.3">
      <c r="A274" s="16"/>
      <c r="B274" s="16"/>
      <c r="C274" s="62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</row>
    <row r="275" spans="1:40" ht="27" customHeight="1" x14ac:dyDescent="0.3">
      <c r="A275" s="16"/>
      <c r="B275" s="16"/>
      <c r="C275" s="62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</row>
    <row r="276" spans="1:40" ht="27" customHeight="1" x14ac:dyDescent="0.3">
      <c r="A276" s="16"/>
      <c r="B276" s="16"/>
      <c r="C276" s="62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</row>
    <row r="277" spans="1:40" ht="27" customHeight="1" x14ac:dyDescent="0.3">
      <c r="A277" s="16"/>
      <c r="B277" s="16"/>
      <c r="C277" s="62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</row>
    <row r="278" spans="1:40" ht="27" customHeight="1" x14ac:dyDescent="0.3">
      <c r="A278" s="16"/>
      <c r="B278" s="16"/>
      <c r="C278" s="62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</row>
    <row r="279" spans="1:40" ht="27" customHeight="1" x14ac:dyDescent="0.3">
      <c r="A279" s="16"/>
      <c r="B279" s="16"/>
      <c r="C279" s="62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</row>
    <row r="280" spans="1:40" ht="27" customHeight="1" x14ac:dyDescent="0.3">
      <c r="A280" s="16"/>
      <c r="B280" s="16"/>
      <c r="C280" s="62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</row>
    <row r="281" spans="1:40" ht="27" customHeight="1" x14ac:dyDescent="0.3">
      <c r="A281" s="16"/>
      <c r="B281" s="16"/>
      <c r="C281" s="62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</row>
    <row r="282" spans="1:40" ht="27" customHeight="1" x14ac:dyDescent="0.3">
      <c r="A282" s="16"/>
      <c r="B282" s="16"/>
      <c r="C282" s="62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</row>
    <row r="283" spans="1:40" ht="27" customHeight="1" x14ac:dyDescent="0.3">
      <c r="A283" s="16"/>
      <c r="B283" s="16"/>
      <c r="C283" s="62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</row>
    <row r="284" spans="1:40" ht="27" customHeight="1" x14ac:dyDescent="0.3">
      <c r="A284" s="16"/>
      <c r="B284" s="16"/>
      <c r="C284" s="62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</row>
    <row r="285" spans="1:40" ht="27" customHeight="1" x14ac:dyDescent="0.3">
      <c r="A285" s="16"/>
      <c r="B285" s="16"/>
      <c r="C285" s="62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</row>
    <row r="286" spans="1:40" ht="27" customHeight="1" x14ac:dyDescent="0.3">
      <c r="A286" s="16"/>
      <c r="B286" s="16"/>
      <c r="C286" s="62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</row>
    <row r="287" spans="1:40" ht="27" customHeight="1" x14ac:dyDescent="0.3">
      <c r="A287" s="16"/>
      <c r="B287" s="16"/>
      <c r="C287" s="62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</row>
    <row r="288" spans="1:40" ht="27" customHeight="1" x14ac:dyDescent="0.3">
      <c r="A288" s="16"/>
      <c r="B288" s="16"/>
      <c r="C288" s="62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</row>
    <row r="289" spans="1:40" ht="27" customHeight="1" x14ac:dyDescent="0.3">
      <c r="A289" s="16"/>
      <c r="B289" s="16"/>
      <c r="C289" s="62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</row>
    <row r="290" spans="1:40" ht="27" customHeight="1" x14ac:dyDescent="0.3">
      <c r="A290" s="16"/>
      <c r="B290" s="16"/>
      <c r="C290" s="62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</row>
    <row r="291" spans="1:40" ht="27" customHeight="1" x14ac:dyDescent="0.3">
      <c r="A291" s="16"/>
      <c r="B291" s="16"/>
      <c r="C291" s="62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</row>
    <row r="292" spans="1:40" ht="27" customHeight="1" x14ac:dyDescent="0.3">
      <c r="A292" s="16"/>
      <c r="B292" s="16"/>
      <c r="C292" s="62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</row>
    <row r="293" spans="1:40" ht="27" customHeight="1" x14ac:dyDescent="0.3">
      <c r="A293" s="16"/>
      <c r="B293" s="16"/>
      <c r="C293" s="62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</row>
    <row r="294" spans="1:40" ht="27" customHeight="1" x14ac:dyDescent="0.3">
      <c r="A294" s="16"/>
      <c r="B294" s="16"/>
      <c r="C294" s="62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</row>
    <row r="295" spans="1:40" ht="27" customHeight="1" x14ac:dyDescent="0.3">
      <c r="A295" s="16"/>
      <c r="B295" s="16"/>
      <c r="C295" s="62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</row>
    <row r="296" spans="1:40" ht="27" customHeight="1" x14ac:dyDescent="0.3">
      <c r="A296" s="16"/>
      <c r="B296" s="16"/>
      <c r="C296" s="62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</row>
    <row r="297" spans="1:40" ht="27" customHeight="1" x14ac:dyDescent="0.3">
      <c r="A297" s="16"/>
      <c r="B297" s="16"/>
      <c r="C297" s="62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</row>
    <row r="298" spans="1:40" ht="27" customHeight="1" x14ac:dyDescent="0.3">
      <c r="A298" s="16"/>
      <c r="B298" s="16"/>
      <c r="C298" s="62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</row>
    <row r="299" spans="1:40" ht="27" customHeight="1" x14ac:dyDescent="0.3">
      <c r="A299" s="16"/>
      <c r="B299" s="16"/>
      <c r="C299" s="62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</row>
    <row r="300" spans="1:40" ht="27" customHeight="1" x14ac:dyDescent="0.3">
      <c r="A300" s="16"/>
      <c r="B300" s="16"/>
      <c r="C300" s="62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</row>
    <row r="301" spans="1:40" ht="27" customHeight="1" x14ac:dyDescent="0.3">
      <c r="A301" s="16"/>
      <c r="B301" s="16"/>
      <c r="C301" s="62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</row>
    <row r="302" spans="1:40" ht="27" customHeight="1" x14ac:dyDescent="0.3">
      <c r="A302" s="16"/>
      <c r="B302" s="16"/>
      <c r="C302" s="62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</row>
    <row r="303" spans="1:40" ht="27" customHeight="1" x14ac:dyDescent="0.3">
      <c r="A303" s="16"/>
      <c r="B303" s="16"/>
      <c r="C303" s="62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</row>
    <row r="304" spans="1:40" ht="27" customHeight="1" x14ac:dyDescent="0.3">
      <c r="A304" s="16"/>
      <c r="B304" s="16"/>
      <c r="C304" s="62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</row>
    <row r="305" spans="1:40" ht="27" customHeight="1" x14ac:dyDescent="0.3">
      <c r="A305" s="16"/>
      <c r="B305" s="16"/>
      <c r="C305" s="62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</row>
    <row r="306" spans="1:40" ht="27" customHeight="1" x14ac:dyDescent="0.3">
      <c r="A306" s="16"/>
      <c r="B306" s="16"/>
      <c r="C306" s="62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</row>
    <row r="307" spans="1:40" ht="27" customHeight="1" x14ac:dyDescent="0.3">
      <c r="A307" s="16"/>
      <c r="B307" s="16"/>
      <c r="C307" s="62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</row>
    <row r="308" spans="1:40" ht="27" customHeight="1" x14ac:dyDescent="0.3">
      <c r="A308" s="16"/>
      <c r="B308" s="16"/>
      <c r="C308" s="62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</row>
    <row r="309" spans="1:40" ht="27" customHeight="1" x14ac:dyDescent="0.3">
      <c r="A309" s="16"/>
      <c r="B309" s="16"/>
      <c r="C309" s="62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</row>
    <row r="310" spans="1:40" ht="27" customHeight="1" x14ac:dyDescent="0.3">
      <c r="A310" s="16"/>
      <c r="B310" s="16"/>
      <c r="C310" s="62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</row>
    <row r="311" spans="1:40" ht="27" customHeight="1" x14ac:dyDescent="0.3">
      <c r="A311" s="16"/>
      <c r="B311" s="16"/>
      <c r="C311" s="62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</row>
    <row r="312" spans="1:40" ht="27" customHeight="1" x14ac:dyDescent="0.3">
      <c r="A312" s="16"/>
      <c r="B312" s="16"/>
      <c r="C312" s="62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</row>
    <row r="313" spans="1:40" ht="27" customHeight="1" x14ac:dyDescent="0.3">
      <c r="A313" s="16"/>
      <c r="B313" s="16"/>
      <c r="C313" s="62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</row>
    <row r="314" spans="1:40" ht="27" customHeight="1" x14ac:dyDescent="0.3">
      <c r="A314" s="16"/>
      <c r="B314" s="16"/>
      <c r="C314" s="62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</row>
    <row r="315" spans="1:40" ht="27" customHeight="1" x14ac:dyDescent="0.3">
      <c r="A315" s="16"/>
      <c r="B315" s="16"/>
      <c r="C315" s="62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</row>
    <row r="316" spans="1:40" ht="27" customHeight="1" x14ac:dyDescent="0.3">
      <c r="A316" s="16"/>
      <c r="B316" s="16"/>
      <c r="C316" s="62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</row>
    <row r="317" spans="1:40" ht="27" customHeight="1" x14ac:dyDescent="0.3">
      <c r="A317" s="16"/>
      <c r="B317" s="16"/>
      <c r="C317" s="62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</row>
    <row r="318" spans="1:40" ht="27" customHeight="1" x14ac:dyDescent="0.3">
      <c r="A318" s="16"/>
      <c r="B318" s="16"/>
      <c r="C318" s="62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</row>
    <row r="319" spans="1:40" ht="27" customHeight="1" x14ac:dyDescent="0.3">
      <c r="A319" s="16"/>
      <c r="B319" s="16"/>
      <c r="C319" s="62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</row>
    <row r="320" spans="1:40" ht="27" customHeight="1" x14ac:dyDescent="0.3">
      <c r="A320" s="16"/>
      <c r="B320" s="16"/>
      <c r="C320" s="62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</row>
    <row r="321" spans="1:40" ht="27" customHeight="1" x14ac:dyDescent="0.3">
      <c r="A321" s="16"/>
      <c r="B321" s="16"/>
      <c r="C321" s="62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</row>
    <row r="322" spans="1:40" ht="27" customHeight="1" x14ac:dyDescent="0.3">
      <c r="A322" s="16"/>
      <c r="B322" s="16"/>
      <c r="C322" s="62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</row>
    <row r="323" spans="1:40" ht="27" customHeight="1" x14ac:dyDescent="0.3">
      <c r="A323" s="16"/>
      <c r="B323" s="16"/>
      <c r="C323" s="62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</row>
    <row r="324" spans="1:40" ht="27" customHeight="1" x14ac:dyDescent="0.3">
      <c r="A324" s="16"/>
      <c r="B324" s="16"/>
      <c r="C324" s="62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</row>
    <row r="325" spans="1:40" ht="27" customHeight="1" x14ac:dyDescent="0.3">
      <c r="A325" s="16"/>
      <c r="B325" s="16"/>
      <c r="C325" s="62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</row>
    <row r="326" spans="1:40" ht="27" customHeight="1" x14ac:dyDescent="0.3">
      <c r="A326" s="16"/>
      <c r="B326" s="16"/>
      <c r="C326" s="62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</row>
    <row r="327" spans="1:40" ht="27" customHeight="1" x14ac:dyDescent="0.3">
      <c r="A327" s="16"/>
      <c r="B327" s="16"/>
      <c r="C327" s="62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</row>
    <row r="328" spans="1:40" ht="27" customHeight="1" x14ac:dyDescent="0.3">
      <c r="A328" s="16"/>
      <c r="B328" s="16"/>
      <c r="C328" s="62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</row>
    <row r="329" spans="1:40" ht="27" customHeight="1" x14ac:dyDescent="0.3">
      <c r="A329" s="16"/>
      <c r="B329" s="16"/>
      <c r="C329" s="62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</row>
    <row r="330" spans="1:40" ht="27" customHeight="1" x14ac:dyDescent="0.3">
      <c r="A330" s="16"/>
      <c r="B330" s="16"/>
      <c r="C330" s="62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</row>
    <row r="331" spans="1:40" ht="27" customHeight="1" x14ac:dyDescent="0.3">
      <c r="A331" s="16"/>
      <c r="B331" s="16"/>
      <c r="C331" s="62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</row>
    <row r="332" spans="1:40" ht="27" customHeight="1" x14ac:dyDescent="0.3">
      <c r="A332" s="16"/>
      <c r="B332" s="16"/>
      <c r="C332" s="62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</row>
    <row r="333" spans="1:40" ht="27" customHeight="1" x14ac:dyDescent="0.3">
      <c r="A333" s="16"/>
      <c r="B333" s="16"/>
      <c r="C333" s="62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</row>
    <row r="334" spans="1:40" ht="27" customHeight="1" x14ac:dyDescent="0.3">
      <c r="A334" s="16"/>
      <c r="B334" s="16"/>
      <c r="C334" s="62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</row>
    <row r="335" spans="1:40" ht="27" customHeight="1" x14ac:dyDescent="0.3">
      <c r="A335" s="16"/>
      <c r="B335" s="16"/>
      <c r="C335" s="62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</row>
    <row r="336" spans="1:40" ht="27" customHeight="1" x14ac:dyDescent="0.3">
      <c r="A336" s="16"/>
      <c r="B336" s="16"/>
      <c r="C336" s="62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</row>
    <row r="337" spans="1:40" ht="27" customHeight="1" x14ac:dyDescent="0.3">
      <c r="A337" s="16"/>
      <c r="B337" s="16"/>
      <c r="C337" s="62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</row>
    <row r="338" spans="1:40" ht="27" customHeight="1" x14ac:dyDescent="0.3">
      <c r="A338" s="16"/>
      <c r="B338" s="16"/>
      <c r="C338" s="62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</row>
    <row r="339" spans="1:40" ht="27" customHeight="1" x14ac:dyDescent="0.3">
      <c r="A339" s="16"/>
      <c r="B339" s="16"/>
      <c r="C339" s="62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</row>
    <row r="340" spans="1:40" ht="27" customHeight="1" x14ac:dyDescent="0.3">
      <c r="A340" s="16"/>
      <c r="B340" s="16"/>
      <c r="C340" s="62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</row>
    <row r="341" spans="1:40" ht="27" customHeight="1" x14ac:dyDescent="0.3">
      <c r="A341" s="16"/>
      <c r="B341" s="16"/>
      <c r="C341" s="62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</row>
    <row r="342" spans="1:40" ht="27" customHeight="1" x14ac:dyDescent="0.3">
      <c r="A342" s="16"/>
      <c r="B342" s="16"/>
      <c r="C342" s="62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</row>
    <row r="343" spans="1:40" ht="27" customHeight="1" x14ac:dyDescent="0.3">
      <c r="A343" s="16"/>
      <c r="B343" s="16"/>
      <c r="C343" s="62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</row>
    <row r="344" spans="1:40" ht="27" customHeight="1" x14ac:dyDescent="0.3">
      <c r="A344" s="16"/>
      <c r="B344" s="16"/>
      <c r="C344" s="62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</row>
    <row r="345" spans="1:40" ht="27" customHeight="1" x14ac:dyDescent="0.3">
      <c r="A345" s="16"/>
      <c r="B345" s="16"/>
      <c r="C345" s="62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</row>
    <row r="346" spans="1:40" ht="27" customHeight="1" x14ac:dyDescent="0.3">
      <c r="A346" s="16"/>
      <c r="B346" s="16"/>
      <c r="C346" s="62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</row>
    <row r="347" spans="1:40" ht="27" customHeight="1" x14ac:dyDescent="0.3">
      <c r="A347" s="16"/>
      <c r="B347" s="16"/>
      <c r="C347" s="62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</row>
    <row r="348" spans="1:40" ht="27" customHeight="1" x14ac:dyDescent="0.3">
      <c r="A348" s="16"/>
      <c r="B348" s="16"/>
      <c r="C348" s="62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</row>
    <row r="349" spans="1:40" ht="27" customHeight="1" x14ac:dyDescent="0.3">
      <c r="A349" s="16"/>
      <c r="B349" s="16"/>
      <c r="C349" s="62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</row>
    <row r="350" spans="1:40" ht="27" customHeight="1" x14ac:dyDescent="0.3">
      <c r="A350" s="16"/>
      <c r="B350" s="16"/>
      <c r="C350" s="62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</row>
    <row r="351" spans="1:40" ht="27" customHeight="1" x14ac:dyDescent="0.3">
      <c r="A351" s="16"/>
      <c r="B351" s="16"/>
      <c r="C351" s="62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</row>
    <row r="352" spans="1:40" ht="27" customHeight="1" x14ac:dyDescent="0.3">
      <c r="A352" s="16"/>
      <c r="B352" s="16"/>
      <c r="C352" s="62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</row>
    <row r="353" spans="1:40" ht="27" customHeight="1" x14ac:dyDescent="0.3">
      <c r="A353" s="16"/>
      <c r="B353" s="16"/>
      <c r="C353" s="62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</row>
    <row r="354" spans="1:40" ht="27" customHeight="1" x14ac:dyDescent="0.3">
      <c r="A354" s="16"/>
      <c r="B354" s="16"/>
      <c r="C354" s="62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</row>
    <row r="355" spans="1:40" ht="27" customHeight="1" x14ac:dyDescent="0.3">
      <c r="A355" s="16"/>
      <c r="B355" s="16"/>
      <c r="C355" s="62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</row>
    <row r="356" spans="1:40" ht="27" customHeight="1" x14ac:dyDescent="0.3">
      <c r="A356" s="16"/>
      <c r="B356" s="16"/>
      <c r="C356" s="62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</row>
    <row r="357" spans="1:40" ht="27" customHeight="1" x14ac:dyDescent="0.3">
      <c r="A357" s="16"/>
      <c r="B357" s="16"/>
      <c r="C357" s="62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</row>
    <row r="358" spans="1:40" ht="27" customHeight="1" x14ac:dyDescent="0.3">
      <c r="A358" s="16"/>
      <c r="B358" s="16"/>
      <c r="C358" s="62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</row>
    <row r="359" spans="1:40" ht="27" customHeight="1" x14ac:dyDescent="0.3">
      <c r="A359" s="16"/>
      <c r="B359" s="16"/>
      <c r="C359" s="62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</row>
    <row r="360" spans="1:40" ht="27" customHeight="1" x14ac:dyDescent="0.3">
      <c r="A360" s="16"/>
      <c r="B360" s="16"/>
      <c r="C360" s="62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</row>
    <row r="361" spans="1:40" ht="27" customHeight="1" x14ac:dyDescent="0.3">
      <c r="A361" s="16"/>
      <c r="B361" s="16"/>
      <c r="C361" s="62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</row>
    <row r="362" spans="1:40" ht="27" customHeight="1" x14ac:dyDescent="0.3">
      <c r="A362" s="16"/>
      <c r="B362" s="16"/>
      <c r="C362" s="62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</row>
    <row r="363" spans="1:40" ht="27" customHeight="1" x14ac:dyDescent="0.3">
      <c r="A363" s="16"/>
      <c r="B363" s="16"/>
      <c r="C363" s="62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</row>
    <row r="364" spans="1:40" ht="27" customHeight="1" x14ac:dyDescent="0.3">
      <c r="A364" s="16"/>
      <c r="B364" s="16"/>
      <c r="C364" s="62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</row>
    <row r="365" spans="1:40" ht="27" customHeight="1" x14ac:dyDescent="0.3">
      <c r="A365" s="16"/>
      <c r="B365" s="16"/>
      <c r="C365" s="62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</row>
    <row r="366" spans="1:40" ht="27" customHeight="1" x14ac:dyDescent="0.3">
      <c r="A366" s="16"/>
      <c r="B366" s="16"/>
      <c r="C366" s="62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</row>
    <row r="367" spans="1:40" ht="27" customHeight="1" x14ac:dyDescent="0.3">
      <c r="A367" s="16"/>
      <c r="B367" s="16"/>
      <c r="C367" s="62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</row>
    <row r="368" spans="1:40" ht="27" customHeight="1" x14ac:dyDescent="0.3">
      <c r="A368" s="16"/>
      <c r="B368" s="16"/>
      <c r="C368" s="62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</row>
    <row r="369" spans="1:40" ht="27" customHeight="1" x14ac:dyDescent="0.3">
      <c r="A369" s="16"/>
      <c r="B369" s="16"/>
      <c r="C369" s="62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</row>
    <row r="370" spans="1:40" ht="27" customHeight="1" x14ac:dyDescent="0.3">
      <c r="A370" s="16"/>
      <c r="B370" s="16"/>
      <c r="C370" s="62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</row>
    <row r="371" spans="1:40" ht="27" customHeight="1" x14ac:dyDescent="0.3">
      <c r="A371" s="16"/>
      <c r="B371" s="16"/>
      <c r="C371" s="62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</row>
    <row r="372" spans="1:40" ht="27" customHeight="1" x14ac:dyDescent="0.3">
      <c r="A372" s="16"/>
      <c r="B372" s="16"/>
      <c r="C372" s="62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</row>
    <row r="373" spans="1:40" ht="27" customHeight="1" x14ac:dyDescent="0.3">
      <c r="A373" s="16"/>
      <c r="B373" s="16"/>
      <c r="C373" s="62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</row>
    <row r="374" spans="1:40" ht="27" customHeight="1" x14ac:dyDescent="0.3">
      <c r="A374" s="16"/>
      <c r="B374" s="16"/>
      <c r="C374" s="62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</row>
    <row r="375" spans="1:40" ht="27" customHeight="1" x14ac:dyDescent="0.3">
      <c r="A375" s="16"/>
      <c r="B375" s="16"/>
      <c r="C375" s="62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</row>
    <row r="376" spans="1:40" ht="27" customHeight="1" x14ac:dyDescent="0.3">
      <c r="A376" s="16"/>
      <c r="B376" s="16"/>
      <c r="C376" s="62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</row>
    <row r="377" spans="1:40" ht="27" customHeight="1" x14ac:dyDescent="0.3">
      <c r="A377" s="16"/>
      <c r="B377" s="16"/>
      <c r="C377" s="62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</row>
    <row r="378" spans="1:40" ht="27" customHeight="1" x14ac:dyDescent="0.3">
      <c r="A378" s="16"/>
      <c r="B378" s="16"/>
      <c r="C378" s="62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</row>
    <row r="379" spans="1:40" ht="27" customHeight="1" x14ac:dyDescent="0.3">
      <c r="A379" s="16"/>
      <c r="B379" s="16"/>
      <c r="C379" s="62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</row>
    <row r="380" spans="1:40" ht="27" customHeight="1" x14ac:dyDescent="0.3">
      <c r="A380" s="16"/>
      <c r="B380" s="16"/>
      <c r="C380" s="62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</row>
    <row r="381" spans="1:40" ht="27" customHeight="1" x14ac:dyDescent="0.3">
      <c r="A381" s="16"/>
      <c r="B381" s="16"/>
      <c r="C381" s="62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</row>
    <row r="382" spans="1:40" ht="27" customHeight="1" x14ac:dyDescent="0.3">
      <c r="A382" s="16"/>
      <c r="B382" s="16"/>
      <c r="C382" s="62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</row>
    <row r="383" spans="1:40" ht="27" customHeight="1" x14ac:dyDescent="0.3">
      <c r="A383" s="16"/>
      <c r="B383" s="16"/>
      <c r="C383" s="62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</row>
    <row r="384" spans="1:40" ht="27" customHeight="1" x14ac:dyDescent="0.3">
      <c r="A384" s="16"/>
      <c r="B384" s="16"/>
      <c r="C384" s="62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</row>
    <row r="385" spans="1:40" ht="27" customHeight="1" x14ac:dyDescent="0.3">
      <c r="A385" s="16"/>
      <c r="B385" s="16"/>
      <c r="C385" s="62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</row>
    <row r="386" spans="1:40" ht="27" customHeight="1" x14ac:dyDescent="0.3">
      <c r="A386" s="16"/>
      <c r="B386" s="16"/>
      <c r="C386" s="62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</row>
    <row r="387" spans="1:40" ht="27" customHeight="1" x14ac:dyDescent="0.3">
      <c r="A387" s="16"/>
      <c r="B387" s="16"/>
      <c r="C387" s="62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</row>
    <row r="388" spans="1:40" ht="27" customHeight="1" x14ac:dyDescent="0.3">
      <c r="A388" s="16"/>
      <c r="B388" s="16"/>
      <c r="C388" s="62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</row>
    <row r="389" spans="1:40" ht="27" customHeight="1" x14ac:dyDescent="0.3">
      <c r="A389" s="16"/>
      <c r="B389" s="16"/>
      <c r="C389" s="62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</row>
    <row r="390" spans="1:40" ht="27" customHeight="1" x14ac:dyDescent="0.3">
      <c r="A390" s="16"/>
      <c r="B390" s="16"/>
      <c r="C390" s="62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</row>
    <row r="391" spans="1:40" ht="27" customHeight="1" x14ac:dyDescent="0.3">
      <c r="A391" s="16"/>
      <c r="B391" s="16"/>
      <c r="C391" s="62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</row>
    <row r="392" spans="1:40" ht="27" customHeight="1" x14ac:dyDescent="0.3">
      <c r="A392" s="16"/>
      <c r="B392" s="16"/>
      <c r="C392" s="62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</row>
    <row r="393" spans="1:40" ht="27" customHeight="1" x14ac:dyDescent="0.3">
      <c r="A393" s="16"/>
      <c r="B393" s="16"/>
      <c r="C393" s="62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</row>
    <row r="394" spans="1:40" ht="27" customHeight="1" x14ac:dyDescent="0.3">
      <c r="A394" s="16"/>
      <c r="B394" s="16"/>
      <c r="C394" s="62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</row>
    <row r="395" spans="1:40" ht="27" customHeight="1" x14ac:dyDescent="0.3">
      <c r="A395" s="16"/>
      <c r="B395" s="16"/>
      <c r="C395" s="62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</row>
    <row r="396" spans="1:40" ht="27" customHeight="1" x14ac:dyDescent="0.3">
      <c r="A396" s="16"/>
      <c r="B396" s="16"/>
      <c r="C396" s="62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</row>
    <row r="397" spans="1:40" ht="27" customHeight="1" x14ac:dyDescent="0.3">
      <c r="A397" s="16"/>
      <c r="B397" s="16"/>
      <c r="C397" s="62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</row>
    <row r="398" spans="1:40" ht="27" customHeight="1" x14ac:dyDescent="0.3">
      <c r="A398" s="16"/>
      <c r="B398" s="16"/>
      <c r="C398" s="62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</row>
    <row r="399" spans="1:40" ht="27" customHeight="1" x14ac:dyDescent="0.3">
      <c r="A399" s="16"/>
      <c r="B399" s="16"/>
      <c r="C399" s="62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</row>
    <row r="400" spans="1:40" ht="27" customHeight="1" x14ac:dyDescent="0.3">
      <c r="A400" s="16"/>
      <c r="B400" s="16"/>
      <c r="C400" s="62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</row>
    <row r="401" spans="1:40" ht="27" customHeight="1" x14ac:dyDescent="0.3">
      <c r="A401" s="16"/>
      <c r="B401" s="16"/>
      <c r="C401" s="62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</row>
    <row r="402" spans="1:40" ht="27" customHeight="1" x14ac:dyDescent="0.3">
      <c r="A402" s="16"/>
      <c r="B402" s="16"/>
      <c r="C402" s="62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</row>
    <row r="403" spans="1:40" ht="27" customHeight="1" x14ac:dyDescent="0.3">
      <c r="A403" s="16"/>
      <c r="B403" s="16"/>
      <c r="C403" s="62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</row>
    <row r="404" spans="1:40" ht="27" customHeight="1" x14ac:dyDescent="0.3">
      <c r="A404" s="16"/>
      <c r="B404" s="16"/>
      <c r="C404" s="62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</row>
    <row r="405" spans="1:40" ht="27" customHeight="1" x14ac:dyDescent="0.3">
      <c r="A405" s="16"/>
      <c r="B405" s="16"/>
      <c r="C405" s="62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</row>
    <row r="406" spans="1:40" ht="27" customHeight="1" x14ac:dyDescent="0.3">
      <c r="A406" s="16"/>
      <c r="B406" s="16"/>
      <c r="C406" s="62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</row>
    <row r="407" spans="1:40" ht="27" customHeight="1" x14ac:dyDescent="0.3">
      <c r="A407" s="16"/>
      <c r="B407" s="16"/>
      <c r="C407" s="62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</row>
    <row r="408" spans="1:40" ht="27" customHeight="1" x14ac:dyDescent="0.3">
      <c r="A408" s="16"/>
      <c r="B408" s="16"/>
      <c r="C408" s="62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</row>
    <row r="409" spans="1:40" ht="27" customHeight="1" x14ac:dyDescent="0.3">
      <c r="A409" s="16"/>
      <c r="B409" s="16"/>
      <c r="C409" s="62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</row>
    <row r="410" spans="1:40" ht="27" customHeight="1" x14ac:dyDescent="0.3">
      <c r="A410" s="16"/>
      <c r="B410" s="16"/>
      <c r="C410" s="62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</row>
    <row r="411" spans="1:40" ht="27" customHeight="1" x14ac:dyDescent="0.3">
      <c r="A411" s="16"/>
      <c r="B411" s="16"/>
      <c r="C411" s="62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</row>
    <row r="412" spans="1:40" ht="27" customHeight="1" x14ac:dyDescent="0.3">
      <c r="A412" s="16"/>
      <c r="B412" s="16"/>
      <c r="C412" s="62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</row>
    <row r="413" spans="1:40" ht="27" customHeight="1" x14ac:dyDescent="0.3">
      <c r="A413" s="16"/>
      <c r="B413" s="16"/>
      <c r="C413" s="62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</row>
    <row r="414" spans="1:40" ht="27" customHeight="1" x14ac:dyDescent="0.3">
      <c r="A414" s="16"/>
      <c r="B414" s="16"/>
      <c r="C414" s="62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</row>
    <row r="415" spans="1:40" ht="27" customHeight="1" x14ac:dyDescent="0.3">
      <c r="A415" s="16"/>
      <c r="B415" s="16"/>
      <c r="C415" s="62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</row>
    <row r="416" spans="1:40" ht="27" customHeight="1" x14ac:dyDescent="0.3">
      <c r="A416" s="16"/>
      <c r="B416" s="16"/>
      <c r="C416" s="62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</row>
    <row r="417" spans="1:40" ht="27" customHeight="1" x14ac:dyDescent="0.3">
      <c r="A417" s="16"/>
      <c r="B417" s="16"/>
      <c r="C417" s="62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</row>
    <row r="418" spans="1:40" ht="27" customHeight="1" x14ac:dyDescent="0.3">
      <c r="A418" s="16"/>
      <c r="B418" s="16"/>
      <c r="C418" s="62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</row>
    <row r="419" spans="1:40" ht="27" customHeight="1" x14ac:dyDescent="0.3">
      <c r="A419" s="16"/>
      <c r="B419" s="16"/>
      <c r="C419" s="62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</row>
    <row r="420" spans="1:40" ht="27" customHeight="1" x14ac:dyDescent="0.3">
      <c r="A420" s="16"/>
      <c r="B420" s="16"/>
      <c r="C420" s="62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</row>
    <row r="421" spans="1:40" ht="27" customHeight="1" x14ac:dyDescent="0.3">
      <c r="A421" s="16"/>
      <c r="B421" s="16"/>
      <c r="C421" s="62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</row>
    <row r="422" spans="1:40" ht="27" customHeight="1" x14ac:dyDescent="0.3">
      <c r="A422" s="16"/>
      <c r="B422" s="16"/>
      <c r="C422" s="62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</row>
    <row r="423" spans="1:40" ht="27" customHeight="1" x14ac:dyDescent="0.3">
      <c r="A423" s="16"/>
      <c r="B423" s="16"/>
      <c r="C423" s="62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</row>
    <row r="424" spans="1:40" ht="27" customHeight="1" x14ac:dyDescent="0.3">
      <c r="A424" s="16"/>
      <c r="B424" s="16"/>
      <c r="C424" s="62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</row>
    <row r="425" spans="1:40" ht="27" customHeight="1" x14ac:dyDescent="0.3">
      <c r="A425" s="16"/>
      <c r="B425" s="16"/>
      <c r="C425" s="62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</row>
    <row r="426" spans="1:40" ht="27" customHeight="1" x14ac:dyDescent="0.3">
      <c r="A426" s="16"/>
      <c r="B426" s="16"/>
      <c r="C426" s="62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</row>
    <row r="427" spans="1:40" ht="27" customHeight="1" x14ac:dyDescent="0.3">
      <c r="A427" s="16"/>
      <c r="B427" s="16"/>
      <c r="C427" s="62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</row>
    <row r="428" spans="1:40" ht="27" customHeight="1" x14ac:dyDescent="0.3">
      <c r="A428" s="16"/>
      <c r="B428" s="16"/>
      <c r="C428" s="62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</row>
    <row r="429" spans="1:40" ht="27" customHeight="1" x14ac:dyDescent="0.3">
      <c r="A429" s="16"/>
      <c r="B429" s="16"/>
      <c r="C429" s="62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</row>
    <row r="430" spans="1:40" ht="27" customHeight="1" x14ac:dyDescent="0.3">
      <c r="A430" s="16"/>
      <c r="B430" s="16"/>
      <c r="C430" s="62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</row>
    <row r="431" spans="1:40" ht="27" customHeight="1" x14ac:dyDescent="0.3">
      <c r="A431" s="16"/>
      <c r="B431" s="16"/>
      <c r="C431" s="62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</row>
    <row r="432" spans="1:40" ht="27" customHeight="1" x14ac:dyDescent="0.3">
      <c r="A432" s="16"/>
      <c r="B432" s="16"/>
      <c r="C432" s="62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</row>
    <row r="433" spans="1:40" ht="27" customHeight="1" x14ac:dyDescent="0.3">
      <c r="A433" s="16"/>
      <c r="B433" s="16"/>
      <c r="C433" s="62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</row>
    <row r="434" spans="1:40" ht="27" customHeight="1" x14ac:dyDescent="0.3">
      <c r="A434" s="16"/>
      <c r="B434" s="16"/>
      <c r="C434" s="62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</row>
    <row r="435" spans="1:40" ht="27" customHeight="1" x14ac:dyDescent="0.3">
      <c r="A435" s="16"/>
      <c r="B435" s="16"/>
      <c r="C435" s="62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</row>
    <row r="436" spans="1:40" ht="27" customHeight="1" x14ac:dyDescent="0.3">
      <c r="A436" s="16"/>
      <c r="B436" s="16"/>
      <c r="C436" s="62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</row>
    <row r="437" spans="1:40" ht="27" customHeight="1" x14ac:dyDescent="0.3">
      <c r="A437" s="16"/>
      <c r="B437" s="16"/>
      <c r="C437" s="62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</row>
    <row r="438" spans="1:40" ht="27" customHeight="1" x14ac:dyDescent="0.3">
      <c r="A438" s="16"/>
      <c r="B438" s="16"/>
      <c r="C438" s="62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</row>
    <row r="439" spans="1:40" ht="27" customHeight="1" x14ac:dyDescent="0.3">
      <c r="A439" s="16"/>
      <c r="B439" s="16"/>
      <c r="C439" s="62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</row>
    <row r="440" spans="1:40" ht="27" customHeight="1" x14ac:dyDescent="0.3">
      <c r="A440" s="16"/>
      <c r="B440" s="16"/>
      <c r="C440" s="62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</row>
    <row r="441" spans="1:40" ht="27" customHeight="1" x14ac:dyDescent="0.3">
      <c r="A441" s="16"/>
      <c r="B441" s="16"/>
      <c r="C441" s="62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</row>
    <row r="442" spans="1:40" ht="27" customHeight="1" x14ac:dyDescent="0.3">
      <c r="A442" s="16"/>
      <c r="B442" s="16"/>
      <c r="C442" s="62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</row>
    <row r="443" spans="1:40" ht="27" customHeight="1" x14ac:dyDescent="0.3">
      <c r="A443" s="16"/>
      <c r="B443" s="16"/>
      <c r="C443" s="62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</row>
    <row r="444" spans="1:40" ht="27" customHeight="1" x14ac:dyDescent="0.3">
      <c r="A444" s="16"/>
      <c r="B444" s="16"/>
      <c r="C444" s="62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</row>
    <row r="445" spans="1:40" ht="27" customHeight="1" x14ac:dyDescent="0.3">
      <c r="A445" s="16"/>
      <c r="B445" s="16"/>
      <c r="C445" s="62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</row>
    <row r="446" spans="1:40" ht="27" customHeight="1" x14ac:dyDescent="0.3">
      <c r="A446" s="16"/>
      <c r="B446" s="16"/>
      <c r="C446" s="62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</row>
    <row r="447" spans="1:40" ht="27" customHeight="1" x14ac:dyDescent="0.3">
      <c r="A447" s="16"/>
      <c r="B447" s="16"/>
      <c r="C447" s="62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</row>
    <row r="448" spans="1:40" ht="27" customHeight="1" x14ac:dyDescent="0.3">
      <c r="A448" s="16"/>
      <c r="B448" s="16"/>
      <c r="C448" s="62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</row>
    <row r="449" spans="1:40" ht="27" customHeight="1" x14ac:dyDescent="0.3">
      <c r="A449" s="16"/>
      <c r="B449" s="16"/>
      <c r="C449" s="62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</row>
    <row r="450" spans="1:40" ht="27" customHeight="1" x14ac:dyDescent="0.3">
      <c r="A450" s="16"/>
      <c r="B450" s="16"/>
      <c r="C450" s="62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</row>
    <row r="451" spans="1:40" ht="27" customHeight="1" x14ac:dyDescent="0.3">
      <c r="A451" s="16"/>
      <c r="B451" s="16"/>
      <c r="C451" s="62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</row>
    <row r="452" spans="1:40" ht="27" customHeight="1" x14ac:dyDescent="0.3">
      <c r="A452" s="16"/>
      <c r="B452" s="16"/>
      <c r="C452" s="62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</row>
    <row r="453" spans="1:40" ht="27" customHeight="1" x14ac:dyDescent="0.3">
      <c r="A453" s="16"/>
      <c r="B453" s="16"/>
      <c r="C453" s="62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</row>
    <row r="454" spans="1:40" ht="27" customHeight="1" x14ac:dyDescent="0.3">
      <c r="A454" s="16"/>
      <c r="B454" s="16"/>
      <c r="C454" s="62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</row>
    <row r="455" spans="1:40" ht="27" customHeight="1" x14ac:dyDescent="0.3">
      <c r="A455" s="16"/>
      <c r="B455" s="16"/>
      <c r="C455" s="62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</row>
    <row r="456" spans="1:40" ht="27" customHeight="1" x14ac:dyDescent="0.3">
      <c r="A456" s="16"/>
      <c r="B456" s="16"/>
      <c r="C456" s="62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</row>
    <row r="457" spans="1:40" ht="27" customHeight="1" x14ac:dyDescent="0.3">
      <c r="A457" s="16"/>
      <c r="B457" s="16"/>
      <c r="C457" s="62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</row>
    <row r="458" spans="1:40" ht="27" customHeight="1" x14ac:dyDescent="0.3">
      <c r="A458" s="16"/>
      <c r="B458" s="16"/>
      <c r="C458" s="62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</row>
    <row r="459" spans="1:40" ht="27" customHeight="1" x14ac:dyDescent="0.3">
      <c r="A459" s="16"/>
      <c r="B459" s="16"/>
      <c r="C459" s="62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</row>
    <row r="460" spans="1:40" ht="27" customHeight="1" x14ac:dyDescent="0.3">
      <c r="A460" s="16"/>
      <c r="B460" s="16"/>
      <c r="C460" s="62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</row>
    <row r="461" spans="1:40" ht="27" customHeight="1" x14ac:dyDescent="0.3">
      <c r="A461" s="16"/>
      <c r="B461" s="16"/>
      <c r="C461" s="62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</row>
    <row r="462" spans="1:40" ht="27" customHeight="1" x14ac:dyDescent="0.3">
      <c r="A462" s="16"/>
      <c r="B462" s="16"/>
      <c r="C462" s="62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</row>
    <row r="463" spans="1:40" ht="27" customHeight="1" x14ac:dyDescent="0.3">
      <c r="A463" s="16"/>
      <c r="B463" s="16"/>
      <c r="C463" s="62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</row>
    <row r="464" spans="1:40" ht="27" customHeight="1" x14ac:dyDescent="0.3">
      <c r="A464" s="16"/>
      <c r="B464" s="16"/>
      <c r="C464" s="62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</row>
    <row r="465" spans="1:40" ht="27" customHeight="1" x14ac:dyDescent="0.3">
      <c r="A465" s="16"/>
      <c r="B465" s="16"/>
      <c r="C465" s="62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</row>
    <row r="466" spans="1:40" ht="27" customHeight="1" x14ac:dyDescent="0.3">
      <c r="A466" s="16"/>
      <c r="B466" s="16"/>
      <c r="C466" s="62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</row>
    <row r="467" spans="1:40" ht="27" customHeight="1" x14ac:dyDescent="0.3">
      <c r="A467" s="16"/>
      <c r="B467" s="16"/>
      <c r="C467" s="62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</row>
    <row r="468" spans="1:40" ht="27" customHeight="1" x14ac:dyDescent="0.3">
      <c r="A468" s="16"/>
      <c r="B468" s="16"/>
      <c r="C468" s="62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</row>
    <row r="469" spans="1:40" ht="27" customHeight="1" x14ac:dyDescent="0.3">
      <c r="A469" s="16"/>
      <c r="B469" s="16"/>
      <c r="C469" s="62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</row>
    <row r="470" spans="1:40" ht="27" customHeight="1" x14ac:dyDescent="0.3">
      <c r="A470" s="16"/>
      <c r="B470" s="16"/>
      <c r="C470" s="62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</row>
    <row r="471" spans="1:40" ht="27" customHeight="1" x14ac:dyDescent="0.3">
      <c r="A471" s="16"/>
      <c r="B471" s="16"/>
      <c r="C471" s="62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</row>
    <row r="472" spans="1:40" ht="27" customHeight="1" x14ac:dyDescent="0.3">
      <c r="A472" s="16"/>
      <c r="B472" s="16"/>
      <c r="C472" s="62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</row>
    <row r="473" spans="1:40" ht="27" customHeight="1" x14ac:dyDescent="0.3">
      <c r="A473" s="16"/>
      <c r="B473" s="16"/>
      <c r="C473" s="62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</row>
    <row r="474" spans="1:40" ht="27" customHeight="1" x14ac:dyDescent="0.3">
      <c r="A474" s="16"/>
      <c r="B474" s="16"/>
      <c r="C474" s="62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</row>
    <row r="475" spans="1:40" ht="27" customHeight="1" x14ac:dyDescent="0.3">
      <c r="A475" s="16"/>
      <c r="B475" s="16"/>
      <c r="C475" s="62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</row>
    <row r="476" spans="1:40" ht="27" customHeight="1" x14ac:dyDescent="0.3">
      <c r="A476" s="16"/>
      <c r="B476" s="16"/>
      <c r="C476" s="62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</row>
    <row r="477" spans="1:40" ht="27" customHeight="1" x14ac:dyDescent="0.3">
      <c r="A477" s="16"/>
      <c r="B477" s="16"/>
      <c r="C477" s="62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</row>
    <row r="478" spans="1:40" ht="27" customHeight="1" x14ac:dyDescent="0.3">
      <c r="A478" s="16"/>
      <c r="B478" s="16"/>
      <c r="C478" s="62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</row>
    <row r="479" spans="1:40" ht="27" customHeight="1" x14ac:dyDescent="0.3">
      <c r="A479" s="16"/>
      <c r="B479" s="16"/>
      <c r="C479" s="62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</row>
    <row r="480" spans="1:40" ht="27" customHeight="1" x14ac:dyDescent="0.3">
      <c r="A480" s="16"/>
      <c r="B480" s="16"/>
      <c r="C480" s="62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</row>
    <row r="481" spans="1:40" ht="27" customHeight="1" x14ac:dyDescent="0.3">
      <c r="A481" s="16"/>
      <c r="B481" s="16"/>
      <c r="C481" s="62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</row>
    <row r="482" spans="1:40" ht="27" customHeight="1" x14ac:dyDescent="0.3">
      <c r="A482" s="16"/>
      <c r="B482" s="16"/>
      <c r="C482" s="62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</row>
    <row r="483" spans="1:40" ht="27" customHeight="1" x14ac:dyDescent="0.3">
      <c r="A483" s="16"/>
      <c r="B483" s="16"/>
      <c r="C483" s="62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</row>
    <row r="484" spans="1:40" ht="27" customHeight="1" x14ac:dyDescent="0.3">
      <c r="A484" s="16"/>
      <c r="B484" s="16"/>
      <c r="C484" s="62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</row>
    <row r="485" spans="1:40" ht="27" customHeight="1" x14ac:dyDescent="0.3">
      <c r="A485" s="16"/>
      <c r="B485" s="16"/>
      <c r="C485" s="62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</row>
    <row r="486" spans="1:40" ht="27" customHeight="1" x14ac:dyDescent="0.3">
      <c r="A486" s="16"/>
      <c r="B486" s="16"/>
      <c r="C486" s="62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</row>
    <row r="487" spans="1:40" ht="27" customHeight="1" x14ac:dyDescent="0.3">
      <c r="A487" s="16"/>
      <c r="B487" s="16"/>
      <c r="C487" s="62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</row>
    <row r="488" spans="1:40" ht="27" customHeight="1" x14ac:dyDescent="0.3">
      <c r="A488" s="16"/>
      <c r="B488" s="16"/>
      <c r="C488" s="62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</row>
    <row r="489" spans="1:40" ht="27" customHeight="1" x14ac:dyDescent="0.3">
      <c r="A489" s="16"/>
      <c r="B489" s="16"/>
      <c r="C489" s="62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</row>
    <row r="490" spans="1:40" ht="27" customHeight="1" x14ac:dyDescent="0.3">
      <c r="A490" s="16"/>
      <c r="B490" s="16"/>
      <c r="C490" s="62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</row>
    <row r="491" spans="1:40" ht="27" customHeight="1" x14ac:dyDescent="0.3">
      <c r="A491" s="16"/>
      <c r="B491" s="16"/>
      <c r="C491" s="62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</row>
    <row r="492" spans="1:40" ht="27" customHeight="1" x14ac:dyDescent="0.3">
      <c r="A492" s="16"/>
      <c r="B492" s="16"/>
      <c r="C492" s="62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</row>
    <row r="493" spans="1:40" ht="27" customHeight="1" x14ac:dyDescent="0.3">
      <c r="A493" s="16"/>
      <c r="B493" s="16"/>
      <c r="C493" s="62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</row>
    <row r="494" spans="1:40" ht="27" customHeight="1" x14ac:dyDescent="0.3">
      <c r="A494" s="16"/>
      <c r="B494" s="16"/>
      <c r="C494" s="62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</row>
    <row r="495" spans="1:40" ht="27" customHeight="1" x14ac:dyDescent="0.3">
      <c r="A495" s="16"/>
      <c r="B495" s="16"/>
      <c r="C495" s="62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</row>
    <row r="496" spans="1:40" ht="27" customHeight="1" x14ac:dyDescent="0.3">
      <c r="A496" s="16"/>
      <c r="B496" s="16"/>
      <c r="C496" s="62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</row>
    <row r="497" spans="1:40" ht="27" customHeight="1" x14ac:dyDescent="0.3">
      <c r="A497" s="16"/>
      <c r="B497" s="16"/>
      <c r="C497" s="62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</row>
    <row r="498" spans="1:40" ht="27" customHeight="1" x14ac:dyDescent="0.3">
      <c r="A498" s="16"/>
      <c r="B498" s="16"/>
      <c r="C498" s="62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</row>
    <row r="499" spans="1:40" ht="27" customHeight="1" x14ac:dyDescent="0.3">
      <c r="A499" s="16"/>
      <c r="B499" s="16"/>
      <c r="C499" s="62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</row>
    <row r="500" spans="1:40" ht="27" customHeight="1" x14ac:dyDescent="0.3">
      <c r="A500" s="16"/>
      <c r="B500" s="16"/>
      <c r="C500" s="62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</row>
    <row r="501" spans="1:40" ht="27" customHeight="1" x14ac:dyDescent="0.3">
      <c r="A501" s="16"/>
      <c r="B501" s="16"/>
      <c r="C501" s="62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</row>
    <row r="502" spans="1:40" ht="27" customHeight="1" x14ac:dyDescent="0.3">
      <c r="A502" s="16"/>
      <c r="B502" s="16"/>
      <c r="C502" s="62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</row>
    <row r="503" spans="1:40" ht="27" customHeight="1" x14ac:dyDescent="0.3">
      <c r="A503" s="16"/>
      <c r="B503" s="16"/>
      <c r="C503" s="62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</row>
    <row r="504" spans="1:40" ht="27" customHeight="1" x14ac:dyDescent="0.3">
      <c r="A504" s="16"/>
      <c r="B504" s="16"/>
      <c r="C504" s="62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</row>
    <row r="505" spans="1:40" ht="27" customHeight="1" x14ac:dyDescent="0.3">
      <c r="A505" s="16"/>
      <c r="B505" s="16"/>
      <c r="C505" s="62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</row>
    <row r="506" spans="1:40" ht="27" customHeight="1" x14ac:dyDescent="0.3">
      <c r="A506" s="16"/>
      <c r="B506" s="16"/>
      <c r="C506" s="62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</row>
    <row r="507" spans="1:40" ht="27" customHeight="1" x14ac:dyDescent="0.3">
      <c r="A507" s="16"/>
      <c r="B507" s="16"/>
      <c r="C507" s="62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</row>
    <row r="508" spans="1:40" ht="27" customHeight="1" x14ac:dyDescent="0.3">
      <c r="A508" s="16"/>
      <c r="B508" s="16"/>
      <c r="C508" s="62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</row>
    <row r="509" spans="1:40" ht="27" customHeight="1" x14ac:dyDescent="0.3">
      <c r="A509" s="16"/>
      <c r="B509" s="16"/>
      <c r="C509" s="62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</row>
    <row r="510" spans="1:40" ht="27" customHeight="1" x14ac:dyDescent="0.3">
      <c r="A510" s="16"/>
      <c r="B510" s="16"/>
      <c r="C510" s="62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</row>
    <row r="511" spans="1:40" ht="27" customHeight="1" x14ac:dyDescent="0.3">
      <c r="A511" s="16"/>
      <c r="B511" s="16"/>
      <c r="C511" s="62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</row>
    <row r="512" spans="1:40" ht="27" customHeight="1" x14ac:dyDescent="0.3">
      <c r="A512" s="16"/>
      <c r="B512" s="16"/>
      <c r="C512" s="62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</row>
    <row r="513" spans="1:40" ht="27" customHeight="1" x14ac:dyDescent="0.3">
      <c r="A513" s="16"/>
      <c r="B513" s="16"/>
      <c r="C513" s="62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</row>
    <row r="514" spans="1:40" ht="27" customHeight="1" x14ac:dyDescent="0.3">
      <c r="A514" s="16"/>
      <c r="B514" s="16"/>
      <c r="C514" s="62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</row>
    <row r="515" spans="1:40" ht="27" customHeight="1" x14ac:dyDescent="0.3">
      <c r="A515" s="16"/>
      <c r="B515" s="16"/>
      <c r="C515" s="62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</row>
    <row r="516" spans="1:40" ht="27" customHeight="1" x14ac:dyDescent="0.3">
      <c r="A516" s="16"/>
      <c r="B516" s="16"/>
      <c r="C516" s="62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</row>
    <row r="517" spans="1:40" ht="27" customHeight="1" x14ac:dyDescent="0.3">
      <c r="A517" s="16"/>
      <c r="B517" s="16"/>
      <c r="C517" s="62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</row>
    <row r="518" spans="1:40" ht="27" customHeight="1" x14ac:dyDescent="0.3">
      <c r="A518" s="16"/>
      <c r="B518" s="16"/>
      <c r="C518" s="62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</row>
    <row r="519" spans="1:40" ht="27" customHeight="1" x14ac:dyDescent="0.3">
      <c r="A519" s="16"/>
      <c r="B519" s="16"/>
      <c r="C519" s="62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</row>
    <row r="520" spans="1:40" ht="27" customHeight="1" x14ac:dyDescent="0.3">
      <c r="A520" s="16"/>
      <c r="B520" s="16"/>
      <c r="C520" s="62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</row>
    <row r="521" spans="1:40" ht="27" customHeight="1" x14ac:dyDescent="0.3">
      <c r="A521" s="16"/>
      <c r="B521" s="16"/>
      <c r="C521" s="62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</row>
    <row r="522" spans="1:40" ht="27" customHeight="1" x14ac:dyDescent="0.3">
      <c r="A522" s="16"/>
      <c r="B522" s="16"/>
      <c r="C522" s="62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</row>
    <row r="523" spans="1:40" ht="27" customHeight="1" x14ac:dyDescent="0.3">
      <c r="A523" s="16"/>
      <c r="B523" s="16"/>
      <c r="C523" s="62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</row>
    <row r="524" spans="1:40" ht="27" customHeight="1" x14ac:dyDescent="0.3">
      <c r="A524" s="16"/>
      <c r="B524" s="16"/>
      <c r="C524" s="62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</row>
    <row r="525" spans="1:40" ht="27" customHeight="1" x14ac:dyDescent="0.3">
      <c r="A525" s="16"/>
      <c r="B525" s="16"/>
      <c r="C525" s="62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</row>
    <row r="526" spans="1:40" ht="27" customHeight="1" x14ac:dyDescent="0.3">
      <c r="A526" s="16"/>
      <c r="B526" s="16"/>
      <c r="C526" s="62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</row>
    <row r="527" spans="1:40" ht="27" customHeight="1" x14ac:dyDescent="0.3">
      <c r="A527" s="16"/>
      <c r="B527" s="16"/>
      <c r="C527" s="62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</row>
    <row r="528" spans="1:40" ht="27" customHeight="1" x14ac:dyDescent="0.3">
      <c r="A528" s="16"/>
      <c r="B528" s="16"/>
      <c r="C528" s="62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</row>
    <row r="529" spans="1:40" ht="27" customHeight="1" x14ac:dyDescent="0.3">
      <c r="A529" s="16"/>
      <c r="B529" s="16"/>
      <c r="C529" s="62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</row>
    <row r="530" spans="1:40" ht="27" customHeight="1" x14ac:dyDescent="0.3">
      <c r="A530" s="16"/>
      <c r="B530" s="16"/>
      <c r="C530" s="62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</row>
    <row r="531" spans="1:40" ht="27" customHeight="1" x14ac:dyDescent="0.3">
      <c r="A531" s="16"/>
      <c r="B531" s="16"/>
      <c r="C531" s="62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</row>
    <row r="532" spans="1:40" ht="27" customHeight="1" x14ac:dyDescent="0.3">
      <c r="A532" s="16"/>
      <c r="B532" s="16"/>
      <c r="C532" s="62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</row>
    <row r="533" spans="1:40" ht="27" customHeight="1" x14ac:dyDescent="0.3">
      <c r="A533" s="16"/>
      <c r="B533" s="16"/>
      <c r="C533" s="62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</row>
    <row r="534" spans="1:40" ht="27" customHeight="1" x14ac:dyDescent="0.3">
      <c r="A534" s="16"/>
      <c r="B534" s="16"/>
      <c r="C534" s="62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</row>
    <row r="535" spans="1:40" ht="27" customHeight="1" x14ac:dyDescent="0.3">
      <c r="A535" s="16"/>
      <c r="B535" s="16"/>
      <c r="C535" s="62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</row>
    <row r="536" spans="1:40" ht="27" customHeight="1" x14ac:dyDescent="0.3">
      <c r="A536" s="16"/>
      <c r="B536" s="16"/>
      <c r="C536" s="62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</row>
    <row r="537" spans="1:40" ht="27" customHeight="1" x14ac:dyDescent="0.3">
      <c r="A537" s="16"/>
      <c r="B537" s="16"/>
      <c r="C537" s="62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</row>
    <row r="538" spans="1:40" ht="27" customHeight="1" x14ac:dyDescent="0.3">
      <c r="A538" s="16"/>
      <c r="B538" s="16"/>
      <c r="C538" s="62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</row>
    <row r="539" spans="1:40" ht="27" customHeight="1" x14ac:dyDescent="0.3">
      <c r="A539" s="16"/>
      <c r="B539" s="16"/>
      <c r="C539" s="62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</row>
    <row r="540" spans="1:40" ht="27" customHeight="1" x14ac:dyDescent="0.3">
      <c r="A540" s="16"/>
      <c r="B540" s="16"/>
      <c r="C540" s="62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</row>
    <row r="541" spans="1:40" ht="27" customHeight="1" x14ac:dyDescent="0.3">
      <c r="A541" s="16"/>
      <c r="B541" s="16"/>
      <c r="C541" s="62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</row>
    <row r="542" spans="1:40" ht="27" customHeight="1" x14ac:dyDescent="0.3">
      <c r="A542" s="16"/>
      <c r="B542" s="16"/>
      <c r="C542" s="62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</row>
    <row r="543" spans="1:40" ht="27" customHeight="1" x14ac:dyDescent="0.3">
      <c r="A543" s="16"/>
      <c r="B543" s="16"/>
      <c r="C543" s="62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</row>
    <row r="544" spans="1:40" ht="27" customHeight="1" x14ac:dyDescent="0.3">
      <c r="A544" s="16"/>
      <c r="B544" s="16"/>
      <c r="C544" s="62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</row>
    <row r="545" spans="1:40" ht="27" customHeight="1" x14ac:dyDescent="0.3">
      <c r="A545" s="16"/>
      <c r="B545" s="16"/>
      <c r="C545" s="62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</row>
    <row r="546" spans="1:40" ht="27" customHeight="1" x14ac:dyDescent="0.3">
      <c r="A546" s="16"/>
      <c r="B546" s="16"/>
      <c r="C546" s="62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</row>
    <row r="547" spans="1:40" ht="27" customHeight="1" x14ac:dyDescent="0.3">
      <c r="A547" s="16"/>
      <c r="B547" s="16"/>
      <c r="C547" s="62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</row>
    <row r="548" spans="1:40" ht="27" customHeight="1" x14ac:dyDescent="0.3">
      <c r="A548" s="16"/>
      <c r="B548" s="16"/>
      <c r="C548" s="62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</row>
    <row r="549" spans="1:40" ht="27" customHeight="1" x14ac:dyDescent="0.3">
      <c r="A549" s="16"/>
      <c r="B549" s="16"/>
      <c r="C549" s="62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</row>
    <row r="550" spans="1:40" ht="27" customHeight="1" x14ac:dyDescent="0.3">
      <c r="A550" s="16"/>
      <c r="B550" s="16"/>
      <c r="C550" s="62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</row>
    <row r="551" spans="1:40" ht="27" customHeight="1" x14ac:dyDescent="0.3">
      <c r="A551" s="16"/>
      <c r="B551" s="16"/>
      <c r="C551" s="62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</row>
    <row r="552" spans="1:40" ht="27" customHeight="1" x14ac:dyDescent="0.3">
      <c r="A552" s="16"/>
      <c r="B552" s="16"/>
      <c r="C552" s="62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</row>
    <row r="553" spans="1:40" ht="27" customHeight="1" x14ac:dyDescent="0.3">
      <c r="A553" s="16"/>
      <c r="B553" s="16"/>
      <c r="C553" s="62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</row>
    <row r="554" spans="1:40" ht="27" customHeight="1" x14ac:dyDescent="0.3">
      <c r="A554" s="16"/>
      <c r="B554" s="16"/>
      <c r="C554" s="62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</row>
    <row r="555" spans="1:40" ht="27" customHeight="1" x14ac:dyDescent="0.3">
      <c r="A555" s="16"/>
      <c r="B555" s="16"/>
      <c r="C555" s="62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</row>
    <row r="556" spans="1:40" ht="27" customHeight="1" x14ac:dyDescent="0.3">
      <c r="A556" s="16"/>
      <c r="B556" s="16"/>
      <c r="C556" s="62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</row>
    <row r="557" spans="1:40" ht="27" customHeight="1" x14ac:dyDescent="0.3">
      <c r="A557" s="16"/>
      <c r="B557" s="16"/>
      <c r="C557" s="62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</row>
    <row r="558" spans="1:40" ht="27" customHeight="1" x14ac:dyDescent="0.3">
      <c r="A558" s="16"/>
      <c r="B558" s="16"/>
      <c r="C558" s="62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</row>
    <row r="559" spans="1:40" ht="27" customHeight="1" x14ac:dyDescent="0.3">
      <c r="A559" s="16"/>
      <c r="B559" s="16"/>
      <c r="C559" s="62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</row>
    <row r="560" spans="1:40" ht="27" customHeight="1" x14ac:dyDescent="0.3">
      <c r="A560" s="16"/>
      <c r="B560" s="16"/>
      <c r="C560" s="62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</row>
    <row r="561" spans="1:40" ht="27" customHeight="1" x14ac:dyDescent="0.3">
      <c r="A561" s="16"/>
      <c r="B561" s="16"/>
      <c r="C561" s="62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</row>
    <row r="562" spans="1:40" ht="27" customHeight="1" x14ac:dyDescent="0.3">
      <c r="A562" s="16"/>
      <c r="B562" s="16"/>
      <c r="C562" s="62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</row>
    <row r="563" spans="1:40" ht="27" customHeight="1" x14ac:dyDescent="0.3">
      <c r="A563" s="16"/>
      <c r="B563" s="16"/>
      <c r="C563" s="62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</row>
    <row r="564" spans="1:40" ht="27" customHeight="1" x14ac:dyDescent="0.3">
      <c r="A564" s="16"/>
      <c r="B564" s="16"/>
      <c r="C564" s="62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</row>
    <row r="565" spans="1:40" ht="27" customHeight="1" x14ac:dyDescent="0.3">
      <c r="A565" s="16"/>
      <c r="B565" s="16"/>
      <c r="C565" s="62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</row>
    <row r="566" spans="1:40" ht="27" customHeight="1" x14ac:dyDescent="0.3">
      <c r="A566" s="16"/>
      <c r="B566" s="16"/>
      <c r="C566" s="62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</row>
    <row r="567" spans="1:40" ht="27" customHeight="1" x14ac:dyDescent="0.3">
      <c r="A567" s="16"/>
      <c r="B567" s="16"/>
      <c r="C567" s="62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</row>
    <row r="568" spans="1:40" ht="27" customHeight="1" x14ac:dyDescent="0.3">
      <c r="A568" s="16"/>
      <c r="B568" s="16"/>
      <c r="C568" s="62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</row>
    <row r="569" spans="1:40" ht="27" customHeight="1" x14ac:dyDescent="0.3">
      <c r="A569" s="16"/>
      <c r="B569" s="16"/>
      <c r="C569" s="62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</row>
    <row r="570" spans="1:40" ht="27" customHeight="1" x14ac:dyDescent="0.3">
      <c r="A570" s="16"/>
      <c r="B570" s="16"/>
      <c r="C570" s="62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</row>
    <row r="571" spans="1:40" ht="27" customHeight="1" x14ac:dyDescent="0.3">
      <c r="A571" s="16"/>
      <c r="B571" s="16"/>
      <c r="C571" s="62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</row>
    <row r="572" spans="1:40" ht="27" customHeight="1" x14ac:dyDescent="0.3">
      <c r="A572" s="16"/>
      <c r="B572" s="16"/>
      <c r="C572" s="62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</row>
    <row r="573" spans="1:40" ht="27" customHeight="1" x14ac:dyDescent="0.3">
      <c r="A573" s="16"/>
      <c r="B573" s="16"/>
      <c r="C573" s="62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</row>
    <row r="574" spans="1:40" ht="27" customHeight="1" x14ac:dyDescent="0.3">
      <c r="A574" s="16"/>
      <c r="B574" s="16"/>
      <c r="C574" s="62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</row>
    <row r="575" spans="1:40" ht="27" customHeight="1" x14ac:dyDescent="0.3">
      <c r="A575" s="16"/>
      <c r="B575" s="16"/>
      <c r="C575" s="62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</row>
    <row r="576" spans="1:40" ht="27" customHeight="1" x14ac:dyDescent="0.3">
      <c r="A576" s="16"/>
      <c r="B576" s="16"/>
      <c r="C576" s="62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</row>
    <row r="577" spans="1:40" ht="27" customHeight="1" x14ac:dyDescent="0.3">
      <c r="A577" s="16"/>
      <c r="B577" s="16"/>
      <c r="C577" s="62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</row>
    <row r="578" spans="1:40" ht="27" customHeight="1" x14ac:dyDescent="0.3">
      <c r="A578" s="16"/>
      <c r="B578" s="16"/>
      <c r="C578" s="62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</row>
    <row r="579" spans="1:40" ht="27" customHeight="1" x14ac:dyDescent="0.3">
      <c r="A579" s="16"/>
      <c r="B579" s="16"/>
      <c r="C579" s="62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</row>
    <row r="580" spans="1:40" ht="27" customHeight="1" x14ac:dyDescent="0.3">
      <c r="A580" s="16"/>
      <c r="B580" s="16"/>
      <c r="C580" s="62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</row>
    <row r="581" spans="1:40" ht="27" customHeight="1" x14ac:dyDescent="0.3">
      <c r="A581" s="16"/>
      <c r="B581" s="16"/>
      <c r="C581" s="62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</row>
    <row r="582" spans="1:40" ht="27" customHeight="1" x14ac:dyDescent="0.3">
      <c r="A582" s="16"/>
      <c r="B582" s="16"/>
      <c r="C582" s="62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</row>
    <row r="583" spans="1:40" ht="27" customHeight="1" x14ac:dyDescent="0.3">
      <c r="A583" s="16"/>
      <c r="B583" s="16"/>
      <c r="C583" s="62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</row>
    <row r="584" spans="1:40" ht="27" customHeight="1" x14ac:dyDescent="0.3">
      <c r="A584" s="16"/>
      <c r="B584" s="16"/>
      <c r="C584" s="62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</row>
    <row r="585" spans="1:40" ht="27" customHeight="1" x14ac:dyDescent="0.3">
      <c r="A585" s="16"/>
      <c r="B585" s="16"/>
      <c r="C585" s="62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</row>
    <row r="586" spans="1:40" ht="27" customHeight="1" x14ac:dyDescent="0.3">
      <c r="A586" s="16"/>
      <c r="B586" s="16"/>
      <c r="C586" s="62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</row>
    <row r="587" spans="1:40" ht="27" customHeight="1" x14ac:dyDescent="0.3">
      <c r="A587" s="16"/>
      <c r="B587" s="16"/>
      <c r="C587" s="62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</row>
    <row r="588" spans="1:40" ht="27" customHeight="1" x14ac:dyDescent="0.3">
      <c r="A588" s="16"/>
      <c r="B588" s="16"/>
      <c r="C588" s="62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</row>
    <row r="589" spans="1:40" ht="27" customHeight="1" x14ac:dyDescent="0.3">
      <c r="A589" s="16"/>
      <c r="B589" s="16"/>
      <c r="C589" s="62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</row>
    <row r="590" spans="1:40" ht="27" customHeight="1" x14ac:dyDescent="0.3">
      <c r="A590" s="16"/>
      <c r="B590" s="16"/>
      <c r="C590" s="62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</row>
    <row r="591" spans="1:40" ht="27" customHeight="1" x14ac:dyDescent="0.3">
      <c r="A591" s="16"/>
      <c r="B591" s="16"/>
      <c r="C591" s="62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</row>
    <row r="592" spans="1:40" ht="27" customHeight="1" x14ac:dyDescent="0.3">
      <c r="A592" s="16"/>
      <c r="B592" s="16"/>
      <c r="C592" s="62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</row>
    <row r="593" spans="1:40" ht="27" customHeight="1" x14ac:dyDescent="0.3">
      <c r="A593" s="16"/>
      <c r="B593" s="16"/>
      <c r="C593" s="62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</row>
    <row r="594" spans="1:40" ht="27" customHeight="1" x14ac:dyDescent="0.3">
      <c r="A594" s="16"/>
      <c r="B594" s="16"/>
      <c r="C594" s="62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</row>
    <row r="595" spans="1:40" ht="27" customHeight="1" x14ac:dyDescent="0.3">
      <c r="A595" s="16"/>
      <c r="B595" s="16"/>
      <c r="C595" s="62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</row>
    <row r="596" spans="1:40" ht="27" customHeight="1" x14ac:dyDescent="0.3">
      <c r="A596" s="16"/>
      <c r="B596" s="16"/>
      <c r="C596" s="62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</row>
    <row r="597" spans="1:40" ht="27" customHeight="1" x14ac:dyDescent="0.3">
      <c r="A597" s="16"/>
      <c r="B597" s="16"/>
      <c r="C597" s="62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</row>
    <row r="598" spans="1:40" ht="27" customHeight="1" x14ac:dyDescent="0.3">
      <c r="A598" s="16"/>
      <c r="B598" s="16"/>
      <c r="C598" s="62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</row>
    <row r="599" spans="1:40" ht="27" customHeight="1" x14ac:dyDescent="0.3">
      <c r="A599" s="16"/>
      <c r="B599" s="16"/>
      <c r="C599" s="62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</row>
    <row r="600" spans="1:40" ht="27" customHeight="1" x14ac:dyDescent="0.3">
      <c r="A600" s="16"/>
      <c r="B600" s="16"/>
      <c r="C600" s="62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</row>
    <row r="601" spans="1:40" ht="27" customHeight="1" x14ac:dyDescent="0.3">
      <c r="A601" s="16"/>
      <c r="B601" s="16"/>
      <c r="C601" s="62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</row>
    <row r="602" spans="1:40" ht="27" customHeight="1" x14ac:dyDescent="0.3">
      <c r="A602" s="16"/>
      <c r="B602" s="16"/>
      <c r="C602" s="62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</row>
    <row r="603" spans="1:40" ht="27" customHeight="1" x14ac:dyDescent="0.3">
      <c r="A603" s="16"/>
      <c r="B603" s="16"/>
      <c r="C603" s="62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</row>
    <row r="604" spans="1:40" ht="27" customHeight="1" x14ac:dyDescent="0.3">
      <c r="A604" s="16"/>
      <c r="B604" s="16"/>
      <c r="C604" s="62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</row>
    <row r="605" spans="1:40" ht="27" customHeight="1" x14ac:dyDescent="0.3">
      <c r="A605" s="16"/>
      <c r="B605" s="16"/>
      <c r="C605" s="62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</row>
    <row r="606" spans="1:40" ht="27" customHeight="1" x14ac:dyDescent="0.3">
      <c r="A606" s="16"/>
      <c r="B606" s="16"/>
      <c r="C606" s="62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</row>
    <row r="607" spans="1:40" ht="27" customHeight="1" x14ac:dyDescent="0.3">
      <c r="A607" s="16"/>
      <c r="B607" s="16"/>
      <c r="C607" s="62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</row>
    <row r="608" spans="1:40" ht="27" customHeight="1" x14ac:dyDescent="0.3">
      <c r="A608" s="16"/>
      <c r="B608" s="16"/>
      <c r="C608" s="62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</row>
    <row r="609" spans="1:40" ht="27" customHeight="1" x14ac:dyDescent="0.3">
      <c r="A609" s="16"/>
      <c r="B609" s="16"/>
      <c r="C609" s="62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</row>
    <row r="610" spans="1:40" ht="27" customHeight="1" x14ac:dyDescent="0.3">
      <c r="A610" s="16"/>
      <c r="B610" s="16"/>
      <c r="C610" s="62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</row>
    <row r="611" spans="1:40" ht="27" customHeight="1" x14ac:dyDescent="0.3">
      <c r="A611" s="16"/>
      <c r="B611" s="16"/>
      <c r="C611" s="62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</row>
    <row r="612" spans="1:40" ht="27" customHeight="1" x14ac:dyDescent="0.3">
      <c r="A612" s="16"/>
      <c r="B612" s="16"/>
      <c r="C612" s="62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</row>
    <row r="613" spans="1:40" ht="27" customHeight="1" x14ac:dyDescent="0.3">
      <c r="A613" s="16"/>
      <c r="B613" s="16"/>
      <c r="C613" s="62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</row>
    <row r="614" spans="1:40" ht="27" customHeight="1" x14ac:dyDescent="0.3">
      <c r="A614" s="16"/>
      <c r="B614" s="16"/>
      <c r="C614" s="62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</row>
    <row r="615" spans="1:40" ht="27" customHeight="1" x14ac:dyDescent="0.3">
      <c r="A615" s="16"/>
      <c r="B615" s="16"/>
      <c r="C615" s="62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</row>
    <row r="616" spans="1:40" ht="27" customHeight="1" x14ac:dyDescent="0.3">
      <c r="A616" s="16"/>
      <c r="B616" s="16"/>
      <c r="C616" s="62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</row>
    <row r="617" spans="1:40" ht="27" customHeight="1" x14ac:dyDescent="0.3">
      <c r="A617" s="16"/>
      <c r="B617" s="16"/>
      <c r="C617" s="62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</row>
    <row r="618" spans="1:40" ht="27" customHeight="1" x14ac:dyDescent="0.3">
      <c r="A618" s="16"/>
      <c r="B618" s="16"/>
      <c r="C618" s="62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</row>
    <row r="619" spans="1:40" ht="27" customHeight="1" x14ac:dyDescent="0.3">
      <c r="A619" s="16"/>
      <c r="B619" s="16"/>
      <c r="C619" s="62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</row>
    <row r="620" spans="1:40" ht="27" customHeight="1" x14ac:dyDescent="0.3">
      <c r="A620" s="16"/>
      <c r="B620" s="16"/>
      <c r="C620" s="62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</row>
    <row r="621" spans="1:40" ht="27" customHeight="1" x14ac:dyDescent="0.3">
      <c r="A621" s="16"/>
      <c r="B621" s="16"/>
      <c r="C621" s="62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</row>
    <row r="622" spans="1:40" ht="27" customHeight="1" x14ac:dyDescent="0.3">
      <c r="A622" s="16"/>
      <c r="B622" s="16"/>
      <c r="C622" s="62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</row>
    <row r="623" spans="1:40" ht="27" customHeight="1" x14ac:dyDescent="0.3">
      <c r="A623" s="16"/>
      <c r="B623" s="16"/>
      <c r="C623" s="62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</row>
    <row r="624" spans="1:40" ht="27" customHeight="1" x14ac:dyDescent="0.3">
      <c r="A624" s="16"/>
      <c r="B624" s="16"/>
      <c r="C624" s="62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</row>
    <row r="625" spans="1:40" ht="27" customHeight="1" x14ac:dyDescent="0.3">
      <c r="A625" s="16"/>
      <c r="B625" s="16"/>
      <c r="C625" s="62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</row>
    <row r="626" spans="1:40" ht="27" customHeight="1" x14ac:dyDescent="0.3">
      <c r="A626" s="16"/>
      <c r="B626" s="16"/>
      <c r="C626" s="62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</row>
    <row r="627" spans="1:40" ht="27" customHeight="1" x14ac:dyDescent="0.3">
      <c r="A627" s="16"/>
      <c r="B627" s="16"/>
      <c r="C627" s="62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</row>
    <row r="628" spans="1:40" ht="27" customHeight="1" x14ac:dyDescent="0.3">
      <c r="A628" s="16"/>
      <c r="B628" s="16"/>
      <c r="C628" s="62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</row>
    <row r="629" spans="1:40" ht="27" customHeight="1" x14ac:dyDescent="0.3">
      <c r="A629" s="16"/>
      <c r="B629" s="16"/>
      <c r="C629" s="62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</row>
    <row r="630" spans="1:40" ht="27" customHeight="1" x14ac:dyDescent="0.3">
      <c r="A630" s="16"/>
      <c r="B630" s="16"/>
      <c r="C630" s="62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</row>
    <row r="631" spans="1:40" ht="27" customHeight="1" x14ac:dyDescent="0.3">
      <c r="A631" s="16"/>
      <c r="B631" s="16"/>
      <c r="C631" s="62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</row>
    <row r="632" spans="1:40" ht="27" customHeight="1" x14ac:dyDescent="0.3">
      <c r="A632" s="16"/>
      <c r="B632" s="16"/>
      <c r="C632" s="62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</row>
    <row r="633" spans="1:40" ht="27" customHeight="1" x14ac:dyDescent="0.3">
      <c r="A633" s="16"/>
      <c r="B633" s="16"/>
      <c r="C633" s="62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</row>
    <row r="634" spans="1:40" ht="27" customHeight="1" x14ac:dyDescent="0.3">
      <c r="A634" s="16"/>
      <c r="B634" s="16"/>
      <c r="C634" s="62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</row>
    <row r="635" spans="1:40" ht="27" customHeight="1" x14ac:dyDescent="0.3">
      <c r="A635" s="16"/>
      <c r="B635" s="16"/>
      <c r="C635" s="62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</row>
    <row r="636" spans="1:40" ht="27" customHeight="1" x14ac:dyDescent="0.3">
      <c r="A636" s="16"/>
      <c r="B636" s="16"/>
      <c r="C636" s="62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</row>
    <row r="637" spans="1:40" ht="27" customHeight="1" x14ac:dyDescent="0.3">
      <c r="A637" s="16"/>
      <c r="B637" s="16"/>
      <c r="C637" s="62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</row>
    <row r="638" spans="1:40" ht="27" customHeight="1" x14ac:dyDescent="0.3">
      <c r="A638" s="16"/>
      <c r="B638" s="16"/>
      <c r="C638" s="62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</row>
    <row r="639" spans="1:40" ht="27" customHeight="1" x14ac:dyDescent="0.3">
      <c r="A639" s="16"/>
      <c r="B639" s="16"/>
      <c r="C639" s="62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</row>
    <row r="640" spans="1:40" ht="27" customHeight="1" x14ac:dyDescent="0.3">
      <c r="A640" s="16"/>
      <c r="B640" s="16"/>
      <c r="C640" s="62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</row>
    <row r="641" spans="1:40" ht="27" customHeight="1" x14ac:dyDescent="0.3">
      <c r="A641" s="16"/>
      <c r="B641" s="16"/>
      <c r="C641" s="62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</row>
    <row r="642" spans="1:40" ht="27" customHeight="1" x14ac:dyDescent="0.3">
      <c r="A642" s="16"/>
      <c r="B642" s="16"/>
      <c r="C642" s="62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</row>
    <row r="643" spans="1:40" ht="27" customHeight="1" x14ac:dyDescent="0.3">
      <c r="A643" s="16"/>
      <c r="B643" s="16"/>
      <c r="C643" s="62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</row>
    <row r="644" spans="1:40" ht="27" customHeight="1" x14ac:dyDescent="0.3">
      <c r="A644" s="16"/>
      <c r="B644" s="16"/>
      <c r="C644" s="62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</row>
    <row r="645" spans="1:40" ht="27" customHeight="1" x14ac:dyDescent="0.3">
      <c r="A645" s="16"/>
      <c r="B645" s="16"/>
      <c r="C645" s="62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</row>
    <row r="646" spans="1:40" ht="27" customHeight="1" x14ac:dyDescent="0.3">
      <c r="A646" s="16"/>
      <c r="B646" s="16"/>
      <c r="C646" s="62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</row>
    <row r="647" spans="1:40" ht="27" customHeight="1" x14ac:dyDescent="0.3">
      <c r="A647" s="16"/>
      <c r="B647" s="16"/>
      <c r="C647" s="62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</row>
    <row r="648" spans="1:40" ht="27" customHeight="1" x14ac:dyDescent="0.3">
      <c r="A648" s="16"/>
      <c r="B648" s="16"/>
      <c r="C648" s="62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</row>
    <row r="649" spans="1:40" ht="27" customHeight="1" x14ac:dyDescent="0.3">
      <c r="A649" s="16"/>
      <c r="B649" s="16"/>
      <c r="C649" s="62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</row>
    <row r="650" spans="1:40" ht="27" customHeight="1" x14ac:dyDescent="0.3">
      <c r="A650" s="16"/>
      <c r="B650" s="16"/>
      <c r="C650" s="62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</row>
    <row r="651" spans="1:40" ht="27" customHeight="1" x14ac:dyDescent="0.3">
      <c r="A651" s="16"/>
      <c r="B651" s="16"/>
      <c r="C651" s="62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</row>
    <row r="652" spans="1:40" ht="27" customHeight="1" x14ac:dyDescent="0.3">
      <c r="A652" s="16"/>
      <c r="B652" s="16"/>
      <c r="C652" s="62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</row>
    <row r="653" spans="1:40" ht="27" customHeight="1" x14ac:dyDescent="0.3">
      <c r="A653" s="16"/>
      <c r="B653" s="16"/>
      <c r="C653" s="62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</row>
    <row r="654" spans="1:40" ht="27" customHeight="1" x14ac:dyDescent="0.3">
      <c r="A654" s="16"/>
      <c r="B654" s="16"/>
      <c r="C654" s="62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</row>
    <row r="655" spans="1:40" ht="27" customHeight="1" x14ac:dyDescent="0.3">
      <c r="A655" s="16"/>
      <c r="B655" s="16"/>
      <c r="C655" s="62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</row>
    <row r="656" spans="1:40" ht="27" customHeight="1" x14ac:dyDescent="0.3">
      <c r="A656" s="16"/>
      <c r="B656" s="16"/>
      <c r="C656" s="62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</row>
    <row r="657" spans="1:40" ht="27" customHeight="1" x14ac:dyDescent="0.3">
      <c r="A657" s="16"/>
      <c r="B657" s="16"/>
      <c r="C657" s="62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</row>
    <row r="658" spans="1:40" ht="27" customHeight="1" x14ac:dyDescent="0.3">
      <c r="A658" s="16"/>
      <c r="B658" s="16"/>
      <c r="C658" s="62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</row>
    <row r="659" spans="1:40" ht="27" customHeight="1" x14ac:dyDescent="0.3">
      <c r="A659" s="16"/>
      <c r="B659" s="16"/>
      <c r="C659" s="62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</row>
    <row r="660" spans="1:40" ht="27" customHeight="1" x14ac:dyDescent="0.3">
      <c r="A660" s="16"/>
      <c r="B660" s="16"/>
      <c r="C660" s="62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</row>
    <row r="661" spans="1:40" ht="27" customHeight="1" x14ac:dyDescent="0.3">
      <c r="A661" s="16"/>
      <c r="B661" s="16"/>
      <c r="C661" s="62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</row>
    <row r="662" spans="1:40" ht="27" customHeight="1" x14ac:dyDescent="0.3">
      <c r="A662" s="16"/>
      <c r="B662" s="16"/>
      <c r="C662" s="62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</row>
    <row r="663" spans="1:40" ht="27" customHeight="1" x14ac:dyDescent="0.3">
      <c r="A663" s="16"/>
      <c r="B663" s="16"/>
      <c r="C663" s="62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</row>
    <row r="664" spans="1:40" ht="27" customHeight="1" x14ac:dyDescent="0.3">
      <c r="A664" s="16"/>
      <c r="B664" s="16"/>
      <c r="C664" s="62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</row>
    <row r="665" spans="1:40" ht="27" customHeight="1" x14ac:dyDescent="0.3">
      <c r="A665" s="16"/>
      <c r="B665" s="16"/>
      <c r="C665" s="62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</row>
    <row r="666" spans="1:40" ht="27" customHeight="1" x14ac:dyDescent="0.3">
      <c r="A666" s="16"/>
      <c r="B666" s="16"/>
      <c r="C666" s="62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</row>
    <row r="667" spans="1:40" ht="27" customHeight="1" x14ac:dyDescent="0.3">
      <c r="A667" s="16"/>
      <c r="B667" s="16"/>
      <c r="C667" s="62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</row>
    <row r="668" spans="1:40" ht="27" customHeight="1" x14ac:dyDescent="0.3">
      <c r="A668" s="16"/>
      <c r="B668" s="16"/>
      <c r="C668" s="62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</row>
    <row r="669" spans="1:40" ht="27" customHeight="1" x14ac:dyDescent="0.3">
      <c r="A669" s="16"/>
      <c r="B669" s="16"/>
      <c r="C669" s="62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</row>
    <row r="670" spans="1:40" ht="27" customHeight="1" x14ac:dyDescent="0.3">
      <c r="A670" s="16"/>
      <c r="B670" s="16"/>
      <c r="C670" s="62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</row>
    <row r="671" spans="1:40" ht="27" customHeight="1" x14ac:dyDescent="0.3">
      <c r="A671" s="16"/>
      <c r="B671" s="16"/>
      <c r="C671" s="62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</row>
    <row r="672" spans="1:40" ht="27" customHeight="1" x14ac:dyDescent="0.3">
      <c r="A672" s="16"/>
      <c r="B672" s="16"/>
      <c r="C672" s="62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</row>
    <row r="673" spans="1:40" ht="27" customHeight="1" x14ac:dyDescent="0.3">
      <c r="A673" s="16"/>
      <c r="B673" s="16"/>
      <c r="C673" s="62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</row>
    <row r="674" spans="1:40" ht="27" customHeight="1" x14ac:dyDescent="0.3">
      <c r="A674" s="16"/>
      <c r="B674" s="16"/>
      <c r="C674" s="62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</row>
    <row r="675" spans="1:40" ht="27" customHeight="1" x14ac:dyDescent="0.3">
      <c r="A675" s="16"/>
      <c r="B675" s="16"/>
      <c r="C675" s="62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</row>
    <row r="676" spans="1:40" ht="27" customHeight="1" x14ac:dyDescent="0.3">
      <c r="A676" s="16"/>
      <c r="B676" s="16"/>
      <c r="C676" s="62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</row>
    <row r="677" spans="1:40" ht="27" customHeight="1" x14ac:dyDescent="0.3">
      <c r="A677" s="16"/>
      <c r="B677" s="16"/>
      <c r="C677" s="62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</row>
    <row r="678" spans="1:40" ht="27" customHeight="1" x14ac:dyDescent="0.3">
      <c r="A678" s="16"/>
      <c r="B678" s="16"/>
      <c r="C678" s="62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</row>
    <row r="679" spans="1:40" ht="27" customHeight="1" x14ac:dyDescent="0.3">
      <c r="A679" s="16"/>
      <c r="B679" s="16"/>
      <c r="C679" s="62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</row>
    <row r="680" spans="1:40" ht="27" customHeight="1" x14ac:dyDescent="0.3">
      <c r="A680" s="16"/>
      <c r="B680" s="16"/>
      <c r="C680" s="62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</row>
    <row r="681" spans="1:40" ht="27" customHeight="1" x14ac:dyDescent="0.3">
      <c r="A681" s="16"/>
      <c r="B681" s="16"/>
      <c r="C681" s="62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</row>
    <row r="682" spans="1:40" ht="27" customHeight="1" x14ac:dyDescent="0.3">
      <c r="A682" s="16"/>
      <c r="B682" s="16"/>
      <c r="C682" s="62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</row>
    <row r="683" spans="1:40" ht="27" customHeight="1" x14ac:dyDescent="0.3">
      <c r="A683" s="16"/>
      <c r="B683" s="16"/>
      <c r="C683" s="62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</row>
    <row r="684" spans="1:40" ht="27" customHeight="1" x14ac:dyDescent="0.3">
      <c r="A684" s="16"/>
      <c r="B684" s="16"/>
      <c r="C684" s="62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</row>
    <row r="685" spans="1:40" ht="27" customHeight="1" x14ac:dyDescent="0.3">
      <c r="A685" s="16"/>
      <c r="B685" s="16"/>
      <c r="C685" s="62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</row>
    <row r="686" spans="1:40" ht="27" customHeight="1" x14ac:dyDescent="0.3">
      <c r="A686" s="16"/>
      <c r="B686" s="16"/>
      <c r="C686" s="62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</row>
    <row r="687" spans="1:40" ht="27" customHeight="1" x14ac:dyDescent="0.3">
      <c r="A687" s="16"/>
      <c r="B687" s="16"/>
      <c r="C687" s="62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</row>
    <row r="688" spans="1:40" ht="27" customHeight="1" x14ac:dyDescent="0.3">
      <c r="A688" s="16"/>
      <c r="B688" s="16"/>
      <c r="C688" s="62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</row>
    <row r="689" spans="1:40" ht="27" customHeight="1" x14ac:dyDescent="0.3">
      <c r="A689" s="16"/>
      <c r="B689" s="16"/>
      <c r="C689" s="62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</row>
    <row r="690" spans="1:40" ht="27" customHeight="1" x14ac:dyDescent="0.3">
      <c r="A690" s="16"/>
      <c r="B690" s="16"/>
      <c r="C690" s="62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</row>
    <row r="691" spans="1:40" ht="27" customHeight="1" x14ac:dyDescent="0.3">
      <c r="A691" s="16"/>
      <c r="B691" s="16"/>
      <c r="C691" s="62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</row>
    <row r="692" spans="1:40" ht="27" customHeight="1" x14ac:dyDescent="0.3">
      <c r="A692" s="16"/>
      <c r="B692" s="16"/>
      <c r="C692" s="62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</row>
    <row r="693" spans="1:40" ht="27" customHeight="1" x14ac:dyDescent="0.3">
      <c r="A693" s="16"/>
      <c r="B693" s="16"/>
      <c r="C693" s="62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</row>
    <row r="694" spans="1:40" ht="27" customHeight="1" x14ac:dyDescent="0.3">
      <c r="A694" s="16"/>
      <c r="B694" s="16"/>
      <c r="C694" s="62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</row>
    <row r="695" spans="1:40" ht="27" customHeight="1" x14ac:dyDescent="0.3">
      <c r="A695" s="16"/>
      <c r="B695" s="16"/>
      <c r="C695" s="62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</row>
    <row r="696" spans="1:40" ht="27" customHeight="1" x14ac:dyDescent="0.3">
      <c r="A696" s="16"/>
      <c r="B696" s="16"/>
      <c r="C696" s="62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</row>
    <row r="697" spans="1:40" ht="27" customHeight="1" x14ac:dyDescent="0.3">
      <c r="A697" s="16"/>
      <c r="B697" s="16"/>
      <c r="C697" s="62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</row>
    <row r="698" spans="1:40" ht="27" customHeight="1" x14ac:dyDescent="0.3">
      <c r="A698" s="16"/>
      <c r="B698" s="16"/>
      <c r="C698" s="62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</row>
    <row r="699" spans="1:40" ht="27" customHeight="1" x14ac:dyDescent="0.3">
      <c r="A699" s="16"/>
      <c r="B699" s="16"/>
      <c r="C699" s="62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</row>
    <row r="700" spans="1:40" ht="27" customHeight="1" x14ac:dyDescent="0.3">
      <c r="A700" s="16"/>
      <c r="B700" s="16"/>
      <c r="C700" s="62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</row>
    <row r="701" spans="1:40" ht="27" customHeight="1" x14ac:dyDescent="0.3">
      <c r="A701" s="16"/>
      <c r="B701" s="16"/>
      <c r="C701" s="62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</row>
    <row r="702" spans="1:40" ht="27" customHeight="1" x14ac:dyDescent="0.3">
      <c r="A702" s="16"/>
      <c r="B702" s="16"/>
      <c r="C702" s="62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</row>
    <row r="703" spans="1:40" ht="27" customHeight="1" x14ac:dyDescent="0.3">
      <c r="A703" s="16"/>
      <c r="B703" s="16"/>
      <c r="C703" s="62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</row>
    <row r="704" spans="1:40" ht="27" customHeight="1" x14ac:dyDescent="0.3">
      <c r="A704" s="16"/>
      <c r="B704" s="16"/>
      <c r="C704" s="62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</row>
    <row r="705" spans="1:40" ht="27" customHeight="1" x14ac:dyDescent="0.3">
      <c r="A705" s="16"/>
      <c r="B705" s="16"/>
      <c r="C705" s="62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</row>
    <row r="706" spans="1:40" ht="27" customHeight="1" x14ac:dyDescent="0.3">
      <c r="A706" s="16"/>
      <c r="B706" s="16"/>
      <c r="C706" s="62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</row>
    <row r="707" spans="1:40" ht="27" customHeight="1" x14ac:dyDescent="0.3">
      <c r="A707" s="16"/>
      <c r="B707" s="16"/>
      <c r="C707" s="62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</row>
    <row r="708" spans="1:40" ht="27" customHeight="1" x14ac:dyDescent="0.3">
      <c r="A708" s="16"/>
      <c r="B708" s="16"/>
      <c r="C708" s="62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</row>
    <row r="709" spans="1:40" ht="27" customHeight="1" x14ac:dyDescent="0.3">
      <c r="A709" s="16"/>
      <c r="B709" s="16"/>
      <c r="C709" s="62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</row>
    <row r="710" spans="1:40" ht="27" customHeight="1" x14ac:dyDescent="0.3">
      <c r="A710" s="16"/>
      <c r="B710" s="16"/>
      <c r="C710" s="62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</row>
    <row r="711" spans="1:40" ht="27" customHeight="1" x14ac:dyDescent="0.3">
      <c r="A711" s="16"/>
      <c r="B711" s="16"/>
      <c r="C711" s="62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</row>
    <row r="712" spans="1:40" ht="27" customHeight="1" x14ac:dyDescent="0.3">
      <c r="A712" s="16"/>
      <c r="B712" s="16"/>
      <c r="C712" s="62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</row>
    <row r="713" spans="1:40" ht="27" customHeight="1" x14ac:dyDescent="0.3">
      <c r="A713" s="16"/>
      <c r="B713" s="16"/>
      <c r="C713" s="62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</row>
    <row r="714" spans="1:40" ht="27" customHeight="1" x14ac:dyDescent="0.3">
      <c r="A714" s="16"/>
      <c r="B714" s="16"/>
      <c r="C714" s="62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</row>
    <row r="715" spans="1:40" ht="27" customHeight="1" x14ac:dyDescent="0.3">
      <c r="A715" s="16"/>
      <c r="B715" s="16"/>
      <c r="C715" s="62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</row>
    <row r="716" spans="1:40" ht="27" customHeight="1" x14ac:dyDescent="0.3">
      <c r="A716" s="16"/>
      <c r="B716" s="16"/>
      <c r="C716" s="62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</row>
    <row r="717" spans="1:40" ht="27" customHeight="1" x14ac:dyDescent="0.3">
      <c r="A717" s="16"/>
      <c r="B717" s="16"/>
      <c r="C717" s="62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</row>
    <row r="718" spans="1:40" ht="27" customHeight="1" x14ac:dyDescent="0.3">
      <c r="A718" s="16"/>
      <c r="B718" s="16"/>
      <c r="C718" s="62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</row>
    <row r="719" spans="1:40" ht="27" customHeight="1" x14ac:dyDescent="0.3">
      <c r="A719" s="16"/>
      <c r="B719" s="16"/>
      <c r="C719" s="62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</row>
    <row r="720" spans="1:40" ht="27" customHeight="1" x14ac:dyDescent="0.3">
      <c r="A720" s="16"/>
      <c r="B720" s="16"/>
      <c r="C720" s="62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</row>
    <row r="721" spans="1:40" ht="27" customHeight="1" x14ac:dyDescent="0.3">
      <c r="A721" s="16"/>
      <c r="B721" s="16"/>
      <c r="C721" s="62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</row>
    <row r="722" spans="1:40" ht="27" customHeight="1" x14ac:dyDescent="0.3">
      <c r="A722" s="16"/>
      <c r="B722" s="16"/>
      <c r="C722" s="62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</row>
    <row r="723" spans="1:40" ht="27" customHeight="1" x14ac:dyDescent="0.3">
      <c r="A723" s="16"/>
      <c r="B723" s="16"/>
      <c r="C723" s="62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</row>
    <row r="724" spans="1:40" ht="27" customHeight="1" x14ac:dyDescent="0.3">
      <c r="A724" s="16"/>
      <c r="B724" s="16"/>
      <c r="C724" s="62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</row>
    <row r="725" spans="1:40" ht="27" customHeight="1" x14ac:dyDescent="0.3">
      <c r="A725" s="16"/>
      <c r="B725" s="16"/>
      <c r="C725" s="62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</row>
    <row r="726" spans="1:40" ht="27" customHeight="1" x14ac:dyDescent="0.3">
      <c r="A726" s="16"/>
      <c r="B726" s="16"/>
      <c r="C726" s="62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</row>
    <row r="727" spans="1:40" ht="27" customHeight="1" x14ac:dyDescent="0.3">
      <c r="A727" s="16"/>
      <c r="B727" s="16"/>
      <c r="C727" s="62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</row>
    <row r="728" spans="1:40" ht="27" customHeight="1" x14ac:dyDescent="0.3">
      <c r="A728" s="16"/>
      <c r="B728" s="16"/>
      <c r="C728" s="62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</row>
    <row r="729" spans="1:40" ht="27" customHeight="1" x14ac:dyDescent="0.3">
      <c r="A729" s="16"/>
      <c r="B729" s="16"/>
      <c r="C729" s="62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</row>
    <row r="730" spans="1:40" ht="27" customHeight="1" x14ac:dyDescent="0.3">
      <c r="A730" s="16"/>
      <c r="B730" s="16"/>
      <c r="C730" s="62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</row>
    <row r="731" spans="1:40" ht="27" customHeight="1" x14ac:dyDescent="0.3">
      <c r="A731" s="16"/>
      <c r="B731" s="16"/>
      <c r="C731" s="62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</row>
    <row r="732" spans="1:40" ht="27" customHeight="1" x14ac:dyDescent="0.3">
      <c r="A732" s="16"/>
      <c r="B732" s="16"/>
      <c r="C732" s="62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</row>
    <row r="733" spans="1:40" ht="27" customHeight="1" x14ac:dyDescent="0.3">
      <c r="A733" s="16"/>
      <c r="B733" s="16"/>
      <c r="C733" s="62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</row>
    <row r="734" spans="1:40" ht="27" customHeight="1" x14ac:dyDescent="0.3">
      <c r="A734" s="16"/>
      <c r="B734" s="16"/>
      <c r="C734" s="62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</row>
    <row r="735" spans="1:40" ht="27" customHeight="1" x14ac:dyDescent="0.3">
      <c r="A735" s="16"/>
      <c r="B735" s="16"/>
      <c r="C735" s="62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</row>
    <row r="736" spans="1:40" ht="27" customHeight="1" x14ac:dyDescent="0.3">
      <c r="A736" s="16"/>
      <c r="B736" s="16"/>
      <c r="C736" s="62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</row>
    <row r="737" spans="1:40" ht="27" customHeight="1" x14ac:dyDescent="0.3">
      <c r="A737" s="16"/>
      <c r="B737" s="16"/>
      <c r="C737" s="62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</row>
    <row r="738" spans="1:40" ht="27" customHeight="1" x14ac:dyDescent="0.3">
      <c r="A738" s="16"/>
      <c r="B738" s="16"/>
      <c r="C738" s="62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</row>
    <row r="739" spans="1:40" ht="27" customHeight="1" x14ac:dyDescent="0.3">
      <c r="A739" s="16"/>
      <c r="B739" s="16"/>
      <c r="C739" s="62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</row>
    <row r="740" spans="1:40" ht="27" customHeight="1" x14ac:dyDescent="0.3">
      <c r="A740" s="16"/>
      <c r="B740" s="16"/>
      <c r="C740" s="62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</row>
    <row r="741" spans="1:40" ht="27" customHeight="1" x14ac:dyDescent="0.3">
      <c r="A741" s="16"/>
      <c r="B741" s="16"/>
      <c r="C741" s="62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</row>
    <row r="742" spans="1:40" ht="27" customHeight="1" x14ac:dyDescent="0.3">
      <c r="A742" s="16"/>
      <c r="B742" s="16"/>
      <c r="C742" s="62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</row>
    <row r="743" spans="1:40" ht="27" customHeight="1" x14ac:dyDescent="0.3">
      <c r="A743" s="16"/>
      <c r="B743" s="16"/>
      <c r="C743" s="62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</row>
    <row r="744" spans="1:40" ht="27" customHeight="1" x14ac:dyDescent="0.3">
      <c r="A744" s="16"/>
      <c r="B744" s="16"/>
      <c r="C744" s="62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</row>
    <row r="745" spans="1:40" ht="27" customHeight="1" x14ac:dyDescent="0.3">
      <c r="A745" s="16"/>
      <c r="B745" s="16"/>
      <c r="C745" s="62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</row>
    <row r="746" spans="1:40" ht="27" customHeight="1" x14ac:dyDescent="0.3">
      <c r="A746" s="16"/>
      <c r="B746" s="16"/>
      <c r="C746" s="62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</row>
    <row r="747" spans="1:40" ht="27" customHeight="1" x14ac:dyDescent="0.3">
      <c r="A747" s="16"/>
      <c r="B747" s="16"/>
      <c r="C747" s="62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</row>
    <row r="748" spans="1:40" ht="27" customHeight="1" x14ac:dyDescent="0.3">
      <c r="A748" s="16"/>
      <c r="B748" s="16"/>
      <c r="C748" s="62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</row>
    <row r="749" spans="1:40" ht="27" customHeight="1" x14ac:dyDescent="0.3">
      <c r="A749" s="16"/>
      <c r="B749" s="16"/>
      <c r="C749" s="62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</row>
    <row r="750" spans="1:40" ht="27" customHeight="1" x14ac:dyDescent="0.3">
      <c r="A750" s="16"/>
      <c r="B750" s="16"/>
      <c r="C750" s="62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</row>
    <row r="751" spans="1:40" ht="27" customHeight="1" x14ac:dyDescent="0.3">
      <c r="A751" s="16"/>
      <c r="B751" s="16"/>
      <c r="C751" s="62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</row>
    <row r="752" spans="1:40" ht="27" customHeight="1" x14ac:dyDescent="0.3">
      <c r="A752" s="16"/>
      <c r="B752" s="16"/>
      <c r="C752" s="62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</row>
    <row r="753" spans="1:40" ht="27" customHeight="1" x14ac:dyDescent="0.3">
      <c r="A753" s="16"/>
      <c r="B753" s="16"/>
      <c r="C753" s="62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</row>
    <row r="754" spans="1:40" ht="27" customHeight="1" x14ac:dyDescent="0.3">
      <c r="A754" s="16"/>
      <c r="B754" s="16"/>
      <c r="C754" s="62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</row>
    <row r="755" spans="1:40" ht="27" customHeight="1" x14ac:dyDescent="0.3">
      <c r="A755" s="16"/>
      <c r="B755" s="16"/>
      <c r="C755" s="62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</row>
    <row r="756" spans="1:40" ht="27" customHeight="1" x14ac:dyDescent="0.3">
      <c r="A756" s="16"/>
      <c r="B756" s="16"/>
      <c r="C756" s="62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</row>
    <row r="757" spans="1:40" ht="27" customHeight="1" x14ac:dyDescent="0.3">
      <c r="A757" s="16"/>
      <c r="B757" s="16"/>
      <c r="C757" s="62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</row>
    <row r="758" spans="1:40" ht="27" customHeight="1" x14ac:dyDescent="0.3">
      <c r="A758" s="16"/>
      <c r="B758" s="16"/>
      <c r="C758" s="62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</row>
    <row r="759" spans="1:40" ht="27" customHeight="1" x14ac:dyDescent="0.3">
      <c r="A759" s="16"/>
      <c r="B759" s="16"/>
      <c r="C759" s="62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</row>
    <row r="760" spans="1:40" ht="27" customHeight="1" x14ac:dyDescent="0.3">
      <c r="A760" s="16"/>
      <c r="B760" s="16"/>
      <c r="C760" s="62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</row>
    <row r="761" spans="1:40" ht="27" customHeight="1" x14ac:dyDescent="0.3">
      <c r="A761" s="16"/>
      <c r="B761" s="16"/>
      <c r="C761" s="62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</row>
    <row r="762" spans="1:40" ht="27" customHeight="1" x14ac:dyDescent="0.3">
      <c r="A762" s="16"/>
      <c r="B762" s="16"/>
      <c r="C762" s="62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</row>
    <row r="763" spans="1:40" ht="27" customHeight="1" x14ac:dyDescent="0.3">
      <c r="A763" s="16"/>
      <c r="B763" s="16"/>
      <c r="C763" s="62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</row>
    <row r="764" spans="1:40" ht="27" customHeight="1" x14ac:dyDescent="0.3">
      <c r="A764" s="16"/>
      <c r="B764" s="16"/>
      <c r="C764" s="62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</row>
    <row r="765" spans="1:40" ht="27" customHeight="1" x14ac:dyDescent="0.3">
      <c r="A765" s="16"/>
      <c r="B765" s="16"/>
      <c r="C765" s="62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</row>
    <row r="766" spans="1:40" ht="27" customHeight="1" x14ac:dyDescent="0.3">
      <c r="A766" s="16"/>
      <c r="B766" s="16"/>
      <c r="C766" s="62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</row>
    <row r="767" spans="1:40" ht="27" customHeight="1" x14ac:dyDescent="0.3">
      <c r="A767" s="16"/>
      <c r="B767" s="16"/>
      <c r="C767" s="62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</row>
    <row r="768" spans="1:40" ht="27" customHeight="1" x14ac:dyDescent="0.3">
      <c r="A768" s="16"/>
      <c r="B768" s="16"/>
      <c r="C768" s="62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</row>
    <row r="769" spans="1:40" ht="27" customHeight="1" x14ac:dyDescent="0.3">
      <c r="A769" s="16"/>
      <c r="B769" s="16"/>
      <c r="C769" s="62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</row>
    <row r="770" spans="1:40" ht="27" customHeight="1" x14ac:dyDescent="0.3">
      <c r="A770" s="16"/>
      <c r="B770" s="16"/>
      <c r="C770" s="62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</row>
    <row r="771" spans="1:40" ht="27" customHeight="1" x14ac:dyDescent="0.3">
      <c r="A771" s="16"/>
      <c r="B771" s="16"/>
      <c r="C771" s="62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</row>
    <row r="772" spans="1:40" ht="27" customHeight="1" x14ac:dyDescent="0.3">
      <c r="A772" s="16"/>
      <c r="B772" s="16"/>
      <c r="C772" s="62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</row>
    <row r="773" spans="1:40" ht="27" customHeight="1" x14ac:dyDescent="0.3">
      <c r="A773" s="16"/>
      <c r="B773" s="16"/>
      <c r="C773" s="62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</row>
    <row r="774" spans="1:40" ht="27" customHeight="1" x14ac:dyDescent="0.3">
      <c r="A774" s="16"/>
      <c r="B774" s="16"/>
      <c r="C774" s="62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</row>
    <row r="775" spans="1:40" ht="27" customHeight="1" x14ac:dyDescent="0.3">
      <c r="A775" s="16"/>
      <c r="B775" s="16"/>
      <c r="C775" s="62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</row>
    <row r="776" spans="1:40" ht="27" customHeight="1" x14ac:dyDescent="0.3">
      <c r="A776" s="16"/>
      <c r="B776" s="16"/>
      <c r="C776" s="62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</row>
    <row r="777" spans="1:40" ht="27" customHeight="1" x14ac:dyDescent="0.3">
      <c r="A777" s="16"/>
      <c r="B777" s="16"/>
      <c r="C777" s="62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</row>
    <row r="778" spans="1:40" ht="27" customHeight="1" x14ac:dyDescent="0.3">
      <c r="A778" s="16"/>
      <c r="B778" s="16"/>
      <c r="C778" s="62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</row>
    <row r="779" spans="1:40" ht="27" customHeight="1" x14ac:dyDescent="0.3">
      <c r="A779" s="16"/>
      <c r="B779" s="16"/>
      <c r="C779" s="62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</row>
    <row r="780" spans="1:40" ht="27" customHeight="1" x14ac:dyDescent="0.3">
      <c r="A780" s="16"/>
      <c r="B780" s="16"/>
      <c r="C780" s="62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</row>
    <row r="781" spans="1:40" ht="27" customHeight="1" x14ac:dyDescent="0.3">
      <c r="A781" s="16"/>
      <c r="B781" s="16"/>
      <c r="C781" s="62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</row>
    <row r="782" spans="1:40" ht="27" customHeight="1" x14ac:dyDescent="0.3">
      <c r="A782" s="16"/>
      <c r="B782" s="16"/>
      <c r="C782" s="62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</row>
    <row r="783" spans="1:40" ht="27" customHeight="1" x14ac:dyDescent="0.3">
      <c r="A783" s="16"/>
      <c r="B783" s="16"/>
      <c r="C783" s="62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</row>
    <row r="784" spans="1:40" ht="27" customHeight="1" x14ac:dyDescent="0.3">
      <c r="A784" s="16"/>
      <c r="B784" s="16"/>
      <c r="C784" s="62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</row>
    <row r="785" spans="1:40" ht="27" customHeight="1" x14ac:dyDescent="0.3">
      <c r="A785" s="16"/>
      <c r="B785" s="16"/>
      <c r="C785" s="62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</row>
    <row r="786" spans="1:40" ht="27" customHeight="1" x14ac:dyDescent="0.3">
      <c r="A786" s="16"/>
      <c r="B786" s="16"/>
      <c r="C786" s="62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</row>
    <row r="787" spans="1:40" ht="27" customHeight="1" x14ac:dyDescent="0.3">
      <c r="A787" s="16"/>
      <c r="B787" s="16"/>
      <c r="C787" s="62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</row>
    <row r="788" spans="1:40" ht="27" customHeight="1" x14ac:dyDescent="0.3">
      <c r="A788" s="16"/>
      <c r="B788" s="16"/>
      <c r="C788" s="62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</row>
    <row r="789" spans="1:40" ht="27" customHeight="1" x14ac:dyDescent="0.3">
      <c r="A789" s="16"/>
      <c r="B789" s="16"/>
      <c r="C789" s="62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</row>
    <row r="790" spans="1:40" ht="27" customHeight="1" x14ac:dyDescent="0.3">
      <c r="A790" s="16"/>
      <c r="B790" s="16"/>
      <c r="C790" s="62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</row>
    <row r="791" spans="1:40" ht="27" customHeight="1" x14ac:dyDescent="0.3">
      <c r="A791" s="16"/>
      <c r="B791" s="16"/>
      <c r="C791" s="62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</row>
    <row r="792" spans="1:40" ht="27" customHeight="1" x14ac:dyDescent="0.3">
      <c r="A792" s="16"/>
      <c r="B792" s="16"/>
      <c r="C792" s="62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</row>
    <row r="793" spans="1:40" ht="27" customHeight="1" x14ac:dyDescent="0.3">
      <c r="A793" s="16"/>
      <c r="B793" s="16"/>
      <c r="C793" s="62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</row>
    <row r="794" spans="1:40" ht="27" customHeight="1" x14ac:dyDescent="0.3">
      <c r="A794" s="16"/>
      <c r="B794" s="16"/>
      <c r="C794" s="62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</row>
    <row r="795" spans="1:40" ht="27" customHeight="1" x14ac:dyDescent="0.3">
      <c r="A795" s="16"/>
      <c r="B795" s="16"/>
      <c r="C795" s="62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</row>
    <row r="796" spans="1:40" ht="27" customHeight="1" x14ac:dyDescent="0.3">
      <c r="A796" s="16"/>
      <c r="B796" s="16"/>
      <c r="C796" s="62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</row>
    <row r="797" spans="1:40" ht="27" customHeight="1" x14ac:dyDescent="0.3">
      <c r="A797" s="16"/>
      <c r="B797" s="16"/>
      <c r="C797" s="62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</row>
    <row r="798" spans="1:40" ht="27" customHeight="1" x14ac:dyDescent="0.3">
      <c r="A798" s="16"/>
      <c r="B798" s="16"/>
      <c r="C798" s="62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</row>
    <row r="799" spans="1:40" ht="27" customHeight="1" x14ac:dyDescent="0.3">
      <c r="A799" s="16"/>
      <c r="B799" s="16"/>
      <c r="C799" s="62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</row>
    <row r="800" spans="1:40" ht="27" customHeight="1" x14ac:dyDescent="0.3">
      <c r="A800" s="16"/>
      <c r="B800" s="16"/>
      <c r="C800" s="62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</row>
    <row r="801" spans="1:40" ht="27" customHeight="1" x14ac:dyDescent="0.3">
      <c r="A801" s="16"/>
      <c r="B801" s="16"/>
      <c r="C801" s="62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</row>
    <row r="802" spans="1:40" ht="27" customHeight="1" x14ac:dyDescent="0.3">
      <c r="A802" s="16"/>
      <c r="B802" s="16"/>
      <c r="C802" s="62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</row>
    <row r="803" spans="1:40" ht="27" customHeight="1" x14ac:dyDescent="0.3">
      <c r="A803" s="16"/>
      <c r="B803" s="16"/>
      <c r="C803" s="62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</row>
    <row r="804" spans="1:40" ht="27" customHeight="1" x14ac:dyDescent="0.3">
      <c r="A804" s="16"/>
      <c r="B804" s="16"/>
      <c r="C804" s="62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</row>
    <row r="805" spans="1:40" ht="27" customHeight="1" x14ac:dyDescent="0.3">
      <c r="A805" s="16"/>
      <c r="B805" s="16"/>
      <c r="C805" s="62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</row>
    <row r="806" spans="1:40" ht="27" customHeight="1" x14ac:dyDescent="0.3">
      <c r="A806" s="16"/>
      <c r="B806" s="16"/>
      <c r="C806" s="62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</row>
    <row r="807" spans="1:40" ht="27" customHeight="1" x14ac:dyDescent="0.3">
      <c r="A807" s="16"/>
      <c r="B807" s="16"/>
      <c r="C807" s="62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</row>
    <row r="808" spans="1:40" ht="27" customHeight="1" x14ac:dyDescent="0.3">
      <c r="A808" s="16"/>
      <c r="B808" s="16"/>
      <c r="C808" s="62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</row>
    <row r="809" spans="1:40" ht="27" customHeight="1" x14ac:dyDescent="0.3">
      <c r="A809" s="16"/>
      <c r="B809" s="16"/>
      <c r="C809" s="62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</row>
    <row r="810" spans="1:40" ht="27" customHeight="1" x14ac:dyDescent="0.3">
      <c r="A810" s="16"/>
      <c r="B810" s="16"/>
      <c r="C810" s="62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</row>
    <row r="811" spans="1:40" ht="27" customHeight="1" x14ac:dyDescent="0.3">
      <c r="A811" s="16"/>
      <c r="B811" s="16"/>
      <c r="C811" s="62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</row>
    <row r="812" spans="1:40" ht="27" customHeight="1" x14ac:dyDescent="0.3">
      <c r="A812" s="16"/>
      <c r="B812" s="16"/>
      <c r="C812" s="62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</row>
    <row r="813" spans="1:40" ht="27" customHeight="1" x14ac:dyDescent="0.3">
      <c r="A813" s="16"/>
      <c r="B813" s="16"/>
      <c r="C813" s="62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</row>
    <row r="814" spans="1:40" ht="27" customHeight="1" x14ac:dyDescent="0.3">
      <c r="A814" s="16"/>
      <c r="B814" s="16"/>
      <c r="C814" s="62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</row>
    <row r="815" spans="1:40" ht="27" customHeight="1" x14ac:dyDescent="0.3">
      <c r="A815" s="16"/>
      <c r="B815" s="16"/>
      <c r="C815" s="62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</row>
    <row r="816" spans="1:40" ht="27" customHeight="1" x14ac:dyDescent="0.3">
      <c r="A816" s="16"/>
      <c r="B816" s="16"/>
      <c r="C816" s="62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</row>
    <row r="817" spans="1:40" ht="27" customHeight="1" x14ac:dyDescent="0.3">
      <c r="A817" s="16"/>
      <c r="B817" s="16"/>
      <c r="C817" s="62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</row>
    <row r="818" spans="1:40" ht="27" customHeight="1" x14ac:dyDescent="0.3">
      <c r="A818" s="16"/>
      <c r="B818" s="16"/>
      <c r="C818" s="62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</row>
    <row r="819" spans="1:40" ht="27" customHeight="1" x14ac:dyDescent="0.3">
      <c r="A819" s="16"/>
      <c r="B819" s="16"/>
      <c r="C819" s="62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</row>
    <row r="820" spans="1:40" ht="27" customHeight="1" x14ac:dyDescent="0.3">
      <c r="A820" s="16"/>
      <c r="B820" s="16"/>
      <c r="C820" s="62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</row>
    <row r="821" spans="1:40" ht="27" customHeight="1" x14ac:dyDescent="0.3">
      <c r="A821" s="16"/>
      <c r="B821" s="16"/>
      <c r="C821" s="62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</row>
    <row r="822" spans="1:40" ht="27" customHeight="1" x14ac:dyDescent="0.3">
      <c r="A822" s="16"/>
      <c r="B822" s="16"/>
      <c r="C822" s="62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</row>
    <row r="823" spans="1:40" ht="27" customHeight="1" x14ac:dyDescent="0.3">
      <c r="A823" s="16"/>
      <c r="B823" s="16"/>
      <c r="C823" s="62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</row>
    <row r="824" spans="1:40" ht="27" customHeight="1" x14ac:dyDescent="0.3">
      <c r="A824" s="16"/>
      <c r="B824" s="16"/>
      <c r="C824" s="62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</row>
    <row r="825" spans="1:40" ht="27" customHeight="1" x14ac:dyDescent="0.3">
      <c r="A825" s="16"/>
      <c r="B825" s="16"/>
      <c r="C825" s="62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</row>
    <row r="826" spans="1:40" ht="27" customHeight="1" x14ac:dyDescent="0.3">
      <c r="A826" s="16"/>
      <c r="B826" s="16"/>
      <c r="C826" s="62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</row>
    <row r="827" spans="1:40" ht="27" customHeight="1" x14ac:dyDescent="0.3">
      <c r="A827" s="16"/>
      <c r="B827" s="16"/>
      <c r="C827" s="62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</row>
    <row r="828" spans="1:40" ht="27" customHeight="1" x14ac:dyDescent="0.3">
      <c r="A828" s="16"/>
      <c r="B828" s="16"/>
      <c r="C828" s="62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</row>
    <row r="829" spans="1:40" ht="27" customHeight="1" x14ac:dyDescent="0.3">
      <c r="A829" s="16"/>
      <c r="B829" s="16"/>
      <c r="C829" s="62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</row>
    <row r="830" spans="1:40" ht="27" customHeight="1" x14ac:dyDescent="0.3">
      <c r="A830" s="16"/>
      <c r="B830" s="16"/>
      <c r="C830" s="62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</row>
    <row r="831" spans="1:40" ht="27" customHeight="1" x14ac:dyDescent="0.3">
      <c r="A831" s="16"/>
      <c r="B831" s="16"/>
      <c r="C831" s="62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</row>
    <row r="832" spans="1:40" ht="27" customHeight="1" x14ac:dyDescent="0.3">
      <c r="A832" s="16"/>
      <c r="B832" s="16"/>
      <c r="C832" s="62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</row>
    <row r="833" spans="1:40" ht="27" customHeight="1" x14ac:dyDescent="0.3">
      <c r="A833" s="16"/>
      <c r="B833" s="16"/>
      <c r="C833" s="62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</row>
    <row r="834" spans="1:40" ht="27" customHeight="1" x14ac:dyDescent="0.3">
      <c r="A834" s="16"/>
      <c r="B834" s="16"/>
      <c r="C834" s="62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</row>
    <row r="835" spans="1:40" ht="27" customHeight="1" x14ac:dyDescent="0.3">
      <c r="A835" s="16"/>
      <c r="B835" s="16"/>
      <c r="C835" s="62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</row>
    <row r="836" spans="1:40" ht="27" customHeight="1" x14ac:dyDescent="0.3">
      <c r="A836" s="16"/>
      <c r="B836" s="16"/>
      <c r="C836" s="62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</row>
    <row r="837" spans="1:40" ht="27" customHeight="1" x14ac:dyDescent="0.3">
      <c r="A837" s="16"/>
      <c r="B837" s="16"/>
      <c r="C837" s="62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</row>
    <row r="838" spans="1:40" ht="27" customHeight="1" x14ac:dyDescent="0.3">
      <c r="A838" s="16"/>
      <c r="B838" s="16"/>
      <c r="C838" s="62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</row>
    <row r="839" spans="1:40" ht="27" customHeight="1" x14ac:dyDescent="0.3">
      <c r="A839" s="16"/>
      <c r="B839" s="16"/>
      <c r="C839" s="62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</row>
    <row r="840" spans="1:40" ht="27" customHeight="1" x14ac:dyDescent="0.3">
      <c r="A840" s="16"/>
      <c r="B840" s="16"/>
      <c r="C840" s="62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</row>
    <row r="841" spans="1:40" ht="27" customHeight="1" x14ac:dyDescent="0.3">
      <c r="A841" s="16"/>
      <c r="B841" s="16"/>
      <c r="C841" s="62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</row>
    <row r="842" spans="1:40" ht="27" customHeight="1" x14ac:dyDescent="0.3">
      <c r="A842" s="16"/>
      <c r="B842" s="16"/>
      <c r="C842" s="62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</row>
    <row r="843" spans="1:40" ht="27" customHeight="1" x14ac:dyDescent="0.3">
      <c r="A843" s="16"/>
      <c r="B843" s="16"/>
      <c r="C843" s="62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</row>
    <row r="844" spans="1:40" ht="27" customHeight="1" x14ac:dyDescent="0.3">
      <c r="A844" s="16"/>
      <c r="B844" s="16"/>
      <c r="C844" s="62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</row>
    <row r="845" spans="1:40" ht="27" customHeight="1" x14ac:dyDescent="0.3">
      <c r="A845" s="16"/>
      <c r="B845" s="16"/>
      <c r="C845" s="62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</row>
    <row r="846" spans="1:40" ht="27" customHeight="1" x14ac:dyDescent="0.3">
      <c r="A846" s="16"/>
      <c r="B846" s="16"/>
      <c r="C846" s="62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</row>
    <row r="847" spans="1:40" ht="27" customHeight="1" x14ac:dyDescent="0.3">
      <c r="A847" s="16"/>
      <c r="B847" s="16"/>
      <c r="C847" s="62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</row>
    <row r="848" spans="1:40" ht="27" customHeight="1" x14ac:dyDescent="0.3">
      <c r="A848" s="16"/>
      <c r="B848" s="16"/>
      <c r="C848" s="62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</row>
    <row r="849" spans="1:40" ht="27" customHeight="1" x14ac:dyDescent="0.3">
      <c r="A849" s="16"/>
      <c r="B849" s="16"/>
      <c r="C849" s="62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</row>
    <row r="850" spans="1:40" ht="27" customHeight="1" x14ac:dyDescent="0.3">
      <c r="A850" s="16"/>
      <c r="B850" s="16"/>
      <c r="C850" s="62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</row>
    <row r="851" spans="1:40" ht="27" customHeight="1" x14ac:dyDescent="0.3">
      <c r="A851" s="16"/>
      <c r="B851" s="16"/>
      <c r="C851" s="62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</row>
    <row r="852" spans="1:40" ht="27" customHeight="1" x14ac:dyDescent="0.3">
      <c r="A852" s="16"/>
      <c r="B852" s="16"/>
      <c r="C852" s="62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</row>
    <row r="853" spans="1:40" ht="27" customHeight="1" x14ac:dyDescent="0.3">
      <c r="A853" s="16"/>
      <c r="B853" s="16"/>
      <c r="C853" s="62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</row>
    <row r="854" spans="1:40" ht="27" customHeight="1" x14ac:dyDescent="0.3">
      <c r="A854" s="16"/>
      <c r="B854" s="16"/>
      <c r="C854" s="62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</row>
    <row r="855" spans="1:40" ht="27" customHeight="1" x14ac:dyDescent="0.3">
      <c r="A855" s="16"/>
      <c r="B855" s="16"/>
      <c r="C855" s="62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</row>
    <row r="856" spans="1:40" ht="27" customHeight="1" x14ac:dyDescent="0.3">
      <c r="A856" s="16"/>
      <c r="B856" s="16"/>
      <c r="C856" s="62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</row>
    <row r="857" spans="1:40" ht="27" customHeight="1" x14ac:dyDescent="0.3">
      <c r="A857" s="16"/>
      <c r="B857" s="16"/>
      <c r="C857" s="62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</row>
    <row r="858" spans="1:40" ht="27" customHeight="1" x14ac:dyDescent="0.3">
      <c r="A858" s="16"/>
      <c r="B858" s="16"/>
      <c r="C858" s="62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</row>
    <row r="859" spans="1:40" ht="27" customHeight="1" x14ac:dyDescent="0.3">
      <c r="A859" s="16"/>
      <c r="B859" s="16"/>
      <c r="C859" s="62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</row>
    <row r="860" spans="1:40" ht="27" customHeight="1" x14ac:dyDescent="0.3">
      <c r="A860" s="16"/>
      <c r="B860" s="16"/>
      <c r="C860" s="62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</row>
    <row r="861" spans="1:40" ht="27" customHeight="1" x14ac:dyDescent="0.3">
      <c r="A861" s="16"/>
      <c r="B861" s="16"/>
      <c r="C861" s="62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</row>
    <row r="862" spans="1:40" ht="27" customHeight="1" x14ac:dyDescent="0.3">
      <c r="A862" s="16"/>
      <c r="B862" s="16"/>
      <c r="C862" s="62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</row>
    <row r="863" spans="1:40" ht="27" customHeight="1" x14ac:dyDescent="0.3">
      <c r="A863" s="16"/>
      <c r="B863" s="16"/>
      <c r="C863" s="62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</row>
    <row r="864" spans="1:40" ht="27" customHeight="1" x14ac:dyDescent="0.3">
      <c r="A864" s="16"/>
      <c r="B864" s="16"/>
      <c r="C864" s="62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</row>
    <row r="865" spans="1:40" ht="27" customHeight="1" x14ac:dyDescent="0.3">
      <c r="A865" s="16"/>
      <c r="B865" s="16"/>
      <c r="C865" s="62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</row>
    <row r="866" spans="1:40" ht="27" customHeight="1" x14ac:dyDescent="0.3">
      <c r="A866" s="16"/>
      <c r="B866" s="16"/>
      <c r="C866" s="62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</row>
    <row r="867" spans="1:40" ht="27" customHeight="1" x14ac:dyDescent="0.3">
      <c r="A867" s="16"/>
      <c r="B867" s="16"/>
      <c r="C867" s="62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</row>
    <row r="868" spans="1:40" ht="27" customHeight="1" x14ac:dyDescent="0.3">
      <c r="A868" s="16"/>
      <c r="B868" s="16"/>
      <c r="C868" s="62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</row>
    <row r="869" spans="1:40" ht="27" customHeight="1" x14ac:dyDescent="0.3">
      <c r="A869" s="16"/>
      <c r="B869" s="16"/>
      <c r="C869" s="62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</row>
    <row r="870" spans="1:40" ht="27" customHeight="1" x14ac:dyDescent="0.3">
      <c r="A870" s="16"/>
      <c r="B870" s="16"/>
      <c r="C870" s="62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</row>
    <row r="871" spans="1:40" ht="27" customHeight="1" x14ac:dyDescent="0.3">
      <c r="A871" s="16"/>
      <c r="B871" s="16"/>
      <c r="C871" s="62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</row>
    <row r="872" spans="1:40" ht="27" customHeight="1" x14ac:dyDescent="0.3">
      <c r="A872" s="16"/>
      <c r="B872" s="16"/>
      <c r="C872" s="62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</row>
    <row r="873" spans="1:40" ht="27" customHeight="1" x14ac:dyDescent="0.3">
      <c r="A873" s="16"/>
      <c r="B873" s="16"/>
      <c r="C873" s="62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</row>
    <row r="874" spans="1:40" ht="27" customHeight="1" x14ac:dyDescent="0.3">
      <c r="A874" s="16"/>
      <c r="B874" s="16"/>
      <c r="C874" s="62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</row>
    <row r="875" spans="1:40" ht="27" customHeight="1" x14ac:dyDescent="0.3">
      <c r="A875" s="16"/>
      <c r="B875" s="16"/>
      <c r="C875" s="62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</row>
    <row r="876" spans="1:40" ht="27" customHeight="1" x14ac:dyDescent="0.3">
      <c r="A876" s="16"/>
      <c r="B876" s="16"/>
      <c r="C876" s="62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</row>
    <row r="877" spans="1:40" ht="27" customHeight="1" x14ac:dyDescent="0.3">
      <c r="A877" s="16"/>
      <c r="B877" s="16"/>
      <c r="C877" s="62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</row>
    <row r="878" spans="1:40" ht="27" customHeight="1" x14ac:dyDescent="0.3">
      <c r="A878" s="16"/>
      <c r="B878" s="16"/>
      <c r="C878" s="62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</row>
    <row r="879" spans="1:40" ht="27" customHeight="1" x14ac:dyDescent="0.3">
      <c r="A879" s="16"/>
      <c r="B879" s="16"/>
      <c r="C879" s="62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</row>
    <row r="880" spans="1:40" ht="27" customHeight="1" x14ac:dyDescent="0.3">
      <c r="A880" s="16"/>
      <c r="B880" s="16"/>
      <c r="C880" s="62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</row>
    <row r="881" spans="1:40" ht="27" customHeight="1" x14ac:dyDescent="0.3">
      <c r="A881" s="16"/>
      <c r="B881" s="16"/>
      <c r="C881" s="62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</row>
    <row r="882" spans="1:40" ht="27" customHeight="1" x14ac:dyDescent="0.3">
      <c r="A882" s="16"/>
      <c r="B882" s="16"/>
      <c r="C882" s="62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</row>
    <row r="883" spans="1:40" ht="27" customHeight="1" x14ac:dyDescent="0.3">
      <c r="A883" s="16"/>
      <c r="B883" s="16"/>
      <c r="C883" s="62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</row>
    <row r="884" spans="1:40" ht="27" customHeight="1" x14ac:dyDescent="0.3">
      <c r="A884" s="16"/>
      <c r="B884" s="16"/>
      <c r="C884" s="62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</row>
    <row r="885" spans="1:40" ht="27" customHeight="1" x14ac:dyDescent="0.3">
      <c r="A885" s="16"/>
      <c r="B885" s="16"/>
      <c r="C885" s="62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</row>
    <row r="886" spans="1:40" ht="27" customHeight="1" x14ac:dyDescent="0.3">
      <c r="A886" s="16"/>
      <c r="B886" s="16"/>
      <c r="C886" s="62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</row>
    <row r="887" spans="1:40" ht="27" customHeight="1" x14ac:dyDescent="0.3">
      <c r="A887" s="16"/>
      <c r="B887" s="16"/>
      <c r="C887" s="62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</row>
    <row r="888" spans="1:40" ht="27" customHeight="1" x14ac:dyDescent="0.3">
      <c r="A888" s="16"/>
      <c r="B888" s="16"/>
      <c r="C888" s="62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</row>
    <row r="889" spans="1:40" ht="27" customHeight="1" x14ac:dyDescent="0.3">
      <c r="A889" s="16"/>
      <c r="B889" s="16"/>
      <c r="C889" s="62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</row>
    <row r="890" spans="1:40" ht="27" customHeight="1" x14ac:dyDescent="0.3">
      <c r="A890" s="16"/>
      <c r="B890" s="16"/>
      <c r="C890" s="62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</row>
    <row r="891" spans="1:40" ht="27" customHeight="1" x14ac:dyDescent="0.3">
      <c r="A891" s="16"/>
      <c r="B891" s="16"/>
      <c r="C891" s="62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</row>
    <row r="892" spans="1:40" ht="27" customHeight="1" x14ac:dyDescent="0.3">
      <c r="A892" s="16"/>
      <c r="B892" s="16"/>
      <c r="C892" s="62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</row>
    <row r="893" spans="1:40" ht="27" customHeight="1" x14ac:dyDescent="0.3">
      <c r="A893" s="16"/>
      <c r="B893" s="16"/>
      <c r="C893" s="62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</row>
    <row r="894" spans="1:40" ht="27" customHeight="1" x14ac:dyDescent="0.3">
      <c r="A894" s="16"/>
      <c r="B894" s="16"/>
      <c r="C894" s="62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</row>
    <row r="895" spans="1:40" ht="27" customHeight="1" x14ac:dyDescent="0.3">
      <c r="A895" s="16"/>
      <c r="B895" s="16"/>
      <c r="C895" s="62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</row>
    <row r="896" spans="1:40" ht="27" customHeight="1" x14ac:dyDescent="0.3">
      <c r="A896" s="16"/>
      <c r="B896" s="16"/>
      <c r="C896" s="62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</row>
    <row r="897" spans="1:40" ht="27" customHeight="1" x14ac:dyDescent="0.3">
      <c r="A897" s="16"/>
      <c r="B897" s="16"/>
      <c r="C897" s="62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</row>
    <row r="898" spans="1:40" ht="27" customHeight="1" x14ac:dyDescent="0.3">
      <c r="A898" s="16"/>
      <c r="B898" s="16"/>
      <c r="C898" s="62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</row>
    <row r="899" spans="1:40" ht="27" customHeight="1" x14ac:dyDescent="0.3">
      <c r="A899" s="16"/>
      <c r="B899" s="16"/>
      <c r="C899" s="62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</row>
    <row r="900" spans="1:40" ht="27" customHeight="1" x14ac:dyDescent="0.3">
      <c r="A900" s="16"/>
      <c r="B900" s="16"/>
      <c r="C900" s="62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</row>
    <row r="901" spans="1:40" ht="27" customHeight="1" x14ac:dyDescent="0.3">
      <c r="A901" s="16"/>
      <c r="B901" s="16"/>
      <c r="C901" s="62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</row>
    <row r="902" spans="1:40" ht="27" customHeight="1" x14ac:dyDescent="0.3">
      <c r="A902" s="16"/>
      <c r="B902" s="16"/>
      <c r="C902" s="62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</row>
    <row r="903" spans="1:40" ht="27" customHeight="1" x14ac:dyDescent="0.3">
      <c r="A903" s="16"/>
      <c r="B903" s="16"/>
      <c r="C903" s="62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</row>
    <row r="904" spans="1:40" ht="27" customHeight="1" x14ac:dyDescent="0.3">
      <c r="A904" s="16"/>
      <c r="B904" s="16"/>
      <c r="C904" s="62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</row>
    <row r="905" spans="1:40" ht="27" customHeight="1" x14ac:dyDescent="0.3">
      <c r="A905" s="16"/>
      <c r="B905" s="16"/>
      <c r="C905" s="62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</row>
    <row r="906" spans="1:40" ht="27" customHeight="1" x14ac:dyDescent="0.3">
      <c r="A906" s="16"/>
      <c r="B906" s="16"/>
      <c r="C906" s="62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</row>
    <row r="907" spans="1:40" ht="27" customHeight="1" x14ac:dyDescent="0.3">
      <c r="A907" s="16"/>
      <c r="B907" s="16"/>
      <c r="C907" s="62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</row>
    <row r="908" spans="1:40" ht="27" customHeight="1" x14ac:dyDescent="0.3">
      <c r="A908" s="16"/>
      <c r="B908" s="16"/>
      <c r="C908" s="62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</row>
    <row r="909" spans="1:40" ht="27" customHeight="1" x14ac:dyDescent="0.3">
      <c r="A909" s="16"/>
      <c r="B909" s="16"/>
      <c r="C909" s="62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</row>
    <row r="910" spans="1:40" ht="27" customHeight="1" x14ac:dyDescent="0.3">
      <c r="A910" s="16"/>
      <c r="B910" s="16"/>
      <c r="C910" s="62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</row>
    <row r="911" spans="1:40" ht="27" customHeight="1" x14ac:dyDescent="0.3">
      <c r="A911" s="16"/>
      <c r="B911" s="16"/>
      <c r="C911" s="62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</row>
    <row r="912" spans="1:40" ht="27" customHeight="1" x14ac:dyDescent="0.3">
      <c r="A912" s="16"/>
      <c r="B912" s="16"/>
      <c r="C912" s="62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</row>
    <row r="913" spans="1:40" ht="27" customHeight="1" x14ac:dyDescent="0.3">
      <c r="A913" s="16"/>
      <c r="B913" s="16"/>
      <c r="C913" s="62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</row>
    <row r="914" spans="1:40" ht="27" customHeight="1" x14ac:dyDescent="0.3">
      <c r="A914" s="16"/>
      <c r="B914" s="16"/>
      <c r="C914" s="62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</row>
    <row r="915" spans="1:40" ht="27" customHeight="1" x14ac:dyDescent="0.3">
      <c r="A915" s="16"/>
      <c r="B915" s="16"/>
      <c r="C915" s="62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</row>
    <row r="916" spans="1:40" ht="27" customHeight="1" x14ac:dyDescent="0.3">
      <c r="A916" s="16"/>
      <c r="B916" s="16"/>
      <c r="C916" s="62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</row>
    <row r="917" spans="1:40" ht="27" customHeight="1" x14ac:dyDescent="0.3">
      <c r="A917" s="16"/>
      <c r="B917" s="16"/>
      <c r="C917" s="62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</row>
    <row r="918" spans="1:40" ht="27" customHeight="1" x14ac:dyDescent="0.3">
      <c r="A918" s="16"/>
      <c r="B918" s="16"/>
      <c r="C918" s="62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</row>
    <row r="919" spans="1:40" ht="27" customHeight="1" x14ac:dyDescent="0.3">
      <c r="A919" s="16"/>
      <c r="B919" s="16"/>
      <c r="C919" s="62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</row>
    <row r="920" spans="1:40" ht="27" customHeight="1" x14ac:dyDescent="0.3">
      <c r="A920" s="16"/>
      <c r="B920" s="16"/>
      <c r="C920" s="62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</row>
    <row r="921" spans="1:40" ht="27" customHeight="1" x14ac:dyDescent="0.3">
      <c r="A921" s="16"/>
      <c r="B921" s="16"/>
      <c r="C921" s="62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</row>
    <row r="922" spans="1:40" ht="27" customHeight="1" x14ac:dyDescent="0.3">
      <c r="A922" s="16"/>
      <c r="B922" s="16"/>
      <c r="C922" s="62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</row>
    <row r="923" spans="1:40" ht="27" customHeight="1" x14ac:dyDescent="0.3">
      <c r="A923" s="16"/>
      <c r="B923" s="16"/>
      <c r="C923" s="62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</row>
    <row r="924" spans="1:40" ht="27" customHeight="1" x14ac:dyDescent="0.3">
      <c r="A924" s="16"/>
      <c r="B924" s="16"/>
      <c r="C924" s="62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</row>
    <row r="925" spans="1:40" ht="27" customHeight="1" x14ac:dyDescent="0.3">
      <c r="A925" s="16"/>
      <c r="B925" s="16"/>
      <c r="C925" s="62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</row>
    <row r="926" spans="1:40" ht="27" customHeight="1" x14ac:dyDescent="0.3">
      <c r="A926" s="16"/>
      <c r="B926" s="16"/>
      <c r="C926" s="62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</row>
    <row r="927" spans="1:40" ht="27" customHeight="1" x14ac:dyDescent="0.3">
      <c r="A927" s="16"/>
      <c r="B927" s="16"/>
      <c r="C927" s="62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</row>
    <row r="928" spans="1:40" ht="27" customHeight="1" x14ac:dyDescent="0.3">
      <c r="A928" s="16"/>
      <c r="B928" s="16"/>
      <c r="C928" s="62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</row>
    <row r="929" spans="1:40" ht="27" customHeight="1" x14ac:dyDescent="0.3">
      <c r="A929" s="16"/>
      <c r="B929" s="16"/>
      <c r="C929" s="62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</row>
    <row r="930" spans="1:40" ht="27" customHeight="1" x14ac:dyDescent="0.3">
      <c r="A930" s="16"/>
      <c r="B930" s="16"/>
      <c r="C930" s="62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</row>
    <row r="931" spans="1:40" ht="27" customHeight="1" x14ac:dyDescent="0.3">
      <c r="A931" s="16"/>
      <c r="B931" s="16"/>
      <c r="C931" s="62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</row>
    <row r="932" spans="1:40" ht="27" customHeight="1" x14ac:dyDescent="0.3">
      <c r="A932" s="16"/>
      <c r="B932" s="16"/>
      <c r="C932" s="62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</row>
    <row r="933" spans="1:40" ht="27" customHeight="1" x14ac:dyDescent="0.3">
      <c r="A933" s="16"/>
      <c r="B933" s="16"/>
      <c r="C933" s="62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</row>
    <row r="934" spans="1:40" ht="27" customHeight="1" x14ac:dyDescent="0.3">
      <c r="A934" s="16"/>
      <c r="B934" s="16"/>
      <c r="C934" s="62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</row>
    <row r="935" spans="1:40" ht="27" customHeight="1" x14ac:dyDescent="0.3">
      <c r="A935" s="16"/>
      <c r="B935" s="16"/>
      <c r="C935" s="62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</row>
    <row r="936" spans="1:40" ht="27" customHeight="1" x14ac:dyDescent="0.3">
      <c r="A936" s="16"/>
      <c r="B936" s="16"/>
      <c r="C936" s="62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</row>
    <row r="937" spans="1:40" ht="27" customHeight="1" x14ac:dyDescent="0.3">
      <c r="A937" s="16"/>
      <c r="B937" s="16"/>
      <c r="C937" s="62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</row>
    <row r="938" spans="1:40" ht="27" customHeight="1" x14ac:dyDescent="0.3">
      <c r="A938" s="16"/>
      <c r="B938" s="16"/>
      <c r="C938" s="62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</row>
    <row r="939" spans="1:40" ht="27" customHeight="1" x14ac:dyDescent="0.3">
      <c r="A939" s="16"/>
      <c r="B939" s="16"/>
      <c r="C939" s="62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</row>
    <row r="940" spans="1:40" ht="27" customHeight="1" x14ac:dyDescent="0.3">
      <c r="A940" s="16"/>
      <c r="B940" s="16"/>
      <c r="C940" s="62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</row>
    <row r="941" spans="1:40" ht="27" customHeight="1" x14ac:dyDescent="0.3">
      <c r="A941" s="16"/>
      <c r="B941" s="16"/>
      <c r="C941" s="62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</row>
    <row r="942" spans="1:40" ht="27" customHeight="1" x14ac:dyDescent="0.3">
      <c r="A942" s="16"/>
      <c r="B942" s="16"/>
      <c r="C942" s="62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</row>
    <row r="943" spans="1:40" ht="27" customHeight="1" x14ac:dyDescent="0.3">
      <c r="A943" s="16"/>
      <c r="B943" s="16"/>
      <c r="C943" s="62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</row>
    <row r="944" spans="1:40" ht="27" customHeight="1" x14ac:dyDescent="0.3">
      <c r="A944" s="16"/>
      <c r="B944" s="16"/>
      <c r="C944" s="62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</row>
    <row r="945" spans="1:40" ht="27" customHeight="1" x14ac:dyDescent="0.3">
      <c r="A945" s="16"/>
      <c r="B945" s="16"/>
      <c r="C945" s="62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</row>
    <row r="946" spans="1:40" ht="27" customHeight="1" x14ac:dyDescent="0.3">
      <c r="A946" s="16"/>
      <c r="B946" s="16"/>
      <c r="C946" s="62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</row>
    <row r="947" spans="1:40" ht="27" customHeight="1" x14ac:dyDescent="0.3">
      <c r="A947" s="16"/>
      <c r="B947" s="16"/>
      <c r="C947" s="62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</row>
    <row r="948" spans="1:40" ht="27" customHeight="1" x14ac:dyDescent="0.3">
      <c r="A948" s="16"/>
      <c r="B948" s="16"/>
      <c r="C948" s="62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</row>
    <row r="949" spans="1:40" ht="27" customHeight="1" x14ac:dyDescent="0.3">
      <c r="A949" s="16"/>
      <c r="B949" s="16"/>
      <c r="C949" s="62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</row>
    <row r="950" spans="1:40" ht="27" customHeight="1" x14ac:dyDescent="0.3">
      <c r="A950" s="16"/>
      <c r="B950" s="16"/>
      <c r="C950" s="62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</row>
    <row r="951" spans="1:40" ht="27" customHeight="1" x14ac:dyDescent="0.3">
      <c r="A951" s="16"/>
      <c r="B951" s="16"/>
      <c r="C951" s="62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</row>
    <row r="952" spans="1:40" ht="27" customHeight="1" x14ac:dyDescent="0.3">
      <c r="A952" s="16"/>
      <c r="B952" s="16"/>
      <c r="C952" s="62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</row>
    <row r="953" spans="1:40" ht="27" customHeight="1" x14ac:dyDescent="0.3">
      <c r="A953" s="16"/>
      <c r="B953" s="16"/>
      <c r="C953" s="62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</row>
    <row r="954" spans="1:40" ht="27" customHeight="1" x14ac:dyDescent="0.3">
      <c r="A954" s="16"/>
      <c r="B954" s="16"/>
      <c r="C954" s="62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</row>
    <row r="955" spans="1:40" ht="27" customHeight="1" x14ac:dyDescent="0.3">
      <c r="A955" s="16"/>
      <c r="B955" s="16"/>
      <c r="C955" s="62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</row>
    <row r="956" spans="1:40" ht="27" customHeight="1" x14ac:dyDescent="0.3">
      <c r="A956" s="16"/>
      <c r="B956" s="16"/>
      <c r="C956" s="62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</row>
    <row r="957" spans="1:40" ht="27" customHeight="1" x14ac:dyDescent="0.3">
      <c r="A957" s="16"/>
      <c r="B957" s="16"/>
      <c r="C957" s="62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</row>
    <row r="958" spans="1:40" ht="27" customHeight="1" x14ac:dyDescent="0.3">
      <c r="A958" s="16"/>
      <c r="B958" s="16"/>
      <c r="C958" s="62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</row>
    <row r="959" spans="1:40" ht="27" customHeight="1" x14ac:dyDescent="0.3">
      <c r="A959" s="16"/>
      <c r="B959" s="16"/>
      <c r="C959" s="62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</row>
    <row r="960" spans="1:40" ht="27" customHeight="1" x14ac:dyDescent="0.3">
      <c r="A960" s="16"/>
      <c r="B960" s="16"/>
      <c r="C960" s="62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</row>
    <row r="961" spans="1:40" ht="27" customHeight="1" x14ac:dyDescent="0.3">
      <c r="A961" s="16"/>
      <c r="B961" s="16"/>
      <c r="C961" s="62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</row>
    <row r="962" spans="1:40" ht="27" customHeight="1" x14ac:dyDescent="0.3">
      <c r="A962" s="16"/>
      <c r="B962" s="16"/>
      <c r="C962" s="62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</row>
    <row r="963" spans="1:40" ht="27" customHeight="1" x14ac:dyDescent="0.3">
      <c r="A963" s="16"/>
      <c r="B963" s="16"/>
      <c r="C963" s="62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</row>
    <row r="964" spans="1:40" ht="27" customHeight="1" x14ac:dyDescent="0.3">
      <c r="A964" s="16"/>
      <c r="B964" s="16"/>
      <c r="C964" s="62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</row>
    <row r="965" spans="1:40" ht="27" customHeight="1" x14ac:dyDescent="0.3">
      <c r="A965" s="16"/>
      <c r="B965" s="16"/>
      <c r="C965" s="62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</row>
    <row r="966" spans="1:40" ht="27" customHeight="1" x14ac:dyDescent="0.3">
      <c r="A966" s="16"/>
      <c r="B966" s="16"/>
      <c r="C966" s="62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</row>
    <row r="967" spans="1:40" ht="27" customHeight="1" x14ac:dyDescent="0.3">
      <c r="A967" s="16"/>
      <c r="B967" s="16"/>
      <c r="C967" s="62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</row>
    <row r="968" spans="1:40" ht="27" customHeight="1" x14ac:dyDescent="0.3">
      <c r="A968" s="16"/>
      <c r="B968" s="16"/>
      <c r="C968" s="62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</row>
    <row r="969" spans="1:40" ht="27" customHeight="1" x14ac:dyDescent="0.3">
      <c r="A969" s="16"/>
      <c r="B969" s="16"/>
      <c r="C969" s="62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</row>
    <row r="970" spans="1:40" ht="27" customHeight="1" x14ac:dyDescent="0.3">
      <c r="A970" s="16"/>
      <c r="B970" s="16"/>
      <c r="C970" s="62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</row>
    <row r="971" spans="1:40" ht="27" customHeight="1" x14ac:dyDescent="0.3">
      <c r="A971" s="16"/>
      <c r="B971" s="16"/>
      <c r="C971" s="62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</row>
    <row r="972" spans="1:40" ht="27" customHeight="1" x14ac:dyDescent="0.3">
      <c r="A972" s="16"/>
      <c r="B972" s="16"/>
      <c r="C972" s="62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</row>
    <row r="973" spans="1:40" ht="27" customHeight="1" x14ac:dyDescent="0.3">
      <c r="A973" s="16"/>
      <c r="B973" s="16"/>
      <c r="C973" s="62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</row>
    <row r="974" spans="1:40" ht="27" customHeight="1" x14ac:dyDescent="0.3">
      <c r="A974" s="16"/>
      <c r="B974" s="16"/>
      <c r="C974" s="62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</row>
    <row r="975" spans="1:40" ht="27" customHeight="1" x14ac:dyDescent="0.3">
      <c r="A975" s="16"/>
      <c r="B975" s="16"/>
      <c r="C975" s="62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</row>
    <row r="976" spans="1:40" ht="27" customHeight="1" x14ac:dyDescent="0.3">
      <c r="A976" s="16"/>
      <c r="B976" s="16"/>
      <c r="C976" s="62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</row>
    <row r="977" spans="1:40" ht="27" customHeight="1" x14ac:dyDescent="0.3">
      <c r="A977" s="16"/>
      <c r="B977" s="16"/>
      <c r="C977" s="62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</row>
    <row r="978" spans="1:40" ht="27" customHeight="1" x14ac:dyDescent="0.3">
      <c r="A978" s="16"/>
      <c r="B978" s="16"/>
      <c r="C978" s="62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</row>
    <row r="979" spans="1:40" ht="27" customHeight="1" x14ac:dyDescent="0.3">
      <c r="A979" s="16"/>
      <c r="B979" s="16"/>
      <c r="C979" s="62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</row>
    <row r="980" spans="1:40" ht="27" customHeight="1" x14ac:dyDescent="0.3">
      <c r="A980" s="16"/>
      <c r="B980" s="16"/>
      <c r="C980" s="62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</row>
    <row r="981" spans="1:40" ht="27" customHeight="1" x14ac:dyDescent="0.3">
      <c r="A981" s="16"/>
      <c r="B981" s="16"/>
      <c r="C981" s="62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</row>
    <row r="982" spans="1:40" ht="27" customHeight="1" x14ac:dyDescent="0.3">
      <c r="A982" s="16"/>
      <c r="B982" s="16"/>
      <c r="C982" s="62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</row>
    <row r="983" spans="1:40" ht="27" customHeight="1" x14ac:dyDescent="0.3">
      <c r="A983" s="16"/>
      <c r="B983" s="16"/>
      <c r="C983" s="62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</row>
    <row r="984" spans="1:40" ht="27" customHeight="1" x14ac:dyDescent="0.3">
      <c r="A984" s="16"/>
      <c r="B984" s="16"/>
      <c r="C984" s="62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</row>
    <row r="985" spans="1:40" ht="27" customHeight="1" x14ac:dyDescent="0.3">
      <c r="A985" s="16"/>
      <c r="B985" s="16"/>
      <c r="C985" s="62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</row>
    <row r="986" spans="1:40" ht="27" customHeight="1" x14ac:dyDescent="0.3">
      <c r="A986" s="16"/>
      <c r="B986" s="16"/>
      <c r="C986" s="62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</row>
    <row r="987" spans="1:40" ht="27" customHeight="1" x14ac:dyDescent="0.3">
      <c r="A987" s="16"/>
      <c r="B987" s="16"/>
      <c r="C987" s="62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</row>
    <row r="988" spans="1:40" ht="27" customHeight="1" x14ac:dyDescent="0.3">
      <c r="A988" s="16"/>
      <c r="B988" s="16"/>
      <c r="C988" s="62"/>
      <c r="D988" s="62"/>
      <c r="E988" s="62"/>
      <c r="F988" s="62"/>
      <c r="G988" s="16"/>
      <c r="H988" s="16"/>
      <c r="I988" s="1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</row>
    <row r="989" spans="1:40" ht="27" customHeight="1" x14ac:dyDescent="0.3">
      <c r="A989" s="16"/>
      <c r="B989" s="16"/>
      <c r="C989" s="62"/>
      <c r="D989" s="62"/>
      <c r="E989" s="62"/>
      <c r="F989" s="62"/>
      <c r="G989" s="16"/>
      <c r="H989" s="16"/>
      <c r="I989" s="1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</row>
    <row r="990" spans="1:40" ht="27" customHeight="1" x14ac:dyDescent="0.3">
      <c r="A990" s="16"/>
      <c r="B990" s="16"/>
      <c r="C990" s="62"/>
      <c r="D990" s="62"/>
      <c r="E990" s="62"/>
      <c r="F990" s="62"/>
      <c r="G990" s="16"/>
      <c r="H990" s="16"/>
      <c r="I990" s="15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</row>
    <row r="991" spans="1:40" ht="27" customHeight="1" x14ac:dyDescent="0.3">
      <c r="A991" s="16"/>
      <c r="B991" s="16"/>
      <c r="C991" s="62"/>
      <c r="D991" s="62"/>
      <c r="E991" s="62"/>
      <c r="F991" s="62"/>
      <c r="G991" s="16"/>
      <c r="H991" s="16"/>
      <c r="I991" s="15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</row>
    <row r="992" spans="1:40" ht="27" customHeight="1" x14ac:dyDescent="0.3">
      <c r="A992" s="16"/>
      <c r="B992" s="16"/>
      <c r="C992" s="62"/>
      <c r="D992" s="62"/>
      <c r="E992" s="62"/>
      <c r="F992" s="62"/>
      <c r="G992" s="16"/>
      <c r="H992" s="16"/>
      <c r="I992" s="15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</row>
    <row r="993" spans="1:40" ht="27" customHeight="1" x14ac:dyDescent="0.3">
      <c r="A993" s="16"/>
      <c r="B993" s="16"/>
      <c r="C993" s="62"/>
      <c r="D993" s="62"/>
      <c r="E993" s="62"/>
      <c r="F993" s="62"/>
      <c r="G993" s="16"/>
      <c r="H993" s="16"/>
      <c r="I993" s="15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</row>
    <row r="994" spans="1:40" ht="27" customHeight="1" x14ac:dyDescent="0.3">
      <c r="A994" s="16"/>
      <c r="B994" s="16"/>
      <c r="C994" s="62"/>
      <c r="D994" s="62"/>
      <c r="E994" s="62"/>
      <c r="F994" s="62"/>
      <c r="G994" s="16"/>
      <c r="H994" s="16"/>
      <c r="I994" s="15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</row>
    <row r="995" spans="1:40" ht="27" customHeight="1" x14ac:dyDescent="0.3">
      <c r="A995" s="16"/>
      <c r="B995" s="16"/>
      <c r="C995" s="62"/>
      <c r="D995" s="62"/>
      <c r="E995" s="62"/>
      <c r="F995" s="62"/>
      <c r="G995" s="16"/>
      <c r="H995" s="16"/>
      <c r="I995" s="15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</row>
    <row r="996" spans="1:40" ht="27" customHeight="1" x14ac:dyDescent="0.3">
      <c r="A996" s="16"/>
      <c r="B996" s="16"/>
      <c r="C996" s="62"/>
      <c r="D996" s="62"/>
      <c r="E996" s="62"/>
      <c r="F996" s="62"/>
      <c r="G996" s="16"/>
      <c r="H996" s="16"/>
      <c r="I996" s="15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</row>
    <row r="997" spans="1:40" ht="27" customHeight="1" x14ac:dyDescent="0.3">
      <c r="A997" s="16"/>
      <c r="B997" s="16"/>
      <c r="C997" s="62"/>
      <c r="D997" s="62"/>
      <c r="E997" s="62"/>
      <c r="F997" s="62"/>
      <c r="G997" s="16"/>
      <c r="H997" s="16"/>
      <c r="I997" s="15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</row>
    <row r="998" spans="1:40" ht="27" customHeight="1" x14ac:dyDescent="0.3">
      <c r="A998" s="16"/>
      <c r="B998" s="16"/>
      <c r="C998" s="62"/>
      <c r="D998" s="62"/>
      <c r="E998" s="62"/>
      <c r="F998" s="62"/>
      <c r="G998" s="16"/>
      <c r="H998" s="16"/>
      <c r="I998" s="15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</row>
    <row r="999" spans="1:40" ht="27" customHeight="1" x14ac:dyDescent="0.3">
      <c r="A999" s="16"/>
      <c r="B999" s="16"/>
      <c r="C999" s="62"/>
      <c r="D999" s="62"/>
      <c r="E999" s="62"/>
      <c r="F999" s="62"/>
      <c r="G999" s="16"/>
      <c r="H999" s="16"/>
      <c r="I999" s="15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</row>
    <row r="1000" spans="1:40" ht="27" customHeight="1" x14ac:dyDescent="0.3">
      <c r="A1000" s="16"/>
      <c r="B1000" s="16"/>
      <c r="C1000" s="62"/>
      <c r="D1000" s="62"/>
      <c r="E1000" s="62"/>
      <c r="F1000" s="62"/>
      <c r="G1000" s="16"/>
      <c r="H1000" s="16"/>
      <c r="I1000" s="15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</row>
  </sheetData>
  <autoFilter ref="A3:AN17" xr:uid="{00000000-0009-0000-0000-000004000000}"/>
  <mergeCells count="1">
    <mergeCell ref="G2:H2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0" sqref="D10"/>
    </sheetView>
  </sheetViews>
  <sheetFormatPr defaultColWidth="14.44140625" defaultRowHeight="15" customHeight="1" x14ac:dyDescent="0.3"/>
  <cols>
    <col min="1" max="1" width="11" customWidth="1"/>
    <col min="2" max="2" width="22" customWidth="1"/>
    <col min="3" max="3" width="23.109375" customWidth="1"/>
    <col min="4" max="4" width="23.88671875" customWidth="1"/>
    <col min="5" max="5" width="25.88671875" customWidth="1"/>
    <col min="6" max="6" width="14.33203125" customWidth="1"/>
    <col min="7" max="7" width="7.88671875" customWidth="1"/>
    <col min="8" max="9" width="12.88671875" customWidth="1"/>
    <col min="10" max="10" width="34" customWidth="1"/>
    <col min="11" max="12" width="9" customWidth="1"/>
    <col min="13" max="13" width="23.1093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61" t="s">
        <v>218</v>
      </c>
      <c r="B1" s="16"/>
      <c r="C1" s="62"/>
      <c r="D1" s="62"/>
      <c r="E1" s="62"/>
      <c r="F1" s="62"/>
      <c r="G1" s="16"/>
      <c r="H1" s="63" t="s">
        <v>63</v>
      </c>
      <c r="I1" s="64">
        <f>SUBTOTAL(9,I4:I12000)</f>
        <v>567</v>
      </c>
      <c r="J1" s="65" t="s">
        <v>80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81" t="s">
        <v>82</v>
      </c>
      <c r="B2" s="81" t="s">
        <v>125</v>
      </c>
      <c r="C2" s="81" t="s">
        <v>126</v>
      </c>
      <c r="D2" s="81" t="s">
        <v>127</v>
      </c>
      <c r="E2" s="81" t="s">
        <v>128</v>
      </c>
      <c r="F2" s="81" t="s">
        <v>129</v>
      </c>
      <c r="G2" s="146" t="s">
        <v>130</v>
      </c>
      <c r="H2" s="131"/>
      <c r="I2" s="81" t="s">
        <v>131</v>
      </c>
      <c r="J2" s="81" t="s">
        <v>132</v>
      </c>
      <c r="K2" s="67" t="s">
        <v>4</v>
      </c>
      <c r="L2" s="39"/>
      <c r="M2" s="68" t="s">
        <v>133</v>
      </c>
      <c r="N2" s="68" t="s">
        <v>134</v>
      </c>
      <c r="O2" s="68" t="s">
        <v>135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82"/>
      <c r="B3" s="82"/>
      <c r="C3" s="82"/>
      <c r="D3" s="82"/>
      <c r="E3" s="83"/>
      <c r="F3" s="82"/>
      <c r="G3" s="84" t="s">
        <v>136</v>
      </c>
      <c r="H3" s="84" t="s">
        <v>137</v>
      </c>
      <c r="I3" s="82"/>
      <c r="J3" s="82"/>
      <c r="K3" s="72"/>
      <c r="L3" s="39"/>
      <c r="M3" s="73"/>
      <c r="N3" s="73"/>
      <c r="O3" s="73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6">
      <c r="A4" s="16">
        <v>1</v>
      </c>
      <c r="B4" s="80">
        <v>244474</v>
      </c>
      <c r="C4" s="75" t="s">
        <v>219</v>
      </c>
      <c r="D4" s="62" t="s">
        <v>220</v>
      </c>
      <c r="E4" s="62" t="s">
        <v>150</v>
      </c>
      <c r="F4" s="16" t="s">
        <v>221</v>
      </c>
      <c r="G4" s="9"/>
      <c r="H4" s="62"/>
      <c r="I4" s="76">
        <v>89</v>
      </c>
      <c r="J4" s="16" t="s">
        <v>68</v>
      </c>
      <c r="K4" s="16"/>
      <c r="L4" s="16"/>
      <c r="M4" s="77" t="s">
        <v>68</v>
      </c>
      <c r="N4" s="77" t="s">
        <v>221</v>
      </c>
      <c r="O4" s="78" t="s">
        <v>140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16">
        <v>2</v>
      </c>
      <c r="B5" s="80">
        <v>244658</v>
      </c>
      <c r="C5" s="62" t="s">
        <v>222</v>
      </c>
      <c r="D5" s="62" t="s">
        <v>223</v>
      </c>
      <c r="E5" s="62" t="s">
        <v>150</v>
      </c>
      <c r="F5" s="16" t="s">
        <v>221</v>
      </c>
      <c r="G5" s="9"/>
      <c r="H5" s="62"/>
      <c r="I5" s="76">
        <v>139</v>
      </c>
      <c r="J5" s="16" t="s">
        <v>68</v>
      </c>
      <c r="K5" s="16"/>
      <c r="L5" s="16"/>
      <c r="M5" s="77" t="s">
        <v>69</v>
      </c>
      <c r="N5" s="77" t="s">
        <v>224</v>
      </c>
      <c r="O5" s="79" t="s">
        <v>150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16">
        <v>3</v>
      </c>
      <c r="B6" s="80">
        <v>244688</v>
      </c>
      <c r="C6" s="85" t="s">
        <v>225</v>
      </c>
      <c r="D6" s="62" t="s">
        <v>226</v>
      </c>
      <c r="E6" s="62" t="s">
        <v>150</v>
      </c>
      <c r="F6" s="16" t="s">
        <v>221</v>
      </c>
      <c r="G6" s="16"/>
      <c r="H6" s="62"/>
      <c r="I6" s="76">
        <v>74</v>
      </c>
      <c r="J6" s="16" t="s">
        <v>68</v>
      </c>
      <c r="K6" s="16"/>
      <c r="L6" s="16"/>
      <c r="M6" s="77" t="s">
        <v>70</v>
      </c>
      <c r="N6" s="77"/>
      <c r="O6" s="78" t="s">
        <v>154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16">
        <v>4</v>
      </c>
      <c r="B7" s="16" t="s">
        <v>201</v>
      </c>
      <c r="C7" s="62" t="s">
        <v>227</v>
      </c>
      <c r="D7" s="62" t="s">
        <v>228</v>
      </c>
      <c r="E7" s="62" t="s">
        <v>150</v>
      </c>
      <c r="F7" s="16" t="s">
        <v>221</v>
      </c>
      <c r="G7" s="16"/>
      <c r="H7" s="62"/>
      <c r="I7" s="76">
        <v>100</v>
      </c>
      <c r="J7" s="16" t="s">
        <v>68</v>
      </c>
      <c r="K7" s="16"/>
      <c r="L7" s="16"/>
      <c r="M7" s="77" t="s">
        <v>159</v>
      </c>
      <c r="N7" s="77"/>
      <c r="O7" s="77" t="s">
        <v>229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16">
        <v>5</v>
      </c>
      <c r="B8" s="16" t="s">
        <v>230</v>
      </c>
      <c r="C8" s="62" t="s">
        <v>231</v>
      </c>
      <c r="D8" s="62" t="s">
        <v>232</v>
      </c>
      <c r="E8" s="62" t="s">
        <v>150</v>
      </c>
      <c r="F8" s="16" t="s">
        <v>221</v>
      </c>
      <c r="G8" s="16"/>
      <c r="H8" s="62"/>
      <c r="I8" s="76">
        <v>165</v>
      </c>
      <c r="J8" s="16" t="s">
        <v>68</v>
      </c>
      <c r="K8" s="16"/>
      <c r="L8" s="16"/>
      <c r="M8" s="77" t="s">
        <v>233</v>
      </c>
      <c r="N8" s="77"/>
      <c r="O8" s="77" t="s">
        <v>234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16">
        <v>6</v>
      </c>
      <c r="B9" s="16"/>
      <c r="C9" s="62"/>
      <c r="D9" s="62"/>
      <c r="E9" s="62"/>
      <c r="F9" s="16"/>
      <c r="G9" s="16"/>
      <c r="H9" s="62"/>
      <c r="I9" s="7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16">
        <v>7</v>
      </c>
      <c r="B10" s="74"/>
      <c r="C10" s="74"/>
      <c r="D10" s="62"/>
      <c r="E10" s="62"/>
      <c r="F10" s="75"/>
      <c r="G10" s="16"/>
      <c r="H10" s="62"/>
      <c r="I10" s="7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9.25" customHeight="1" x14ac:dyDescent="0.3">
      <c r="A11" s="16"/>
      <c r="B11" s="16"/>
      <c r="C11" s="62"/>
      <c r="D11" s="16"/>
      <c r="E11" s="62"/>
      <c r="F11" s="62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86" t="s">
        <v>235</v>
      </c>
      <c r="B12" s="113" t="s">
        <v>236</v>
      </c>
      <c r="C12" s="87"/>
      <c r="D12" s="16"/>
      <c r="E12" s="62"/>
      <c r="F12" s="62"/>
      <c r="G12" s="16"/>
      <c r="H12" s="62"/>
      <c r="I12" s="62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/>
      <c r="B13" s="74"/>
      <c r="C13" s="75"/>
      <c r="D13" s="75"/>
      <c r="E13" s="75"/>
      <c r="F13" s="75"/>
      <c r="G13" s="16"/>
      <c r="H13" s="62"/>
      <c r="I13" s="62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/>
      <c r="B14" s="74"/>
      <c r="C14" s="62"/>
      <c r="D14" s="62"/>
      <c r="E14" s="62"/>
      <c r="F14" s="62"/>
      <c r="G14" s="16"/>
      <c r="H14" s="62"/>
      <c r="I14" s="62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/>
      <c r="B15" s="74"/>
      <c r="C15" s="62"/>
      <c r="D15" s="62"/>
      <c r="E15" s="62"/>
      <c r="F15" s="62"/>
      <c r="G15" s="16"/>
      <c r="H15" s="62"/>
      <c r="I15" s="62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/>
      <c r="B16" s="74"/>
      <c r="C16" s="62"/>
      <c r="D16" s="62"/>
      <c r="E16" s="62"/>
      <c r="F16" s="62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16"/>
      <c r="B17" s="74"/>
      <c r="C17" s="62"/>
      <c r="D17" s="62"/>
      <c r="E17" s="62"/>
      <c r="F17" s="62"/>
      <c r="G17" s="62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/>
      <c r="B18" s="74"/>
      <c r="C18" s="75"/>
      <c r="D18" s="16"/>
      <c r="E18" s="62"/>
      <c r="F18" s="62"/>
      <c r="G18" s="16"/>
      <c r="H18" s="16"/>
      <c r="I18" s="62"/>
      <c r="J18" s="16"/>
      <c r="K18" s="16"/>
      <c r="L18" s="16"/>
      <c r="M18" s="16"/>
      <c r="N18" s="16"/>
      <c r="O18" s="16"/>
      <c r="P18" s="16"/>
      <c r="Q18" s="16"/>
      <c r="R18" s="75"/>
      <c r="S18" s="75"/>
      <c r="T18" s="75"/>
      <c r="U18" s="16"/>
      <c r="V18" s="62"/>
      <c r="W18" s="16"/>
      <c r="X18" s="16"/>
      <c r="Y18" s="16"/>
      <c r="Z18" s="16"/>
    </row>
    <row r="19" spans="1:26" ht="23.25" customHeight="1" x14ac:dyDescent="0.3">
      <c r="A19" s="16"/>
      <c r="B19" s="74"/>
      <c r="C19" s="62"/>
      <c r="D19" s="16"/>
      <c r="E19" s="62"/>
      <c r="F19" s="62"/>
      <c r="G19" s="16"/>
      <c r="H19" s="62"/>
      <c r="I19" s="6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/>
      <c r="B20" s="74"/>
      <c r="C20" s="62"/>
      <c r="D20" s="16"/>
      <c r="E20" s="62"/>
      <c r="F20" s="62"/>
      <c r="G20" s="16"/>
      <c r="H20" s="62"/>
      <c r="I20" s="6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/>
      <c r="B21" s="74"/>
      <c r="C21" s="75"/>
      <c r="D21" s="75"/>
      <c r="E21" s="75"/>
      <c r="F21" s="75"/>
      <c r="G21" s="16"/>
      <c r="H21" s="62"/>
      <c r="I21" s="6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/>
      <c r="B22" s="74"/>
      <c r="C22" s="62"/>
      <c r="D22" s="62"/>
      <c r="E22" s="62"/>
      <c r="F22" s="62"/>
      <c r="G22" s="16"/>
      <c r="H22" s="62"/>
      <c r="I22" s="6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/>
      <c r="B23" s="74"/>
      <c r="C23" s="62"/>
      <c r="D23" s="62"/>
      <c r="E23" s="62"/>
      <c r="F23" s="62"/>
      <c r="G23" s="16"/>
      <c r="H23" s="62"/>
      <c r="I23" s="62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/>
      <c r="B24" s="74"/>
      <c r="C24" s="75"/>
      <c r="D24" s="75"/>
      <c r="E24" s="75"/>
      <c r="F24" s="75"/>
      <c r="G24" s="16"/>
      <c r="H24" s="62"/>
      <c r="I24" s="62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/>
      <c r="B25" s="74"/>
      <c r="C25" s="62"/>
      <c r="D25" s="62"/>
      <c r="E25" s="62"/>
      <c r="F25" s="62"/>
      <c r="G25" s="16"/>
      <c r="H25" s="62"/>
      <c r="I25" s="6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/>
      <c r="B26" s="16"/>
      <c r="C26" s="62"/>
      <c r="D26" s="62"/>
      <c r="E26" s="62"/>
      <c r="F26" s="6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/>
      <c r="B27" s="16"/>
      <c r="C27" s="62"/>
      <c r="D27" s="62"/>
      <c r="E27" s="62"/>
      <c r="F27" s="62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/>
      <c r="B28" s="16"/>
      <c r="C28" s="62"/>
      <c r="D28" s="62"/>
      <c r="E28" s="62"/>
      <c r="F28" s="62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16"/>
      <c r="C29" s="62"/>
      <c r="D29" s="62"/>
      <c r="E29" s="62"/>
      <c r="F29" s="6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16"/>
      <c r="C30" s="62"/>
      <c r="D30" s="62"/>
      <c r="E30" s="62"/>
      <c r="F30" s="62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16"/>
      <c r="C31" s="62"/>
      <c r="D31" s="62"/>
      <c r="E31" s="62"/>
      <c r="F31" s="62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16"/>
      <c r="C32" s="62"/>
      <c r="D32" s="62"/>
      <c r="E32" s="62"/>
      <c r="F32" s="62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16"/>
      <c r="C33" s="62"/>
      <c r="D33" s="62"/>
      <c r="E33" s="62"/>
      <c r="F33" s="6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16"/>
      <c r="C34" s="62"/>
      <c r="D34" s="62"/>
      <c r="E34" s="62"/>
      <c r="F34" s="6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16"/>
      <c r="C35" s="62"/>
      <c r="D35" s="62"/>
      <c r="E35" s="62"/>
      <c r="F35" s="62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16"/>
      <c r="C36" s="62"/>
      <c r="D36" s="62"/>
      <c r="E36" s="62"/>
      <c r="F36" s="6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16"/>
      <c r="C37" s="62"/>
      <c r="D37" s="62"/>
      <c r="E37" s="62"/>
      <c r="F37" s="62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16"/>
      <c r="C38" s="62"/>
      <c r="D38" s="62"/>
      <c r="E38" s="62"/>
      <c r="F38" s="6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16"/>
      <c r="C39" s="62"/>
      <c r="D39" s="62"/>
      <c r="E39" s="62"/>
      <c r="F39" s="6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16"/>
      <c r="C40" s="62"/>
      <c r="D40" s="62"/>
      <c r="E40" s="62"/>
      <c r="F40" s="6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16"/>
      <c r="C41" s="62"/>
      <c r="D41" s="62"/>
      <c r="E41" s="62"/>
      <c r="F41" s="6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16"/>
      <c r="C42" s="62"/>
      <c r="D42" s="62"/>
      <c r="E42" s="62"/>
      <c r="F42" s="6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16"/>
      <c r="C43" s="62"/>
      <c r="D43" s="62"/>
      <c r="E43" s="62"/>
      <c r="F43" s="6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16"/>
      <c r="C44" s="62"/>
      <c r="D44" s="62"/>
      <c r="E44" s="62"/>
      <c r="F44" s="6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16"/>
      <c r="C45" s="62"/>
      <c r="D45" s="62"/>
      <c r="E45" s="62"/>
      <c r="F45" s="6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16"/>
      <c r="C46" s="62"/>
      <c r="D46" s="62"/>
      <c r="E46" s="62"/>
      <c r="F46" s="6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16"/>
      <c r="C47" s="62"/>
      <c r="D47" s="62"/>
      <c r="E47" s="62"/>
      <c r="F47" s="62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16"/>
      <c r="C48" s="62"/>
      <c r="D48" s="62"/>
      <c r="E48" s="62"/>
      <c r="F48" s="62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16"/>
      <c r="C49" s="62"/>
      <c r="D49" s="62"/>
      <c r="E49" s="62"/>
      <c r="F49" s="62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16"/>
      <c r="C50" s="62"/>
      <c r="D50" s="62"/>
      <c r="E50" s="62"/>
      <c r="F50" s="6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16"/>
      <c r="C51" s="62"/>
      <c r="D51" s="62"/>
      <c r="E51" s="62"/>
      <c r="F51" s="6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16"/>
      <c r="C52" s="62"/>
      <c r="D52" s="62"/>
      <c r="E52" s="62"/>
      <c r="F52" s="6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16"/>
      <c r="C53" s="62"/>
      <c r="D53" s="62"/>
      <c r="E53" s="62"/>
      <c r="F53" s="6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16"/>
      <c r="C54" s="62"/>
      <c r="D54" s="62"/>
      <c r="E54" s="62"/>
      <c r="F54" s="6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16"/>
      <c r="C55" s="62"/>
      <c r="D55" s="62"/>
      <c r="E55" s="62"/>
      <c r="F55" s="6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16"/>
      <c r="C56" s="62"/>
      <c r="D56" s="62"/>
      <c r="E56" s="62"/>
      <c r="F56" s="62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16"/>
      <c r="C57" s="62"/>
      <c r="D57" s="62"/>
      <c r="E57" s="62"/>
      <c r="F57" s="62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16"/>
      <c r="C58" s="62"/>
      <c r="D58" s="62"/>
      <c r="E58" s="62"/>
      <c r="F58" s="62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16"/>
      <c r="C59" s="62"/>
      <c r="D59" s="62"/>
      <c r="E59" s="62"/>
      <c r="F59" s="62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16"/>
      <c r="C60" s="62"/>
      <c r="D60" s="62"/>
      <c r="E60" s="62"/>
      <c r="F60" s="62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16"/>
      <c r="C61" s="62"/>
      <c r="D61" s="62"/>
      <c r="E61" s="62"/>
      <c r="F61" s="62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16"/>
      <c r="C62" s="62"/>
      <c r="D62" s="62"/>
      <c r="E62" s="62"/>
      <c r="F62" s="62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16"/>
      <c r="C63" s="62"/>
      <c r="D63" s="62"/>
      <c r="E63" s="62"/>
      <c r="F63" s="62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16"/>
      <c r="C64" s="62"/>
      <c r="D64" s="62"/>
      <c r="E64" s="62"/>
      <c r="F64" s="62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16"/>
      <c r="C65" s="62"/>
      <c r="D65" s="62"/>
      <c r="E65" s="62"/>
      <c r="F65" s="62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16"/>
      <c r="C66" s="62"/>
      <c r="D66" s="62"/>
      <c r="E66" s="62"/>
      <c r="F66" s="62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16"/>
      <c r="C67" s="62"/>
      <c r="D67" s="62"/>
      <c r="E67" s="62"/>
      <c r="F67" s="62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16"/>
      <c r="C68" s="62"/>
      <c r="D68" s="62"/>
      <c r="E68" s="62"/>
      <c r="F68" s="62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16"/>
      <c r="C69" s="62"/>
      <c r="D69" s="62"/>
      <c r="E69" s="62"/>
      <c r="F69" s="62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16"/>
      <c r="C70" s="62"/>
      <c r="D70" s="62"/>
      <c r="E70" s="62"/>
      <c r="F70" s="62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16"/>
      <c r="C71" s="62"/>
      <c r="D71" s="62"/>
      <c r="E71" s="62"/>
      <c r="F71" s="62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16"/>
      <c r="C72" s="62"/>
      <c r="D72" s="62"/>
      <c r="E72" s="62"/>
      <c r="F72" s="62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16"/>
      <c r="C73" s="62"/>
      <c r="D73" s="62"/>
      <c r="E73" s="62"/>
      <c r="F73" s="62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16"/>
      <c r="C74" s="62"/>
      <c r="D74" s="62"/>
      <c r="E74" s="62"/>
      <c r="F74" s="62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16"/>
      <c r="C75" s="62"/>
      <c r="D75" s="62"/>
      <c r="E75" s="62"/>
      <c r="F75" s="62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16"/>
      <c r="C76" s="62"/>
      <c r="D76" s="62"/>
      <c r="E76" s="62"/>
      <c r="F76" s="62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16"/>
      <c r="C77" s="62"/>
      <c r="D77" s="62"/>
      <c r="E77" s="62"/>
      <c r="F77" s="62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16"/>
      <c r="C78" s="62"/>
      <c r="D78" s="62"/>
      <c r="E78" s="62"/>
      <c r="F78" s="62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16"/>
      <c r="C79" s="62"/>
      <c r="D79" s="62"/>
      <c r="E79" s="62"/>
      <c r="F79" s="62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16"/>
      <c r="C80" s="62"/>
      <c r="D80" s="62"/>
      <c r="E80" s="62"/>
      <c r="F80" s="62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16"/>
      <c r="C81" s="62"/>
      <c r="D81" s="62"/>
      <c r="E81" s="62"/>
      <c r="F81" s="62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16"/>
      <c r="C82" s="62"/>
      <c r="D82" s="62"/>
      <c r="E82" s="62"/>
      <c r="F82" s="62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16"/>
      <c r="C83" s="62"/>
      <c r="D83" s="62"/>
      <c r="E83" s="62"/>
      <c r="F83" s="62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16"/>
      <c r="C84" s="62"/>
      <c r="D84" s="62"/>
      <c r="E84" s="62"/>
      <c r="F84" s="62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16"/>
      <c r="C85" s="62"/>
      <c r="D85" s="62"/>
      <c r="E85" s="62"/>
      <c r="F85" s="62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16"/>
      <c r="C86" s="62"/>
      <c r="D86" s="62"/>
      <c r="E86" s="62"/>
      <c r="F86" s="62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16"/>
      <c r="C87" s="62"/>
      <c r="D87" s="62"/>
      <c r="E87" s="62"/>
      <c r="F87" s="62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16"/>
      <c r="C88" s="62"/>
      <c r="D88" s="62"/>
      <c r="E88" s="62"/>
      <c r="F88" s="62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16"/>
      <c r="C89" s="62"/>
      <c r="D89" s="62"/>
      <c r="E89" s="62"/>
      <c r="F89" s="62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16"/>
      <c r="C90" s="62"/>
      <c r="D90" s="62"/>
      <c r="E90" s="62"/>
      <c r="F90" s="62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16"/>
      <c r="C91" s="62"/>
      <c r="D91" s="62"/>
      <c r="E91" s="62"/>
      <c r="F91" s="62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16"/>
      <c r="C92" s="62"/>
      <c r="D92" s="62"/>
      <c r="E92" s="62"/>
      <c r="F92" s="62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16"/>
      <c r="C93" s="62"/>
      <c r="D93" s="62"/>
      <c r="E93" s="62"/>
      <c r="F93" s="62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16"/>
      <c r="C94" s="62"/>
      <c r="D94" s="62"/>
      <c r="E94" s="62"/>
      <c r="F94" s="62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16"/>
      <c r="C95" s="62"/>
      <c r="D95" s="62"/>
      <c r="E95" s="62"/>
      <c r="F95" s="62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16"/>
      <c r="C96" s="62"/>
      <c r="D96" s="62"/>
      <c r="E96" s="62"/>
      <c r="F96" s="62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16"/>
      <c r="C97" s="62"/>
      <c r="D97" s="62"/>
      <c r="E97" s="62"/>
      <c r="F97" s="62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16"/>
      <c r="C98" s="62"/>
      <c r="D98" s="62"/>
      <c r="E98" s="62"/>
      <c r="F98" s="62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16"/>
      <c r="C99" s="62"/>
      <c r="D99" s="62"/>
      <c r="E99" s="62"/>
      <c r="F99" s="62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16"/>
      <c r="C100" s="62"/>
      <c r="D100" s="62"/>
      <c r="E100" s="62"/>
      <c r="F100" s="62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16"/>
      <c r="C101" s="62"/>
      <c r="D101" s="62"/>
      <c r="E101" s="62"/>
      <c r="F101" s="62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16"/>
      <c r="C102" s="62"/>
      <c r="D102" s="62"/>
      <c r="E102" s="62"/>
      <c r="F102" s="62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16"/>
      <c r="C103" s="62"/>
      <c r="D103" s="62"/>
      <c r="E103" s="62"/>
      <c r="F103" s="62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16"/>
      <c r="C104" s="62"/>
      <c r="D104" s="62"/>
      <c r="E104" s="62"/>
      <c r="F104" s="62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16"/>
      <c r="C105" s="62"/>
      <c r="D105" s="62"/>
      <c r="E105" s="62"/>
      <c r="F105" s="62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16"/>
      <c r="C106" s="62"/>
      <c r="D106" s="62"/>
      <c r="E106" s="62"/>
      <c r="F106" s="62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16"/>
      <c r="C107" s="62"/>
      <c r="D107" s="62"/>
      <c r="E107" s="62"/>
      <c r="F107" s="62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16"/>
      <c r="C108" s="62"/>
      <c r="D108" s="62"/>
      <c r="E108" s="62"/>
      <c r="F108" s="62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16"/>
      <c r="C109" s="62"/>
      <c r="D109" s="62"/>
      <c r="E109" s="62"/>
      <c r="F109" s="62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16"/>
      <c r="C110" s="62"/>
      <c r="D110" s="62"/>
      <c r="E110" s="62"/>
      <c r="F110" s="62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16"/>
      <c r="C111" s="62"/>
      <c r="D111" s="62"/>
      <c r="E111" s="62"/>
      <c r="F111" s="62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16"/>
      <c r="C112" s="62"/>
      <c r="D112" s="62"/>
      <c r="E112" s="62"/>
      <c r="F112" s="62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16"/>
      <c r="C113" s="62"/>
      <c r="D113" s="62"/>
      <c r="E113" s="62"/>
      <c r="F113" s="62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16"/>
      <c r="C114" s="62"/>
      <c r="D114" s="62"/>
      <c r="E114" s="62"/>
      <c r="F114" s="62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16"/>
      <c r="C115" s="62"/>
      <c r="D115" s="62"/>
      <c r="E115" s="62"/>
      <c r="F115" s="62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16"/>
      <c r="C116" s="62"/>
      <c r="D116" s="62"/>
      <c r="E116" s="62"/>
      <c r="F116" s="62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16"/>
      <c r="C117" s="62"/>
      <c r="D117" s="62"/>
      <c r="E117" s="62"/>
      <c r="F117" s="62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16"/>
      <c r="C118" s="62"/>
      <c r="D118" s="62"/>
      <c r="E118" s="62"/>
      <c r="F118" s="62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16"/>
      <c r="C119" s="62"/>
      <c r="D119" s="62"/>
      <c r="E119" s="62"/>
      <c r="F119" s="62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16"/>
      <c r="C120" s="62"/>
      <c r="D120" s="62"/>
      <c r="E120" s="62"/>
      <c r="F120" s="62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16"/>
      <c r="C121" s="62"/>
      <c r="D121" s="62"/>
      <c r="E121" s="62"/>
      <c r="F121" s="62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16"/>
      <c r="C122" s="62"/>
      <c r="D122" s="62"/>
      <c r="E122" s="62"/>
      <c r="F122" s="62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16"/>
      <c r="C123" s="62"/>
      <c r="D123" s="62"/>
      <c r="E123" s="62"/>
      <c r="F123" s="62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16"/>
      <c r="C124" s="62"/>
      <c r="D124" s="62"/>
      <c r="E124" s="62"/>
      <c r="F124" s="62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16"/>
      <c r="C125" s="62"/>
      <c r="D125" s="62"/>
      <c r="E125" s="62"/>
      <c r="F125" s="62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16"/>
      <c r="C126" s="62"/>
      <c r="D126" s="62"/>
      <c r="E126" s="62"/>
      <c r="F126" s="62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16"/>
      <c r="C127" s="62"/>
      <c r="D127" s="62"/>
      <c r="E127" s="62"/>
      <c r="F127" s="62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16"/>
      <c r="C128" s="62"/>
      <c r="D128" s="62"/>
      <c r="E128" s="62"/>
      <c r="F128" s="62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16"/>
      <c r="C129" s="62"/>
      <c r="D129" s="62"/>
      <c r="E129" s="62"/>
      <c r="F129" s="62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16"/>
      <c r="C130" s="62"/>
      <c r="D130" s="62"/>
      <c r="E130" s="62"/>
      <c r="F130" s="62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16"/>
      <c r="C131" s="62"/>
      <c r="D131" s="62"/>
      <c r="E131" s="62"/>
      <c r="F131" s="62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16"/>
      <c r="C132" s="62"/>
      <c r="D132" s="62"/>
      <c r="E132" s="62"/>
      <c r="F132" s="62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16"/>
      <c r="C133" s="62"/>
      <c r="D133" s="62"/>
      <c r="E133" s="62"/>
      <c r="F133" s="62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16"/>
      <c r="C134" s="62"/>
      <c r="D134" s="62"/>
      <c r="E134" s="62"/>
      <c r="F134" s="62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16"/>
      <c r="C135" s="62"/>
      <c r="D135" s="62"/>
      <c r="E135" s="62"/>
      <c r="F135" s="62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16"/>
      <c r="C136" s="62"/>
      <c r="D136" s="62"/>
      <c r="E136" s="62"/>
      <c r="F136" s="62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16"/>
      <c r="C137" s="62"/>
      <c r="D137" s="62"/>
      <c r="E137" s="62"/>
      <c r="F137" s="62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16"/>
      <c r="C138" s="62"/>
      <c r="D138" s="62"/>
      <c r="E138" s="62"/>
      <c r="F138" s="62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16"/>
      <c r="C139" s="62"/>
      <c r="D139" s="62"/>
      <c r="E139" s="62"/>
      <c r="F139" s="62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16"/>
      <c r="C140" s="62"/>
      <c r="D140" s="62"/>
      <c r="E140" s="62"/>
      <c r="F140" s="62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16"/>
      <c r="C141" s="62"/>
      <c r="D141" s="62"/>
      <c r="E141" s="62"/>
      <c r="F141" s="62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62"/>
      <c r="D142" s="62"/>
      <c r="E142" s="62"/>
      <c r="F142" s="62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62"/>
      <c r="D143" s="62"/>
      <c r="E143" s="62"/>
      <c r="F143" s="62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62"/>
      <c r="D144" s="62"/>
      <c r="E144" s="62"/>
      <c r="F144" s="62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62"/>
      <c r="D145" s="62"/>
      <c r="E145" s="62"/>
      <c r="F145" s="62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62"/>
      <c r="D146" s="62"/>
      <c r="E146" s="62"/>
      <c r="F146" s="62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62"/>
      <c r="D147" s="62"/>
      <c r="E147" s="62"/>
      <c r="F147" s="62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62"/>
      <c r="D148" s="62"/>
      <c r="E148" s="62"/>
      <c r="F148" s="62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62"/>
      <c r="D149" s="62"/>
      <c r="E149" s="62"/>
      <c r="F149" s="62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62"/>
      <c r="D150" s="62"/>
      <c r="E150" s="62"/>
      <c r="F150" s="62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62"/>
      <c r="D151" s="62"/>
      <c r="E151" s="62"/>
      <c r="F151" s="62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62"/>
      <c r="D152" s="62"/>
      <c r="E152" s="62"/>
      <c r="F152" s="62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62"/>
      <c r="D153" s="62"/>
      <c r="E153" s="62"/>
      <c r="F153" s="62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62"/>
      <c r="D154" s="62"/>
      <c r="E154" s="62"/>
      <c r="F154" s="62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62"/>
      <c r="D155" s="62"/>
      <c r="E155" s="62"/>
      <c r="F155" s="62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62"/>
      <c r="D156" s="62"/>
      <c r="E156" s="62"/>
      <c r="F156" s="62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62"/>
      <c r="D157" s="62"/>
      <c r="E157" s="62"/>
      <c r="F157" s="62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62"/>
      <c r="D158" s="62"/>
      <c r="E158" s="62"/>
      <c r="F158" s="62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62"/>
      <c r="D159" s="62"/>
      <c r="E159" s="62"/>
      <c r="F159" s="62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62"/>
      <c r="D160" s="62"/>
      <c r="E160" s="62"/>
      <c r="F160" s="62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62"/>
      <c r="D161" s="62"/>
      <c r="E161" s="62"/>
      <c r="F161" s="62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62"/>
      <c r="D162" s="62"/>
      <c r="E162" s="62"/>
      <c r="F162" s="62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62"/>
      <c r="D163" s="62"/>
      <c r="E163" s="62"/>
      <c r="F163" s="62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62"/>
      <c r="D164" s="62"/>
      <c r="E164" s="62"/>
      <c r="F164" s="62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62"/>
      <c r="D165" s="62"/>
      <c r="E165" s="62"/>
      <c r="F165" s="62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62"/>
      <c r="D166" s="62"/>
      <c r="E166" s="62"/>
      <c r="F166" s="62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62"/>
      <c r="D167" s="62"/>
      <c r="E167" s="62"/>
      <c r="F167" s="62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62"/>
      <c r="D168" s="62"/>
      <c r="E168" s="62"/>
      <c r="F168" s="62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62"/>
      <c r="D169" s="62"/>
      <c r="E169" s="62"/>
      <c r="F169" s="62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62"/>
      <c r="D170" s="62"/>
      <c r="E170" s="62"/>
      <c r="F170" s="62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62"/>
      <c r="D171" s="62"/>
      <c r="E171" s="62"/>
      <c r="F171" s="62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62"/>
      <c r="D172" s="62"/>
      <c r="E172" s="62"/>
      <c r="F172" s="62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62"/>
      <c r="D173" s="62"/>
      <c r="E173" s="62"/>
      <c r="F173" s="62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62"/>
      <c r="D174" s="62"/>
      <c r="E174" s="62"/>
      <c r="F174" s="62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62"/>
      <c r="D175" s="62"/>
      <c r="E175" s="62"/>
      <c r="F175" s="62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62"/>
      <c r="D176" s="62"/>
      <c r="E176" s="62"/>
      <c r="F176" s="62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62"/>
      <c r="D177" s="62"/>
      <c r="E177" s="62"/>
      <c r="F177" s="62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62"/>
      <c r="D178" s="62"/>
      <c r="E178" s="62"/>
      <c r="F178" s="62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62"/>
      <c r="D179" s="62"/>
      <c r="E179" s="62"/>
      <c r="F179" s="62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62"/>
      <c r="D180" s="62"/>
      <c r="E180" s="62"/>
      <c r="F180" s="62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62"/>
      <c r="D181" s="62"/>
      <c r="E181" s="62"/>
      <c r="F181" s="62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62"/>
      <c r="D182" s="62"/>
      <c r="E182" s="62"/>
      <c r="F182" s="62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62"/>
      <c r="D183" s="62"/>
      <c r="E183" s="62"/>
      <c r="F183" s="62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62"/>
      <c r="D184" s="62"/>
      <c r="E184" s="62"/>
      <c r="F184" s="62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62"/>
      <c r="D185" s="62"/>
      <c r="E185" s="62"/>
      <c r="F185" s="62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62"/>
      <c r="D186" s="62"/>
      <c r="E186" s="62"/>
      <c r="F186" s="62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62"/>
      <c r="D187" s="62"/>
      <c r="E187" s="62"/>
      <c r="F187" s="62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62"/>
      <c r="D188" s="62"/>
      <c r="E188" s="62"/>
      <c r="F188" s="62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62"/>
      <c r="D189" s="62"/>
      <c r="E189" s="62"/>
      <c r="F189" s="62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62"/>
      <c r="D190" s="62"/>
      <c r="E190" s="62"/>
      <c r="F190" s="62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62"/>
      <c r="D191" s="62"/>
      <c r="E191" s="62"/>
      <c r="F191" s="62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62"/>
      <c r="D192" s="62"/>
      <c r="E192" s="62"/>
      <c r="F192" s="62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62"/>
      <c r="D193" s="62"/>
      <c r="E193" s="62"/>
      <c r="F193" s="62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62"/>
      <c r="D194" s="62"/>
      <c r="E194" s="62"/>
      <c r="F194" s="62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62"/>
      <c r="D195" s="62"/>
      <c r="E195" s="62"/>
      <c r="F195" s="62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62"/>
      <c r="D196" s="62"/>
      <c r="E196" s="62"/>
      <c r="F196" s="62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62"/>
      <c r="D197" s="62"/>
      <c r="E197" s="62"/>
      <c r="F197" s="62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62"/>
      <c r="D198" s="62"/>
      <c r="E198" s="62"/>
      <c r="F198" s="62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62"/>
      <c r="D199" s="62"/>
      <c r="E199" s="62"/>
      <c r="F199" s="62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62"/>
      <c r="D200" s="62"/>
      <c r="E200" s="62"/>
      <c r="F200" s="62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62"/>
      <c r="D201" s="62"/>
      <c r="E201" s="62"/>
      <c r="F201" s="62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62"/>
      <c r="D202" s="62"/>
      <c r="E202" s="62"/>
      <c r="F202" s="62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62"/>
      <c r="D203" s="62"/>
      <c r="E203" s="62"/>
      <c r="F203" s="62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16"/>
      <c r="C204" s="62"/>
      <c r="D204" s="62"/>
      <c r="E204" s="62"/>
      <c r="F204" s="62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16"/>
      <c r="C205" s="62"/>
      <c r="D205" s="62"/>
      <c r="E205" s="62"/>
      <c r="F205" s="62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16"/>
      <c r="C206" s="62"/>
      <c r="D206" s="62"/>
      <c r="E206" s="62"/>
      <c r="F206" s="62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16"/>
      <c r="C207" s="62"/>
      <c r="D207" s="62"/>
      <c r="E207" s="62"/>
      <c r="F207" s="62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16"/>
      <c r="C208" s="62"/>
      <c r="D208" s="62"/>
      <c r="E208" s="62"/>
      <c r="F208" s="62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16"/>
      <c r="C209" s="62"/>
      <c r="D209" s="62"/>
      <c r="E209" s="62"/>
      <c r="F209" s="62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16"/>
      <c r="C210" s="62"/>
      <c r="D210" s="62"/>
      <c r="E210" s="62"/>
      <c r="F210" s="62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16"/>
      <c r="C211" s="62"/>
      <c r="D211" s="62"/>
      <c r="E211" s="62"/>
      <c r="F211" s="62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16"/>
      <c r="C212" s="62"/>
      <c r="D212" s="62"/>
      <c r="E212" s="62"/>
      <c r="F212" s="62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16"/>
      <c r="C213" s="62"/>
      <c r="D213" s="62"/>
      <c r="E213" s="62"/>
      <c r="F213" s="62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16"/>
      <c r="C214" s="62"/>
      <c r="D214" s="62"/>
      <c r="E214" s="62"/>
      <c r="F214" s="62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16"/>
      <c r="C215" s="62"/>
      <c r="D215" s="62"/>
      <c r="E215" s="62"/>
      <c r="F215" s="62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16"/>
      <c r="C216" s="62"/>
      <c r="D216" s="62"/>
      <c r="E216" s="62"/>
      <c r="F216" s="62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16"/>
      <c r="C217" s="62"/>
      <c r="D217" s="62"/>
      <c r="E217" s="62"/>
      <c r="F217" s="62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16"/>
      <c r="C218" s="62"/>
      <c r="D218" s="62"/>
      <c r="E218" s="62"/>
      <c r="F218" s="62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16"/>
      <c r="C219" s="62"/>
      <c r="D219" s="62"/>
      <c r="E219" s="62"/>
      <c r="F219" s="62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16"/>
      <c r="C220" s="62"/>
      <c r="D220" s="62"/>
      <c r="E220" s="62"/>
      <c r="F220" s="62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16"/>
      <c r="C221" s="62"/>
      <c r="D221" s="62"/>
      <c r="E221" s="62"/>
      <c r="F221" s="62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16"/>
      <c r="C222" s="62"/>
      <c r="D222" s="62"/>
      <c r="E222" s="62"/>
      <c r="F222" s="62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16"/>
      <c r="C223" s="62"/>
      <c r="D223" s="62"/>
      <c r="E223" s="62"/>
      <c r="F223" s="62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16"/>
      <c r="C224" s="62"/>
      <c r="D224" s="62"/>
      <c r="E224" s="62"/>
      <c r="F224" s="62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16"/>
      <c r="C225" s="62"/>
      <c r="D225" s="62"/>
      <c r="E225" s="62"/>
      <c r="F225" s="62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16"/>
      <c r="C226" s="62"/>
      <c r="D226" s="62"/>
      <c r="E226" s="62"/>
      <c r="F226" s="62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16"/>
      <c r="C227" s="62"/>
      <c r="D227" s="62"/>
      <c r="E227" s="62"/>
      <c r="F227" s="62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16"/>
      <c r="C228" s="62"/>
      <c r="D228" s="62"/>
      <c r="E228" s="62"/>
      <c r="F228" s="62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16"/>
      <c r="C229" s="62"/>
      <c r="D229" s="62"/>
      <c r="E229" s="62"/>
      <c r="F229" s="62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16"/>
      <c r="C230" s="62"/>
      <c r="D230" s="62"/>
      <c r="E230" s="62"/>
      <c r="F230" s="62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16"/>
      <c r="C231" s="62"/>
      <c r="D231" s="62"/>
      <c r="E231" s="62"/>
      <c r="F231" s="62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16"/>
      <c r="C232" s="62"/>
      <c r="D232" s="62"/>
      <c r="E232" s="62"/>
      <c r="F232" s="62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16"/>
      <c r="C233" s="62"/>
      <c r="D233" s="62"/>
      <c r="E233" s="62"/>
      <c r="F233" s="62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16"/>
      <c r="C234" s="62"/>
      <c r="D234" s="62"/>
      <c r="E234" s="62"/>
      <c r="F234" s="62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16"/>
      <c r="C235" s="62"/>
      <c r="D235" s="62"/>
      <c r="E235" s="62"/>
      <c r="F235" s="62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16"/>
      <c r="C236" s="62"/>
      <c r="D236" s="62"/>
      <c r="E236" s="62"/>
      <c r="F236" s="62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16"/>
      <c r="C237" s="62"/>
      <c r="D237" s="62"/>
      <c r="E237" s="62"/>
      <c r="F237" s="62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16"/>
      <c r="C238" s="62"/>
      <c r="D238" s="62"/>
      <c r="E238" s="62"/>
      <c r="F238" s="62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16"/>
      <c r="C239" s="62"/>
      <c r="D239" s="62"/>
      <c r="E239" s="62"/>
      <c r="F239" s="62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16"/>
      <c r="C240" s="62"/>
      <c r="D240" s="62"/>
      <c r="E240" s="62"/>
      <c r="F240" s="62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16"/>
      <c r="C241" s="62"/>
      <c r="D241" s="62"/>
      <c r="E241" s="62"/>
      <c r="F241" s="62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16"/>
      <c r="C242" s="62"/>
      <c r="D242" s="62"/>
      <c r="E242" s="62"/>
      <c r="F242" s="62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16"/>
      <c r="C243" s="62"/>
      <c r="D243" s="62"/>
      <c r="E243" s="62"/>
      <c r="F243" s="62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16"/>
      <c r="C244" s="62"/>
      <c r="D244" s="62"/>
      <c r="E244" s="62"/>
      <c r="F244" s="62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16"/>
      <c r="C245" s="62"/>
      <c r="D245" s="62"/>
      <c r="E245" s="62"/>
      <c r="F245" s="62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16"/>
      <c r="C246" s="62"/>
      <c r="D246" s="62"/>
      <c r="E246" s="62"/>
      <c r="F246" s="62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16"/>
      <c r="C247" s="62"/>
      <c r="D247" s="62"/>
      <c r="E247" s="62"/>
      <c r="F247" s="62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16"/>
      <c r="C248" s="62"/>
      <c r="D248" s="62"/>
      <c r="E248" s="62"/>
      <c r="F248" s="62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16"/>
      <c r="C249" s="62"/>
      <c r="D249" s="62"/>
      <c r="E249" s="62"/>
      <c r="F249" s="62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16"/>
      <c r="C250" s="62"/>
      <c r="D250" s="62"/>
      <c r="E250" s="62"/>
      <c r="F250" s="62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16"/>
      <c r="C251" s="62"/>
      <c r="D251" s="62"/>
      <c r="E251" s="62"/>
      <c r="F251" s="62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16"/>
      <c r="C252" s="62"/>
      <c r="D252" s="62"/>
      <c r="E252" s="62"/>
      <c r="F252" s="62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16"/>
      <c r="C253" s="62"/>
      <c r="D253" s="62"/>
      <c r="E253" s="62"/>
      <c r="F253" s="62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16"/>
      <c r="C254" s="62"/>
      <c r="D254" s="62"/>
      <c r="E254" s="62"/>
      <c r="F254" s="62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16"/>
      <c r="C255" s="62"/>
      <c r="D255" s="62"/>
      <c r="E255" s="62"/>
      <c r="F255" s="62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16"/>
      <c r="C256" s="62"/>
      <c r="D256" s="62"/>
      <c r="E256" s="62"/>
      <c r="F256" s="62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16"/>
      <c r="C257" s="62"/>
      <c r="D257" s="62"/>
      <c r="E257" s="62"/>
      <c r="F257" s="62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16"/>
      <c r="C258" s="62"/>
      <c r="D258" s="62"/>
      <c r="E258" s="62"/>
      <c r="F258" s="62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16"/>
      <c r="C259" s="62"/>
      <c r="D259" s="62"/>
      <c r="E259" s="62"/>
      <c r="F259" s="62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16"/>
      <c r="C260" s="62"/>
      <c r="D260" s="62"/>
      <c r="E260" s="62"/>
      <c r="F260" s="62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16"/>
      <c r="C261" s="62"/>
      <c r="D261" s="62"/>
      <c r="E261" s="62"/>
      <c r="F261" s="62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16"/>
      <c r="C262" s="62"/>
      <c r="D262" s="62"/>
      <c r="E262" s="62"/>
      <c r="F262" s="62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16"/>
      <c r="C263" s="62"/>
      <c r="D263" s="62"/>
      <c r="E263" s="62"/>
      <c r="F263" s="62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16"/>
      <c r="C264" s="62"/>
      <c r="D264" s="62"/>
      <c r="E264" s="62"/>
      <c r="F264" s="62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16"/>
      <c r="C265" s="62"/>
      <c r="D265" s="62"/>
      <c r="E265" s="62"/>
      <c r="F265" s="62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16"/>
      <c r="C266" s="62"/>
      <c r="D266" s="62"/>
      <c r="E266" s="62"/>
      <c r="F266" s="62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16"/>
      <c r="C267" s="62"/>
      <c r="D267" s="62"/>
      <c r="E267" s="62"/>
      <c r="F267" s="62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16"/>
      <c r="C268" s="62"/>
      <c r="D268" s="62"/>
      <c r="E268" s="62"/>
      <c r="F268" s="62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16"/>
      <c r="C269" s="62"/>
      <c r="D269" s="62"/>
      <c r="E269" s="62"/>
      <c r="F269" s="62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16"/>
      <c r="C270" s="62"/>
      <c r="D270" s="62"/>
      <c r="E270" s="62"/>
      <c r="F270" s="62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16"/>
      <c r="C271" s="62"/>
      <c r="D271" s="62"/>
      <c r="E271" s="62"/>
      <c r="F271" s="62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16"/>
      <c r="C272" s="62"/>
      <c r="D272" s="62"/>
      <c r="E272" s="62"/>
      <c r="F272" s="62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16"/>
      <c r="C273" s="62"/>
      <c r="D273" s="62"/>
      <c r="E273" s="62"/>
      <c r="F273" s="62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16"/>
      <c r="C274" s="62"/>
      <c r="D274" s="62"/>
      <c r="E274" s="62"/>
      <c r="F274" s="62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16"/>
      <c r="C275" s="62"/>
      <c r="D275" s="62"/>
      <c r="E275" s="62"/>
      <c r="F275" s="62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16"/>
      <c r="C276" s="62"/>
      <c r="D276" s="62"/>
      <c r="E276" s="62"/>
      <c r="F276" s="62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16"/>
      <c r="C277" s="62"/>
      <c r="D277" s="62"/>
      <c r="E277" s="62"/>
      <c r="F277" s="62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16"/>
      <c r="C278" s="62"/>
      <c r="D278" s="62"/>
      <c r="E278" s="62"/>
      <c r="F278" s="62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16"/>
      <c r="C279" s="62"/>
      <c r="D279" s="62"/>
      <c r="E279" s="62"/>
      <c r="F279" s="62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16"/>
      <c r="C280" s="62"/>
      <c r="D280" s="62"/>
      <c r="E280" s="62"/>
      <c r="F280" s="62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16"/>
      <c r="C281" s="62"/>
      <c r="D281" s="62"/>
      <c r="E281" s="62"/>
      <c r="F281" s="62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16"/>
      <c r="C282" s="62"/>
      <c r="D282" s="62"/>
      <c r="E282" s="62"/>
      <c r="F282" s="62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16"/>
      <c r="C283" s="62"/>
      <c r="D283" s="62"/>
      <c r="E283" s="62"/>
      <c r="F283" s="62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16"/>
      <c r="C284" s="62"/>
      <c r="D284" s="62"/>
      <c r="E284" s="62"/>
      <c r="F284" s="62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16"/>
      <c r="C285" s="62"/>
      <c r="D285" s="62"/>
      <c r="E285" s="62"/>
      <c r="F285" s="62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16"/>
      <c r="C286" s="62"/>
      <c r="D286" s="62"/>
      <c r="E286" s="62"/>
      <c r="F286" s="62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16"/>
      <c r="C287" s="62"/>
      <c r="D287" s="62"/>
      <c r="E287" s="62"/>
      <c r="F287" s="62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16"/>
      <c r="C288" s="62"/>
      <c r="D288" s="62"/>
      <c r="E288" s="62"/>
      <c r="F288" s="62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16"/>
      <c r="C289" s="62"/>
      <c r="D289" s="62"/>
      <c r="E289" s="62"/>
      <c r="F289" s="62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16"/>
      <c r="C290" s="62"/>
      <c r="D290" s="62"/>
      <c r="E290" s="62"/>
      <c r="F290" s="62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16"/>
      <c r="C291" s="62"/>
      <c r="D291" s="62"/>
      <c r="E291" s="62"/>
      <c r="F291" s="62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16"/>
      <c r="C292" s="62"/>
      <c r="D292" s="62"/>
      <c r="E292" s="62"/>
      <c r="F292" s="62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16"/>
      <c r="C293" s="62"/>
      <c r="D293" s="62"/>
      <c r="E293" s="62"/>
      <c r="F293" s="62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16"/>
      <c r="C294" s="62"/>
      <c r="D294" s="62"/>
      <c r="E294" s="62"/>
      <c r="F294" s="62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16"/>
      <c r="C295" s="62"/>
      <c r="D295" s="62"/>
      <c r="E295" s="62"/>
      <c r="F295" s="62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16"/>
      <c r="C296" s="62"/>
      <c r="D296" s="62"/>
      <c r="E296" s="62"/>
      <c r="F296" s="62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16"/>
      <c r="C297" s="62"/>
      <c r="D297" s="62"/>
      <c r="E297" s="62"/>
      <c r="F297" s="62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16"/>
      <c r="C298" s="62"/>
      <c r="D298" s="62"/>
      <c r="E298" s="62"/>
      <c r="F298" s="62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16"/>
      <c r="C299" s="62"/>
      <c r="D299" s="62"/>
      <c r="E299" s="62"/>
      <c r="F299" s="62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16"/>
      <c r="C300" s="62"/>
      <c r="D300" s="62"/>
      <c r="E300" s="62"/>
      <c r="F300" s="62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16"/>
      <c r="C301" s="62"/>
      <c r="D301" s="62"/>
      <c r="E301" s="62"/>
      <c r="F301" s="62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16"/>
      <c r="C302" s="62"/>
      <c r="D302" s="62"/>
      <c r="E302" s="62"/>
      <c r="F302" s="62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16"/>
      <c r="C303" s="62"/>
      <c r="D303" s="62"/>
      <c r="E303" s="62"/>
      <c r="F303" s="62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16"/>
      <c r="C304" s="62"/>
      <c r="D304" s="62"/>
      <c r="E304" s="62"/>
      <c r="F304" s="62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16"/>
      <c r="C305" s="62"/>
      <c r="D305" s="62"/>
      <c r="E305" s="62"/>
      <c r="F305" s="62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16"/>
      <c r="C306" s="62"/>
      <c r="D306" s="62"/>
      <c r="E306" s="62"/>
      <c r="F306" s="62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16"/>
      <c r="C307" s="62"/>
      <c r="D307" s="62"/>
      <c r="E307" s="62"/>
      <c r="F307" s="62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16"/>
      <c r="C308" s="62"/>
      <c r="D308" s="62"/>
      <c r="E308" s="62"/>
      <c r="F308" s="62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16"/>
      <c r="C309" s="62"/>
      <c r="D309" s="62"/>
      <c r="E309" s="62"/>
      <c r="F309" s="62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16"/>
      <c r="C310" s="62"/>
      <c r="D310" s="62"/>
      <c r="E310" s="62"/>
      <c r="F310" s="62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16"/>
      <c r="C311" s="62"/>
      <c r="D311" s="62"/>
      <c r="E311" s="62"/>
      <c r="F311" s="62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16"/>
      <c r="C312" s="62"/>
      <c r="D312" s="62"/>
      <c r="E312" s="62"/>
      <c r="F312" s="62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16"/>
      <c r="C313" s="62"/>
      <c r="D313" s="62"/>
      <c r="E313" s="62"/>
      <c r="F313" s="62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16"/>
      <c r="C314" s="62"/>
      <c r="D314" s="62"/>
      <c r="E314" s="62"/>
      <c r="F314" s="62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16"/>
      <c r="C315" s="62"/>
      <c r="D315" s="62"/>
      <c r="E315" s="62"/>
      <c r="F315" s="62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16"/>
      <c r="C316" s="62"/>
      <c r="D316" s="62"/>
      <c r="E316" s="62"/>
      <c r="F316" s="62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16"/>
      <c r="C317" s="62"/>
      <c r="D317" s="62"/>
      <c r="E317" s="62"/>
      <c r="F317" s="62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16"/>
      <c r="C318" s="62"/>
      <c r="D318" s="62"/>
      <c r="E318" s="62"/>
      <c r="F318" s="62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16"/>
      <c r="C319" s="62"/>
      <c r="D319" s="62"/>
      <c r="E319" s="62"/>
      <c r="F319" s="62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16"/>
      <c r="C320" s="62"/>
      <c r="D320" s="62"/>
      <c r="E320" s="62"/>
      <c r="F320" s="62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16"/>
      <c r="C321" s="62"/>
      <c r="D321" s="62"/>
      <c r="E321" s="62"/>
      <c r="F321" s="62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16"/>
      <c r="C322" s="62"/>
      <c r="D322" s="62"/>
      <c r="E322" s="62"/>
      <c r="F322" s="62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16"/>
      <c r="C323" s="62"/>
      <c r="D323" s="62"/>
      <c r="E323" s="62"/>
      <c r="F323" s="62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16"/>
      <c r="C324" s="62"/>
      <c r="D324" s="62"/>
      <c r="E324" s="62"/>
      <c r="F324" s="62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16"/>
      <c r="C325" s="62"/>
      <c r="D325" s="62"/>
      <c r="E325" s="62"/>
      <c r="F325" s="62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16"/>
      <c r="C326" s="62"/>
      <c r="D326" s="62"/>
      <c r="E326" s="62"/>
      <c r="F326" s="62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16"/>
      <c r="C327" s="62"/>
      <c r="D327" s="62"/>
      <c r="E327" s="62"/>
      <c r="F327" s="62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16"/>
      <c r="C328" s="62"/>
      <c r="D328" s="62"/>
      <c r="E328" s="62"/>
      <c r="F328" s="62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16"/>
      <c r="C329" s="62"/>
      <c r="D329" s="62"/>
      <c r="E329" s="62"/>
      <c r="F329" s="62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16"/>
      <c r="C330" s="62"/>
      <c r="D330" s="62"/>
      <c r="E330" s="62"/>
      <c r="F330" s="62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16"/>
      <c r="C331" s="62"/>
      <c r="D331" s="62"/>
      <c r="E331" s="62"/>
      <c r="F331" s="62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16"/>
      <c r="C332" s="62"/>
      <c r="D332" s="62"/>
      <c r="E332" s="62"/>
      <c r="F332" s="62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16"/>
      <c r="C333" s="62"/>
      <c r="D333" s="62"/>
      <c r="E333" s="62"/>
      <c r="F333" s="62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16"/>
      <c r="C334" s="62"/>
      <c r="D334" s="62"/>
      <c r="E334" s="62"/>
      <c r="F334" s="62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16"/>
      <c r="C335" s="62"/>
      <c r="D335" s="62"/>
      <c r="E335" s="62"/>
      <c r="F335" s="62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16"/>
      <c r="C336" s="62"/>
      <c r="D336" s="62"/>
      <c r="E336" s="62"/>
      <c r="F336" s="62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16"/>
      <c r="C337" s="62"/>
      <c r="D337" s="62"/>
      <c r="E337" s="62"/>
      <c r="F337" s="62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16"/>
      <c r="C338" s="62"/>
      <c r="D338" s="62"/>
      <c r="E338" s="62"/>
      <c r="F338" s="62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16"/>
      <c r="C339" s="62"/>
      <c r="D339" s="62"/>
      <c r="E339" s="62"/>
      <c r="F339" s="62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16"/>
      <c r="C340" s="62"/>
      <c r="D340" s="62"/>
      <c r="E340" s="62"/>
      <c r="F340" s="62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16"/>
      <c r="C341" s="62"/>
      <c r="D341" s="62"/>
      <c r="E341" s="62"/>
      <c r="F341" s="62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16"/>
      <c r="C342" s="62"/>
      <c r="D342" s="62"/>
      <c r="E342" s="62"/>
      <c r="F342" s="62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16"/>
      <c r="C343" s="62"/>
      <c r="D343" s="62"/>
      <c r="E343" s="62"/>
      <c r="F343" s="62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16"/>
      <c r="C344" s="62"/>
      <c r="D344" s="62"/>
      <c r="E344" s="62"/>
      <c r="F344" s="62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16"/>
      <c r="C345" s="62"/>
      <c r="D345" s="62"/>
      <c r="E345" s="62"/>
      <c r="F345" s="62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16"/>
      <c r="C346" s="62"/>
      <c r="D346" s="62"/>
      <c r="E346" s="62"/>
      <c r="F346" s="62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16"/>
      <c r="C347" s="62"/>
      <c r="D347" s="62"/>
      <c r="E347" s="62"/>
      <c r="F347" s="62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16"/>
      <c r="C348" s="62"/>
      <c r="D348" s="62"/>
      <c r="E348" s="62"/>
      <c r="F348" s="62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16"/>
      <c r="C349" s="62"/>
      <c r="D349" s="62"/>
      <c r="E349" s="62"/>
      <c r="F349" s="62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16"/>
      <c r="C350" s="62"/>
      <c r="D350" s="62"/>
      <c r="E350" s="62"/>
      <c r="F350" s="62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16"/>
      <c r="C351" s="62"/>
      <c r="D351" s="62"/>
      <c r="E351" s="62"/>
      <c r="F351" s="62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16"/>
      <c r="C352" s="62"/>
      <c r="D352" s="62"/>
      <c r="E352" s="62"/>
      <c r="F352" s="62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16"/>
      <c r="C353" s="62"/>
      <c r="D353" s="62"/>
      <c r="E353" s="62"/>
      <c r="F353" s="62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16"/>
      <c r="C354" s="62"/>
      <c r="D354" s="62"/>
      <c r="E354" s="62"/>
      <c r="F354" s="62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16"/>
      <c r="C355" s="62"/>
      <c r="D355" s="62"/>
      <c r="E355" s="62"/>
      <c r="F355" s="62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16"/>
      <c r="C356" s="62"/>
      <c r="D356" s="62"/>
      <c r="E356" s="62"/>
      <c r="F356" s="62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16"/>
      <c r="C357" s="62"/>
      <c r="D357" s="62"/>
      <c r="E357" s="62"/>
      <c r="F357" s="62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16"/>
      <c r="C358" s="62"/>
      <c r="D358" s="62"/>
      <c r="E358" s="62"/>
      <c r="F358" s="62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16"/>
      <c r="C359" s="62"/>
      <c r="D359" s="62"/>
      <c r="E359" s="62"/>
      <c r="F359" s="62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16"/>
      <c r="C360" s="62"/>
      <c r="D360" s="62"/>
      <c r="E360" s="62"/>
      <c r="F360" s="62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16"/>
      <c r="C361" s="62"/>
      <c r="D361" s="62"/>
      <c r="E361" s="62"/>
      <c r="F361" s="62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16"/>
      <c r="C362" s="62"/>
      <c r="D362" s="62"/>
      <c r="E362" s="62"/>
      <c r="F362" s="62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16"/>
      <c r="C363" s="62"/>
      <c r="D363" s="62"/>
      <c r="E363" s="62"/>
      <c r="F363" s="62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16"/>
      <c r="C364" s="62"/>
      <c r="D364" s="62"/>
      <c r="E364" s="62"/>
      <c r="F364" s="62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16"/>
      <c r="C365" s="62"/>
      <c r="D365" s="62"/>
      <c r="E365" s="62"/>
      <c r="F365" s="62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16"/>
      <c r="C366" s="62"/>
      <c r="D366" s="62"/>
      <c r="E366" s="62"/>
      <c r="F366" s="62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16"/>
      <c r="C367" s="62"/>
      <c r="D367" s="62"/>
      <c r="E367" s="62"/>
      <c r="F367" s="62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16"/>
      <c r="C368" s="62"/>
      <c r="D368" s="62"/>
      <c r="E368" s="62"/>
      <c r="F368" s="62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16"/>
      <c r="C369" s="62"/>
      <c r="D369" s="62"/>
      <c r="E369" s="62"/>
      <c r="F369" s="62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16"/>
      <c r="C370" s="62"/>
      <c r="D370" s="62"/>
      <c r="E370" s="62"/>
      <c r="F370" s="62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16"/>
      <c r="C371" s="62"/>
      <c r="D371" s="62"/>
      <c r="E371" s="62"/>
      <c r="F371" s="62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16"/>
      <c r="C372" s="62"/>
      <c r="D372" s="62"/>
      <c r="E372" s="62"/>
      <c r="F372" s="62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16"/>
      <c r="C373" s="62"/>
      <c r="D373" s="62"/>
      <c r="E373" s="62"/>
      <c r="F373" s="62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16"/>
      <c r="C374" s="62"/>
      <c r="D374" s="62"/>
      <c r="E374" s="62"/>
      <c r="F374" s="62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16"/>
      <c r="C375" s="62"/>
      <c r="D375" s="62"/>
      <c r="E375" s="62"/>
      <c r="F375" s="62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16"/>
      <c r="C376" s="62"/>
      <c r="D376" s="62"/>
      <c r="E376" s="62"/>
      <c r="F376" s="62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16"/>
      <c r="C377" s="62"/>
      <c r="D377" s="62"/>
      <c r="E377" s="62"/>
      <c r="F377" s="62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16"/>
      <c r="C378" s="62"/>
      <c r="D378" s="62"/>
      <c r="E378" s="62"/>
      <c r="F378" s="62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16"/>
      <c r="C379" s="62"/>
      <c r="D379" s="62"/>
      <c r="E379" s="62"/>
      <c r="F379" s="62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16"/>
      <c r="C380" s="62"/>
      <c r="D380" s="62"/>
      <c r="E380" s="62"/>
      <c r="F380" s="62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16"/>
      <c r="C381" s="62"/>
      <c r="D381" s="62"/>
      <c r="E381" s="62"/>
      <c r="F381" s="62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16"/>
      <c r="C382" s="62"/>
      <c r="D382" s="62"/>
      <c r="E382" s="62"/>
      <c r="F382" s="62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16"/>
      <c r="C383" s="62"/>
      <c r="D383" s="62"/>
      <c r="E383" s="62"/>
      <c r="F383" s="62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16"/>
      <c r="C384" s="62"/>
      <c r="D384" s="62"/>
      <c r="E384" s="62"/>
      <c r="F384" s="62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16"/>
      <c r="C385" s="62"/>
      <c r="D385" s="62"/>
      <c r="E385" s="62"/>
      <c r="F385" s="62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16"/>
      <c r="C386" s="62"/>
      <c r="D386" s="62"/>
      <c r="E386" s="62"/>
      <c r="F386" s="62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16"/>
      <c r="C387" s="62"/>
      <c r="D387" s="62"/>
      <c r="E387" s="62"/>
      <c r="F387" s="62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16"/>
      <c r="C388" s="62"/>
      <c r="D388" s="62"/>
      <c r="E388" s="62"/>
      <c r="F388" s="62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16"/>
      <c r="C389" s="62"/>
      <c r="D389" s="62"/>
      <c r="E389" s="62"/>
      <c r="F389" s="62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16"/>
      <c r="C390" s="62"/>
      <c r="D390" s="62"/>
      <c r="E390" s="62"/>
      <c r="F390" s="62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16"/>
      <c r="C391" s="62"/>
      <c r="D391" s="62"/>
      <c r="E391" s="62"/>
      <c r="F391" s="62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16"/>
      <c r="C392" s="62"/>
      <c r="D392" s="62"/>
      <c r="E392" s="62"/>
      <c r="F392" s="62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16"/>
      <c r="C393" s="62"/>
      <c r="D393" s="62"/>
      <c r="E393" s="62"/>
      <c r="F393" s="62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16"/>
      <c r="C394" s="62"/>
      <c r="D394" s="62"/>
      <c r="E394" s="62"/>
      <c r="F394" s="62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16"/>
      <c r="C395" s="62"/>
      <c r="D395" s="62"/>
      <c r="E395" s="62"/>
      <c r="F395" s="62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16"/>
      <c r="C396" s="62"/>
      <c r="D396" s="62"/>
      <c r="E396" s="62"/>
      <c r="F396" s="62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16"/>
      <c r="C397" s="62"/>
      <c r="D397" s="62"/>
      <c r="E397" s="62"/>
      <c r="F397" s="62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16"/>
      <c r="C398" s="62"/>
      <c r="D398" s="62"/>
      <c r="E398" s="62"/>
      <c r="F398" s="62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16"/>
      <c r="C399" s="62"/>
      <c r="D399" s="62"/>
      <c r="E399" s="62"/>
      <c r="F399" s="62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16"/>
      <c r="C400" s="62"/>
      <c r="D400" s="62"/>
      <c r="E400" s="62"/>
      <c r="F400" s="62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16"/>
      <c r="C401" s="62"/>
      <c r="D401" s="62"/>
      <c r="E401" s="62"/>
      <c r="F401" s="62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16"/>
      <c r="C402" s="62"/>
      <c r="D402" s="62"/>
      <c r="E402" s="62"/>
      <c r="F402" s="62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16"/>
      <c r="C403" s="62"/>
      <c r="D403" s="62"/>
      <c r="E403" s="62"/>
      <c r="F403" s="62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16"/>
      <c r="C404" s="62"/>
      <c r="D404" s="62"/>
      <c r="E404" s="62"/>
      <c r="F404" s="62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16"/>
      <c r="C405" s="62"/>
      <c r="D405" s="62"/>
      <c r="E405" s="62"/>
      <c r="F405" s="62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16"/>
      <c r="C406" s="62"/>
      <c r="D406" s="62"/>
      <c r="E406" s="62"/>
      <c r="F406" s="62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16"/>
      <c r="C407" s="62"/>
      <c r="D407" s="62"/>
      <c r="E407" s="62"/>
      <c r="F407" s="62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16"/>
      <c r="C408" s="62"/>
      <c r="D408" s="62"/>
      <c r="E408" s="62"/>
      <c r="F408" s="62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16"/>
      <c r="C409" s="62"/>
      <c r="D409" s="62"/>
      <c r="E409" s="62"/>
      <c r="F409" s="62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16"/>
      <c r="C410" s="62"/>
      <c r="D410" s="62"/>
      <c r="E410" s="62"/>
      <c r="F410" s="62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16"/>
      <c r="C411" s="62"/>
      <c r="D411" s="62"/>
      <c r="E411" s="62"/>
      <c r="F411" s="62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16"/>
      <c r="C412" s="62"/>
      <c r="D412" s="62"/>
      <c r="E412" s="62"/>
      <c r="F412" s="62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16"/>
      <c r="C413" s="62"/>
      <c r="D413" s="62"/>
      <c r="E413" s="62"/>
      <c r="F413" s="62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16"/>
      <c r="C414" s="62"/>
      <c r="D414" s="62"/>
      <c r="E414" s="62"/>
      <c r="F414" s="62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16"/>
      <c r="C415" s="62"/>
      <c r="D415" s="62"/>
      <c r="E415" s="62"/>
      <c r="F415" s="62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16"/>
      <c r="C416" s="62"/>
      <c r="D416" s="62"/>
      <c r="E416" s="62"/>
      <c r="F416" s="62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16"/>
      <c r="C417" s="62"/>
      <c r="D417" s="62"/>
      <c r="E417" s="62"/>
      <c r="F417" s="62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16"/>
      <c r="C418" s="62"/>
      <c r="D418" s="62"/>
      <c r="E418" s="62"/>
      <c r="F418" s="62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16"/>
      <c r="C419" s="62"/>
      <c r="D419" s="62"/>
      <c r="E419" s="62"/>
      <c r="F419" s="62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16"/>
      <c r="C420" s="62"/>
      <c r="D420" s="62"/>
      <c r="E420" s="62"/>
      <c r="F420" s="62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16"/>
      <c r="C421" s="62"/>
      <c r="D421" s="62"/>
      <c r="E421" s="62"/>
      <c r="F421" s="62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16"/>
      <c r="C422" s="62"/>
      <c r="D422" s="62"/>
      <c r="E422" s="62"/>
      <c r="F422" s="62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16"/>
      <c r="C423" s="62"/>
      <c r="D423" s="62"/>
      <c r="E423" s="62"/>
      <c r="F423" s="62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16"/>
      <c r="C424" s="62"/>
      <c r="D424" s="62"/>
      <c r="E424" s="62"/>
      <c r="F424" s="62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16"/>
      <c r="C425" s="62"/>
      <c r="D425" s="62"/>
      <c r="E425" s="62"/>
      <c r="F425" s="62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16"/>
      <c r="C426" s="62"/>
      <c r="D426" s="62"/>
      <c r="E426" s="62"/>
      <c r="F426" s="62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16"/>
      <c r="C427" s="62"/>
      <c r="D427" s="62"/>
      <c r="E427" s="62"/>
      <c r="F427" s="62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16"/>
      <c r="C428" s="62"/>
      <c r="D428" s="62"/>
      <c r="E428" s="62"/>
      <c r="F428" s="62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16"/>
      <c r="C429" s="62"/>
      <c r="D429" s="62"/>
      <c r="E429" s="62"/>
      <c r="F429" s="62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16"/>
      <c r="C430" s="62"/>
      <c r="D430" s="62"/>
      <c r="E430" s="62"/>
      <c r="F430" s="62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16"/>
      <c r="C431" s="62"/>
      <c r="D431" s="62"/>
      <c r="E431" s="62"/>
      <c r="F431" s="62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16"/>
      <c r="C432" s="62"/>
      <c r="D432" s="62"/>
      <c r="E432" s="62"/>
      <c r="F432" s="62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16"/>
      <c r="C433" s="62"/>
      <c r="D433" s="62"/>
      <c r="E433" s="62"/>
      <c r="F433" s="62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16"/>
      <c r="C434" s="62"/>
      <c r="D434" s="62"/>
      <c r="E434" s="62"/>
      <c r="F434" s="62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16"/>
      <c r="C435" s="62"/>
      <c r="D435" s="62"/>
      <c r="E435" s="62"/>
      <c r="F435" s="62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16"/>
      <c r="C436" s="62"/>
      <c r="D436" s="62"/>
      <c r="E436" s="62"/>
      <c r="F436" s="62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16"/>
      <c r="C437" s="62"/>
      <c r="D437" s="62"/>
      <c r="E437" s="62"/>
      <c r="F437" s="62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16"/>
      <c r="C438" s="62"/>
      <c r="D438" s="62"/>
      <c r="E438" s="62"/>
      <c r="F438" s="62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16"/>
      <c r="C439" s="62"/>
      <c r="D439" s="62"/>
      <c r="E439" s="62"/>
      <c r="F439" s="62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16"/>
      <c r="C440" s="62"/>
      <c r="D440" s="62"/>
      <c r="E440" s="62"/>
      <c r="F440" s="62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16"/>
      <c r="C441" s="62"/>
      <c r="D441" s="62"/>
      <c r="E441" s="62"/>
      <c r="F441" s="62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16"/>
      <c r="C442" s="62"/>
      <c r="D442" s="62"/>
      <c r="E442" s="62"/>
      <c r="F442" s="62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16"/>
      <c r="C443" s="62"/>
      <c r="D443" s="62"/>
      <c r="E443" s="62"/>
      <c r="F443" s="62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16"/>
      <c r="C444" s="62"/>
      <c r="D444" s="62"/>
      <c r="E444" s="62"/>
      <c r="F444" s="62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16"/>
      <c r="C445" s="62"/>
      <c r="D445" s="62"/>
      <c r="E445" s="62"/>
      <c r="F445" s="62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16"/>
      <c r="C446" s="62"/>
      <c r="D446" s="62"/>
      <c r="E446" s="62"/>
      <c r="F446" s="62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16"/>
      <c r="C447" s="62"/>
      <c r="D447" s="62"/>
      <c r="E447" s="62"/>
      <c r="F447" s="62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16"/>
      <c r="C448" s="62"/>
      <c r="D448" s="62"/>
      <c r="E448" s="62"/>
      <c r="F448" s="62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16"/>
      <c r="C449" s="62"/>
      <c r="D449" s="62"/>
      <c r="E449" s="62"/>
      <c r="F449" s="62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16"/>
      <c r="C450" s="62"/>
      <c r="D450" s="62"/>
      <c r="E450" s="62"/>
      <c r="F450" s="62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16"/>
      <c r="C451" s="62"/>
      <c r="D451" s="62"/>
      <c r="E451" s="62"/>
      <c r="F451" s="62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16"/>
      <c r="C452" s="62"/>
      <c r="D452" s="62"/>
      <c r="E452" s="62"/>
      <c r="F452" s="62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16"/>
      <c r="C453" s="62"/>
      <c r="D453" s="62"/>
      <c r="E453" s="62"/>
      <c r="F453" s="62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16"/>
      <c r="C454" s="62"/>
      <c r="D454" s="62"/>
      <c r="E454" s="62"/>
      <c r="F454" s="62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16"/>
      <c r="C455" s="62"/>
      <c r="D455" s="62"/>
      <c r="E455" s="62"/>
      <c r="F455" s="62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16"/>
      <c r="C456" s="62"/>
      <c r="D456" s="62"/>
      <c r="E456" s="62"/>
      <c r="F456" s="62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16"/>
      <c r="C457" s="62"/>
      <c r="D457" s="62"/>
      <c r="E457" s="62"/>
      <c r="F457" s="62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16"/>
      <c r="C458" s="62"/>
      <c r="D458" s="62"/>
      <c r="E458" s="62"/>
      <c r="F458" s="62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16"/>
      <c r="C459" s="62"/>
      <c r="D459" s="62"/>
      <c r="E459" s="62"/>
      <c r="F459" s="62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16"/>
      <c r="C460" s="62"/>
      <c r="D460" s="62"/>
      <c r="E460" s="62"/>
      <c r="F460" s="62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16"/>
      <c r="C461" s="62"/>
      <c r="D461" s="62"/>
      <c r="E461" s="62"/>
      <c r="F461" s="62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16"/>
      <c r="C462" s="62"/>
      <c r="D462" s="62"/>
      <c r="E462" s="62"/>
      <c r="F462" s="62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16"/>
      <c r="C463" s="62"/>
      <c r="D463" s="62"/>
      <c r="E463" s="62"/>
      <c r="F463" s="62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16"/>
      <c r="C464" s="62"/>
      <c r="D464" s="62"/>
      <c r="E464" s="62"/>
      <c r="F464" s="62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16"/>
      <c r="C465" s="62"/>
      <c r="D465" s="62"/>
      <c r="E465" s="62"/>
      <c r="F465" s="62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16"/>
      <c r="C466" s="62"/>
      <c r="D466" s="62"/>
      <c r="E466" s="62"/>
      <c r="F466" s="62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16"/>
      <c r="C467" s="62"/>
      <c r="D467" s="62"/>
      <c r="E467" s="62"/>
      <c r="F467" s="62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16"/>
      <c r="C468" s="62"/>
      <c r="D468" s="62"/>
      <c r="E468" s="62"/>
      <c r="F468" s="62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16"/>
      <c r="C469" s="62"/>
      <c r="D469" s="62"/>
      <c r="E469" s="62"/>
      <c r="F469" s="62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16"/>
      <c r="C470" s="62"/>
      <c r="D470" s="62"/>
      <c r="E470" s="62"/>
      <c r="F470" s="62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16"/>
      <c r="C471" s="62"/>
      <c r="D471" s="62"/>
      <c r="E471" s="62"/>
      <c r="F471" s="62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16"/>
      <c r="C472" s="62"/>
      <c r="D472" s="62"/>
      <c r="E472" s="62"/>
      <c r="F472" s="62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16"/>
      <c r="C473" s="62"/>
      <c r="D473" s="62"/>
      <c r="E473" s="62"/>
      <c r="F473" s="62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16"/>
      <c r="C474" s="62"/>
      <c r="D474" s="62"/>
      <c r="E474" s="62"/>
      <c r="F474" s="62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16"/>
      <c r="C475" s="62"/>
      <c r="D475" s="62"/>
      <c r="E475" s="62"/>
      <c r="F475" s="62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16"/>
      <c r="C476" s="62"/>
      <c r="D476" s="62"/>
      <c r="E476" s="62"/>
      <c r="F476" s="62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16"/>
      <c r="C477" s="62"/>
      <c r="D477" s="62"/>
      <c r="E477" s="62"/>
      <c r="F477" s="62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16"/>
      <c r="C478" s="62"/>
      <c r="D478" s="62"/>
      <c r="E478" s="62"/>
      <c r="F478" s="62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16"/>
      <c r="C479" s="62"/>
      <c r="D479" s="62"/>
      <c r="E479" s="62"/>
      <c r="F479" s="62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16"/>
      <c r="C480" s="62"/>
      <c r="D480" s="62"/>
      <c r="E480" s="62"/>
      <c r="F480" s="62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16"/>
      <c r="C481" s="62"/>
      <c r="D481" s="62"/>
      <c r="E481" s="62"/>
      <c r="F481" s="62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16"/>
      <c r="C482" s="62"/>
      <c r="D482" s="62"/>
      <c r="E482" s="62"/>
      <c r="F482" s="62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16"/>
      <c r="C483" s="62"/>
      <c r="D483" s="62"/>
      <c r="E483" s="62"/>
      <c r="F483" s="62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16"/>
      <c r="C484" s="62"/>
      <c r="D484" s="62"/>
      <c r="E484" s="62"/>
      <c r="F484" s="62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16"/>
      <c r="C485" s="62"/>
      <c r="D485" s="62"/>
      <c r="E485" s="62"/>
      <c r="F485" s="62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16"/>
      <c r="C486" s="62"/>
      <c r="D486" s="62"/>
      <c r="E486" s="62"/>
      <c r="F486" s="62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16"/>
      <c r="C487" s="62"/>
      <c r="D487" s="62"/>
      <c r="E487" s="62"/>
      <c r="F487" s="62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16"/>
      <c r="C488" s="62"/>
      <c r="D488" s="62"/>
      <c r="E488" s="62"/>
      <c r="F488" s="62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16"/>
      <c r="C489" s="62"/>
      <c r="D489" s="62"/>
      <c r="E489" s="62"/>
      <c r="F489" s="62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16"/>
      <c r="C490" s="62"/>
      <c r="D490" s="62"/>
      <c r="E490" s="62"/>
      <c r="F490" s="62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16"/>
      <c r="C491" s="62"/>
      <c r="D491" s="62"/>
      <c r="E491" s="62"/>
      <c r="F491" s="62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16"/>
      <c r="C492" s="62"/>
      <c r="D492" s="62"/>
      <c r="E492" s="62"/>
      <c r="F492" s="62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16"/>
      <c r="C493" s="62"/>
      <c r="D493" s="62"/>
      <c r="E493" s="62"/>
      <c r="F493" s="62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16"/>
      <c r="C494" s="62"/>
      <c r="D494" s="62"/>
      <c r="E494" s="62"/>
      <c r="F494" s="62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16"/>
      <c r="C495" s="62"/>
      <c r="D495" s="62"/>
      <c r="E495" s="62"/>
      <c r="F495" s="62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16"/>
      <c r="C496" s="62"/>
      <c r="D496" s="62"/>
      <c r="E496" s="62"/>
      <c r="F496" s="62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16"/>
      <c r="C497" s="62"/>
      <c r="D497" s="62"/>
      <c r="E497" s="62"/>
      <c r="F497" s="62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16"/>
      <c r="C498" s="62"/>
      <c r="D498" s="62"/>
      <c r="E498" s="62"/>
      <c r="F498" s="62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16"/>
      <c r="C499" s="62"/>
      <c r="D499" s="62"/>
      <c r="E499" s="62"/>
      <c r="F499" s="62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16"/>
      <c r="C500" s="62"/>
      <c r="D500" s="62"/>
      <c r="E500" s="62"/>
      <c r="F500" s="62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16"/>
      <c r="C501" s="62"/>
      <c r="D501" s="62"/>
      <c r="E501" s="62"/>
      <c r="F501" s="62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16"/>
      <c r="C502" s="62"/>
      <c r="D502" s="62"/>
      <c r="E502" s="62"/>
      <c r="F502" s="62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16"/>
      <c r="C503" s="62"/>
      <c r="D503" s="62"/>
      <c r="E503" s="62"/>
      <c r="F503" s="62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16"/>
      <c r="C504" s="62"/>
      <c r="D504" s="62"/>
      <c r="E504" s="62"/>
      <c r="F504" s="62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16"/>
      <c r="C505" s="62"/>
      <c r="D505" s="62"/>
      <c r="E505" s="62"/>
      <c r="F505" s="62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16"/>
      <c r="C506" s="62"/>
      <c r="D506" s="62"/>
      <c r="E506" s="62"/>
      <c r="F506" s="62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16"/>
      <c r="C507" s="62"/>
      <c r="D507" s="62"/>
      <c r="E507" s="62"/>
      <c r="F507" s="62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16"/>
      <c r="C508" s="62"/>
      <c r="D508" s="62"/>
      <c r="E508" s="62"/>
      <c r="F508" s="62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16"/>
      <c r="C509" s="62"/>
      <c r="D509" s="62"/>
      <c r="E509" s="62"/>
      <c r="F509" s="62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16"/>
      <c r="C510" s="62"/>
      <c r="D510" s="62"/>
      <c r="E510" s="62"/>
      <c r="F510" s="62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16"/>
      <c r="C511" s="62"/>
      <c r="D511" s="62"/>
      <c r="E511" s="62"/>
      <c r="F511" s="62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16"/>
      <c r="C512" s="62"/>
      <c r="D512" s="62"/>
      <c r="E512" s="62"/>
      <c r="F512" s="62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16"/>
      <c r="C513" s="62"/>
      <c r="D513" s="62"/>
      <c r="E513" s="62"/>
      <c r="F513" s="62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16"/>
      <c r="C514" s="62"/>
      <c r="D514" s="62"/>
      <c r="E514" s="62"/>
      <c r="F514" s="62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16"/>
      <c r="C515" s="62"/>
      <c r="D515" s="62"/>
      <c r="E515" s="62"/>
      <c r="F515" s="62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16"/>
      <c r="C516" s="62"/>
      <c r="D516" s="62"/>
      <c r="E516" s="62"/>
      <c r="F516" s="62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16"/>
      <c r="C517" s="62"/>
      <c r="D517" s="62"/>
      <c r="E517" s="62"/>
      <c r="F517" s="62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16"/>
      <c r="C518" s="62"/>
      <c r="D518" s="62"/>
      <c r="E518" s="62"/>
      <c r="F518" s="62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16"/>
      <c r="C519" s="62"/>
      <c r="D519" s="62"/>
      <c r="E519" s="62"/>
      <c r="F519" s="62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16"/>
      <c r="C520" s="62"/>
      <c r="D520" s="62"/>
      <c r="E520" s="62"/>
      <c r="F520" s="62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16"/>
      <c r="C521" s="62"/>
      <c r="D521" s="62"/>
      <c r="E521" s="62"/>
      <c r="F521" s="62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16"/>
      <c r="C522" s="62"/>
      <c r="D522" s="62"/>
      <c r="E522" s="62"/>
      <c r="F522" s="62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16"/>
      <c r="C523" s="62"/>
      <c r="D523" s="62"/>
      <c r="E523" s="62"/>
      <c r="F523" s="62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16"/>
      <c r="C524" s="62"/>
      <c r="D524" s="62"/>
      <c r="E524" s="62"/>
      <c r="F524" s="62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16"/>
      <c r="C525" s="62"/>
      <c r="D525" s="62"/>
      <c r="E525" s="62"/>
      <c r="F525" s="62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16"/>
      <c r="C526" s="62"/>
      <c r="D526" s="62"/>
      <c r="E526" s="62"/>
      <c r="F526" s="62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16"/>
      <c r="C527" s="62"/>
      <c r="D527" s="62"/>
      <c r="E527" s="62"/>
      <c r="F527" s="62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16"/>
      <c r="C528" s="62"/>
      <c r="D528" s="62"/>
      <c r="E528" s="62"/>
      <c r="F528" s="62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16"/>
      <c r="C529" s="62"/>
      <c r="D529" s="62"/>
      <c r="E529" s="62"/>
      <c r="F529" s="62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16"/>
      <c r="C530" s="62"/>
      <c r="D530" s="62"/>
      <c r="E530" s="62"/>
      <c r="F530" s="62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16"/>
      <c r="C531" s="62"/>
      <c r="D531" s="62"/>
      <c r="E531" s="62"/>
      <c r="F531" s="62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16"/>
      <c r="C532" s="62"/>
      <c r="D532" s="62"/>
      <c r="E532" s="62"/>
      <c r="F532" s="62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16"/>
      <c r="C533" s="62"/>
      <c r="D533" s="62"/>
      <c r="E533" s="62"/>
      <c r="F533" s="62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16"/>
      <c r="C534" s="62"/>
      <c r="D534" s="62"/>
      <c r="E534" s="62"/>
      <c r="F534" s="62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16"/>
      <c r="C535" s="62"/>
      <c r="D535" s="62"/>
      <c r="E535" s="62"/>
      <c r="F535" s="62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16"/>
      <c r="C536" s="62"/>
      <c r="D536" s="62"/>
      <c r="E536" s="62"/>
      <c r="F536" s="62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16"/>
      <c r="C537" s="62"/>
      <c r="D537" s="62"/>
      <c r="E537" s="62"/>
      <c r="F537" s="62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16"/>
      <c r="C538" s="62"/>
      <c r="D538" s="62"/>
      <c r="E538" s="62"/>
      <c r="F538" s="62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16"/>
      <c r="C539" s="62"/>
      <c r="D539" s="62"/>
      <c r="E539" s="62"/>
      <c r="F539" s="62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16"/>
      <c r="C540" s="62"/>
      <c r="D540" s="62"/>
      <c r="E540" s="62"/>
      <c r="F540" s="62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16"/>
      <c r="C541" s="62"/>
      <c r="D541" s="62"/>
      <c r="E541" s="62"/>
      <c r="F541" s="62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16"/>
      <c r="C542" s="62"/>
      <c r="D542" s="62"/>
      <c r="E542" s="62"/>
      <c r="F542" s="62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16"/>
      <c r="C543" s="62"/>
      <c r="D543" s="62"/>
      <c r="E543" s="62"/>
      <c r="F543" s="62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16"/>
      <c r="C544" s="62"/>
      <c r="D544" s="62"/>
      <c r="E544" s="62"/>
      <c r="F544" s="62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16"/>
      <c r="C545" s="62"/>
      <c r="D545" s="62"/>
      <c r="E545" s="62"/>
      <c r="F545" s="62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16"/>
      <c r="C546" s="62"/>
      <c r="D546" s="62"/>
      <c r="E546" s="62"/>
      <c r="F546" s="62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16"/>
      <c r="C547" s="62"/>
      <c r="D547" s="62"/>
      <c r="E547" s="62"/>
      <c r="F547" s="62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16"/>
      <c r="C548" s="62"/>
      <c r="D548" s="62"/>
      <c r="E548" s="62"/>
      <c r="F548" s="62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16"/>
      <c r="C549" s="62"/>
      <c r="D549" s="62"/>
      <c r="E549" s="62"/>
      <c r="F549" s="62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16"/>
      <c r="C550" s="62"/>
      <c r="D550" s="62"/>
      <c r="E550" s="62"/>
      <c r="F550" s="62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16"/>
      <c r="C551" s="62"/>
      <c r="D551" s="62"/>
      <c r="E551" s="62"/>
      <c r="F551" s="62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16"/>
      <c r="C552" s="62"/>
      <c r="D552" s="62"/>
      <c r="E552" s="62"/>
      <c r="F552" s="62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16"/>
      <c r="C553" s="62"/>
      <c r="D553" s="62"/>
      <c r="E553" s="62"/>
      <c r="F553" s="62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16"/>
      <c r="C554" s="62"/>
      <c r="D554" s="62"/>
      <c r="E554" s="62"/>
      <c r="F554" s="62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16"/>
      <c r="C555" s="62"/>
      <c r="D555" s="62"/>
      <c r="E555" s="62"/>
      <c r="F555" s="62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16"/>
      <c r="C556" s="62"/>
      <c r="D556" s="62"/>
      <c r="E556" s="62"/>
      <c r="F556" s="62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16"/>
      <c r="C557" s="62"/>
      <c r="D557" s="62"/>
      <c r="E557" s="62"/>
      <c r="F557" s="62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16"/>
      <c r="C558" s="62"/>
      <c r="D558" s="62"/>
      <c r="E558" s="62"/>
      <c r="F558" s="62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16"/>
      <c r="C559" s="62"/>
      <c r="D559" s="62"/>
      <c r="E559" s="62"/>
      <c r="F559" s="62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16"/>
      <c r="C560" s="62"/>
      <c r="D560" s="62"/>
      <c r="E560" s="62"/>
      <c r="F560" s="62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16"/>
      <c r="C561" s="62"/>
      <c r="D561" s="62"/>
      <c r="E561" s="62"/>
      <c r="F561" s="62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16"/>
      <c r="C562" s="62"/>
      <c r="D562" s="62"/>
      <c r="E562" s="62"/>
      <c r="F562" s="62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16"/>
      <c r="C563" s="62"/>
      <c r="D563" s="62"/>
      <c r="E563" s="62"/>
      <c r="F563" s="62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16"/>
      <c r="C564" s="62"/>
      <c r="D564" s="62"/>
      <c r="E564" s="62"/>
      <c r="F564" s="62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16"/>
      <c r="C565" s="62"/>
      <c r="D565" s="62"/>
      <c r="E565" s="62"/>
      <c r="F565" s="62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16"/>
      <c r="C566" s="62"/>
      <c r="D566" s="62"/>
      <c r="E566" s="62"/>
      <c r="F566" s="62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16"/>
      <c r="C567" s="62"/>
      <c r="D567" s="62"/>
      <c r="E567" s="62"/>
      <c r="F567" s="62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16"/>
      <c r="C568" s="62"/>
      <c r="D568" s="62"/>
      <c r="E568" s="62"/>
      <c r="F568" s="62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16"/>
      <c r="C569" s="62"/>
      <c r="D569" s="62"/>
      <c r="E569" s="62"/>
      <c r="F569" s="62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16"/>
      <c r="C570" s="62"/>
      <c r="D570" s="62"/>
      <c r="E570" s="62"/>
      <c r="F570" s="62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16"/>
      <c r="C571" s="62"/>
      <c r="D571" s="62"/>
      <c r="E571" s="62"/>
      <c r="F571" s="62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16"/>
      <c r="C572" s="62"/>
      <c r="D572" s="62"/>
      <c r="E572" s="62"/>
      <c r="F572" s="62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16"/>
      <c r="C573" s="62"/>
      <c r="D573" s="62"/>
      <c r="E573" s="62"/>
      <c r="F573" s="62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16"/>
      <c r="C574" s="62"/>
      <c r="D574" s="62"/>
      <c r="E574" s="62"/>
      <c r="F574" s="62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16"/>
      <c r="C575" s="62"/>
      <c r="D575" s="62"/>
      <c r="E575" s="62"/>
      <c r="F575" s="62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16"/>
      <c r="C576" s="62"/>
      <c r="D576" s="62"/>
      <c r="E576" s="62"/>
      <c r="F576" s="62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16"/>
      <c r="C577" s="62"/>
      <c r="D577" s="62"/>
      <c r="E577" s="62"/>
      <c r="F577" s="62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16"/>
      <c r="C578" s="62"/>
      <c r="D578" s="62"/>
      <c r="E578" s="62"/>
      <c r="F578" s="62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16"/>
      <c r="C579" s="62"/>
      <c r="D579" s="62"/>
      <c r="E579" s="62"/>
      <c r="F579" s="62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16"/>
      <c r="C580" s="62"/>
      <c r="D580" s="62"/>
      <c r="E580" s="62"/>
      <c r="F580" s="62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16"/>
      <c r="C581" s="62"/>
      <c r="D581" s="62"/>
      <c r="E581" s="62"/>
      <c r="F581" s="62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16"/>
      <c r="C582" s="62"/>
      <c r="D582" s="62"/>
      <c r="E582" s="62"/>
      <c r="F582" s="62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16"/>
      <c r="C583" s="62"/>
      <c r="D583" s="62"/>
      <c r="E583" s="62"/>
      <c r="F583" s="62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16"/>
      <c r="C584" s="62"/>
      <c r="D584" s="62"/>
      <c r="E584" s="62"/>
      <c r="F584" s="62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16"/>
      <c r="C585" s="62"/>
      <c r="D585" s="62"/>
      <c r="E585" s="62"/>
      <c r="F585" s="62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16"/>
      <c r="C586" s="62"/>
      <c r="D586" s="62"/>
      <c r="E586" s="62"/>
      <c r="F586" s="62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16"/>
      <c r="C587" s="62"/>
      <c r="D587" s="62"/>
      <c r="E587" s="62"/>
      <c r="F587" s="62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16"/>
      <c r="C588" s="62"/>
      <c r="D588" s="62"/>
      <c r="E588" s="62"/>
      <c r="F588" s="62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16"/>
      <c r="C589" s="62"/>
      <c r="D589" s="62"/>
      <c r="E589" s="62"/>
      <c r="F589" s="62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16"/>
      <c r="C590" s="62"/>
      <c r="D590" s="62"/>
      <c r="E590" s="62"/>
      <c r="F590" s="62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16"/>
      <c r="C591" s="62"/>
      <c r="D591" s="62"/>
      <c r="E591" s="62"/>
      <c r="F591" s="62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16"/>
      <c r="C592" s="62"/>
      <c r="D592" s="62"/>
      <c r="E592" s="62"/>
      <c r="F592" s="62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16"/>
      <c r="C593" s="62"/>
      <c r="D593" s="62"/>
      <c r="E593" s="62"/>
      <c r="F593" s="62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16"/>
      <c r="C594" s="62"/>
      <c r="D594" s="62"/>
      <c r="E594" s="62"/>
      <c r="F594" s="62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16"/>
      <c r="C595" s="62"/>
      <c r="D595" s="62"/>
      <c r="E595" s="62"/>
      <c r="F595" s="62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16"/>
      <c r="C596" s="62"/>
      <c r="D596" s="62"/>
      <c r="E596" s="62"/>
      <c r="F596" s="62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16"/>
      <c r="C597" s="62"/>
      <c r="D597" s="62"/>
      <c r="E597" s="62"/>
      <c r="F597" s="62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16"/>
      <c r="C598" s="62"/>
      <c r="D598" s="62"/>
      <c r="E598" s="62"/>
      <c r="F598" s="62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16"/>
      <c r="C599" s="62"/>
      <c r="D599" s="62"/>
      <c r="E599" s="62"/>
      <c r="F599" s="62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16"/>
      <c r="C600" s="62"/>
      <c r="D600" s="62"/>
      <c r="E600" s="62"/>
      <c r="F600" s="62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16"/>
      <c r="C601" s="62"/>
      <c r="D601" s="62"/>
      <c r="E601" s="62"/>
      <c r="F601" s="62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16"/>
      <c r="C602" s="62"/>
      <c r="D602" s="62"/>
      <c r="E602" s="62"/>
      <c r="F602" s="62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16"/>
      <c r="C603" s="62"/>
      <c r="D603" s="62"/>
      <c r="E603" s="62"/>
      <c r="F603" s="62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16"/>
      <c r="C604" s="62"/>
      <c r="D604" s="62"/>
      <c r="E604" s="62"/>
      <c r="F604" s="62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16"/>
      <c r="C605" s="62"/>
      <c r="D605" s="62"/>
      <c r="E605" s="62"/>
      <c r="F605" s="62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16"/>
      <c r="C606" s="62"/>
      <c r="D606" s="62"/>
      <c r="E606" s="62"/>
      <c r="F606" s="62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16"/>
      <c r="C607" s="62"/>
      <c r="D607" s="62"/>
      <c r="E607" s="62"/>
      <c r="F607" s="62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16"/>
      <c r="C608" s="62"/>
      <c r="D608" s="62"/>
      <c r="E608" s="62"/>
      <c r="F608" s="62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16"/>
      <c r="C609" s="62"/>
      <c r="D609" s="62"/>
      <c r="E609" s="62"/>
      <c r="F609" s="62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16"/>
      <c r="C610" s="62"/>
      <c r="D610" s="62"/>
      <c r="E610" s="62"/>
      <c r="F610" s="62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16"/>
      <c r="C611" s="62"/>
      <c r="D611" s="62"/>
      <c r="E611" s="62"/>
      <c r="F611" s="62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16"/>
      <c r="C612" s="62"/>
      <c r="D612" s="62"/>
      <c r="E612" s="62"/>
      <c r="F612" s="62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16"/>
      <c r="C613" s="62"/>
      <c r="D613" s="62"/>
      <c r="E613" s="62"/>
      <c r="F613" s="62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16"/>
      <c r="C614" s="62"/>
      <c r="D614" s="62"/>
      <c r="E614" s="62"/>
      <c r="F614" s="62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16"/>
      <c r="C615" s="62"/>
      <c r="D615" s="62"/>
      <c r="E615" s="62"/>
      <c r="F615" s="62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16"/>
      <c r="C616" s="62"/>
      <c r="D616" s="62"/>
      <c r="E616" s="62"/>
      <c r="F616" s="62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16"/>
      <c r="C617" s="62"/>
      <c r="D617" s="62"/>
      <c r="E617" s="62"/>
      <c r="F617" s="62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16"/>
      <c r="C618" s="62"/>
      <c r="D618" s="62"/>
      <c r="E618" s="62"/>
      <c r="F618" s="62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16"/>
      <c r="C619" s="62"/>
      <c r="D619" s="62"/>
      <c r="E619" s="62"/>
      <c r="F619" s="62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16"/>
      <c r="C620" s="62"/>
      <c r="D620" s="62"/>
      <c r="E620" s="62"/>
      <c r="F620" s="62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16"/>
      <c r="C621" s="62"/>
      <c r="D621" s="62"/>
      <c r="E621" s="62"/>
      <c r="F621" s="62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16"/>
      <c r="C622" s="62"/>
      <c r="D622" s="62"/>
      <c r="E622" s="62"/>
      <c r="F622" s="62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16"/>
      <c r="C623" s="62"/>
      <c r="D623" s="62"/>
      <c r="E623" s="62"/>
      <c r="F623" s="62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16"/>
      <c r="C624" s="62"/>
      <c r="D624" s="62"/>
      <c r="E624" s="62"/>
      <c r="F624" s="62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16"/>
      <c r="C625" s="62"/>
      <c r="D625" s="62"/>
      <c r="E625" s="62"/>
      <c r="F625" s="62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16"/>
      <c r="C626" s="62"/>
      <c r="D626" s="62"/>
      <c r="E626" s="62"/>
      <c r="F626" s="62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16"/>
      <c r="C627" s="62"/>
      <c r="D627" s="62"/>
      <c r="E627" s="62"/>
      <c r="F627" s="62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16"/>
      <c r="C628" s="62"/>
      <c r="D628" s="62"/>
      <c r="E628" s="62"/>
      <c r="F628" s="62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16"/>
      <c r="C629" s="62"/>
      <c r="D629" s="62"/>
      <c r="E629" s="62"/>
      <c r="F629" s="62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16"/>
      <c r="C630" s="62"/>
      <c r="D630" s="62"/>
      <c r="E630" s="62"/>
      <c r="F630" s="62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16"/>
      <c r="C631" s="62"/>
      <c r="D631" s="62"/>
      <c r="E631" s="62"/>
      <c r="F631" s="62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16"/>
      <c r="C632" s="62"/>
      <c r="D632" s="62"/>
      <c r="E632" s="62"/>
      <c r="F632" s="62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16"/>
      <c r="C633" s="62"/>
      <c r="D633" s="62"/>
      <c r="E633" s="62"/>
      <c r="F633" s="62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16"/>
      <c r="C634" s="62"/>
      <c r="D634" s="62"/>
      <c r="E634" s="62"/>
      <c r="F634" s="62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16"/>
      <c r="C635" s="62"/>
      <c r="D635" s="62"/>
      <c r="E635" s="62"/>
      <c r="F635" s="62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16"/>
      <c r="C636" s="62"/>
      <c r="D636" s="62"/>
      <c r="E636" s="62"/>
      <c r="F636" s="62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16"/>
      <c r="C637" s="62"/>
      <c r="D637" s="62"/>
      <c r="E637" s="62"/>
      <c r="F637" s="62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16"/>
      <c r="C638" s="62"/>
      <c r="D638" s="62"/>
      <c r="E638" s="62"/>
      <c r="F638" s="62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16"/>
      <c r="C639" s="62"/>
      <c r="D639" s="62"/>
      <c r="E639" s="62"/>
      <c r="F639" s="62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16"/>
      <c r="C640" s="62"/>
      <c r="D640" s="62"/>
      <c r="E640" s="62"/>
      <c r="F640" s="62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16"/>
      <c r="C641" s="62"/>
      <c r="D641" s="62"/>
      <c r="E641" s="62"/>
      <c r="F641" s="62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16"/>
      <c r="C642" s="62"/>
      <c r="D642" s="62"/>
      <c r="E642" s="62"/>
      <c r="F642" s="62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16"/>
      <c r="C643" s="62"/>
      <c r="D643" s="62"/>
      <c r="E643" s="62"/>
      <c r="F643" s="62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16"/>
      <c r="C644" s="62"/>
      <c r="D644" s="62"/>
      <c r="E644" s="62"/>
      <c r="F644" s="62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16"/>
      <c r="C645" s="62"/>
      <c r="D645" s="62"/>
      <c r="E645" s="62"/>
      <c r="F645" s="62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16"/>
      <c r="C646" s="62"/>
      <c r="D646" s="62"/>
      <c r="E646" s="62"/>
      <c r="F646" s="62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16"/>
      <c r="C647" s="62"/>
      <c r="D647" s="62"/>
      <c r="E647" s="62"/>
      <c r="F647" s="62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16"/>
      <c r="C648" s="62"/>
      <c r="D648" s="62"/>
      <c r="E648" s="62"/>
      <c r="F648" s="62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16"/>
      <c r="C649" s="62"/>
      <c r="D649" s="62"/>
      <c r="E649" s="62"/>
      <c r="F649" s="62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16"/>
      <c r="C650" s="62"/>
      <c r="D650" s="62"/>
      <c r="E650" s="62"/>
      <c r="F650" s="62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16"/>
      <c r="C651" s="62"/>
      <c r="D651" s="62"/>
      <c r="E651" s="62"/>
      <c r="F651" s="62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16"/>
      <c r="C652" s="62"/>
      <c r="D652" s="62"/>
      <c r="E652" s="62"/>
      <c r="F652" s="62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16"/>
      <c r="C653" s="62"/>
      <c r="D653" s="62"/>
      <c r="E653" s="62"/>
      <c r="F653" s="62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16"/>
      <c r="C654" s="62"/>
      <c r="D654" s="62"/>
      <c r="E654" s="62"/>
      <c r="F654" s="62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16"/>
      <c r="C655" s="62"/>
      <c r="D655" s="62"/>
      <c r="E655" s="62"/>
      <c r="F655" s="62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16"/>
      <c r="C656" s="62"/>
      <c r="D656" s="62"/>
      <c r="E656" s="62"/>
      <c r="F656" s="62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16"/>
      <c r="C657" s="62"/>
      <c r="D657" s="62"/>
      <c r="E657" s="62"/>
      <c r="F657" s="62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16"/>
      <c r="C658" s="62"/>
      <c r="D658" s="62"/>
      <c r="E658" s="62"/>
      <c r="F658" s="62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16"/>
      <c r="C659" s="62"/>
      <c r="D659" s="62"/>
      <c r="E659" s="62"/>
      <c r="F659" s="62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16"/>
      <c r="C660" s="62"/>
      <c r="D660" s="62"/>
      <c r="E660" s="62"/>
      <c r="F660" s="62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16"/>
      <c r="C661" s="62"/>
      <c r="D661" s="62"/>
      <c r="E661" s="62"/>
      <c r="F661" s="62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16"/>
      <c r="C662" s="62"/>
      <c r="D662" s="62"/>
      <c r="E662" s="62"/>
      <c r="F662" s="62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16"/>
      <c r="C663" s="62"/>
      <c r="D663" s="62"/>
      <c r="E663" s="62"/>
      <c r="F663" s="62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16"/>
      <c r="C664" s="62"/>
      <c r="D664" s="62"/>
      <c r="E664" s="62"/>
      <c r="F664" s="62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16"/>
      <c r="C665" s="62"/>
      <c r="D665" s="62"/>
      <c r="E665" s="62"/>
      <c r="F665" s="62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16"/>
      <c r="C666" s="62"/>
      <c r="D666" s="62"/>
      <c r="E666" s="62"/>
      <c r="F666" s="62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16"/>
      <c r="C667" s="62"/>
      <c r="D667" s="62"/>
      <c r="E667" s="62"/>
      <c r="F667" s="62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16"/>
      <c r="C668" s="62"/>
      <c r="D668" s="62"/>
      <c r="E668" s="62"/>
      <c r="F668" s="62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16"/>
      <c r="C669" s="62"/>
      <c r="D669" s="62"/>
      <c r="E669" s="62"/>
      <c r="F669" s="62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16"/>
      <c r="C670" s="62"/>
      <c r="D670" s="62"/>
      <c r="E670" s="62"/>
      <c r="F670" s="62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16"/>
      <c r="C671" s="62"/>
      <c r="D671" s="62"/>
      <c r="E671" s="62"/>
      <c r="F671" s="62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16"/>
      <c r="C672" s="62"/>
      <c r="D672" s="62"/>
      <c r="E672" s="62"/>
      <c r="F672" s="62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16"/>
      <c r="C673" s="62"/>
      <c r="D673" s="62"/>
      <c r="E673" s="62"/>
      <c r="F673" s="62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16"/>
      <c r="C674" s="62"/>
      <c r="D674" s="62"/>
      <c r="E674" s="62"/>
      <c r="F674" s="62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16"/>
      <c r="C675" s="62"/>
      <c r="D675" s="62"/>
      <c r="E675" s="62"/>
      <c r="F675" s="62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16"/>
      <c r="C676" s="62"/>
      <c r="D676" s="62"/>
      <c r="E676" s="62"/>
      <c r="F676" s="62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16"/>
      <c r="C677" s="62"/>
      <c r="D677" s="62"/>
      <c r="E677" s="62"/>
      <c r="F677" s="62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16"/>
      <c r="C678" s="62"/>
      <c r="D678" s="62"/>
      <c r="E678" s="62"/>
      <c r="F678" s="62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16"/>
      <c r="C679" s="62"/>
      <c r="D679" s="62"/>
      <c r="E679" s="62"/>
      <c r="F679" s="62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16"/>
      <c r="C680" s="62"/>
      <c r="D680" s="62"/>
      <c r="E680" s="62"/>
      <c r="F680" s="62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16"/>
      <c r="C681" s="62"/>
      <c r="D681" s="62"/>
      <c r="E681" s="62"/>
      <c r="F681" s="62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16"/>
      <c r="C682" s="62"/>
      <c r="D682" s="62"/>
      <c r="E682" s="62"/>
      <c r="F682" s="62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16"/>
      <c r="C683" s="62"/>
      <c r="D683" s="62"/>
      <c r="E683" s="62"/>
      <c r="F683" s="62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16"/>
      <c r="C684" s="62"/>
      <c r="D684" s="62"/>
      <c r="E684" s="62"/>
      <c r="F684" s="62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16"/>
      <c r="C685" s="62"/>
      <c r="D685" s="62"/>
      <c r="E685" s="62"/>
      <c r="F685" s="62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16"/>
      <c r="C686" s="62"/>
      <c r="D686" s="62"/>
      <c r="E686" s="62"/>
      <c r="F686" s="62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16"/>
      <c r="C687" s="62"/>
      <c r="D687" s="62"/>
      <c r="E687" s="62"/>
      <c r="F687" s="62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16"/>
      <c r="C688" s="62"/>
      <c r="D688" s="62"/>
      <c r="E688" s="62"/>
      <c r="F688" s="62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16"/>
      <c r="C689" s="62"/>
      <c r="D689" s="62"/>
      <c r="E689" s="62"/>
      <c r="F689" s="62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16"/>
      <c r="C690" s="62"/>
      <c r="D690" s="62"/>
      <c r="E690" s="62"/>
      <c r="F690" s="62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16"/>
      <c r="C691" s="62"/>
      <c r="D691" s="62"/>
      <c r="E691" s="62"/>
      <c r="F691" s="62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16"/>
      <c r="C692" s="62"/>
      <c r="D692" s="62"/>
      <c r="E692" s="62"/>
      <c r="F692" s="62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16"/>
      <c r="C693" s="62"/>
      <c r="D693" s="62"/>
      <c r="E693" s="62"/>
      <c r="F693" s="62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16"/>
      <c r="C694" s="62"/>
      <c r="D694" s="62"/>
      <c r="E694" s="62"/>
      <c r="F694" s="62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16"/>
      <c r="C695" s="62"/>
      <c r="D695" s="62"/>
      <c r="E695" s="62"/>
      <c r="F695" s="62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16"/>
      <c r="C696" s="62"/>
      <c r="D696" s="62"/>
      <c r="E696" s="62"/>
      <c r="F696" s="62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16"/>
      <c r="C697" s="62"/>
      <c r="D697" s="62"/>
      <c r="E697" s="62"/>
      <c r="F697" s="62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16"/>
      <c r="C698" s="62"/>
      <c r="D698" s="62"/>
      <c r="E698" s="62"/>
      <c r="F698" s="62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16"/>
      <c r="C699" s="62"/>
      <c r="D699" s="62"/>
      <c r="E699" s="62"/>
      <c r="F699" s="62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16"/>
      <c r="C700" s="62"/>
      <c r="D700" s="62"/>
      <c r="E700" s="62"/>
      <c r="F700" s="62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16"/>
      <c r="C701" s="62"/>
      <c r="D701" s="62"/>
      <c r="E701" s="62"/>
      <c r="F701" s="62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16"/>
      <c r="C702" s="62"/>
      <c r="D702" s="62"/>
      <c r="E702" s="62"/>
      <c r="F702" s="62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16"/>
      <c r="C703" s="62"/>
      <c r="D703" s="62"/>
      <c r="E703" s="62"/>
      <c r="F703" s="62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16"/>
      <c r="C704" s="62"/>
      <c r="D704" s="62"/>
      <c r="E704" s="62"/>
      <c r="F704" s="62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16"/>
      <c r="C705" s="62"/>
      <c r="D705" s="62"/>
      <c r="E705" s="62"/>
      <c r="F705" s="62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16"/>
      <c r="C706" s="62"/>
      <c r="D706" s="62"/>
      <c r="E706" s="62"/>
      <c r="F706" s="62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16"/>
      <c r="C707" s="62"/>
      <c r="D707" s="62"/>
      <c r="E707" s="62"/>
      <c r="F707" s="62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16"/>
      <c r="C708" s="62"/>
      <c r="D708" s="62"/>
      <c r="E708" s="62"/>
      <c r="F708" s="62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16"/>
      <c r="C709" s="62"/>
      <c r="D709" s="62"/>
      <c r="E709" s="62"/>
      <c r="F709" s="62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16"/>
      <c r="C710" s="62"/>
      <c r="D710" s="62"/>
      <c r="E710" s="62"/>
      <c r="F710" s="62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16"/>
      <c r="C711" s="62"/>
      <c r="D711" s="62"/>
      <c r="E711" s="62"/>
      <c r="F711" s="62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16"/>
      <c r="C712" s="62"/>
      <c r="D712" s="62"/>
      <c r="E712" s="62"/>
      <c r="F712" s="62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16"/>
      <c r="C713" s="62"/>
      <c r="D713" s="62"/>
      <c r="E713" s="62"/>
      <c r="F713" s="62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16"/>
      <c r="C714" s="62"/>
      <c r="D714" s="62"/>
      <c r="E714" s="62"/>
      <c r="F714" s="62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16"/>
      <c r="C715" s="62"/>
      <c r="D715" s="62"/>
      <c r="E715" s="62"/>
      <c r="F715" s="62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16"/>
      <c r="C716" s="62"/>
      <c r="D716" s="62"/>
      <c r="E716" s="62"/>
      <c r="F716" s="62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16"/>
      <c r="C717" s="62"/>
      <c r="D717" s="62"/>
      <c r="E717" s="62"/>
      <c r="F717" s="62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16"/>
      <c r="C718" s="62"/>
      <c r="D718" s="62"/>
      <c r="E718" s="62"/>
      <c r="F718" s="62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16"/>
      <c r="C719" s="62"/>
      <c r="D719" s="62"/>
      <c r="E719" s="62"/>
      <c r="F719" s="62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16"/>
      <c r="C720" s="62"/>
      <c r="D720" s="62"/>
      <c r="E720" s="62"/>
      <c r="F720" s="62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16"/>
      <c r="C721" s="62"/>
      <c r="D721" s="62"/>
      <c r="E721" s="62"/>
      <c r="F721" s="62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16"/>
      <c r="C722" s="62"/>
      <c r="D722" s="62"/>
      <c r="E722" s="62"/>
      <c r="F722" s="62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16"/>
      <c r="C723" s="62"/>
      <c r="D723" s="62"/>
      <c r="E723" s="62"/>
      <c r="F723" s="62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16"/>
      <c r="C724" s="62"/>
      <c r="D724" s="62"/>
      <c r="E724" s="62"/>
      <c r="F724" s="62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16"/>
      <c r="C725" s="62"/>
      <c r="D725" s="62"/>
      <c r="E725" s="62"/>
      <c r="F725" s="62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16"/>
      <c r="C726" s="62"/>
      <c r="D726" s="62"/>
      <c r="E726" s="62"/>
      <c r="F726" s="62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16"/>
      <c r="C727" s="62"/>
      <c r="D727" s="62"/>
      <c r="E727" s="62"/>
      <c r="F727" s="62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16"/>
      <c r="C728" s="62"/>
      <c r="D728" s="62"/>
      <c r="E728" s="62"/>
      <c r="F728" s="62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16"/>
      <c r="C729" s="62"/>
      <c r="D729" s="62"/>
      <c r="E729" s="62"/>
      <c r="F729" s="62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16"/>
      <c r="C730" s="62"/>
      <c r="D730" s="62"/>
      <c r="E730" s="62"/>
      <c r="F730" s="62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16"/>
      <c r="C731" s="62"/>
      <c r="D731" s="62"/>
      <c r="E731" s="62"/>
      <c r="F731" s="62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16"/>
      <c r="C732" s="62"/>
      <c r="D732" s="62"/>
      <c r="E732" s="62"/>
      <c r="F732" s="62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16"/>
      <c r="C733" s="62"/>
      <c r="D733" s="62"/>
      <c r="E733" s="62"/>
      <c r="F733" s="62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16"/>
      <c r="C734" s="62"/>
      <c r="D734" s="62"/>
      <c r="E734" s="62"/>
      <c r="F734" s="62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16"/>
      <c r="C735" s="62"/>
      <c r="D735" s="62"/>
      <c r="E735" s="62"/>
      <c r="F735" s="62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16"/>
      <c r="C736" s="62"/>
      <c r="D736" s="62"/>
      <c r="E736" s="62"/>
      <c r="F736" s="62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16"/>
      <c r="C737" s="62"/>
      <c r="D737" s="62"/>
      <c r="E737" s="62"/>
      <c r="F737" s="62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16"/>
      <c r="C738" s="62"/>
      <c r="D738" s="62"/>
      <c r="E738" s="62"/>
      <c r="F738" s="62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16"/>
      <c r="C739" s="62"/>
      <c r="D739" s="62"/>
      <c r="E739" s="62"/>
      <c r="F739" s="62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16"/>
      <c r="C740" s="62"/>
      <c r="D740" s="62"/>
      <c r="E740" s="62"/>
      <c r="F740" s="62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16"/>
      <c r="C741" s="62"/>
      <c r="D741" s="62"/>
      <c r="E741" s="62"/>
      <c r="F741" s="62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16"/>
      <c r="C742" s="62"/>
      <c r="D742" s="62"/>
      <c r="E742" s="62"/>
      <c r="F742" s="62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16"/>
      <c r="C743" s="62"/>
      <c r="D743" s="62"/>
      <c r="E743" s="62"/>
      <c r="F743" s="62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16"/>
      <c r="C744" s="62"/>
      <c r="D744" s="62"/>
      <c r="E744" s="62"/>
      <c r="F744" s="62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16"/>
      <c r="C745" s="62"/>
      <c r="D745" s="62"/>
      <c r="E745" s="62"/>
      <c r="F745" s="62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16"/>
      <c r="C746" s="62"/>
      <c r="D746" s="62"/>
      <c r="E746" s="62"/>
      <c r="F746" s="62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16"/>
      <c r="C747" s="62"/>
      <c r="D747" s="62"/>
      <c r="E747" s="62"/>
      <c r="F747" s="62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16"/>
      <c r="C748" s="62"/>
      <c r="D748" s="62"/>
      <c r="E748" s="62"/>
      <c r="F748" s="62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16"/>
      <c r="C749" s="62"/>
      <c r="D749" s="62"/>
      <c r="E749" s="62"/>
      <c r="F749" s="62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16"/>
      <c r="C750" s="62"/>
      <c r="D750" s="62"/>
      <c r="E750" s="62"/>
      <c r="F750" s="62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16"/>
      <c r="C751" s="62"/>
      <c r="D751" s="62"/>
      <c r="E751" s="62"/>
      <c r="F751" s="62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16"/>
      <c r="C752" s="62"/>
      <c r="D752" s="62"/>
      <c r="E752" s="62"/>
      <c r="F752" s="62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16"/>
      <c r="C753" s="62"/>
      <c r="D753" s="62"/>
      <c r="E753" s="62"/>
      <c r="F753" s="62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16"/>
      <c r="C754" s="62"/>
      <c r="D754" s="62"/>
      <c r="E754" s="62"/>
      <c r="F754" s="62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16"/>
      <c r="C755" s="62"/>
      <c r="D755" s="62"/>
      <c r="E755" s="62"/>
      <c r="F755" s="62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16"/>
      <c r="C756" s="62"/>
      <c r="D756" s="62"/>
      <c r="E756" s="62"/>
      <c r="F756" s="62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16"/>
      <c r="C757" s="62"/>
      <c r="D757" s="62"/>
      <c r="E757" s="62"/>
      <c r="F757" s="62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16"/>
      <c r="C758" s="62"/>
      <c r="D758" s="62"/>
      <c r="E758" s="62"/>
      <c r="F758" s="62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16"/>
      <c r="C759" s="62"/>
      <c r="D759" s="62"/>
      <c r="E759" s="62"/>
      <c r="F759" s="62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16"/>
      <c r="C760" s="62"/>
      <c r="D760" s="62"/>
      <c r="E760" s="62"/>
      <c r="F760" s="62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16"/>
      <c r="C761" s="62"/>
      <c r="D761" s="62"/>
      <c r="E761" s="62"/>
      <c r="F761" s="62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16"/>
      <c r="C762" s="62"/>
      <c r="D762" s="62"/>
      <c r="E762" s="62"/>
      <c r="F762" s="62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16"/>
      <c r="C763" s="62"/>
      <c r="D763" s="62"/>
      <c r="E763" s="62"/>
      <c r="F763" s="62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16"/>
      <c r="C764" s="62"/>
      <c r="D764" s="62"/>
      <c r="E764" s="62"/>
      <c r="F764" s="62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16"/>
      <c r="C765" s="62"/>
      <c r="D765" s="62"/>
      <c r="E765" s="62"/>
      <c r="F765" s="62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16"/>
      <c r="C766" s="62"/>
      <c r="D766" s="62"/>
      <c r="E766" s="62"/>
      <c r="F766" s="62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16"/>
      <c r="C767" s="62"/>
      <c r="D767" s="62"/>
      <c r="E767" s="62"/>
      <c r="F767" s="62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16"/>
      <c r="C768" s="62"/>
      <c r="D768" s="62"/>
      <c r="E768" s="62"/>
      <c r="F768" s="62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16"/>
      <c r="C769" s="62"/>
      <c r="D769" s="62"/>
      <c r="E769" s="62"/>
      <c r="F769" s="62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16"/>
      <c r="C770" s="62"/>
      <c r="D770" s="62"/>
      <c r="E770" s="62"/>
      <c r="F770" s="62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16"/>
      <c r="C771" s="62"/>
      <c r="D771" s="62"/>
      <c r="E771" s="62"/>
      <c r="F771" s="62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16"/>
      <c r="C772" s="62"/>
      <c r="D772" s="62"/>
      <c r="E772" s="62"/>
      <c r="F772" s="62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16"/>
      <c r="C773" s="62"/>
      <c r="D773" s="62"/>
      <c r="E773" s="62"/>
      <c r="F773" s="62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16"/>
      <c r="C774" s="62"/>
      <c r="D774" s="62"/>
      <c r="E774" s="62"/>
      <c r="F774" s="62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16"/>
      <c r="C775" s="62"/>
      <c r="D775" s="62"/>
      <c r="E775" s="62"/>
      <c r="F775" s="62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16"/>
      <c r="C776" s="62"/>
      <c r="D776" s="62"/>
      <c r="E776" s="62"/>
      <c r="F776" s="62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16"/>
      <c r="C777" s="62"/>
      <c r="D777" s="62"/>
      <c r="E777" s="62"/>
      <c r="F777" s="62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16"/>
      <c r="C778" s="62"/>
      <c r="D778" s="62"/>
      <c r="E778" s="62"/>
      <c r="F778" s="62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16"/>
      <c r="C779" s="62"/>
      <c r="D779" s="62"/>
      <c r="E779" s="62"/>
      <c r="F779" s="62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16"/>
      <c r="C780" s="62"/>
      <c r="D780" s="62"/>
      <c r="E780" s="62"/>
      <c r="F780" s="62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16"/>
      <c r="C781" s="62"/>
      <c r="D781" s="62"/>
      <c r="E781" s="62"/>
      <c r="F781" s="62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16"/>
      <c r="C782" s="62"/>
      <c r="D782" s="62"/>
      <c r="E782" s="62"/>
      <c r="F782" s="62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16"/>
      <c r="C783" s="62"/>
      <c r="D783" s="62"/>
      <c r="E783" s="62"/>
      <c r="F783" s="62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16"/>
      <c r="C784" s="62"/>
      <c r="D784" s="62"/>
      <c r="E784" s="62"/>
      <c r="F784" s="62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16"/>
      <c r="C785" s="62"/>
      <c r="D785" s="62"/>
      <c r="E785" s="62"/>
      <c r="F785" s="62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16"/>
      <c r="C786" s="62"/>
      <c r="D786" s="62"/>
      <c r="E786" s="62"/>
      <c r="F786" s="62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16"/>
      <c r="C787" s="62"/>
      <c r="D787" s="62"/>
      <c r="E787" s="62"/>
      <c r="F787" s="62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16"/>
      <c r="C788" s="62"/>
      <c r="D788" s="62"/>
      <c r="E788" s="62"/>
      <c r="F788" s="62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16"/>
      <c r="C789" s="62"/>
      <c r="D789" s="62"/>
      <c r="E789" s="62"/>
      <c r="F789" s="62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16"/>
      <c r="C790" s="62"/>
      <c r="D790" s="62"/>
      <c r="E790" s="62"/>
      <c r="F790" s="62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16"/>
      <c r="C791" s="62"/>
      <c r="D791" s="62"/>
      <c r="E791" s="62"/>
      <c r="F791" s="62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16"/>
      <c r="C792" s="62"/>
      <c r="D792" s="62"/>
      <c r="E792" s="62"/>
      <c r="F792" s="62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16"/>
      <c r="C793" s="62"/>
      <c r="D793" s="62"/>
      <c r="E793" s="62"/>
      <c r="F793" s="62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16"/>
      <c r="C794" s="62"/>
      <c r="D794" s="62"/>
      <c r="E794" s="62"/>
      <c r="F794" s="62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16"/>
      <c r="C795" s="62"/>
      <c r="D795" s="62"/>
      <c r="E795" s="62"/>
      <c r="F795" s="62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16"/>
      <c r="C796" s="62"/>
      <c r="D796" s="62"/>
      <c r="E796" s="62"/>
      <c r="F796" s="62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16"/>
      <c r="C797" s="62"/>
      <c r="D797" s="62"/>
      <c r="E797" s="62"/>
      <c r="F797" s="62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16"/>
      <c r="C798" s="62"/>
      <c r="D798" s="62"/>
      <c r="E798" s="62"/>
      <c r="F798" s="62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16"/>
      <c r="C799" s="62"/>
      <c r="D799" s="62"/>
      <c r="E799" s="62"/>
      <c r="F799" s="62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16"/>
      <c r="C800" s="62"/>
      <c r="D800" s="62"/>
      <c r="E800" s="62"/>
      <c r="F800" s="62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16"/>
      <c r="C801" s="62"/>
      <c r="D801" s="62"/>
      <c r="E801" s="62"/>
      <c r="F801" s="62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16"/>
      <c r="C802" s="62"/>
      <c r="D802" s="62"/>
      <c r="E802" s="62"/>
      <c r="F802" s="62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16"/>
      <c r="C803" s="62"/>
      <c r="D803" s="62"/>
      <c r="E803" s="62"/>
      <c r="F803" s="62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16"/>
      <c r="C804" s="62"/>
      <c r="D804" s="62"/>
      <c r="E804" s="62"/>
      <c r="F804" s="62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16"/>
      <c r="C805" s="62"/>
      <c r="D805" s="62"/>
      <c r="E805" s="62"/>
      <c r="F805" s="62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16"/>
      <c r="C806" s="62"/>
      <c r="D806" s="62"/>
      <c r="E806" s="62"/>
      <c r="F806" s="62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16"/>
      <c r="C807" s="62"/>
      <c r="D807" s="62"/>
      <c r="E807" s="62"/>
      <c r="F807" s="62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16"/>
      <c r="C808" s="62"/>
      <c r="D808" s="62"/>
      <c r="E808" s="62"/>
      <c r="F808" s="62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16"/>
      <c r="C809" s="62"/>
      <c r="D809" s="62"/>
      <c r="E809" s="62"/>
      <c r="F809" s="62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16"/>
      <c r="C810" s="62"/>
      <c r="D810" s="62"/>
      <c r="E810" s="62"/>
      <c r="F810" s="62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16"/>
      <c r="C811" s="62"/>
      <c r="D811" s="62"/>
      <c r="E811" s="62"/>
      <c r="F811" s="62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16"/>
      <c r="C812" s="62"/>
      <c r="D812" s="62"/>
      <c r="E812" s="62"/>
      <c r="F812" s="62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16"/>
      <c r="C813" s="62"/>
      <c r="D813" s="62"/>
      <c r="E813" s="62"/>
      <c r="F813" s="62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16"/>
      <c r="C814" s="62"/>
      <c r="D814" s="62"/>
      <c r="E814" s="62"/>
      <c r="F814" s="62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16"/>
      <c r="C815" s="62"/>
      <c r="D815" s="62"/>
      <c r="E815" s="62"/>
      <c r="F815" s="62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16"/>
      <c r="C816" s="62"/>
      <c r="D816" s="62"/>
      <c r="E816" s="62"/>
      <c r="F816" s="62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16"/>
      <c r="C817" s="62"/>
      <c r="D817" s="62"/>
      <c r="E817" s="62"/>
      <c r="F817" s="62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16"/>
      <c r="C818" s="62"/>
      <c r="D818" s="62"/>
      <c r="E818" s="62"/>
      <c r="F818" s="62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16"/>
      <c r="C819" s="62"/>
      <c r="D819" s="62"/>
      <c r="E819" s="62"/>
      <c r="F819" s="62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16"/>
      <c r="C820" s="62"/>
      <c r="D820" s="62"/>
      <c r="E820" s="62"/>
      <c r="F820" s="62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16"/>
      <c r="C821" s="62"/>
      <c r="D821" s="62"/>
      <c r="E821" s="62"/>
      <c r="F821" s="62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16"/>
      <c r="C822" s="62"/>
      <c r="D822" s="62"/>
      <c r="E822" s="62"/>
      <c r="F822" s="62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16"/>
      <c r="C823" s="62"/>
      <c r="D823" s="62"/>
      <c r="E823" s="62"/>
      <c r="F823" s="62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16"/>
      <c r="C824" s="62"/>
      <c r="D824" s="62"/>
      <c r="E824" s="62"/>
      <c r="F824" s="62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16"/>
      <c r="C825" s="62"/>
      <c r="D825" s="62"/>
      <c r="E825" s="62"/>
      <c r="F825" s="62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16"/>
      <c r="C826" s="62"/>
      <c r="D826" s="62"/>
      <c r="E826" s="62"/>
      <c r="F826" s="62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16"/>
      <c r="C827" s="62"/>
      <c r="D827" s="62"/>
      <c r="E827" s="62"/>
      <c r="F827" s="62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16"/>
      <c r="C828" s="62"/>
      <c r="D828" s="62"/>
      <c r="E828" s="62"/>
      <c r="F828" s="62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16"/>
      <c r="C829" s="62"/>
      <c r="D829" s="62"/>
      <c r="E829" s="62"/>
      <c r="F829" s="62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16"/>
      <c r="C830" s="62"/>
      <c r="D830" s="62"/>
      <c r="E830" s="62"/>
      <c r="F830" s="62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16"/>
      <c r="C831" s="62"/>
      <c r="D831" s="62"/>
      <c r="E831" s="62"/>
      <c r="F831" s="62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16"/>
      <c r="C832" s="62"/>
      <c r="D832" s="62"/>
      <c r="E832" s="62"/>
      <c r="F832" s="62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16"/>
      <c r="C833" s="62"/>
      <c r="D833" s="62"/>
      <c r="E833" s="62"/>
      <c r="F833" s="62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16"/>
      <c r="C834" s="62"/>
      <c r="D834" s="62"/>
      <c r="E834" s="62"/>
      <c r="F834" s="62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16"/>
      <c r="C835" s="62"/>
      <c r="D835" s="62"/>
      <c r="E835" s="62"/>
      <c r="F835" s="62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16"/>
      <c r="C836" s="62"/>
      <c r="D836" s="62"/>
      <c r="E836" s="62"/>
      <c r="F836" s="62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16"/>
      <c r="C837" s="62"/>
      <c r="D837" s="62"/>
      <c r="E837" s="62"/>
      <c r="F837" s="62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16"/>
      <c r="C838" s="62"/>
      <c r="D838" s="62"/>
      <c r="E838" s="62"/>
      <c r="F838" s="62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16"/>
      <c r="C839" s="62"/>
      <c r="D839" s="62"/>
      <c r="E839" s="62"/>
      <c r="F839" s="62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16"/>
      <c r="C840" s="62"/>
      <c r="D840" s="62"/>
      <c r="E840" s="62"/>
      <c r="F840" s="62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16"/>
      <c r="C841" s="62"/>
      <c r="D841" s="62"/>
      <c r="E841" s="62"/>
      <c r="F841" s="62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16"/>
      <c r="C842" s="62"/>
      <c r="D842" s="62"/>
      <c r="E842" s="62"/>
      <c r="F842" s="62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16"/>
      <c r="C843" s="62"/>
      <c r="D843" s="62"/>
      <c r="E843" s="62"/>
      <c r="F843" s="62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16"/>
      <c r="C844" s="62"/>
      <c r="D844" s="62"/>
      <c r="E844" s="62"/>
      <c r="F844" s="62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16"/>
      <c r="C845" s="62"/>
      <c r="D845" s="62"/>
      <c r="E845" s="62"/>
      <c r="F845" s="62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16"/>
      <c r="C846" s="62"/>
      <c r="D846" s="62"/>
      <c r="E846" s="62"/>
      <c r="F846" s="62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16"/>
      <c r="C847" s="62"/>
      <c r="D847" s="62"/>
      <c r="E847" s="62"/>
      <c r="F847" s="62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16"/>
      <c r="C848" s="62"/>
      <c r="D848" s="62"/>
      <c r="E848" s="62"/>
      <c r="F848" s="62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16"/>
      <c r="C849" s="62"/>
      <c r="D849" s="62"/>
      <c r="E849" s="62"/>
      <c r="F849" s="62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16"/>
      <c r="C850" s="62"/>
      <c r="D850" s="62"/>
      <c r="E850" s="62"/>
      <c r="F850" s="62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16"/>
      <c r="C851" s="62"/>
      <c r="D851" s="62"/>
      <c r="E851" s="62"/>
      <c r="F851" s="62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16"/>
      <c r="C852" s="62"/>
      <c r="D852" s="62"/>
      <c r="E852" s="62"/>
      <c r="F852" s="62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16"/>
      <c r="C853" s="62"/>
      <c r="D853" s="62"/>
      <c r="E853" s="62"/>
      <c r="F853" s="62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16"/>
      <c r="C854" s="62"/>
      <c r="D854" s="62"/>
      <c r="E854" s="62"/>
      <c r="F854" s="62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16"/>
      <c r="C855" s="62"/>
      <c r="D855" s="62"/>
      <c r="E855" s="62"/>
      <c r="F855" s="62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16"/>
      <c r="C856" s="62"/>
      <c r="D856" s="62"/>
      <c r="E856" s="62"/>
      <c r="F856" s="62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16"/>
      <c r="C857" s="62"/>
      <c r="D857" s="62"/>
      <c r="E857" s="62"/>
      <c r="F857" s="62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16"/>
      <c r="C858" s="62"/>
      <c r="D858" s="62"/>
      <c r="E858" s="62"/>
      <c r="F858" s="62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16"/>
      <c r="C859" s="62"/>
      <c r="D859" s="62"/>
      <c r="E859" s="62"/>
      <c r="F859" s="62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16"/>
      <c r="C860" s="62"/>
      <c r="D860" s="62"/>
      <c r="E860" s="62"/>
      <c r="F860" s="62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16"/>
      <c r="C861" s="62"/>
      <c r="D861" s="62"/>
      <c r="E861" s="62"/>
      <c r="F861" s="62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16"/>
      <c r="C862" s="62"/>
      <c r="D862" s="62"/>
      <c r="E862" s="62"/>
      <c r="F862" s="62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16"/>
      <c r="C863" s="62"/>
      <c r="D863" s="62"/>
      <c r="E863" s="62"/>
      <c r="F863" s="62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16"/>
      <c r="C864" s="62"/>
      <c r="D864" s="62"/>
      <c r="E864" s="62"/>
      <c r="F864" s="62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16"/>
      <c r="C865" s="62"/>
      <c r="D865" s="62"/>
      <c r="E865" s="62"/>
      <c r="F865" s="62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16"/>
      <c r="C866" s="62"/>
      <c r="D866" s="62"/>
      <c r="E866" s="62"/>
      <c r="F866" s="62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16"/>
      <c r="C867" s="62"/>
      <c r="D867" s="62"/>
      <c r="E867" s="62"/>
      <c r="F867" s="62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16"/>
      <c r="C868" s="62"/>
      <c r="D868" s="62"/>
      <c r="E868" s="62"/>
      <c r="F868" s="62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16"/>
      <c r="C869" s="62"/>
      <c r="D869" s="62"/>
      <c r="E869" s="62"/>
      <c r="F869" s="62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16"/>
      <c r="C870" s="62"/>
      <c r="D870" s="62"/>
      <c r="E870" s="62"/>
      <c r="F870" s="62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16"/>
      <c r="C871" s="62"/>
      <c r="D871" s="62"/>
      <c r="E871" s="62"/>
      <c r="F871" s="62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16"/>
      <c r="C872" s="62"/>
      <c r="D872" s="62"/>
      <c r="E872" s="62"/>
      <c r="F872" s="62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16"/>
      <c r="C873" s="62"/>
      <c r="D873" s="62"/>
      <c r="E873" s="62"/>
      <c r="F873" s="62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16"/>
      <c r="C874" s="62"/>
      <c r="D874" s="62"/>
      <c r="E874" s="62"/>
      <c r="F874" s="62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16"/>
      <c r="C875" s="62"/>
      <c r="D875" s="62"/>
      <c r="E875" s="62"/>
      <c r="F875" s="62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16"/>
      <c r="C876" s="62"/>
      <c r="D876" s="62"/>
      <c r="E876" s="62"/>
      <c r="F876" s="62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16"/>
      <c r="C877" s="62"/>
      <c r="D877" s="62"/>
      <c r="E877" s="62"/>
      <c r="F877" s="62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16"/>
      <c r="C878" s="62"/>
      <c r="D878" s="62"/>
      <c r="E878" s="62"/>
      <c r="F878" s="62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16"/>
      <c r="C879" s="62"/>
      <c r="D879" s="62"/>
      <c r="E879" s="62"/>
      <c r="F879" s="62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16"/>
      <c r="C880" s="62"/>
      <c r="D880" s="62"/>
      <c r="E880" s="62"/>
      <c r="F880" s="62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16"/>
      <c r="C881" s="62"/>
      <c r="D881" s="62"/>
      <c r="E881" s="62"/>
      <c r="F881" s="62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16"/>
      <c r="C882" s="62"/>
      <c r="D882" s="62"/>
      <c r="E882" s="62"/>
      <c r="F882" s="62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16"/>
      <c r="C883" s="62"/>
      <c r="D883" s="62"/>
      <c r="E883" s="62"/>
      <c r="F883" s="62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16"/>
      <c r="C884" s="62"/>
      <c r="D884" s="62"/>
      <c r="E884" s="62"/>
      <c r="F884" s="62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16"/>
      <c r="C885" s="62"/>
      <c r="D885" s="62"/>
      <c r="E885" s="62"/>
      <c r="F885" s="62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16"/>
      <c r="C886" s="62"/>
      <c r="D886" s="62"/>
      <c r="E886" s="62"/>
      <c r="F886" s="62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16"/>
      <c r="C887" s="62"/>
      <c r="D887" s="62"/>
      <c r="E887" s="62"/>
      <c r="F887" s="62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16"/>
      <c r="C888" s="62"/>
      <c r="D888" s="62"/>
      <c r="E888" s="62"/>
      <c r="F888" s="62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16"/>
      <c r="C889" s="62"/>
      <c r="D889" s="62"/>
      <c r="E889" s="62"/>
      <c r="F889" s="62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16"/>
      <c r="C890" s="62"/>
      <c r="D890" s="62"/>
      <c r="E890" s="62"/>
      <c r="F890" s="62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16"/>
      <c r="C891" s="62"/>
      <c r="D891" s="62"/>
      <c r="E891" s="62"/>
      <c r="F891" s="62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16"/>
      <c r="C892" s="62"/>
      <c r="D892" s="62"/>
      <c r="E892" s="62"/>
      <c r="F892" s="62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16"/>
      <c r="C893" s="62"/>
      <c r="D893" s="62"/>
      <c r="E893" s="62"/>
      <c r="F893" s="62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16"/>
      <c r="C894" s="62"/>
      <c r="D894" s="62"/>
      <c r="E894" s="62"/>
      <c r="F894" s="62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16"/>
      <c r="C895" s="62"/>
      <c r="D895" s="62"/>
      <c r="E895" s="62"/>
      <c r="F895" s="62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16"/>
      <c r="C896" s="62"/>
      <c r="D896" s="62"/>
      <c r="E896" s="62"/>
      <c r="F896" s="62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16"/>
      <c r="C897" s="62"/>
      <c r="D897" s="62"/>
      <c r="E897" s="62"/>
      <c r="F897" s="62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16"/>
      <c r="C898" s="62"/>
      <c r="D898" s="62"/>
      <c r="E898" s="62"/>
      <c r="F898" s="62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16"/>
      <c r="C899" s="62"/>
      <c r="D899" s="62"/>
      <c r="E899" s="62"/>
      <c r="F899" s="62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16"/>
      <c r="C900" s="62"/>
      <c r="D900" s="62"/>
      <c r="E900" s="62"/>
      <c r="F900" s="62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16"/>
      <c r="C901" s="62"/>
      <c r="D901" s="62"/>
      <c r="E901" s="62"/>
      <c r="F901" s="62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16"/>
      <c r="C902" s="62"/>
      <c r="D902" s="62"/>
      <c r="E902" s="62"/>
      <c r="F902" s="62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16"/>
      <c r="C903" s="62"/>
      <c r="D903" s="62"/>
      <c r="E903" s="62"/>
      <c r="F903" s="62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16"/>
      <c r="C904" s="62"/>
      <c r="D904" s="62"/>
      <c r="E904" s="62"/>
      <c r="F904" s="62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16"/>
      <c r="C905" s="62"/>
      <c r="D905" s="62"/>
      <c r="E905" s="62"/>
      <c r="F905" s="62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16"/>
      <c r="C906" s="62"/>
      <c r="D906" s="62"/>
      <c r="E906" s="62"/>
      <c r="F906" s="62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16"/>
      <c r="C907" s="62"/>
      <c r="D907" s="62"/>
      <c r="E907" s="62"/>
      <c r="F907" s="62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16"/>
      <c r="C908" s="62"/>
      <c r="D908" s="62"/>
      <c r="E908" s="62"/>
      <c r="F908" s="62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16"/>
      <c r="C909" s="62"/>
      <c r="D909" s="62"/>
      <c r="E909" s="62"/>
      <c r="F909" s="62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16"/>
      <c r="C910" s="62"/>
      <c r="D910" s="62"/>
      <c r="E910" s="62"/>
      <c r="F910" s="62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16"/>
      <c r="C911" s="62"/>
      <c r="D911" s="62"/>
      <c r="E911" s="62"/>
      <c r="F911" s="62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16"/>
      <c r="C912" s="62"/>
      <c r="D912" s="62"/>
      <c r="E912" s="62"/>
      <c r="F912" s="62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16"/>
      <c r="C913" s="62"/>
      <c r="D913" s="62"/>
      <c r="E913" s="62"/>
      <c r="F913" s="62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16"/>
      <c r="C914" s="62"/>
      <c r="D914" s="62"/>
      <c r="E914" s="62"/>
      <c r="F914" s="62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16"/>
      <c r="C915" s="62"/>
      <c r="D915" s="62"/>
      <c r="E915" s="62"/>
      <c r="F915" s="62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16"/>
      <c r="C916" s="62"/>
      <c r="D916" s="62"/>
      <c r="E916" s="62"/>
      <c r="F916" s="62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16"/>
      <c r="C917" s="62"/>
      <c r="D917" s="62"/>
      <c r="E917" s="62"/>
      <c r="F917" s="62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16"/>
      <c r="C918" s="62"/>
      <c r="D918" s="62"/>
      <c r="E918" s="62"/>
      <c r="F918" s="62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16"/>
      <c r="C919" s="62"/>
      <c r="D919" s="62"/>
      <c r="E919" s="62"/>
      <c r="F919" s="62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16"/>
      <c r="C920" s="62"/>
      <c r="D920" s="62"/>
      <c r="E920" s="62"/>
      <c r="F920" s="62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16"/>
      <c r="C921" s="62"/>
      <c r="D921" s="62"/>
      <c r="E921" s="62"/>
      <c r="F921" s="62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16"/>
      <c r="C922" s="62"/>
      <c r="D922" s="62"/>
      <c r="E922" s="62"/>
      <c r="F922" s="62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16"/>
      <c r="C923" s="62"/>
      <c r="D923" s="62"/>
      <c r="E923" s="62"/>
      <c r="F923" s="62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16"/>
      <c r="C924" s="62"/>
      <c r="D924" s="62"/>
      <c r="E924" s="62"/>
      <c r="F924" s="62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16"/>
      <c r="C925" s="62"/>
      <c r="D925" s="62"/>
      <c r="E925" s="62"/>
      <c r="F925" s="62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16"/>
      <c r="C926" s="62"/>
      <c r="D926" s="62"/>
      <c r="E926" s="62"/>
      <c r="F926" s="62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16"/>
      <c r="C927" s="62"/>
      <c r="D927" s="62"/>
      <c r="E927" s="62"/>
      <c r="F927" s="62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16"/>
      <c r="C928" s="62"/>
      <c r="D928" s="62"/>
      <c r="E928" s="62"/>
      <c r="F928" s="62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16"/>
      <c r="C929" s="62"/>
      <c r="D929" s="62"/>
      <c r="E929" s="62"/>
      <c r="F929" s="62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16"/>
      <c r="C930" s="62"/>
      <c r="D930" s="62"/>
      <c r="E930" s="62"/>
      <c r="F930" s="62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16"/>
      <c r="C931" s="62"/>
      <c r="D931" s="62"/>
      <c r="E931" s="62"/>
      <c r="F931" s="62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16"/>
      <c r="C932" s="62"/>
      <c r="D932" s="62"/>
      <c r="E932" s="62"/>
      <c r="F932" s="62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16"/>
      <c r="C933" s="62"/>
      <c r="D933" s="62"/>
      <c r="E933" s="62"/>
      <c r="F933" s="62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16"/>
      <c r="C934" s="62"/>
      <c r="D934" s="62"/>
      <c r="E934" s="62"/>
      <c r="F934" s="62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16"/>
      <c r="C935" s="62"/>
      <c r="D935" s="62"/>
      <c r="E935" s="62"/>
      <c r="F935" s="62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16"/>
      <c r="C936" s="62"/>
      <c r="D936" s="62"/>
      <c r="E936" s="62"/>
      <c r="F936" s="62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16"/>
      <c r="C937" s="62"/>
      <c r="D937" s="62"/>
      <c r="E937" s="62"/>
      <c r="F937" s="62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16"/>
      <c r="C938" s="62"/>
      <c r="D938" s="62"/>
      <c r="E938" s="62"/>
      <c r="F938" s="62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16"/>
      <c r="C939" s="62"/>
      <c r="D939" s="62"/>
      <c r="E939" s="62"/>
      <c r="F939" s="62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16"/>
      <c r="C940" s="62"/>
      <c r="D940" s="62"/>
      <c r="E940" s="62"/>
      <c r="F940" s="62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16"/>
      <c r="C941" s="62"/>
      <c r="D941" s="62"/>
      <c r="E941" s="62"/>
      <c r="F941" s="62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16"/>
      <c r="C942" s="62"/>
      <c r="D942" s="62"/>
      <c r="E942" s="62"/>
      <c r="F942" s="62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16"/>
      <c r="C943" s="62"/>
      <c r="D943" s="62"/>
      <c r="E943" s="62"/>
      <c r="F943" s="62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16"/>
      <c r="C944" s="62"/>
      <c r="D944" s="62"/>
      <c r="E944" s="62"/>
      <c r="F944" s="62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16"/>
      <c r="C945" s="62"/>
      <c r="D945" s="62"/>
      <c r="E945" s="62"/>
      <c r="F945" s="62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16"/>
      <c r="C946" s="62"/>
      <c r="D946" s="62"/>
      <c r="E946" s="62"/>
      <c r="F946" s="62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16"/>
      <c r="C947" s="62"/>
      <c r="D947" s="62"/>
      <c r="E947" s="62"/>
      <c r="F947" s="62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16"/>
      <c r="C948" s="62"/>
      <c r="D948" s="62"/>
      <c r="E948" s="62"/>
      <c r="F948" s="62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16"/>
      <c r="C949" s="62"/>
      <c r="D949" s="62"/>
      <c r="E949" s="62"/>
      <c r="F949" s="62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16"/>
      <c r="C950" s="62"/>
      <c r="D950" s="62"/>
      <c r="E950" s="62"/>
      <c r="F950" s="62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16"/>
      <c r="C951" s="62"/>
      <c r="D951" s="62"/>
      <c r="E951" s="62"/>
      <c r="F951" s="62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16"/>
      <c r="C952" s="62"/>
      <c r="D952" s="62"/>
      <c r="E952" s="62"/>
      <c r="F952" s="62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16"/>
      <c r="C953" s="62"/>
      <c r="D953" s="62"/>
      <c r="E953" s="62"/>
      <c r="F953" s="62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16"/>
      <c r="C954" s="62"/>
      <c r="D954" s="62"/>
      <c r="E954" s="62"/>
      <c r="F954" s="62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16"/>
      <c r="C955" s="62"/>
      <c r="D955" s="62"/>
      <c r="E955" s="62"/>
      <c r="F955" s="62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16"/>
      <c r="C956" s="62"/>
      <c r="D956" s="62"/>
      <c r="E956" s="62"/>
      <c r="F956" s="62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16"/>
      <c r="C957" s="62"/>
      <c r="D957" s="62"/>
      <c r="E957" s="62"/>
      <c r="F957" s="62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16"/>
      <c r="C958" s="62"/>
      <c r="D958" s="62"/>
      <c r="E958" s="62"/>
      <c r="F958" s="62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16"/>
      <c r="C959" s="62"/>
      <c r="D959" s="62"/>
      <c r="E959" s="62"/>
      <c r="F959" s="62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16"/>
      <c r="C960" s="62"/>
      <c r="D960" s="62"/>
      <c r="E960" s="62"/>
      <c r="F960" s="62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16"/>
      <c r="C961" s="62"/>
      <c r="D961" s="62"/>
      <c r="E961" s="62"/>
      <c r="F961" s="62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16"/>
      <c r="C962" s="62"/>
      <c r="D962" s="62"/>
      <c r="E962" s="62"/>
      <c r="F962" s="62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16"/>
      <c r="C963" s="62"/>
      <c r="D963" s="62"/>
      <c r="E963" s="62"/>
      <c r="F963" s="62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16"/>
      <c r="C964" s="62"/>
      <c r="D964" s="62"/>
      <c r="E964" s="62"/>
      <c r="F964" s="62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16"/>
      <c r="C965" s="62"/>
      <c r="D965" s="62"/>
      <c r="E965" s="62"/>
      <c r="F965" s="62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16"/>
      <c r="C966" s="62"/>
      <c r="D966" s="62"/>
      <c r="E966" s="62"/>
      <c r="F966" s="62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16"/>
      <c r="C967" s="62"/>
      <c r="D967" s="62"/>
      <c r="E967" s="62"/>
      <c r="F967" s="62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16"/>
      <c r="C968" s="62"/>
      <c r="D968" s="62"/>
      <c r="E968" s="62"/>
      <c r="F968" s="62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16"/>
      <c r="C969" s="62"/>
      <c r="D969" s="62"/>
      <c r="E969" s="62"/>
      <c r="F969" s="62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16"/>
      <c r="C970" s="62"/>
      <c r="D970" s="62"/>
      <c r="E970" s="62"/>
      <c r="F970" s="62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16"/>
      <c r="C971" s="62"/>
      <c r="D971" s="62"/>
      <c r="E971" s="62"/>
      <c r="F971" s="62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16"/>
      <c r="C972" s="62"/>
      <c r="D972" s="62"/>
      <c r="E972" s="62"/>
      <c r="F972" s="62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16"/>
      <c r="C973" s="62"/>
      <c r="D973" s="62"/>
      <c r="E973" s="62"/>
      <c r="F973" s="62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16"/>
      <c r="C974" s="62"/>
      <c r="D974" s="62"/>
      <c r="E974" s="62"/>
      <c r="F974" s="62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16"/>
      <c r="C975" s="62"/>
      <c r="D975" s="62"/>
      <c r="E975" s="62"/>
      <c r="F975" s="62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16"/>
      <c r="C976" s="62"/>
      <c r="D976" s="62"/>
      <c r="E976" s="62"/>
      <c r="F976" s="62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16"/>
      <c r="C977" s="62"/>
      <c r="D977" s="62"/>
      <c r="E977" s="62"/>
      <c r="F977" s="62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16"/>
      <c r="C978" s="62"/>
      <c r="D978" s="62"/>
      <c r="E978" s="62"/>
      <c r="F978" s="62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16"/>
      <c r="C979" s="62"/>
      <c r="D979" s="62"/>
      <c r="E979" s="62"/>
      <c r="F979" s="62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16"/>
      <c r="C980" s="62"/>
      <c r="D980" s="62"/>
      <c r="E980" s="62"/>
      <c r="F980" s="62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16"/>
      <c r="C981" s="62"/>
      <c r="D981" s="62"/>
      <c r="E981" s="62"/>
      <c r="F981" s="62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16"/>
      <c r="C982" s="62"/>
      <c r="D982" s="62"/>
      <c r="E982" s="62"/>
      <c r="F982" s="62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16"/>
      <c r="C983" s="62"/>
      <c r="D983" s="62"/>
      <c r="E983" s="62"/>
      <c r="F983" s="62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16"/>
      <c r="C984" s="62"/>
      <c r="D984" s="62"/>
      <c r="E984" s="62"/>
      <c r="F984" s="62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16"/>
      <c r="C985" s="62"/>
      <c r="D985" s="62"/>
      <c r="E985" s="62"/>
      <c r="F985" s="62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16"/>
      <c r="C986" s="62"/>
      <c r="D986" s="62"/>
      <c r="E986" s="62"/>
      <c r="F986" s="62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16"/>
      <c r="C987" s="62"/>
      <c r="D987" s="62"/>
      <c r="E987" s="62"/>
      <c r="F987" s="62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16"/>
      <c r="C988" s="62"/>
      <c r="D988" s="62"/>
      <c r="E988" s="62"/>
      <c r="F988" s="62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16"/>
      <c r="C989" s="62"/>
      <c r="D989" s="62"/>
      <c r="E989" s="62"/>
      <c r="F989" s="62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16"/>
      <c r="C990" s="62"/>
      <c r="D990" s="62"/>
      <c r="E990" s="62"/>
      <c r="F990" s="62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16"/>
      <c r="C991" s="62"/>
      <c r="D991" s="62"/>
      <c r="E991" s="62"/>
      <c r="F991" s="62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16"/>
      <c r="C992" s="62"/>
      <c r="D992" s="62"/>
      <c r="E992" s="62"/>
      <c r="F992" s="62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16"/>
      <c r="C993" s="62"/>
      <c r="D993" s="62"/>
      <c r="E993" s="62"/>
      <c r="F993" s="62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16"/>
      <c r="C994" s="62"/>
      <c r="D994" s="62"/>
      <c r="E994" s="62"/>
      <c r="F994" s="62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16"/>
      <c r="C995" s="62"/>
      <c r="D995" s="62"/>
      <c r="E995" s="62"/>
      <c r="F995" s="62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16"/>
      <c r="C996" s="62"/>
      <c r="D996" s="62"/>
      <c r="E996" s="62"/>
      <c r="F996" s="62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16"/>
      <c r="C997" s="62"/>
      <c r="D997" s="62"/>
      <c r="E997" s="62"/>
      <c r="F997" s="62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16"/>
      <c r="C998" s="62"/>
      <c r="D998" s="62"/>
      <c r="E998" s="62"/>
      <c r="F998" s="62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16"/>
      <c r="C999" s="62"/>
      <c r="D999" s="62"/>
      <c r="E999" s="62"/>
      <c r="F999" s="62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16"/>
      <c r="C1000" s="62"/>
      <c r="D1000" s="62"/>
      <c r="E1000" s="62"/>
      <c r="F1000" s="62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3:O12" xr:uid="{00000000-0009-0000-0000-000005000000}"/>
  <mergeCells count="1">
    <mergeCell ref="G2:H2"/>
  </mergeCells>
  <dataValidations count="6">
    <dataValidation type="list" allowBlank="1" showErrorMessage="1" sqref="F1:F3 F10:F17 T18 F19:F1000" xr:uid="{00000000-0002-0000-0500-000000000000}">
      <formula1>$N$4:$N$5</formula1>
    </dataValidation>
    <dataValidation type="list" allowBlank="1" showErrorMessage="1" sqref="J1" xr:uid="{00000000-0002-0000-0500-000001000000}">
      <formula1>$M$4:$M$46</formula1>
    </dataValidation>
    <dataValidation type="list" allowBlank="1" showErrorMessage="1" sqref="E4:E10" xr:uid="{00000000-0002-0000-0500-000002000000}">
      <formula1>$O$2:$O$10</formula1>
    </dataValidation>
    <dataValidation type="list" allowBlank="1" showErrorMessage="1" sqref="E1:E3 S18 E11:E1000" xr:uid="{00000000-0002-0000-0500-000003000000}">
      <formula1>$O$4:$O$8</formula1>
    </dataValidation>
    <dataValidation type="list" allowBlank="1" showErrorMessage="1" sqref="J2:J3 J12:J1000" xr:uid="{00000000-0002-0000-0500-000004000000}">
      <formula1>$M$4:$M$21</formula1>
    </dataValidation>
    <dataValidation type="list" allowBlank="1" showErrorMessage="1" sqref="F4:F9" xr:uid="{00000000-0002-0000-05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1000"/>
  <sheetViews>
    <sheetView workbookViewId="0">
      <pane xSplit="4" ySplit="3" topLeftCell="E976" activePane="bottomRight" state="frozen"/>
      <selection pane="topRight" activeCell="E1" sqref="E1"/>
      <selection pane="bottomLeft" activeCell="A4" sqref="A4"/>
      <selection pane="bottomRight" activeCell="A637" sqref="A637:A996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5.33203125" customWidth="1"/>
    <col min="7" max="8" width="12.109375" customWidth="1"/>
    <col min="9" max="9" width="15.6640625" customWidth="1"/>
    <col min="10" max="10" width="34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106" t="s">
        <v>237</v>
      </c>
      <c r="B1" s="97"/>
      <c r="C1" s="100"/>
      <c r="D1" s="100"/>
      <c r="E1" s="100"/>
      <c r="F1" s="100"/>
      <c r="G1" s="97"/>
      <c r="H1" s="107" t="s">
        <v>63</v>
      </c>
      <c r="I1" s="108">
        <f>SUBTOTAL(9,I4:I12000)</f>
        <v>7246.74</v>
      </c>
      <c r="J1" s="109" t="s">
        <v>80</v>
      </c>
      <c r="K1" s="9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147" t="s">
        <v>82</v>
      </c>
      <c r="B2" s="147" t="s">
        <v>125</v>
      </c>
      <c r="C2" s="147" t="s">
        <v>126</v>
      </c>
      <c r="D2" s="147" t="s">
        <v>127</v>
      </c>
      <c r="E2" s="147" t="s">
        <v>128</v>
      </c>
      <c r="F2" s="147" t="s">
        <v>129</v>
      </c>
      <c r="G2" s="147" t="s">
        <v>130</v>
      </c>
      <c r="H2" s="148"/>
      <c r="I2" s="147" t="s">
        <v>131</v>
      </c>
      <c r="J2" s="147" t="s">
        <v>132</v>
      </c>
      <c r="K2" s="111" t="s">
        <v>4</v>
      </c>
      <c r="L2" s="39"/>
      <c r="M2" s="68" t="s">
        <v>133</v>
      </c>
      <c r="N2" s="68" t="s">
        <v>134</v>
      </c>
      <c r="O2" s="68" t="s">
        <v>135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147"/>
      <c r="B3" s="147"/>
      <c r="C3" s="147"/>
      <c r="D3" s="147"/>
      <c r="E3" s="147"/>
      <c r="F3" s="147"/>
      <c r="G3" s="112" t="s">
        <v>136</v>
      </c>
      <c r="H3" s="112" t="s">
        <v>137</v>
      </c>
      <c r="I3" s="147"/>
      <c r="J3" s="147"/>
      <c r="K3" s="111"/>
      <c r="L3" s="39"/>
      <c r="M3" s="88"/>
      <c r="N3" s="88"/>
      <c r="O3" s="88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3">
      <c r="A4" s="16">
        <v>1</v>
      </c>
      <c r="B4" s="74">
        <v>244354</v>
      </c>
      <c r="C4" s="75" t="s">
        <v>238</v>
      </c>
      <c r="D4" s="75" t="s">
        <v>239</v>
      </c>
      <c r="E4" s="75" t="s">
        <v>240</v>
      </c>
      <c r="F4" s="75" t="s">
        <v>241</v>
      </c>
      <c r="G4" s="16"/>
      <c r="H4" s="16"/>
      <c r="I4" s="15">
        <v>180</v>
      </c>
      <c r="J4" s="16" t="s">
        <v>242</v>
      </c>
      <c r="K4" s="16"/>
      <c r="L4" s="16"/>
      <c r="M4" s="77" t="s">
        <v>68</v>
      </c>
      <c r="N4" s="77" t="s">
        <v>241</v>
      </c>
      <c r="O4" s="78" t="s">
        <v>140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3">
      <c r="A5" s="16">
        <v>2</v>
      </c>
      <c r="B5" s="74">
        <v>244354</v>
      </c>
      <c r="C5" s="75" t="s">
        <v>243</v>
      </c>
      <c r="D5" s="75" t="s">
        <v>244</v>
      </c>
      <c r="E5" s="75" t="s">
        <v>240</v>
      </c>
      <c r="F5" s="75" t="s">
        <v>241</v>
      </c>
      <c r="G5" s="16"/>
      <c r="H5" s="16"/>
      <c r="I5" s="15">
        <v>100</v>
      </c>
      <c r="J5" s="16" t="s">
        <v>242</v>
      </c>
      <c r="K5" s="16"/>
      <c r="L5" s="16"/>
      <c r="M5" s="77" t="s">
        <v>69</v>
      </c>
      <c r="N5" s="77" t="s">
        <v>245</v>
      </c>
      <c r="O5" s="79" t="s">
        <v>150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3">
      <c r="A6" s="16">
        <v>3</v>
      </c>
      <c r="B6" s="74">
        <v>244354</v>
      </c>
      <c r="C6" s="75" t="s">
        <v>246</v>
      </c>
      <c r="D6" s="75" t="s">
        <v>247</v>
      </c>
      <c r="E6" s="75" t="s">
        <v>240</v>
      </c>
      <c r="F6" s="75" t="s">
        <v>241</v>
      </c>
      <c r="G6" s="16"/>
      <c r="H6" s="16"/>
      <c r="I6" s="15">
        <v>280</v>
      </c>
      <c r="J6" s="16" t="s">
        <v>242</v>
      </c>
      <c r="K6" s="16"/>
      <c r="L6" s="16"/>
      <c r="M6" s="77" t="s">
        <v>70</v>
      </c>
      <c r="N6" s="77" t="s">
        <v>248</v>
      </c>
      <c r="O6" s="78" t="s">
        <v>154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3">
      <c r="A7" s="16">
        <v>4</v>
      </c>
      <c r="B7" s="74">
        <v>244354</v>
      </c>
      <c r="C7" s="75" t="s">
        <v>249</v>
      </c>
      <c r="D7" s="75" t="s">
        <v>250</v>
      </c>
      <c r="E7" s="75" t="s">
        <v>240</v>
      </c>
      <c r="F7" s="75" t="s">
        <v>241</v>
      </c>
      <c r="G7" s="16"/>
      <c r="H7" s="16"/>
      <c r="I7" s="15">
        <v>123</v>
      </c>
      <c r="J7" s="16" t="s">
        <v>242</v>
      </c>
      <c r="K7" s="16"/>
      <c r="L7" s="16"/>
      <c r="M7" s="77" t="s">
        <v>159</v>
      </c>
      <c r="N7" s="77" t="s">
        <v>251</v>
      </c>
      <c r="O7" s="77" t="s">
        <v>240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3">
      <c r="A8" s="16">
        <v>5</v>
      </c>
      <c r="B8" s="74">
        <v>244354</v>
      </c>
      <c r="C8" s="62" t="s">
        <v>252</v>
      </c>
      <c r="D8" s="75" t="s">
        <v>253</v>
      </c>
      <c r="E8" s="75" t="s">
        <v>240</v>
      </c>
      <c r="F8" s="75" t="s">
        <v>241</v>
      </c>
      <c r="G8" s="16"/>
      <c r="H8" s="16"/>
      <c r="I8" s="15">
        <v>109</v>
      </c>
      <c r="J8" s="16" t="s">
        <v>242</v>
      </c>
      <c r="K8" s="16"/>
      <c r="L8" s="16"/>
      <c r="M8" s="77" t="s">
        <v>254</v>
      </c>
      <c r="N8" s="77" t="s">
        <v>255</v>
      </c>
      <c r="O8" s="77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3">
      <c r="A9" s="16">
        <v>6</v>
      </c>
      <c r="B9" s="74">
        <v>244474</v>
      </c>
      <c r="C9" s="75" t="s">
        <v>256</v>
      </c>
      <c r="D9" s="75" t="s">
        <v>257</v>
      </c>
      <c r="E9" s="75" t="s">
        <v>240</v>
      </c>
      <c r="F9" s="75" t="s">
        <v>241</v>
      </c>
      <c r="G9" s="16"/>
      <c r="H9" s="16"/>
      <c r="I9" s="15">
        <v>220</v>
      </c>
      <c r="J9" s="16" t="s">
        <v>242</v>
      </c>
      <c r="K9" s="16"/>
      <c r="L9" s="16"/>
      <c r="M9" s="77" t="s">
        <v>258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3">
      <c r="A10" s="16">
        <v>7</v>
      </c>
      <c r="B10" s="74">
        <v>244474</v>
      </c>
      <c r="C10" s="75" t="s">
        <v>259</v>
      </c>
      <c r="D10" s="75" t="s">
        <v>260</v>
      </c>
      <c r="E10" s="75" t="s">
        <v>240</v>
      </c>
      <c r="F10" s="75" t="s">
        <v>241</v>
      </c>
      <c r="G10" s="16"/>
      <c r="H10" s="62"/>
      <c r="I10" s="15">
        <v>100</v>
      </c>
      <c r="J10" s="16" t="s">
        <v>242</v>
      </c>
      <c r="K10" s="89"/>
      <c r="L10" s="89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3">
      <c r="A11" s="16">
        <v>8</v>
      </c>
      <c r="B11" s="74">
        <v>244474</v>
      </c>
      <c r="C11" s="75" t="s">
        <v>261</v>
      </c>
      <c r="D11" s="75" t="s">
        <v>262</v>
      </c>
      <c r="E11" s="75" t="s">
        <v>240</v>
      </c>
      <c r="F11" s="75" t="s">
        <v>251</v>
      </c>
      <c r="G11" s="16"/>
      <c r="H11" s="62"/>
      <c r="I11" s="15">
        <v>206</v>
      </c>
      <c r="J11" s="16" t="s">
        <v>242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16">
        <v>9</v>
      </c>
      <c r="B12" s="74">
        <v>244474</v>
      </c>
      <c r="C12" s="75" t="s">
        <v>263</v>
      </c>
      <c r="D12" s="75" t="s">
        <v>264</v>
      </c>
      <c r="E12" s="75" t="s">
        <v>240</v>
      </c>
      <c r="F12" s="75" t="s">
        <v>251</v>
      </c>
      <c r="G12" s="62"/>
      <c r="H12" s="16"/>
      <c r="I12" s="15">
        <v>130</v>
      </c>
      <c r="J12" s="16" t="s">
        <v>242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>
        <v>10</v>
      </c>
      <c r="B13" s="74">
        <v>244474</v>
      </c>
      <c r="C13" s="75" t="s">
        <v>265</v>
      </c>
      <c r="D13" s="75" t="s">
        <v>266</v>
      </c>
      <c r="E13" s="75" t="s">
        <v>240</v>
      </c>
      <c r="F13" s="75" t="s">
        <v>241</v>
      </c>
      <c r="G13" s="62"/>
      <c r="H13" s="16"/>
      <c r="I13" s="15">
        <v>400</v>
      </c>
      <c r="J13" s="16" t="s">
        <v>242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>
        <v>11</v>
      </c>
      <c r="B14" s="74">
        <v>244535</v>
      </c>
      <c r="C14" s="75" t="s">
        <v>267</v>
      </c>
      <c r="D14" s="75" t="s">
        <v>268</v>
      </c>
      <c r="E14" s="75" t="s">
        <v>240</v>
      </c>
      <c r="F14" s="75" t="s">
        <v>241</v>
      </c>
      <c r="G14" s="62"/>
      <c r="H14" s="16"/>
      <c r="I14" s="15">
        <v>100</v>
      </c>
      <c r="J14" s="16" t="s">
        <v>242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>
        <v>12</v>
      </c>
      <c r="B15" s="74">
        <v>244535</v>
      </c>
      <c r="C15" s="75" t="s">
        <v>269</v>
      </c>
      <c r="D15" s="75" t="s">
        <v>270</v>
      </c>
      <c r="E15" s="75" t="s">
        <v>240</v>
      </c>
      <c r="F15" s="75" t="s">
        <v>241</v>
      </c>
      <c r="G15" s="62"/>
      <c r="H15" s="16"/>
      <c r="I15" s="15">
        <v>100</v>
      </c>
      <c r="J15" s="16" t="s">
        <v>242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>
        <v>13</v>
      </c>
      <c r="B16" s="74">
        <v>244535</v>
      </c>
      <c r="C16" s="75" t="s">
        <v>271</v>
      </c>
      <c r="D16" s="75" t="s">
        <v>272</v>
      </c>
      <c r="E16" s="75" t="s">
        <v>240</v>
      </c>
      <c r="F16" s="75" t="s">
        <v>241</v>
      </c>
      <c r="G16" s="62"/>
      <c r="H16" s="16"/>
      <c r="I16" s="15">
        <v>50</v>
      </c>
      <c r="J16" s="16" t="s">
        <v>242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4.75" customHeight="1" x14ac:dyDescent="0.3">
      <c r="A17" s="16">
        <v>14</v>
      </c>
      <c r="B17" s="74">
        <v>244535</v>
      </c>
      <c r="C17" s="75" t="s">
        <v>273</v>
      </c>
      <c r="D17" s="75" t="s">
        <v>274</v>
      </c>
      <c r="E17" s="75" t="s">
        <v>240</v>
      </c>
      <c r="F17" s="75" t="s">
        <v>241</v>
      </c>
      <c r="G17" s="16"/>
      <c r="H17" s="62"/>
      <c r="I17" s="15">
        <v>184</v>
      </c>
      <c r="J17" s="16" t="s">
        <v>242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>
        <v>15</v>
      </c>
      <c r="B18" s="74">
        <v>244566</v>
      </c>
      <c r="C18" s="75" t="s">
        <v>275</v>
      </c>
      <c r="D18" s="75" t="s">
        <v>276</v>
      </c>
      <c r="E18" s="75" t="s">
        <v>240</v>
      </c>
      <c r="F18" s="75" t="s">
        <v>241</v>
      </c>
      <c r="G18" s="16"/>
      <c r="H18" s="62"/>
      <c r="I18" s="15">
        <v>180</v>
      </c>
      <c r="J18" s="16" t="s">
        <v>242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16">
        <v>16</v>
      </c>
      <c r="B19" s="74">
        <v>244597</v>
      </c>
      <c r="C19" s="75" t="s">
        <v>277</v>
      </c>
      <c r="D19" s="75" t="s">
        <v>278</v>
      </c>
      <c r="E19" s="75" t="s">
        <v>240</v>
      </c>
      <c r="F19" s="75" t="s">
        <v>241</v>
      </c>
      <c r="G19" s="16"/>
      <c r="H19" s="62"/>
      <c r="I19" s="15">
        <v>170</v>
      </c>
      <c r="J19" s="16" t="s">
        <v>242</v>
      </c>
      <c r="K19" s="16"/>
      <c r="L19" s="89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>
        <v>17</v>
      </c>
      <c r="B20" s="74">
        <v>244627</v>
      </c>
      <c r="C20" s="75" t="s">
        <v>279</v>
      </c>
      <c r="D20" s="75" t="s">
        <v>280</v>
      </c>
      <c r="E20" s="75" t="s">
        <v>240</v>
      </c>
      <c r="F20" s="75" t="s">
        <v>241</v>
      </c>
      <c r="G20" s="16"/>
      <c r="H20" s="62"/>
      <c r="I20" s="15">
        <v>100</v>
      </c>
      <c r="J20" s="16" t="s">
        <v>242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>
        <v>18</v>
      </c>
      <c r="B21" s="74">
        <v>244627</v>
      </c>
      <c r="C21" s="75" t="s">
        <v>281</v>
      </c>
      <c r="D21" s="75" t="s">
        <v>282</v>
      </c>
      <c r="E21" s="75" t="s">
        <v>240</v>
      </c>
      <c r="F21" s="75" t="s">
        <v>241</v>
      </c>
      <c r="G21" s="16"/>
      <c r="H21" s="62"/>
      <c r="I21" s="15">
        <v>139</v>
      </c>
      <c r="J21" s="16" t="s">
        <v>242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>
        <v>19</v>
      </c>
      <c r="B22" s="16" t="s">
        <v>283</v>
      </c>
      <c r="C22" s="75" t="s">
        <v>284</v>
      </c>
      <c r="D22" s="75" t="s">
        <v>285</v>
      </c>
      <c r="E22" s="75" t="s">
        <v>240</v>
      </c>
      <c r="F22" s="75" t="s">
        <v>241</v>
      </c>
      <c r="G22" s="16"/>
      <c r="H22" s="62"/>
      <c r="I22" s="15">
        <v>200</v>
      </c>
      <c r="J22" s="16" t="s">
        <v>242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>
        <v>20</v>
      </c>
      <c r="B23" s="16" t="s">
        <v>283</v>
      </c>
      <c r="C23" s="75" t="s">
        <v>286</v>
      </c>
      <c r="D23" s="75" t="s">
        <v>287</v>
      </c>
      <c r="E23" s="75" t="s">
        <v>240</v>
      </c>
      <c r="F23" s="75" t="s">
        <v>241</v>
      </c>
      <c r="G23" s="16"/>
      <c r="H23" s="16"/>
      <c r="I23" s="15">
        <v>170</v>
      </c>
      <c r="J23" s="16" t="s">
        <v>242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>
        <v>21</v>
      </c>
      <c r="B24" s="16" t="s">
        <v>288</v>
      </c>
      <c r="C24" s="75" t="s">
        <v>289</v>
      </c>
      <c r="D24" s="75" t="s">
        <v>290</v>
      </c>
      <c r="E24" s="75" t="s">
        <v>240</v>
      </c>
      <c r="F24" s="75" t="s">
        <v>241</v>
      </c>
      <c r="G24" s="16"/>
      <c r="H24" s="62"/>
      <c r="I24" s="15">
        <v>350</v>
      </c>
      <c r="J24" s="16" t="s">
        <v>242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>
        <v>22</v>
      </c>
      <c r="B25" s="16" t="s">
        <v>288</v>
      </c>
      <c r="C25" s="75" t="s">
        <v>291</v>
      </c>
      <c r="D25" s="75" t="s">
        <v>292</v>
      </c>
      <c r="E25" s="75" t="s">
        <v>240</v>
      </c>
      <c r="F25" s="75" t="s">
        <v>241</v>
      </c>
      <c r="G25" s="16"/>
      <c r="H25" s="62"/>
      <c r="I25" s="15">
        <v>120</v>
      </c>
      <c r="J25" s="16" t="s">
        <v>242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>
        <v>23</v>
      </c>
      <c r="B26" s="16" t="s">
        <v>288</v>
      </c>
      <c r="C26" s="75" t="s">
        <v>293</v>
      </c>
      <c r="D26" s="75" t="s">
        <v>294</v>
      </c>
      <c r="E26" s="75" t="s">
        <v>240</v>
      </c>
      <c r="F26" s="75" t="s">
        <v>241</v>
      </c>
      <c r="G26" s="16"/>
      <c r="H26" s="62"/>
      <c r="I26" s="15">
        <v>120</v>
      </c>
      <c r="J26" s="16" t="s">
        <v>242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>
        <v>24</v>
      </c>
      <c r="B27" s="16" t="s">
        <v>288</v>
      </c>
      <c r="C27" s="62" t="s">
        <v>295</v>
      </c>
      <c r="D27" s="75" t="s">
        <v>296</v>
      </c>
      <c r="E27" s="75" t="s">
        <v>240</v>
      </c>
      <c r="F27" s="75" t="s">
        <v>241</v>
      </c>
      <c r="G27" s="16"/>
      <c r="H27" s="62"/>
      <c r="I27" s="15">
        <v>120</v>
      </c>
      <c r="J27" s="16" t="s">
        <v>242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>
        <v>25</v>
      </c>
      <c r="B28" s="16" t="s">
        <v>288</v>
      </c>
      <c r="C28" s="62" t="s">
        <v>297</v>
      </c>
      <c r="D28" s="75" t="s">
        <v>298</v>
      </c>
      <c r="E28" s="75" t="s">
        <v>240</v>
      </c>
      <c r="F28" s="75" t="s">
        <v>241</v>
      </c>
      <c r="G28" s="16"/>
      <c r="H28" s="62"/>
      <c r="I28" s="15">
        <v>100</v>
      </c>
      <c r="J28" s="16" t="s">
        <v>242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>
        <v>26</v>
      </c>
      <c r="B29" s="16" t="s">
        <v>288</v>
      </c>
      <c r="C29" s="62" t="s">
        <v>299</v>
      </c>
      <c r="D29" s="75" t="s">
        <v>300</v>
      </c>
      <c r="E29" s="75" t="s">
        <v>240</v>
      </c>
      <c r="F29" s="75" t="s">
        <v>251</v>
      </c>
      <c r="G29" s="16"/>
      <c r="H29" s="62"/>
      <c r="I29" s="15">
        <v>436</v>
      </c>
      <c r="J29" s="16" t="s">
        <v>242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>
        <v>27</v>
      </c>
      <c r="B30" s="16" t="s">
        <v>288</v>
      </c>
      <c r="C30" s="62" t="s">
        <v>301</v>
      </c>
      <c r="D30" s="75" t="s">
        <v>302</v>
      </c>
      <c r="E30" s="75" t="s">
        <v>240</v>
      </c>
      <c r="F30" s="75" t="s">
        <v>241</v>
      </c>
      <c r="G30" s="16"/>
      <c r="H30" s="62"/>
      <c r="I30" s="15">
        <v>60</v>
      </c>
      <c r="J30" s="16" t="s">
        <v>242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>
        <v>28</v>
      </c>
      <c r="B31" s="16" t="s">
        <v>303</v>
      </c>
      <c r="C31" s="62" t="s">
        <v>304</v>
      </c>
      <c r="D31" s="75" t="s">
        <v>305</v>
      </c>
      <c r="E31" s="75" t="s">
        <v>240</v>
      </c>
      <c r="F31" s="75" t="s">
        <v>241</v>
      </c>
      <c r="G31" s="16"/>
      <c r="H31" s="62"/>
      <c r="I31" s="15">
        <v>120</v>
      </c>
      <c r="J31" s="16" t="s">
        <v>242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>
        <v>29</v>
      </c>
      <c r="B32" s="16" t="s">
        <v>303</v>
      </c>
      <c r="C32" s="75" t="s">
        <v>306</v>
      </c>
      <c r="D32" s="75" t="s">
        <v>307</v>
      </c>
      <c r="E32" s="75" t="s">
        <v>240</v>
      </c>
      <c r="F32" s="75" t="s">
        <v>241</v>
      </c>
      <c r="G32" s="16"/>
      <c r="H32" s="62"/>
      <c r="I32" s="15">
        <v>100</v>
      </c>
      <c r="J32" s="16" t="s">
        <v>242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>
        <v>30</v>
      </c>
      <c r="B33" s="16" t="s">
        <v>303</v>
      </c>
      <c r="C33" s="75" t="s">
        <v>308</v>
      </c>
      <c r="D33" s="75" t="s">
        <v>309</v>
      </c>
      <c r="E33" s="75" t="s">
        <v>240</v>
      </c>
      <c r="F33" s="75" t="s">
        <v>241</v>
      </c>
      <c r="G33" s="16"/>
      <c r="H33" s="62"/>
      <c r="I33" s="15">
        <v>109</v>
      </c>
      <c r="J33" s="16" t="s">
        <v>242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>
        <v>31</v>
      </c>
      <c r="B34" s="16" t="s">
        <v>303</v>
      </c>
      <c r="C34" s="75" t="s">
        <v>310</v>
      </c>
      <c r="D34" s="75" t="s">
        <v>311</v>
      </c>
      <c r="E34" s="75" t="s">
        <v>240</v>
      </c>
      <c r="F34" s="75" t="s">
        <v>251</v>
      </c>
      <c r="G34" s="16"/>
      <c r="H34" s="62"/>
      <c r="I34" s="15">
        <v>85.5</v>
      </c>
      <c r="J34" s="16" t="s">
        <v>242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>
        <v>32</v>
      </c>
      <c r="B35" s="16" t="s">
        <v>303</v>
      </c>
      <c r="C35" s="75" t="s">
        <v>312</v>
      </c>
      <c r="D35" s="75" t="s">
        <v>313</v>
      </c>
      <c r="E35" s="75" t="s">
        <v>240</v>
      </c>
      <c r="F35" s="75" t="s">
        <v>241</v>
      </c>
      <c r="G35" s="16"/>
      <c r="H35" s="62"/>
      <c r="I35" s="15">
        <v>87.4</v>
      </c>
      <c r="J35" s="16" t="s">
        <v>242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>
        <v>33</v>
      </c>
      <c r="B36" s="16" t="s">
        <v>303</v>
      </c>
      <c r="C36" s="75" t="s">
        <v>314</v>
      </c>
      <c r="D36" s="75" t="s">
        <v>315</v>
      </c>
      <c r="E36" s="75" t="s">
        <v>240</v>
      </c>
      <c r="F36" s="75" t="s">
        <v>241</v>
      </c>
      <c r="G36" s="16"/>
      <c r="H36" s="62"/>
      <c r="I36" s="15">
        <v>120</v>
      </c>
      <c r="J36" s="16" t="s">
        <v>242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>
        <v>34</v>
      </c>
      <c r="B37" s="16" t="s">
        <v>316</v>
      </c>
      <c r="C37" s="75" t="s">
        <v>317</v>
      </c>
      <c r="D37" s="75" t="s">
        <v>318</v>
      </c>
      <c r="E37" s="75" t="s">
        <v>240</v>
      </c>
      <c r="F37" s="75" t="s">
        <v>241</v>
      </c>
      <c r="G37" s="16"/>
      <c r="H37" s="62"/>
      <c r="I37" s="15">
        <v>59.62</v>
      </c>
      <c r="J37" s="16" t="s">
        <v>242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>
        <v>35</v>
      </c>
      <c r="B38" s="16" t="s">
        <v>316</v>
      </c>
      <c r="C38" s="75" t="s">
        <v>319</v>
      </c>
      <c r="D38" s="75" t="s">
        <v>320</v>
      </c>
      <c r="E38" s="75" t="s">
        <v>240</v>
      </c>
      <c r="F38" s="75" t="s">
        <v>241</v>
      </c>
      <c r="G38" s="16"/>
      <c r="H38" s="62"/>
      <c r="I38" s="15">
        <v>220</v>
      </c>
      <c r="J38" s="16" t="s">
        <v>242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>
        <v>36</v>
      </c>
      <c r="B39" s="16" t="s">
        <v>316</v>
      </c>
      <c r="C39" s="75" t="s">
        <v>321</v>
      </c>
      <c r="D39" s="75" t="s">
        <v>322</v>
      </c>
      <c r="E39" s="75" t="s">
        <v>240</v>
      </c>
      <c r="F39" s="75" t="s">
        <v>251</v>
      </c>
      <c r="G39" s="16"/>
      <c r="H39" s="62"/>
      <c r="I39" s="15">
        <v>99</v>
      </c>
      <c r="J39" s="16" t="s">
        <v>242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>
        <v>37</v>
      </c>
      <c r="B40" s="16" t="s">
        <v>316</v>
      </c>
      <c r="C40" s="75" t="s">
        <v>323</v>
      </c>
      <c r="D40" s="75" t="s">
        <v>324</v>
      </c>
      <c r="E40" s="75" t="s">
        <v>240</v>
      </c>
      <c r="F40" s="75" t="s">
        <v>241</v>
      </c>
      <c r="G40" s="16"/>
      <c r="H40" s="62"/>
      <c r="I40" s="15">
        <v>109</v>
      </c>
      <c r="J40" s="16" t="s">
        <v>242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>
        <v>38</v>
      </c>
      <c r="B41" s="16" t="s">
        <v>316</v>
      </c>
      <c r="C41" s="75" t="s">
        <v>325</v>
      </c>
      <c r="D41" s="75" t="s">
        <v>326</v>
      </c>
      <c r="E41" s="75" t="s">
        <v>240</v>
      </c>
      <c r="F41" s="75" t="s">
        <v>241</v>
      </c>
      <c r="G41" s="16"/>
      <c r="H41" s="62"/>
      <c r="I41" s="15">
        <v>60</v>
      </c>
      <c r="J41" s="16" t="s">
        <v>242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>
        <v>39</v>
      </c>
      <c r="B42" s="16" t="s">
        <v>327</v>
      </c>
      <c r="C42" s="75" t="s">
        <v>328</v>
      </c>
      <c r="D42" s="75" t="s">
        <v>329</v>
      </c>
      <c r="E42" s="75" t="s">
        <v>240</v>
      </c>
      <c r="F42" s="75" t="s">
        <v>241</v>
      </c>
      <c r="G42" s="16"/>
      <c r="H42" s="62"/>
      <c r="I42" s="15">
        <v>87.59</v>
      </c>
      <c r="J42" s="16" t="s">
        <v>242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>
        <v>40</v>
      </c>
      <c r="B43" s="16" t="s">
        <v>327</v>
      </c>
      <c r="C43" s="75" t="s">
        <v>330</v>
      </c>
      <c r="D43" s="75" t="s">
        <v>331</v>
      </c>
      <c r="E43" s="75" t="s">
        <v>240</v>
      </c>
      <c r="F43" s="75" t="s">
        <v>241</v>
      </c>
      <c r="G43" s="16"/>
      <c r="H43" s="62"/>
      <c r="I43" s="15">
        <v>104.28</v>
      </c>
      <c r="J43" s="16" t="s">
        <v>242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>
        <v>41</v>
      </c>
      <c r="B44" s="16" t="s">
        <v>327</v>
      </c>
      <c r="C44" s="75" t="s">
        <v>332</v>
      </c>
      <c r="D44" s="75" t="s">
        <v>333</v>
      </c>
      <c r="E44" s="75" t="s">
        <v>240</v>
      </c>
      <c r="F44" s="75" t="s">
        <v>241</v>
      </c>
      <c r="G44" s="16"/>
      <c r="H44" s="62"/>
      <c r="I44" s="15">
        <v>220</v>
      </c>
      <c r="J44" s="16" t="s">
        <v>242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>
        <v>42</v>
      </c>
      <c r="B45" s="16" t="s">
        <v>327</v>
      </c>
      <c r="C45" s="75" t="s">
        <v>334</v>
      </c>
      <c r="D45" s="75" t="s">
        <v>335</v>
      </c>
      <c r="E45" s="75" t="s">
        <v>240</v>
      </c>
      <c r="F45" s="75" t="s">
        <v>251</v>
      </c>
      <c r="G45" s="16"/>
      <c r="H45" s="62"/>
      <c r="I45" s="15">
        <v>89.1</v>
      </c>
      <c r="J45" s="16" t="s">
        <v>242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>
        <v>43</v>
      </c>
      <c r="B46" s="16" t="s">
        <v>327</v>
      </c>
      <c r="C46" s="75" t="s">
        <v>336</v>
      </c>
      <c r="D46" s="75" t="s">
        <v>337</v>
      </c>
      <c r="E46" s="75" t="s">
        <v>240</v>
      </c>
      <c r="F46" s="75" t="s">
        <v>241</v>
      </c>
      <c r="G46" s="16"/>
      <c r="H46" s="62"/>
      <c r="I46" s="15">
        <v>104.08</v>
      </c>
      <c r="J46" s="16" t="s">
        <v>242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>
        <v>44</v>
      </c>
      <c r="B47" s="16" t="s">
        <v>327</v>
      </c>
      <c r="C47" s="75" t="s">
        <v>338</v>
      </c>
      <c r="D47" s="75" t="s">
        <v>339</v>
      </c>
      <c r="E47" s="75" t="s">
        <v>240</v>
      </c>
      <c r="F47" s="75" t="s">
        <v>241</v>
      </c>
      <c r="G47" s="16"/>
      <c r="H47" s="62"/>
      <c r="I47" s="15">
        <v>110.18</v>
      </c>
      <c r="J47" s="16" t="s">
        <v>242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>
        <v>45</v>
      </c>
      <c r="B48" s="16" t="s">
        <v>327</v>
      </c>
      <c r="C48" s="75" t="s">
        <v>340</v>
      </c>
      <c r="D48" s="75" t="s">
        <v>341</v>
      </c>
      <c r="E48" s="75" t="s">
        <v>240</v>
      </c>
      <c r="F48" s="75" t="s">
        <v>241</v>
      </c>
      <c r="G48" s="16"/>
      <c r="H48" s="62"/>
      <c r="I48" s="15">
        <v>160</v>
      </c>
      <c r="J48" s="16" t="s">
        <v>242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>
        <v>46</v>
      </c>
      <c r="B49" s="16" t="s">
        <v>327</v>
      </c>
      <c r="C49" s="75" t="s">
        <v>342</v>
      </c>
      <c r="D49" s="75" t="s">
        <v>343</v>
      </c>
      <c r="E49" s="75" t="s">
        <v>240</v>
      </c>
      <c r="F49" s="75" t="s">
        <v>241</v>
      </c>
      <c r="G49" s="16"/>
      <c r="H49" s="62"/>
      <c r="I49" s="15">
        <v>132</v>
      </c>
      <c r="J49" s="16" t="s">
        <v>242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>
        <v>47</v>
      </c>
      <c r="B50" s="16" t="s">
        <v>327</v>
      </c>
      <c r="C50" s="75" t="s">
        <v>344</v>
      </c>
      <c r="D50" s="75" t="s">
        <v>345</v>
      </c>
      <c r="E50" s="75" t="s">
        <v>240</v>
      </c>
      <c r="F50" s="75" t="s">
        <v>241</v>
      </c>
      <c r="G50" s="16"/>
      <c r="H50" s="62"/>
      <c r="I50" s="15">
        <v>99</v>
      </c>
      <c r="J50" s="16" t="s">
        <v>242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>
        <v>48</v>
      </c>
      <c r="B51" s="16" t="s">
        <v>327</v>
      </c>
      <c r="C51" s="75" t="s">
        <v>346</v>
      </c>
      <c r="D51" s="75" t="s">
        <v>347</v>
      </c>
      <c r="E51" s="75" t="s">
        <v>240</v>
      </c>
      <c r="F51" s="75" t="s">
        <v>241</v>
      </c>
      <c r="G51" s="16"/>
      <c r="H51" s="62"/>
      <c r="I51" s="15">
        <v>132</v>
      </c>
      <c r="J51" s="16" t="s">
        <v>242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>
        <v>49</v>
      </c>
      <c r="B52" s="16" t="s">
        <v>327</v>
      </c>
      <c r="C52" s="75" t="s">
        <v>348</v>
      </c>
      <c r="D52" s="75" t="s">
        <v>349</v>
      </c>
      <c r="E52" s="75" t="s">
        <v>240</v>
      </c>
      <c r="F52" s="75" t="s">
        <v>241</v>
      </c>
      <c r="G52" s="16"/>
      <c r="H52" s="62"/>
      <c r="I52" s="15">
        <v>129</v>
      </c>
      <c r="J52" s="16" t="s">
        <v>242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>
        <v>50</v>
      </c>
      <c r="B53" s="16" t="s">
        <v>350</v>
      </c>
      <c r="C53" s="75" t="s">
        <v>351</v>
      </c>
      <c r="D53" s="75" t="s">
        <v>352</v>
      </c>
      <c r="E53" s="75" t="s">
        <v>240</v>
      </c>
      <c r="F53" s="75" t="s">
        <v>241</v>
      </c>
      <c r="G53" s="16"/>
      <c r="H53" s="62"/>
      <c r="I53" s="15">
        <v>60</v>
      </c>
      <c r="J53" s="16" t="s">
        <v>242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>
        <v>51</v>
      </c>
      <c r="B54" s="16" t="s">
        <v>350</v>
      </c>
      <c r="C54" s="75" t="s">
        <v>353</v>
      </c>
      <c r="D54" s="75" t="s">
        <v>354</v>
      </c>
      <c r="E54" s="75" t="s">
        <v>240</v>
      </c>
      <c r="F54" s="75" t="s">
        <v>241</v>
      </c>
      <c r="G54" s="16"/>
      <c r="H54" s="62"/>
      <c r="I54" s="15">
        <v>102.99</v>
      </c>
      <c r="J54" s="16" t="s">
        <v>242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16"/>
      <c r="C55" s="75"/>
      <c r="D55" s="75"/>
      <c r="E55" s="75"/>
      <c r="F55" s="75"/>
      <c r="G55" s="16"/>
      <c r="H55" s="62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16"/>
      <c r="C56" s="75"/>
      <c r="D56" s="75"/>
      <c r="E56" s="75"/>
      <c r="F56" s="75"/>
      <c r="G56" s="16"/>
      <c r="H56" s="62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16"/>
      <c r="C57" s="75"/>
      <c r="D57" s="75"/>
      <c r="E57" s="75"/>
      <c r="F57" s="75"/>
      <c r="G57" s="16"/>
      <c r="H57" s="62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16"/>
      <c r="C58" s="75"/>
      <c r="D58" s="75"/>
      <c r="E58" s="75"/>
      <c r="F58" s="75"/>
      <c r="G58" s="16"/>
      <c r="H58" s="62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16"/>
      <c r="C59" s="75"/>
      <c r="D59" s="75"/>
      <c r="E59" s="75"/>
      <c r="F59" s="75"/>
      <c r="G59" s="16"/>
      <c r="H59" s="62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16"/>
      <c r="C60" s="75"/>
      <c r="D60" s="75"/>
      <c r="E60" s="75"/>
      <c r="F60" s="75"/>
      <c r="G60" s="16"/>
      <c r="H60" s="62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16"/>
      <c r="C61" s="75"/>
      <c r="D61" s="75"/>
      <c r="E61" s="75"/>
      <c r="F61" s="75"/>
      <c r="G61" s="16"/>
      <c r="H61" s="62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74"/>
      <c r="C62" s="75"/>
      <c r="D62" s="75"/>
      <c r="E62" s="75"/>
      <c r="F62" s="75"/>
      <c r="G62" s="16"/>
      <c r="H62" s="62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74"/>
      <c r="C63" s="75"/>
      <c r="D63" s="75"/>
      <c r="E63" s="75"/>
      <c r="F63" s="75"/>
      <c r="G63" s="16"/>
      <c r="H63" s="62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74"/>
      <c r="C64" s="75"/>
      <c r="D64" s="75"/>
      <c r="E64" s="75"/>
      <c r="F64" s="75"/>
      <c r="G64" s="16"/>
      <c r="H64" s="62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74"/>
      <c r="C65" s="75"/>
      <c r="D65" s="75"/>
      <c r="E65" s="75"/>
      <c r="F65" s="75"/>
      <c r="G65" s="16"/>
      <c r="H65" s="62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74"/>
      <c r="C66" s="75"/>
      <c r="D66" s="75"/>
      <c r="E66" s="75"/>
      <c r="F66" s="75"/>
      <c r="G66" s="16"/>
      <c r="H66" s="62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74"/>
      <c r="C67" s="75"/>
      <c r="D67" s="75"/>
      <c r="E67" s="75"/>
      <c r="F67" s="75"/>
      <c r="G67" s="16"/>
      <c r="H67" s="62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74"/>
      <c r="C68" s="75"/>
      <c r="D68" s="75"/>
      <c r="E68" s="75"/>
      <c r="F68" s="75"/>
      <c r="G68" s="16"/>
      <c r="H68" s="62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74"/>
      <c r="C69" s="75"/>
      <c r="D69" s="75"/>
      <c r="E69" s="75"/>
      <c r="F69" s="75"/>
      <c r="G69" s="16"/>
      <c r="H69" s="62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74"/>
      <c r="C70" s="75"/>
      <c r="D70" s="75"/>
      <c r="E70" s="75"/>
      <c r="F70" s="75"/>
      <c r="G70" s="16"/>
      <c r="H70" s="62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74"/>
      <c r="C71" s="75"/>
      <c r="D71" s="75"/>
      <c r="E71" s="75"/>
      <c r="F71" s="75"/>
      <c r="G71" s="16"/>
      <c r="H71" s="62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74"/>
      <c r="C72" s="75"/>
      <c r="D72" s="75"/>
      <c r="E72" s="75"/>
      <c r="F72" s="75"/>
      <c r="G72" s="16"/>
      <c r="H72" s="62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74"/>
      <c r="C73" s="75"/>
      <c r="D73" s="75"/>
      <c r="E73" s="75"/>
      <c r="F73" s="75"/>
      <c r="G73" s="16"/>
      <c r="H73" s="62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74"/>
      <c r="C74" s="62"/>
      <c r="D74" s="75"/>
      <c r="E74" s="75"/>
      <c r="F74" s="75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74"/>
      <c r="C75" s="62"/>
      <c r="D75" s="75"/>
      <c r="E75" s="75"/>
      <c r="F75" s="75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74"/>
      <c r="C76" s="62"/>
      <c r="D76" s="75"/>
      <c r="E76" s="75"/>
      <c r="F76" s="75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74"/>
      <c r="C77" s="62"/>
      <c r="D77" s="75"/>
      <c r="E77" s="75"/>
      <c r="F77" s="75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74"/>
      <c r="C78" s="62"/>
      <c r="D78" s="75"/>
      <c r="E78" s="75"/>
      <c r="F78" s="75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74"/>
      <c r="C79" s="62"/>
      <c r="D79" s="75"/>
      <c r="E79" s="75"/>
      <c r="F79" s="75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74"/>
      <c r="C80" s="62"/>
      <c r="D80" s="75"/>
      <c r="E80" s="75"/>
      <c r="F80" s="75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74"/>
      <c r="C81" s="62"/>
      <c r="D81" s="75"/>
      <c r="E81" s="75"/>
      <c r="F81" s="75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74"/>
      <c r="C82" s="62"/>
      <c r="D82" s="75"/>
      <c r="E82" s="75"/>
      <c r="F82" s="75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74"/>
      <c r="C83" s="62"/>
      <c r="D83" s="75"/>
      <c r="E83" s="75"/>
      <c r="F83" s="75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74"/>
      <c r="C84" s="62"/>
      <c r="D84" s="75"/>
      <c r="E84" s="75"/>
      <c r="F84" s="75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74"/>
      <c r="C85" s="62"/>
      <c r="D85" s="75"/>
      <c r="E85" s="75"/>
      <c r="F85" s="75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74"/>
      <c r="C86" s="62"/>
      <c r="D86" s="75"/>
      <c r="E86" s="75"/>
      <c r="F86" s="75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74"/>
      <c r="C87" s="62"/>
      <c r="D87" s="75"/>
      <c r="E87" s="75"/>
      <c r="F87" s="75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74"/>
      <c r="C88" s="62"/>
      <c r="D88" s="75"/>
      <c r="E88" s="75"/>
      <c r="F88" s="75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74"/>
      <c r="C89" s="62"/>
      <c r="D89" s="75"/>
      <c r="E89" s="75"/>
      <c r="F89" s="75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74"/>
      <c r="C90" s="62"/>
      <c r="D90" s="75"/>
      <c r="E90" s="75"/>
      <c r="F90" s="75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74"/>
      <c r="C91" s="62"/>
      <c r="D91" s="75"/>
      <c r="E91" s="75"/>
      <c r="F91" s="75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74"/>
      <c r="C92" s="62"/>
      <c r="D92" s="75"/>
      <c r="E92" s="75"/>
      <c r="F92" s="75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74"/>
      <c r="C93" s="62"/>
      <c r="D93" s="75"/>
      <c r="E93" s="75"/>
      <c r="F93" s="75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74"/>
      <c r="C94" s="62"/>
      <c r="D94" s="75"/>
      <c r="E94" s="75"/>
      <c r="F94" s="75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74"/>
      <c r="C95" s="62"/>
      <c r="D95" s="75"/>
      <c r="E95" s="75"/>
      <c r="F95" s="75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74"/>
      <c r="C96" s="62"/>
      <c r="D96" s="75"/>
      <c r="E96" s="75"/>
      <c r="F96" s="75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74"/>
      <c r="C97" s="62"/>
      <c r="D97" s="75"/>
      <c r="E97" s="75"/>
      <c r="F97" s="75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74"/>
      <c r="C98" s="62"/>
      <c r="D98" s="75"/>
      <c r="E98" s="75"/>
      <c r="F98" s="75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74"/>
      <c r="C99" s="62"/>
      <c r="D99" s="75"/>
      <c r="E99" s="75"/>
      <c r="F99" s="75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74"/>
      <c r="C100" s="62"/>
      <c r="D100" s="75"/>
      <c r="E100" s="75"/>
      <c r="F100" s="75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74"/>
      <c r="C101" s="62"/>
      <c r="D101" s="75"/>
      <c r="E101" s="75"/>
      <c r="F101" s="75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74"/>
      <c r="C102" s="62"/>
      <c r="D102" s="75"/>
      <c r="E102" s="75"/>
      <c r="F102" s="75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74"/>
      <c r="C103" s="62"/>
      <c r="D103" s="75"/>
      <c r="E103" s="75"/>
      <c r="F103" s="75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74"/>
      <c r="C104" s="62"/>
      <c r="D104" s="75"/>
      <c r="E104" s="75"/>
      <c r="F104" s="75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74"/>
      <c r="C105" s="62"/>
      <c r="D105" s="75"/>
      <c r="E105" s="75"/>
      <c r="F105" s="75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74"/>
      <c r="C106" s="62"/>
      <c r="D106" s="75"/>
      <c r="E106" s="75"/>
      <c r="F106" s="75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74"/>
      <c r="C107" s="62"/>
      <c r="D107" s="75"/>
      <c r="E107" s="75"/>
      <c r="F107" s="75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74"/>
      <c r="C108" s="62"/>
      <c r="D108" s="75"/>
      <c r="E108" s="75"/>
      <c r="F108" s="75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74"/>
      <c r="C109" s="62"/>
      <c r="D109" s="75"/>
      <c r="E109" s="75"/>
      <c r="F109" s="75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74"/>
      <c r="C110" s="62"/>
      <c r="D110" s="75"/>
      <c r="E110" s="75"/>
      <c r="F110" s="75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74"/>
      <c r="C111" s="62"/>
      <c r="D111" s="75"/>
      <c r="E111" s="75"/>
      <c r="F111" s="75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74"/>
      <c r="C112" s="62"/>
      <c r="D112" s="75"/>
      <c r="E112" s="75"/>
      <c r="F112" s="75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74"/>
      <c r="C113" s="62"/>
      <c r="D113" s="75"/>
      <c r="E113" s="75"/>
      <c r="F113" s="75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74"/>
      <c r="C114" s="62"/>
      <c r="D114" s="75"/>
      <c r="E114" s="75"/>
      <c r="F114" s="75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74"/>
      <c r="C115" s="62"/>
      <c r="D115" s="75"/>
      <c r="E115" s="75"/>
      <c r="F115" s="75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74"/>
      <c r="C116" s="62"/>
      <c r="D116" s="75"/>
      <c r="E116" s="75"/>
      <c r="F116" s="75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74"/>
      <c r="C117" s="62"/>
      <c r="D117" s="75"/>
      <c r="E117" s="75"/>
      <c r="F117" s="75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74"/>
      <c r="C118" s="62"/>
      <c r="D118" s="75"/>
      <c r="E118" s="75"/>
      <c r="F118" s="75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74"/>
      <c r="C119" s="62"/>
      <c r="D119" s="75"/>
      <c r="E119" s="75"/>
      <c r="F119" s="75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74"/>
      <c r="C120" s="62"/>
      <c r="D120" s="75"/>
      <c r="E120" s="75"/>
      <c r="F120" s="75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74"/>
      <c r="C121" s="62"/>
      <c r="D121" s="75"/>
      <c r="E121" s="75"/>
      <c r="F121" s="75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74"/>
      <c r="C122" s="62"/>
      <c r="D122" s="75"/>
      <c r="E122" s="75"/>
      <c r="F122" s="75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74"/>
      <c r="C123" s="62"/>
      <c r="D123" s="75"/>
      <c r="E123" s="75"/>
      <c r="F123" s="75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74"/>
      <c r="C124" s="62"/>
      <c r="D124" s="75"/>
      <c r="E124" s="75"/>
      <c r="F124" s="75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74"/>
      <c r="C125" s="62"/>
      <c r="D125" s="75"/>
      <c r="E125" s="75"/>
      <c r="F125" s="75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74"/>
      <c r="C126" s="62"/>
      <c r="D126" s="75"/>
      <c r="E126" s="75"/>
      <c r="F126" s="75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74"/>
      <c r="C127" s="62"/>
      <c r="D127" s="75"/>
      <c r="E127" s="75"/>
      <c r="F127" s="75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74"/>
      <c r="C128" s="62"/>
      <c r="D128" s="75"/>
      <c r="E128" s="75"/>
      <c r="F128" s="75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74"/>
      <c r="C129" s="62"/>
      <c r="D129" s="75"/>
      <c r="E129" s="75"/>
      <c r="F129" s="75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74"/>
      <c r="C130" s="62"/>
      <c r="D130" s="75"/>
      <c r="E130" s="75"/>
      <c r="F130" s="75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74"/>
      <c r="C131" s="62"/>
      <c r="D131" s="75"/>
      <c r="E131" s="75"/>
      <c r="F131" s="75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74"/>
      <c r="C132" s="62"/>
      <c r="D132" s="75"/>
      <c r="E132" s="75"/>
      <c r="F132" s="75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74"/>
      <c r="C133" s="62"/>
      <c r="D133" s="75"/>
      <c r="E133" s="75"/>
      <c r="F133" s="75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74"/>
      <c r="C134" s="62"/>
      <c r="D134" s="75"/>
      <c r="E134" s="75"/>
      <c r="F134" s="75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74"/>
      <c r="C135" s="62"/>
      <c r="D135" s="75"/>
      <c r="E135" s="75"/>
      <c r="F135" s="75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74"/>
      <c r="C136" s="62"/>
      <c r="D136" s="75"/>
      <c r="E136" s="75"/>
      <c r="F136" s="75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74"/>
      <c r="C137" s="62"/>
      <c r="D137" s="75"/>
      <c r="E137" s="75"/>
      <c r="F137" s="75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74"/>
      <c r="C138" s="62"/>
      <c r="D138" s="75"/>
      <c r="E138" s="75"/>
      <c r="F138" s="75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74"/>
      <c r="C139" s="62"/>
      <c r="D139" s="75"/>
      <c r="E139" s="75"/>
      <c r="F139" s="75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74"/>
      <c r="C140" s="62"/>
      <c r="D140" s="75"/>
      <c r="E140" s="75"/>
      <c r="F140" s="75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74"/>
      <c r="C141" s="62"/>
      <c r="D141" s="75"/>
      <c r="E141" s="75"/>
      <c r="F141" s="75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62"/>
      <c r="D142" s="75"/>
      <c r="E142" s="75"/>
      <c r="F142" s="75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62"/>
      <c r="D143" s="75"/>
      <c r="E143" s="75"/>
      <c r="F143" s="75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62"/>
      <c r="D144" s="75"/>
      <c r="E144" s="75"/>
      <c r="F144" s="75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62"/>
      <c r="D145" s="75"/>
      <c r="E145" s="75"/>
      <c r="F145" s="75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62"/>
      <c r="D146" s="62"/>
      <c r="E146" s="75"/>
      <c r="F146" s="75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62"/>
      <c r="D147" s="62"/>
      <c r="E147" s="75"/>
      <c r="F147" s="75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62"/>
      <c r="D148" s="62"/>
      <c r="E148" s="75"/>
      <c r="F148" s="75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62"/>
      <c r="D149" s="62"/>
      <c r="E149" s="75"/>
      <c r="F149" s="75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62"/>
      <c r="D150" s="62"/>
      <c r="E150" s="75"/>
      <c r="F150" s="75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62"/>
      <c r="D151" s="62"/>
      <c r="E151" s="75"/>
      <c r="F151" s="75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62"/>
      <c r="D152" s="62"/>
      <c r="E152" s="75"/>
      <c r="F152" s="75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62"/>
      <c r="D153" s="62"/>
      <c r="E153" s="75"/>
      <c r="F153" s="75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62"/>
      <c r="D154" s="62"/>
      <c r="E154" s="75"/>
      <c r="F154" s="75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62"/>
      <c r="D155" s="62"/>
      <c r="E155" s="75"/>
      <c r="F155" s="75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62"/>
      <c r="D156" s="62"/>
      <c r="E156" s="75"/>
      <c r="F156" s="75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62"/>
      <c r="D157" s="62"/>
      <c r="E157" s="75"/>
      <c r="F157" s="75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62"/>
      <c r="D158" s="62"/>
      <c r="E158" s="75"/>
      <c r="F158" s="75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62"/>
      <c r="D159" s="62"/>
      <c r="E159" s="75"/>
      <c r="F159" s="75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62"/>
      <c r="D160" s="62"/>
      <c r="E160" s="75"/>
      <c r="F160" s="75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62"/>
      <c r="D161" s="62"/>
      <c r="E161" s="75"/>
      <c r="F161" s="75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62"/>
      <c r="D162" s="62"/>
      <c r="E162" s="75"/>
      <c r="F162" s="75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62"/>
      <c r="D163" s="62"/>
      <c r="E163" s="75"/>
      <c r="F163" s="75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62"/>
      <c r="D164" s="62"/>
      <c r="E164" s="75"/>
      <c r="F164" s="75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62"/>
      <c r="D165" s="62"/>
      <c r="E165" s="75"/>
      <c r="F165" s="75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62"/>
      <c r="D166" s="62"/>
      <c r="E166" s="75"/>
      <c r="F166" s="75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62"/>
      <c r="D167" s="62"/>
      <c r="E167" s="75"/>
      <c r="F167" s="75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62"/>
      <c r="D168" s="62"/>
      <c r="E168" s="75"/>
      <c r="F168" s="75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62"/>
      <c r="D169" s="62"/>
      <c r="E169" s="75"/>
      <c r="F169" s="75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62"/>
      <c r="D170" s="62"/>
      <c r="E170" s="75"/>
      <c r="F170" s="75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62"/>
      <c r="D171" s="62"/>
      <c r="E171" s="75"/>
      <c r="F171" s="75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62"/>
      <c r="D172" s="62"/>
      <c r="E172" s="75"/>
      <c r="F172" s="75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62"/>
      <c r="D173" s="62"/>
      <c r="E173" s="75"/>
      <c r="F173" s="75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62"/>
      <c r="D174" s="62"/>
      <c r="E174" s="75"/>
      <c r="F174" s="75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62"/>
      <c r="D175" s="62"/>
      <c r="E175" s="75"/>
      <c r="F175" s="75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62"/>
      <c r="D176" s="62"/>
      <c r="E176" s="75"/>
      <c r="F176" s="75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62"/>
      <c r="D177" s="62"/>
      <c r="E177" s="75"/>
      <c r="F177" s="75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62"/>
      <c r="D178" s="62"/>
      <c r="E178" s="75"/>
      <c r="F178" s="75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62"/>
      <c r="D179" s="62"/>
      <c r="E179" s="75"/>
      <c r="F179" s="75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62"/>
      <c r="D180" s="62"/>
      <c r="E180" s="75"/>
      <c r="F180" s="75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62"/>
      <c r="D181" s="62"/>
      <c r="E181" s="75"/>
      <c r="F181" s="75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62"/>
      <c r="D182" s="62"/>
      <c r="E182" s="75"/>
      <c r="F182" s="75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62"/>
      <c r="D183" s="62"/>
      <c r="E183" s="75"/>
      <c r="F183" s="75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62"/>
      <c r="D184" s="62"/>
      <c r="E184" s="75"/>
      <c r="F184" s="75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62"/>
      <c r="D185" s="62"/>
      <c r="E185" s="75"/>
      <c r="F185" s="75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62"/>
      <c r="D186" s="62"/>
      <c r="E186" s="75"/>
      <c r="F186" s="75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62"/>
      <c r="D187" s="62"/>
      <c r="E187" s="75"/>
      <c r="F187" s="75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62"/>
      <c r="D188" s="62"/>
      <c r="E188" s="75"/>
      <c r="F188" s="75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62"/>
      <c r="D189" s="62"/>
      <c r="E189" s="75"/>
      <c r="F189" s="75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62"/>
      <c r="D190" s="62"/>
      <c r="E190" s="75"/>
      <c r="F190" s="75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62"/>
      <c r="D191" s="62"/>
      <c r="E191" s="75"/>
      <c r="F191" s="75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62"/>
      <c r="D192" s="62"/>
      <c r="E192" s="75"/>
      <c r="F192" s="75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62"/>
      <c r="D193" s="62"/>
      <c r="E193" s="75"/>
      <c r="F193" s="75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62"/>
      <c r="D194" s="62"/>
      <c r="E194" s="75"/>
      <c r="F194" s="75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62"/>
      <c r="D195" s="62"/>
      <c r="E195" s="75"/>
      <c r="F195" s="75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62"/>
      <c r="D196" s="62"/>
      <c r="E196" s="75"/>
      <c r="F196" s="75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62"/>
      <c r="D197" s="62"/>
      <c r="E197" s="75"/>
      <c r="F197" s="75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62"/>
      <c r="D198" s="62"/>
      <c r="E198" s="75"/>
      <c r="F198" s="75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62"/>
      <c r="D199" s="62"/>
      <c r="E199" s="75"/>
      <c r="F199" s="75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62"/>
      <c r="D200" s="62"/>
      <c r="E200" s="75"/>
      <c r="F200" s="75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62"/>
      <c r="D201" s="62"/>
      <c r="E201" s="75"/>
      <c r="F201" s="75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62"/>
      <c r="D202" s="62"/>
      <c r="E202" s="75"/>
      <c r="F202" s="75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62"/>
      <c r="D203" s="62"/>
      <c r="E203" s="75"/>
      <c r="F203" s="75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16"/>
      <c r="C204" s="62"/>
      <c r="D204" s="62"/>
      <c r="E204" s="75"/>
      <c r="F204" s="75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16"/>
      <c r="C205" s="62"/>
      <c r="D205" s="62"/>
      <c r="E205" s="75"/>
      <c r="F205" s="75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16"/>
      <c r="C206" s="62"/>
      <c r="D206" s="62"/>
      <c r="E206" s="75"/>
      <c r="F206" s="75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16"/>
      <c r="C207" s="62"/>
      <c r="D207" s="62"/>
      <c r="E207" s="75"/>
      <c r="F207" s="75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16"/>
      <c r="C208" s="62"/>
      <c r="D208" s="62"/>
      <c r="E208" s="75"/>
      <c r="F208" s="75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16"/>
      <c r="C209" s="62"/>
      <c r="D209" s="62"/>
      <c r="E209" s="75"/>
      <c r="F209" s="75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16"/>
      <c r="C210" s="62"/>
      <c r="D210" s="62"/>
      <c r="E210" s="75"/>
      <c r="F210" s="75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16"/>
      <c r="C211" s="62"/>
      <c r="D211" s="62"/>
      <c r="E211" s="75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16"/>
      <c r="C212" s="62"/>
      <c r="D212" s="62"/>
      <c r="E212" s="75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16"/>
      <c r="C213" s="62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16"/>
      <c r="C214" s="62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16"/>
      <c r="C215" s="62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16"/>
      <c r="C216" s="62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16"/>
      <c r="C217" s="62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16"/>
      <c r="C218" s="62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16"/>
      <c r="C219" s="62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16"/>
      <c r="C220" s="62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16"/>
      <c r="C221" s="62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16"/>
      <c r="C222" s="62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16"/>
      <c r="C223" s="62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16"/>
      <c r="C224" s="62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16"/>
      <c r="C225" s="62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16"/>
      <c r="C226" s="62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16"/>
      <c r="C227" s="62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16"/>
      <c r="C228" s="62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16"/>
      <c r="C229" s="62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16"/>
      <c r="C230" s="62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16"/>
      <c r="C231" s="62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16"/>
      <c r="C232" s="62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16"/>
      <c r="C233" s="62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16"/>
      <c r="C234" s="62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16"/>
      <c r="C235" s="62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16"/>
      <c r="C236" s="62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16"/>
      <c r="C237" s="62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16"/>
      <c r="C238" s="62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16"/>
      <c r="C239" s="62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16"/>
      <c r="C240" s="62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16"/>
      <c r="C241" s="62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16"/>
      <c r="C242" s="62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16"/>
      <c r="C243" s="62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16"/>
      <c r="C244" s="62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16"/>
      <c r="C245" s="62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16"/>
      <c r="C246" s="62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16"/>
      <c r="C247" s="62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16"/>
      <c r="C248" s="62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16"/>
      <c r="C249" s="62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16"/>
      <c r="C250" s="62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16"/>
      <c r="C251" s="62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16"/>
      <c r="C252" s="62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16"/>
      <c r="C253" s="62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16"/>
      <c r="C254" s="62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16"/>
      <c r="C255" s="62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16"/>
      <c r="C256" s="62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16"/>
      <c r="C257" s="62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16"/>
      <c r="C258" s="62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16"/>
      <c r="C259" s="62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16"/>
      <c r="C260" s="62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16"/>
      <c r="C261" s="62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16"/>
      <c r="C262" s="62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16"/>
      <c r="C263" s="62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16"/>
      <c r="C264" s="62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16"/>
      <c r="C265" s="62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16"/>
      <c r="C266" s="62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16"/>
      <c r="C267" s="62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16"/>
      <c r="C268" s="62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16"/>
      <c r="C269" s="62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16"/>
      <c r="C270" s="62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16"/>
      <c r="C271" s="62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16"/>
      <c r="C272" s="62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16"/>
      <c r="C273" s="62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16"/>
      <c r="C274" s="62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16"/>
      <c r="C275" s="62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16"/>
      <c r="C276" s="62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16"/>
      <c r="C277" s="62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16"/>
      <c r="C278" s="62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16"/>
      <c r="C279" s="62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16"/>
      <c r="C280" s="62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16"/>
      <c r="C281" s="62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16"/>
      <c r="C282" s="62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16"/>
      <c r="C283" s="62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16"/>
      <c r="C284" s="62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16"/>
      <c r="C285" s="62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16"/>
      <c r="C286" s="62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16"/>
      <c r="C287" s="62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16"/>
      <c r="C288" s="62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16"/>
      <c r="C289" s="62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16"/>
      <c r="C290" s="62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16"/>
      <c r="C291" s="62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16"/>
      <c r="C292" s="62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16"/>
      <c r="C293" s="62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16"/>
      <c r="C294" s="62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16"/>
      <c r="C295" s="62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16"/>
      <c r="C296" s="62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16"/>
      <c r="C297" s="62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16"/>
      <c r="C298" s="62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16"/>
      <c r="C299" s="62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16"/>
      <c r="C300" s="62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16"/>
      <c r="C301" s="62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16"/>
      <c r="C302" s="62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16"/>
      <c r="C303" s="62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16"/>
      <c r="C304" s="62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16"/>
      <c r="C305" s="62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16"/>
      <c r="C306" s="62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16"/>
      <c r="C307" s="62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16"/>
      <c r="C308" s="62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16"/>
      <c r="C309" s="62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16"/>
      <c r="C310" s="62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16"/>
      <c r="C311" s="62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16"/>
      <c r="C312" s="62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16"/>
      <c r="C313" s="62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16"/>
      <c r="C314" s="62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16"/>
      <c r="C315" s="62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16"/>
      <c r="C316" s="62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16"/>
      <c r="C317" s="62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16"/>
      <c r="C318" s="62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16"/>
      <c r="C319" s="62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16"/>
      <c r="C320" s="62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16"/>
      <c r="C321" s="62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16"/>
      <c r="C322" s="62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16"/>
      <c r="C323" s="62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16"/>
      <c r="C324" s="62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16"/>
      <c r="C325" s="62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16"/>
      <c r="C326" s="62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16"/>
      <c r="C327" s="62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16"/>
      <c r="C328" s="62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16"/>
      <c r="C329" s="62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16"/>
      <c r="C330" s="62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16"/>
      <c r="C331" s="62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16"/>
      <c r="C332" s="62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16"/>
      <c r="C333" s="62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16"/>
      <c r="C334" s="62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16"/>
      <c r="C335" s="62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16"/>
      <c r="C336" s="62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16"/>
      <c r="C337" s="62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16"/>
      <c r="C338" s="62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16"/>
      <c r="C339" s="62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16"/>
      <c r="C340" s="62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16"/>
      <c r="C341" s="62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16"/>
      <c r="C342" s="62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16"/>
      <c r="C343" s="62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16"/>
      <c r="C344" s="62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16"/>
      <c r="C345" s="62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16"/>
      <c r="C346" s="62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16"/>
      <c r="C347" s="62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16"/>
      <c r="C348" s="62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16"/>
      <c r="C349" s="62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16"/>
      <c r="C350" s="62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16"/>
      <c r="C351" s="62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16"/>
      <c r="C352" s="62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16"/>
      <c r="C353" s="62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16"/>
      <c r="C354" s="62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16"/>
      <c r="C355" s="62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16"/>
      <c r="C356" s="62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16"/>
      <c r="C357" s="62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16"/>
      <c r="C358" s="62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16"/>
      <c r="C359" s="62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16"/>
      <c r="C360" s="62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16"/>
      <c r="C361" s="62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16"/>
      <c r="C362" s="62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16"/>
      <c r="C363" s="62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16"/>
      <c r="C364" s="62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16"/>
      <c r="C365" s="62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16"/>
      <c r="C366" s="62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16"/>
      <c r="C367" s="62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16"/>
      <c r="C368" s="62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16"/>
      <c r="C369" s="62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16"/>
      <c r="C370" s="62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16"/>
      <c r="C371" s="62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16"/>
      <c r="C372" s="62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16"/>
      <c r="C373" s="62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16"/>
      <c r="C374" s="62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16"/>
      <c r="C375" s="62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16"/>
      <c r="C376" s="62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16"/>
      <c r="C377" s="62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16"/>
      <c r="C378" s="62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16"/>
      <c r="C379" s="62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16"/>
      <c r="C380" s="62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16"/>
      <c r="C381" s="62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16"/>
      <c r="C382" s="62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16"/>
      <c r="C383" s="62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16"/>
      <c r="C384" s="62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16"/>
      <c r="C385" s="62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16"/>
      <c r="C386" s="62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16"/>
      <c r="C387" s="62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16"/>
      <c r="C388" s="62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16"/>
      <c r="C389" s="62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16"/>
      <c r="C390" s="62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16"/>
      <c r="C391" s="62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16"/>
      <c r="C392" s="62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16"/>
      <c r="C393" s="62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16"/>
      <c r="C394" s="62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16"/>
      <c r="C395" s="62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16"/>
      <c r="C396" s="62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16"/>
      <c r="C397" s="62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16"/>
      <c r="C398" s="62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16"/>
      <c r="C399" s="62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16"/>
      <c r="C400" s="62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16"/>
      <c r="C401" s="62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16"/>
      <c r="C402" s="62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16"/>
      <c r="C403" s="62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16"/>
      <c r="C404" s="62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16"/>
      <c r="C405" s="62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16"/>
      <c r="C406" s="62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16"/>
      <c r="C407" s="62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16"/>
      <c r="C408" s="62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16"/>
      <c r="C409" s="62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16"/>
      <c r="C410" s="62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16"/>
      <c r="C411" s="62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16"/>
      <c r="C412" s="62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16"/>
      <c r="C413" s="62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16"/>
      <c r="C414" s="62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16"/>
      <c r="C415" s="62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16"/>
      <c r="C416" s="62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16"/>
      <c r="C417" s="62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16"/>
      <c r="C418" s="62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16"/>
      <c r="C419" s="62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16"/>
      <c r="C420" s="62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16"/>
      <c r="C421" s="62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16"/>
      <c r="C422" s="62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16"/>
      <c r="C423" s="62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16"/>
      <c r="C424" s="62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16"/>
      <c r="C425" s="62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16"/>
      <c r="C426" s="62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16"/>
      <c r="C427" s="62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16"/>
      <c r="C428" s="62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16"/>
      <c r="C429" s="62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16"/>
      <c r="C430" s="62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16"/>
      <c r="C431" s="62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16"/>
      <c r="C432" s="62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16"/>
      <c r="C433" s="62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16"/>
      <c r="C434" s="62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16"/>
      <c r="C435" s="62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16"/>
      <c r="C436" s="62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16"/>
      <c r="C437" s="62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16"/>
      <c r="C438" s="62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16"/>
      <c r="C439" s="62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16"/>
      <c r="C440" s="62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16"/>
      <c r="C441" s="62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16"/>
      <c r="C442" s="62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16"/>
      <c r="C443" s="62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16"/>
      <c r="C444" s="62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16"/>
      <c r="C445" s="62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16"/>
      <c r="C446" s="62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16"/>
      <c r="C447" s="62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16"/>
      <c r="C448" s="62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16"/>
      <c r="C449" s="62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16"/>
      <c r="C450" s="62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16"/>
      <c r="C451" s="62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16"/>
      <c r="C452" s="62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16"/>
      <c r="C453" s="62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16"/>
      <c r="C454" s="62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16"/>
      <c r="C455" s="62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16"/>
      <c r="C456" s="62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16"/>
      <c r="C457" s="62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16"/>
      <c r="C458" s="62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16"/>
      <c r="C459" s="62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16"/>
      <c r="C460" s="62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16"/>
      <c r="C461" s="62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16"/>
      <c r="C462" s="62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16"/>
      <c r="C463" s="62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16"/>
      <c r="C464" s="62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16"/>
      <c r="C465" s="62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16"/>
      <c r="C466" s="62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16"/>
      <c r="C467" s="62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16"/>
      <c r="C468" s="62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16"/>
      <c r="C469" s="62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16"/>
      <c r="C470" s="62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16"/>
      <c r="C471" s="62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16"/>
      <c r="C472" s="62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16"/>
      <c r="C473" s="62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16"/>
      <c r="C474" s="62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16"/>
      <c r="C475" s="62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16"/>
      <c r="C476" s="62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16"/>
      <c r="C477" s="62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16"/>
      <c r="C478" s="62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16"/>
      <c r="C479" s="62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16"/>
      <c r="C480" s="62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16"/>
      <c r="C481" s="62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16"/>
      <c r="C482" s="62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16"/>
      <c r="C483" s="62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16"/>
      <c r="C484" s="62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16"/>
      <c r="C485" s="62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16"/>
      <c r="C486" s="62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16"/>
      <c r="C487" s="62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16"/>
      <c r="C488" s="62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16"/>
      <c r="C489" s="62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16"/>
      <c r="C490" s="62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16"/>
      <c r="C491" s="62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16"/>
      <c r="C492" s="62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16"/>
      <c r="C493" s="62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16"/>
      <c r="C494" s="62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16"/>
      <c r="C495" s="62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16"/>
      <c r="C496" s="62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16"/>
      <c r="C497" s="62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16"/>
      <c r="C498" s="62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16"/>
      <c r="C499" s="62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16"/>
      <c r="C500" s="62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16"/>
      <c r="C501" s="62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16"/>
      <c r="C502" s="62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16"/>
      <c r="C503" s="62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16"/>
      <c r="C504" s="62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16"/>
      <c r="C505" s="62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16"/>
      <c r="C506" s="62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16"/>
      <c r="C507" s="62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16"/>
      <c r="C508" s="62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16"/>
      <c r="C509" s="62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16"/>
      <c r="C510" s="62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16"/>
      <c r="C511" s="62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16"/>
      <c r="C512" s="62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16"/>
      <c r="C513" s="62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16"/>
      <c r="C514" s="62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16"/>
      <c r="C515" s="62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16"/>
      <c r="C516" s="62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16"/>
      <c r="C517" s="62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16"/>
      <c r="C518" s="62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16"/>
      <c r="C519" s="62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16"/>
      <c r="C520" s="62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16"/>
      <c r="C521" s="62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16"/>
      <c r="C522" s="62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16"/>
      <c r="C523" s="62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16"/>
      <c r="C524" s="62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16"/>
      <c r="C525" s="62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16"/>
      <c r="C526" s="62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16"/>
      <c r="C527" s="62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16"/>
      <c r="C528" s="62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16"/>
      <c r="C529" s="62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16"/>
      <c r="C530" s="62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16"/>
      <c r="C531" s="62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16"/>
      <c r="C532" s="62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16"/>
      <c r="C533" s="62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16"/>
      <c r="C534" s="62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16"/>
      <c r="C535" s="62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16"/>
      <c r="C536" s="62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16"/>
      <c r="C537" s="62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16"/>
      <c r="C538" s="62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16"/>
      <c r="C539" s="62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16"/>
      <c r="C540" s="62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16"/>
      <c r="C541" s="62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16"/>
      <c r="C542" s="62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16"/>
      <c r="C543" s="62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16"/>
      <c r="C544" s="62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16"/>
      <c r="C545" s="62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16"/>
      <c r="C546" s="62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16"/>
      <c r="C547" s="62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16"/>
      <c r="C548" s="62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16"/>
      <c r="C549" s="62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16"/>
      <c r="C550" s="62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16"/>
      <c r="C551" s="62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16"/>
      <c r="C552" s="62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16"/>
      <c r="C553" s="62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16"/>
      <c r="C554" s="62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16"/>
      <c r="C555" s="62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16"/>
      <c r="C556" s="62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16"/>
      <c r="C557" s="62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16"/>
      <c r="C558" s="62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16"/>
      <c r="C559" s="62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16"/>
      <c r="C560" s="62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16"/>
      <c r="C561" s="62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16"/>
      <c r="C562" s="62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16"/>
      <c r="C563" s="62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16"/>
      <c r="C564" s="62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16"/>
      <c r="C565" s="62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16"/>
      <c r="C566" s="62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16"/>
      <c r="C567" s="62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16"/>
      <c r="C568" s="62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16"/>
      <c r="C569" s="62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16"/>
      <c r="C570" s="62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16"/>
      <c r="C571" s="62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16"/>
      <c r="C572" s="62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16"/>
      <c r="C573" s="62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16"/>
      <c r="C574" s="62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16"/>
      <c r="C575" s="62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16"/>
      <c r="C576" s="62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16"/>
      <c r="C577" s="62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16"/>
      <c r="C578" s="62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16"/>
      <c r="C579" s="62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16"/>
      <c r="C580" s="62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16"/>
      <c r="C581" s="62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16"/>
      <c r="C582" s="62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16"/>
      <c r="C583" s="62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16"/>
      <c r="C584" s="62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16"/>
      <c r="C585" s="62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16"/>
      <c r="C586" s="62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16"/>
      <c r="C587" s="62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16"/>
      <c r="C588" s="62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16"/>
      <c r="C589" s="62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16"/>
      <c r="C590" s="62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16"/>
      <c r="C591" s="62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16"/>
      <c r="C592" s="62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16"/>
      <c r="C593" s="62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16"/>
      <c r="C594" s="62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16"/>
      <c r="C595" s="62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16"/>
      <c r="C596" s="62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16"/>
      <c r="C597" s="62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16"/>
      <c r="C598" s="62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16"/>
      <c r="C599" s="62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16"/>
      <c r="C600" s="62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16"/>
      <c r="C601" s="62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16"/>
      <c r="C602" s="62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16"/>
      <c r="C603" s="62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16"/>
      <c r="C604" s="62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16"/>
      <c r="C605" s="62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16"/>
      <c r="C606" s="62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16"/>
      <c r="C607" s="62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16"/>
      <c r="C608" s="62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16"/>
      <c r="C609" s="62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16"/>
      <c r="C610" s="62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16"/>
      <c r="C611" s="62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16"/>
      <c r="C612" s="62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16"/>
      <c r="C613" s="62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16"/>
      <c r="C614" s="62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16"/>
      <c r="C615" s="62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16"/>
      <c r="C616" s="62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16"/>
      <c r="C617" s="62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16"/>
      <c r="C618" s="62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16"/>
      <c r="C619" s="62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16"/>
      <c r="C620" s="62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16"/>
      <c r="C621" s="62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16"/>
      <c r="C622" s="62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16"/>
      <c r="C623" s="62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16"/>
      <c r="C624" s="62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16"/>
      <c r="C625" s="62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16"/>
      <c r="C626" s="62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16"/>
      <c r="C627" s="62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16"/>
      <c r="C628" s="62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16"/>
      <c r="C629" s="62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16"/>
      <c r="C630" s="62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16"/>
      <c r="C631" s="62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16"/>
      <c r="C632" s="62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16"/>
      <c r="C633" s="62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16"/>
      <c r="C634" s="62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16"/>
      <c r="C635" s="62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16"/>
      <c r="C636" s="62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16"/>
      <c r="C637" s="62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16"/>
      <c r="C638" s="62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16"/>
      <c r="C639" s="62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16"/>
      <c r="C640" s="62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16"/>
      <c r="C641" s="62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16"/>
      <c r="C642" s="62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16"/>
      <c r="C643" s="62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16"/>
      <c r="C644" s="62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16"/>
      <c r="C645" s="62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16"/>
      <c r="C646" s="62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16"/>
      <c r="C647" s="62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16"/>
      <c r="C648" s="62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16"/>
      <c r="C649" s="62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16"/>
      <c r="C650" s="62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16"/>
      <c r="C651" s="62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16"/>
      <c r="C652" s="62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16"/>
      <c r="C653" s="62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16"/>
      <c r="C654" s="62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16"/>
      <c r="C655" s="62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16"/>
      <c r="C656" s="62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16"/>
      <c r="C657" s="62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16"/>
      <c r="C658" s="62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16"/>
      <c r="C659" s="62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16"/>
      <c r="C660" s="62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16"/>
      <c r="C661" s="62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16"/>
      <c r="C662" s="62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16"/>
      <c r="C663" s="62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16"/>
      <c r="C664" s="62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16"/>
      <c r="C665" s="62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16"/>
      <c r="C666" s="62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16"/>
      <c r="C667" s="62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16"/>
      <c r="C668" s="62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16"/>
      <c r="C669" s="62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16"/>
      <c r="C670" s="62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16"/>
      <c r="C671" s="62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16"/>
      <c r="C672" s="62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16"/>
      <c r="C673" s="62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16"/>
      <c r="C674" s="62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16"/>
      <c r="C675" s="62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16"/>
      <c r="C676" s="62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16"/>
      <c r="C677" s="62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16"/>
      <c r="C678" s="62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16"/>
      <c r="C679" s="62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16"/>
      <c r="C680" s="62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16"/>
      <c r="C681" s="62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16"/>
      <c r="C682" s="62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16"/>
      <c r="C683" s="62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16"/>
      <c r="C684" s="62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16"/>
      <c r="C685" s="62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16"/>
      <c r="C686" s="62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16"/>
      <c r="C687" s="62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16"/>
      <c r="C688" s="62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16"/>
      <c r="C689" s="62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16"/>
      <c r="C690" s="62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16"/>
      <c r="C691" s="62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16"/>
      <c r="C692" s="62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16"/>
      <c r="C693" s="62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16"/>
      <c r="C694" s="62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16"/>
      <c r="C695" s="62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16"/>
      <c r="C696" s="62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16"/>
      <c r="C697" s="62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16"/>
      <c r="C698" s="62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16"/>
      <c r="C699" s="62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16"/>
      <c r="C700" s="62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16"/>
      <c r="C701" s="62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16"/>
      <c r="C702" s="62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16"/>
      <c r="C703" s="62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16"/>
      <c r="C704" s="62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16"/>
      <c r="C705" s="62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16"/>
      <c r="C706" s="62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16"/>
      <c r="C707" s="62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16"/>
      <c r="C708" s="62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16"/>
      <c r="C709" s="62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16"/>
      <c r="C710" s="62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16"/>
      <c r="C711" s="62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16"/>
      <c r="C712" s="62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16"/>
      <c r="C713" s="62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16"/>
      <c r="C714" s="62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16"/>
      <c r="C715" s="62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16"/>
      <c r="C716" s="62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16"/>
      <c r="C717" s="62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16"/>
      <c r="C718" s="62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16"/>
      <c r="C719" s="62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16"/>
      <c r="C720" s="62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16"/>
      <c r="C721" s="62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16"/>
      <c r="C722" s="62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16"/>
      <c r="C723" s="62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16"/>
      <c r="C724" s="62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16"/>
      <c r="C725" s="62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16"/>
      <c r="C726" s="62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16"/>
      <c r="C727" s="62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16"/>
      <c r="C728" s="62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16"/>
      <c r="C729" s="62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16"/>
      <c r="C730" s="62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16"/>
      <c r="C731" s="62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16"/>
      <c r="C732" s="62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16"/>
      <c r="C733" s="62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16"/>
      <c r="C734" s="62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16"/>
      <c r="C735" s="62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16"/>
      <c r="C736" s="62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16"/>
      <c r="C737" s="62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16"/>
      <c r="C738" s="62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16"/>
      <c r="C739" s="62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16"/>
      <c r="C740" s="62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16"/>
      <c r="C741" s="62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16"/>
      <c r="C742" s="62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16"/>
      <c r="C743" s="62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16"/>
      <c r="C744" s="62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16"/>
      <c r="C745" s="62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16"/>
      <c r="C746" s="62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16"/>
      <c r="C747" s="62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16"/>
      <c r="C748" s="62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16"/>
      <c r="C749" s="62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16"/>
      <c r="C750" s="62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16"/>
      <c r="C751" s="62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16"/>
      <c r="C752" s="62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16"/>
      <c r="C753" s="62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16"/>
      <c r="C754" s="62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16"/>
      <c r="C755" s="62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16"/>
      <c r="C756" s="62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16"/>
      <c r="C757" s="62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16"/>
      <c r="C758" s="62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16"/>
      <c r="C759" s="62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16"/>
      <c r="C760" s="62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16"/>
      <c r="C761" s="62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16"/>
      <c r="C762" s="62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16"/>
      <c r="C763" s="62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16"/>
      <c r="C764" s="62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16"/>
      <c r="C765" s="62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16"/>
      <c r="C766" s="62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16"/>
      <c r="C767" s="62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16"/>
      <c r="C768" s="62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16"/>
      <c r="C769" s="62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16"/>
      <c r="C770" s="62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16"/>
      <c r="C771" s="62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16"/>
      <c r="C772" s="62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16"/>
      <c r="C773" s="62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16"/>
      <c r="C774" s="62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16"/>
      <c r="C775" s="62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16"/>
      <c r="C776" s="62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16"/>
      <c r="C777" s="62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16"/>
      <c r="C778" s="62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16"/>
      <c r="C779" s="62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16"/>
      <c r="C780" s="62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16"/>
      <c r="C781" s="62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16"/>
      <c r="C782" s="62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16"/>
      <c r="C783" s="62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16"/>
      <c r="C784" s="62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16"/>
      <c r="C785" s="62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16"/>
      <c r="C786" s="62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16"/>
      <c r="C787" s="62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16"/>
      <c r="C788" s="62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16"/>
      <c r="C789" s="62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16"/>
      <c r="C790" s="62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16"/>
      <c r="C791" s="62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16"/>
      <c r="C792" s="62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16"/>
      <c r="C793" s="62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16"/>
      <c r="C794" s="62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16"/>
      <c r="C795" s="62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16"/>
      <c r="C796" s="62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16"/>
      <c r="C797" s="62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16"/>
      <c r="C798" s="62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16"/>
      <c r="C799" s="62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16"/>
      <c r="C800" s="62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16"/>
      <c r="C801" s="62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16"/>
      <c r="C802" s="62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16"/>
      <c r="C803" s="62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16"/>
      <c r="C804" s="62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16"/>
      <c r="C805" s="62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16"/>
      <c r="C806" s="62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16"/>
      <c r="C807" s="62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16"/>
      <c r="C808" s="62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16"/>
      <c r="C809" s="62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16"/>
      <c r="C810" s="62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16"/>
      <c r="C811" s="62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16"/>
      <c r="C812" s="62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16"/>
      <c r="C813" s="62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16"/>
      <c r="C814" s="62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16"/>
      <c r="C815" s="62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16"/>
      <c r="C816" s="62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16"/>
      <c r="C817" s="62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16"/>
      <c r="C818" s="62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16"/>
      <c r="C819" s="62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16"/>
      <c r="C820" s="62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16"/>
      <c r="C821" s="62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16"/>
      <c r="C822" s="62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16"/>
      <c r="C823" s="62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16"/>
      <c r="C824" s="62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16"/>
      <c r="C825" s="62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16"/>
      <c r="C826" s="62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16"/>
      <c r="C827" s="62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16"/>
      <c r="C828" s="62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16"/>
      <c r="C829" s="62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16"/>
      <c r="C830" s="62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16"/>
      <c r="C831" s="62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16"/>
      <c r="C832" s="62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16"/>
      <c r="C833" s="62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16"/>
      <c r="C834" s="62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16"/>
      <c r="C835" s="62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16"/>
      <c r="C836" s="62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16"/>
      <c r="C837" s="62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16"/>
      <c r="C838" s="62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16"/>
      <c r="C839" s="62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16"/>
      <c r="C840" s="62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16"/>
      <c r="C841" s="62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16"/>
      <c r="C842" s="62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16"/>
      <c r="C843" s="62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16"/>
      <c r="C844" s="62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16"/>
      <c r="C845" s="62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16"/>
      <c r="C846" s="62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16"/>
      <c r="C847" s="62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16"/>
      <c r="C848" s="62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16"/>
      <c r="C849" s="62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16"/>
      <c r="C850" s="62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16"/>
      <c r="C851" s="62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16"/>
      <c r="C852" s="62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16"/>
      <c r="C853" s="62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16"/>
      <c r="C854" s="62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16"/>
      <c r="C855" s="62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16"/>
      <c r="C856" s="62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16"/>
      <c r="C857" s="62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16"/>
      <c r="C858" s="62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16"/>
      <c r="C859" s="62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16"/>
      <c r="C860" s="62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16"/>
      <c r="C861" s="62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16"/>
      <c r="C862" s="62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16"/>
      <c r="C863" s="62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16"/>
      <c r="C864" s="62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16"/>
      <c r="C865" s="62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16"/>
      <c r="C866" s="62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16"/>
      <c r="C867" s="62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16"/>
      <c r="C868" s="62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16"/>
      <c r="C869" s="62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16"/>
      <c r="C870" s="62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16"/>
      <c r="C871" s="62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16"/>
      <c r="C872" s="62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16"/>
      <c r="C873" s="62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16"/>
      <c r="C874" s="62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16"/>
      <c r="C875" s="62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16"/>
      <c r="C876" s="62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16"/>
      <c r="C877" s="62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16"/>
      <c r="C878" s="62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16"/>
      <c r="C879" s="62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16"/>
      <c r="C880" s="62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16"/>
      <c r="C881" s="62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16"/>
      <c r="C882" s="62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16"/>
      <c r="C883" s="62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16"/>
      <c r="C884" s="62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16"/>
      <c r="C885" s="62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16"/>
      <c r="C886" s="62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16"/>
      <c r="C887" s="62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16"/>
      <c r="C888" s="62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16"/>
      <c r="C889" s="62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16"/>
      <c r="C890" s="62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16"/>
      <c r="C891" s="62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16"/>
      <c r="C892" s="62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16"/>
      <c r="C893" s="62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16"/>
      <c r="C894" s="62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16"/>
      <c r="C895" s="62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16"/>
      <c r="C896" s="62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16"/>
      <c r="C897" s="62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16"/>
      <c r="C898" s="62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16"/>
      <c r="C899" s="62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16"/>
      <c r="C900" s="62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16"/>
      <c r="C901" s="62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16"/>
      <c r="C902" s="62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16"/>
      <c r="C903" s="62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16"/>
      <c r="C904" s="62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16"/>
      <c r="C905" s="62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16"/>
      <c r="C906" s="62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16"/>
      <c r="C907" s="62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16"/>
      <c r="C908" s="62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16"/>
      <c r="C909" s="62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16"/>
      <c r="C910" s="62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16"/>
      <c r="C911" s="62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16"/>
      <c r="C912" s="62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16"/>
      <c r="C913" s="62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16"/>
      <c r="C914" s="62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16"/>
      <c r="C915" s="62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16"/>
      <c r="C916" s="62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16"/>
      <c r="C917" s="62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16"/>
      <c r="C918" s="62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16"/>
      <c r="C919" s="62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16"/>
      <c r="C920" s="62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16"/>
      <c r="C921" s="62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16"/>
      <c r="C922" s="62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16"/>
      <c r="C923" s="62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16"/>
      <c r="C924" s="62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16"/>
      <c r="C925" s="62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16"/>
      <c r="C926" s="62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16"/>
      <c r="C927" s="62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16"/>
      <c r="C928" s="62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16"/>
      <c r="C929" s="62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16"/>
      <c r="C930" s="62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16"/>
      <c r="C931" s="62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16"/>
      <c r="C932" s="62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16"/>
      <c r="C933" s="62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16"/>
      <c r="C934" s="62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16"/>
      <c r="C935" s="62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16"/>
      <c r="C936" s="62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16"/>
      <c r="C937" s="62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16"/>
      <c r="C938" s="62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16"/>
      <c r="C939" s="62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16"/>
      <c r="C940" s="62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16"/>
      <c r="C941" s="62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16"/>
      <c r="C942" s="62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16"/>
      <c r="C943" s="62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16"/>
      <c r="C944" s="62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16"/>
      <c r="C945" s="62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16"/>
      <c r="C946" s="62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16"/>
      <c r="C947" s="62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16"/>
      <c r="C948" s="62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16"/>
      <c r="C949" s="62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16"/>
      <c r="C950" s="62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16"/>
      <c r="C951" s="62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16"/>
      <c r="C952" s="62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16"/>
      <c r="C953" s="62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16"/>
      <c r="C954" s="62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16"/>
      <c r="C955" s="62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16"/>
      <c r="C956" s="62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16"/>
      <c r="C957" s="62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16"/>
      <c r="C958" s="62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16"/>
      <c r="C959" s="62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16"/>
      <c r="C960" s="62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16"/>
      <c r="C961" s="62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16"/>
      <c r="C962" s="62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16"/>
      <c r="C963" s="62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16"/>
      <c r="C964" s="62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16"/>
      <c r="C965" s="62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16"/>
      <c r="C966" s="62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16"/>
      <c r="C967" s="62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16"/>
      <c r="C968" s="62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16"/>
      <c r="C969" s="62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16"/>
      <c r="C970" s="62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16"/>
      <c r="C971" s="62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16"/>
      <c r="C972" s="62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16"/>
      <c r="C973" s="62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16"/>
      <c r="C974" s="62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16"/>
      <c r="C975" s="62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16"/>
      <c r="C976" s="62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16"/>
      <c r="C977" s="62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16"/>
      <c r="C978" s="62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16"/>
      <c r="C979" s="62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16"/>
      <c r="C980" s="62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16"/>
      <c r="C981" s="62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16"/>
      <c r="C982" s="62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16"/>
      <c r="C983" s="62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16"/>
      <c r="C984" s="62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16"/>
      <c r="C985" s="62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16"/>
      <c r="C986" s="62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16"/>
      <c r="C987" s="62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16"/>
      <c r="C988" s="62"/>
      <c r="D988" s="62"/>
      <c r="E988" s="62"/>
      <c r="F988" s="62"/>
      <c r="G988" s="16"/>
      <c r="H988" s="16"/>
      <c r="I988" s="1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16"/>
      <c r="C989" s="62"/>
      <c r="D989" s="62"/>
      <c r="E989" s="62"/>
      <c r="F989" s="62"/>
      <c r="G989" s="16"/>
      <c r="H989" s="16"/>
      <c r="I989" s="1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16"/>
      <c r="C990" s="62"/>
      <c r="D990" s="62"/>
      <c r="E990" s="62"/>
      <c r="F990" s="62"/>
      <c r="G990" s="16"/>
      <c r="H990" s="16"/>
      <c r="I990" s="15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16"/>
      <c r="C991" s="62"/>
      <c r="D991" s="62"/>
      <c r="E991" s="62"/>
      <c r="F991" s="62"/>
      <c r="G991" s="16"/>
      <c r="H991" s="16"/>
      <c r="I991" s="15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16"/>
      <c r="C992" s="62"/>
      <c r="D992" s="62"/>
      <c r="E992" s="62"/>
      <c r="F992" s="62"/>
      <c r="G992" s="16"/>
      <c r="H992" s="16"/>
      <c r="I992" s="15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16"/>
      <c r="C993" s="62"/>
      <c r="D993" s="62"/>
      <c r="E993" s="62"/>
      <c r="F993" s="62"/>
      <c r="G993" s="16"/>
      <c r="H993" s="16"/>
      <c r="I993" s="15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16"/>
      <c r="C994" s="62"/>
      <c r="D994" s="62"/>
      <c r="E994" s="62"/>
      <c r="F994" s="62"/>
      <c r="G994" s="16"/>
      <c r="H994" s="16"/>
      <c r="I994" s="15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16"/>
      <c r="C995" s="62"/>
      <c r="D995" s="62"/>
      <c r="E995" s="62"/>
      <c r="F995" s="62"/>
      <c r="G995" s="16"/>
      <c r="H995" s="16"/>
      <c r="I995" s="15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16"/>
      <c r="C996" s="62"/>
      <c r="D996" s="62"/>
      <c r="E996" s="62"/>
      <c r="F996" s="62"/>
      <c r="G996" s="16"/>
      <c r="H996" s="16"/>
      <c r="I996" s="15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16"/>
      <c r="C997" s="62"/>
      <c r="D997" s="62"/>
      <c r="E997" s="62"/>
      <c r="F997" s="62"/>
      <c r="G997" s="16"/>
      <c r="H997" s="16"/>
      <c r="I997" s="15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16"/>
      <c r="C998" s="62"/>
      <c r="D998" s="62"/>
      <c r="E998" s="62"/>
      <c r="F998" s="62"/>
      <c r="G998" s="16"/>
      <c r="H998" s="16"/>
      <c r="I998" s="15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16"/>
      <c r="C999" s="62"/>
      <c r="D999" s="62"/>
      <c r="E999" s="62"/>
      <c r="F999" s="62"/>
      <c r="G999" s="16"/>
      <c r="H999" s="16"/>
      <c r="I999" s="15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16"/>
      <c r="C1000" s="62"/>
      <c r="D1000" s="62"/>
      <c r="E1000" s="62"/>
      <c r="F1000" s="62"/>
      <c r="G1000" s="16"/>
      <c r="H1000" s="16"/>
      <c r="I1000" s="15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3:O215" xr:uid="{00000000-0009-0000-0000-000006000000}"/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5">
    <dataValidation type="list" allowBlank="1" showErrorMessage="1" sqref="F1:F1000" xr:uid="{00000000-0002-0000-0600-000000000000}">
      <formula1>$N$4:$N$8</formula1>
    </dataValidation>
    <dataValidation type="list" allowBlank="1" showErrorMessage="1" sqref="J1" xr:uid="{00000000-0002-0000-0600-000001000000}">
      <formula1>$M$4:$M$46</formula1>
    </dataValidation>
    <dataValidation type="list" allowBlank="1" showErrorMessage="1" sqref="J2:J3 J216:J1000" xr:uid="{00000000-0002-0000-0600-000002000000}">
      <formula1>$M$4:$M$70</formula1>
    </dataValidation>
    <dataValidation type="list" allowBlank="1" showErrorMessage="1" sqref="J4:J215" xr:uid="{00000000-0002-0000-0600-000003000000}">
      <formula1>"ปฏิเสธ,ยกเลิก,ติดต่อไม่ได้,ไม่รับโทรศัพท์,ส่งของไปซ้ำ,ลูกค้าแจ้งว่าไม่ได้สั่ง,เกินเวลานัดรับพัสดุ,เบอร์ผิด,ไม่ต้องการแล้ว"</formula1>
    </dataValidation>
    <dataValidation type="list" allowBlank="1" showErrorMessage="1" sqref="E1:E1000" xr:uid="{00000000-0002-0000-0600-000004000000}">
      <formula1>$O$4:$O$8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12" activePane="bottomRight" state="frozen"/>
      <selection pane="topRight" activeCell="E1" sqref="E1"/>
      <selection pane="bottomLeft" activeCell="A4" sqref="A4"/>
      <selection pane="bottomRight" activeCell="A27" sqref="A27:A37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4.5546875" customWidth="1"/>
    <col min="5" max="5" width="26.33203125" customWidth="1"/>
    <col min="6" max="6" width="12.109375" customWidth="1"/>
    <col min="7" max="7" width="19.6640625" customWidth="1"/>
    <col min="8" max="9" width="15.109375" customWidth="1"/>
    <col min="10" max="10" width="32.3320312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106" t="s">
        <v>355</v>
      </c>
      <c r="B1" s="97"/>
      <c r="C1" s="99"/>
      <c r="D1" s="100"/>
      <c r="E1" s="100"/>
      <c r="F1" s="100"/>
      <c r="G1" s="97"/>
      <c r="H1" s="107" t="s">
        <v>63</v>
      </c>
      <c r="I1" s="108">
        <f>SUBTOTAL(9,I4:I11953)</f>
        <v>5206</v>
      </c>
      <c r="J1" s="109" t="s">
        <v>80</v>
      </c>
      <c r="K1" s="9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149" t="s">
        <v>82</v>
      </c>
      <c r="B2" s="149" t="s">
        <v>125</v>
      </c>
      <c r="C2" s="149" t="s">
        <v>126</v>
      </c>
      <c r="D2" s="149" t="s">
        <v>127</v>
      </c>
      <c r="E2" s="149" t="s">
        <v>128</v>
      </c>
      <c r="F2" s="149" t="s">
        <v>129</v>
      </c>
      <c r="G2" s="149" t="s">
        <v>130</v>
      </c>
      <c r="H2" s="148"/>
      <c r="I2" s="149" t="s">
        <v>131</v>
      </c>
      <c r="J2" s="149" t="s">
        <v>132</v>
      </c>
      <c r="K2" s="111" t="s">
        <v>4</v>
      </c>
      <c r="L2" s="39"/>
      <c r="M2" s="68" t="s">
        <v>133</v>
      </c>
      <c r="N2" s="68" t="s">
        <v>129</v>
      </c>
      <c r="O2" s="68" t="s">
        <v>135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149"/>
      <c r="B3" s="149"/>
      <c r="C3" s="149"/>
      <c r="D3" s="149"/>
      <c r="E3" s="149"/>
      <c r="F3" s="149"/>
      <c r="G3" s="110" t="s">
        <v>136</v>
      </c>
      <c r="H3" s="110" t="s">
        <v>137</v>
      </c>
      <c r="I3" s="149"/>
      <c r="J3" s="149"/>
      <c r="K3" s="111"/>
      <c r="L3" s="39"/>
      <c r="M3" s="88"/>
      <c r="N3" s="88"/>
      <c r="O3" s="88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6">
      <c r="A4" s="97">
        <v>1</v>
      </c>
      <c r="B4" s="98">
        <v>244505</v>
      </c>
      <c r="C4" s="99" t="s">
        <v>356</v>
      </c>
      <c r="D4" s="99" t="s">
        <v>357</v>
      </c>
      <c r="E4" s="100" t="s">
        <v>358</v>
      </c>
      <c r="F4" s="101" t="s">
        <v>359</v>
      </c>
      <c r="G4" s="97" t="s">
        <v>360</v>
      </c>
      <c r="H4" s="97" t="s">
        <v>361</v>
      </c>
      <c r="I4" s="102">
        <v>270</v>
      </c>
      <c r="J4" s="97" t="s">
        <v>68</v>
      </c>
      <c r="K4" s="97"/>
      <c r="L4" s="16"/>
      <c r="M4" s="77" t="s">
        <v>68</v>
      </c>
      <c r="N4" s="77" t="s">
        <v>359</v>
      </c>
      <c r="O4" s="78" t="s">
        <v>140</v>
      </c>
      <c r="P4" s="39"/>
      <c r="Q4" s="39"/>
      <c r="R4" s="39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97">
        <v>2</v>
      </c>
      <c r="B5" s="98">
        <v>244505</v>
      </c>
      <c r="C5" s="99" t="s">
        <v>362</v>
      </c>
      <c r="D5" s="99" t="s">
        <v>363</v>
      </c>
      <c r="E5" s="100" t="s">
        <v>358</v>
      </c>
      <c r="F5" s="101" t="s">
        <v>359</v>
      </c>
      <c r="G5" s="103" t="s">
        <v>364</v>
      </c>
      <c r="H5" s="102" t="s">
        <v>365</v>
      </c>
      <c r="I5" s="102">
        <v>200</v>
      </c>
      <c r="J5" s="97" t="s">
        <v>68</v>
      </c>
      <c r="K5" s="97"/>
      <c r="L5" s="16"/>
      <c r="M5" s="77" t="s">
        <v>69</v>
      </c>
      <c r="N5" s="77" t="s">
        <v>366</v>
      </c>
      <c r="O5" s="79" t="s">
        <v>150</v>
      </c>
      <c r="P5" s="39"/>
      <c r="Q5" s="39"/>
      <c r="R5" s="39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97">
        <v>3</v>
      </c>
      <c r="B6" s="98">
        <v>244505</v>
      </c>
      <c r="C6" s="99" t="s">
        <v>367</v>
      </c>
      <c r="D6" s="99" t="s">
        <v>368</v>
      </c>
      <c r="E6" s="100" t="s">
        <v>358</v>
      </c>
      <c r="F6" s="101" t="s">
        <v>359</v>
      </c>
      <c r="G6" s="97" t="s">
        <v>369</v>
      </c>
      <c r="H6" s="100" t="s">
        <v>370</v>
      </c>
      <c r="I6" s="102">
        <v>215</v>
      </c>
      <c r="J6" s="97" t="s">
        <v>68</v>
      </c>
      <c r="K6" s="97"/>
      <c r="L6" s="16"/>
      <c r="M6" s="77" t="s">
        <v>70</v>
      </c>
      <c r="N6" s="77" t="s">
        <v>371</v>
      </c>
      <c r="O6" s="78" t="s">
        <v>154</v>
      </c>
      <c r="P6" s="39"/>
      <c r="Q6" s="39"/>
      <c r="R6" s="39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97">
        <v>4</v>
      </c>
      <c r="B7" s="98">
        <v>244505</v>
      </c>
      <c r="C7" s="99" t="s">
        <v>372</v>
      </c>
      <c r="D7" s="99" t="s">
        <v>373</v>
      </c>
      <c r="E7" s="100" t="s">
        <v>358</v>
      </c>
      <c r="F7" s="101" t="s">
        <v>359</v>
      </c>
      <c r="G7" s="97" t="s">
        <v>374</v>
      </c>
      <c r="H7" s="102" t="s">
        <v>375</v>
      </c>
      <c r="I7" s="102">
        <v>220</v>
      </c>
      <c r="J7" s="97" t="s">
        <v>68</v>
      </c>
      <c r="K7" s="97"/>
      <c r="L7" s="16"/>
      <c r="M7" s="77" t="s">
        <v>159</v>
      </c>
      <c r="N7" s="77" t="s">
        <v>376</v>
      </c>
      <c r="O7" s="77" t="s">
        <v>240</v>
      </c>
      <c r="P7" s="39"/>
      <c r="Q7" s="39"/>
      <c r="R7" s="39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97">
        <v>5</v>
      </c>
      <c r="B8" s="98">
        <v>244505</v>
      </c>
      <c r="C8" s="99" t="s">
        <v>377</v>
      </c>
      <c r="D8" s="99" t="s">
        <v>378</v>
      </c>
      <c r="E8" s="100" t="s">
        <v>358</v>
      </c>
      <c r="F8" s="101" t="s">
        <v>359</v>
      </c>
      <c r="G8" s="97" t="s">
        <v>379</v>
      </c>
      <c r="H8" s="100" t="s">
        <v>380</v>
      </c>
      <c r="I8" s="102">
        <v>400</v>
      </c>
      <c r="J8" s="97" t="s">
        <v>68</v>
      </c>
      <c r="K8" s="97"/>
      <c r="L8" s="16"/>
      <c r="M8" s="77" t="s">
        <v>381</v>
      </c>
      <c r="N8" s="77" t="s">
        <v>382</v>
      </c>
      <c r="O8" s="77" t="s">
        <v>358</v>
      </c>
      <c r="P8" s="39"/>
      <c r="Q8" s="39"/>
      <c r="R8" s="39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97">
        <v>6</v>
      </c>
      <c r="B9" s="98">
        <v>244505</v>
      </c>
      <c r="C9" s="100" t="s">
        <v>383</v>
      </c>
      <c r="D9" s="100" t="s">
        <v>384</v>
      </c>
      <c r="E9" s="100" t="s">
        <v>358</v>
      </c>
      <c r="F9" s="101" t="s">
        <v>359</v>
      </c>
      <c r="G9" s="97" t="s">
        <v>385</v>
      </c>
      <c r="H9" s="100" t="s">
        <v>386</v>
      </c>
      <c r="I9" s="102">
        <v>380</v>
      </c>
      <c r="J9" s="97" t="s">
        <v>68</v>
      </c>
      <c r="K9" s="97"/>
      <c r="L9" s="16"/>
      <c r="M9" s="77" t="s">
        <v>72</v>
      </c>
      <c r="N9" s="16"/>
      <c r="O9" s="16"/>
      <c r="P9" s="39"/>
      <c r="Q9" s="39"/>
      <c r="R9" s="39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97">
        <v>7</v>
      </c>
      <c r="B10" s="98">
        <v>244566</v>
      </c>
      <c r="C10" s="100" t="s">
        <v>387</v>
      </c>
      <c r="D10" s="100" t="s">
        <v>388</v>
      </c>
      <c r="E10" s="100" t="s">
        <v>358</v>
      </c>
      <c r="F10" s="101" t="s">
        <v>359</v>
      </c>
      <c r="G10" s="104" t="s">
        <v>389</v>
      </c>
      <c r="H10" s="104" t="s">
        <v>390</v>
      </c>
      <c r="I10" s="102">
        <v>220</v>
      </c>
      <c r="J10" s="97" t="s">
        <v>68</v>
      </c>
      <c r="K10" s="97"/>
      <c r="L10" s="16"/>
      <c r="M10" s="16" t="s">
        <v>391</v>
      </c>
      <c r="N10" s="16"/>
      <c r="O10" s="16"/>
      <c r="P10" s="39"/>
      <c r="Q10" s="39"/>
      <c r="R10" s="39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6">
      <c r="A11" s="97">
        <v>8</v>
      </c>
      <c r="B11" s="98">
        <v>244566</v>
      </c>
      <c r="C11" s="100" t="s">
        <v>392</v>
      </c>
      <c r="D11" s="100" t="s">
        <v>393</v>
      </c>
      <c r="E11" s="100" t="s">
        <v>358</v>
      </c>
      <c r="F11" s="101" t="s">
        <v>359</v>
      </c>
      <c r="G11" s="104" t="s">
        <v>394</v>
      </c>
      <c r="H11" s="102" t="s">
        <v>395</v>
      </c>
      <c r="I11" s="102">
        <v>215</v>
      </c>
      <c r="J11" s="97" t="s">
        <v>68</v>
      </c>
      <c r="K11" s="97"/>
      <c r="L11" s="16"/>
      <c r="M11" s="16"/>
      <c r="N11" s="16"/>
      <c r="O11" s="16"/>
      <c r="P11" s="39"/>
      <c r="Q11" s="39"/>
      <c r="R11" s="39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97">
        <v>9</v>
      </c>
      <c r="B12" s="100" t="s">
        <v>396</v>
      </c>
      <c r="C12" s="100" t="s">
        <v>397</v>
      </c>
      <c r="D12" s="100" t="s">
        <v>398</v>
      </c>
      <c r="E12" s="100" t="s">
        <v>358</v>
      </c>
      <c r="F12" s="101" t="s">
        <v>359</v>
      </c>
      <c r="G12" s="97" t="s">
        <v>399</v>
      </c>
      <c r="H12" s="97" t="s">
        <v>400</v>
      </c>
      <c r="I12" s="105">
        <v>220</v>
      </c>
      <c r="J12" s="97" t="s">
        <v>68</v>
      </c>
      <c r="K12" s="9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97">
        <v>10</v>
      </c>
      <c r="B13" s="100" t="s">
        <v>401</v>
      </c>
      <c r="C13" s="100" t="s">
        <v>402</v>
      </c>
      <c r="D13" s="100" t="s">
        <v>403</v>
      </c>
      <c r="E13" s="100" t="s">
        <v>358</v>
      </c>
      <c r="F13" s="101" t="s">
        <v>359</v>
      </c>
      <c r="G13" s="97" t="s">
        <v>404</v>
      </c>
      <c r="H13" s="97" t="s">
        <v>405</v>
      </c>
      <c r="I13" s="105">
        <v>270</v>
      </c>
      <c r="J13" s="97" t="s">
        <v>68</v>
      </c>
      <c r="K13" s="9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97">
        <v>11</v>
      </c>
      <c r="B14" s="100" t="s">
        <v>406</v>
      </c>
      <c r="C14" s="100" t="s">
        <v>407</v>
      </c>
      <c r="D14" s="100" t="s">
        <v>408</v>
      </c>
      <c r="E14" s="100" t="s">
        <v>358</v>
      </c>
      <c r="F14" s="101" t="s">
        <v>359</v>
      </c>
      <c r="G14" s="97" t="s">
        <v>409</v>
      </c>
      <c r="H14" s="97"/>
      <c r="I14" s="105">
        <v>100</v>
      </c>
      <c r="J14" s="97" t="s">
        <v>68</v>
      </c>
      <c r="K14" s="97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97">
        <v>12</v>
      </c>
      <c r="B15" s="100" t="s">
        <v>406</v>
      </c>
      <c r="C15" s="100" t="s">
        <v>410</v>
      </c>
      <c r="D15" s="100" t="s">
        <v>411</v>
      </c>
      <c r="E15" s="100" t="s">
        <v>358</v>
      </c>
      <c r="F15" s="101" t="s">
        <v>359</v>
      </c>
      <c r="G15" s="97" t="s">
        <v>412</v>
      </c>
      <c r="H15" s="97"/>
      <c r="I15" s="105">
        <v>270</v>
      </c>
      <c r="J15" s="97" t="s">
        <v>68</v>
      </c>
      <c r="K15" s="9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97">
        <v>13</v>
      </c>
      <c r="B16" s="100" t="s">
        <v>406</v>
      </c>
      <c r="C16" s="99" t="s">
        <v>413</v>
      </c>
      <c r="D16" s="99" t="s">
        <v>414</v>
      </c>
      <c r="E16" s="100" t="s">
        <v>358</v>
      </c>
      <c r="F16" s="101" t="s">
        <v>359</v>
      </c>
      <c r="G16" s="97" t="s">
        <v>415</v>
      </c>
      <c r="H16" s="97"/>
      <c r="I16" s="105">
        <v>220</v>
      </c>
      <c r="J16" s="97" t="s">
        <v>68</v>
      </c>
      <c r="K16" s="9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97">
        <v>14</v>
      </c>
      <c r="B17" s="100" t="s">
        <v>406</v>
      </c>
      <c r="C17" s="99" t="s">
        <v>416</v>
      </c>
      <c r="D17" s="100" t="s">
        <v>417</v>
      </c>
      <c r="E17" s="100" t="s">
        <v>358</v>
      </c>
      <c r="F17" s="101" t="s">
        <v>359</v>
      </c>
      <c r="G17" s="97" t="s">
        <v>418</v>
      </c>
      <c r="H17" s="97" t="s">
        <v>419</v>
      </c>
      <c r="I17" s="105">
        <v>100</v>
      </c>
      <c r="J17" s="97" t="s">
        <v>68</v>
      </c>
      <c r="K17" s="9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97">
        <v>15</v>
      </c>
      <c r="B18" s="97" t="s">
        <v>191</v>
      </c>
      <c r="C18" s="99" t="s">
        <v>420</v>
      </c>
      <c r="D18" s="100" t="s">
        <v>421</v>
      </c>
      <c r="E18" s="100" t="s">
        <v>358</v>
      </c>
      <c r="F18" s="101" t="s">
        <v>359</v>
      </c>
      <c r="G18" s="97" t="s">
        <v>422</v>
      </c>
      <c r="H18" s="97" t="s">
        <v>423</v>
      </c>
      <c r="I18" s="105">
        <v>199</v>
      </c>
      <c r="J18" s="97" t="s">
        <v>68</v>
      </c>
      <c r="K18" s="9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97">
        <v>16</v>
      </c>
      <c r="B19" s="97" t="s">
        <v>191</v>
      </c>
      <c r="C19" s="99" t="s">
        <v>424</v>
      </c>
      <c r="D19" s="100" t="s">
        <v>425</v>
      </c>
      <c r="E19" s="100" t="s">
        <v>358</v>
      </c>
      <c r="F19" s="101" t="s">
        <v>359</v>
      </c>
      <c r="G19" s="97" t="s">
        <v>426</v>
      </c>
      <c r="H19" s="97" t="s">
        <v>427</v>
      </c>
      <c r="I19" s="105">
        <v>100</v>
      </c>
      <c r="J19" s="97" t="s">
        <v>68</v>
      </c>
      <c r="K19" s="97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97">
        <v>17</v>
      </c>
      <c r="B20" s="97" t="s">
        <v>288</v>
      </c>
      <c r="C20" s="99" t="s">
        <v>428</v>
      </c>
      <c r="D20" s="100" t="s">
        <v>429</v>
      </c>
      <c r="E20" s="100" t="s">
        <v>358</v>
      </c>
      <c r="F20" s="101" t="s">
        <v>359</v>
      </c>
      <c r="G20" s="97" t="s">
        <v>430</v>
      </c>
      <c r="H20" s="97"/>
      <c r="I20" s="105">
        <v>179</v>
      </c>
      <c r="J20" s="97" t="s">
        <v>68</v>
      </c>
      <c r="K20" s="9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97">
        <v>18</v>
      </c>
      <c r="B21" s="97" t="s">
        <v>288</v>
      </c>
      <c r="C21" s="99" t="s">
        <v>431</v>
      </c>
      <c r="D21" s="100" t="s">
        <v>432</v>
      </c>
      <c r="E21" s="100" t="s">
        <v>358</v>
      </c>
      <c r="F21" s="101" t="s">
        <v>359</v>
      </c>
      <c r="G21" s="97" t="s">
        <v>433</v>
      </c>
      <c r="H21" s="97" t="s">
        <v>434</v>
      </c>
      <c r="I21" s="105">
        <v>215</v>
      </c>
      <c r="J21" s="97" t="s">
        <v>68</v>
      </c>
      <c r="K21" s="97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97">
        <v>19</v>
      </c>
      <c r="B22" s="97" t="s">
        <v>288</v>
      </c>
      <c r="C22" s="99" t="s">
        <v>435</v>
      </c>
      <c r="D22" s="100" t="s">
        <v>436</v>
      </c>
      <c r="E22" s="100" t="s">
        <v>358</v>
      </c>
      <c r="F22" s="101" t="s">
        <v>359</v>
      </c>
      <c r="G22" s="97" t="s">
        <v>437</v>
      </c>
      <c r="H22" s="97" t="s">
        <v>438</v>
      </c>
      <c r="I22" s="105">
        <v>179</v>
      </c>
      <c r="J22" s="97" t="s">
        <v>68</v>
      </c>
      <c r="K22" s="9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97">
        <v>20</v>
      </c>
      <c r="B23" s="97" t="s">
        <v>439</v>
      </c>
      <c r="C23" s="99" t="s">
        <v>440</v>
      </c>
      <c r="D23" s="100" t="s">
        <v>441</v>
      </c>
      <c r="E23" s="100" t="s">
        <v>358</v>
      </c>
      <c r="F23" s="101" t="s">
        <v>359</v>
      </c>
      <c r="G23" s="97" t="s">
        <v>442</v>
      </c>
      <c r="H23" s="97"/>
      <c r="I23" s="105">
        <v>215</v>
      </c>
      <c r="J23" s="97" t="s">
        <v>68</v>
      </c>
      <c r="K23" s="9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97">
        <v>21</v>
      </c>
      <c r="B24" s="97" t="s">
        <v>208</v>
      </c>
      <c r="C24" s="99" t="s">
        <v>443</v>
      </c>
      <c r="D24" s="100" t="s">
        <v>444</v>
      </c>
      <c r="E24" s="100" t="s">
        <v>358</v>
      </c>
      <c r="F24" s="101" t="s">
        <v>359</v>
      </c>
      <c r="G24" s="97" t="s">
        <v>445</v>
      </c>
      <c r="H24" s="97" t="s">
        <v>446</v>
      </c>
      <c r="I24" s="105">
        <v>420</v>
      </c>
      <c r="J24" s="97" t="s">
        <v>68</v>
      </c>
      <c r="K24" s="9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97">
        <v>22</v>
      </c>
      <c r="B25" s="97" t="s">
        <v>447</v>
      </c>
      <c r="C25" s="99" t="s">
        <v>448</v>
      </c>
      <c r="D25" s="100" t="s">
        <v>449</v>
      </c>
      <c r="E25" s="100" t="s">
        <v>358</v>
      </c>
      <c r="F25" s="101" t="s">
        <v>359</v>
      </c>
      <c r="G25" s="97" t="s">
        <v>450</v>
      </c>
      <c r="H25" s="105" t="s">
        <v>451</v>
      </c>
      <c r="I25" s="105">
        <v>199</v>
      </c>
      <c r="J25" s="97" t="s">
        <v>68</v>
      </c>
      <c r="K25" s="97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97">
        <v>23</v>
      </c>
      <c r="B26" s="97" t="s">
        <v>447</v>
      </c>
      <c r="C26" s="99" t="s">
        <v>452</v>
      </c>
      <c r="D26" s="100" t="s">
        <v>453</v>
      </c>
      <c r="E26" s="100" t="s">
        <v>358</v>
      </c>
      <c r="F26" s="101" t="s">
        <v>359</v>
      </c>
      <c r="G26" s="97" t="s">
        <v>454</v>
      </c>
      <c r="H26" s="97" t="s">
        <v>455</v>
      </c>
      <c r="I26" s="105">
        <v>200</v>
      </c>
      <c r="J26" s="97" t="s">
        <v>68</v>
      </c>
      <c r="K26" s="97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/>
      <c r="B27" s="74"/>
      <c r="C27" s="85"/>
      <c r="D27" s="62"/>
      <c r="E27" s="62"/>
      <c r="F27" s="75"/>
      <c r="G27" s="16"/>
      <c r="H27" s="16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/>
      <c r="B28" s="74"/>
      <c r="C28" s="85"/>
      <c r="D28" s="62"/>
      <c r="E28" s="62"/>
      <c r="F28" s="75"/>
      <c r="G28" s="16"/>
      <c r="H28" s="16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74"/>
      <c r="C29" s="85"/>
      <c r="D29" s="62"/>
      <c r="E29" s="62"/>
      <c r="F29" s="75"/>
      <c r="G29" s="16"/>
      <c r="H29" s="16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74"/>
      <c r="C30" s="85"/>
      <c r="D30" s="62"/>
      <c r="E30" s="62"/>
      <c r="F30" s="75"/>
      <c r="G30" s="16"/>
      <c r="H30" s="16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74"/>
      <c r="C31" s="85"/>
      <c r="D31" s="62"/>
      <c r="E31" s="62"/>
      <c r="F31" s="75"/>
      <c r="G31" s="16"/>
      <c r="H31" s="16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74"/>
      <c r="C32" s="85"/>
      <c r="D32" s="62"/>
      <c r="E32" s="62"/>
      <c r="F32" s="75"/>
      <c r="G32" s="16"/>
      <c r="H32" s="16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74"/>
      <c r="C33" s="85"/>
      <c r="D33" s="62"/>
      <c r="E33" s="62"/>
      <c r="F33" s="75"/>
      <c r="G33" s="16"/>
      <c r="H33" s="16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74"/>
      <c r="C34" s="85"/>
      <c r="D34" s="62"/>
      <c r="E34" s="62"/>
      <c r="F34" s="75"/>
      <c r="G34" s="16"/>
      <c r="H34" s="16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74"/>
      <c r="C35" s="85"/>
      <c r="D35" s="62"/>
      <c r="E35" s="62"/>
      <c r="F35" s="75"/>
      <c r="G35" s="16"/>
      <c r="H35" s="16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16"/>
      <c r="C36" s="85"/>
      <c r="D36" s="62"/>
      <c r="E36" s="62"/>
      <c r="F36" s="62"/>
      <c r="G36" s="16"/>
      <c r="H36" s="16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16"/>
      <c r="C37" s="85"/>
      <c r="D37" s="62"/>
      <c r="E37" s="62"/>
      <c r="F37" s="62"/>
      <c r="G37" s="16"/>
      <c r="H37" s="16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16"/>
      <c r="C38" s="85"/>
      <c r="D38" s="62"/>
      <c r="E38" s="62"/>
      <c r="F38" s="62"/>
      <c r="G38" s="16"/>
      <c r="H38" s="16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16"/>
      <c r="C39" s="85"/>
      <c r="D39" s="62"/>
      <c r="E39" s="62"/>
      <c r="F39" s="62"/>
      <c r="G39" s="16"/>
      <c r="H39" s="16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16"/>
      <c r="C40" s="85"/>
      <c r="D40" s="62"/>
      <c r="E40" s="62"/>
      <c r="F40" s="62"/>
      <c r="G40" s="16"/>
      <c r="H40" s="16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16"/>
      <c r="C41" s="85"/>
      <c r="D41" s="62"/>
      <c r="E41" s="62"/>
      <c r="F41" s="62"/>
      <c r="G41" s="16"/>
      <c r="H41" s="16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16"/>
      <c r="C42" s="85"/>
      <c r="D42" s="62"/>
      <c r="E42" s="62"/>
      <c r="F42" s="62"/>
      <c r="G42" s="16"/>
      <c r="H42" s="16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16"/>
      <c r="C43" s="85"/>
      <c r="D43" s="62"/>
      <c r="E43" s="62"/>
      <c r="F43" s="62"/>
      <c r="G43" s="16"/>
      <c r="H43" s="16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16"/>
      <c r="C44" s="85"/>
      <c r="D44" s="62"/>
      <c r="E44" s="62"/>
      <c r="F44" s="62"/>
      <c r="G44" s="16"/>
      <c r="H44" s="16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16"/>
      <c r="C45" s="85"/>
      <c r="D45" s="62"/>
      <c r="E45" s="62"/>
      <c r="F45" s="62"/>
      <c r="G45" s="16"/>
      <c r="H45" s="16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16"/>
      <c r="C46" s="85"/>
      <c r="D46" s="62"/>
      <c r="E46" s="62"/>
      <c r="F46" s="62"/>
      <c r="G46" s="16"/>
      <c r="H46" s="16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16"/>
      <c r="C47" s="85"/>
      <c r="D47" s="62"/>
      <c r="E47" s="62"/>
      <c r="F47" s="62"/>
      <c r="G47" s="16"/>
      <c r="H47" s="16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16"/>
      <c r="C48" s="85"/>
      <c r="D48" s="62"/>
      <c r="E48" s="62"/>
      <c r="F48" s="62"/>
      <c r="G48" s="16"/>
      <c r="H48" s="16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16"/>
      <c r="C49" s="85"/>
      <c r="D49" s="62"/>
      <c r="E49" s="62"/>
      <c r="F49" s="62"/>
      <c r="G49" s="16"/>
      <c r="H49" s="16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16"/>
      <c r="C50" s="85"/>
      <c r="D50" s="62"/>
      <c r="E50" s="62"/>
      <c r="F50" s="62"/>
      <c r="G50" s="16"/>
      <c r="H50" s="16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16"/>
      <c r="C51" s="85"/>
      <c r="D51" s="62"/>
      <c r="E51" s="62"/>
      <c r="F51" s="62"/>
      <c r="G51" s="16"/>
      <c r="H51" s="16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16"/>
      <c r="C52" s="85"/>
      <c r="D52" s="62"/>
      <c r="E52" s="62"/>
      <c r="F52" s="62"/>
      <c r="G52" s="16"/>
      <c r="H52" s="16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16"/>
      <c r="C53" s="85"/>
      <c r="D53" s="62"/>
      <c r="E53" s="62"/>
      <c r="F53" s="62"/>
      <c r="G53" s="16"/>
      <c r="H53" s="16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16"/>
      <c r="C54" s="85"/>
      <c r="D54" s="62"/>
      <c r="E54" s="62"/>
      <c r="F54" s="62"/>
      <c r="G54" s="16"/>
      <c r="H54" s="16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16"/>
      <c r="C55" s="85"/>
      <c r="D55" s="62"/>
      <c r="E55" s="62"/>
      <c r="F55" s="62"/>
      <c r="G55" s="16"/>
      <c r="H55" s="16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16"/>
      <c r="C56" s="85"/>
      <c r="D56" s="62"/>
      <c r="E56" s="62"/>
      <c r="F56" s="62"/>
      <c r="G56" s="16"/>
      <c r="H56" s="16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16"/>
      <c r="C57" s="85"/>
      <c r="D57" s="62"/>
      <c r="E57" s="62"/>
      <c r="F57" s="62"/>
      <c r="G57" s="16"/>
      <c r="H57" s="16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16"/>
      <c r="C58" s="85"/>
      <c r="D58" s="62"/>
      <c r="E58" s="62"/>
      <c r="F58" s="62"/>
      <c r="G58" s="16"/>
      <c r="H58" s="16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16"/>
      <c r="C59" s="85"/>
      <c r="D59" s="62"/>
      <c r="E59" s="62"/>
      <c r="F59" s="62"/>
      <c r="G59" s="16"/>
      <c r="H59" s="16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16"/>
      <c r="C60" s="85"/>
      <c r="D60" s="62"/>
      <c r="E60" s="62"/>
      <c r="F60" s="62"/>
      <c r="G60" s="16"/>
      <c r="H60" s="16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16"/>
      <c r="C61" s="85"/>
      <c r="D61" s="62"/>
      <c r="E61" s="62"/>
      <c r="F61" s="62"/>
      <c r="G61" s="16"/>
      <c r="H61" s="16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16"/>
      <c r="C62" s="85"/>
      <c r="D62" s="62"/>
      <c r="E62" s="62"/>
      <c r="F62" s="62"/>
      <c r="G62" s="16"/>
      <c r="H62" s="16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16"/>
      <c r="C63" s="85"/>
      <c r="D63" s="62"/>
      <c r="E63" s="62"/>
      <c r="F63" s="62"/>
      <c r="G63" s="16"/>
      <c r="H63" s="16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16"/>
      <c r="C64" s="85"/>
      <c r="D64" s="62"/>
      <c r="E64" s="62"/>
      <c r="F64" s="62"/>
      <c r="G64" s="16"/>
      <c r="H64" s="16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16"/>
      <c r="C65" s="85"/>
      <c r="D65" s="62"/>
      <c r="E65" s="62"/>
      <c r="F65" s="62"/>
      <c r="G65" s="16"/>
      <c r="H65" s="16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16"/>
      <c r="C66" s="85"/>
      <c r="D66" s="62"/>
      <c r="E66" s="62"/>
      <c r="F66" s="62"/>
      <c r="G66" s="16"/>
      <c r="H66" s="16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16"/>
      <c r="C67" s="85"/>
      <c r="D67" s="62"/>
      <c r="E67" s="62"/>
      <c r="F67" s="62"/>
      <c r="G67" s="16"/>
      <c r="H67" s="16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16"/>
      <c r="C68" s="85"/>
      <c r="D68" s="62"/>
      <c r="E68" s="62"/>
      <c r="F68" s="62"/>
      <c r="G68" s="16"/>
      <c r="H68" s="16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16"/>
      <c r="C69" s="85"/>
      <c r="D69" s="62"/>
      <c r="E69" s="62"/>
      <c r="F69" s="62"/>
      <c r="G69" s="16"/>
      <c r="H69" s="16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16"/>
      <c r="C70" s="85"/>
      <c r="D70" s="62"/>
      <c r="E70" s="62"/>
      <c r="F70" s="62"/>
      <c r="G70" s="16"/>
      <c r="H70" s="16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16"/>
      <c r="C71" s="85"/>
      <c r="D71" s="62"/>
      <c r="E71" s="62"/>
      <c r="F71" s="62"/>
      <c r="G71" s="16"/>
      <c r="H71" s="16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16"/>
      <c r="C72" s="85"/>
      <c r="D72" s="62"/>
      <c r="E72" s="62"/>
      <c r="F72" s="62"/>
      <c r="G72" s="16"/>
      <c r="H72" s="16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16"/>
      <c r="C73" s="85"/>
      <c r="D73" s="62"/>
      <c r="E73" s="62"/>
      <c r="F73" s="62"/>
      <c r="G73" s="16"/>
      <c r="H73" s="16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16"/>
      <c r="C74" s="85"/>
      <c r="D74" s="62"/>
      <c r="E74" s="62"/>
      <c r="F74" s="62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16"/>
      <c r="C75" s="85"/>
      <c r="D75" s="62"/>
      <c r="E75" s="62"/>
      <c r="F75" s="62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16"/>
      <c r="C76" s="85"/>
      <c r="D76" s="62"/>
      <c r="E76" s="62"/>
      <c r="F76" s="62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16"/>
      <c r="C77" s="85"/>
      <c r="D77" s="62"/>
      <c r="E77" s="62"/>
      <c r="F77" s="62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16"/>
      <c r="C78" s="85"/>
      <c r="D78" s="62"/>
      <c r="E78" s="62"/>
      <c r="F78" s="62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16"/>
      <c r="C79" s="85"/>
      <c r="D79" s="62"/>
      <c r="E79" s="62"/>
      <c r="F79" s="62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16"/>
      <c r="C80" s="85"/>
      <c r="D80" s="62"/>
      <c r="E80" s="62"/>
      <c r="F80" s="62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16"/>
      <c r="C81" s="85"/>
      <c r="D81" s="62"/>
      <c r="E81" s="62"/>
      <c r="F81" s="62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16"/>
      <c r="C82" s="85"/>
      <c r="D82" s="62"/>
      <c r="E82" s="62"/>
      <c r="F82" s="62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16"/>
      <c r="C83" s="85"/>
      <c r="D83" s="62"/>
      <c r="E83" s="62"/>
      <c r="F83" s="62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16"/>
      <c r="C84" s="85"/>
      <c r="D84" s="62"/>
      <c r="E84" s="62"/>
      <c r="F84" s="62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16"/>
      <c r="C85" s="85"/>
      <c r="D85" s="62"/>
      <c r="E85" s="62"/>
      <c r="F85" s="62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16"/>
      <c r="C86" s="85"/>
      <c r="D86" s="62"/>
      <c r="E86" s="62"/>
      <c r="F86" s="62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16"/>
      <c r="C87" s="85"/>
      <c r="D87" s="62"/>
      <c r="E87" s="62"/>
      <c r="F87" s="62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16"/>
      <c r="C88" s="85"/>
      <c r="D88" s="62"/>
      <c r="E88" s="62"/>
      <c r="F88" s="62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16"/>
      <c r="C89" s="85"/>
      <c r="D89" s="62"/>
      <c r="E89" s="62"/>
      <c r="F89" s="62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16"/>
      <c r="C90" s="85"/>
      <c r="D90" s="62"/>
      <c r="E90" s="62"/>
      <c r="F90" s="62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16"/>
      <c r="C91" s="85"/>
      <c r="D91" s="62"/>
      <c r="E91" s="62"/>
      <c r="F91" s="62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16"/>
      <c r="C92" s="85"/>
      <c r="D92" s="62"/>
      <c r="E92" s="62"/>
      <c r="F92" s="62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16"/>
      <c r="C93" s="85"/>
      <c r="D93" s="62"/>
      <c r="E93" s="62"/>
      <c r="F93" s="62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16"/>
      <c r="C94" s="85"/>
      <c r="D94" s="62"/>
      <c r="E94" s="62"/>
      <c r="F94" s="62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16"/>
      <c r="C95" s="85"/>
      <c r="D95" s="62"/>
      <c r="E95" s="62"/>
      <c r="F95" s="62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16"/>
      <c r="C96" s="85"/>
      <c r="D96" s="62"/>
      <c r="E96" s="62"/>
      <c r="F96" s="62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16"/>
      <c r="C97" s="85"/>
      <c r="D97" s="62"/>
      <c r="E97" s="62"/>
      <c r="F97" s="62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16"/>
      <c r="C98" s="85"/>
      <c r="D98" s="62"/>
      <c r="E98" s="62"/>
      <c r="F98" s="62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16"/>
      <c r="C99" s="85"/>
      <c r="D99" s="62"/>
      <c r="E99" s="62"/>
      <c r="F99" s="62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16"/>
      <c r="C100" s="85"/>
      <c r="D100" s="62"/>
      <c r="E100" s="62"/>
      <c r="F100" s="62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16"/>
      <c r="C101" s="85"/>
      <c r="D101" s="62"/>
      <c r="E101" s="62"/>
      <c r="F101" s="62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16"/>
      <c r="C102" s="85"/>
      <c r="D102" s="62"/>
      <c r="E102" s="62"/>
      <c r="F102" s="62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16"/>
      <c r="C103" s="85"/>
      <c r="D103" s="62"/>
      <c r="E103" s="62"/>
      <c r="F103" s="62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16"/>
      <c r="C104" s="85"/>
      <c r="D104" s="62"/>
      <c r="E104" s="62"/>
      <c r="F104" s="62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16"/>
      <c r="C105" s="85"/>
      <c r="D105" s="62"/>
      <c r="E105" s="62"/>
      <c r="F105" s="62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16"/>
      <c r="C106" s="85"/>
      <c r="D106" s="62"/>
      <c r="E106" s="62"/>
      <c r="F106" s="62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16"/>
      <c r="C107" s="85"/>
      <c r="D107" s="62"/>
      <c r="E107" s="62"/>
      <c r="F107" s="62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16"/>
      <c r="C108" s="85"/>
      <c r="D108" s="62"/>
      <c r="E108" s="62"/>
      <c r="F108" s="62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16"/>
      <c r="C109" s="85"/>
      <c r="D109" s="62"/>
      <c r="E109" s="62"/>
      <c r="F109" s="62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16"/>
      <c r="C110" s="85"/>
      <c r="D110" s="62"/>
      <c r="E110" s="62"/>
      <c r="F110" s="62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16"/>
      <c r="C111" s="85"/>
      <c r="D111" s="62"/>
      <c r="E111" s="62"/>
      <c r="F111" s="62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16"/>
      <c r="C112" s="85"/>
      <c r="D112" s="62"/>
      <c r="E112" s="62"/>
      <c r="F112" s="62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16"/>
      <c r="C113" s="85"/>
      <c r="D113" s="62"/>
      <c r="E113" s="62"/>
      <c r="F113" s="62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16"/>
      <c r="C114" s="85"/>
      <c r="D114" s="62"/>
      <c r="E114" s="62"/>
      <c r="F114" s="62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16"/>
      <c r="C115" s="85"/>
      <c r="D115" s="62"/>
      <c r="E115" s="62"/>
      <c r="F115" s="62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16"/>
      <c r="C116" s="85"/>
      <c r="D116" s="62"/>
      <c r="E116" s="62"/>
      <c r="F116" s="62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16"/>
      <c r="C117" s="85"/>
      <c r="D117" s="62"/>
      <c r="E117" s="62"/>
      <c r="F117" s="62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16"/>
      <c r="C118" s="85"/>
      <c r="D118" s="62"/>
      <c r="E118" s="62"/>
      <c r="F118" s="62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16"/>
      <c r="C119" s="85"/>
      <c r="D119" s="62"/>
      <c r="E119" s="62"/>
      <c r="F119" s="62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16"/>
      <c r="C120" s="85"/>
      <c r="D120" s="62"/>
      <c r="E120" s="62"/>
      <c r="F120" s="62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16"/>
      <c r="C121" s="85"/>
      <c r="D121" s="62"/>
      <c r="E121" s="62"/>
      <c r="F121" s="62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16"/>
      <c r="C122" s="85"/>
      <c r="D122" s="62"/>
      <c r="E122" s="62"/>
      <c r="F122" s="62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16"/>
      <c r="C123" s="85"/>
      <c r="D123" s="62"/>
      <c r="E123" s="62"/>
      <c r="F123" s="62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16"/>
      <c r="C124" s="85"/>
      <c r="D124" s="62"/>
      <c r="E124" s="62"/>
      <c r="F124" s="62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16"/>
      <c r="C125" s="85"/>
      <c r="D125" s="62"/>
      <c r="E125" s="62"/>
      <c r="F125" s="62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16"/>
      <c r="C126" s="85"/>
      <c r="D126" s="62"/>
      <c r="E126" s="62"/>
      <c r="F126" s="62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16"/>
      <c r="C127" s="85"/>
      <c r="D127" s="62"/>
      <c r="E127" s="62"/>
      <c r="F127" s="62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16"/>
      <c r="C128" s="85"/>
      <c r="D128" s="62"/>
      <c r="E128" s="62"/>
      <c r="F128" s="62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16"/>
      <c r="C129" s="85"/>
      <c r="D129" s="62"/>
      <c r="E129" s="62"/>
      <c r="F129" s="62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16"/>
      <c r="C130" s="85"/>
      <c r="D130" s="62"/>
      <c r="E130" s="62"/>
      <c r="F130" s="62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16"/>
      <c r="C131" s="85"/>
      <c r="D131" s="62"/>
      <c r="E131" s="62"/>
      <c r="F131" s="62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16"/>
      <c r="C132" s="85"/>
      <c r="D132" s="62"/>
      <c r="E132" s="62"/>
      <c r="F132" s="62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16"/>
      <c r="C133" s="85"/>
      <c r="D133" s="62"/>
      <c r="E133" s="62"/>
      <c r="F133" s="62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16"/>
      <c r="C134" s="85"/>
      <c r="D134" s="62"/>
      <c r="E134" s="62"/>
      <c r="F134" s="62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16"/>
      <c r="C135" s="85"/>
      <c r="D135" s="62"/>
      <c r="E135" s="62"/>
      <c r="F135" s="62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16"/>
      <c r="C136" s="85"/>
      <c r="D136" s="62"/>
      <c r="E136" s="62"/>
      <c r="F136" s="62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16"/>
      <c r="C137" s="85"/>
      <c r="D137" s="62"/>
      <c r="E137" s="62"/>
      <c r="F137" s="62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16"/>
      <c r="C138" s="85"/>
      <c r="D138" s="62"/>
      <c r="E138" s="62"/>
      <c r="F138" s="62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16"/>
      <c r="C139" s="85"/>
      <c r="D139" s="62"/>
      <c r="E139" s="62"/>
      <c r="F139" s="62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16"/>
      <c r="C140" s="85"/>
      <c r="D140" s="62"/>
      <c r="E140" s="62"/>
      <c r="F140" s="62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16"/>
      <c r="C141" s="85"/>
      <c r="D141" s="62"/>
      <c r="E141" s="62"/>
      <c r="F141" s="62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85"/>
      <c r="D142" s="62"/>
      <c r="E142" s="62"/>
      <c r="F142" s="62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85"/>
      <c r="D143" s="62"/>
      <c r="E143" s="62"/>
      <c r="F143" s="62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85"/>
      <c r="D144" s="62"/>
      <c r="E144" s="62"/>
      <c r="F144" s="62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85"/>
      <c r="D145" s="62"/>
      <c r="E145" s="62"/>
      <c r="F145" s="62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85"/>
      <c r="D146" s="62"/>
      <c r="E146" s="62"/>
      <c r="F146" s="62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85"/>
      <c r="D147" s="62"/>
      <c r="E147" s="62"/>
      <c r="F147" s="62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85"/>
      <c r="D148" s="62"/>
      <c r="E148" s="62"/>
      <c r="F148" s="62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85"/>
      <c r="D149" s="62"/>
      <c r="E149" s="62"/>
      <c r="F149" s="62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85"/>
      <c r="D150" s="62"/>
      <c r="E150" s="62"/>
      <c r="F150" s="62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85"/>
      <c r="D151" s="62"/>
      <c r="E151" s="62"/>
      <c r="F151" s="62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85"/>
      <c r="D152" s="62"/>
      <c r="E152" s="62"/>
      <c r="F152" s="62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85"/>
      <c r="D153" s="62"/>
      <c r="E153" s="62"/>
      <c r="F153" s="62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85"/>
      <c r="D154" s="62"/>
      <c r="E154" s="62"/>
      <c r="F154" s="62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85"/>
      <c r="D155" s="62"/>
      <c r="E155" s="62"/>
      <c r="F155" s="62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85"/>
      <c r="D156" s="62"/>
      <c r="E156" s="62"/>
      <c r="F156" s="62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85"/>
      <c r="D157" s="62"/>
      <c r="E157" s="62"/>
      <c r="F157" s="62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85"/>
      <c r="D158" s="62"/>
      <c r="E158" s="62"/>
      <c r="F158" s="62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85"/>
      <c r="D159" s="62"/>
      <c r="E159" s="62"/>
      <c r="F159" s="62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85"/>
      <c r="D160" s="62"/>
      <c r="E160" s="62"/>
      <c r="F160" s="62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85"/>
      <c r="D161" s="62"/>
      <c r="E161" s="62"/>
      <c r="F161" s="62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85"/>
      <c r="D162" s="62"/>
      <c r="E162" s="62"/>
      <c r="F162" s="62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85"/>
      <c r="D163" s="62"/>
      <c r="E163" s="62"/>
      <c r="F163" s="62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85"/>
      <c r="D164" s="62"/>
      <c r="E164" s="62"/>
      <c r="F164" s="62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85"/>
      <c r="D165" s="62"/>
      <c r="E165" s="62"/>
      <c r="F165" s="62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85"/>
      <c r="D166" s="62"/>
      <c r="E166" s="62"/>
      <c r="F166" s="62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85"/>
      <c r="D167" s="62"/>
      <c r="E167" s="62"/>
      <c r="F167" s="62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85"/>
      <c r="D168" s="62"/>
      <c r="E168" s="62"/>
      <c r="F168" s="62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85"/>
      <c r="D169" s="62"/>
      <c r="E169" s="62"/>
      <c r="F169" s="62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85"/>
      <c r="D170" s="62"/>
      <c r="E170" s="62"/>
      <c r="F170" s="62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85"/>
      <c r="D171" s="62"/>
      <c r="E171" s="62"/>
      <c r="F171" s="62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85"/>
      <c r="D172" s="62"/>
      <c r="E172" s="62"/>
      <c r="F172" s="62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85"/>
      <c r="D173" s="62"/>
      <c r="E173" s="62"/>
      <c r="F173" s="62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85"/>
      <c r="D174" s="62"/>
      <c r="E174" s="62"/>
      <c r="F174" s="62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85"/>
      <c r="D175" s="62"/>
      <c r="E175" s="62"/>
      <c r="F175" s="62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85"/>
      <c r="D176" s="62"/>
      <c r="E176" s="62"/>
      <c r="F176" s="62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85"/>
      <c r="D177" s="62"/>
      <c r="E177" s="62"/>
      <c r="F177" s="62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85"/>
      <c r="D178" s="62"/>
      <c r="E178" s="62"/>
      <c r="F178" s="62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85"/>
      <c r="D179" s="62"/>
      <c r="E179" s="62"/>
      <c r="F179" s="62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85"/>
      <c r="D180" s="62"/>
      <c r="E180" s="62"/>
      <c r="F180" s="62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85"/>
      <c r="D181" s="62"/>
      <c r="E181" s="62"/>
      <c r="F181" s="62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85"/>
      <c r="D182" s="62"/>
      <c r="E182" s="62"/>
      <c r="F182" s="62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85"/>
      <c r="D183" s="62"/>
      <c r="E183" s="62"/>
      <c r="F183" s="62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85"/>
      <c r="D184" s="62"/>
      <c r="E184" s="62"/>
      <c r="F184" s="62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85"/>
      <c r="D185" s="62"/>
      <c r="E185" s="62"/>
      <c r="F185" s="62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85"/>
      <c r="D186" s="62"/>
      <c r="E186" s="62"/>
      <c r="F186" s="62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85"/>
      <c r="D187" s="62"/>
      <c r="E187" s="62"/>
      <c r="F187" s="62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85"/>
      <c r="D188" s="62"/>
      <c r="E188" s="62"/>
      <c r="F188" s="62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85"/>
      <c r="D189" s="62"/>
      <c r="E189" s="62"/>
      <c r="F189" s="62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85"/>
      <c r="D190" s="62"/>
      <c r="E190" s="62"/>
      <c r="F190" s="62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85"/>
      <c r="D191" s="62"/>
      <c r="E191" s="62"/>
      <c r="F191" s="62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85"/>
      <c r="D192" s="62"/>
      <c r="E192" s="62"/>
      <c r="F192" s="62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85"/>
      <c r="D193" s="62"/>
      <c r="E193" s="62"/>
      <c r="F193" s="62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85"/>
      <c r="D194" s="62"/>
      <c r="E194" s="62"/>
      <c r="F194" s="62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85"/>
      <c r="D195" s="62"/>
      <c r="E195" s="62"/>
      <c r="F195" s="62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85"/>
      <c r="D196" s="62"/>
      <c r="E196" s="62"/>
      <c r="F196" s="62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85"/>
      <c r="D197" s="62"/>
      <c r="E197" s="62"/>
      <c r="F197" s="62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85"/>
      <c r="D198" s="62"/>
      <c r="E198" s="62"/>
      <c r="F198" s="62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85"/>
      <c r="D199" s="62"/>
      <c r="E199" s="62"/>
      <c r="F199" s="62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85"/>
      <c r="D200" s="62"/>
      <c r="E200" s="62"/>
      <c r="F200" s="62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85"/>
      <c r="D201" s="62"/>
      <c r="E201" s="62"/>
      <c r="F201" s="62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85"/>
      <c r="D202" s="62"/>
      <c r="E202" s="62"/>
      <c r="F202" s="62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85"/>
      <c r="D203" s="62"/>
      <c r="E203" s="62"/>
      <c r="F203" s="62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16"/>
      <c r="C204" s="85"/>
      <c r="D204" s="62"/>
      <c r="E204" s="62"/>
      <c r="F204" s="62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16"/>
      <c r="C205" s="85"/>
      <c r="D205" s="62"/>
      <c r="E205" s="62"/>
      <c r="F205" s="62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16"/>
      <c r="C206" s="85"/>
      <c r="D206" s="62"/>
      <c r="E206" s="62"/>
      <c r="F206" s="62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16"/>
      <c r="C207" s="85"/>
      <c r="D207" s="62"/>
      <c r="E207" s="62"/>
      <c r="F207" s="62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16"/>
      <c r="C208" s="85"/>
      <c r="D208" s="62"/>
      <c r="E208" s="62"/>
      <c r="F208" s="62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16"/>
      <c r="C209" s="85"/>
      <c r="D209" s="62"/>
      <c r="E209" s="62"/>
      <c r="F209" s="62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16"/>
      <c r="C210" s="85"/>
      <c r="D210" s="62"/>
      <c r="E210" s="62"/>
      <c r="F210" s="62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16"/>
      <c r="C211" s="85"/>
      <c r="D211" s="62"/>
      <c r="E211" s="62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16"/>
      <c r="C212" s="85"/>
      <c r="D212" s="62"/>
      <c r="E212" s="62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16"/>
      <c r="C213" s="85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16"/>
      <c r="C214" s="85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16"/>
      <c r="C215" s="85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16"/>
      <c r="C216" s="85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16"/>
      <c r="C217" s="85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16"/>
      <c r="C218" s="85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16"/>
      <c r="C219" s="85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16"/>
      <c r="C220" s="85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16"/>
      <c r="C221" s="85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16"/>
      <c r="C222" s="85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16"/>
      <c r="C223" s="85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16"/>
      <c r="C224" s="85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16"/>
      <c r="C225" s="85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16"/>
      <c r="C226" s="85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16"/>
      <c r="C227" s="85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16"/>
      <c r="C228" s="85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16"/>
      <c r="C229" s="85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16"/>
      <c r="C230" s="85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16"/>
      <c r="C231" s="85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16"/>
      <c r="C232" s="85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16"/>
      <c r="C233" s="85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16"/>
      <c r="C234" s="85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16"/>
      <c r="C235" s="85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16"/>
      <c r="C236" s="85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16"/>
      <c r="C237" s="85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16"/>
      <c r="C238" s="85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16"/>
      <c r="C239" s="85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16"/>
      <c r="C240" s="85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16"/>
      <c r="C241" s="85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16"/>
      <c r="C242" s="85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16"/>
      <c r="C243" s="85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16"/>
      <c r="C244" s="85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16"/>
      <c r="C245" s="85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16"/>
      <c r="C246" s="85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16"/>
      <c r="C247" s="85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16"/>
      <c r="C248" s="85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16"/>
      <c r="C249" s="85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16"/>
      <c r="C250" s="85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16"/>
      <c r="C251" s="85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16"/>
      <c r="C252" s="85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16"/>
      <c r="C253" s="85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16"/>
      <c r="C254" s="85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16"/>
      <c r="C255" s="85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16"/>
      <c r="C256" s="85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16"/>
      <c r="C257" s="85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16"/>
      <c r="C258" s="85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16"/>
      <c r="C259" s="85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16"/>
      <c r="C260" s="85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16"/>
      <c r="C261" s="85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16"/>
      <c r="C262" s="85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16"/>
      <c r="C263" s="85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16"/>
      <c r="C264" s="85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16"/>
      <c r="C265" s="85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16"/>
      <c r="C266" s="85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16"/>
      <c r="C267" s="85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16"/>
      <c r="C268" s="85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16"/>
      <c r="C269" s="85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16"/>
      <c r="C270" s="85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16"/>
      <c r="C271" s="85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16"/>
      <c r="C272" s="85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16"/>
      <c r="C273" s="85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16"/>
      <c r="C274" s="85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16"/>
      <c r="C275" s="85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16"/>
      <c r="C276" s="85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16"/>
      <c r="C277" s="85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16"/>
      <c r="C278" s="85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16"/>
      <c r="C279" s="85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16"/>
      <c r="C280" s="85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16"/>
      <c r="C281" s="85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16"/>
      <c r="C282" s="85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16"/>
      <c r="C283" s="85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16"/>
      <c r="C284" s="85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16"/>
      <c r="C285" s="85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16"/>
      <c r="C286" s="85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16"/>
      <c r="C287" s="85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16"/>
      <c r="C288" s="85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16"/>
      <c r="C289" s="85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16"/>
      <c r="C290" s="85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16"/>
      <c r="C291" s="85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16"/>
      <c r="C292" s="85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16"/>
      <c r="C293" s="85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16"/>
      <c r="C294" s="85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16"/>
      <c r="C295" s="85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16"/>
      <c r="C296" s="85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16"/>
      <c r="C297" s="85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16"/>
      <c r="C298" s="85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16"/>
      <c r="C299" s="85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16"/>
      <c r="C300" s="85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16"/>
      <c r="C301" s="85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16"/>
      <c r="C302" s="85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16"/>
      <c r="C303" s="85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16"/>
      <c r="C304" s="85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16"/>
      <c r="C305" s="85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16"/>
      <c r="C306" s="85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16"/>
      <c r="C307" s="85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16"/>
      <c r="C308" s="85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16"/>
      <c r="C309" s="85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16"/>
      <c r="C310" s="85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16"/>
      <c r="C311" s="85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16"/>
      <c r="C312" s="85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16"/>
      <c r="C313" s="85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16"/>
      <c r="C314" s="85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16"/>
      <c r="C315" s="85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16"/>
      <c r="C316" s="85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16"/>
      <c r="C317" s="85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16"/>
      <c r="C318" s="85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16"/>
      <c r="C319" s="85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16"/>
      <c r="C320" s="85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16"/>
      <c r="C321" s="85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16"/>
      <c r="C322" s="85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16"/>
      <c r="C323" s="85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16"/>
      <c r="C324" s="85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16"/>
      <c r="C325" s="85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16"/>
      <c r="C326" s="85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16"/>
      <c r="C327" s="85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16"/>
      <c r="C328" s="85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16"/>
      <c r="C329" s="85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16"/>
      <c r="C330" s="85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16"/>
      <c r="C331" s="85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16"/>
      <c r="C332" s="85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16"/>
      <c r="C333" s="85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16"/>
      <c r="C334" s="85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16"/>
      <c r="C335" s="85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16"/>
      <c r="C336" s="85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16"/>
      <c r="C337" s="85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16"/>
      <c r="C338" s="85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16"/>
      <c r="C339" s="85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16"/>
      <c r="C340" s="85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16"/>
      <c r="C341" s="85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16"/>
      <c r="C342" s="85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16"/>
      <c r="C343" s="85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16"/>
      <c r="C344" s="85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16"/>
      <c r="C345" s="85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16"/>
      <c r="C346" s="85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16"/>
      <c r="C347" s="85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16"/>
      <c r="C348" s="85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16"/>
      <c r="C349" s="85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16"/>
      <c r="C350" s="85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16"/>
      <c r="C351" s="85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16"/>
      <c r="C352" s="85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16"/>
      <c r="C353" s="85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16"/>
      <c r="C354" s="85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16"/>
      <c r="C355" s="85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16"/>
      <c r="C356" s="85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16"/>
      <c r="C357" s="85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16"/>
      <c r="C358" s="85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16"/>
      <c r="C359" s="85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16"/>
      <c r="C360" s="85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16"/>
      <c r="C361" s="85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16"/>
      <c r="C362" s="85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16"/>
      <c r="C363" s="85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16"/>
      <c r="C364" s="85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16"/>
      <c r="C365" s="85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16"/>
      <c r="C366" s="85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16"/>
      <c r="C367" s="85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16"/>
      <c r="C368" s="85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16"/>
      <c r="C369" s="85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16"/>
      <c r="C370" s="85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16"/>
      <c r="C371" s="85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16"/>
      <c r="C372" s="85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16"/>
      <c r="C373" s="85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16"/>
      <c r="C374" s="85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16"/>
      <c r="C375" s="85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16"/>
      <c r="C376" s="85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16"/>
      <c r="C377" s="85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16"/>
      <c r="C378" s="85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16"/>
      <c r="C379" s="85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16"/>
      <c r="C380" s="85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16"/>
      <c r="C381" s="85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16"/>
      <c r="C382" s="85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16"/>
      <c r="C383" s="85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16"/>
      <c r="C384" s="85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16"/>
      <c r="C385" s="85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16"/>
      <c r="C386" s="85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16"/>
      <c r="C387" s="85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16"/>
      <c r="C388" s="85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16"/>
      <c r="C389" s="85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16"/>
      <c r="C390" s="85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16"/>
      <c r="C391" s="85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16"/>
      <c r="C392" s="85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16"/>
      <c r="C393" s="85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16"/>
      <c r="C394" s="85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16"/>
      <c r="C395" s="85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16"/>
      <c r="C396" s="85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16"/>
      <c r="C397" s="85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16"/>
      <c r="C398" s="85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16"/>
      <c r="C399" s="85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16"/>
      <c r="C400" s="85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16"/>
      <c r="C401" s="85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16"/>
      <c r="C402" s="85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16"/>
      <c r="C403" s="85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16"/>
      <c r="C404" s="85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16"/>
      <c r="C405" s="85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16"/>
      <c r="C406" s="85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16"/>
      <c r="C407" s="85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16"/>
      <c r="C408" s="85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16"/>
      <c r="C409" s="85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16"/>
      <c r="C410" s="85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16"/>
      <c r="C411" s="85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16"/>
      <c r="C412" s="85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16"/>
      <c r="C413" s="85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16"/>
      <c r="C414" s="85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16"/>
      <c r="C415" s="85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16"/>
      <c r="C416" s="85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16"/>
      <c r="C417" s="85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16"/>
      <c r="C418" s="85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16"/>
      <c r="C419" s="85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16"/>
      <c r="C420" s="85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16"/>
      <c r="C421" s="85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16"/>
      <c r="C422" s="85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16"/>
      <c r="C423" s="85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16"/>
      <c r="C424" s="85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16"/>
      <c r="C425" s="85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16"/>
      <c r="C426" s="85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16"/>
      <c r="C427" s="85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16"/>
      <c r="C428" s="85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16"/>
      <c r="C429" s="85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16"/>
      <c r="C430" s="85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16"/>
      <c r="C431" s="85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16"/>
      <c r="C432" s="85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16"/>
      <c r="C433" s="85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16"/>
      <c r="C434" s="85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16"/>
      <c r="C435" s="85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16"/>
      <c r="C436" s="85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16"/>
      <c r="C437" s="85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16"/>
      <c r="C438" s="85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16"/>
      <c r="C439" s="85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16"/>
      <c r="C440" s="85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16"/>
      <c r="C441" s="85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16"/>
      <c r="C442" s="85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16"/>
      <c r="C443" s="85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16"/>
      <c r="C444" s="85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16"/>
      <c r="C445" s="85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16"/>
      <c r="C446" s="85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16"/>
      <c r="C447" s="85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16"/>
      <c r="C448" s="85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16"/>
      <c r="C449" s="85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16"/>
      <c r="C450" s="85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16"/>
      <c r="C451" s="85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16"/>
      <c r="C452" s="85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16"/>
      <c r="C453" s="85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16"/>
      <c r="C454" s="85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16"/>
      <c r="C455" s="85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16"/>
      <c r="C456" s="85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16"/>
      <c r="C457" s="85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16"/>
      <c r="C458" s="85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16"/>
      <c r="C459" s="85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16"/>
      <c r="C460" s="85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16"/>
      <c r="C461" s="85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16"/>
      <c r="C462" s="85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16"/>
      <c r="C463" s="85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16"/>
      <c r="C464" s="85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16"/>
      <c r="C465" s="85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16"/>
      <c r="C466" s="85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16"/>
      <c r="C467" s="85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16"/>
      <c r="C468" s="85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16"/>
      <c r="C469" s="85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16"/>
      <c r="C470" s="85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16"/>
      <c r="C471" s="85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16"/>
      <c r="C472" s="85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16"/>
      <c r="C473" s="85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16"/>
      <c r="C474" s="85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16"/>
      <c r="C475" s="85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16"/>
      <c r="C476" s="85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16"/>
      <c r="C477" s="85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16"/>
      <c r="C478" s="85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16"/>
      <c r="C479" s="85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16"/>
      <c r="C480" s="85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16"/>
      <c r="C481" s="85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16"/>
      <c r="C482" s="85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16"/>
      <c r="C483" s="85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16"/>
      <c r="C484" s="85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16"/>
      <c r="C485" s="85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16"/>
      <c r="C486" s="85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16"/>
      <c r="C487" s="85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16"/>
      <c r="C488" s="85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16"/>
      <c r="C489" s="85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16"/>
      <c r="C490" s="85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16"/>
      <c r="C491" s="85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16"/>
      <c r="C492" s="85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16"/>
      <c r="C493" s="85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16"/>
      <c r="C494" s="85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16"/>
      <c r="C495" s="85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16"/>
      <c r="C496" s="85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16"/>
      <c r="C497" s="85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16"/>
      <c r="C498" s="85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16"/>
      <c r="C499" s="85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16"/>
      <c r="C500" s="85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16"/>
      <c r="C501" s="85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16"/>
      <c r="C502" s="85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16"/>
      <c r="C503" s="85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16"/>
      <c r="C504" s="85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16"/>
      <c r="C505" s="85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16"/>
      <c r="C506" s="85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16"/>
      <c r="C507" s="85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16"/>
      <c r="C508" s="85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16"/>
      <c r="C509" s="85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16"/>
      <c r="C510" s="85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16"/>
      <c r="C511" s="85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16"/>
      <c r="C512" s="85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16"/>
      <c r="C513" s="85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16"/>
      <c r="C514" s="85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16"/>
      <c r="C515" s="85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16"/>
      <c r="C516" s="85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16"/>
      <c r="C517" s="85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16"/>
      <c r="C518" s="85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16"/>
      <c r="C519" s="85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16"/>
      <c r="C520" s="85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16"/>
      <c r="C521" s="85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16"/>
      <c r="C522" s="85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16"/>
      <c r="C523" s="85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16"/>
      <c r="C524" s="85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16"/>
      <c r="C525" s="85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16"/>
      <c r="C526" s="85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16"/>
      <c r="C527" s="85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16"/>
      <c r="C528" s="85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16"/>
      <c r="C529" s="85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16"/>
      <c r="C530" s="85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16"/>
      <c r="C531" s="85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16"/>
      <c r="C532" s="85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16"/>
      <c r="C533" s="85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16"/>
      <c r="C534" s="85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16"/>
      <c r="C535" s="85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16"/>
      <c r="C536" s="85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16"/>
      <c r="C537" s="85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16"/>
      <c r="C538" s="85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16"/>
      <c r="C539" s="85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16"/>
      <c r="C540" s="85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16"/>
      <c r="C541" s="85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16"/>
      <c r="C542" s="85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16"/>
      <c r="C543" s="85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16"/>
      <c r="C544" s="85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16"/>
      <c r="C545" s="85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16"/>
      <c r="C546" s="85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16"/>
      <c r="C547" s="85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16"/>
      <c r="C548" s="85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16"/>
      <c r="C549" s="85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16"/>
      <c r="C550" s="85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16"/>
      <c r="C551" s="85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16"/>
      <c r="C552" s="85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16"/>
      <c r="C553" s="85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16"/>
      <c r="C554" s="85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16"/>
      <c r="C555" s="85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16"/>
      <c r="C556" s="85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16"/>
      <c r="C557" s="85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16"/>
      <c r="C558" s="85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16"/>
      <c r="C559" s="85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16"/>
      <c r="C560" s="85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16"/>
      <c r="C561" s="85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16"/>
      <c r="C562" s="85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16"/>
      <c r="C563" s="85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16"/>
      <c r="C564" s="85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16"/>
      <c r="C565" s="85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16"/>
      <c r="C566" s="85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16"/>
      <c r="C567" s="85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16"/>
      <c r="C568" s="85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16"/>
      <c r="C569" s="85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16"/>
      <c r="C570" s="85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16"/>
      <c r="C571" s="85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16"/>
      <c r="C572" s="85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16"/>
      <c r="C573" s="85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16"/>
      <c r="C574" s="85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16"/>
      <c r="C575" s="85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16"/>
      <c r="C576" s="85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16"/>
      <c r="C577" s="85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16"/>
      <c r="C578" s="85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16"/>
      <c r="C579" s="85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16"/>
      <c r="C580" s="85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16"/>
      <c r="C581" s="85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16"/>
      <c r="C582" s="85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16"/>
      <c r="C583" s="85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16"/>
      <c r="C584" s="85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16"/>
      <c r="C585" s="85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16"/>
      <c r="C586" s="85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16"/>
      <c r="C587" s="85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16"/>
      <c r="C588" s="85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16"/>
      <c r="C589" s="85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16"/>
      <c r="C590" s="85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16"/>
      <c r="C591" s="85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16"/>
      <c r="C592" s="85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16"/>
      <c r="C593" s="85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16"/>
      <c r="C594" s="85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16"/>
      <c r="C595" s="85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16"/>
      <c r="C596" s="85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16"/>
      <c r="C597" s="85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16"/>
      <c r="C598" s="85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16"/>
      <c r="C599" s="85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16"/>
      <c r="C600" s="85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16"/>
      <c r="C601" s="85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16"/>
      <c r="C602" s="85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16"/>
      <c r="C603" s="85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16"/>
      <c r="C604" s="85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16"/>
      <c r="C605" s="85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16"/>
      <c r="C606" s="85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16"/>
      <c r="C607" s="85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16"/>
      <c r="C608" s="85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16"/>
      <c r="C609" s="85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16"/>
      <c r="C610" s="85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16"/>
      <c r="C611" s="85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16"/>
      <c r="C612" s="85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16"/>
      <c r="C613" s="85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16"/>
      <c r="C614" s="85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16"/>
      <c r="C615" s="85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16"/>
      <c r="C616" s="85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16"/>
      <c r="C617" s="85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16"/>
      <c r="C618" s="85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16"/>
      <c r="C619" s="85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16"/>
      <c r="C620" s="85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16"/>
      <c r="C621" s="85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16"/>
      <c r="C622" s="85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16"/>
      <c r="C623" s="85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16"/>
      <c r="C624" s="85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16"/>
      <c r="C625" s="85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16"/>
      <c r="C626" s="85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16"/>
      <c r="C627" s="85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16"/>
      <c r="C628" s="85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16"/>
      <c r="C629" s="85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16"/>
      <c r="C630" s="85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16"/>
      <c r="C631" s="85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16"/>
      <c r="C632" s="85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16"/>
      <c r="C633" s="85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16"/>
      <c r="C634" s="85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16"/>
      <c r="C635" s="85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16"/>
      <c r="C636" s="85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16"/>
      <c r="C637" s="85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16"/>
      <c r="C638" s="85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16"/>
      <c r="C639" s="85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16"/>
      <c r="C640" s="85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16"/>
      <c r="C641" s="85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16"/>
      <c r="C642" s="85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16"/>
      <c r="C643" s="85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16"/>
      <c r="C644" s="85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16"/>
      <c r="C645" s="85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16"/>
      <c r="C646" s="85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16"/>
      <c r="C647" s="85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16"/>
      <c r="C648" s="85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16"/>
      <c r="C649" s="85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16"/>
      <c r="C650" s="85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16"/>
      <c r="C651" s="85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16"/>
      <c r="C652" s="85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16"/>
      <c r="C653" s="85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16"/>
      <c r="C654" s="85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16"/>
      <c r="C655" s="85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16"/>
      <c r="C656" s="85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16"/>
      <c r="C657" s="85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16"/>
      <c r="C658" s="85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16"/>
      <c r="C659" s="85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16"/>
      <c r="C660" s="85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16"/>
      <c r="C661" s="85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16"/>
      <c r="C662" s="85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16"/>
      <c r="C663" s="85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16"/>
      <c r="C664" s="85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16"/>
      <c r="C665" s="85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16"/>
      <c r="C666" s="85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16"/>
      <c r="C667" s="85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16"/>
      <c r="C668" s="85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16"/>
      <c r="C669" s="85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16"/>
      <c r="C670" s="85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16"/>
      <c r="C671" s="85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16"/>
      <c r="C672" s="85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16"/>
      <c r="C673" s="85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16"/>
      <c r="C674" s="85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16"/>
      <c r="C675" s="85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16"/>
      <c r="C676" s="85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16"/>
      <c r="C677" s="85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16"/>
      <c r="C678" s="85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16"/>
      <c r="C679" s="85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16"/>
      <c r="C680" s="85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16"/>
      <c r="C681" s="85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16"/>
      <c r="C682" s="85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16"/>
      <c r="C683" s="85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16"/>
      <c r="C684" s="85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16"/>
      <c r="C685" s="85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16"/>
      <c r="C686" s="85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16"/>
      <c r="C687" s="85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16"/>
      <c r="C688" s="85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16"/>
      <c r="C689" s="85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16"/>
      <c r="C690" s="85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16"/>
      <c r="C691" s="85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16"/>
      <c r="C692" s="85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16"/>
      <c r="C693" s="85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16"/>
      <c r="C694" s="85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16"/>
      <c r="C695" s="85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16"/>
      <c r="C696" s="85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16"/>
      <c r="C697" s="85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16"/>
      <c r="C698" s="85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16"/>
      <c r="C699" s="85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16"/>
      <c r="C700" s="85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16"/>
      <c r="C701" s="85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16"/>
      <c r="C702" s="85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16"/>
      <c r="C703" s="85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16"/>
      <c r="C704" s="85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16"/>
      <c r="C705" s="85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16"/>
      <c r="C706" s="85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16"/>
      <c r="C707" s="85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16"/>
      <c r="C708" s="85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16"/>
      <c r="C709" s="85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16"/>
      <c r="C710" s="85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16"/>
      <c r="C711" s="85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16"/>
      <c r="C712" s="85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16"/>
      <c r="C713" s="85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16"/>
      <c r="C714" s="85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16"/>
      <c r="C715" s="85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16"/>
      <c r="C716" s="85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16"/>
      <c r="C717" s="85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16"/>
      <c r="C718" s="85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16"/>
      <c r="C719" s="85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16"/>
      <c r="C720" s="85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16"/>
      <c r="C721" s="85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16"/>
      <c r="C722" s="85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16"/>
      <c r="C723" s="85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16"/>
      <c r="C724" s="85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16"/>
      <c r="C725" s="85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16"/>
      <c r="C726" s="85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16"/>
      <c r="C727" s="85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16"/>
      <c r="C728" s="85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16"/>
      <c r="C729" s="85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16"/>
      <c r="C730" s="85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16"/>
      <c r="C731" s="85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16"/>
      <c r="C732" s="85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16"/>
      <c r="C733" s="85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16"/>
      <c r="C734" s="85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16"/>
      <c r="C735" s="85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16"/>
      <c r="C736" s="85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16"/>
      <c r="C737" s="85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16"/>
      <c r="C738" s="85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16"/>
      <c r="C739" s="85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16"/>
      <c r="C740" s="85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16"/>
      <c r="C741" s="85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16"/>
      <c r="C742" s="85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16"/>
      <c r="C743" s="85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16"/>
      <c r="C744" s="85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16"/>
      <c r="C745" s="85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16"/>
      <c r="C746" s="85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16"/>
      <c r="C747" s="85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16"/>
      <c r="C748" s="85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16"/>
      <c r="C749" s="85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16"/>
      <c r="C750" s="85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16"/>
      <c r="C751" s="85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16"/>
      <c r="C752" s="85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16"/>
      <c r="C753" s="85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16"/>
      <c r="C754" s="85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16"/>
      <c r="C755" s="85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16"/>
      <c r="C756" s="85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16"/>
      <c r="C757" s="85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16"/>
      <c r="C758" s="85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16"/>
      <c r="C759" s="85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16"/>
      <c r="C760" s="85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16"/>
      <c r="C761" s="85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16"/>
      <c r="C762" s="85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16"/>
      <c r="C763" s="85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16"/>
      <c r="C764" s="85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16"/>
      <c r="C765" s="85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16"/>
      <c r="C766" s="85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16"/>
      <c r="C767" s="85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16"/>
      <c r="C768" s="85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16"/>
      <c r="C769" s="85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16"/>
      <c r="C770" s="85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16"/>
      <c r="C771" s="85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16"/>
      <c r="C772" s="85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16"/>
      <c r="C773" s="85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16"/>
      <c r="C774" s="85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16"/>
      <c r="C775" s="85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16"/>
      <c r="C776" s="85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16"/>
      <c r="C777" s="85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16"/>
      <c r="C778" s="85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16"/>
      <c r="C779" s="85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16"/>
      <c r="C780" s="85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16"/>
      <c r="C781" s="85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16"/>
      <c r="C782" s="85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16"/>
      <c r="C783" s="85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16"/>
      <c r="C784" s="85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16"/>
      <c r="C785" s="85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16"/>
      <c r="C786" s="85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16"/>
      <c r="C787" s="85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16"/>
      <c r="C788" s="85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16"/>
      <c r="C789" s="85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16"/>
      <c r="C790" s="85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16"/>
      <c r="C791" s="85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16"/>
      <c r="C792" s="85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16"/>
      <c r="C793" s="85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16"/>
      <c r="C794" s="85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16"/>
      <c r="C795" s="85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16"/>
      <c r="C796" s="85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16"/>
      <c r="C797" s="85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16"/>
      <c r="C798" s="85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16"/>
      <c r="C799" s="85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16"/>
      <c r="C800" s="85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16"/>
      <c r="C801" s="85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16"/>
      <c r="C802" s="85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16"/>
      <c r="C803" s="85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16"/>
      <c r="C804" s="85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16"/>
      <c r="C805" s="85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16"/>
      <c r="C806" s="85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16"/>
      <c r="C807" s="85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16"/>
      <c r="C808" s="85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16"/>
      <c r="C809" s="85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16"/>
      <c r="C810" s="85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16"/>
      <c r="C811" s="85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16"/>
      <c r="C812" s="85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16"/>
      <c r="C813" s="85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16"/>
      <c r="C814" s="85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16"/>
      <c r="C815" s="85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16"/>
      <c r="C816" s="85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16"/>
      <c r="C817" s="85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16"/>
      <c r="C818" s="85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16"/>
      <c r="C819" s="85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16"/>
      <c r="C820" s="85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16"/>
      <c r="C821" s="85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16"/>
      <c r="C822" s="85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16"/>
      <c r="C823" s="85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16"/>
      <c r="C824" s="85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16"/>
      <c r="C825" s="85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16"/>
      <c r="C826" s="85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16"/>
      <c r="C827" s="85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16"/>
      <c r="C828" s="85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16"/>
      <c r="C829" s="85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16"/>
      <c r="C830" s="85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16"/>
      <c r="C831" s="85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16"/>
      <c r="C832" s="85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16"/>
      <c r="C833" s="85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16"/>
      <c r="C834" s="85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16"/>
      <c r="C835" s="85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16"/>
      <c r="C836" s="85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16"/>
      <c r="C837" s="85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16"/>
      <c r="C838" s="85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16"/>
      <c r="C839" s="85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16"/>
      <c r="C840" s="85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16"/>
      <c r="C841" s="85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16"/>
      <c r="C842" s="85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16"/>
      <c r="C843" s="85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16"/>
      <c r="C844" s="85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16"/>
      <c r="C845" s="85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16"/>
      <c r="C846" s="85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16"/>
      <c r="C847" s="85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16"/>
      <c r="C848" s="85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16"/>
      <c r="C849" s="85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16"/>
      <c r="C850" s="85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16"/>
      <c r="C851" s="85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16"/>
      <c r="C852" s="85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16"/>
      <c r="C853" s="85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16"/>
      <c r="C854" s="85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16"/>
      <c r="C855" s="85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16"/>
      <c r="C856" s="85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16"/>
      <c r="C857" s="85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16"/>
      <c r="C858" s="85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16"/>
      <c r="C859" s="85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16"/>
      <c r="C860" s="85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16"/>
      <c r="C861" s="85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16"/>
      <c r="C862" s="85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16"/>
      <c r="C863" s="85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16"/>
      <c r="C864" s="85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16"/>
      <c r="C865" s="85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16"/>
      <c r="C866" s="85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16"/>
      <c r="C867" s="85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16"/>
      <c r="C868" s="85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16"/>
      <c r="C869" s="85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16"/>
      <c r="C870" s="85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16"/>
      <c r="C871" s="85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16"/>
      <c r="C872" s="85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16"/>
      <c r="C873" s="85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16"/>
      <c r="C874" s="85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16"/>
      <c r="C875" s="85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16"/>
      <c r="C876" s="85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16"/>
      <c r="C877" s="85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16"/>
      <c r="C878" s="85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16"/>
      <c r="C879" s="85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16"/>
      <c r="C880" s="85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16"/>
      <c r="C881" s="85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16"/>
      <c r="C882" s="85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16"/>
      <c r="C883" s="85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16"/>
      <c r="C884" s="85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16"/>
      <c r="C885" s="85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16"/>
      <c r="C886" s="85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16"/>
      <c r="C887" s="85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16"/>
      <c r="C888" s="85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16"/>
      <c r="C889" s="85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16"/>
      <c r="C890" s="85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16"/>
      <c r="C891" s="85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16"/>
      <c r="C892" s="85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16"/>
      <c r="C893" s="85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16"/>
      <c r="C894" s="85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16"/>
      <c r="C895" s="85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16"/>
      <c r="C896" s="85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16"/>
      <c r="C897" s="85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16"/>
      <c r="C898" s="85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16"/>
      <c r="C899" s="85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16"/>
      <c r="C900" s="85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16"/>
      <c r="C901" s="85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16"/>
      <c r="C902" s="85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16"/>
      <c r="C903" s="85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16"/>
      <c r="C904" s="85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16"/>
      <c r="C905" s="85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16"/>
      <c r="C906" s="85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16"/>
      <c r="C907" s="85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16"/>
      <c r="C908" s="85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16"/>
      <c r="C909" s="85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16"/>
      <c r="C910" s="85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16"/>
      <c r="C911" s="85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16"/>
      <c r="C912" s="85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16"/>
      <c r="C913" s="85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16"/>
      <c r="C914" s="85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16"/>
      <c r="C915" s="85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16"/>
      <c r="C916" s="85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16"/>
      <c r="C917" s="85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16"/>
      <c r="C918" s="85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16"/>
      <c r="C919" s="85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16"/>
      <c r="C920" s="85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16"/>
      <c r="C921" s="85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16"/>
      <c r="C922" s="85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16"/>
      <c r="C923" s="85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16"/>
      <c r="C924" s="85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16"/>
      <c r="C925" s="85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16"/>
      <c r="C926" s="85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16"/>
      <c r="C927" s="85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16"/>
      <c r="C928" s="85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16"/>
      <c r="C929" s="85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16"/>
      <c r="C930" s="85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16"/>
      <c r="C931" s="85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16"/>
      <c r="C932" s="85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16"/>
      <c r="C933" s="85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16"/>
      <c r="C934" s="85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16"/>
      <c r="C935" s="85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16"/>
      <c r="C936" s="85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16"/>
      <c r="C937" s="85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16"/>
      <c r="C938" s="85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16"/>
      <c r="C939" s="85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16"/>
      <c r="C940" s="85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16"/>
      <c r="C941" s="85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16"/>
      <c r="C942" s="85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16"/>
      <c r="C943" s="85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16"/>
      <c r="C944" s="85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16"/>
      <c r="C945" s="85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16"/>
      <c r="C946" s="85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16"/>
      <c r="C947" s="85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16"/>
      <c r="C948" s="85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16"/>
      <c r="C949" s="85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16"/>
      <c r="C950" s="85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16"/>
      <c r="C951" s="85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16"/>
      <c r="C952" s="85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16"/>
      <c r="C953" s="85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16"/>
      <c r="C954" s="85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16"/>
      <c r="C955" s="85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16"/>
      <c r="C956" s="85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16"/>
      <c r="C957" s="85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16"/>
      <c r="C958" s="85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16"/>
      <c r="C959" s="85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16"/>
      <c r="C960" s="85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16"/>
      <c r="C961" s="85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16"/>
      <c r="C962" s="85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16"/>
      <c r="C963" s="85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16"/>
      <c r="C964" s="85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16"/>
      <c r="C965" s="85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16"/>
      <c r="C966" s="85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16"/>
      <c r="C967" s="85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16"/>
      <c r="C968" s="85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16"/>
      <c r="C969" s="85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16"/>
      <c r="C970" s="85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16"/>
      <c r="C971" s="85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16"/>
      <c r="C972" s="85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16"/>
      <c r="C973" s="85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16"/>
      <c r="C974" s="85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16"/>
      <c r="C975" s="85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16"/>
      <c r="C976" s="85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16"/>
      <c r="C977" s="85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16"/>
      <c r="C978" s="85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16"/>
      <c r="C979" s="85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16"/>
      <c r="C980" s="85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16"/>
      <c r="C981" s="85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16"/>
      <c r="C982" s="85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16"/>
      <c r="C983" s="85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16"/>
      <c r="C984" s="85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16"/>
      <c r="C985" s="85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16"/>
      <c r="C986" s="85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16"/>
      <c r="C987" s="85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16"/>
      <c r="C988" s="85"/>
      <c r="D988" s="62"/>
      <c r="E988" s="62"/>
      <c r="F988" s="62"/>
      <c r="G988" s="16"/>
      <c r="H988" s="16"/>
      <c r="I988" s="1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16"/>
      <c r="C989" s="85"/>
      <c r="D989" s="62"/>
      <c r="E989" s="62"/>
      <c r="F989" s="62"/>
      <c r="G989" s="16"/>
      <c r="H989" s="16"/>
      <c r="I989" s="1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16"/>
      <c r="C990" s="85"/>
      <c r="D990" s="62"/>
      <c r="E990" s="62"/>
      <c r="F990" s="62"/>
      <c r="G990" s="16"/>
      <c r="H990" s="16"/>
      <c r="I990" s="15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16"/>
      <c r="C991" s="85"/>
      <c r="D991" s="62"/>
      <c r="E991" s="62"/>
      <c r="F991" s="62"/>
      <c r="G991" s="16"/>
      <c r="H991" s="16"/>
      <c r="I991" s="15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16"/>
      <c r="C992" s="85"/>
      <c r="D992" s="62"/>
      <c r="E992" s="62"/>
      <c r="F992" s="62"/>
      <c r="G992" s="16"/>
      <c r="H992" s="16"/>
      <c r="I992" s="15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16"/>
      <c r="C993" s="85"/>
      <c r="D993" s="62"/>
      <c r="E993" s="62"/>
      <c r="F993" s="62"/>
      <c r="G993" s="16"/>
      <c r="H993" s="16"/>
      <c r="I993" s="15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16"/>
      <c r="C994" s="85"/>
      <c r="D994" s="62"/>
      <c r="E994" s="62"/>
      <c r="F994" s="62"/>
      <c r="G994" s="16"/>
      <c r="H994" s="16"/>
      <c r="I994" s="15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16"/>
      <c r="C995" s="85"/>
      <c r="D995" s="62"/>
      <c r="E995" s="62"/>
      <c r="F995" s="62"/>
      <c r="G995" s="16"/>
      <c r="H995" s="16"/>
      <c r="I995" s="15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16"/>
      <c r="C996" s="85"/>
      <c r="D996" s="62"/>
      <c r="E996" s="62"/>
      <c r="F996" s="62"/>
      <c r="G996" s="16"/>
      <c r="H996" s="16"/>
      <c r="I996" s="15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16"/>
      <c r="C997" s="85"/>
      <c r="D997" s="62"/>
      <c r="E997" s="62"/>
      <c r="F997" s="62"/>
      <c r="G997" s="16"/>
      <c r="H997" s="16"/>
      <c r="I997" s="15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16"/>
      <c r="C998" s="85"/>
      <c r="D998" s="62"/>
      <c r="E998" s="62"/>
      <c r="F998" s="62"/>
      <c r="G998" s="16"/>
      <c r="H998" s="16"/>
      <c r="I998" s="15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16"/>
      <c r="C999" s="85"/>
      <c r="D999" s="62"/>
      <c r="E999" s="62"/>
      <c r="F999" s="62"/>
      <c r="G999" s="16"/>
      <c r="H999" s="16"/>
      <c r="I999" s="15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16"/>
      <c r="C1000" s="85"/>
      <c r="D1000" s="62"/>
      <c r="E1000" s="62"/>
      <c r="F1000" s="62"/>
      <c r="G1000" s="16"/>
      <c r="H1000" s="16"/>
      <c r="I1000" s="15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3:X35" xr:uid="{00000000-0009-0000-0000-000007000000}"/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5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5 F39:F1000" xr:uid="{00000000-0002-0000-0700-000001000000}">
      <formula1>$N$2:$N$11</formula1>
    </dataValidation>
    <dataValidation type="list" allowBlank="1" showErrorMessage="1" sqref="E1:E35 E39:E1000" xr:uid="{00000000-0002-0000-0700-000002000000}">
      <formula1>$O$4:$O$8</formula1>
    </dataValidation>
    <dataValidation type="list" allowBlank="1" showErrorMessage="1" sqref="J1" xr:uid="{00000000-0002-0000-0700-000003000000}">
      <formula1>$M$4:$M$23</formula1>
    </dataValidation>
    <dataValidation type="list" allowBlank="1" showErrorMessage="1" sqref="J27:J35" xr:uid="{00000000-0002-0000-0700-000004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E1000"/>
  <sheetViews>
    <sheetView workbookViewId="0">
      <pane xSplit="5" ySplit="3" topLeftCell="V26" activePane="bottomRight" state="frozen"/>
      <selection pane="topRight" activeCell="F1" sqref="F1"/>
      <selection pane="bottomLeft" activeCell="A4" sqref="A4"/>
      <selection pane="bottomRight" activeCell="A36" sqref="A36"/>
    </sheetView>
  </sheetViews>
  <sheetFormatPr defaultColWidth="14.44140625" defaultRowHeight="15" customHeight="1" x14ac:dyDescent="0.3"/>
  <cols>
    <col min="1" max="1" width="16.6640625" customWidth="1"/>
    <col min="2" max="30" width="26.44140625" customWidth="1"/>
    <col min="31" max="31" width="26" customWidth="1"/>
  </cols>
  <sheetData>
    <row r="1" spans="1:31" ht="23.25" customHeight="1" x14ac:dyDescent="0.3">
      <c r="A1" s="61" t="s">
        <v>456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0"/>
    </row>
    <row r="2" spans="1:31" ht="26.25" customHeight="1" x14ac:dyDescent="0.3">
      <c r="A2" s="150" t="s">
        <v>0</v>
      </c>
      <c r="B2" s="151" t="s">
        <v>457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31"/>
      <c r="AD2" s="92"/>
      <c r="AE2" s="153" t="s">
        <v>458</v>
      </c>
    </row>
    <row r="3" spans="1:31" ht="23.25" customHeight="1" x14ac:dyDescent="0.6">
      <c r="A3" s="129"/>
      <c r="B3" s="93" t="s">
        <v>85</v>
      </c>
      <c r="C3" s="93" t="s">
        <v>86</v>
      </c>
      <c r="D3" s="93" t="s">
        <v>87</v>
      </c>
      <c r="E3" s="93" t="s">
        <v>88</v>
      </c>
      <c r="F3" s="93" t="s">
        <v>89</v>
      </c>
      <c r="G3" s="93" t="s">
        <v>90</v>
      </c>
      <c r="H3" s="93" t="s">
        <v>459</v>
      </c>
      <c r="I3" s="93" t="s">
        <v>92</v>
      </c>
      <c r="J3" s="93" t="s">
        <v>460</v>
      </c>
      <c r="K3" s="93" t="s">
        <v>93</v>
      </c>
      <c r="L3" s="93" t="s">
        <v>94</v>
      </c>
      <c r="M3" s="93" t="s">
        <v>95</v>
      </c>
      <c r="N3" s="93" t="s">
        <v>96</v>
      </c>
      <c r="O3" s="93" t="s">
        <v>97</v>
      </c>
      <c r="P3" s="93" t="s">
        <v>98</v>
      </c>
      <c r="Q3" s="94" t="s">
        <v>101</v>
      </c>
      <c r="R3" s="94" t="s">
        <v>102</v>
      </c>
      <c r="S3" s="93" t="s">
        <v>104</v>
      </c>
      <c r="T3" s="93" t="s">
        <v>461</v>
      </c>
      <c r="U3" s="93" t="s">
        <v>108</v>
      </c>
      <c r="V3" s="93" t="s">
        <v>109</v>
      </c>
      <c r="W3" s="93" t="s">
        <v>110</v>
      </c>
      <c r="X3" s="93" t="s">
        <v>111</v>
      </c>
      <c r="Y3" s="93" t="s">
        <v>112</v>
      </c>
      <c r="Z3" s="93" t="s">
        <v>462</v>
      </c>
      <c r="AA3" s="93" t="s">
        <v>115</v>
      </c>
      <c r="AB3" s="93" t="s">
        <v>117</v>
      </c>
      <c r="AC3" s="93" t="s">
        <v>118</v>
      </c>
      <c r="AD3" s="93" t="s">
        <v>118</v>
      </c>
      <c r="AE3" s="129"/>
    </row>
    <row r="4" spans="1:31" ht="21.75" customHeight="1" x14ac:dyDescent="0.3">
      <c r="A4" s="95">
        <v>244470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96"/>
    </row>
    <row r="5" spans="1:31" ht="23.25" customHeight="1" x14ac:dyDescent="0.3">
      <c r="A5" s="95">
        <v>244471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96"/>
    </row>
    <row r="6" spans="1:31" ht="23.25" customHeight="1" x14ac:dyDescent="0.3">
      <c r="A6" s="95">
        <v>244472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96"/>
    </row>
    <row r="7" spans="1:31" ht="23.25" customHeight="1" x14ac:dyDescent="0.3">
      <c r="A7" s="95">
        <v>244473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96"/>
    </row>
    <row r="8" spans="1:31" ht="23.25" customHeight="1" x14ac:dyDescent="0.3">
      <c r="A8" s="95">
        <v>244474</v>
      </c>
      <c r="B8" s="16"/>
      <c r="C8" s="16"/>
      <c r="D8" s="16">
        <v>4</v>
      </c>
      <c r="E8" s="16"/>
      <c r="F8" s="16"/>
      <c r="G8" s="16"/>
      <c r="H8" s="16"/>
      <c r="I8" s="16">
        <v>14</v>
      </c>
      <c r="J8" s="16"/>
      <c r="K8" s="16">
        <v>12</v>
      </c>
      <c r="L8" s="16"/>
      <c r="M8" s="16"/>
      <c r="N8" s="16"/>
      <c r="O8" s="16"/>
      <c r="P8" s="16"/>
      <c r="Q8" s="16"/>
      <c r="R8" s="16"/>
      <c r="S8" s="16"/>
      <c r="T8" s="16">
        <v>3</v>
      </c>
      <c r="U8" s="16"/>
      <c r="V8" s="16"/>
      <c r="W8" s="16"/>
      <c r="X8" s="16">
        <v>7</v>
      </c>
      <c r="Y8" s="16"/>
      <c r="Z8" s="16"/>
      <c r="AA8" s="16"/>
      <c r="AB8" s="16"/>
      <c r="AC8" s="16"/>
      <c r="AD8" s="16"/>
      <c r="AE8" s="96"/>
    </row>
    <row r="9" spans="1:31" ht="23.25" customHeight="1" x14ac:dyDescent="0.3">
      <c r="A9" s="95">
        <v>244475</v>
      </c>
      <c r="B9" s="16"/>
      <c r="C9" s="16"/>
      <c r="D9" s="16">
        <v>5</v>
      </c>
      <c r="E9" s="16"/>
      <c r="F9" s="16"/>
      <c r="G9" s="16"/>
      <c r="H9" s="16"/>
      <c r="I9" s="16">
        <v>20</v>
      </c>
      <c r="J9" s="16"/>
      <c r="K9" s="16">
        <v>5</v>
      </c>
      <c r="L9" s="16"/>
      <c r="M9" s="16"/>
      <c r="N9" s="16"/>
      <c r="O9" s="16"/>
      <c r="P9" s="16"/>
      <c r="Q9" s="16"/>
      <c r="R9" s="16"/>
      <c r="S9" s="16"/>
      <c r="T9" s="16">
        <v>6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96"/>
    </row>
    <row r="10" spans="1:31" ht="23.25" customHeight="1" x14ac:dyDescent="0.3">
      <c r="A10" s="95">
        <v>244476</v>
      </c>
      <c r="B10" s="16"/>
      <c r="C10" s="16"/>
      <c r="D10" s="16"/>
      <c r="E10" s="16"/>
      <c r="F10" s="16">
        <v>1</v>
      </c>
      <c r="G10" s="16"/>
      <c r="H10" s="16">
        <v>3</v>
      </c>
      <c r="I10" s="16"/>
      <c r="J10" s="16">
        <v>9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96"/>
    </row>
    <row r="11" spans="1:31" ht="23.25" customHeight="1" x14ac:dyDescent="0.3">
      <c r="A11" s="95">
        <v>244477</v>
      </c>
      <c r="B11" s="16"/>
      <c r="C11" s="16"/>
      <c r="D11" s="16"/>
      <c r="E11" s="16"/>
      <c r="F11" s="16"/>
      <c r="G11" s="16"/>
      <c r="H11" s="16"/>
      <c r="I11" s="16">
        <v>12</v>
      </c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96"/>
    </row>
    <row r="12" spans="1:31" ht="23.25" customHeight="1" x14ac:dyDescent="0.3">
      <c r="A12" s="95">
        <v>244478</v>
      </c>
      <c r="B12" s="16"/>
      <c r="C12" s="16"/>
      <c r="D12" s="16">
        <v>3</v>
      </c>
      <c r="E12" s="16"/>
      <c r="F12" s="16"/>
      <c r="G12" s="16"/>
      <c r="H12" s="16"/>
      <c r="I12" s="16">
        <v>12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96"/>
    </row>
    <row r="13" spans="1:31" ht="23.25" customHeight="1" x14ac:dyDescent="0.3">
      <c r="A13" s="95">
        <v>244479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2</v>
      </c>
      <c r="L13" s="16"/>
      <c r="M13" s="16"/>
      <c r="N13" s="16"/>
      <c r="O13" s="16"/>
      <c r="P13" s="16"/>
      <c r="Q13" s="16"/>
      <c r="R13" s="16"/>
      <c r="S13" s="16"/>
      <c r="T13" s="16">
        <v>3</v>
      </c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96"/>
    </row>
    <row r="14" spans="1:31" ht="23.25" customHeight="1" x14ac:dyDescent="0.3">
      <c r="A14" s="95">
        <v>244480</v>
      </c>
      <c r="B14" s="16"/>
      <c r="C14" s="16"/>
      <c r="D14" s="16">
        <v>3</v>
      </c>
      <c r="E14" s="16"/>
      <c r="F14" s="16"/>
      <c r="G14" s="16"/>
      <c r="H14" s="16"/>
      <c r="I14" s="16">
        <v>6</v>
      </c>
      <c r="J14" s="16"/>
      <c r="K14" s="16">
        <v>3</v>
      </c>
      <c r="L14" s="16"/>
      <c r="M14" s="16"/>
      <c r="N14" s="16"/>
      <c r="O14" s="16"/>
      <c r="P14" s="16"/>
      <c r="Q14" s="16"/>
      <c r="R14" s="16"/>
      <c r="S14" s="16"/>
      <c r="T14" s="16">
        <v>3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96"/>
    </row>
    <row r="15" spans="1:31" ht="23.25" customHeight="1" x14ac:dyDescent="0.3">
      <c r="A15" s="95">
        <v>244481</v>
      </c>
      <c r="B15" s="16"/>
      <c r="C15" s="16"/>
      <c r="D15" s="16"/>
      <c r="E15" s="16"/>
      <c r="F15" s="16"/>
      <c r="G15" s="16"/>
      <c r="H15" s="16"/>
      <c r="I15" s="16">
        <v>21</v>
      </c>
      <c r="J15" s="16"/>
      <c r="K15" s="16">
        <v>2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>
        <v>4</v>
      </c>
      <c r="Y15" s="16"/>
      <c r="Z15" s="16"/>
      <c r="AA15" s="16"/>
      <c r="AB15" s="16"/>
      <c r="AC15" s="16"/>
      <c r="AD15" s="16">
        <v>5</v>
      </c>
      <c r="AE15" s="96"/>
    </row>
    <row r="16" spans="1:31" ht="23.25" customHeight="1" x14ac:dyDescent="0.3">
      <c r="A16" s="95">
        <v>244482</v>
      </c>
      <c r="B16" s="16"/>
      <c r="C16" s="16"/>
      <c r="D16" s="16"/>
      <c r="E16" s="16"/>
      <c r="F16" s="16"/>
      <c r="G16" s="16"/>
      <c r="H16" s="16"/>
      <c r="I16" s="16">
        <v>12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96"/>
    </row>
    <row r="17" spans="1:31" ht="23.25" customHeight="1" x14ac:dyDescent="0.3">
      <c r="A17" s="95">
        <v>244483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96"/>
    </row>
    <row r="18" spans="1:31" ht="23.25" customHeight="1" x14ac:dyDescent="0.3">
      <c r="A18" s="95">
        <v>244484</v>
      </c>
      <c r="B18" s="16"/>
      <c r="C18" s="16"/>
      <c r="D18" s="16"/>
      <c r="E18" s="16"/>
      <c r="F18" s="16"/>
      <c r="G18" s="16"/>
      <c r="H18" s="16"/>
      <c r="I18" s="16"/>
      <c r="J18" s="16"/>
      <c r="K18" s="16">
        <v>2</v>
      </c>
      <c r="L18" s="16"/>
      <c r="M18" s="16"/>
      <c r="N18" s="16"/>
      <c r="O18" s="16"/>
      <c r="P18" s="16"/>
      <c r="Q18" s="16"/>
      <c r="R18" s="16"/>
      <c r="S18" s="16"/>
      <c r="T18" s="16">
        <v>3</v>
      </c>
      <c r="U18" s="16"/>
      <c r="V18" s="16"/>
      <c r="W18" s="16"/>
      <c r="X18" s="16"/>
      <c r="Y18" s="16"/>
      <c r="Z18" s="16"/>
      <c r="AA18" s="16"/>
      <c r="AB18" s="16">
        <v>2</v>
      </c>
      <c r="AC18" s="16"/>
      <c r="AD18" s="16"/>
      <c r="AE18" s="96"/>
    </row>
    <row r="19" spans="1:31" ht="23.25" customHeight="1" x14ac:dyDescent="0.3">
      <c r="A19" s="95">
        <v>244485</v>
      </c>
      <c r="B19" s="16"/>
      <c r="C19" s="16"/>
      <c r="D19" s="16">
        <v>6</v>
      </c>
      <c r="E19" s="16"/>
      <c r="F19" s="16"/>
      <c r="G19" s="16"/>
      <c r="H19" s="16">
        <v>3</v>
      </c>
      <c r="I19" s="16">
        <v>20</v>
      </c>
      <c r="J19" s="16"/>
      <c r="K19" s="16">
        <v>2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>
        <v>2</v>
      </c>
      <c r="AC19" s="16">
        <v>2</v>
      </c>
      <c r="AD19" s="16"/>
      <c r="AE19" s="96"/>
    </row>
    <row r="20" spans="1:31" ht="23.25" customHeight="1" x14ac:dyDescent="0.3">
      <c r="A20" s="95">
        <v>244486</v>
      </c>
      <c r="B20" s="16"/>
      <c r="C20" s="16"/>
      <c r="D20" s="16"/>
      <c r="E20" s="16"/>
      <c r="F20" s="16"/>
      <c r="G20" s="16"/>
      <c r="H20" s="16"/>
      <c r="I20" s="16"/>
      <c r="J20" s="16"/>
      <c r="K20" s="16">
        <v>1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96"/>
    </row>
    <row r="21" spans="1:31" ht="23.25" customHeight="1" x14ac:dyDescent="0.3">
      <c r="A21" s="95">
        <v>244487</v>
      </c>
      <c r="B21" s="16"/>
      <c r="C21" s="16"/>
      <c r="D21" s="16"/>
      <c r="E21" s="16"/>
      <c r="F21" s="16"/>
      <c r="G21" s="16"/>
      <c r="H21" s="16"/>
      <c r="I21" s="16"/>
      <c r="J21" s="16"/>
      <c r="K21" s="16">
        <v>5</v>
      </c>
      <c r="L21" s="16"/>
      <c r="M21" s="16"/>
      <c r="N21" s="16"/>
      <c r="O21" s="16"/>
      <c r="P21" s="16"/>
      <c r="Q21" s="16"/>
      <c r="R21" s="16"/>
      <c r="S21" s="16"/>
      <c r="T21" s="16">
        <v>3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96"/>
    </row>
    <row r="22" spans="1:31" ht="23.25" customHeight="1" x14ac:dyDescent="0.3">
      <c r="A22" s="95">
        <v>244488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96"/>
    </row>
    <row r="23" spans="1:31" ht="23.25" customHeight="1" x14ac:dyDescent="0.3">
      <c r="A23" s="95">
        <v>244489</v>
      </c>
      <c r="B23" s="16"/>
      <c r="C23" s="16"/>
      <c r="D23" s="16"/>
      <c r="E23" s="16"/>
      <c r="F23" s="16"/>
      <c r="G23" s="16"/>
      <c r="H23" s="16"/>
      <c r="I23" s="16"/>
      <c r="J23" s="16"/>
      <c r="K23" s="16">
        <v>2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96"/>
    </row>
    <row r="24" spans="1:31" ht="23.25" customHeight="1" x14ac:dyDescent="0.3">
      <c r="A24" s="95">
        <v>244490</v>
      </c>
      <c r="B24" s="16"/>
      <c r="C24" s="16"/>
      <c r="D24" s="16"/>
      <c r="E24" s="16"/>
      <c r="F24" s="16"/>
      <c r="G24" s="16"/>
      <c r="H24" s="16">
        <v>6</v>
      </c>
      <c r="I24" s="16">
        <v>6</v>
      </c>
      <c r="J24" s="16"/>
      <c r="K24" s="16">
        <v>1</v>
      </c>
      <c r="L24" s="16"/>
      <c r="M24" s="16"/>
      <c r="N24" s="16"/>
      <c r="O24" s="16"/>
      <c r="P24" s="16"/>
      <c r="Q24" s="16"/>
      <c r="R24" s="16"/>
      <c r="S24" s="16"/>
      <c r="T24" s="16">
        <v>3</v>
      </c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96"/>
    </row>
    <row r="25" spans="1:31" ht="23.25" customHeight="1" x14ac:dyDescent="0.3">
      <c r="A25" s="95">
        <v>244491</v>
      </c>
      <c r="B25" s="16"/>
      <c r="C25" s="16"/>
      <c r="D25" s="16"/>
      <c r="E25" s="16"/>
      <c r="F25" s="16"/>
      <c r="G25" s="16"/>
      <c r="H25" s="16"/>
      <c r="I25" s="16">
        <v>9</v>
      </c>
      <c r="J25" s="16"/>
      <c r="K25" s="16">
        <v>1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>
        <v>2</v>
      </c>
      <c r="Y25" s="16"/>
      <c r="Z25" s="16"/>
      <c r="AA25" s="16"/>
      <c r="AB25" s="16"/>
      <c r="AC25" s="16">
        <v>1</v>
      </c>
      <c r="AD25" s="16"/>
      <c r="AE25" s="96"/>
    </row>
    <row r="26" spans="1:31" ht="23.25" customHeight="1" x14ac:dyDescent="0.3">
      <c r="A26" s="95">
        <v>244492</v>
      </c>
      <c r="B26" s="16"/>
      <c r="C26" s="16"/>
      <c r="D26" s="16"/>
      <c r="E26" s="16"/>
      <c r="F26" s="16"/>
      <c r="G26" s="16"/>
      <c r="H26" s="16"/>
      <c r="I26" s="16">
        <v>9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>
        <v>1</v>
      </c>
      <c r="AD26" s="16"/>
      <c r="AE26" s="96"/>
    </row>
    <row r="27" spans="1:31" ht="23.25" customHeight="1" x14ac:dyDescent="0.3">
      <c r="A27" s="95">
        <v>244493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>
        <v>1</v>
      </c>
      <c r="AC27" s="16"/>
      <c r="AD27" s="16"/>
      <c r="AE27" s="96"/>
    </row>
    <row r="28" spans="1:31" ht="23.25" customHeight="1" x14ac:dyDescent="0.3">
      <c r="A28" s="95">
        <v>244494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>
        <v>4</v>
      </c>
      <c r="Y28" s="16"/>
      <c r="Z28" s="16"/>
      <c r="AA28" s="16"/>
      <c r="AB28" s="16"/>
      <c r="AC28" s="16"/>
      <c r="AD28" s="16"/>
      <c r="AE28" s="96"/>
    </row>
    <row r="29" spans="1:31" ht="23.25" customHeight="1" x14ac:dyDescent="0.3">
      <c r="A29" s="95">
        <v>244495</v>
      </c>
      <c r="B29" s="16"/>
      <c r="C29" s="16"/>
      <c r="D29" s="16"/>
      <c r="E29" s="16"/>
      <c r="F29" s="16"/>
      <c r="G29" s="16"/>
      <c r="H29" s="16"/>
      <c r="I29" s="16">
        <v>24</v>
      </c>
      <c r="J29" s="16"/>
      <c r="K29" s="16">
        <v>4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>
        <v>4</v>
      </c>
      <c r="Y29" s="16"/>
      <c r="Z29" s="16"/>
      <c r="AA29" s="16"/>
      <c r="AB29" s="16"/>
      <c r="AC29" s="16"/>
      <c r="AD29" s="16"/>
      <c r="AE29" s="96"/>
    </row>
    <row r="30" spans="1:31" ht="23.25" customHeight="1" x14ac:dyDescent="0.3">
      <c r="A30" s="95">
        <v>244496</v>
      </c>
      <c r="B30" s="16"/>
      <c r="C30" s="16"/>
      <c r="D30" s="16"/>
      <c r="E30" s="16"/>
      <c r="F30" s="16"/>
      <c r="G30" s="16"/>
      <c r="H30" s="16"/>
      <c r="I30" s="16"/>
      <c r="J30" s="16"/>
      <c r="K30" s="16">
        <v>1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96"/>
    </row>
    <row r="31" spans="1:31" ht="23.25" customHeight="1" x14ac:dyDescent="0.3">
      <c r="A31" s="95">
        <v>244497</v>
      </c>
      <c r="B31" s="16"/>
      <c r="C31" s="16"/>
      <c r="D31" s="16"/>
      <c r="E31" s="16"/>
      <c r="F31" s="16"/>
      <c r="G31" s="16"/>
      <c r="H31" s="16"/>
      <c r="I31" s="16">
        <v>3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>
        <v>1</v>
      </c>
      <c r="AC31" s="16">
        <v>2</v>
      </c>
      <c r="AD31" s="16"/>
      <c r="AE31" s="96"/>
    </row>
    <row r="32" spans="1:31" ht="23.25" customHeight="1" x14ac:dyDescent="0.3">
      <c r="A32" s="95">
        <v>244498</v>
      </c>
      <c r="B32" s="16"/>
      <c r="C32" s="16"/>
      <c r="D32" s="16"/>
      <c r="E32" s="16"/>
      <c r="F32" s="16"/>
      <c r="G32" s="16"/>
      <c r="H32" s="16">
        <v>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v>1</v>
      </c>
      <c r="AD32" s="16"/>
      <c r="AE32" s="96"/>
    </row>
    <row r="33" spans="1:31" ht="23.25" customHeight="1" x14ac:dyDescent="0.3">
      <c r="A33" s="95">
        <v>244499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96"/>
    </row>
    <row r="34" spans="1:31" ht="23.25" customHeight="1" x14ac:dyDescent="0.3">
      <c r="A34" s="95">
        <v>244500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96">
        <f>SUM(B34:AD34)</f>
        <v>0</v>
      </c>
    </row>
    <row r="35" spans="1:31" ht="23.25" customHeight="1" x14ac:dyDescent="0.3">
      <c r="A35" s="95" t="s">
        <v>63</v>
      </c>
      <c r="B35" s="96">
        <f t="shared" ref="B35:AE35" si="0">SUM(B4:B34)</f>
        <v>0</v>
      </c>
      <c r="C35" s="96">
        <f t="shared" si="0"/>
        <v>0</v>
      </c>
      <c r="D35" s="96">
        <f t="shared" si="0"/>
        <v>21</v>
      </c>
      <c r="E35" s="96">
        <f t="shared" si="0"/>
        <v>0</v>
      </c>
      <c r="F35" s="96">
        <f t="shared" si="0"/>
        <v>1</v>
      </c>
      <c r="G35" s="96">
        <f t="shared" si="0"/>
        <v>0</v>
      </c>
      <c r="H35" s="96">
        <f t="shared" si="0"/>
        <v>15</v>
      </c>
      <c r="I35" s="96">
        <f t="shared" si="0"/>
        <v>168</v>
      </c>
      <c r="J35" s="96">
        <f t="shared" si="0"/>
        <v>9</v>
      </c>
      <c r="K35" s="96">
        <f t="shared" si="0"/>
        <v>44</v>
      </c>
      <c r="L35" s="96">
        <f t="shared" si="0"/>
        <v>0</v>
      </c>
      <c r="M35" s="96">
        <f t="shared" si="0"/>
        <v>0</v>
      </c>
      <c r="N35" s="96">
        <f t="shared" si="0"/>
        <v>0</v>
      </c>
      <c r="O35" s="96">
        <f t="shared" si="0"/>
        <v>0</v>
      </c>
      <c r="P35" s="96">
        <f t="shared" si="0"/>
        <v>0</v>
      </c>
      <c r="Q35" s="96">
        <f t="shared" si="0"/>
        <v>0</v>
      </c>
      <c r="R35" s="96">
        <f t="shared" si="0"/>
        <v>0</v>
      </c>
      <c r="S35" s="96">
        <f t="shared" si="0"/>
        <v>0</v>
      </c>
      <c r="T35" s="96">
        <f t="shared" si="0"/>
        <v>24</v>
      </c>
      <c r="U35" s="96">
        <f t="shared" si="0"/>
        <v>0</v>
      </c>
      <c r="V35" s="96">
        <f t="shared" si="0"/>
        <v>0</v>
      </c>
      <c r="W35" s="96">
        <f t="shared" si="0"/>
        <v>0</v>
      </c>
      <c r="X35" s="96">
        <f t="shared" si="0"/>
        <v>21</v>
      </c>
      <c r="Y35" s="96">
        <f t="shared" si="0"/>
        <v>0</v>
      </c>
      <c r="Z35" s="96">
        <f t="shared" si="0"/>
        <v>0</v>
      </c>
      <c r="AA35" s="96">
        <f t="shared" si="0"/>
        <v>0</v>
      </c>
      <c r="AB35" s="96">
        <f t="shared" si="0"/>
        <v>6</v>
      </c>
      <c r="AC35" s="96">
        <f t="shared" si="0"/>
        <v>7</v>
      </c>
      <c r="AD35" s="96">
        <f t="shared" si="0"/>
        <v>5</v>
      </c>
      <c r="AE35" s="96">
        <f t="shared" si="0"/>
        <v>0</v>
      </c>
    </row>
    <row r="36" spans="1:31" ht="23.2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ht="23.25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ht="23.25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ht="23.25" customHeight="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ht="23.25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ht="23.25" customHeight="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ht="23.25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23.2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23.2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23.2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23.2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ht="23.2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ht="23.2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ht="23.2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1:31" ht="23.2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ht="23.2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ht="23.2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ht="23.2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23.25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23.25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ht="23.25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ht="23.25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ht="23.25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ht="23.25" customHeight="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1" ht="23.25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ht="23.25" customHeight="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ht="23.25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spans="1:31" ht="23.25" customHeight="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1:31" ht="23.25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1:31" ht="23.25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spans="1:31" ht="23.25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spans="1:31" ht="23.25" customHeight="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ht="23.25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spans="1:31" ht="23.25" customHeigh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spans="1:31" ht="23.25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spans="1:31" ht="23.25" customHeight="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spans="1:31" ht="23.25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spans="1:31" ht="23.25" customHeight="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spans="1:31" ht="23.25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spans="1:31" ht="23.25" customHeight="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 ht="23.25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 ht="23.25" customHeight="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 ht="23.25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 ht="23.25" customHeight="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ht="23.25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1:31" ht="23.25" customHeight="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1:31" ht="23.25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spans="1:31" ht="23.25" customHeight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1:31" ht="23.25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1:31" ht="23.25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1:31" ht="23.25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1:31" ht="23.25" customHeight="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1:31" ht="23.25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1:31" ht="23.25" customHeight="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1:31" ht="23.25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1:31" ht="23.25" customHeight="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1" ht="23.25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1:31" ht="23.25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1:31" ht="23.25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spans="1:31" ht="23.25" customHeight="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spans="1:31" ht="23.25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spans="1:31" ht="23.25" customHeight="1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spans="1:31" ht="23.25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spans="1:31" ht="23.25" customHeight="1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spans="1:31" ht="23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1:31" ht="23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1:31" ht="23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1:31" ht="23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spans="1:31" ht="23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spans="1:31" ht="23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spans="1:31" ht="23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spans="1:31" ht="23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spans="1:31" ht="23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spans="1:31" ht="23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spans="1:31" ht="23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spans="1:31" ht="23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spans="1:31" ht="23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spans="1:31" ht="23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spans="1:31" ht="23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spans="1:31" ht="23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spans="1:31" ht="23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spans="1:31" ht="23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spans="1:31" ht="23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spans="1:31" ht="23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spans="1:31" ht="23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spans="1:31" ht="23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spans="1:31" ht="23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spans="1:31" ht="23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spans="1:31" ht="23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spans="1:31" ht="23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spans="1:31" ht="23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spans="1:31" ht="23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spans="1:31" ht="23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spans="1:31" ht="23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spans="1:31" ht="23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spans="1:31" ht="23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spans="1:31" ht="23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spans="1:31" ht="23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spans="1:31" ht="23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spans="1:31" ht="23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spans="1:31" ht="23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spans="1:31" ht="23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spans="1:31" ht="23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spans="1:31" ht="23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spans="1:31" ht="23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spans="1:31" ht="23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spans="1:31" ht="23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spans="1:31" ht="23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spans="1:31" ht="23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spans="1:31" ht="23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spans="1:31" ht="23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spans="1:31" ht="23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spans="1:31" ht="23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spans="1:31" ht="23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spans="1:31" ht="23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spans="1:31" ht="23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spans="1:31" ht="23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spans="1:31" ht="23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spans="1:31" ht="23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spans="1:31" ht="23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spans="1:31" ht="23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spans="1:31" ht="23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spans="1:31" ht="23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spans="1:31" ht="23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spans="1:31" ht="23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spans="1:31" ht="23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spans="1:31" ht="23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spans="1:31" ht="23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spans="1:31" ht="23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spans="1:31" ht="23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spans="1:31" ht="23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spans="1:31" ht="23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spans="1:31" ht="23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spans="1:31" ht="23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spans="1:31" ht="23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spans="1:31" ht="23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spans="1:31" ht="23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spans="1:31" ht="23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spans="1:31" ht="23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spans="1:31" ht="23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spans="1:31" ht="23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spans="1:31" ht="23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spans="1:31" ht="23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spans="1:31" ht="23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spans="1:31" ht="23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spans="1:31" ht="23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 spans="1:31" ht="23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spans="1:31" ht="23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spans="1:31" ht="23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 spans="1:31" ht="23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spans="1:31" ht="23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spans="1:31" ht="23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spans="1:31" ht="23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 spans="1:31" ht="23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spans="1:31" ht="23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 spans="1:31" ht="23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spans="1:31" ht="23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spans="1:31" ht="23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 spans="1:31" ht="23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spans="1:31" ht="23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 spans="1:31" ht="23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spans="1:31" ht="23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 spans="1:31" ht="23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spans="1:31" ht="23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spans="1:31" ht="23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spans="1:31" ht="23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 spans="1:31" ht="23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ht="23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 spans="1:31" ht="23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spans="1:31" ht="23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 spans="1:31" ht="23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spans="1:31" ht="23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 spans="1:31" ht="23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spans="1:31" ht="23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 spans="1:31" ht="23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spans="1:31" ht="23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 spans="1:31" ht="23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spans="1:31" ht="23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spans="1:31" ht="23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spans="1:31" ht="23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spans="1:31" ht="23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spans="1:31" ht="23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spans="1:31" ht="23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spans="1:31" ht="23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spans="1:31" ht="23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spans="1:31" ht="23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spans="1:31" ht="23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spans="1:31" ht="23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 spans="1:31" ht="23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spans="1:31" ht="23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spans="1:31" ht="23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spans="1:31" ht="23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 spans="1:31" ht="23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spans="1:31" ht="23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 spans="1:31" ht="23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ht="23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 spans="1:31" ht="23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spans="1:31" ht="23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 spans="1:31" ht="23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spans="1:31" ht="23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 spans="1:31" ht="23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spans="1:31" ht="23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 spans="1:31" ht="23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spans="1:31" ht="23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 spans="1:31" ht="23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spans="1:31" ht="23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spans="1:31" ht="23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spans="1:31" ht="23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spans="1:31" ht="23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spans="1:31" ht="23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spans="1:31" ht="23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spans="1:31" ht="23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spans="1:31" ht="23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31" ht="23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spans="1:31" ht="23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spans="1:31" ht="23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spans="1:31" ht="23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spans="1:31" ht="23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spans="1:31" ht="23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spans="1:31" ht="23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spans="1:31" ht="23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spans="1:31" ht="23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spans="1:31" ht="23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ht="23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spans="1:31" ht="23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spans="1:31" ht="23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spans="1:31" ht="23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spans="1:31" ht="23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spans="1:31" ht="23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spans="1:31" ht="23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spans="1:31" ht="23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spans="1:31" ht="23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spans="1:31" ht="23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spans="1:31" ht="23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spans="1:31" ht="23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spans="1:31" ht="23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spans="1:31" ht="23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spans="1:31" ht="23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spans="1:31" ht="23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spans="1:31" ht="23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spans="1:31" ht="23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spans="1:31" ht="23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spans="1:31" ht="23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spans="1:31" ht="23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spans="1:31" ht="23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spans="1:31" ht="23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spans="1:31" ht="23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spans="1:31" ht="23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spans="1:31" ht="23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spans="1:31" ht="23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spans="1:31" ht="23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spans="1:31" ht="23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spans="1:31" ht="23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spans="1:31" ht="23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spans="1:31" ht="23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spans="1:31" ht="23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spans="1:31" ht="23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spans="1:31" ht="23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spans="1:31" ht="23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spans="1:31" ht="23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spans="1:31" ht="23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spans="1:31" ht="23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spans="1:31" ht="23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spans="1:31" ht="23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spans="1:31" ht="23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spans="1:31" ht="23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 spans="1:31" ht="23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spans="1:31" ht="23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spans="1:31" ht="23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spans="1:31" ht="23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 spans="1:31" ht="23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spans="1:31" ht="23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 spans="1:31" ht="23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 spans="1:31" ht="23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 spans="1:31" ht="23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 spans="1:31" ht="23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 spans="1:31" ht="23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 spans="1:31" ht="23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 spans="1:31" ht="23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 spans="1:31" ht="23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 spans="1:31" ht="23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 spans="1:31" ht="23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 spans="1:31" ht="23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 spans="1:31" ht="23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 spans="1:31" ht="23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 spans="1:31" ht="23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 spans="1:31" ht="23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 spans="1:31" ht="23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 spans="1:31" ht="23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 spans="1:31" ht="23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 spans="1:31" ht="23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spans="1:31" ht="23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spans="1:31" ht="23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 spans="1:31" ht="23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 spans="1:31" ht="23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spans="1:31" ht="23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spans="1:31" ht="23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spans="1:31" ht="23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spans="1:31" ht="23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spans="1:31" ht="23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spans="1:31" ht="23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spans="1:31" ht="23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 spans="1:31" ht="23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spans="1:31" ht="23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spans="1:31" ht="23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 spans="1:31" ht="23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spans="1:31" ht="23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spans="1:31" ht="23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spans="1:31" ht="23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 spans="1:31" ht="23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spans="1:31" ht="23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 spans="1:31" ht="23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 spans="1:31" ht="23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 spans="1:31" ht="23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 spans="1:31" ht="23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 spans="1:31" ht="23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 spans="1:31" ht="23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 spans="1:31" ht="23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 spans="1:31" ht="23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 spans="1:31" ht="23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 spans="1:31" ht="23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 spans="1:31" ht="23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 spans="1:31" ht="23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 spans="1:31" ht="23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 spans="1:31" ht="23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 spans="1:31" ht="23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 spans="1:31" ht="23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 spans="1:31" ht="23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 spans="1:31" ht="23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 spans="1:31" ht="23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 spans="1:31" ht="23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spans="1:31" ht="23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 spans="1:31" ht="23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 spans="1:31" ht="23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spans="1:31" ht="23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spans="1:31" ht="23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spans="1:31" ht="23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spans="1:31" ht="23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spans="1:31" ht="23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spans="1:31" ht="23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spans="1:31" ht="23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 spans="1:31" ht="23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spans="1:31" ht="23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spans="1:31" ht="23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 spans="1:31" ht="23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spans="1:31" ht="23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spans="1:31" ht="23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spans="1:31" ht="23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 spans="1:31" ht="23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spans="1:31" ht="23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 spans="1:31" ht="23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 spans="1:31" ht="23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 spans="1:31" ht="23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 spans="1:31" ht="23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 spans="1:31" ht="23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 spans="1:31" ht="23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 spans="1:31" ht="23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 spans="1:31" ht="23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spans="1:31" ht="23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 spans="1:31" ht="23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 spans="1:31" ht="23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 spans="1:31" ht="23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 spans="1:31" ht="23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 spans="1:31" ht="23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 spans="1:31" ht="23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 spans="1:31" ht="23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 spans="1:31" ht="23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 spans="1:31" ht="23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 spans="1:31" ht="23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 spans="1:31" ht="23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spans="1:31" ht="23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 spans="1:31" ht="23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 spans="1:31" ht="23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spans="1:31" ht="23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spans="1:31" ht="23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spans="1:31" ht="23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spans="1:31" ht="23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spans="1:31" ht="23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spans="1:31" ht="23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spans="1:31" ht="23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 spans="1:31" ht="23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spans="1:31" ht="23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spans="1:31" ht="23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 spans="1:31" ht="23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spans="1:31" ht="23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spans="1:31" ht="23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spans="1:31" ht="23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 spans="1:31" ht="23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spans="1:31" ht="23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 spans="1:31" ht="23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 spans="1:31" ht="23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 spans="1:31" ht="23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 spans="1:31" ht="23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 spans="1:31" ht="23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 spans="1:31" ht="23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 spans="1:31" ht="23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 spans="1:31" ht="23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 spans="1:31" ht="23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 spans="1:31" ht="23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 spans="1:31" ht="23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 spans="1:31" ht="23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spans="1:31" ht="23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 spans="1:31" ht="23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 spans="1:31" ht="23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 spans="1:31" ht="23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 spans="1:31" ht="23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 spans="1:31" ht="23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 spans="1:31" ht="23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 spans="1:31" ht="23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spans="1:31" ht="23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 spans="1:31" ht="23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 spans="1:31" ht="23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spans="1:31" ht="23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spans="1:31" ht="23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spans="1:31" ht="23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spans="1:31" ht="23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spans="1:31" ht="23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spans="1:31" ht="23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spans="1:31" ht="23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 spans="1:31" ht="23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spans="1:31" ht="23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spans="1:31" ht="23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 spans="1:31" ht="23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spans="1:31" ht="23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spans="1:31" ht="23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spans="1:31" ht="23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 spans="1:31" ht="23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spans="1:31" ht="23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 spans="1:31" ht="23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 spans="1:31" ht="23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 spans="1:31" ht="23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 spans="1:31" ht="23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 spans="1:31" ht="23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 spans="1:31" ht="23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 spans="1:31" ht="23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 spans="1:31" ht="23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 spans="1:31" ht="23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 spans="1:31" ht="23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 spans="1:31" ht="23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 spans="1:31" ht="23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 spans="1:31" ht="23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 spans="1:31" ht="23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 spans="1:31" ht="23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 spans="1:31" ht="23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 spans="1:31" ht="23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 spans="1:31" ht="23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 spans="1:31" ht="23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 spans="1:31" ht="23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spans="1:31" ht="23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 spans="1:31" ht="23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 spans="1:31" ht="23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spans="1:31" ht="23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spans="1:31" ht="23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spans="1:31" ht="23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spans="1:31" ht="23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spans="1:31" ht="23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spans="1:31" ht="23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spans="1:31" ht="23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 spans="1:31" ht="23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spans="1:31" ht="23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spans="1:31" ht="23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 spans="1:31" ht="23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spans="1:31" ht="23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spans="1:31" ht="23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spans="1:31" ht="23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 spans="1:31" ht="23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spans="1:31" ht="23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spans="1:31" ht="23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 spans="1:31" ht="23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spans="1:31" ht="23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spans="1:31" ht="23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spans="1:31" ht="23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spans="1:31" ht="23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spans="1:31" ht="23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spans="1:31" ht="23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spans="1:31" ht="23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spans="1:31" ht="23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spans="1:31" ht="23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spans="1:31" ht="23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spans="1:31" ht="23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spans="1:31" ht="23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spans="1:31" ht="23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spans="1:31" ht="23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spans="1:31" ht="23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spans="1:31" ht="23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spans="1:31" ht="23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spans="1:31" ht="23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spans="1:31" ht="23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spans="1:31" ht="23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spans="1:31" ht="23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spans="1:31" ht="23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spans="1:31" ht="23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spans="1:31" ht="23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spans="1:31" ht="23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spans="1:31" ht="23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spans="1:31" ht="23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spans="1:31" ht="23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spans="1:31" ht="23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spans="1:31" ht="23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spans="1:31" ht="23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spans="1:31" ht="23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spans="1:31" ht="23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spans="1:31" ht="23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spans="1:31" ht="23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spans="1:31" ht="23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spans="1:31" ht="23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spans="1:31" ht="23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spans="1:31" ht="23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spans="1:31" ht="23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spans="1:31" ht="23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spans="1:31" ht="23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spans="1:31" ht="23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spans="1:31" ht="23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spans="1:31" ht="23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spans="1:31" ht="23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spans="1:31" ht="23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spans="1:31" ht="23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spans="1:31" ht="23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spans="1:31" ht="23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spans="1:31" ht="23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spans="1:31" ht="23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spans="1:31" ht="23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spans="1:31" ht="23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spans="1:31" ht="23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spans="1:31" ht="23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spans="1:31" ht="23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spans="1:31" ht="23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spans="1:31" ht="23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spans="1:31" ht="23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spans="1:31" ht="23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spans="1:31" ht="23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spans="1:31" ht="23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spans="1:31" ht="23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spans="1:31" ht="23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spans="1:31" ht="23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spans="1:31" ht="23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spans="1:31" ht="23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spans="1:31" ht="23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spans="1:31" ht="23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spans="1:31" ht="23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spans="1:31" ht="23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spans="1:31" ht="23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spans="1:31" ht="23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spans="1:31" ht="23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spans="1:31" ht="23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spans="1:31" ht="23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spans="1:31" ht="23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spans="1:31" ht="23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spans="1:31" ht="23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spans="1:31" ht="23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spans="1:31" ht="23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spans="1:31" ht="23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spans="1:31" ht="23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spans="1:31" ht="23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spans="1:31" ht="23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spans="1:31" ht="23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spans="1:31" ht="23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spans="1:31" ht="23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spans="1:31" ht="23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spans="1:31" ht="23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spans="1:31" ht="23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spans="1:31" ht="23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spans="1:31" ht="23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spans="1:31" ht="23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spans="1:31" ht="23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spans="1:31" ht="23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spans="1:31" ht="23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spans="1:31" ht="23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spans="1:31" ht="23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spans="1:31" ht="23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spans="1:31" ht="23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spans="1:31" ht="23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spans="1:31" ht="23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spans="1:31" ht="23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spans="1:31" ht="23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spans="1:31" ht="23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spans="1:31" ht="23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spans="1:31" ht="23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spans="1:31" ht="23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spans="1:31" ht="23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spans="1:31" ht="23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spans="1:31" ht="23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spans="1:31" ht="23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spans="1:31" ht="23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spans="1:31" ht="23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spans="1:31" ht="23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spans="1:31" ht="23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spans="1:31" ht="23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spans="1:31" ht="23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spans="1:31" ht="23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spans="1:31" ht="23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spans="1:31" ht="23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spans="1:31" ht="23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spans="1:31" ht="23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spans="1:31" ht="23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spans="1:31" ht="23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spans="1:31" ht="23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spans="1:31" ht="23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spans="1:31" ht="23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spans="1:31" ht="23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spans="1:31" ht="23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spans="1:31" ht="23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spans="1:31" ht="23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spans="1:31" ht="23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spans="1:31" ht="23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spans="1:31" ht="23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spans="1:31" ht="23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spans="1:31" ht="23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spans="1:31" ht="23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spans="1:31" ht="23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spans="1:31" ht="23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spans="1:31" ht="23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spans="1:31" ht="23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spans="1:31" ht="23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spans="1:31" ht="23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spans="1:31" ht="23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spans="1:31" ht="23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spans="1:31" ht="23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spans="1:31" ht="23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spans="1:31" ht="23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spans="1:31" ht="23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spans="1:31" ht="23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spans="1:31" ht="23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spans="1:31" ht="23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spans="1:31" ht="23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spans="1:31" ht="23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spans="1:31" ht="23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spans="1:31" ht="23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spans="1:31" ht="23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spans="1:31" ht="23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spans="1:31" ht="23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spans="1:31" ht="23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spans="1:31" ht="23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spans="1:31" ht="23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spans="1:31" ht="23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spans="1:31" ht="23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spans="1:31" ht="23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spans="1:31" ht="23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spans="1:31" ht="23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spans="1:31" ht="23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spans="1:31" ht="23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spans="1:31" ht="23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spans="1:31" ht="23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spans="1:31" ht="23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spans="1:31" ht="23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spans="1:31" ht="23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spans="1:31" ht="23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spans="1:31" ht="23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spans="1:31" ht="23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spans="1:31" ht="23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spans="1:31" ht="23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spans="1:31" ht="23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spans="1:31" ht="23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spans="1:31" ht="23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spans="1:31" ht="23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spans="1:31" ht="23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spans="1:31" ht="23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spans="1:31" ht="23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spans="1:31" ht="23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spans="1:31" ht="23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spans="1:31" ht="23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spans="1:31" ht="23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spans="1:31" ht="23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spans="1:31" ht="23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spans="1:31" ht="23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spans="1:31" ht="23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spans="1:31" ht="23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spans="1:31" ht="23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spans="1:31" ht="23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spans="1:31" ht="23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spans="1:31" ht="23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spans="1:31" ht="23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spans="1:31" ht="23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spans="1:31" ht="23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spans="1:31" ht="23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spans="1:31" ht="23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spans="1:31" ht="23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spans="1:31" ht="23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spans="1:31" ht="23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spans="1:31" ht="23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spans="1:31" ht="23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spans="1:31" ht="23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spans="1:31" ht="23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spans="1:31" ht="23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spans="1:31" ht="23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spans="1:31" ht="23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spans="1:31" ht="23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spans="1:31" ht="23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spans="1:31" ht="23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spans="1:31" ht="23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spans="1:31" ht="23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spans="1:31" ht="23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spans="1:31" ht="23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spans="1:31" ht="23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spans="1:31" ht="23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spans="1:31" ht="23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spans="1:31" ht="23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spans="1:31" ht="23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spans="1:31" ht="23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spans="1:31" ht="23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spans="1:31" ht="23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spans="1:31" ht="23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spans="1:31" ht="23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spans="1:31" ht="23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spans="1:31" ht="23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spans="1:31" ht="23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spans="1:31" ht="23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spans="1:31" ht="23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spans="1:31" ht="23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spans="1:31" ht="23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spans="1:31" ht="23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spans="1:31" ht="23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spans="1:31" ht="23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spans="1:31" ht="23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spans="1:31" ht="23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spans="1:31" ht="23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spans="1:31" ht="23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spans="1:31" ht="23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spans="1:31" ht="23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spans="1:31" ht="23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spans="1:31" ht="23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spans="1:31" ht="23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spans="1:31" ht="23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spans="1:31" ht="23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spans="1:31" ht="23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spans="1:31" ht="23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spans="1:31" ht="23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spans="1:31" ht="23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spans="1:31" ht="23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spans="1:31" ht="23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spans="1:31" ht="23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spans="1:31" ht="23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spans="1:31" ht="23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spans="1:31" ht="23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spans="1:31" ht="23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spans="1:31" ht="23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spans="1:31" ht="23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spans="1:31" ht="23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spans="1:31" ht="23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spans="1:31" ht="23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spans="1:31" ht="23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spans="1:31" ht="23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spans="1:31" ht="23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spans="1:31" ht="23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spans="1:31" ht="23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spans="1:31" ht="23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spans="1:31" ht="23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spans="1:31" ht="23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spans="1:31" ht="23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spans="1:31" ht="23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spans="1:31" ht="23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spans="1:31" ht="23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spans="1:31" ht="23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spans="1:31" ht="23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spans="1:31" ht="23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spans="1:31" ht="23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spans="1:31" ht="23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spans="1:31" ht="23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spans="1:31" ht="23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spans="1:31" ht="23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spans="1:31" ht="23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spans="1:31" ht="23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spans="1:31" ht="23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spans="1:31" ht="23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spans="1:31" ht="23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spans="1:31" ht="23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spans="1:31" ht="23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spans="1:31" ht="23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spans="1:31" ht="23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spans="1:31" ht="23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spans="1:31" ht="23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spans="1:31" ht="23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spans="1:31" ht="23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spans="1:31" ht="23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spans="1:31" ht="23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spans="1:31" ht="23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spans="1:31" ht="23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spans="1:31" ht="23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spans="1:31" ht="23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spans="1:31" ht="23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spans="1:31" ht="23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spans="1:31" ht="23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spans="1:31" ht="23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spans="1:31" ht="23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spans="1:31" ht="23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spans="1:31" ht="23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spans="1:31" ht="23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spans="1:31" ht="23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spans="1:31" ht="23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spans="1:31" ht="23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 spans="1:31" ht="23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 spans="1:31" ht="23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 spans="1:31" ht="23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 spans="1:31" ht="23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 spans="1:31" ht="23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 spans="1:31" ht="23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 spans="1:31" ht="23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 spans="1:31" ht="23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 spans="1:31" ht="23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 spans="1:31" ht="23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 spans="1:31" ht="23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 spans="1:31" ht="23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 spans="1:31" ht="23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 spans="1:31" ht="23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 spans="1:31" ht="23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 spans="1:31" ht="23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 spans="1:31" ht="23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 spans="1:31" ht="23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 spans="1:31" ht="23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 spans="1:31" ht="23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 spans="1:31" ht="23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 spans="1:31" ht="23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 spans="1:31" ht="23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 spans="1:31" ht="23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 spans="1:31" ht="23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 spans="1:31" ht="23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 spans="1:31" ht="23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 spans="1:31" ht="23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 spans="1:31" ht="23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 spans="1:31" ht="23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 spans="1:31" ht="23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 spans="1:31" ht="23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 spans="1:31" ht="23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 spans="1:31" ht="23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 spans="1:31" ht="23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 spans="1:31" ht="23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spans="1:31" ht="23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 spans="1:31" ht="23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 spans="1:31" ht="23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 spans="1:31" ht="23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 spans="1:31" ht="23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 spans="1:31" ht="23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 spans="1:31" ht="23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 spans="1:31" ht="23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 spans="1:31" ht="23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 spans="1:31" ht="23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 spans="1:31" ht="23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 spans="1:31" ht="23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 spans="1:31" ht="23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 spans="1:31" ht="23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 spans="1:31" ht="23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 spans="1:31" ht="23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 spans="1:31" ht="23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 spans="1:31" ht="23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 spans="1:31" ht="23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 spans="1:31" ht="23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 spans="1:31" ht="23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 spans="1:31" ht="23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 spans="1:31" ht="23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 spans="1:31" ht="23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 spans="1:31" ht="23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 spans="1:31" ht="23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 spans="1:31" ht="23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 spans="1:31" ht="23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 spans="1:31" ht="23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 spans="1:31" ht="23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 spans="1:31" ht="23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 spans="1:31" ht="23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 spans="1:31" ht="23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 spans="1:31" ht="23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 spans="1:31" ht="23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 spans="1:31" ht="23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 spans="1:31" ht="23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 spans="1:31" ht="23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 spans="1:31" ht="23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 spans="1:31" ht="23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 spans="1:31" ht="23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 spans="1:31" ht="23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 spans="1:31" ht="23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 spans="1:31" ht="23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 spans="1:31" ht="23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 spans="1:31" ht="23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 spans="1:31" ht="23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 spans="1:31" ht="23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 spans="1:31" ht="23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 spans="1:31" ht="23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 spans="1:31" ht="23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 spans="1:31" ht="23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 spans="1:31" ht="23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 spans="1:31" ht="23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 spans="1:31" ht="23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 spans="1:31" ht="23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 spans="1:31" ht="23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 spans="1:31" ht="23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 spans="1:31" ht="23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 spans="1:31" ht="23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 spans="1:31" ht="23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 spans="1:31" ht="23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 spans="1:31" ht="23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 spans="1:31" ht="23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 spans="1:31" ht="23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 spans="1:31" ht="23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 spans="1:31" ht="23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 spans="1:31" ht="23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 spans="1:31" ht="23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 spans="1:31" ht="23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 spans="1:31" ht="23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spans="1:31" ht="23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 spans="1:31" ht="23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 spans="1:31" ht="23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 spans="1:31" ht="23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 spans="1:31" ht="23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 spans="1:31" ht="23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 spans="1:31" ht="23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 spans="1:31" ht="23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 spans="1:31" ht="23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 spans="1:31" ht="23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 spans="1:31" ht="23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 spans="1:31" ht="23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 spans="1:31" ht="23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 spans="1:31" ht="23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 spans="1:31" ht="23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 spans="1:31" ht="23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 spans="1:31" ht="23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 spans="1:31" ht="23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 spans="1:31" ht="23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 spans="1:31" ht="23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 spans="1:31" ht="23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 spans="1:31" ht="23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 spans="1:31" ht="23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 spans="1:31" ht="23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 spans="1:31" ht="23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 spans="1:31" ht="23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 spans="1:31" ht="23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 spans="1:31" ht="23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 spans="1:31" ht="23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 spans="1:31" ht="23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 spans="1:31" ht="23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 spans="1:31" ht="23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 spans="1:31" ht="23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 spans="1:31" ht="23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 spans="1:31" ht="23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 spans="1:31" ht="23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spans="1:31" ht="23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spans="1:31" ht="23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 spans="1:31" ht="23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 spans="1:31" ht="23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 spans="1:31" ht="23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 spans="1:31" ht="23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 spans="1:31" ht="23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 spans="1:31" ht="23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 spans="1:31" ht="23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 spans="1:31" ht="23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 spans="1:31" ht="23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 spans="1:31" ht="23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 spans="1:31" ht="23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 spans="1:31" ht="23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 spans="1:31" ht="23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 spans="1:31" ht="23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 spans="1:31" ht="23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 spans="1:31" ht="23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 spans="1:31" ht="23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 spans="1:31" ht="23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 spans="1:31" ht="23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 spans="1:31" ht="23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 spans="1:31" ht="23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 spans="1:31" ht="23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 spans="1:31" ht="23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 spans="1:31" ht="23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 spans="1:31" ht="23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 spans="1:31" ht="23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 spans="1:31" ht="23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 spans="1:31" ht="23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 spans="1:31" ht="23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 spans="1:31" ht="23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</sheetData>
  <mergeCells count="3">
    <mergeCell ref="A2:A3"/>
    <mergeCell ref="B2:AC2"/>
    <mergeCell ref="AE2:AE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ออเดอร์จัดส่ง พ.ค. 69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dcterms:created xsi:type="dcterms:W3CDTF">2024-02-13T02:39:23Z</dcterms:created>
  <dcterms:modified xsi:type="dcterms:W3CDTF">2026-06-02T07:45:31Z</dcterms:modified>
</cp:coreProperties>
</file>