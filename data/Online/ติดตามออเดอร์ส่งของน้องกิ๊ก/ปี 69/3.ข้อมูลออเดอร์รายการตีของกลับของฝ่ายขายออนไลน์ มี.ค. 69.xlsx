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9\"/>
    </mc:Choice>
  </mc:AlternateContent>
  <xr:revisionPtr revIDLastSave="0" documentId="13_ncr:1_{3B3D1283-4D73-429B-A2A6-D79C836AFE26}" xr6:coauthVersionLast="47" xr6:coauthVersionMax="47" xr10:uidLastSave="{00000000-0000-0000-0000-000000000000}"/>
  <bookViews>
    <workbookView xWindow="-108" yWindow="-108" windowWidth="23256" windowHeight="12456" tabRatio="898" activeTab="1" xr2:uid="{00000000-000D-0000-FFFF-FFFF00000000}"/>
  </bookViews>
  <sheets>
    <sheet name="ออเดอร์จัดส่ง มี.ค. 69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TikTok!$A$3:$O$996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DM//vbSn9HW+nZu7J2qgk0x8dCbfOiAyj2WfbP+Lt5U="/>
    </ext>
  </extLst>
</workbook>
</file>

<file path=xl/calcChain.xml><?xml version="1.0" encoding="utf-8"?>
<calcChain xmlns="http://schemas.openxmlformats.org/spreadsheetml/2006/main">
  <c r="I1" i="5" l="1"/>
  <c r="AC35" i="9"/>
  <c r="C35" i="3" s="1"/>
  <c r="AB35" i="9"/>
  <c r="AA35" i="9"/>
  <c r="Z35" i="9"/>
  <c r="Y35" i="9"/>
  <c r="X35" i="9"/>
  <c r="W35" i="9"/>
  <c r="V35" i="9"/>
  <c r="U35" i="9"/>
  <c r="T35" i="9"/>
  <c r="S35" i="9"/>
  <c r="C20" i="3" s="1"/>
  <c r="R35" i="9"/>
  <c r="C19" i="3" s="1"/>
  <c r="Q35" i="9"/>
  <c r="C16" i="3" s="1"/>
  <c r="P35" i="9"/>
  <c r="C15" i="3" s="1"/>
  <c r="O35" i="9"/>
  <c r="C14" i="3" s="1"/>
  <c r="N35" i="9"/>
  <c r="M35" i="9"/>
  <c r="L35" i="9"/>
  <c r="K35" i="9"/>
  <c r="J35" i="9"/>
  <c r="I35" i="9"/>
  <c r="H35" i="9"/>
  <c r="G35" i="9"/>
  <c r="F35" i="9"/>
  <c r="C7" i="3" s="1"/>
  <c r="E35" i="9"/>
  <c r="C6" i="3" s="1"/>
  <c r="D35" i="9"/>
  <c r="C5" i="3" s="1"/>
  <c r="C35" i="9"/>
  <c r="C4" i="3" s="1"/>
  <c r="B35" i="9"/>
  <c r="AE35" i="9" s="1"/>
  <c r="AE34" i="9"/>
  <c r="AE33" i="9"/>
  <c r="AE32" i="9"/>
  <c r="AE31" i="9"/>
  <c r="AE30" i="9"/>
  <c r="AE29" i="9"/>
  <c r="AE28" i="9"/>
  <c r="AE27" i="9"/>
  <c r="AE26" i="9"/>
  <c r="AE25" i="9"/>
  <c r="AE24" i="9"/>
  <c r="AE23" i="9"/>
  <c r="AE22" i="9"/>
  <c r="AE21" i="9"/>
  <c r="AE20" i="9"/>
  <c r="AE19" i="9"/>
  <c r="AE18" i="9"/>
  <c r="AE17" i="9"/>
  <c r="AE16" i="9"/>
  <c r="AE15" i="9"/>
  <c r="AE14" i="9"/>
  <c r="AE13" i="9"/>
  <c r="AE12" i="9"/>
  <c r="AE11" i="9"/>
  <c r="AE10" i="9"/>
  <c r="AE9" i="9"/>
  <c r="AE8" i="9"/>
  <c r="AE7" i="9"/>
  <c r="AE6" i="9"/>
  <c r="AE5" i="9"/>
  <c r="AE4" i="9"/>
  <c r="I1" i="8"/>
  <c r="I1" i="7"/>
  <c r="I1" i="6"/>
  <c r="E36" i="4"/>
  <c r="D36" i="4"/>
  <c r="C36" i="4"/>
  <c r="B36" i="4"/>
  <c r="C36" i="3"/>
  <c r="C29" i="3"/>
  <c r="C13" i="3"/>
  <c r="C12" i="3"/>
  <c r="C11" i="3"/>
  <c r="C10" i="3"/>
  <c r="C9" i="3"/>
  <c r="C8" i="3"/>
  <c r="K9" i="2"/>
  <c r="J9" i="2"/>
  <c r="I9" i="2"/>
  <c r="H9" i="2"/>
  <c r="G9" i="2"/>
  <c r="F9" i="2"/>
  <c r="E9" i="2"/>
  <c r="D9" i="2"/>
  <c r="C9" i="2"/>
  <c r="B9" i="2"/>
  <c r="M8" i="2"/>
  <c r="L8" i="2"/>
  <c r="M7" i="2"/>
  <c r="L7" i="2"/>
  <c r="M6" i="2"/>
  <c r="L6" i="2"/>
  <c r="M5" i="2"/>
  <c r="L5" i="2"/>
  <c r="AH35" i="1"/>
  <c r="AG35" i="1"/>
  <c r="AF35" i="1"/>
  <c r="AE35" i="1"/>
  <c r="AD35" i="1"/>
  <c r="AA35" i="1"/>
  <c r="Z35" i="1"/>
  <c r="Y35" i="1"/>
  <c r="X35" i="1"/>
  <c r="W35" i="1"/>
  <c r="T35" i="1"/>
  <c r="S35" i="1"/>
  <c r="R35" i="1"/>
  <c r="Q35" i="1"/>
  <c r="P35" i="1"/>
  <c r="O35" i="1"/>
  <c r="G35" i="1"/>
  <c r="F35" i="1"/>
  <c r="E35" i="1"/>
  <c r="D35" i="1"/>
  <c r="C35" i="1"/>
  <c r="B35" i="1"/>
  <c r="M9" i="2" l="1"/>
  <c r="L9" i="2"/>
  <c r="C3" i="3"/>
  <c r="C39" i="3" s="1"/>
</calcChain>
</file>

<file path=xl/sharedStrings.xml><?xml version="1.0" encoding="utf-8"?>
<sst xmlns="http://schemas.openxmlformats.org/spreadsheetml/2006/main" count="723" uniqueCount="332">
  <si>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</si>
  <si>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</si>
  <si>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</si>
  <si>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</si>
  <si>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</si>
  <si>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</si>
  <si>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</si>
  <si>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</si>
  <si>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</si>
  <si>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</si>
  <si>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</si>
  <si>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</si>
  <si>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</si>
  <si>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</si>
  <si>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</si>
  <si>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</si>
  <si>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1 บิล (1-1=0)</t>
  </si>
  <si>
    <t>ยกเลิก 1 (3-1=2) 2 บิล ปิดไม่ได้ ขาดเปี๊ยะ ทุกรส ของไม่ออก</t>
  </si>
  <si>
    <t>8 บิล ขาดเปี๊ยะ ทุกรส ของไม่ออก</t>
  </si>
  <si>
    <t>ยกเลิก 1 (1-1=0)</t>
  </si>
  <si>
    <t>ค้าง 1 บิล ขาดเบาหวิว ของไม่ออก</t>
  </si>
  <si>
    <t>ยกเลิก 1 บิล ค้าง 13 บิล ขาดเบาหวิวคละรส ของไม่ออก</t>
  </si>
  <si>
    <t>ค้าง 1 บิล ขาดเปี๊ยะ</t>
  </si>
  <si>
    <t>ยกเลิก 2 บิล (9-2=7) ค้าง 7 บิล *ขาด เปี๊ยะ เบาหวิว</t>
  </si>
  <si>
    <t>ค้าง 6 บิล ขาดเปี๊ยะ ของไม่ออก</t>
  </si>
  <si>
    <t>ค้าง 6 บิล ขาดเปี๊ยะ และเบาหวิวกาแฟ ของไม่ออก</t>
  </si>
  <si>
    <t>ยกเลิก 2 บิล (24-2=22) ค้าง 22 บิล ขาดเปี๊ยะของไม่ออก</t>
  </si>
  <si>
    <t>ค้าง 19 บิล ขาดเปี๊ยะของไม่ออก</t>
  </si>
  <si>
    <t>แพคจบ ปณ. หยุด ไม่ได้เข้ารับ</t>
  </si>
  <si>
    <t>ยกเลิก 2 (2-2=0)</t>
  </si>
  <si>
    <t>ค้าง 3 บิล ขาดเปี๊ยะงาดำ ของไม่ออก</t>
  </si>
  <si>
    <t>ยกเลิก 3 (3-3=0)</t>
  </si>
  <si>
    <t>ยกเลิก 4 (60-4=56) บิลค้าง 56 บิล ขาดเบาหวิวทุกรส ของไม่พอ</t>
  </si>
  <si>
    <t>ยกเลิก 3 (5-3=2) บิลค้าง 2 บิล ขาด ปังพิซซ่า มินิบัน ชิฟฟอนไก่หยอง ของไม่ออก</t>
  </si>
  <si>
    <t>ค้าง 9 บิล ขาด ปังพิสซ่า มินิบัน ชิฟฟอนไก่หยอง ของไม่ออก</t>
  </si>
  <si>
    <t>ค้าง 1 บิล รอเบอร์โทรลูกค้า</t>
  </si>
  <si>
    <t>ยกเลิก 5 (5-5=0)</t>
  </si>
  <si>
    <t>บิลค้าง 5 บิล *ขาดปังพิสซ่า ของไม่ออก</t>
  </si>
  <si>
    <t>บิลค้าง 4 บิล *ขาดปังพิสซ่าของไม่ออก</t>
  </si>
  <si>
    <t>บิลค้าง 8 บิล *ปังพิสซ่า ไก่หยองพริกเผา</t>
  </si>
  <si>
    <t>บิลค้าง 10 บิล *ปังพิสซ่า ไก่หยองพริกเผา</t>
  </si>
  <si>
    <t>รวม</t>
  </si>
  <si>
    <t>สรุปรายการของตีกลับของช่องทางออนไลน์ เดือนมีนาคม 2569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</si>
  <si>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</si>
  <si>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</si>
  <si>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</si>
  <si>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</si>
  <si>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</si>
  <si>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</si>
  <si>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</si>
  <si>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</si>
  <si>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</si>
  <si>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</si>
  <si>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</si>
  <si>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</si>
  <si>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</si>
  <si>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</si>
  <si>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</si>
  <si>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</si>
  <si>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เดือนมีนาคม 69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</si>
  <si>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</si>
  <si>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</si>
  <si>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</si>
  <si>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</si>
  <si>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</si>
  <si>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</si>
  <si>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</si>
  <si>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</si>
  <si>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</si>
  <si>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</si>
  <si>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</si>
  <si>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</si>
  <si>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</si>
  <si>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</si>
  <si>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</si>
  <si>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</si>
  <si>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</si>
  <si>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</si>
  <si>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</si>
  <si>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</si>
  <si>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</si>
  <si>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</si>
  <si>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</si>
  <si>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</si>
  <si>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</si>
  <si>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</si>
  <si>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</si>
  <si>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</si>
  <si>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</si>
  <si>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</si>
  <si>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</si>
  <si>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</si>
  <si>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</si>
  <si>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</si>
  <si>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</si>
  <si>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</si>
  <si>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</si>
  <si>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ยอดรวม</t>
  </si>
  <si>
    <t>ชิ้น</t>
  </si>
  <si>
    <t>สรุปรายการสินค้าที่ตีกลับมานับเป็นจำนวน (กล่อง) เดือนมีนาคม 2569</t>
  </si>
  <si>
    <t>ของตีกลับ</t>
  </si>
  <si>
    <t>จำนวนกล่อง</t>
  </si>
  <si>
    <t>รายการของตีกลับช่องทาง LAZADA เดือนมีนาคม 2569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</si>
  <si>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</si>
  <si>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</si>
  <si>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</si>
  <si>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</si>
  <si>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</si>
  <si>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</si>
  <si>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</si>
  <si>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</si>
  <si>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</si>
  <si>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</si>
  <si>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</si>
  <si>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</si>
  <si>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</si>
  <si>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1087036732966013</t>
  </si>
  <si>
    <t>LEXPU0662518508</t>
  </si>
  <si>
    <t>LEX TH</t>
  </si>
  <si>
    <t>วรรณวนัช (0944831646)ร้าน 3</t>
  </si>
  <si>
    <t>ศิริวรรณ</t>
  </si>
  <si>
    <t>เจริญดี</t>
  </si>
  <si>
    <t>วรรณวนัช เบเกอรี่ (ร้านที่ 1 ร้านหลัก)</t>
  </si>
  <si>
    <t>1080428490724023</t>
  </si>
  <si>
    <t>LEXPU0664503546</t>
  </si>
  <si>
    <t>ภูผา</t>
  </si>
  <si>
    <t>ของฝากวรรณวนัช (cakewanwanach.lzd)</t>
  </si>
  <si>
    <t>Flash Express Thailand</t>
  </si>
  <si>
    <t>1079016837968444</t>
  </si>
  <si>
    <t>LEXPU0662576121</t>
  </si>
  <si>
    <t>ธนกฤต</t>
  </si>
  <si>
    <t>เงินถ้วน</t>
  </si>
  <si>
    <t>วรรณวนัช ชิฟฟ่อน (chiffonlazada)</t>
  </si>
  <si>
    <t>Kerry_dropoff</t>
  </si>
  <si>
    <t>1086019194353575</t>
  </si>
  <si>
    <t>LEXPU0661369635</t>
  </si>
  <si>
    <t>โชคชัยตั้งพงษ์จำเริญ</t>
  </si>
  <si>
    <t>ลูกค้าแจ้งว่าไม่ได้สั่ง</t>
  </si>
  <si>
    <t>19/3/2569</t>
  </si>
  <si>
    <t>1090528787865523</t>
  </si>
  <si>
    <t>LEXPU0667338697</t>
  </si>
  <si>
    <t>อุมา</t>
  </si>
  <si>
    <t>นุชหมอน</t>
  </si>
  <si>
    <t>ชิฟฟ่อน กำแพงแสน (chiffonk.kps) ร้าน 6</t>
  </si>
  <si>
    <t>22/3/2569</t>
  </si>
  <si>
    <t>1090876909312542</t>
  </si>
  <si>
    <t>LEXPU0668043403</t>
  </si>
  <si>
    <t>วราภรณ์</t>
  </si>
  <si>
    <t>ชะเวียตะคุ</t>
  </si>
  <si>
    <t>วรรณวนัช ของอร่อย (cakewanwanach.kps) ร้าน 8</t>
  </si>
  <si>
    <t>23/3/69</t>
  </si>
  <si>
    <t>1090465507232339</t>
  </si>
  <si>
    <t>LEXPU0667332536</t>
  </si>
  <si>
    <t>ถิระธนา</t>
  </si>
  <si>
    <t>วรรณรัตน์</t>
  </si>
  <si>
    <t>ของฝาก นครปฐม (khongfhak.kps)</t>
  </si>
  <si>
    <t>1082362887132339</t>
  </si>
  <si>
    <t>LEXPU0667421991</t>
  </si>
  <si>
    <t>วรรณวนัช ไทยแลนด์ (chiffon.kps)</t>
  </si>
  <si>
    <t>ของอร่อยกำแพงแสน (kahnomcake.lzd)ร้าน 9</t>
  </si>
  <si>
    <t>ชิฟฟ่อน เบเกอรี่ (wanwanachcake)ร้าน 10</t>
  </si>
  <si>
    <t>รายการของตีกลับช่องทาง SHOPEE เดือนมีนาคม 2569</t>
  </si>
  <si>
    <t>260226QAXAPQD0</t>
  </si>
  <si>
    <t>TH265354556583I</t>
  </si>
  <si>
    <t>SPX Express</t>
  </si>
  <si>
    <t>ร้านที่ 1</t>
  </si>
  <si>
    <t>2603059VJBAJPR</t>
  </si>
  <si>
    <t>TH30048EVXST7I</t>
  </si>
  <si>
    <t>ร้านที่ 2</t>
  </si>
  <si>
    <t>260307H8U6G932</t>
  </si>
  <si>
    <t>TH269519118585Y</t>
  </si>
  <si>
    <t>15/3/2569</t>
  </si>
  <si>
    <t>260308KRXUEUMD</t>
  </si>
  <si>
    <t>TH2620483405266</t>
  </si>
  <si>
    <t>J&amp;T</t>
  </si>
  <si>
    <t>15/3/2570</t>
  </si>
  <si>
    <t>260311STVQU3AQ</t>
  </si>
  <si>
    <t>TH269105667383P</t>
  </si>
  <si>
    <t xml:space="preserve">** NOTE </t>
  </si>
  <si>
    <t>ชื่อลูกค้า ไม่มีในข้อมูล Shopee</t>
  </si>
  <si>
    <t>รายการของตีกลับช่องทาง TikTok เดือนมีนาคม 2569</t>
  </si>
  <si>
    <t>582764106280502451</t>
  </si>
  <si>
    <t>792232958602</t>
  </si>
  <si>
    <t>J&amp;T Express</t>
  </si>
  <si>
    <t>วรรณวนัชเบเกอรี่ (พี่กุ๊ก)</t>
  </si>
  <si>
    <t>ปฏิเสธ</t>
  </si>
  <si>
    <t>582774387214485490</t>
  </si>
  <si>
    <t>792263196093</t>
  </si>
  <si>
    <t>วรรณวนัช เบเกอรี่ (แอม)</t>
  </si>
  <si>
    <t>582753777314727026</t>
  </si>
  <si>
    <t>792177391014</t>
  </si>
  <si>
    <t>วรรณวนัช โรงงานจำหน่ายโดยตรง (นุ่น)</t>
  </si>
  <si>
    <t>582709299491931268</t>
  </si>
  <si>
    <t>792046079764</t>
  </si>
  <si>
    <t>ของฝากวรรณวนัช By:แอดอั้ม (อั้ม)</t>
  </si>
  <si>
    <t>582773812778533955</t>
  </si>
  <si>
    <t>792374626153</t>
  </si>
  <si>
    <t>เกินเวลานัดรับพัสดุ</t>
  </si>
  <si>
    <t>ชิฟฟ่อนเค้กวรรณวนัช (พี่เอฟ)</t>
  </si>
  <si>
    <t>582793928442808215</t>
  </si>
  <si>
    <t>792378665691</t>
  </si>
  <si>
    <t>เบอร์ผิด</t>
  </si>
  <si>
    <t>582783396804200226</t>
  </si>
  <si>
    <t>792298179035</t>
  </si>
  <si>
    <t>582856457971205159</t>
  </si>
  <si>
    <t>792536555495</t>
  </si>
  <si>
    <t>582851359220860251</t>
  </si>
  <si>
    <t>792559368403</t>
  </si>
  <si>
    <t>582798740460176995</t>
  </si>
  <si>
    <t>792389315664</t>
  </si>
  <si>
    <t>582851351936730459</t>
  </si>
  <si>
    <t>792561860473</t>
  </si>
  <si>
    <t>582815321285232182</t>
  </si>
  <si>
    <t>792426596275</t>
  </si>
  <si>
    <t>582847219098551643</t>
  </si>
  <si>
    <t>792573549423</t>
  </si>
  <si>
    <t>582788689343121050</t>
  </si>
  <si>
    <t>792323946212</t>
  </si>
  <si>
    <t>582817404945925445</t>
  </si>
  <si>
    <t>792420740355</t>
  </si>
  <si>
    <t>582775971712304194</t>
  </si>
  <si>
    <t>792285186033</t>
  </si>
  <si>
    <t>582887848378664550</t>
  </si>
  <si>
    <t>792673802896</t>
  </si>
  <si>
    <t>582887830868035174</t>
  </si>
  <si>
    <t>792636105800</t>
  </si>
  <si>
    <t>582823717875255179</t>
  </si>
  <si>
    <t>792496258433</t>
  </si>
  <si>
    <t>582828818482693999</t>
  </si>
  <si>
    <t>792475067856</t>
  </si>
  <si>
    <t>582892406647522520</t>
  </si>
  <si>
    <t>792692139024</t>
  </si>
  <si>
    <t>582940797257222020</t>
  </si>
  <si>
    <t>792864039590</t>
  </si>
  <si>
    <t>582848113500194674</t>
  </si>
  <si>
    <t>792518289404</t>
  </si>
  <si>
    <t>582964436574635447</t>
  </si>
  <si>
    <t>792995491142</t>
  </si>
  <si>
    <t>582977055275911137</t>
  </si>
  <si>
    <t>792940730794</t>
  </si>
  <si>
    <t>18/3/2569</t>
  </si>
  <si>
    <t>582953934471858135</t>
  </si>
  <si>
    <t>792968299196</t>
  </si>
  <si>
    <t>582974677448426980</t>
  </si>
  <si>
    <t>792961920774</t>
  </si>
  <si>
    <t>20/3/2569</t>
  </si>
  <si>
    <t>583059587749938673</t>
  </si>
  <si>
    <t>793288985484</t>
  </si>
  <si>
    <t>583087197042673640</t>
  </si>
  <si>
    <t>793312218193</t>
  </si>
  <si>
    <t>583094177653425921</t>
  </si>
  <si>
    <t>793386582612</t>
  </si>
  <si>
    <t>24/3/2569</t>
  </si>
  <si>
    <t>583165318212716221</t>
  </si>
  <si>
    <t>793676953436</t>
  </si>
  <si>
    <t>583097275166852728</t>
  </si>
  <si>
    <t>793301115843</t>
  </si>
  <si>
    <t>583121739372463460</t>
  </si>
  <si>
    <t>793493663896</t>
  </si>
  <si>
    <t>583135127952000389</t>
  </si>
  <si>
    <t>793529050300</t>
  </si>
  <si>
    <t>583117188267738123</t>
  </si>
  <si>
    <t>793487882353</t>
  </si>
  <si>
    <t>583165325114836669</t>
  </si>
  <si>
    <t>793689550463</t>
  </si>
  <si>
    <t>26/3/2569</t>
  </si>
  <si>
    <t>583171978473801323</t>
  </si>
  <si>
    <t>793667083856</t>
  </si>
  <si>
    <t>583153637147182309</t>
  </si>
  <si>
    <t>793508018940</t>
  </si>
  <si>
    <t>27/3/2569</t>
  </si>
  <si>
    <t>583183860837877437</t>
  </si>
  <si>
    <t>793734424652</t>
  </si>
  <si>
    <t>583164921498141858</t>
  </si>
  <si>
    <t>793624039493</t>
  </si>
  <si>
    <t>29/3/2569</t>
  </si>
  <si>
    <t>583197891658024389</t>
  </si>
  <si>
    <t>793827929182</t>
  </si>
  <si>
    <t>583194481419978098</t>
  </si>
  <si>
    <t>793740108781</t>
  </si>
  <si>
    <t>583222581700626293</t>
  </si>
  <si>
    <t>793863296715</t>
  </si>
  <si>
    <t>30/3/2569</t>
  </si>
  <si>
    <t>583172029757490391</t>
  </si>
  <si>
    <t>793629480803</t>
  </si>
  <si>
    <t>583186466109949264</t>
  </si>
  <si>
    <t>793702937694</t>
  </si>
  <si>
    <t>31/3/2569</t>
  </si>
  <si>
    <t>583241286883378860</t>
  </si>
  <si>
    <t>793925382725</t>
  </si>
  <si>
    <t>583218370472150196</t>
  </si>
  <si>
    <t>793817990615</t>
  </si>
  <si>
    <t>583313664859015153</t>
  </si>
  <si>
    <t>-</t>
  </si>
  <si>
    <t>รายการของตีกลับช่องทาง Facebook , Facebook Live , Line , Line OA (ไปรษณีย์) เดือนมีนาคม 2569</t>
  </si>
  <si>
    <t>GVM92</t>
  </si>
  <si>
    <t>WA095601113TH</t>
  </si>
  <si>
    <t>ไปรษณีย์ไทย</t>
  </si>
  <si>
    <t>Facebook</t>
  </si>
  <si>
    <t>พี่เจี๊ยบ</t>
  </si>
  <si>
    <t>เกินเวลานัดรับ</t>
  </si>
  <si>
    <t>GVX32</t>
  </si>
  <si>
    <t>WA097150853TH</t>
  </si>
  <si>
    <t>วชิ</t>
  </si>
  <si>
    <t>Facebook Live</t>
  </si>
  <si>
    <t>GXB33</t>
  </si>
  <si>
    <t>WA107827880TH</t>
  </si>
  <si>
    <t>แมวเหมียว</t>
  </si>
  <si>
    <t>Line</t>
  </si>
  <si>
    <t>GWZ25</t>
  </si>
  <si>
    <t>WA107604627TH</t>
  </si>
  <si>
    <t>ส่งร้านครัวเม็ดทราย</t>
  </si>
  <si>
    <t>Line OA</t>
  </si>
  <si>
    <t>23/3/2569</t>
  </si>
  <si>
    <t>GXB82</t>
  </si>
  <si>
    <t>WA107827805TH</t>
  </si>
  <si>
    <t>วิศิษฐ์</t>
  </si>
  <si>
    <t>ธรรมศรีสวัสดิ์</t>
  </si>
  <si>
    <t>ลูกค้าตีกลับ เนื่องจาก มดขึ้นขนม ขนมมีรสฟาดเฟื่อน</t>
  </si>
  <si>
    <t>Phone</t>
  </si>
  <si>
    <t>25/3/2569</t>
  </si>
  <si>
    <t>GXP52</t>
  </si>
  <si>
    <t>WA109567737TH</t>
  </si>
  <si>
    <t xml:space="preserve">น.ส. กาญจนา </t>
  </si>
  <si>
    <t>อิ่มมา</t>
  </si>
  <si>
    <t>รายการสินค้าที่ตีกลับมารวมทุกช่องทางขายออนไลน์ เดือนมีนาคม 2569</t>
  </si>
  <si>
    <t>สินค้าที่ตีกลับ</t>
  </si>
  <si>
    <t>ยอดรวม/วัน (ทุกรายการ)</t>
  </si>
  <si>
    <t>ชิฟฟอนไส้ 3 ชิ้น</t>
  </si>
  <si>
    <t>เบาหวิว ญ</t>
  </si>
  <si>
    <t>ปังพิซซ่า</t>
  </si>
  <si>
    <t>คุกกี้ฮ่องกง(ชิ้น)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</si>
</sst>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m/d/yyyy"/>
  </numFmts>
  <fonts count="19" x14ac:knownFonts="1">
    <font>
      <sz val="11"/>
      <color theme="1"/>
      <name val="Calibri"/>
      <scheme val="minor"/>
    </font>
    <font>
      <b/>
      <sz val="18"/>
      <color theme="1"/>
      <name val="Angsana New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b/>
      <sz val="16"/>
      <color rgb="FF6600CC"/>
      <name val="Angsana New"/>
      <family val="1"/>
    </font>
    <font>
      <b/>
      <sz val="16"/>
      <color rgb="FFFF0000"/>
      <name val="Angsana New"/>
      <family val="1"/>
    </font>
    <font>
      <b/>
      <sz val="20"/>
      <color theme="1"/>
      <name val="Angsana New"/>
      <family val="1"/>
    </font>
    <font>
      <b/>
      <sz val="20"/>
      <color rgb="FF0000FF"/>
      <name val="Angsana New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6"/>
      <color rgb="FFFF0000"/>
      <name val="Angsana New"/>
      <family val="1"/>
    </font>
    <font>
      <sz val="22"/>
      <color theme="1"/>
      <name val="Angsana New"/>
      <family val="1"/>
    </font>
    <font>
      <b/>
      <sz val="10"/>
      <color theme="1"/>
      <name val="Arial"/>
      <family val="2"/>
    </font>
    <font>
      <b/>
      <sz val="18"/>
      <color rgb="FF0000FF"/>
      <name val="Angsana New"/>
      <family val="1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0" xfId="0" applyFont="1"/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24" xfId="0" applyFont="1" applyFill="1" applyBorder="1" applyAlignment="1">
      <alignment horizontal="center" vertical="center" wrapText="1"/>
    </xf>
    <xf numFmtId="0" fontId="1" fillId="13" borderId="24" xfId="0" applyFont="1" applyFill="1" applyBorder="1" applyAlignment="1">
      <alignment horizontal="center" vertical="center" wrapText="1"/>
    </xf>
    <xf numFmtId="0" fontId="1" fillId="14" borderId="24" xfId="0" applyFont="1" applyFill="1" applyBorder="1" applyAlignment="1">
      <alignment horizontal="center" vertical="center" wrapText="1"/>
    </xf>
    <xf numFmtId="0" fontId="1" fillId="15" borderId="24" xfId="0" applyFont="1" applyFill="1" applyBorder="1" applyAlignment="1">
      <alignment horizontal="center" vertical="center" wrapText="1"/>
    </xf>
    <xf numFmtId="0" fontId="1" fillId="16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 wrapText="1"/>
    </xf>
    <xf numFmtId="187" fontId="6" fillId="0" borderId="24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187" fontId="7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187" fontId="8" fillId="0" borderId="24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87" fontId="9" fillId="0" borderId="24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187" fontId="10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87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5" xfId="0" applyFont="1" applyBorder="1" applyAlignment="1">
      <alignment horizontal="center"/>
    </xf>
    <xf numFmtId="187" fontId="1" fillId="0" borderId="25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2" fillId="0" borderId="2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19" borderId="13" xfId="0" applyFont="1" applyFill="1" applyBorder="1" applyAlignment="1">
      <alignment horizontal="center" wrapText="1"/>
    </xf>
    <xf numFmtId="0" fontId="5" fillId="20" borderId="13" xfId="0" applyFont="1" applyFill="1" applyBorder="1" applyAlignment="1">
      <alignment horizontal="center" wrapText="1"/>
    </xf>
    <xf numFmtId="0" fontId="5" fillId="21" borderId="13" xfId="0" applyFont="1" applyFill="1" applyBorder="1" applyAlignment="1">
      <alignment horizontal="center" wrapText="1"/>
    </xf>
    <xf numFmtId="0" fontId="5" fillId="22" borderId="13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right"/>
    </xf>
    <xf numFmtId="0" fontId="5" fillId="0" borderId="26" xfId="0" applyFont="1" applyBorder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87" fontId="1" fillId="0" borderId="2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19" borderId="27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5" fillId="19" borderId="28" xfId="0" applyFont="1" applyFill="1" applyBorder="1" applyAlignment="1">
      <alignment horizontal="center" vertical="center"/>
    </xf>
    <xf numFmtId="49" fontId="5" fillId="19" borderId="24" xfId="0" applyNumberFormat="1" applyFont="1" applyFill="1" applyBorder="1" applyAlignment="1">
      <alignment horizontal="center" vertical="center"/>
    </xf>
    <xf numFmtId="0" fontId="5" fillId="19" borderId="24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 wrapText="1"/>
    </xf>
    <xf numFmtId="18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5" fillId="23" borderId="13" xfId="0" applyFont="1" applyFill="1" applyBorder="1" applyAlignment="1">
      <alignment horizontal="center" vertical="center"/>
    </xf>
    <xf numFmtId="14" fontId="15" fillId="23" borderId="13" xfId="0" applyNumberFormat="1" applyFont="1" applyFill="1" applyBorder="1" applyAlignment="1">
      <alignment horizontal="center" vertical="center"/>
    </xf>
    <xf numFmtId="49" fontId="15" fillId="23" borderId="13" xfId="0" applyNumberFormat="1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" fillId="10" borderId="2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" fillId="15" borderId="24" xfId="0" applyFont="1" applyFill="1" applyBorder="1" applyAlignment="1">
      <alignment vertical="center"/>
    </xf>
    <xf numFmtId="0" fontId="5" fillId="15" borderId="24" xfId="0" applyFont="1" applyFill="1" applyBorder="1" applyAlignment="1">
      <alignment horizontal="center"/>
    </xf>
    <xf numFmtId="0" fontId="5" fillId="15" borderId="31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right" vertical="center"/>
    </xf>
    <xf numFmtId="187" fontId="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20" borderId="32" xfId="0" applyFont="1" applyFill="1" applyBorder="1" applyAlignment="1">
      <alignment horizontal="center"/>
    </xf>
    <xf numFmtId="187" fontId="1" fillId="11" borderId="16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3" xfId="0" applyFont="1" applyBorder="1"/>
    <xf numFmtId="0" fontId="1" fillId="12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" fillId="13" borderId="21" xfId="0" applyFont="1" applyFill="1" applyBorder="1" applyAlignment="1">
      <alignment horizontal="center" vertical="center" wrapText="1"/>
    </xf>
    <xf numFmtId="0" fontId="1" fillId="16" borderId="21" xfId="0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0" fontId="2" fillId="0" borderId="15" xfId="0" applyFont="1" applyBorder="1"/>
    <xf numFmtId="0" fontId="1" fillId="11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1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wrapText="1"/>
    </xf>
    <xf numFmtId="49" fontId="5" fillId="19" borderId="21" xfId="0" applyNumberFormat="1" applyFont="1" applyFill="1" applyBorder="1" applyAlignment="1">
      <alignment horizontal="center" vertical="center"/>
    </xf>
    <xf numFmtId="0" fontId="5" fillId="20" borderId="33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 vertical="center"/>
    </xf>
    <xf numFmtId="0" fontId="5" fillId="15" borderId="33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20" borderId="32" xfId="0" applyFont="1" applyFill="1" applyBorder="1" applyAlignment="1">
      <alignment horizontal="center"/>
    </xf>
    <xf numFmtId="0" fontId="2" fillId="0" borderId="32" xfId="0" applyFont="1" applyBorder="1"/>
    <xf numFmtId="0" fontId="5" fillId="21" borderId="27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5" fillId="21" borderId="21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vertical="center"/>
    </xf>
    <xf numFmtId="0" fontId="2" fillId="0" borderId="30" xfId="0" applyFont="1" applyBorder="1"/>
    <xf numFmtId="0" fontId="18" fillId="12" borderId="16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H1000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M6" sqref="M6"/>
    </sheetView>
  </sheetViews>
  <sheetFormatPr defaultColWidth="14.44140625" defaultRowHeight="14.4" x14ac:dyDescent="0.3"/>
  <cols>
    <col min="1" max="1" width="5.21875" bestFit="1" customWidth="1"/>
    <col min="2" max="2" width="7.21875" bestFit="1" customWidth="1"/>
    <col min="3" max="3" width="7" bestFit="1" customWidth="1"/>
    <col min="4" max="4" width="7.44140625" bestFit="1" customWidth="1"/>
    <col min="5" max="5" width="8.77734375" bestFit="1" customWidth="1"/>
    <col min="6" max="6" width="6.77734375" bestFit="1" customWidth="1"/>
    <col min="7" max="7" width="7" bestFit="1" customWidth="1"/>
    <col min="8" max="8" width="6.21875" bestFit="1" customWidth="1"/>
    <col min="9" max="9" width="7.5546875" bestFit="1" customWidth="1"/>
    <col min="10" max="10" width="4.33203125" bestFit="1" customWidth="1"/>
    <col min="11" max="11" width="7" bestFit="1" customWidth="1"/>
    <col min="12" max="12" width="7.109375" bestFit="1" customWidth="1"/>
    <col min="13" max="13" width="8.88671875" customWidth="1"/>
    <col min="14" max="14" width="5.21875" bestFit="1" customWidth="1"/>
    <col min="15" max="15" width="7.21875" bestFit="1" customWidth="1"/>
    <col min="16" max="16" width="7.44140625" bestFit="1" customWidth="1"/>
    <col min="17" max="17" width="6.77734375" bestFit="1" customWidth="1"/>
    <col min="18" max="18" width="6.21875" bestFit="1" customWidth="1"/>
    <col min="19" max="19" width="4.33203125" bestFit="1" customWidth="1"/>
    <col min="20" max="20" width="7.109375" bestFit="1" customWidth="1"/>
    <col min="21" max="21" width="8.88671875" customWidth="1"/>
    <col min="22" max="22" width="5.21875" bestFit="1" customWidth="1"/>
    <col min="23" max="23" width="7.21875" bestFit="1" customWidth="1"/>
    <col min="24" max="24" width="7.44140625" bestFit="1" customWidth="1"/>
    <col min="25" max="25" width="6.77734375" bestFit="1" customWidth="1"/>
    <col min="26" max="26" width="6.21875" bestFit="1" customWidth="1"/>
    <col min="27" max="27" width="4.21875" bestFit="1" customWidth="1"/>
    <col min="28" max="28" width="8.88671875" customWidth="1"/>
    <col min="29" max="29" width="4.77734375" bestFit="1" customWidth="1"/>
    <col min="30" max="31" width="8.109375" bestFit="1" customWidth="1"/>
    <col min="32" max="32" width="8.33203125" bestFit="1" customWidth="1"/>
    <col min="33" max="33" width="6.21875" bestFit="1" customWidth="1"/>
    <col min="34" max="34" width="8.88671875" customWidth="1"/>
  </cols>
  <sheetData>
    <row r="1" spans="1:34" ht="26.4" x14ac:dyDescent="0.3">
      <c r="A1" s="126" t="s">
        <v>0</v>
      </c>
      <c r="B1" s="129" t="s">
        <v>1</v>
      </c>
      <c r="C1" s="130"/>
      <c r="D1" s="130"/>
      <c r="E1" s="130"/>
      <c r="F1" s="130"/>
      <c r="G1" s="130"/>
      <c r="H1" s="130"/>
      <c r="I1" s="130"/>
      <c r="J1" s="130"/>
      <c r="K1" s="130"/>
      <c r="L1" s="131"/>
      <c r="M1" s="1"/>
      <c r="N1" s="135" t="s">
        <v>2</v>
      </c>
      <c r="O1" s="123"/>
      <c r="P1" s="123"/>
      <c r="Q1" s="123"/>
      <c r="R1" s="123"/>
      <c r="S1" s="123"/>
      <c r="T1" s="124"/>
      <c r="U1" s="1"/>
      <c r="V1" s="122" t="s">
        <v>3</v>
      </c>
      <c r="W1" s="123"/>
      <c r="X1" s="123"/>
      <c r="Y1" s="123"/>
      <c r="Z1" s="123"/>
      <c r="AA1" s="124"/>
      <c r="AB1" s="2"/>
      <c r="AC1" s="125" t="s">
        <v>4</v>
      </c>
      <c r="AD1" s="123"/>
      <c r="AE1" s="123"/>
      <c r="AF1" s="123"/>
      <c r="AG1" s="123"/>
      <c r="AH1" s="124"/>
    </row>
    <row r="2" spans="1:34" ht="26.4" x14ac:dyDescent="0.3">
      <c r="A2" s="127"/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4"/>
      <c r="M2" s="1"/>
      <c r="N2" s="136" t="s">
        <v>0</v>
      </c>
      <c r="O2" s="135" t="s">
        <v>1</v>
      </c>
      <c r="P2" s="123"/>
      <c r="Q2" s="123"/>
      <c r="R2" s="123"/>
      <c r="S2" s="123"/>
      <c r="T2" s="124"/>
      <c r="U2" s="1"/>
      <c r="V2" s="137" t="s">
        <v>0</v>
      </c>
      <c r="W2" s="122" t="s">
        <v>1</v>
      </c>
      <c r="X2" s="123"/>
      <c r="Y2" s="123"/>
      <c r="Z2" s="123"/>
      <c r="AA2" s="124"/>
      <c r="AB2" s="2"/>
      <c r="AC2" s="138" t="s">
        <v>0</v>
      </c>
      <c r="AD2" s="125" t="s">
        <v>1</v>
      </c>
      <c r="AE2" s="123"/>
      <c r="AF2" s="123"/>
      <c r="AG2" s="123"/>
      <c r="AH2" s="124"/>
    </row>
    <row r="3" spans="1:34" ht="79.2" x14ac:dyDescent="0.3">
      <c r="A3" s="128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128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128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128"/>
      <c r="AD3" s="3" t="s">
        <v>5</v>
      </c>
      <c r="AE3" s="4" t="s">
        <v>7</v>
      </c>
      <c r="AF3" s="5" t="s">
        <v>9</v>
      </c>
      <c r="AG3" s="6" t="s">
        <v>11</v>
      </c>
      <c r="AH3" s="7" t="s">
        <v>13</v>
      </c>
    </row>
    <row r="4" spans="1:34" ht="234" x14ac:dyDescent="0.3">
      <c r="A4" s="9">
        <v>1</v>
      </c>
      <c r="B4" s="9">
        <v>17</v>
      </c>
      <c r="C4" s="9">
        <v>0</v>
      </c>
      <c r="D4" s="9">
        <v>26</v>
      </c>
      <c r="E4" s="9">
        <v>1</v>
      </c>
      <c r="F4" s="9">
        <v>92</v>
      </c>
      <c r="G4" s="9">
        <v>0</v>
      </c>
      <c r="H4" s="9"/>
      <c r="I4" s="9"/>
      <c r="J4" s="9">
        <v>22</v>
      </c>
      <c r="K4" s="9">
        <v>0</v>
      </c>
      <c r="L4" s="9">
        <v>0</v>
      </c>
      <c r="M4" s="2"/>
      <c r="N4" s="9">
        <v>1</v>
      </c>
      <c r="O4" s="9">
        <v>17</v>
      </c>
      <c r="P4" s="9">
        <v>25</v>
      </c>
      <c r="Q4" s="9">
        <v>89</v>
      </c>
      <c r="R4" s="9"/>
      <c r="S4" s="9">
        <v>14</v>
      </c>
      <c r="T4" s="9">
        <v>0</v>
      </c>
      <c r="U4" s="2"/>
      <c r="V4" s="9">
        <v>1</v>
      </c>
      <c r="W4" s="9">
        <v>0</v>
      </c>
      <c r="X4" s="9">
        <v>0</v>
      </c>
      <c r="Y4" s="9">
        <v>2</v>
      </c>
      <c r="Z4" s="9"/>
      <c r="AA4" s="9">
        <v>8</v>
      </c>
      <c r="AB4" s="2"/>
      <c r="AC4" s="9">
        <v>1</v>
      </c>
      <c r="AD4" s="2"/>
      <c r="AE4" s="9" t="s">
        <v>16</v>
      </c>
      <c r="AF4" s="2" t="s">
        <v>17</v>
      </c>
      <c r="AG4" s="2"/>
      <c r="AH4" s="2" t="s">
        <v>18</v>
      </c>
    </row>
    <row r="5" spans="1:34" ht="46.8" x14ac:dyDescent="0.3">
      <c r="A5" s="9">
        <v>2</v>
      </c>
      <c r="B5" s="9">
        <v>19</v>
      </c>
      <c r="C5" s="9">
        <v>0</v>
      </c>
      <c r="D5" s="9">
        <v>59</v>
      </c>
      <c r="E5" s="9">
        <v>0</v>
      </c>
      <c r="F5" s="9">
        <v>126</v>
      </c>
      <c r="G5" s="9">
        <v>5</v>
      </c>
      <c r="H5" s="9"/>
      <c r="I5" s="9"/>
      <c r="J5" s="9">
        <v>25</v>
      </c>
      <c r="K5" s="9">
        <v>8</v>
      </c>
      <c r="L5" s="9">
        <v>2</v>
      </c>
      <c r="M5" s="2"/>
      <c r="N5" s="9">
        <v>2</v>
      </c>
      <c r="O5" s="9">
        <v>19</v>
      </c>
      <c r="P5" s="9">
        <v>59</v>
      </c>
      <c r="Q5" s="9">
        <v>127</v>
      </c>
      <c r="R5" s="9"/>
      <c r="S5" s="9">
        <v>33</v>
      </c>
      <c r="T5" s="9">
        <v>2</v>
      </c>
      <c r="U5" s="2"/>
      <c r="V5" s="9">
        <v>2</v>
      </c>
      <c r="W5" s="9">
        <v>0</v>
      </c>
      <c r="X5" s="9">
        <v>0</v>
      </c>
      <c r="Y5" s="9">
        <v>0</v>
      </c>
      <c r="Z5" s="9"/>
      <c r="AA5" s="9">
        <v>0</v>
      </c>
      <c r="AB5" s="2"/>
      <c r="AC5" s="9">
        <v>2</v>
      </c>
      <c r="AD5" s="2"/>
      <c r="AE5" s="2"/>
      <c r="AF5" s="9" t="s">
        <v>19</v>
      </c>
      <c r="AG5" s="2"/>
      <c r="AH5" s="2"/>
    </row>
    <row r="6" spans="1:34" ht="23.4" x14ac:dyDescent="0.6">
      <c r="A6" s="9">
        <v>3</v>
      </c>
      <c r="B6" s="9">
        <v>31</v>
      </c>
      <c r="C6" s="9">
        <v>0</v>
      </c>
      <c r="D6" s="9">
        <v>45</v>
      </c>
      <c r="E6" s="9">
        <v>0</v>
      </c>
      <c r="F6" s="9">
        <v>135</v>
      </c>
      <c r="G6" s="9">
        <v>0</v>
      </c>
      <c r="H6" s="9"/>
      <c r="I6" s="9"/>
      <c r="J6" s="9">
        <v>7</v>
      </c>
      <c r="K6" s="9">
        <v>0</v>
      </c>
      <c r="L6" s="9">
        <v>20</v>
      </c>
      <c r="M6" s="2"/>
      <c r="N6" s="9">
        <v>3</v>
      </c>
      <c r="O6" s="9">
        <v>31</v>
      </c>
      <c r="P6" s="9">
        <v>45</v>
      </c>
      <c r="Q6" s="9">
        <v>135</v>
      </c>
      <c r="R6" s="9"/>
      <c r="S6" s="9">
        <v>7</v>
      </c>
      <c r="T6" s="9">
        <v>20</v>
      </c>
      <c r="U6" s="2"/>
      <c r="V6" s="9">
        <v>3</v>
      </c>
      <c r="W6" s="9">
        <v>0</v>
      </c>
      <c r="X6" s="9">
        <v>0</v>
      </c>
      <c r="Y6" s="9">
        <v>0</v>
      </c>
      <c r="Z6" s="9"/>
      <c r="AA6" s="9">
        <v>0</v>
      </c>
      <c r="AB6" s="2"/>
      <c r="AC6" s="9">
        <v>3</v>
      </c>
      <c r="AD6" s="9"/>
      <c r="AE6" s="9"/>
      <c r="AF6" s="10"/>
      <c r="AG6" s="2"/>
      <c r="AH6" s="2"/>
    </row>
    <row r="7" spans="1:34" ht="210.6" x14ac:dyDescent="0.6">
      <c r="A7" s="9">
        <v>4</v>
      </c>
      <c r="B7" s="9">
        <v>24</v>
      </c>
      <c r="C7" s="9">
        <v>0</v>
      </c>
      <c r="D7" s="9">
        <v>37</v>
      </c>
      <c r="E7" s="9">
        <v>0</v>
      </c>
      <c r="F7" s="9">
        <v>159</v>
      </c>
      <c r="G7" s="9">
        <v>0</v>
      </c>
      <c r="H7" s="9"/>
      <c r="I7" s="9"/>
      <c r="J7" s="9">
        <v>4</v>
      </c>
      <c r="K7" s="9">
        <v>0</v>
      </c>
      <c r="L7" s="9">
        <v>6</v>
      </c>
      <c r="M7" s="2"/>
      <c r="N7" s="9">
        <v>4</v>
      </c>
      <c r="O7" s="9">
        <v>24</v>
      </c>
      <c r="P7" s="9">
        <v>36</v>
      </c>
      <c r="Q7" s="9">
        <v>145</v>
      </c>
      <c r="R7" s="9"/>
      <c r="S7" s="9">
        <v>4</v>
      </c>
      <c r="T7" s="9">
        <v>6</v>
      </c>
      <c r="U7" s="2"/>
      <c r="V7" s="9">
        <v>4</v>
      </c>
      <c r="W7" s="9">
        <v>0</v>
      </c>
      <c r="X7" s="9">
        <v>1</v>
      </c>
      <c r="Y7" s="9">
        <v>13</v>
      </c>
      <c r="Z7" s="9"/>
      <c r="AA7" s="9">
        <v>0</v>
      </c>
      <c r="AB7" s="2"/>
      <c r="AC7" s="9">
        <v>4</v>
      </c>
      <c r="AD7" s="9"/>
      <c r="AE7" s="9" t="s">
        <v>20</v>
      </c>
      <c r="AF7" s="10" t="s">
        <v>21</v>
      </c>
      <c r="AG7" s="2"/>
      <c r="AH7" s="2"/>
    </row>
    <row r="8" spans="1:34" ht="46.8" x14ac:dyDescent="0.3">
      <c r="A8" s="9">
        <v>5</v>
      </c>
      <c r="B8" s="9">
        <v>16</v>
      </c>
      <c r="C8" s="9">
        <v>0</v>
      </c>
      <c r="D8" s="9">
        <v>37</v>
      </c>
      <c r="E8" s="9">
        <v>1</v>
      </c>
      <c r="F8" s="9">
        <v>87</v>
      </c>
      <c r="G8" s="9">
        <v>13</v>
      </c>
      <c r="H8" s="9"/>
      <c r="I8" s="9"/>
      <c r="J8" s="9">
        <v>2</v>
      </c>
      <c r="K8" s="9">
        <v>0</v>
      </c>
      <c r="L8" s="9">
        <v>7</v>
      </c>
      <c r="M8" s="2"/>
      <c r="N8" s="9">
        <v>5</v>
      </c>
      <c r="O8" s="9">
        <v>15</v>
      </c>
      <c r="P8" s="9">
        <v>38</v>
      </c>
      <c r="Q8" s="9">
        <v>100</v>
      </c>
      <c r="R8" s="9"/>
      <c r="S8" s="9">
        <v>2</v>
      </c>
      <c r="T8" s="9">
        <v>7</v>
      </c>
      <c r="U8" s="2"/>
      <c r="V8" s="9">
        <v>5</v>
      </c>
      <c r="W8" s="9">
        <v>0</v>
      </c>
      <c r="X8" s="9">
        <v>0</v>
      </c>
      <c r="Y8" s="9">
        <v>0</v>
      </c>
      <c r="Z8" s="9"/>
      <c r="AA8" s="9">
        <v>0</v>
      </c>
      <c r="AB8" s="2"/>
      <c r="AC8" s="9">
        <v>5</v>
      </c>
      <c r="AD8" s="2" t="s">
        <v>19</v>
      </c>
      <c r="AE8" s="2"/>
      <c r="AF8" s="9"/>
      <c r="AG8" s="2"/>
      <c r="AH8" s="2"/>
    </row>
    <row r="9" spans="1:34" ht="70.2" x14ac:dyDescent="0.3">
      <c r="A9" s="9">
        <v>6</v>
      </c>
      <c r="B9" s="9">
        <v>21</v>
      </c>
      <c r="C9" s="9">
        <v>0</v>
      </c>
      <c r="D9" s="9">
        <v>35</v>
      </c>
      <c r="E9" s="9">
        <v>0</v>
      </c>
      <c r="F9" s="9">
        <v>227</v>
      </c>
      <c r="G9" s="9">
        <v>0</v>
      </c>
      <c r="H9" s="9"/>
      <c r="I9" s="9"/>
      <c r="J9" s="9">
        <v>8</v>
      </c>
      <c r="K9" s="9">
        <v>0</v>
      </c>
      <c r="L9" s="9">
        <v>2</v>
      </c>
      <c r="M9" s="2"/>
      <c r="N9" s="9">
        <v>6</v>
      </c>
      <c r="O9" s="9">
        <v>20</v>
      </c>
      <c r="P9" s="9">
        <v>35</v>
      </c>
      <c r="Q9" s="9">
        <v>226</v>
      </c>
      <c r="R9" s="9"/>
      <c r="S9" s="9">
        <v>8</v>
      </c>
      <c r="T9" s="9">
        <v>2</v>
      </c>
      <c r="U9" s="2"/>
      <c r="V9" s="9">
        <v>6</v>
      </c>
      <c r="W9" s="9">
        <v>0</v>
      </c>
      <c r="X9" s="9">
        <v>0</v>
      </c>
      <c r="Y9" s="9">
        <v>0</v>
      </c>
      <c r="Z9" s="9"/>
      <c r="AA9" s="9">
        <v>0</v>
      </c>
      <c r="AB9" s="2"/>
      <c r="AC9" s="9">
        <v>6</v>
      </c>
      <c r="AD9" s="9" t="s">
        <v>19</v>
      </c>
      <c r="AE9" s="9"/>
      <c r="AF9" s="9" t="s">
        <v>16</v>
      </c>
      <c r="AG9" s="2"/>
      <c r="AH9" s="2"/>
    </row>
    <row r="10" spans="1:34" ht="187.2" x14ac:dyDescent="0.3">
      <c r="A10" s="9">
        <v>7</v>
      </c>
      <c r="B10" s="9">
        <v>12</v>
      </c>
      <c r="C10" s="9">
        <v>0</v>
      </c>
      <c r="D10" s="9">
        <v>43</v>
      </c>
      <c r="E10" s="9">
        <v>0</v>
      </c>
      <c r="F10" s="9">
        <v>141</v>
      </c>
      <c r="G10" s="9">
        <v>0</v>
      </c>
      <c r="H10" s="2"/>
      <c r="I10" s="2"/>
      <c r="J10" s="9">
        <v>7</v>
      </c>
      <c r="K10" s="9">
        <v>0</v>
      </c>
      <c r="L10" s="9">
        <v>2</v>
      </c>
      <c r="M10" s="2"/>
      <c r="N10" s="9">
        <v>7</v>
      </c>
      <c r="O10" s="9">
        <v>11</v>
      </c>
      <c r="P10" s="9">
        <v>43</v>
      </c>
      <c r="Q10" s="9">
        <v>132</v>
      </c>
      <c r="R10" s="2"/>
      <c r="S10" s="9">
        <v>7</v>
      </c>
      <c r="T10" s="9">
        <v>2</v>
      </c>
      <c r="U10" s="2"/>
      <c r="V10" s="9">
        <v>7</v>
      </c>
      <c r="W10" s="9">
        <v>1</v>
      </c>
      <c r="X10" s="9">
        <v>0</v>
      </c>
      <c r="Y10" s="9">
        <v>7</v>
      </c>
      <c r="Z10" s="2"/>
      <c r="AA10" s="9">
        <v>0</v>
      </c>
      <c r="AB10" s="2"/>
      <c r="AC10" s="9">
        <v>7</v>
      </c>
      <c r="AD10" s="2" t="s">
        <v>22</v>
      </c>
      <c r="AE10" s="9"/>
      <c r="AF10" s="9" t="s">
        <v>23</v>
      </c>
      <c r="AG10" s="2"/>
      <c r="AH10" s="2"/>
    </row>
    <row r="11" spans="1:34" ht="210.6" x14ac:dyDescent="0.3">
      <c r="A11" s="9">
        <v>8</v>
      </c>
      <c r="B11" s="9">
        <v>14</v>
      </c>
      <c r="C11" s="9">
        <v>1</v>
      </c>
      <c r="D11" s="9">
        <v>44</v>
      </c>
      <c r="E11" s="9">
        <v>0</v>
      </c>
      <c r="F11" s="9">
        <v>105</v>
      </c>
      <c r="G11" s="9">
        <v>7</v>
      </c>
      <c r="H11" s="2"/>
      <c r="I11" s="2"/>
      <c r="J11" s="9">
        <v>20</v>
      </c>
      <c r="K11" s="9">
        <v>0</v>
      </c>
      <c r="L11" s="9">
        <v>1</v>
      </c>
      <c r="M11" s="2"/>
      <c r="N11" s="9">
        <v>8</v>
      </c>
      <c r="O11" s="9">
        <v>9</v>
      </c>
      <c r="P11" s="9">
        <v>38</v>
      </c>
      <c r="Q11" s="9">
        <v>88</v>
      </c>
      <c r="R11" s="2"/>
      <c r="S11" s="9">
        <v>1</v>
      </c>
      <c r="T11" s="9">
        <v>1</v>
      </c>
      <c r="U11" s="2"/>
      <c r="V11" s="9">
        <v>8</v>
      </c>
      <c r="W11" s="9">
        <v>6</v>
      </c>
      <c r="X11" s="9">
        <v>6</v>
      </c>
      <c r="Y11" s="9">
        <v>22</v>
      </c>
      <c r="Z11" s="2"/>
      <c r="AA11" s="9">
        <v>19</v>
      </c>
      <c r="AB11" s="2"/>
      <c r="AC11" s="9">
        <v>8</v>
      </c>
      <c r="AD11" s="9" t="s">
        <v>24</v>
      </c>
      <c r="AE11" s="9" t="s">
        <v>25</v>
      </c>
      <c r="AF11" s="2" t="s">
        <v>26</v>
      </c>
      <c r="AG11" s="2"/>
      <c r="AH11" s="2" t="s">
        <v>27</v>
      </c>
    </row>
    <row r="12" spans="1:34" ht="46.8" x14ac:dyDescent="0.3">
      <c r="A12" s="9">
        <v>9</v>
      </c>
      <c r="B12" s="9">
        <v>14</v>
      </c>
      <c r="C12" s="9">
        <v>6</v>
      </c>
      <c r="D12" s="9">
        <v>48</v>
      </c>
      <c r="E12" s="9">
        <v>6</v>
      </c>
      <c r="F12" s="9">
        <v>145</v>
      </c>
      <c r="G12" s="9">
        <v>22</v>
      </c>
      <c r="H12" s="2"/>
      <c r="I12" s="2"/>
      <c r="J12" s="9">
        <v>15</v>
      </c>
      <c r="K12" s="9">
        <v>19</v>
      </c>
      <c r="L12" s="9">
        <v>2</v>
      </c>
      <c r="M12" s="2"/>
      <c r="N12" s="9">
        <v>9</v>
      </c>
      <c r="O12" s="9">
        <v>19</v>
      </c>
      <c r="P12" s="9">
        <v>54</v>
      </c>
      <c r="Q12" s="9">
        <v>167</v>
      </c>
      <c r="R12" s="2"/>
      <c r="S12" s="9">
        <v>34</v>
      </c>
      <c r="T12" s="9">
        <v>2</v>
      </c>
      <c r="U12" s="2"/>
      <c r="V12" s="9">
        <v>9</v>
      </c>
      <c r="W12" s="9">
        <v>0</v>
      </c>
      <c r="X12" s="9">
        <v>0</v>
      </c>
      <c r="Y12" s="9">
        <v>0</v>
      </c>
      <c r="Z12" s="2"/>
      <c r="AA12" s="9">
        <v>0</v>
      </c>
      <c r="AB12" s="2"/>
      <c r="AC12" s="9">
        <v>9</v>
      </c>
      <c r="AD12" s="9" t="s">
        <v>19</v>
      </c>
      <c r="AE12" s="9"/>
      <c r="AF12" s="9"/>
      <c r="AG12" s="2"/>
      <c r="AH12" s="2"/>
    </row>
    <row r="13" spans="1:34" ht="23.4" x14ac:dyDescent="0.3">
      <c r="A13" s="9">
        <v>10</v>
      </c>
      <c r="B13" s="9">
        <v>24</v>
      </c>
      <c r="C13" s="9">
        <v>0</v>
      </c>
      <c r="D13" s="9">
        <v>59</v>
      </c>
      <c r="E13" s="9">
        <v>0</v>
      </c>
      <c r="F13" s="9">
        <v>120</v>
      </c>
      <c r="G13" s="9">
        <v>0</v>
      </c>
      <c r="H13" s="2"/>
      <c r="I13" s="2"/>
      <c r="J13" s="9">
        <v>20</v>
      </c>
      <c r="K13" s="9">
        <v>0</v>
      </c>
      <c r="L13" s="9">
        <v>2</v>
      </c>
      <c r="M13" s="2"/>
      <c r="N13" s="9">
        <v>10</v>
      </c>
      <c r="O13" s="9">
        <v>24</v>
      </c>
      <c r="P13" s="9">
        <v>59</v>
      </c>
      <c r="Q13" s="9">
        <v>120</v>
      </c>
      <c r="R13" s="2"/>
      <c r="S13" s="9">
        <v>20</v>
      </c>
      <c r="T13" s="9">
        <v>2</v>
      </c>
      <c r="U13" s="2"/>
      <c r="V13" s="9">
        <v>10</v>
      </c>
      <c r="W13" s="9">
        <v>0</v>
      </c>
      <c r="X13" s="9">
        <v>0</v>
      </c>
      <c r="Y13" s="9">
        <v>0</v>
      </c>
      <c r="Z13" s="2"/>
      <c r="AA13" s="9">
        <v>0</v>
      </c>
      <c r="AB13" s="2"/>
      <c r="AC13" s="9">
        <v>10</v>
      </c>
      <c r="AD13" s="9"/>
      <c r="AE13" s="2"/>
      <c r="AF13" s="9"/>
      <c r="AG13" s="2"/>
      <c r="AH13" s="2"/>
    </row>
    <row r="14" spans="1:34" ht="23.4" x14ac:dyDescent="0.3">
      <c r="A14" s="9">
        <v>11</v>
      </c>
      <c r="B14" s="9">
        <v>25</v>
      </c>
      <c r="C14" s="9">
        <v>0</v>
      </c>
      <c r="D14" s="9">
        <v>30</v>
      </c>
      <c r="E14" s="9">
        <v>0</v>
      </c>
      <c r="F14" s="9">
        <v>123</v>
      </c>
      <c r="G14" s="9">
        <v>0</v>
      </c>
      <c r="H14" s="2"/>
      <c r="I14" s="2"/>
      <c r="J14" s="9">
        <v>10</v>
      </c>
      <c r="K14" s="9">
        <v>0</v>
      </c>
      <c r="L14" s="9">
        <v>0</v>
      </c>
      <c r="M14" s="2"/>
      <c r="N14" s="9">
        <v>11</v>
      </c>
      <c r="O14" s="9">
        <v>25</v>
      </c>
      <c r="P14" s="9">
        <v>30</v>
      </c>
      <c r="Q14" s="9">
        <v>123</v>
      </c>
      <c r="R14" s="2"/>
      <c r="S14" s="9">
        <v>10</v>
      </c>
      <c r="T14" s="9">
        <v>0</v>
      </c>
      <c r="U14" s="2"/>
      <c r="V14" s="9">
        <v>11</v>
      </c>
      <c r="W14" s="9">
        <v>0</v>
      </c>
      <c r="X14" s="9">
        <v>0</v>
      </c>
      <c r="Y14" s="9">
        <v>0</v>
      </c>
      <c r="Z14" s="2"/>
      <c r="AA14" s="9">
        <v>0</v>
      </c>
      <c r="AB14" s="2"/>
      <c r="AC14" s="9">
        <v>11</v>
      </c>
      <c r="AD14" s="9"/>
      <c r="AE14" s="2"/>
      <c r="AF14" s="9"/>
      <c r="AG14" s="2"/>
      <c r="AH14" s="2"/>
    </row>
    <row r="15" spans="1:34" ht="70.2" x14ac:dyDescent="0.3">
      <c r="A15" s="9">
        <v>12</v>
      </c>
      <c r="B15" s="9">
        <v>23</v>
      </c>
      <c r="C15" s="9">
        <v>0</v>
      </c>
      <c r="D15" s="9">
        <v>27</v>
      </c>
      <c r="E15" s="9">
        <v>0</v>
      </c>
      <c r="F15" s="9">
        <v>117</v>
      </c>
      <c r="G15" s="9">
        <v>0</v>
      </c>
      <c r="H15" s="2"/>
      <c r="I15" s="2"/>
      <c r="J15" s="9">
        <v>0</v>
      </c>
      <c r="K15" s="9">
        <v>0</v>
      </c>
      <c r="L15" s="9">
        <v>4</v>
      </c>
      <c r="M15" s="2"/>
      <c r="N15" s="9">
        <v>12</v>
      </c>
      <c r="O15" s="9">
        <v>22</v>
      </c>
      <c r="P15" s="9">
        <v>27</v>
      </c>
      <c r="Q15" s="9">
        <v>117</v>
      </c>
      <c r="R15" s="2"/>
      <c r="S15" s="9">
        <v>0</v>
      </c>
      <c r="T15" s="9">
        <v>4</v>
      </c>
      <c r="U15" s="2"/>
      <c r="V15" s="9">
        <v>12</v>
      </c>
      <c r="W15" s="9">
        <v>0</v>
      </c>
      <c r="X15" s="9">
        <v>0</v>
      </c>
      <c r="Y15" s="9">
        <v>0</v>
      </c>
      <c r="Z15" s="2"/>
      <c r="AA15" s="9">
        <v>0</v>
      </c>
      <c r="AB15" s="2"/>
      <c r="AC15" s="9">
        <v>12</v>
      </c>
      <c r="AD15" s="9" t="s">
        <v>16</v>
      </c>
      <c r="AE15" s="9"/>
      <c r="AF15" s="9"/>
      <c r="AG15" s="2"/>
      <c r="AH15" s="2"/>
    </row>
    <row r="16" spans="1:34" ht="70.2" x14ac:dyDescent="0.3">
      <c r="A16" s="9">
        <v>13</v>
      </c>
      <c r="B16" s="9">
        <v>17</v>
      </c>
      <c r="C16" s="9">
        <v>0</v>
      </c>
      <c r="D16" s="9">
        <v>33</v>
      </c>
      <c r="E16" s="9">
        <v>0</v>
      </c>
      <c r="F16" s="9">
        <v>114</v>
      </c>
      <c r="G16" s="9">
        <v>0</v>
      </c>
      <c r="H16" s="2"/>
      <c r="I16" s="2"/>
      <c r="J16" s="9">
        <v>11</v>
      </c>
      <c r="K16" s="9">
        <v>0</v>
      </c>
      <c r="L16" s="9">
        <v>3</v>
      </c>
      <c r="M16" s="2"/>
      <c r="N16" s="9">
        <v>13</v>
      </c>
      <c r="O16" s="9">
        <v>17</v>
      </c>
      <c r="P16" s="9">
        <v>33</v>
      </c>
      <c r="Q16" s="9">
        <v>113</v>
      </c>
      <c r="R16" s="2"/>
      <c r="S16" s="9">
        <v>11</v>
      </c>
      <c r="T16" s="9">
        <v>3</v>
      </c>
      <c r="U16" s="2"/>
      <c r="V16" s="9">
        <v>13</v>
      </c>
      <c r="W16" s="9">
        <v>0</v>
      </c>
      <c r="X16" s="9">
        <v>0</v>
      </c>
      <c r="Y16" s="9">
        <v>0</v>
      </c>
      <c r="Z16" s="2"/>
      <c r="AA16" s="9">
        <v>0</v>
      </c>
      <c r="AB16" s="2"/>
      <c r="AC16" s="9">
        <v>13</v>
      </c>
      <c r="AD16" s="9"/>
      <c r="AE16" s="2"/>
      <c r="AF16" s="9" t="s">
        <v>16</v>
      </c>
      <c r="AG16" s="2"/>
      <c r="AH16" s="2"/>
    </row>
    <row r="17" spans="1:34" ht="23.4" x14ac:dyDescent="0.3">
      <c r="A17" s="9">
        <v>14</v>
      </c>
      <c r="B17" s="9">
        <v>20</v>
      </c>
      <c r="C17" s="9">
        <v>0</v>
      </c>
      <c r="D17" s="9">
        <v>39</v>
      </c>
      <c r="E17" s="9">
        <v>0</v>
      </c>
      <c r="F17" s="9">
        <v>123</v>
      </c>
      <c r="G17" s="9">
        <v>0</v>
      </c>
      <c r="H17" s="2"/>
      <c r="I17" s="2"/>
      <c r="J17" s="9">
        <v>11</v>
      </c>
      <c r="K17" s="9">
        <v>0</v>
      </c>
      <c r="L17" s="9">
        <v>0</v>
      </c>
      <c r="M17" s="2"/>
      <c r="N17" s="9">
        <v>14</v>
      </c>
      <c r="O17" s="9">
        <v>20</v>
      </c>
      <c r="P17" s="9">
        <v>39</v>
      </c>
      <c r="Q17" s="9">
        <v>123</v>
      </c>
      <c r="R17" s="2"/>
      <c r="S17" s="9">
        <v>11</v>
      </c>
      <c r="T17" s="9">
        <v>0</v>
      </c>
      <c r="U17" s="2"/>
      <c r="V17" s="9">
        <v>14</v>
      </c>
      <c r="W17" s="9">
        <v>0</v>
      </c>
      <c r="X17" s="9">
        <v>0</v>
      </c>
      <c r="Y17" s="9">
        <v>0</v>
      </c>
      <c r="Z17" s="2"/>
      <c r="AA17" s="9">
        <v>0</v>
      </c>
      <c r="AB17" s="2"/>
      <c r="AC17" s="9">
        <v>14</v>
      </c>
      <c r="AD17" s="2"/>
      <c r="AE17" s="2"/>
      <c r="AF17" s="9"/>
      <c r="AG17" s="2"/>
      <c r="AH17" s="2"/>
    </row>
    <row r="18" spans="1:34" ht="117" x14ac:dyDescent="0.6">
      <c r="A18" s="9">
        <v>15</v>
      </c>
      <c r="B18" s="9">
        <v>30</v>
      </c>
      <c r="C18" s="9">
        <v>0</v>
      </c>
      <c r="D18" s="9">
        <v>29</v>
      </c>
      <c r="E18" s="9">
        <v>0</v>
      </c>
      <c r="F18" s="9">
        <v>88</v>
      </c>
      <c r="G18" s="9">
        <v>0</v>
      </c>
      <c r="H18" s="2"/>
      <c r="I18" s="2"/>
      <c r="J18" s="9">
        <v>30</v>
      </c>
      <c r="K18" s="9">
        <v>0</v>
      </c>
      <c r="L18" s="9">
        <v>0</v>
      </c>
      <c r="M18" s="11"/>
      <c r="N18" s="9">
        <v>15</v>
      </c>
      <c r="O18" s="9">
        <v>30</v>
      </c>
      <c r="P18" s="9">
        <v>29</v>
      </c>
      <c r="Q18" s="9">
        <v>87</v>
      </c>
      <c r="R18" s="2"/>
      <c r="S18" s="9">
        <v>0</v>
      </c>
      <c r="T18" s="9">
        <v>0</v>
      </c>
      <c r="U18" s="2"/>
      <c r="V18" s="9">
        <v>15</v>
      </c>
      <c r="W18" s="9">
        <v>0</v>
      </c>
      <c r="X18" s="9">
        <v>0</v>
      </c>
      <c r="Y18" s="9">
        <v>0</v>
      </c>
      <c r="Z18" s="2"/>
      <c r="AA18" s="9">
        <v>30</v>
      </c>
      <c r="AB18" s="2"/>
      <c r="AC18" s="9">
        <v>15</v>
      </c>
      <c r="AD18" s="2"/>
      <c r="AE18" s="2"/>
      <c r="AF18" s="9" t="s">
        <v>19</v>
      </c>
      <c r="AG18" s="2"/>
      <c r="AH18" s="2" t="s">
        <v>28</v>
      </c>
    </row>
    <row r="19" spans="1:34" ht="46.8" x14ac:dyDescent="0.3">
      <c r="A19" s="9">
        <v>16</v>
      </c>
      <c r="B19" s="9">
        <v>17</v>
      </c>
      <c r="C19" s="9">
        <v>0</v>
      </c>
      <c r="D19" s="9">
        <v>35</v>
      </c>
      <c r="E19" s="9">
        <v>0</v>
      </c>
      <c r="F19" s="9">
        <v>173</v>
      </c>
      <c r="G19" s="9">
        <v>0</v>
      </c>
      <c r="H19" s="2"/>
      <c r="I19" s="2"/>
      <c r="J19" s="9">
        <v>42</v>
      </c>
      <c r="K19" s="9">
        <v>30</v>
      </c>
      <c r="L19" s="9">
        <v>4</v>
      </c>
      <c r="M19" s="2"/>
      <c r="N19" s="9">
        <v>16</v>
      </c>
      <c r="O19" s="9">
        <v>17</v>
      </c>
      <c r="P19" s="9">
        <v>34</v>
      </c>
      <c r="Q19" s="9">
        <v>172</v>
      </c>
      <c r="R19" s="2"/>
      <c r="S19" s="9">
        <v>72</v>
      </c>
      <c r="T19" s="9">
        <v>4</v>
      </c>
      <c r="U19" s="2"/>
      <c r="V19" s="9">
        <v>16</v>
      </c>
      <c r="W19" s="9">
        <v>0</v>
      </c>
      <c r="X19" s="9">
        <v>0</v>
      </c>
      <c r="Y19" s="9">
        <v>0</v>
      </c>
      <c r="Z19" s="2"/>
      <c r="AA19" s="9">
        <v>0</v>
      </c>
      <c r="AB19" s="2"/>
      <c r="AC19" s="9">
        <v>16</v>
      </c>
      <c r="AD19" s="9"/>
      <c r="AE19" s="9" t="s">
        <v>19</v>
      </c>
      <c r="AF19" s="9" t="s">
        <v>19</v>
      </c>
      <c r="AG19" s="2"/>
      <c r="AH19" s="2"/>
    </row>
    <row r="20" spans="1:34" ht="46.8" x14ac:dyDescent="0.3">
      <c r="A20" s="9">
        <v>17</v>
      </c>
      <c r="B20" s="9">
        <v>30</v>
      </c>
      <c r="C20" s="9">
        <v>0</v>
      </c>
      <c r="D20" s="9">
        <v>23</v>
      </c>
      <c r="E20" s="9">
        <v>0</v>
      </c>
      <c r="F20" s="9">
        <v>138</v>
      </c>
      <c r="G20" s="9">
        <v>0</v>
      </c>
      <c r="H20" s="2"/>
      <c r="I20" s="2"/>
      <c r="J20" s="9">
        <v>23</v>
      </c>
      <c r="K20" s="9">
        <v>0</v>
      </c>
      <c r="L20" s="9">
        <v>5</v>
      </c>
      <c r="M20" s="2"/>
      <c r="N20" s="9">
        <v>17</v>
      </c>
      <c r="O20" s="9">
        <v>30</v>
      </c>
      <c r="P20" s="9">
        <v>23</v>
      </c>
      <c r="Q20" s="9">
        <v>137</v>
      </c>
      <c r="R20" s="2"/>
      <c r="S20" s="9">
        <v>23</v>
      </c>
      <c r="T20" s="9">
        <v>5</v>
      </c>
      <c r="U20" s="2"/>
      <c r="V20" s="9">
        <v>17</v>
      </c>
      <c r="W20" s="9">
        <v>0</v>
      </c>
      <c r="X20" s="9">
        <v>0</v>
      </c>
      <c r="Y20" s="9">
        <v>0</v>
      </c>
      <c r="Z20" s="2"/>
      <c r="AA20" s="9">
        <v>0</v>
      </c>
      <c r="AB20" s="2"/>
      <c r="AC20" s="9">
        <v>17</v>
      </c>
      <c r="AD20" s="2"/>
      <c r="AE20" s="9"/>
      <c r="AF20" s="9" t="s">
        <v>19</v>
      </c>
      <c r="AG20" s="2"/>
      <c r="AH20" s="2"/>
    </row>
    <row r="21" spans="1:34" ht="46.8" x14ac:dyDescent="0.3">
      <c r="A21" s="9">
        <v>18</v>
      </c>
      <c r="B21" s="9">
        <v>32</v>
      </c>
      <c r="C21" s="9">
        <v>0</v>
      </c>
      <c r="D21" s="9">
        <v>48</v>
      </c>
      <c r="E21" s="9">
        <v>0</v>
      </c>
      <c r="F21" s="9">
        <v>145</v>
      </c>
      <c r="G21" s="9">
        <v>0</v>
      </c>
      <c r="H21" s="2"/>
      <c r="I21" s="2"/>
      <c r="J21" s="9">
        <v>14</v>
      </c>
      <c r="K21" s="9">
        <v>0</v>
      </c>
      <c r="L21" s="9">
        <v>1</v>
      </c>
      <c r="M21" s="2"/>
      <c r="N21" s="9">
        <v>18</v>
      </c>
      <c r="O21" s="9">
        <v>32</v>
      </c>
      <c r="P21" s="9">
        <v>47</v>
      </c>
      <c r="Q21" s="9">
        <v>144</v>
      </c>
      <c r="R21" s="2"/>
      <c r="S21" s="9">
        <v>14</v>
      </c>
      <c r="T21" s="9">
        <v>1</v>
      </c>
      <c r="U21" s="2"/>
      <c r="V21" s="9">
        <v>18</v>
      </c>
      <c r="W21" s="9">
        <v>0</v>
      </c>
      <c r="X21" s="9">
        <v>0</v>
      </c>
      <c r="Y21" s="9">
        <v>0</v>
      </c>
      <c r="Z21" s="2"/>
      <c r="AA21" s="9">
        <v>0</v>
      </c>
      <c r="AB21" s="2"/>
      <c r="AC21" s="9">
        <v>18</v>
      </c>
      <c r="AD21" s="9"/>
      <c r="AE21" s="2" t="s">
        <v>19</v>
      </c>
      <c r="AF21" s="9" t="s">
        <v>19</v>
      </c>
      <c r="AG21" s="2"/>
      <c r="AH21" s="2"/>
    </row>
    <row r="22" spans="1:34" ht="46.8" x14ac:dyDescent="0.3">
      <c r="A22" s="9">
        <v>19</v>
      </c>
      <c r="B22" s="9">
        <v>27</v>
      </c>
      <c r="C22" s="9">
        <v>0</v>
      </c>
      <c r="D22" s="9">
        <v>37</v>
      </c>
      <c r="E22" s="9">
        <v>0</v>
      </c>
      <c r="F22" s="9">
        <v>107</v>
      </c>
      <c r="G22" s="9">
        <v>0</v>
      </c>
      <c r="H22" s="2"/>
      <c r="I22" s="2"/>
      <c r="J22" s="9">
        <v>17</v>
      </c>
      <c r="K22" s="9">
        <v>0</v>
      </c>
      <c r="L22" s="9">
        <v>4</v>
      </c>
      <c r="M22" s="2"/>
      <c r="N22" s="9">
        <v>19</v>
      </c>
      <c r="O22" s="9">
        <v>27</v>
      </c>
      <c r="P22" s="9">
        <v>37</v>
      </c>
      <c r="Q22" s="9">
        <v>106</v>
      </c>
      <c r="R22" s="2"/>
      <c r="S22" s="9">
        <v>17</v>
      </c>
      <c r="T22" s="9">
        <v>4</v>
      </c>
      <c r="U22" s="2"/>
      <c r="V22" s="9">
        <v>19</v>
      </c>
      <c r="W22" s="9">
        <v>0</v>
      </c>
      <c r="X22" s="9">
        <v>0</v>
      </c>
      <c r="Y22" s="9">
        <v>0</v>
      </c>
      <c r="Z22" s="2"/>
      <c r="AA22" s="9">
        <v>0</v>
      </c>
      <c r="AB22" s="2"/>
      <c r="AC22" s="9">
        <v>19</v>
      </c>
      <c r="AD22" s="2"/>
      <c r="AE22" s="2"/>
      <c r="AF22" s="9" t="s">
        <v>19</v>
      </c>
      <c r="AG22" s="2"/>
      <c r="AH22" s="2"/>
    </row>
    <row r="23" spans="1:34" ht="117" x14ac:dyDescent="0.3">
      <c r="A23" s="9">
        <v>20</v>
      </c>
      <c r="B23" s="9">
        <v>18</v>
      </c>
      <c r="C23" s="9">
        <v>0</v>
      </c>
      <c r="D23" s="9">
        <v>23</v>
      </c>
      <c r="E23" s="9">
        <v>0</v>
      </c>
      <c r="F23" s="9">
        <v>81</v>
      </c>
      <c r="G23" s="9">
        <v>0</v>
      </c>
      <c r="H23" s="2"/>
      <c r="I23" s="2"/>
      <c r="J23" s="9">
        <v>25</v>
      </c>
      <c r="K23" s="9">
        <v>0</v>
      </c>
      <c r="L23" s="9">
        <v>8</v>
      </c>
      <c r="M23" s="2"/>
      <c r="N23" s="9">
        <v>20</v>
      </c>
      <c r="O23" s="9">
        <v>18</v>
      </c>
      <c r="P23" s="9">
        <v>23</v>
      </c>
      <c r="Q23" s="9">
        <v>79</v>
      </c>
      <c r="R23" s="2"/>
      <c r="S23" s="9">
        <v>22</v>
      </c>
      <c r="T23" s="9">
        <v>8</v>
      </c>
      <c r="U23" s="2"/>
      <c r="V23" s="9">
        <v>20</v>
      </c>
      <c r="W23" s="9">
        <v>0</v>
      </c>
      <c r="X23" s="9">
        <v>0</v>
      </c>
      <c r="Y23" s="9">
        <v>0</v>
      </c>
      <c r="Z23" s="2"/>
      <c r="AA23" s="9">
        <v>3</v>
      </c>
      <c r="AB23" s="2"/>
      <c r="AC23" s="9">
        <v>20</v>
      </c>
      <c r="AD23" s="2"/>
      <c r="AE23" s="2"/>
      <c r="AF23" s="9" t="s">
        <v>29</v>
      </c>
      <c r="AG23" s="2"/>
      <c r="AH23" s="2" t="s">
        <v>30</v>
      </c>
    </row>
    <row r="24" spans="1:34" ht="46.8" x14ac:dyDescent="0.6">
      <c r="A24" s="9">
        <v>21</v>
      </c>
      <c r="B24" s="9">
        <v>13</v>
      </c>
      <c r="C24" s="9">
        <v>0</v>
      </c>
      <c r="D24" s="9">
        <v>45</v>
      </c>
      <c r="E24" s="9">
        <v>0</v>
      </c>
      <c r="F24" s="9">
        <v>154</v>
      </c>
      <c r="G24" s="9">
        <v>0</v>
      </c>
      <c r="H24" s="2"/>
      <c r="I24" s="2"/>
      <c r="J24" s="9">
        <v>6</v>
      </c>
      <c r="K24" s="9">
        <v>3</v>
      </c>
      <c r="L24" s="9">
        <v>1</v>
      </c>
      <c r="M24" s="2"/>
      <c r="N24" s="9">
        <v>21</v>
      </c>
      <c r="O24" s="9">
        <v>13</v>
      </c>
      <c r="P24" s="9">
        <v>45</v>
      </c>
      <c r="Q24" s="9">
        <v>151</v>
      </c>
      <c r="R24" s="2"/>
      <c r="S24" s="9">
        <v>9</v>
      </c>
      <c r="T24" s="9">
        <v>1</v>
      </c>
      <c r="U24" s="2"/>
      <c r="V24" s="9">
        <v>21</v>
      </c>
      <c r="W24" s="9">
        <v>0</v>
      </c>
      <c r="X24" s="9">
        <v>0</v>
      </c>
      <c r="Y24" s="9">
        <v>0</v>
      </c>
      <c r="Z24" s="2"/>
      <c r="AA24" s="9">
        <v>0</v>
      </c>
      <c r="AB24" s="2"/>
      <c r="AC24" s="9">
        <v>21</v>
      </c>
      <c r="AD24" s="2"/>
      <c r="AE24" s="9"/>
      <c r="AF24" s="10" t="s">
        <v>31</v>
      </c>
      <c r="AG24" s="2"/>
      <c r="AH24" s="2"/>
    </row>
    <row r="25" spans="1:34" ht="210.6" x14ac:dyDescent="0.3">
      <c r="A25" s="9">
        <v>22</v>
      </c>
      <c r="B25" s="9">
        <v>16</v>
      </c>
      <c r="C25" s="9">
        <v>0</v>
      </c>
      <c r="D25" s="9">
        <v>28</v>
      </c>
      <c r="E25" s="9">
        <v>0</v>
      </c>
      <c r="F25" s="9">
        <v>303</v>
      </c>
      <c r="G25" s="9">
        <v>0</v>
      </c>
      <c r="H25" s="2"/>
      <c r="I25" s="2"/>
      <c r="J25" s="9">
        <v>7</v>
      </c>
      <c r="K25" s="9">
        <v>0</v>
      </c>
      <c r="L25" s="9">
        <v>0</v>
      </c>
      <c r="M25" s="2"/>
      <c r="N25" s="9">
        <v>22</v>
      </c>
      <c r="O25" s="9">
        <v>16</v>
      </c>
      <c r="P25" s="9">
        <v>28</v>
      </c>
      <c r="Q25" s="9">
        <v>243</v>
      </c>
      <c r="R25" s="2"/>
      <c r="S25" s="9">
        <v>7</v>
      </c>
      <c r="T25" s="9">
        <v>0</v>
      </c>
      <c r="U25" s="2"/>
      <c r="V25" s="9">
        <v>22</v>
      </c>
      <c r="W25" s="9">
        <v>0</v>
      </c>
      <c r="X25" s="9">
        <v>0</v>
      </c>
      <c r="Y25" s="9">
        <v>56</v>
      </c>
      <c r="Z25" s="2"/>
      <c r="AA25" s="9">
        <v>0</v>
      </c>
      <c r="AB25" s="9"/>
      <c r="AC25" s="9">
        <v>22</v>
      </c>
      <c r="AD25" s="2"/>
      <c r="AE25" s="2"/>
      <c r="AF25" s="9" t="s">
        <v>32</v>
      </c>
      <c r="AG25" s="2"/>
      <c r="AH25" s="2"/>
    </row>
    <row r="26" spans="1:34" ht="280.8" x14ac:dyDescent="0.6">
      <c r="A26" s="9">
        <v>23</v>
      </c>
      <c r="B26" s="9">
        <v>17</v>
      </c>
      <c r="C26" s="9">
        <v>0</v>
      </c>
      <c r="D26" s="9">
        <v>34</v>
      </c>
      <c r="E26" s="9">
        <v>0</v>
      </c>
      <c r="F26" s="9">
        <v>179</v>
      </c>
      <c r="G26" s="9">
        <v>56</v>
      </c>
      <c r="H26" s="2"/>
      <c r="I26" s="2"/>
      <c r="J26" s="9">
        <v>9</v>
      </c>
      <c r="K26" s="9">
        <v>0</v>
      </c>
      <c r="L26" s="9">
        <v>0</v>
      </c>
      <c r="M26" s="11"/>
      <c r="N26" s="9">
        <v>23</v>
      </c>
      <c r="O26" s="9">
        <v>17</v>
      </c>
      <c r="P26" s="9">
        <v>34</v>
      </c>
      <c r="Q26" s="9">
        <v>230</v>
      </c>
      <c r="R26" s="2"/>
      <c r="S26" s="9">
        <v>0</v>
      </c>
      <c r="T26" s="9">
        <v>0</v>
      </c>
      <c r="U26" s="2"/>
      <c r="V26" s="9">
        <v>23</v>
      </c>
      <c r="W26" s="9">
        <v>0</v>
      </c>
      <c r="X26" s="9">
        <v>0</v>
      </c>
      <c r="Y26" s="9">
        <v>2</v>
      </c>
      <c r="Z26" s="2"/>
      <c r="AA26" s="9">
        <v>9</v>
      </c>
      <c r="AB26" s="2"/>
      <c r="AC26" s="9">
        <v>23</v>
      </c>
      <c r="AD26" s="9"/>
      <c r="AE26" s="9"/>
      <c r="AF26" s="9" t="s">
        <v>33</v>
      </c>
      <c r="AG26" s="2"/>
      <c r="AH26" s="9" t="s">
        <v>34</v>
      </c>
    </row>
    <row r="27" spans="1:34" ht="93.6" x14ac:dyDescent="0.3">
      <c r="A27" s="9">
        <v>24</v>
      </c>
      <c r="B27" s="9">
        <v>6</v>
      </c>
      <c r="C27" s="9">
        <v>0</v>
      </c>
      <c r="D27" s="9">
        <v>27</v>
      </c>
      <c r="E27" s="9">
        <v>0</v>
      </c>
      <c r="F27" s="9">
        <v>168</v>
      </c>
      <c r="G27" s="9">
        <v>2</v>
      </c>
      <c r="H27" s="2"/>
      <c r="I27" s="2"/>
      <c r="J27" s="9">
        <v>6</v>
      </c>
      <c r="K27" s="9">
        <v>9</v>
      </c>
      <c r="L27" s="9">
        <v>4</v>
      </c>
      <c r="M27" s="2"/>
      <c r="N27" s="9">
        <v>24</v>
      </c>
      <c r="O27" s="9">
        <v>6</v>
      </c>
      <c r="P27" s="9">
        <v>27</v>
      </c>
      <c r="Q27" s="9">
        <v>168</v>
      </c>
      <c r="R27" s="2"/>
      <c r="S27" s="9">
        <v>10</v>
      </c>
      <c r="T27" s="9">
        <v>4</v>
      </c>
      <c r="U27" s="2"/>
      <c r="V27" s="9">
        <v>24</v>
      </c>
      <c r="W27" s="9">
        <v>0</v>
      </c>
      <c r="X27" s="9">
        <v>0</v>
      </c>
      <c r="Y27" s="9">
        <v>0</v>
      </c>
      <c r="Z27" s="2"/>
      <c r="AA27" s="9">
        <v>1</v>
      </c>
      <c r="AB27" s="2"/>
      <c r="AC27" s="9">
        <v>24</v>
      </c>
      <c r="AD27" s="9"/>
      <c r="AE27" s="2"/>
      <c r="AF27" s="9" t="s">
        <v>29</v>
      </c>
      <c r="AG27" s="2"/>
      <c r="AH27" s="9" t="s">
        <v>35</v>
      </c>
    </row>
    <row r="28" spans="1:34" ht="46.8" x14ac:dyDescent="0.3">
      <c r="A28" s="9">
        <v>25</v>
      </c>
      <c r="B28" s="9">
        <v>32</v>
      </c>
      <c r="C28" s="9">
        <v>0</v>
      </c>
      <c r="D28" s="9">
        <v>30</v>
      </c>
      <c r="E28" s="9">
        <v>0</v>
      </c>
      <c r="F28" s="9">
        <v>197</v>
      </c>
      <c r="G28" s="9">
        <v>0</v>
      </c>
      <c r="H28" s="2"/>
      <c r="I28" s="2"/>
      <c r="J28" s="9">
        <v>44</v>
      </c>
      <c r="K28" s="9">
        <v>1</v>
      </c>
      <c r="L28" s="9">
        <v>2</v>
      </c>
      <c r="M28" s="2"/>
      <c r="N28" s="9">
        <v>25</v>
      </c>
      <c r="O28" s="9">
        <v>32</v>
      </c>
      <c r="P28" s="9">
        <v>29</v>
      </c>
      <c r="Q28" s="9">
        <v>192</v>
      </c>
      <c r="R28" s="2"/>
      <c r="S28" s="9">
        <v>45</v>
      </c>
      <c r="T28" s="9">
        <v>2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0</v>
      </c>
      <c r="AB28" s="2"/>
      <c r="AC28" s="9">
        <v>25</v>
      </c>
      <c r="AD28" s="2"/>
      <c r="AE28" s="2"/>
      <c r="AF28" s="9" t="s">
        <v>36</v>
      </c>
      <c r="AG28" s="2"/>
      <c r="AH28" s="9"/>
    </row>
    <row r="29" spans="1:34" ht="46.8" x14ac:dyDescent="0.3">
      <c r="A29" s="9">
        <v>26</v>
      </c>
      <c r="B29" s="9">
        <v>21</v>
      </c>
      <c r="C29" s="9">
        <v>0</v>
      </c>
      <c r="D29" s="9">
        <v>45</v>
      </c>
      <c r="E29" s="9">
        <v>0</v>
      </c>
      <c r="F29" s="9">
        <v>156</v>
      </c>
      <c r="G29" s="9">
        <v>0</v>
      </c>
      <c r="H29" s="2"/>
      <c r="I29" s="2"/>
      <c r="J29" s="9">
        <v>5</v>
      </c>
      <c r="K29" s="9">
        <v>0</v>
      </c>
      <c r="L29" s="9">
        <v>3</v>
      </c>
      <c r="M29" s="2"/>
      <c r="N29" s="9">
        <v>26</v>
      </c>
      <c r="O29" s="9">
        <v>21</v>
      </c>
      <c r="P29" s="9">
        <v>43</v>
      </c>
      <c r="Q29" s="9">
        <v>156</v>
      </c>
      <c r="R29" s="2"/>
      <c r="S29" s="9">
        <v>5</v>
      </c>
      <c r="T29" s="9">
        <v>3</v>
      </c>
      <c r="U29" s="2"/>
      <c r="V29" s="9">
        <v>26</v>
      </c>
      <c r="W29" s="9">
        <v>0</v>
      </c>
      <c r="X29" s="9">
        <v>0</v>
      </c>
      <c r="Y29" s="9">
        <v>0</v>
      </c>
      <c r="Z29" s="2"/>
      <c r="AA29" s="9">
        <v>0</v>
      </c>
      <c r="AB29" s="2"/>
      <c r="AC29" s="9">
        <v>26</v>
      </c>
      <c r="AD29" s="9"/>
      <c r="AE29" s="2" t="s">
        <v>29</v>
      </c>
      <c r="AF29" s="2"/>
      <c r="AG29" s="2"/>
      <c r="AH29" s="2"/>
    </row>
    <row r="30" spans="1:34" ht="46.8" x14ac:dyDescent="0.3">
      <c r="A30" s="9">
        <v>27</v>
      </c>
      <c r="B30" s="2">
        <v>19</v>
      </c>
      <c r="C30" s="9">
        <v>0</v>
      </c>
      <c r="D30" s="2">
        <v>48</v>
      </c>
      <c r="E30" s="9">
        <v>0</v>
      </c>
      <c r="F30" s="2">
        <v>135</v>
      </c>
      <c r="G30" s="9">
        <v>0</v>
      </c>
      <c r="H30" s="2"/>
      <c r="I30" s="2"/>
      <c r="J30" s="2">
        <v>8</v>
      </c>
      <c r="K30" s="9">
        <v>0</v>
      </c>
      <c r="L30" s="2">
        <v>4</v>
      </c>
      <c r="M30" s="2"/>
      <c r="N30" s="9">
        <v>27</v>
      </c>
      <c r="O30" s="2">
        <v>19</v>
      </c>
      <c r="P30" s="2">
        <v>48</v>
      </c>
      <c r="Q30" s="2">
        <v>133</v>
      </c>
      <c r="R30" s="2"/>
      <c r="S30" s="2">
        <v>8</v>
      </c>
      <c r="T30" s="2">
        <v>4</v>
      </c>
      <c r="U30" s="2"/>
      <c r="V30" s="9">
        <v>27</v>
      </c>
      <c r="W30" s="2">
        <v>0</v>
      </c>
      <c r="X30" s="2">
        <v>0</v>
      </c>
      <c r="Y30" s="2">
        <v>0</v>
      </c>
      <c r="Z30" s="2"/>
      <c r="AA30" s="2">
        <v>0</v>
      </c>
      <c r="AB30" s="2"/>
      <c r="AC30" s="9">
        <v>27</v>
      </c>
      <c r="AD30" s="2"/>
      <c r="AE30" s="2"/>
      <c r="AF30" s="2" t="s">
        <v>29</v>
      </c>
      <c r="AG30" s="2"/>
      <c r="AH30" s="2"/>
    </row>
    <row r="31" spans="1:34" ht="46.8" x14ac:dyDescent="0.3">
      <c r="A31" s="9">
        <v>28</v>
      </c>
      <c r="B31" s="2">
        <v>18</v>
      </c>
      <c r="C31" s="2">
        <v>0</v>
      </c>
      <c r="D31" s="2">
        <v>30</v>
      </c>
      <c r="E31" s="2">
        <v>0</v>
      </c>
      <c r="F31" s="2">
        <v>97</v>
      </c>
      <c r="G31" s="2">
        <v>0</v>
      </c>
      <c r="H31" s="2"/>
      <c r="I31" s="2"/>
      <c r="J31" s="2">
        <v>8</v>
      </c>
      <c r="K31" s="2">
        <v>0</v>
      </c>
      <c r="L31" s="2">
        <v>1</v>
      </c>
      <c r="M31" s="2"/>
      <c r="N31" s="9">
        <v>28</v>
      </c>
      <c r="O31" s="2">
        <v>18</v>
      </c>
      <c r="P31" s="2">
        <v>30</v>
      </c>
      <c r="Q31" s="2">
        <v>96</v>
      </c>
      <c r="R31" s="2"/>
      <c r="S31" s="2">
        <v>8</v>
      </c>
      <c r="T31" s="2">
        <v>1</v>
      </c>
      <c r="U31" s="2"/>
      <c r="V31" s="9">
        <v>28</v>
      </c>
      <c r="W31" s="2">
        <v>0</v>
      </c>
      <c r="X31" s="2">
        <v>0</v>
      </c>
      <c r="Y31" s="2">
        <v>0</v>
      </c>
      <c r="Z31" s="2"/>
      <c r="AA31" s="2">
        <v>0</v>
      </c>
      <c r="AB31" s="2"/>
      <c r="AC31" s="9">
        <v>28</v>
      </c>
      <c r="AD31" s="2"/>
      <c r="AE31" s="2"/>
      <c r="AF31" s="2" t="s">
        <v>19</v>
      </c>
      <c r="AG31" s="2"/>
      <c r="AH31" s="2"/>
    </row>
    <row r="32" spans="1:34" ht="140.4" x14ac:dyDescent="0.3">
      <c r="A32" s="9">
        <v>29</v>
      </c>
      <c r="B32" s="2">
        <v>15</v>
      </c>
      <c r="C32" s="2">
        <v>0</v>
      </c>
      <c r="D32" s="2">
        <v>17</v>
      </c>
      <c r="E32" s="2">
        <v>0</v>
      </c>
      <c r="F32" s="2">
        <v>176</v>
      </c>
      <c r="G32" s="2">
        <v>0</v>
      </c>
      <c r="H32" s="2"/>
      <c r="I32" s="2"/>
      <c r="J32" s="2">
        <v>31</v>
      </c>
      <c r="K32" s="2">
        <v>0</v>
      </c>
      <c r="L32" s="2">
        <v>0</v>
      </c>
      <c r="M32" s="2"/>
      <c r="N32" s="9">
        <v>29</v>
      </c>
      <c r="O32" s="2">
        <v>15</v>
      </c>
      <c r="P32" s="2">
        <v>16</v>
      </c>
      <c r="Q32" s="2">
        <v>171</v>
      </c>
      <c r="R32" s="2"/>
      <c r="S32" s="2">
        <v>27</v>
      </c>
      <c r="T32" s="2">
        <v>0</v>
      </c>
      <c r="U32" s="2"/>
      <c r="V32" s="9">
        <v>29</v>
      </c>
      <c r="W32" s="2">
        <v>0</v>
      </c>
      <c r="X32" s="2">
        <v>0</v>
      </c>
      <c r="Y32" s="2">
        <v>5</v>
      </c>
      <c r="Z32" s="2"/>
      <c r="AA32" s="2">
        <v>4</v>
      </c>
      <c r="AB32" s="2"/>
      <c r="AC32" s="9">
        <v>29</v>
      </c>
      <c r="AD32" s="2"/>
      <c r="AE32" s="2" t="s">
        <v>19</v>
      </c>
      <c r="AF32" s="2" t="s">
        <v>37</v>
      </c>
      <c r="AG32" s="2"/>
      <c r="AH32" s="2" t="s">
        <v>38</v>
      </c>
    </row>
    <row r="33" spans="1:34" ht="46.8" x14ac:dyDescent="0.6">
      <c r="A33" s="9">
        <v>30</v>
      </c>
      <c r="B33" s="2">
        <v>13</v>
      </c>
      <c r="C33" s="2">
        <v>0</v>
      </c>
      <c r="D33" s="2">
        <v>47</v>
      </c>
      <c r="E33" s="2">
        <v>0</v>
      </c>
      <c r="F33" s="2">
        <v>185</v>
      </c>
      <c r="G33" s="2">
        <v>5</v>
      </c>
      <c r="H33" s="2"/>
      <c r="I33" s="2"/>
      <c r="J33" s="2">
        <v>7</v>
      </c>
      <c r="K33" s="2">
        <v>4</v>
      </c>
      <c r="L33" s="2">
        <v>1</v>
      </c>
      <c r="M33" s="2"/>
      <c r="N33" s="9">
        <v>30</v>
      </c>
      <c r="O33" s="2">
        <v>13</v>
      </c>
      <c r="P33" s="2">
        <v>47</v>
      </c>
      <c r="Q33" s="2">
        <v>188</v>
      </c>
      <c r="R33" s="2"/>
      <c r="S33" s="2">
        <v>11</v>
      </c>
      <c r="T33" s="2">
        <v>4</v>
      </c>
      <c r="U33" s="2"/>
      <c r="V33" s="9">
        <v>30</v>
      </c>
      <c r="W33" s="2">
        <v>0</v>
      </c>
      <c r="X33" s="2">
        <v>0</v>
      </c>
      <c r="Y33" s="2">
        <v>0</v>
      </c>
      <c r="Z33" s="2"/>
      <c r="AA33" s="2">
        <v>0</v>
      </c>
      <c r="AB33" s="9"/>
      <c r="AC33" s="9">
        <v>30</v>
      </c>
      <c r="AD33" s="2"/>
      <c r="AE33" s="2"/>
      <c r="AF33" s="2" t="s">
        <v>29</v>
      </c>
      <c r="AG33" s="11"/>
      <c r="AH33" s="11"/>
    </row>
    <row r="34" spans="1:34" ht="140.4" x14ac:dyDescent="0.6">
      <c r="A34" s="9">
        <v>31</v>
      </c>
      <c r="B34" s="2">
        <v>12</v>
      </c>
      <c r="C34" s="2">
        <v>0</v>
      </c>
      <c r="D34" s="2">
        <v>42</v>
      </c>
      <c r="E34" s="2">
        <v>0</v>
      </c>
      <c r="F34" s="2">
        <v>175</v>
      </c>
      <c r="G34" s="2">
        <v>0</v>
      </c>
      <c r="H34" s="2"/>
      <c r="I34" s="2"/>
      <c r="J34" s="2">
        <v>100</v>
      </c>
      <c r="K34" s="2">
        <v>0</v>
      </c>
      <c r="L34" s="2">
        <v>0</v>
      </c>
      <c r="M34" s="2"/>
      <c r="N34" s="9">
        <v>31</v>
      </c>
      <c r="O34" s="2">
        <v>12</v>
      </c>
      <c r="P34" s="2">
        <v>42</v>
      </c>
      <c r="Q34" s="2">
        <v>167</v>
      </c>
      <c r="R34" s="2"/>
      <c r="S34" s="2">
        <v>90</v>
      </c>
      <c r="T34" s="2">
        <v>0</v>
      </c>
      <c r="U34" s="2"/>
      <c r="V34" s="9">
        <v>31</v>
      </c>
      <c r="W34" s="2">
        <v>0</v>
      </c>
      <c r="X34" s="2">
        <v>0</v>
      </c>
      <c r="Y34" s="2">
        <v>8</v>
      </c>
      <c r="Z34" s="2"/>
      <c r="AA34" s="2">
        <v>10</v>
      </c>
      <c r="AB34" s="2"/>
      <c r="AC34" s="9">
        <v>31</v>
      </c>
      <c r="AD34" s="2"/>
      <c r="AE34" s="2"/>
      <c r="AF34" s="2" t="s">
        <v>39</v>
      </c>
      <c r="AG34" s="11"/>
      <c r="AH34" s="11" t="s">
        <v>40</v>
      </c>
    </row>
    <row r="35" spans="1:34" ht="26.4" x14ac:dyDescent="0.3">
      <c r="A35" s="12" t="s">
        <v>41</v>
      </c>
      <c r="B35" s="13">
        <f t="shared" ref="B35:G35" si="0">SUM(B4:B34)</f>
        <v>613</v>
      </c>
      <c r="C35" s="13">
        <f t="shared" si="0"/>
        <v>7</v>
      </c>
      <c r="D35" s="13">
        <f t="shared" si="0"/>
        <v>1150</v>
      </c>
      <c r="E35" s="13">
        <f t="shared" si="0"/>
        <v>8</v>
      </c>
      <c r="F35" s="13">
        <f t="shared" si="0"/>
        <v>4471</v>
      </c>
      <c r="G35" s="13">
        <f t="shared" si="0"/>
        <v>110</v>
      </c>
      <c r="H35" s="13">
        <v>0</v>
      </c>
      <c r="I35" s="14"/>
      <c r="J35" s="13">
        <v>407</v>
      </c>
      <c r="K35" s="14"/>
      <c r="L35" s="13">
        <v>63</v>
      </c>
      <c r="M35" s="1"/>
      <c r="N35" s="12" t="s">
        <v>41</v>
      </c>
      <c r="O35" s="13">
        <f t="shared" ref="O35:T35" si="1">SUM(O4:O34)</f>
        <v>609</v>
      </c>
      <c r="P35" s="13">
        <f t="shared" si="1"/>
        <v>1143</v>
      </c>
      <c r="Q35" s="13">
        <f t="shared" si="1"/>
        <v>4425</v>
      </c>
      <c r="R35" s="13">
        <f t="shared" si="1"/>
        <v>0</v>
      </c>
      <c r="S35" s="13">
        <f t="shared" si="1"/>
        <v>530</v>
      </c>
      <c r="T35" s="13">
        <f t="shared" si="1"/>
        <v>92</v>
      </c>
      <c r="U35" s="1"/>
      <c r="V35" s="12" t="s">
        <v>41</v>
      </c>
      <c r="W35" s="13">
        <f t="shared" ref="W35:AA35" si="2">SUM(W4:W34)</f>
        <v>7</v>
      </c>
      <c r="X35" s="13">
        <f t="shared" si="2"/>
        <v>7</v>
      </c>
      <c r="Y35" s="13">
        <f t="shared" si="2"/>
        <v>115</v>
      </c>
      <c r="Z35" s="13">
        <f t="shared" si="2"/>
        <v>0</v>
      </c>
      <c r="AA35" s="13">
        <f t="shared" si="2"/>
        <v>84</v>
      </c>
      <c r="AB35" s="1"/>
      <c r="AC35" s="12" t="s">
        <v>41</v>
      </c>
      <c r="AD35" s="13">
        <f t="shared" ref="AD35:AH35" si="3">SUM(AD4:AD34)</f>
        <v>0</v>
      </c>
      <c r="AE35" s="13">
        <f t="shared" si="3"/>
        <v>0</v>
      </c>
      <c r="AF35" s="13">
        <f t="shared" si="3"/>
        <v>0</v>
      </c>
      <c r="AG35" s="13">
        <f t="shared" si="3"/>
        <v>0</v>
      </c>
      <c r="AH35" s="13">
        <f t="shared" si="3"/>
        <v>0</v>
      </c>
    </row>
    <row r="36" spans="1:34" ht="23.4" x14ac:dyDescent="0.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spans="1:34" ht="23.4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spans="1:34" ht="23.4" x14ac:dyDescent="0.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1:34" ht="23.4" x14ac:dyDescent="0.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spans="1:34" ht="23.4" x14ac:dyDescent="0.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spans="1:34" ht="23.4" x14ac:dyDescent="0.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34" ht="23.4" x14ac:dyDescent="0.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1:34" ht="23.4" x14ac:dyDescent="0.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4" ht="23.4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spans="1:34" ht="23.4" x14ac:dyDescent="0.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 spans="1:34" ht="23.4" x14ac:dyDescent="0.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spans="1:34" ht="23.4" x14ac:dyDescent="0.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spans="1:34" ht="23.4" x14ac:dyDescent="0.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spans="1:34" ht="23.4" x14ac:dyDescent="0.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spans="1:34" ht="23.4" x14ac:dyDescent="0.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ht="23.4" x14ac:dyDescent="0.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spans="1:34" ht="23.4" x14ac:dyDescent="0.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 spans="1:34" ht="23.4" x14ac:dyDescent="0.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34" ht="23.4" x14ac:dyDescent="0.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spans="1:34" ht="23.4" x14ac:dyDescent="0.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spans="1:34" ht="23.4" x14ac:dyDescent="0.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ht="23.4" x14ac:dyDescent="0.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ht="23.4" x14ac:dyDescent="0.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23.4" x14ac:dyDescent="0.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spans="1:34" ht="23.4" x14ac:dyDescent="0.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spans="1:34" ht="23.4" x14ac:dyDescent="0.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ht="23.4" x14ac:dyDescent="0.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ht="23.4" x14ac:dyDescent="0.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spans="1:34" ht="23.4" x14ac:dyDescent="0.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1:34" ht="23.4" x14ac:dyDescent="0.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1:34" ht="23.4" x14ac:dyDescent="0.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 spans="1:34" ht="23.4" x14ac:dyDescent="0.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spans="1:34" ht="23.4" x14ac:dyDescent="0.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ht="23.4" x14ac:dyDescent="0.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spans="1:34" ht="23.4" x14ac:dyDescent="0.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spans="1:34" ht="23.4" x14ac:dyDescent="0.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spans="1:34" ht="23.4" x14ac:dyDescent="0.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 spans="1:34" ht="23.4" x14ac:dyDescent="0.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 spans="1:34" ht="23.4" x14ac:dyDescent="0.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spans="1:34" ht="23.4" x14ac:dyDescent="0.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spans="1:34" ht="23.4" x14ac:dyDescent="0.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1:34" ht="23.4" x14ac:dyDescent="0.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1:34" ht="23.4" x14ac:dyDescent="0.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1:34" ht="23.4" x14ac:dyDescent="0.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spans="1:34" ht="23.4" x14ac:dyDescent="0.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1:34" ht="23.4" x14ac:dyDescent="0.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spans="1:34" ht="23.4" x14ac:dyDescent="0.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1:34" ht="23.4" x14ac:dyDescent="0.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spans="1:34" ht="23.4" x14ac:dyDescent="0.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spans="1:34" ht="23.4" x14ac:dyDescent="0.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1:34" ht="23.4" x14ac:dyDescent="0.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1:34" ht="23.4" x14ac:dyDescent="0.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spans="1:34" ht="23.4" x14ac:dyDescent="0.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1:34" ht="23.4" x14ac:dyDescent="0.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1:34" ht="23.4" x14ac:dyDescent="0.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spans="1:34" ht="23.4" x14ac:dyDescent="0.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1:34" ht="23.4" x14ac:dyDescent="0.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1:34" ht="23.4" x14ac:dyDescent="0.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spans="1:34" ht="23.4" x14ac:dyDescent="0.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1:34" ht="23.4" x14ac:dyDescent="0.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spans="1:34" ht="23.4" x14ac:dyDescent="0.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 spans="1:34" ht="23.4" x14ac:dyDescent="0.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 spans="1:34" ht="23.4" x14ac:dyDescent="0.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ht="23.4" x14ac:dyDescent="0.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 spans="1:34" ht="23.4" x14ac:dyDescent="0.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spans="1:34" ht="23.4" x14ac:dyDescent="0.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spans="1:34" ht="23.4" x14ac:dyDescent="0.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spans="1:34" ht="23.4" x14ac:dyDescent="0.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spans="1:34" ht="23.4" x14ac:dyDescent="0.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spans="1:34" ht="23.4" x14ac:dyDescent="0.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spans="1:34" ht="23.4" x14ac:dyDescent="0.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spans="1:34" ht="23.4" x14ac:dyDescent="0.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spans="1:34" ht="23.4" x14ac:dyDescent="0.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spans="1:34" ht="23.4" x14ac:dyDescent="0.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spans="1:34" ht="23.4" x14ac:dyDescent="0.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spans="1:34" ht="23.4" x14ac:dyDescent="0.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spans="1:34" ht="23.4" x14ac:dyDescent="0.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spans="1:34" ht="23.4" x14ac:dyDescent="0.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spans="1:34" ht="23.4" x14ac:dyDescent="0.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spans="1:34" ht="23.4" x14ac:dyDescent="0.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spans="1:34" ht="23.4" x14ac:dyDescent="0.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spans="1:34" ht="23.4" x14ac:dyDescent="0.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ht="23.4" x14ac:dyDescent="0.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spans="1:34" ht="23.4" x14ac:dyDescent="0.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spans="1:34" ht="23.4" x14ac:dyDescent="0.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spans="1:34" ht="23.4" x14ac:dyDescent="0.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spans="1:34" ht="23.4" x14ac:dyDescent="0.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spans="1:34" ht="23.4" x14ac:dyDescent="0.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ht="23.4" x14ac:dyDescent="0.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spans="1:34" ht="23.4" x14ac:dyDescent="0.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spans="1:34" ht="23.4" x14ac:dyDescent="0.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34" ht="23.4" x14ac:dyDescent="0.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spans="1:34" ht="23.4" x14ac:dyDescent="0.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spans="1:34" ht="23.4" x14ac:dyDescent="0.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spans="1:34" ht="23.4" x14ac:dyDescent="0.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spans="1:34" ht="23.4" x14ac:dyDescent="0.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spans="1:34" ht="23.4" x14ac:dyDescent="0.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spans="1:34" ht="23.4" x14ac:dyDescent="0.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spans="1:34" ht="23.4" x14ac:dyDescent="0.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spans="1:34" ht="23.4" x14ac:dyDescent="0.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spans="1:34" ht="23.4" x14ac:dyDescent="0.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spans="1:34" ht="23.4" x14ac:dyDescent="0.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spans="1:34" ht="23.4" x14ac:dyDescent="0.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spans="1:34" ht="23.4" x14ac:dyDescent="0.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ht="23.4" x14ac:dyDescent="0.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34" ht="23.4" x14ac:dyDescent="0.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spans="1:34" ht="23.4" x14ac:dyDescent="0.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spans="1:34" ht="23.4" x14ac:dyDescent="0.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spans="1:34" ht="23.4" x14ac:dyDescent="0.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spans="1:34" ht="23.4" x14ac:dyDescent="0.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spans="1:34" ht="23.4" x14ac:dyDescent="0.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spans="1:34" ht="23.4" x14ac:dyDescent="0.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spans="1:34" ht="23.4" x14ac:dyDescent="0.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spans="1:34" ht="23.4" x14ac:dyDescent="0.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spans="1:34" ht="23.4" x14ac:dyDescent="0.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spans="1:34" ht="23.4" x14ac:dyDescent="0.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spans="1:34" ht="23.4" x14ac:dyDescent="0.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spans="1:34" ht="23.4" x14ac:dyDescent="0.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spans="1:34" ht="23.4" x14ac:dyDescent="0.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ht="23.4" x14ac:dyDescent="0.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spans="1:34" ht="23.4" x14ac:dyDescent="0.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spans="1:34" ht="23.4" x14ac:dyDescent="0.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spans="1:34" ht="23.4" x14ac:dyDescent="0.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spans="1:34" ht="23.4" x14ac:dyDescent="0.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spans="1:34" ht="23.4" x14ac:dyDescent="0.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spans="1:34" ht="23.4" x14ac:dyDescent="0.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spans="1:34" ht="23.4" x14ac:dyDescent="0.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spans="1:34" ht="23.4" x14ac:dyDescent="0.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spans="1:34" ht="23.4" x14ac:dyDescent="0.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spans="1:34" ht="23.4" x14ac:dyDescent="0.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spans="1:34" ht="23.4" x14ac:dyDescent="0.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spans="1:34" ht="23.4" x14ac:dyDescent="0.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spans="1:34" ht="23.4" x14ac:dyDescent="0.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spans="1:34" ht="23.4" x14ac:dyDescent="0.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spans="1:34" ht="23.4" x14ac:dyDescent="0.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ht="23.4" x14ac:dyDescent="0.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spans="1:34" ht="23.4" x14ac:dyDescent="0.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spans="1:34" ht="23.4" x14ac:dyDescent="0.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spans="1:34" ht="23.4" x14ac:dyDescent="0.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spans="1:34" ht="23.4" x14ac:dyDescent="0.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spans="1:34" ht="23.4" x14ac:dyDescent="0.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spans="1:34" ht="23.4" x14ac:dyDescent="0.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spans="1:34" ht="23.4" x14ac:dyDescent="0.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spans="1:34" ht="23.4" x14ac:dyDescent="0.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spans="1:34" ht="23.4" x14ac:dyDescent="0.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spans="1:34" ht="23.4" x14ac:dyDescent="0.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spans="1:34" ht="23.4" x14ac:dyDescent="0.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spans="1:34" ht="23.4" x14ac:dyDescent="0.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spans="1:34" ht="23.4" x14ac:dyDescent="0.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ht="23.4" x14ac:dyDescent="0.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spans="1:34" ht="23.4" x14ac:dyDescent="0.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spans="1:34" ht="23.4" x14ac:dyDescent="0.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spans="1:34" ht="23.4" x14ac:dyDescent="0.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spans="1:34" ht="23.4" x14ac:dyDescent="0.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spans="1:34" ht="23.4" x14ac:dyDescent="0.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spans="1:34" ht="23.4" x14ac:dyDescent="0.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spans="1:34" ht="23.4" x14ac:dyDescent="0.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spans="1:34" ht="23.4" x14ac:dyDescent="0.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spans="1:34" ht="23.4" x14ac:dyDescent="0.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spans="1:34" ht="23.4" x14ac:dyDescent="0.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spans="1:34" ht="23.4" x14ac:dyDescent="0.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spans="1:34" ht="23.4" x14ac:dyDescent="0.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spans="1:34" ht="23.4" x14ac:dyDescent="0.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spans="1:34" ht="23.4" x14ac:dyDescent="0.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34" ht="23.4" x14ac:dyDescent="0.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spans="1:34" ht="23.4" x14ac:dyDescent="0.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spans="1:34" ht="23.4" x14ac:dyDescent="0.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spans="1:34" ht="23.4" x14ac:dyDescent="0.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spans="1:34" ht="23.4" x14ac:dyDescent="0.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spans="1:34" ht="23.4" x14ac:dyDescent="0.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spans="1:34" ht="23.4" x14ac:dyDescent="0.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spans="1:34" ht="23.4" x14ac:dyDescent="0.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spans="1:34" ht="23.4" x14ac:dyDescent="0.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spans="1:34" ht="23.4" x14ac:dyDescent="0.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spans="1:34" ht="23.4" x14ac:dyDescent="0.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spans="1:34" ht="23.4" x14ac:dyDescent="0.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spans="1:34" ht="23.4" x14ac:dyDescent="0.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spans="1:34" ht="23.4" x14ac:dyDescent="0.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spans="1:34" ht="23.4" x14ac:dyDescent="0.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spans="1:34" ht="23.4" x14ac:dyDescent="0.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spans="1:34" ht="23.4" x14ac:dyDescent="0.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spans="1:34" ht="23.4" x14ac:dyDescent="0.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spans="1:34" ht="23.4" x14ac:dyDescent="0.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spans="1:34" ht="23.4" x14ac:dyDescent="0.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spans="1:34" ht="23.4" x14ac:dyDescent="0.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spans="1:34" ht="23.4" x14ac:dyDescent="0.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spans="1:34" ht="23.4" x14ac:dyDescent="0.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spans="1:34" ht="23.4" x14ac:dyDescent="0.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spans="1:34" ht="23.4" x14ac:dyDescent="0.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spans="1:34" ht="23.4" x14ac:dyDescent="0.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spans="1:34" ht="23.4" x14ac:dyDescent="0.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spans="1:34" ht="23.4" x14ac:dyDescent="0.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spans="1:34" ht="23.4" x14ac:dyDescent="0.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spans="1:34" ht="23.4" x14ac:dyDescent="0.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spans="1:34" ht="23.4" x14ac:dyDescent="0.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spans="1:34" ht="23.4" x14ac:dyDescent="0.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spans="1:34" ht="23.4" x14ac:dyDescent="0.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spans="1:34" ht="23.4" x14ac:dyDescent="0.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spans="1:34" ht="23.4" x14ac:dyDescent="0.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spans="1:34" ht="23.4" x14ac:dyDescent="0.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spans="1:34" ht="23.4" x14ac:dyDescent="0.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spans="1:34" ht="23.4" x14ac:dyDescent="0.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spans="1:34" ht="23.4" x14ac:dyDescent="0.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spans="1:34" ht="23.4" x14ac:dyDescent="0.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spans="1:34" ht="23.4" x14ac:dyDescent="0.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spans="1:34" ht="23.4" x14ac:dyDescent="0.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spans="1:34" ht="23.4" x14ac:dyDescent="0.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spans="1:34" ht="23.4" x14ac:dyDescent="0.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spans="1:34" ht="23.4" x14ac:dyDescent="0.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spans="1:34" ht="23.4" x14ac:dyDescent="0.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spans="1:34" ht="23.4" x14ac:dyDescent="0.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spans="1:34" ht="23.4" x14ac:dyDescent="0.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spans="1:34" ht="23.4" x14ac:dyDescent="0.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spans="1:34" ht="23.4" x14ac:dyDescent="0.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spans="1:34" ht="23.4" x14ac:dyDescent="0.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spans="1:34" ht="23.4" x14ac:dyDescent="0.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spans="1:34" ht="23.4" x14ac:dyDescent="0.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spans="1:34" ht="23.4" x14ac:dyDescent="0.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spans="1:34" ht="23.4" x14ac:dyDescent="0.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spans="1:34" ht="23.4" x14ac:dyDescent="0.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spans="1:34" ht="23.4" x14ac:dyDescent="0.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spans="1:34" ht="23.4" x14ac:dyDescent="0.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spans="1:34" ht="23.4" x14ac:dyDescent="0.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spans="1:34" ht="23.4" x14ac:dyDescent="0.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spans="1:34" ht="23.4" x14ac:dyDescent="0.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spans="1:34" ht="23.4" x14ac:dyDescent="0.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spans="1:34" ht="23.4" x14ac:dyDescent="0.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spans="1:34" ht="23.4" x14ac:dyDescent="0.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spans="1:34" ht="23.4" x14ac:dyDescent="0.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spans="1:34" ht="23.4" x14ac:dyDescent="0.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spans="1:34" ht="23.4" x14ac:dyDescent="0.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spans="1:34" ht="23.4" x14ac:dyDescent="0.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spans="1:34" ht="23.4" x14ac:dyDescent="0.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spans="1:34" ht="23.4" x14ac:dyDescent="0.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spans="1:34" ht="23.4" x14ac:dyDescent="0.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spans="1:34" ht="23.4" x14ac:dyDescent="0.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spans="1:34" ht="23.4" x14ac:dyDescent="0.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spans="1:34" ht="23.4" x14ac:dyDescent="0.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spans="1:34" ht="23.4" x14ac:dyDescent="0.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spans="1:34" ht="23.4" x14ac:dyDescent="0.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spans="1:34" ht="23.4" x14ac:dyDescent="0.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spans="1:34" ht="23.4" x14ac:dyDescent="0.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spans="1:34" ht="23.4" x14ac:dyDescent="0.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spans="1:34" ht="23.4" x14ac:dyDescent="0.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spans="1:34" ht="23.4" x14ac:dyDescent="0.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spans="1:34" ht="23.4" x14ac:dyDescent="0.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spans="1:34" ht="23.4" x14ac:dyDescent="0.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spans="1:34" ht="23.4" x14ac:dyDescent="0.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spans="1:34" ht="23.4" x14ac:dyDescent="0.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spans="1:34" ht="23.4" x14ac:dyDescent="0.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spans="1:34" ht="23.4" x14ac:dyDescent="0.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spans="1:34" ht="23.4" x14ac:dyDescent="0.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spans="1:34" ht="23.4" x14ac:dyDescent="0.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spans="1:34" ht="23.4" x14ac:dyDescent="0.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spans="1:34" ht="23.4" x14ac:dyDescent="0.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spans="1:34" ht="23.4" x14ac:dyDescent="0.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spans="1:34" ht="23.4" x14ac:dyDescent="0.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spans="1:34" ht="23.4" x14ac:dyDescent="0.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spans="1:34" ht="23.4" x14ac:dyDescent="0.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spans="1:34" ht="23.4" x14ac:dyDescent="0.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spans="1:34" ht="23.4" x14ac:dyDescent="0.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spans="1:34" ht="23.4" x14ac:dyDescent="0.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spans="1:34" ht="23.4" x14ac:dyDescent="0.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spans="1:34" ht="23.4" x14ac:dyDescent="0.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spans="1:34" ht="23.4" x14ac:dyDescent="0.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spans="1:34" ht="23.4" x14ac:dyDescent="0.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spans="1:34" ht="23.4" x14ac:dyDescent="0.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spans="1:34" ht="23.4" x14ac:dyDescent="0.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spans="1:34" ht="23.4" x14ac:dyDescent="0.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spans="1:34" ht="23.4" x14ac:dyDescent="0.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spans="1:34" ht="23.4" x14ac:dyDescent="0.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spans="1:34" ht="23.4" x14ac:dyDescent="0.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spans="1:34" ht="23.4" x14ac:dyDescent="0.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spans="1:34" ht="23.4" x14ac:dyDescent="0.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spans="1:34" ht="23.4" x14ac:dyDescent="0.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spans="1:34" ht="23.4" x14ac:dyDescent="0.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spans="1:34" ht="23.4" x14ac:dyDescent="0.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spans="1:34" ht="23.4" x14ac:dyDescent="0.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spans="1:34" ht="23.4" x14ac:dyDescent="0.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spans="1:34" ht="23.4" x14ac:dyDescent="0.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spans="1:34" ht="23.4" x14ac:dyDescent="0.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spans="1:34" ht="23.4" x14ac:dyDescent="0.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spans="1:34" ht="23.4" x14ac:dyDescent="0.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spans="1:34" ht="23.4" x14ac:dyDescent="0.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spans="1:34" ht="23.4" x14ac:dyDescent="0.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spans="1:34" ht="23.4" x14ac:dyDescent="0.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spans="1:34" ht="23.4" x14ac:dyDescent="0.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spans="1:34" ht="23.4" x14ac:dyDescent="0.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spans="1:34" ht="23.4" x14ac:dyDescent="0.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spans="1:34" ht="23.4" x14ac:dyDescent="0.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spans="1:34" ht="23.4" x14ac:dyDescent="0.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spans="1:34" ht="23.4" x14ac:dyDescent="0.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spans="1:34" ht="23.4" x14ac:dyDescent="0.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spans="1:34" ht="23.4" x14ac:dyDescent="0.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spans="1:34" ht="23.4" x14ac:dyDescent="0.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spans="1:34" ht="23.4" x14ac:dyDescent="0.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spans="1:34" ht="23.4" x14ac:dyDescent="0.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spans="1:34" ht="23.4" x14ac:dyDescent="0.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spans="1:34" ht="23.4" x14ac:dyDescent="0.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spans="1:34" ht="23.4" x14ac:dyDescent="0.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spans="1:34" ht="23.4" x14ac:dyDescent="0.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spans="1:34" ht="23.4" x14ac:dyDescent="0.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spans="1:34" ht="23.4" x14ac:dyDescent="0.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spans="1:34" ht="23.4" x14ac:dyDescent="0.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spans="1:34" ht="23.4" x14ac:dyDescent="0.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spans="1:34" ht="23.4" x14ac:dyDescent="0.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spans="1:34" ht="23.4" x14ac:dyDescent="0.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spans="1:34" ht="23.4" x14ac:dyDescent="0.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 spans="1:34" ht="23.4" x14ac:dyDescent="0.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 spans="1:34" ht="23.4" x14ac:dyDescent="0.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 spans="1:34" ht="23.4" x14ac:dyDescent="0.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 spans="1:34" ht="23.4" x14ac:dyDescent="0.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 spans="1:34" ht="23.4" x14ac:dyDescent="0.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 spans="1:34" ht="23.4" x14ac:dyDescent="0.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 spans="1:34" ht="23.4" x14ac:dyDescent="0.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 spans="1:34" ht="23.4" x14ac:dyDescent="0.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 spans="1:34" ht="23.4" x14ac:dyDescent="0.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 spans="1:34" ht="23.4" x14ac:dyDescent="0.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spans="1:34" ht="23.4" x14ac:dyDescent="0.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 spans="1:34" ht="23.4" x14ac:dyDescent="0.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 spans="1:34" ht="23.4" x14ac:dyDescent="0.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 spans="1:34" ht="23.4" x14ac:dyDescent="0.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 spans="1:34" ht="23.4" x14ac:dyDescent="0.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 spans="1:34" ht="23.4" x14ac:dyDescent="0.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 spans="1:34" ht="23.4" x14ac:dyDescent="0.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 spans="1:34" ht="23.4" x14ac:dyDescent="0.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 spans="1:34" ht="23.4" x14ac:dyDescent="0.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 spans="1:34" ht="23.4" x14ac:dyDescent="0.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 spans="1:34" ht="23.4" x14ac:dyDescent="0.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 spans="1:34" ht="23.4" x14ac:dyDescent="0.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 spans="1:34" ht="23.4" x14ac:dyDescent="0.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 spans="1:34" ht="23.4" x14ac:dyDescent="0.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 spans="1:34" ht="23.4" x14ac:dyDescent="0.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 spans="1:34" ht="23.4" x14ac:dyDescent="0.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 spans="1:34" ht="23.4" x14ac:dyDescent="0.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 spans="1:34" ht="23.4" x14ac:dyDescent="0.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 spans="1:34" ht="23.4" x14ac:dyDescent="0.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 spans="1:34" ht="23.4" x14ac:dyDescent="0.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 spans="1:34" ht="23.4" x14ac:dyDescent="0.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 spans="1:34" ht="23.4" x14ac:dyDescent="0.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spans="1:34" ht="23.4" x14ac:dyDescent="0.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 spans="1:34" ht="23.4" x14ac:dyDescent="0.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 spans="1:34" ht="23.4" x14ac:dyDescent="0.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 spans="1:34" ht="23.4" x14ac:dyDescent="0.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 spans="1:34" ht="23.4" x14ac:dyDescent="0.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 spans="1:34" ht="23.4" x14ac:dyDescent="0.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 spans="1:34" ht="23.4" x14ac:dyDescent="0.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 spans="1:34" ht="23.4" x14ac:dyDescent="0.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 spans="1:34" ht="23.4" x14ac:dyDescent="0.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 spans="1:34" ht="23.4" x14ac:dyDescent="0.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 spans="1:34" ht="23.4" x14ac:dyDescent="0.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 spans="1:34" ht="23.4" x14ac:dyDescent="0.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 spans="1:34" ht="23.4" x14ac:dyDescent="0.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 spans="1:34" ht="23.4" x14ac:dyDescent="0.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 spans="1:34" ht="23.4" x14ac:dyDescent="0.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 spans="1:34" ht="23.4" x14ac:dyDescent="0.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 spans="1:34" ht="23.4" x14ac:dyDescent="0.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 spans="1:34" ht="23.4" x14ac:dyDescent="0.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 spans="1:34" ht="23.4" x14ac:dyDescent="0.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 spans="1:34" ht="23.4" x14ac:dyDescent="0.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 spans="1:34" ht="23.4" x14ac:dyDescent="0.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 spans="1:34" ht="23.4" x14ac:dyDescent="0.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spans="1:34" ht="23.4" x14ac:dyDescent="0.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 spans="1:34" ht="23.4" x14ac:dyDescent="0.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 spans="1:34" ht="23.4" x14ac:dyDescent="0.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 spans="1:34" ht="23.4" x14ac:dyDescent="0.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 spans="1:34" ht="23.4" x14ac:dyDescent="0.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 spans="1:34" ht="23.4" x14ac:dyDescent="0.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 spans="1:34" ht="23.4" x14ac:dyDescent="0.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 spans="1:34" ht="23.4" x14ac:dyDescent="0.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 spans="1:34" ht="23.4" x14ac:dyDescent="0.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 spans="1:34" ht="23.4" x14ac:dyDescent="0.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 spans="1:34" ht="23.4" x14ac:dyDescent="0.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 spans="1:34" ht="23.4" x14ac:dyDescent="0.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 spans="1:34" ht="23.4" x14ac:dyDescent="0.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 spans="1:34" ht="23.4" x14ac:dyDescent="0.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 spans="1:34" ht="23.4" x14ac:dyDescent="0.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 spans="1:34" ht="23.4" x14ac:dyDescent="0.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 spans="1:34" ht="23.4" x14ac:dyDescent="0.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 spans="1:34" ht="23.4" x14ac:dyDescent="0.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 spans="1:34" ht="23.4" x14ac:dyDescent="0.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 spans="1:34" ht="23.4" x14ac:dyDescent="0.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 spans="1:34" ht="23.4" x14ac:dyDescent="0.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 spans="1:34" ht="23.4" x14ac:dyDescent="0.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 spans="1:34" ht="23.4" x14ac:dyDescent="0.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 spans="1:34" ht="23.4" x14ac:dyDescent="0.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 spans="1:34" ht="23.4" x14ac:dyDescent="0.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 spans="1:34" ht="23.4" x14ac:dyDescent="0.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 spans="1:34" ht="23.4" x14ac:dyDescent="0.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 spans="1:34" ht="23.4" x14ac:dyDescent="0.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 spans="1:34" ht="23.4" x14ac:dyDescent="0.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 spans="1:34" ht="23.4" x14ac:dyDescent="0.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 spans="1:34" ht="23.4" x14ac:dyDescent="0.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 spans="1:34" ht="23.4" x14ac:dyDescent="0.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 spans="1:34" ht="23.4" x14ac:dyDescent="0.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 spans="1:34" ht="23.4" x14ac:dyDescent="0.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 spans="1:34" ht="23.4" x14ac:dyDescent="0.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 spans="1:34" ht="23.4" x14ac:dyDescent="0.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 spans="1:34" ht="23.4" x14ac:dyDescent="0.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 spans="1:34" ht="23.4" x14ac:dyDescent="0.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 spans="1:34" ht="23.4" x14ac:dyDescent="0.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 spans="1:34" ht="23.4" x14ac:dyDescent="0.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 spans="1:34" ht="23.4" x14ac:dyDescent="0.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 spans="1:34" ht="23.4" x14ac:dyDescent="0.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 spans="1:34" ht="23.4" x14ac:dyDescent="0.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 spans="1:34" ht="23.4" x14ac:dyDescent="0.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 spans="1:34" ht="23.4" x14ac:dyDescent="0.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 spans="1:34" ht="23.4" x14ac:dyDescent="0.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 spans="1:34" ht="23.4" x14ac:dyDescent="0.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 spans="1:34" ht="23.4" x14ac:dyDescent="0.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 spans="1:34" ht="23.4" x14ac:dyDescent="0.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 spans="1:34" ht="23.4" x14ac:dyDescent="0.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 spans="1:34" ht="23.4" x14ac:dyDescent="0.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 spans="1:34" ht="23.4" x14ac:dyDescent="0.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 spans="1:34" ht="23.4" x14ac:dyDescent="0.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 spans="1:34" ht="23.4" x14ac:dyDescent="0.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 spans="1:34" ht="23.4" x14ac:dyDescent="0.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 spans="1:34" ht="23.4" x14ac:dyDescent="0.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 spans="1:34" ht="23.4" x14ac:dyDescent="0.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 spans="1:34" ht="23.4" x14ac:dyDescent="0.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 spans="1:34" ht="23.4" x14ac:dyDescent="0.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 spans="1:34" ht="23.4" x14ac:dyDescent="0.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 spans="1:34" ht="23.4" x14ac:dyDescent="0.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 spans="1:34" ht="23.4" x14ac:dyDescent="0.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 spans="1:34" ht="23.4" x14ac:dyDescent="0.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 spans="1:34" ht="23.4" x14ac:dyDescent="0.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 spans="1:34" ht="23.4" x14ac:dyDescent="0.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 spans="1:34" ht="23.4" x14ac:dyDescent="0.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 spans="1:34" ht="23.4" x14ac:dyDescent="0.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 spans="1:34" ht="23.4" x14ac:dyDescent="0.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 spans="1:34" ht="23.4" x14ac:dyDescent="0.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 spans="1:34" ht="23.4" x14ac:dyDescent="0.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 spans="1:34" ht="23.4" x14ac:dyDescent="0.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 spans="1:34" ht="23.4" x14ac:dyDescent="0.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 spans="1:34" ht="23.4" x14ac:dyDescent="0.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 spans="1:34" ht="23.4" x14ac:dyDescent="0.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 spans="1:34" ht="23.4" x14ac:dyDescent="0.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 spans="1:34" ht="23.4" x14ac:dyDescent="0.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 spans="1:34" ht="23.4" x14ac:dyDescent="0.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 spans="1:34" ht="23.4" x14ac:dyDescent="0.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 spans="1:34" ht="23.4" x14ac:dyDescent="0.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 spans="1:34" ht="23.4" x14ac:dyDescent="0.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 spans="1:34" ht="23.4" x14ac:dyDescent="0.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 spans="1:34" ht="23.4" x14ac:dyDescent="0.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 spans="1:34" ht="23.4" x14ac:dyDescent="0.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 spans="1:34" ht="23.4" x14ac:dyDescent="0.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 spans="1:34" ht="23.4" x14ac:dyDescent="0.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 spans="1:34" ht="23.4" x14ac:dyDescent="0.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 spans="1:34" ht="23.4" x14ac:dyDescent="0.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 spans="1:34" ht="23.4" x14ac:dyDescent="0.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 spans="1:34" ht="23.4" x14ac:dyDescent="0.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 spans="1:34" ht="23.4" x14ac:dyDescent="0.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 spans="1:34" ht="23.4" x14ac:dyDescent="0.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 spans="1:34" ht="23.4" x14ac:dyDescent="0.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 spans="1:34" ht="23.4" x14ac:dyDescent="0.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 spans="1:34" ht="23.4" x14ac:dyDescent="0.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 spans="1:34" ht="23.4" x14ac:dyDescent="0.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 spans="1:34" ht="23.4" x14ac:dyDescent="0.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 spans="1:34" ht="23.4" x14ac:dyDescent="0.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 spans="1:34" ht="23.4" x14ac:dyDescent="0.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 spans="1:34" ht="23.4" x14ac:dyDescent="0.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 spans="1:34" ht="23.4" x14ac:dyDescent="0.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 spans="1:34" ht="23.4" x14ac:dyDescent="0.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 spans="1:34" ht="23.4" x14ac:dyDescent="0.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 spans="1:34" ht="23.4" x14ac:dyDescent="0.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 spans="1:34" ht="23.4" x14ac:dyDescent="0.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 spans="1:34" ht="23.4" x14ac:dyDescent="0.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 spans="1:34" ht="23.4" x14ac:dyDescent="0.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 spans="1:34" ht="23.4" x14ac:dyDescent="0.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 spans="1:34" ht="23.4" x14ac:dyDescent="0.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 spans="1:34" ht="23.4" x14ac:dyDescent="0.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 spans="1:34" ht="23.4" x14ac:dyDescent="0.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 spans="1:34" ht="23.4" x14ac:dyDescent="0.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 spans="1:34" ht="23.4" x14ac:dyDescent="0.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 spans="1:34" ht="23.4" x14ac:dyDescent="0.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 spans="1:34" ht="23.4" x14ac:dyDescent="0.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 spans="1:34" ht="23.4" x14ac:dyDescent="0.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 spans="1:34" ht="23.4" x14ac:dyDescent="0.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 spans="1:34" ht="23.4" x14ac:dyDescent="0.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 spans="1:34" ht="23.4" x14ac:dyDescent="0.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 spans="1:34" ht="23.4" x14ac:dyDescent="0.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 spans="1:34" ht="23.4" x14ac:dyDescent="0.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 spans="1:34" ht="23.4" x14ac:dyDescent="0.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 spans="1:34" ht="23.4" x14ac:dyDescent="0.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 spans="1:34" ht="23.4" x14ac:dyDescent="0.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 spans="1:34" ht="23.4" x14ac:dyDescent="0.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 spans="1:34" ht="23.4" x14ac:dyDescent="0.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 spans="1:34" ht="23.4" x14ac:dyDescent="0.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 spans="1:34" ht="23.4" x14ac:dyDescent="0.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 spans="1:34" ht="23.4" x14ac:dyDescent="0.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 spans="1:34" ht="23.4" x14ac:dyDescent="0.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 spans="1:34" ht="23.4" x14ac:dyDescent="0.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 spans="1:34" ht="23.4" x14ac:dyDescent="0.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 spans="1:34" ht="23.4" x14ac:dyDescent="0.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 spans="1:34" ht="23.4" x14ac:dyDescent="0.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 spans="1:34" ht="23.4" x14ac:dyDescent="0.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 spans="1:34" ht="23.4" x14ac:dyDescent="0.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 spans="1:34" ht="23.4" x14ac:dyDescent="0.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 spans="1:34" ht="23.4" x14ac:dyDescent="0.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 spans="1:34" ht="23.4" x14ac:dyDescent="0.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 spans="1:34" ht="23.4" x14ac:dyDescent="0.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 spans="1:34" ht="23.4" x14ac:dyDescent="0.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 spans="1:34" ht="23.4" x14ac:dyDescent="0.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 spans="1:34" ht="23.4" x14ac:dyDescent="0.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 spans="1:34" ht="23.4" x14ac:dyDescent="0.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 spans="1:34" ht="23.4" x14ac:dyDescent="0.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 spans="1:34" ht="23.4" x14ac:dyDescent="0.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 spans="1:34" ht="23.4" x14ac:dyDescent="0.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 spans="1:34" ht="23.4" x14ac:dyDescent="0.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 spans="1:34" ht="23.4" x14ac:dyDescent="0.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 spans="1:34" ht="23.4" x14ac:dyDescent="0.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 spans="1:34" ht="23.4" x14ac:dyDescent="0.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 spans="1:34" ht="23.4" x14ac:dyDescent="0.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 spans="1:34" ht="23.4" x14ac:dyDescent="0.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 spans="1:34" ht="23.4" x14ac:dyDescent="0.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 spans="1:34" ht="23.4" x14ac:dyDescent="0.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 spans="1:34" ht="23.4" x14ac:dyDescent="0.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 spans="1:34" ht="23.4" x14ac:dyDescent="0.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 spans="1:34" ht="23.4" x14ac:dyDescent="0.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 spans="1:34" ht="23.4" x14ac:dyDescent="0.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 spans="1:34" ht="23.4" x14ac:dyDescent="0.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 spans="1:34" ht="23.4" x14ac:dyDescent="0.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 spans="1:34" ht="23.4" x14ac:dyDescent="0.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 spans="1:34" ht="23.4" x14ac:dyDescent="0.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 spans="1:34" ht="23.4" x14ac:dyDescent="0.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 spans="1:34" ht="23.4" x14ac:dyDescent="0.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 spans="1:34" ht="23.4" x14ac:dyDescent="0.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 spans="1:34" ht="23.4" x14ac:dyDescent="0.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 spans="1:34" ht="23.4" x14ac:dyDescent="0.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 spans="1:34" ht="23.4" x14ac:dyDescent="0.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 spans="1:34" ht="23.4" x14ac:dyDescent="0.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 spans="1:34" ht="23.4" x14ac:dyDescent="0.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 spans="1:34" ht="23.4" x14ac:dyDescent="0.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 spans="1:34" ht="23.4" x14ac:dyDescent="0.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 spans="1:34" ht="23.4" x14ac:dyDescent="0.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 spans="1:34" ht="23.4" x14ac:dyDescent="0.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 spans="1:34" ht="23.4" x14ac:dyDescent="0.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 spans="1:34" ht="23.4" x14ac:dyDescent="0.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 spans="1:34" ht="23.4" x14ac:dyDescent="0.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 spans="1:34" ht="23.4" x14ac:dyDescent="0.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 spans="1:34" ht="23.4" x14ac:dyDescent="0.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 spans="1:34" ht="23.4" x14ac:dyDescent="0.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 spans="1:34" ht="23.4" x14ac:dyDescent="0.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 spans="1:34" ht="23.4" x14ac:dyDescent="0.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 spans="1:34" ht="23.4" x14ac:dyDescent="0.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 spans="1:34" ht="23.4" x14ac:dyDescent="0.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 spans="1:34" ht="23.4" x14ac:dyDescent="0.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 spans="1:34" ht="23.4" x14ac:dyDescent="0.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 spans="1:34" ht="23.4" x14ac:dyDescent="0.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 spans="1:34" ht="23.4" x14ac:dyDescent="0.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 spans="1:34" ht="23.4" x14ac:dyDescent="0.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 spans="1:34" ht="23.4" x14ac:dyDescent="0.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 spans="1:34" ht="23.4" x14ac:dyDescent="0.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 spans="1:34" ht="23.4" x14ac:dyDescent="0.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 spans="1:34" ht="23.4" x14ac:dyDescent="0.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 spans="1:34" ht="23.4" x14ac:dyDescent="0.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 spans="1:34" ht="23.4" x14ac:dyDescent="0.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 spans="1:34" ht="23.4" x14ac:dyDescent="0.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 spans="1:34" ht="23.4" x14ac:dyDescent="0.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 spans="1:34" ht="23.4" x14ac:dyDescent="0.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 spans="1:34" ht="23.4" x14ac:dyDescent="0.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 spans="1:34" ht="23.4" x14ac:dyDescent="0.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 spans="1:34" ht="23.4" x14ac:dyDescent="0.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 spans="1:34" ht="23.4" x14ac:dyDescent="0.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 spans="1:34" ht="23.4" x14ac:dyDescent="0.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 spans="1:34" ht="23.4" x14ac:dyDescent="0.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 spans="1:34" ht="23.4" x14ac:dyDescent="0.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 spans="1:34" ht="23.4" x14ac:dyDescent="0.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 spans="1:34" ht="23.4" x14ac:dyDescent="0.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 spans="1:34" ht="23.4" x14ac:dyDescent="0.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 spans="1:34" ht="23.4" x14ac:dyDescent="0.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 spans="1:34" ht="23.4" x14ac:dyDescent="0.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 spans="1:34" ht="23.4" x14ac:dyDescent="0.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 spans="1:34" ht="23.4" x14ac:dyDescent="0.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 spans="1:34" ht="23.4" x14ac:dyDescent="0.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 spans="1:34" ht="23.4" x14ac:dyDescent="0.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 spans="1:34" ht="23.4" x14ac:dyDescent="0.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 spans="1:34" ht="23.4" x14ac:dyDescent="0.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 spans="1:34" ht="23.4" x14ac:dyDescent="0.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 spans="1:34" ht="23.4" x14ac:dyDescent="0.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 spans="1:34" ht="23.4" x14ac:dyDescent="0.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 spans="1:34" ht="23.4" x14ac:dyDescent="0.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 spans="1:34" ht="23.4" x14ac:dyDescent="0.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 spans="1:34" ht="23.4" x14ac:dyDescent="0.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 spans="1:34" ht="23.4" x14ac:dyDescent="0.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 spans="1:34" ht="23.4" x14ac:dyDescent="0.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 spans="1:34" ht="23.4" x14ac:dyDescent="0.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 spans="1:34" ht="23.4" x14ac:dyDescent="0.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 spans="1:34" ht="23.4" x14ac:dyDescent="0.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 spans="1:34" ht="23.4" x14ac:dyDescent="0.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 spans="1:34" ht="23.4" x14ac:dyDescent="0.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 spans="1:34" ht="23.4" x14ac:dyDescent="0.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 spans="1:34" ht="23.4" x14ac:dyDescent="0.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 spans="1:34" ht="23.4" x14ac:dyDescent="0.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 spans="1:34" ht="23.4" x14ac:dyDescent="0.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 spans="1:34" ht="23.4" x14ac:dyDescent="0.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 spans="1:34" ht="23.4" x14ac:dyDescent="0.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 spans="1:34" ht="23.4" x14ac:dyDescent="0.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 spans="1:34" ht="23.4" x14ac:dyDescent="0.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 spans="1:34" ht="23.4" x14ac:dyDescent="0.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 spans="1:34" ht="23.4" x14ac:dyDescent="0.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 spans="1:34" ht="23.4" x14ac:dyDescent="0.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 spans="1:34" ht="23.4" x14ac:dyDescent="0.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 spans="1:34" ht="23.4" x14ac:dyDescent="0.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 spans="1:34" ht="23.4" x14ac:dyDescent="0.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 spans="1:34" ht="23.4" x14ac:dyDescent="0.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 spans="1:34" ht="23.4" x14ac:dyDescent="0.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 spans="1:34" ht="23.4" x14ac:dyDescent="0.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 spans="1:34" ht="23.4" x14ac:dyDescent="0.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 spans="1:34" ht="23.4" x14ac:dyDescent="0.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 spans="1:34" ht="23.4" x14ac:dyDescent="0.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 spans="1:34" ht="23.4" x14ac:dyDescent="0.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 spans="1:34" ht="23.4" x14ac:dyDescent="0.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 spans="1:34" ht="23.4" x14ac:dyDescent="0.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 spans="1:34" ht="23.4" x14ac:dyDescent="0.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 spans="1:34" ht="23.4" x14ac:dyDescent="0.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 spans="1:34" ht="23.4" x14ac:dyDescent="0.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 spans="1:34" ht="23.4" x14ac:dyDescent="0.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 spans="1:34" ht="23.4" x14ac:dyDescent="0.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 spans="1:34" ht="23.4" x14ac:dyDescent="0.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 spans="1:34" ht="23.4" x14ac:dyDescent="0.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 spans="1:34" ht="23.4" x14ac:dyDescent="0.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 spans="1:34" ht="23.4" x14ac:dyDescent="0.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 spans="1:34" ht="23.4" x14ac:dyDescent="0.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 spans="1:34" ht="23.4" x14ac:dyDescent="0.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 spans="1:34" ht="23.4" x14ac:dyDescent="0.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 spans="1:34" ht="23.4" x14ac:dyDescent="0.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 spans="1:34" ht="23.4" x14ac:dyDescent="0.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 spans="1:34" ht="23.4" x14ac:dyDescent="0.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 spans="1:34" ht="23.4" x14ac:dyDescent="0.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 spans="1:34" ht="23.4" x14ac:dyDescent="0.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 spans="1:34" ht="23.4" x14ac:dyDescent="0.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 spans="1:34" ht="23.4" x14ac:dyDescent="0.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 spans="1:34" ht="23.4" x14ac:dyDescent="0.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 spans="1:34" ht="23.4" x14ac:dyDescent="0.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 spans="1:34" ht="23.4" x14ac:dyDescent="0.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 spans="1:34" ht="23.4" x14ac:dyDescent="0.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 spans="1:34" ht="23.4" x14ac:dyDescent="0.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 spans="1:34" ht="23.4" x14ac:dyDescent="0.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 spans="1:34" ht="23.4" x14ac:dyDescent="0.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 spans="1:34" ht="23.4" x14ac:dyDescent="0.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 spans="1:34" ht="23.4" x14ac:dyDescent="0.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 spans="1:34" ht="23.4" x14ac:dyDescent="0.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 spans="1:34" ht="23.4" x14ac:dyDescent="0.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 spans="1:34" ht="23.4" x14ac:dyDescent="0.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 spans="1:34" ht="23.4" x14ac:dyDescent="0.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 spans="1:34" ht="23.4" x14ac:dyDescent="0.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 spans="1:34" ht="23.4" x14ac:dyDescent="0.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 spans="1:34" ht="23.4" x14ac:dyDescent="0.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 spans="1:34" ht="23.4" x14ac:dyDescent="0.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 spans="1:34" ht="23.4" x14ac:dyDescent="0.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 spans="1:34" ht="23.4" x14ac:dyDescent="0.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 spans="1:34" ht="23.4" x14ac:dyDescent="0.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 spans="1:34" ht="23.4" x14ac:dyDescent="0.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 spans="1:34" ht="23.4" x14ac:dyDescent="0.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 spans="1:34" ht="23.4" x14ac:dyDescent="0.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 spans="1:34" ht="23.4" x14ac:dyDescent="0.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 spans="1:34" ht="23.4" x14ac:dyDescent="0.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 spans="1:34" ht="23.4" x14ac:dyDescent="0.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 spans="1:34" ht="23.4" x14ac:dyDescent="0.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 spans="1:34" ht="23.4" x14ac:dyDescent="0.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 spans="1:34" ht="23.4" x14ac:dyDescent="0.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 spans="1:34" ht="23.4" x14ac:dyDescent="0.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 spans="1:34" ht="23.4" x14ac:dyDescent="0.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 spans="1:34" ht="23.4" x14ac:dyDescent="0.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 spans="1:34" ht="23.4" x14ac:dyDescent="0.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 spans="1:34" ht="23.4" x14ac:dyDescent="0.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 spans="1:34" ht="23.4" x14ac:dyDescent="0.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 spans="1:34" ht="23.4" x14ac:dyDescent="0.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 spans="1:34" ht="23.4" x14ac:dyDescent="0.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 spans="1:34" ht="23.4" x14ac:dyDescent="0.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 spans="1:34" ht="23.4" x14ac:dyDescent="0.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 spans="1:34" ht="23.4" x14ac:dyDescent="0.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 spans="1:34" ht="23.4" x14ac:dyDescent="0.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 spans="1:34" ht="23.4" x14ac:dyDescent="0.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 spans="1:34" ht="23.4" x14ac:dyDescent="0.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 spans="1:34" ht="23.4" x14ac:dyDescent="0.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 spans="1:34" ht="23.4" x14ac:dyDescent="0.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 spans="1:34" ht="23.4" x14ac:dyDescent="0.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 spans="1:34" ht="23.4" x14ac:dyDescent="0.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 spans="1:34" ht="23.4" x14ac:dyDescent="0.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 spans="1:34" ht="23.4" x14ac:dyDescent="0.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 spans="1:34" ht="23.4" x14ac:dyDescent="0.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 spans="1:34" ht="23.4" x14ac:dyDescent="0.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 spans="1:34" ht="23.4" x14ac:dyDescent="0.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 spans="1:34" ht="23.4" x14ac:dyDescent="0.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 spans="1:34" ht="23.4" x14ac:dyDescent="0.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 spans="1:34" ht="23.4" x14ac:dyDescent="0.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 spans="1:34" ht="23.4" x14ac:dyDescent="0.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 spans="1:34" ht="23.4" x14ac:dyDescent="0.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 spans="1:34" ht="23.4" x14ac:dyDescent="0.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 spans="1:34" ht="23.4" x14ac:dyDescent="0.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 spans="1:34" ht="23.4" x14ac:dyDescent="0.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 spans="1:34" ht="23.4" x14ac:dyDescent="0.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 spans="1:34" ht="23.4" x14ac:dyDescent="0.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 spans="1:34" ht="23.4" x14ac:dyDescent="0.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 spans="1:34" ht="23.4" x14ac:dyDescent="0.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 spans="1:34" ht="23.4" x14ac:dyDescent="0.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 spans="1:34" ht="23.4" x14ac:dyDescent="0.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 spans="1:34" ht="23.4" x14ac:dyDescent="0.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 spans="1:34" ht="23.4" x14ac:dyDescent="0.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 spans="1:34" ht="23.4" x14ac:dyDescent="0.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 spans="1:34" ht="23.4" x14ac:dyDescent="0.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 spans="1:34" ht="23.4" x14ac:dyDescent="0.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 spans="1:34" ht="23.4" x14ac:dyDescent="0.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 spans="1:34" ht="23.4" x14ac:dyDescent="0.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 spans="1:34" ht="23.4" x14ac:dyDescent="0.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 spans="1:34" ht="23.4" x14ac:dyDescent="0.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 spans="1:34" ht="23.4" x14ac:dyDescent="0.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 spans="1:34" ht="23.4" x14ac:dyDescent="0.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 spans="1:34" ht="23.4" x14ac:dyDescent="0.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 spans="1:34" ht="23.4" x14ac:dyDescent="0.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 spans="1:34" ht="23.4" x14ac:dyDescent="0.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 spans="1:34" ht="23.4" x14ac:dyDescent="0.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 spans="1:34" ht="23.4" x14ac:dyDescent="0.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 spans="1:34" ht="23.4" x14ac:dyDescent="0.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 spans="1:34" ht="23.4" x14ac:dyDescent="0.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 spans="1:34" ht="23.4" x14ac:dyDescent="0.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 spans="1:34" ht="23.4" x14ac:dyDescent="0.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 spans="1:34" ht="23.4" x14ac:dyDescent="0.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 spans="1:34" ht="23.4" x14ac:dyDescent="0.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 spans="1:34" ht="23.4" x14ac:dyDescent="0.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 spans="1:34" ht="23.4" x14ac:dyDescent="0.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 spans="1:34" ht="23.4" x14ac:dyDescent="0.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 spans="1:34" ht="23.4" x14ac:dyDescent="0.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 spans="1:34" ht="23.4" x14ac:dyDescent="0.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 spans="1:34" ht="23.4" x14ac:dyDescent="0.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 spans="1:34" ht="23.4" x14ac:dyDescent="0.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 spans="1:34" ht="23.4" x14ac:dyDescent="0.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 spans="1:34" ht="23.4" x14ac:dyDescent="0.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 spans="1:34" ht="23.4" x14ac:dyDescent="0.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 spans="1:34" ht="23.4" x14ac:dyDescent="0.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 spans="1:34" ht="23.4" x14ac:dyDescent="0.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 spans="1:34" ht="23.4" x14ac:dyDescent="0.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 spans="1:34" ht="23.4" x14ac:dyDescent="0.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 spans="1:34" ht="23.4" x14ac:dyDescent="0.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 spans="1:34" ht="23.4" x14ac:dyDescent="0.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 spans="1:34" ht="23.4" x14ac:dyDescent="0.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 spans="1:34" ht="23.4" x14ac:dyDescent="0.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 spans="1:34" ht="23.4" x14ac:dyDescent="0.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 spans="1:34" ht="23.4" x14ac:dyDescent="0.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 spans="1:34" ht="23.4" x14ac:dyDescent="0.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 spans="1:34" ht="23.4" x14ac:dyDescent="0.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 spans="1:34" ht="23.4" x14ac:dyDescent="0.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 spans="1:34" ht="23.4" x14ac:dyDescent="0.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 spans="1:34" ht="23.4" x14ac:dyDescent="0.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 spans="1:34" ht="23.4" x14ac:dyDescent="0.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 spans="1:34" ht="23.4" x14ac:dyDescent="0.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 spans="1:34" ht="23.4" x14ac:dyDescent="0.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 spans="1:34" ht="23.4" x14ac:dyDescent="0.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 spans="1:34" ht="23.4" x14ac:dyDescent="0.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 spans="1:34" ht="23.4" x14ac:dyDescent="0.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 spans="1:34" ht="23.4" x14ac:dyDescent="0.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 spans="1:34" ht="23.4" x14ac:dyDescent="0.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 spans="1:34" ht="23.4" x14ac:dyDescent="0.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 spans="1:34" ht="23.4" x14ac:dyDescent="0.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 spans="1:34" ht="23.4" x14ac:dyDescent="0.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 spans="1:34" ht="23.4" x14ac:dyDescent="0.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 spans="1:34" ht="23.4" x14ac:dyDescent="0.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 spans="1:34" ht="23.4" x14ac:dyDescent="0.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 spans="1:34" ht="23.4" x14ac:dyDescent="0.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 spans="1:34" ht="23.4" x14ac:dyDescent="0.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 spans="1:34" ht="23.4" x14ac:dyDescent="0.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 spans="1:34" ht="23.4" x14ac:dyDescent="0.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 spans="1:34" ht="23.4" x14ac:dyDescent="0.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 spans="1:34" ht="23.4" x14ac:dyDescent="0.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 spans="1:34" ht="23.4" x14ac:dyDescent="0.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 spans="1:34" ht="23.4" x14ac:dyDescent="0.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 spans="1:34" ht="23.4" x14ac:dyDescent="0.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 spans="1:34" ht="23.4" x14ac:dyDescent="0.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 spans="1:34" ht="23.4" x14ac:dyDescent="0.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 spans="1:34" ht="23.4" x14ac:dyDescent="0.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 spans="1:34" ht="23.4" x14ac:dyDescent="0.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 spans="1:34" ht="23.4" x14ac:dyDescent="0.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 spans="1:34" ht="23.4" x14ac:dyDescent="0.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 spans="1:34" ht="23.4" x14ac:dyDescent="0.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 spans="1:34" ht="23.4" x14ac:dyDescent="0.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 spans="1:34" ht="23.4" x14ac:dyDescent="0.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 spans="1:34" ht="23.4" x14ac:dyDescent="0.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 spans="1:34" ht="23.4" x14ac:dyDescent="0.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 spans="1:34" ht="23.4" x14ac:dyDescent="0.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 spans="1:34" ht="23.4" x14ac:dyDescent="0.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 spans="1:34" ht="23.4" x14ac:dyDescent="0.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 spans="1:34" ht="23.4" x14ac:dyDescent="0.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 spans="1:34" ht="23.4" x14ac:dyDescent="0.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 spans="1:34" ht="23.4" x14ac:dyDescent="0.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 spans="1:34" ht="23.4" x14ac:dyDescent="0.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 spans="1:34" ht="23.4" x14ac:dyDescent="0.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 spans="1:34" ht="23.4" x14ac:dyDescent="0.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 spans="1:34" ht="23.4" x14ac:dyDescent="0.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 spans="1:34" ht="23.4" x14ac:dyDescent="0.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 spans="1:34" ht="23.4" x14ac:dyDescent="0.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 spans="1:34" ht="23.4" x14ac:dyDescent="0.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 spans="1:34" ht="23.4" x14ac:dyDescent="0.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 spans="1:34" ht="23.4" x14ac:dyDescent="0.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 spans="1:34" ht="23.4" x14ac:dyDescent="0.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 spans="1:34" ht="23.4" x14ac:dyDescent="0.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 spans="1:34" ht="23.4" x14ac:dyDescent="0.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 spans="1:34" ht="23.4" x14ac:dyDescent="0.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 spans="1:34" ht="23.4" x14ac:dyDescent="0.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 spans="1:34" ht="23.4" x14ac:dyDescent="0.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 spans="1:34" ht="23.4" x14ac:dyDescent="0.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 spans="1:34" ht="23.4" x14ac:dyDescent="0.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 spans="1:34" ht="23.4" x14ac:dyDescent="0.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 spans="1:34" ht="23.4" x14ac:dyDescent="0.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 spans="1:34" ht="23.4" x14ac:dyDescent="0.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 spans="1:34" ht="23.4" x14ac:dyDescent="0.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 spans="1:34" ht="23.4" x14ac:dyDescent="0.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 spans="1:34" ht="23.4" x14ac:dyDescent="0.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 spans="1:34" ht="23.4" x14ac:dyDescent="0.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 spans="1:34" ht="23.4" x14ac:dyDescent="0.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 spans="1:34" ht="23.4" x14ac:dyDescent="0.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 spans="1:34" ht="23.4" x14ac:dyDescent="0.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 spans="1:34" ht="23.4" x14ac:dyDescent="0.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 spans="1:34" ht="23.4" x14ac:dyDescent="0.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 spans="1:34" ht="23.4" x14ac:dyDescent="0.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 spans="1:34" ht="23.4" x14ac:dyDescent="0.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 spans="1:34" ht="23.4" x14ac:dyDescent="0.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 spans="1:34" ht="23.4" x14ac:dyDescent="0.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 spans="1:34" ht="23.4" x14ac:dyDescent="0.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 spans="1:34" ht="23.4" x14ac:dyDescent="0.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 spans="1:34" ht="23.4" x14ac:dyDescent="0.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 spans="1:34" ht="23.4" x14ac:dyDescent="0.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 spans="1:34" ht="23.4" x14ac:dyDescent="0.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 spans="1:34" ht="23.4" x14ac:dyDescent="0.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 spans="1:34" ht="23.4" x14ac:dyDescent="0.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 spans="1:34" ht="23.4" x14ac:dyDescent="0.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 spans="1:34" ht="23.4" x14ac:dyDescent="0.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 spans="1:34" ht="23.4" x14ac:dyDescent="0.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 spans="1:34" ht="23.4" x14ac:dyDescent="0.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 spans="1:34" ht="23.4" x14ac:dyDescent="0.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 spans="1:34" ht="23.4" x14ac:dyDescent="0.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 spans="1:34" ht="23.4" x14ac:dyDescent="0.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 spans="1:34" ht="23.4" x14ac:dyDescent="0.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 spans="1:34" ht="23.4" x14ac:dyDescent="0.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 spans="1:34" ht="23.4" x14ac:dyDescent="0.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 spans="1:34" ht="23.4" x14ac:dyDescent="0.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 spans="1:34" ht="23.4" x14ac:dyDescent="0.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 spans="1:34" ht="23.4" x14ac:dyDescent="0.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 spans="1:34" ht="23.4" x14ac:dyDescent="0.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 spans="1:34" ht="23.4" x14ac:dyDescent="0.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 spans="1:34" ht="23.4" x14ac:dyDescent="0.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 spans="1:34" ht="23.4" x14ac:dyDescent="0.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 spans="1:34" ht="23.4" x14ac:dyDescent="0.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 spans="1:34" ht="23.4" x14ac:dyDescent="0.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 spans="1:34" ht="23.4" x14ac:dyDescent="0.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 spans="1:34" ht="23.4" x14ac:dyDescent="0.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 spans="1:34" ht="23.4" x14ac:dyDescent="0.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 spans="1:34" ht="23.4" x14ac:dyDescent="0.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 spans="1:34" ht="23.4" x14ac:dyDescent="0.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 spans="1:34" ht="23.4" x14ac:dyDescent="0.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 spans="1:34" ht="23.4" x14ac:dyDescent="0.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 spans="1:34" ht="23.4" x14ac:dyDescent="0.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 spans="1:34" ht="23.4" x14ac:dyDescent="0.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 spans="1:34" ht="23.4" x14ac:dyDescent="0.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 spans="1:34" ht="23.4" x14ac:dyDescent="0.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 spans="1:34" ht="23.4" x14ac:dyDescent="0.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 spans="1:34" ht="23.4" x14ac:dyDescent="0.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 spans="1:34" ht="23.4" x14ac:dyDescent="0.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 spans="1:34" ht="23.4" x14ac:dyDescent="0.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 spans="1:34" ht="23.4" x14ac:dyDescent="0.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 spans="1:34" ht="23.4" x14ac:dyDescent="0.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 spans="1:34" ht="23.4" x14ac:dyDescent="0.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 spans="1:34" ht="23.4" x14ac:dyDescent="0.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 spans="1:34" ht="23.4" x14ac:dyDescent="0.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 spans="1:34" ht="23.4" x14ac:dyDescent="0.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 spans="1:34" ht="23.4" x14ac:dyDescent="0.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 spans="1:34" ht="23.4" x14ac:dyDescent="0.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 spans="1:34" ht="23.4" x14ac:dyDescent="0.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 spans="1:34" ht="23.4" x14ac:dyDescent="0.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 spans="1:34" ht="23.4" x14ac:dyDescent="0.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 spans="1:34" ht="23.4" x14ac:dyDescent="0.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 spans="1:34" ht="23.4" x14ac:dyDescent="0.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 spans="1:34" ht="23.4" x14ac:dyDescent="0.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 spans="1:34" ht="23.4" x14ac:dyDescent="0.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 spans="1:34" ht="23.4" x14ac:dyDescent="0.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 spans="1:34" ht="23.4" x14ac:dyDescent="0.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 spans="1:34" ht="23.4" x14ac:dyDescent="0.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 spans="1:34" ht="23.4" x14ac:dyDescent="0.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 spans="1:34" ht="23.4" x14ac:dyDescent="0.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 spans="1:34" ht="23.4" x14ac:dyDescent="0.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 spans="1:34" ht="23.4" x14ac:dyDescent="0.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 spans="1:34" ht="23.4" x14ac:dyDescent="0.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 spans="1:34" ht="23.4" x14ac:dyDescent="0.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 spans="1:34" ht="23.4" x14ac:dyDescent="0.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 spans="1:34" ht="23.4" x14ac:dyDescent="0.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 spans="1:34" ht="23.4" x14ac:dyDescent="0.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 spans="1:34" ht="23.4" x14ac:dyDescent="0.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 spans="1:34" ht="23.4" x14ac:dyDescent="0.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 spans="1:34" ht="23.4" x14ac:dyDescent="0.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 spans="1:34" ht="23.4" x14ac:dyDescent="0.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 spans="1:34" ht="23.4" x14ac:dyDescent="0.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 spans="1:34" ht="23.4" x14ac:dyDescent="0.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 spans="1:34" ht="23.4" x14ac:dyDescent="0.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 spans="1:34" ht="23.4" x14ac:dyDescent="0.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 spans="1:34" ht="23.4" x14ac:dyDescent="0.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 spans="1:34" ht="23.4" x14ac:dyDescent="0.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 spans="1:34" ht="23.4" x14ac:dyDescent="0.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 spans="1:34" ht="23.4" x14ac:dyDescent="0.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 spans="1:34" ht="23.4" x14ac:dyDescent="0.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 spans="1:34" ht="23.4" x14ac:dyDescent="0.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 spans="1:34" ht="23.4" x14ac:dyDescent="0.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 spans="1:34" ht="23.4" x14ac:dyDescent="0.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 spans="1:34" ht="23.4" x14ac:dyDescent="0.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 spans="1:34" ht="23.4" x14ac:dyDescent="0.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 spans="1:34" ht="23.4" x14ac:dyDescent="0.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 spans="1:34" ht="23.4" x14ac:dyDescent="0.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 spans="1:34" ht="23.4" x14ac:dyDescent="0.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 spans="1:34" ht="23.4" x14ac:dyDescent="0.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 spans="1:34" ht="23.4" x14ac:dyDescent="0.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 spans="1:34" ht="23.4" x14ac:dyDescent="0.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 spans="1:34" ht="23.4" x14ac:dyDescent="0.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 spans="1:34" ht="23.4" x14ac:dyDescent="0.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 spans="1:34" ht="23.4" x14ac:dyDescent="0.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 spans="1:34" ht="23.4" x14ac:dyDescent="0.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 spans="1:34" ht="23.4" x14ac:dyDescent="0.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 spans="1:34" ht="23.4" x14ac:dyDescent="0.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 spans="1:34" ht="23.4" x14ac:dyDescent="0.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 spans="1:34" ht="23.4" x14ac:dyDescent="0.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 spans="1:34" ht="23.4" x14ac:dyDescent="0.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 spans="1:34" ht="23.4" x14ac:dyDescent="0.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 spans="1:34" ht="23.4" x14ac:dyDescent="0.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 spans="1:34" ht="23.4" x14ac:dyDescent="0.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 spans="1:34" ht="23.4" x14ac:dyDescent="0.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 spans="1:34" ht="23.4" x14ac:dyDescent="0.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 spans="1:34" ht="23.4" x14ac:dyDescent="0.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 spans="1:34" ht="23.4" x14ac:dyDescent="0.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 spans="1:34" ht="23.4" x14ac:dyDescent="0.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 spans="1:34" ht="23.4" x14ac:dyDescent="0.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 spans="1:34" ht="23.4" x14ac:dyDescent="0.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 spans="1:34" ht="23.4" x14ac:dyDescent="0.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 spans="1:34" ht="23.4" x14ac:dyDescent="0.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 spans="1:34" ht="23.4" x14ac:dyDescent="0.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 spans="1:34" ht="23.4" x14ac:dyDescent="0.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 spans="1:34" ht="23.4" x14ac:dyDescent="0.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 spans="1:34" ht="23.4" x14ac:dyDescent="0.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 spans="1:34" ht="23.4" x14ac:dyDescent="0.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 spans="1:34" ht="23.4" x14ac:dyDescent="0.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 spans="1:34" ht="23.4" x14ac:dyDescent="0.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 spans="1:34" ht="23.4" x14ac:dyDescent="0.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 spans="1:34" ht="23.4" x14ac:dyDescent="0.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 spans="1:34" ht="23.4" x14ac:dyDescent="0.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 spans="1:34" ht="23.4" x14ac:dyDescent="0.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 spans="1:34" ht="23.4" x14ac:dyDescent="0.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 spans="1:34" ht="23.4" x14ac:dyDescent="0.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 spans="1:34" ht="23.4" x14ac:dyDescent="0.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 spans="1:34" ht="23.4" x14ac:dyDescent="0.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 spans="1:34" ht="23.4" x14ac:dyDescent="0.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 spans="1:34" ht="23.4" x14ac:dyDescent="0.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 spans="1:34" ht="23.4" x14ac:dyDescent="0.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 spans="1:34" ht="23.4" x14ac:dyDescent="0.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 spans="1:34" ht="23.4" x14ac:dyDescent="0.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 spans="1:34" ht="23.4" x14ac:dyDescent="0.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 spans="1:34" ht="23.4" x14ac:dyDescent="0.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 spans="1:34" ht="23.4" x14ac:dyDescent="0.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 spans="1:34" ht="23.4" x14ac:dyDescent="0.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 spans="1:34" ht="23.4" x14ac:dyDescent="0.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 spans="1:34" ht="23.4" x14ac:dyDescent="0.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 spans="1:34" ht="23.4" x14ac:dyDescent="0.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 spans="1:34" ht="23.4" x14ac:dyDescent="0.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 spans="1:34" ht="23.4" x14ac:dyDescent="0.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 spans="1:34" ht="23.4" x14ac:dyDescent="0.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  <row r="998" spans="1:34" ht="23.4" x14ac:dyDescent="0.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</row>
    <row r="999" spans="1:34" ht="23.4" x14ac:dyDescent="0.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</row>
    <row r="1000" spans="1:34" ht="23.4" x14ac:dyDescent="0.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</row>
  </sheetData>
  <mergeCells count="11">
    <mergeCell ref="V1:AA1"/>
    <mergeCell ref="W2:AA2"/>
    <mergeCell ref="AC1:AH1"/>
    <mergeCell ref="AD2:AH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tabSelected="1" workbookViewId="0">
      <pane xSplit="1" ySplit="4" topLeftCell="B5" activePane="bottomRight" state="frozen"/>
      <selection activeCell="M4" sqref="M4"/>
      <selection pane="topRight" activeCell="M4" sqref="M4"/>
      <selection pane="bottomLeft" activeCell="M4" sqref="M4"/>
      <selection pane="bottomRight" activeCell="F8" sqref="F8"/>
    </sheetView>
  </sheetViews>
  <sheetFormatPr defaultColWidth="14.44140625" defaultRowHeight="14.4" x14ac:dyDescent="0.3"/>
  <cols>
    <col min="1" max="1" width="19.6640625" bestFit="1" customWidth="1"/>
    <col min="2" max="2" width="10" bestFit="1" customWidth="1"/>
    <col min="3" max="3" width="11.44140625" bestFit="1" customWidth="1"/>
    <col min="4" max="4" width="10" bestFit="1" customWidth="1"/>
    <col min="5" max="5" width="8.6640625" bestFit="1" customWidth="1"/>
    <col min="6" max="6" width="10" bestFit="1" customWidth="1"/>
    <col min="7" max="7" width="8.33203125" bestFit="1" customWidth="1"/>
    <col min="8" max="8" width="10" bestFit="1" customWidth="1"/>
    <col min="9" max="9" width="8.33203125" bestFit="1" customWidth="1"/>
    <col min="10" max="10" width="10" bestFit="1" customWidth="1"/>
    <col min="11" max="11" width="8.33203125" bestFit="1" customWidth="1"/>
    <col min="12" max="12" width="4.77734375" bestFit="1" customWidth="1"/>
    <col min="13" max="13" width="11.44140625" bestFit="1" customWidth="1"/>
    <col min="14" max="14" width="4.5546875" bestFit="1" customWidth="1"/>
    <col min="15" max="26" width="9.109375" customWidth="1"/>
  </cols>
  <sheetData>
    <row r="1" spans="1:26" ht="32.4" x14ac:dyDescent="0.3">
      <c r="A1" s="116" t="s">
        <v>42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6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4" x14ac:dyDescent="0.3">
      <c r="A2" s="118" t="s">
        <v>43</v>
      </c>
      <c r="B2" s="119" t="s">
        <v>44</v>
      </c>
      <c r="C2" s="120"/>
      <c r="D2" s="120"/>
      <c r="E2" s="120"/>
      <c r="F2" s="120"/>
      <c r="G2" s="120"/>
      <c r="H2" s="120"/>
      <c r="I2" s="120"/>
      <c r="J2" s="120"/>
      <c r="K2" s="121"/>
      <c r="L2" s="118" t="s">
        <v>41</v>
      </c>
      <c r="M2" s="107" t="s">
        <v>45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3.4" x14ac:dyDescent="0.3">
      <c r="A3" s="108"/>
      <c r="B3" s="110" t="s">
        <v>46</v>
      </c>
      <c r="C3" s="111"/>
      <c r="D3" s="112" t="s">
        <v>47</v>
      </c>
      <c r="E3" s="111"/>
      <c r="F3" s="114" t="s">
        <v>48</v>
      </c>
      <c r="G3" s="111"/>
      <c r="H3" s="115" t="s">
        <v>49</v>
      </c>
      <c r="I3" s="111"/>
      <c r="J3" s="113" t="s">
        <v>50</v>
      </c>
      <c r="K3" s="111"/>
      <c r="L3" s="108"/>
      <c r="M3" s="108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52.8" x14ac:dyDescent="0.3">
      <c r="A4" s="109"/>
      <c r="B4" s="18" t="s">
        <v>51</v>
      </c>
      <c r="C4" s="18" t="s">
        <v>52</v>
      </c>
      <c r="D4" s="19" t="s">
        <v>51</v>
      </c>
      <c r="E4" s="19" t="s">
        <v>52</v>
      </c>
      <c r="F4" s="20" t="s">
        <v>51</v>
      </c>
      <c r="G4" s="20" t="s">
        <v>52</v>
      </c>
      <c r="H4" s="21" t="s">
        <v>51</v>
      </c>
      <c r="I4" s="21" t="s">
        <v>52</v>
      </c>
      <c r="J4" s="22" t="s">
        <v>51</v>
      </c>
      <c r="K4" s="22" t="s">
        <v>52</v>
      </c>
      <c r="L4" s="109"/>
      <c r="M4" s="109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3.4" x14ac:dyDescent="0.3">
      <c r="A5" s="23" t="s">
        <v>53</v>
      </c>
      <c r="B5" s="24">
        <v>8</v>
      </c>
      <c r="C5" s="25">
        <v>1885.96</v>
      </c>
      <c r="D5" s="26">
        <v>0</v>
      </c>
      <c r="E5" s="27">
        <v>0</v>
      </c>
      <c r="F5" s="28">
        <v>0</v>
      </c>
      <c r="G5" s="29">
        <v>0</v>
      </c>
      <c r="H5" s="30">
        <v>0</v>
      </c>
      <c r="I5" s="31">
        <v>0</v>
      </c>
      <c r="J5" s="32">
        <v>0</v>
      </c>
      <c r="K5" s="33">
        <v>0</v>
      </c>
      <c r="L5" s="34">
        <f t="shared" ref="L5:M5" si="0">+B5+D5+F5+H5+J5</f>
        <v>8</v>
      </c>
      <c r="M5" s="35">
        <f t="shared" si="0"/>
        <v>1885.96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4" x14ac:dyDescent="0.3">
      <c r="A6" s="23" t="s">
        <v>54</v>
      </c>
      <c r="B6" s="24">
        <v>4</v>
      </c>
      <c r="C6" s="25">
        <v>449</v>
      </c>
      <c r="D6" s="26">
        <v>1</v>
      </c>
      <c r="E6" s="27">
        <v>116</v>
      </c>
      <c r="F6" s="28">
        <v>0</v>
      </c>
      <c r="G6" s="29">
        <v>0</v>
      </c>
      <c r="H6" s="30">
        <v>0</v>
      </c>
      <c r="I6" s="31">
        <v>0</v>
      </c>
      <c r="J6" s="32">
        <v>0</v>
      </c>
      <c r="K6" s="33">
        <v>0</v>
      </c>
      <c r="L6" s="34">
        <f t="shared" ref="L6:M6" si="1">+B6+D6+F6+H6+J6</f>
        <v>5</v>
      </c>
      <c r="M6" s="35">
        <f t="shared" si="1"/>
        <v>565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4" x14ac:dyDescent="0.3">
      <c r="A7" s="23" t="s">
        <v>55</v>
      </c>
      <c r="B7" s="24">
        <v>45</v>
      </c>
      <c r="C7" s="25">
        <v>7355.65</v>
      </c>
      <c r="D7" s="26">
        <v>3</v>
      </c>
      <c r="E7" s="27">
        <v>432.5</v>
      </c>
      <c r="F7" s="28">
        <v>0</v>
      </c>
      <c r="G7" s="29">
        <v>0</v>
      </c>
      <c r="H7" s="30">
        <v>0</v>
      </c>
      <c r="I7" s="31">
        <v>0</v>
      </c>
      <c r="J7" s="32">
        <v>0</v>
      </c>
      <c r="K7" s="33">
        <v>0</v>
      </c>
      <c r="L7" s="34">
        <f t="shared" ref="L7:M7" si="2">+B7+D7+F7+H7+J7</f>
        <v>48</v>
      </c>
      <c r="M7" s="35">
        <f t="shared" si="2"/>
        <v>7788.15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70.2" x14ac:dyDescent="0.3">
      <c r="A8" s="36" t="s">
        <v>56</v>
      </c>
      <c r="B8" s="24">
        <v>5</v>
      </c>
      <c r="C8" s="25">
        <v>859</v>
      </c>
      <c r="D8" s="26">
        <v>1</v>
      </c>
      <c r="E8" s="27">
        <v>179</v>
      </c>
      <c r="F8" s="28">
        <v>0</v>
      </c>
      <c r="G8" s="29">
        <v>0</v>
      </c>
      <c r="H8" s="30">
        <v>0</v>
      </c>
      <c r="I8" s="31">
        <v>0</v>
      </c>
      <c r="J8" s="32">
        <v>0</v>
      </c>
      <c r="K8" s="33">
        <v>0</v>
      </c>
      <c r="L8" s="34">
        <f t="shared" ref="L8:M8" si="3">+B8+D8+F8+H8+J8</f>
        <v>6</v>
      </c>
      <c r="M8" s="35">
        <f t="shared" si="3"/>
        <v>1038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6.4" x14ac:dyDescent="0.7">
      <c r="A9" s="37" t="s">
        <v>57</v>
      </c>
      <c r="B9" s="38">
        <f t="shared" ref="B9:M9" si="4">SUM(B5:B8)</f>
        <v>62</v>
      </c>
      <c r="C9" s="39">
        <f t="shared" si="4"/>
        <v>10549.61</v>
      </c>
      <c r="D9" s="38">
        <f t="shared" si="4"/>
        <v>5</v>
      </c>
      <c r="E9" s="39">
        <f t="shared" si="4"/>
        <v>727.5</v>
      </c>
      <c r="F9" s="38">
        <f t="shared" si="4"/>
        <v>0</v>
      </c>
      <c r="G9" s="39">
        <f t="shared" si="4"/>
        <v>0</v>
      </c>
      <c r="H9" s="38">
        <f t="shared" si="4"/>
        <v>0</v>
      </c>
      <c r="I9" s="39">
        <f t="shared" si="4"/>
        <v>0</v>
      </c>
      <c r="J9" s="38">
        <f t="shared" si="4"/>
        <v>0</v>
      </c>
      <c r="K9" s="39">
        <f t="shared" si="4"/>
        <v>0</v>
      </c>
      <c r="L9" s="38">
        <f t="shared" si="4"/>
        <v>67</v>
      </c>
      <c r="M9" s="39">
        <f t="shared" si="4"/>
        <v>11277.11</v>
      </c>
      <c r="N9" s="40" t="s">
        <v>58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6.4" x14ac:dyDescent="0.7">
      <c r="A10" s="17"/>
      <c r="B10" s="9"/>
      <c r="C10" s="9"/>
      <c r="D10" s="9"/>
      <c r="E10" s="9"/>
      <c r="F10" s="17"/>
      <c r="G10" s="17"/>
      <c r="H10" s="9"/>
      <c r="I10" s="9"/>
      <c r="J10" s="37"/>
      <c r="K10" s="37"/>
      <c r="L10" s="17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3.4" x14ac:dyDescent="0.3">
      <c r="A11" s="17"/>
      <c r="B11" s="9"/>
      <c r="C11" s="9"/>
      <c r="D11" s="9"/>
      <c r="E11" s="9"/>
      <c r="F11" s="9"/>
      <c r="G11" s="9"/>
      <c r="H11" s="9"/>
      <c r="I11" s="9"/>
      <c r="J11" s="9"/>
      <c r="K11" s="9"/>
      <c r="L11" s="17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4" x14ac:dyDescent="0.3">
      <c r="A12" s="17"/>
      <c r="B12" s="9"/>
      <c r="C12" s="9"/>
      <c r="D12" s="9"/>
      <c r="E12" s="9"/>
      <c r="F12" s="9"/>
      <c r="G12" s="9"/>
      <c r="H12" s="9"/>
      <c r="I12" s="9"/>
      <c r="J12" s="9"/>
      <c r="K12" s="9"/>
      <c r="L12" s="17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4" x14ac:dyDescent="0.3">
      <c r="A13" s="17"/>
      <c r="B13" s="9"/>
      <c r="C13" s="9"/>
      <c r="D13" s="9"/>
      <c r="E13" s="9"/>
      <c r="F13" s="9"/>
      <c r="G13" s="9"/>
      <c r="H13" s="9"/>
      <c r="I13" s="9"/>
      <c r="J13" s="9"/>
      <c r="K13" s="9"/>
      <c r="L13" s="17"/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4" x14ac:dyDescent="0.3">
      <c r="A14" s="17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4" x14ac:dyDescent="0.3">
      <c r="A15" s="17"/>
      <c r="B15" s="9"/>
      <c r="C15" s="9"/>
      <c r="D15" s="9"/>
      <c r="E15" s="9"/>
      <c r="F15" s="9"/>
      <c r="G15" s="9"/>
      <c r="H15" s="9"/>
      <c r="I15" s="9"/>
      <c r="J15" s="9"/>
      <c r="K15" s="9"/>
      <c r="L15" s="41"/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4" x14ac:dyDescent="0.3">
      <c r="A16" s="17"/>
      <c r="B16" s="9"/>
      <c r="C16" s="9"/>
      <c r="D16" s="9"/>
      <c r="E16" s="9"/>
      <c r="F16" s="9"/>
      <c r="G16" s="9"/>
      <c r="H16" s="9"/>
      <c r="I16" s="9"/>
      <c r="J16" s="9"/>
      <c r="K16" s="9"/>
      <c r="L16" s="17"/>
      <c r="M16" s="1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4" x14ac:dyDescent="0.3">
      <c r="A17" s="17"/>
      <c r="B17" s="9"/>
      <c r="C17" s="9"/>
      <c r="D17" s="9"/>
      <c r="E17" s="9"/>
      <c r="F17" s="9"/>
      <c r="G17" s="9"/>
      <c r="H17" s="9"/>
      <c r="I17" s="9"/>
      <c r="J17" s="9"/>
      <c r="K17" s="9"/>
      <c r="L17" s="17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4" x14ac:dyDescent="0.3">
      <c r="A18" s="17"/>
      <c r="B18" s="9"/>
      <c r="C18" s="9"/>
      <c r="D18" s="9"/>
      <c r="E18" s="9"/>
      <c r="F18" s="9"/>
      <c r="G18" s="9"/>
      <c r="H18" s="9"/>
      <c r="I18" s="9"/>
      <c r="J18" s="9"/>
      <c r="K18" s="9"/>
      <c r="L18" s="17"/>
      <c r="M18" s="16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4" x14ac:dyDescent="0.3">
      <c r="A19" s="17"/>
      <c r="B19" s="9"/>
      <c r="C19" s="9"/>
      <c r="D19" s="9"/>
      <c r="E19" s="9"/>
      <c r="F19" s="9"/>
      <c r="G19" s="9"/>
      <c r="H19" s="9"/>
      <c r="I19" s="9"/>
      <c r="J19" s="9"/>
      <c r="K19" s="9"/>
      <c r="L19" s="17"/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4" x14ac:dyDescent="0.3">
      <c r="A20" s="17"/>
      <c r="B20" s="9"/>
      <c r="C20" s="9"/>
      <c r="D20" s="9"/>
      <c r="E20" s="9"/>
      <c r="F20" s="9"/>
      <c r="G20" s="9"/>
      <c r="H20" s="9"/>
      <c r="I20" s="9"/>
      <c r="J20" s="9"/>
      <c r="K20" s="9"/>
      <c r="L20" s="17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4" x14ac:dyDescent="0.3">
      <c r="A21" s="17"/>
      <c r="B21" s="9"/>
      <c r="C21" s="9"/>
      <c r="D21" s="9"/>
      <c r="E21" s="9"/>
      <c r="F21" s="9"/>
      <c r="G21" s="9"/>
      <c r="H21" s="9"/>
      <c r="I21" s="9"/>
      <c r="J21" s="9"/>
      <c r="K21" s="9"/>
      <c r="L21" s="17"/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4" x14ac:dyDescent="0.3">
      <c r="A22" s="17"/>
      <c r="B22" s="9"/>
      <c r="C22" s="9"/>
      <c r="D22" s="9"/>
      <c r="E22" s="9"/>
      <c r="F22" s="9"/>
      <c r="G22" s="9"/>
      <c r="H22" s="9"/>
      <c r="I22" s="9"/>
      <c r="J22" s="9"/>
      <c r="K22" s="9"/>
      <c r="L22" s="17"/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4" x14ac:dyDescent="0.3">
      <c r="A23" s="17"/>
      <c r="B23" s="9"/>
      <c r="C23" s="9"/>
      <c r="D23" s="9"/>
      <c r="E23" s="9"/>
      <c r="F23" s="9"/>
      <c r="G23" s="9"/>
      <c r="H23" s="9"/>
      <c r="I23" s="9"/>
      <c r="J23" s="9"/>
      <c r="K23" s="9"/>
      <c r="L23" s="17"/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4" x14ac:dyDescent="0.3">
      <c r="A24" s="17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4" x14ac:dyDescent="0.3">
      <c r="A25" s="17"/>
      <c r="B25" s="9"/>
      <c r="C25" s="9"/>
      <c r="D25" s="9"/>
      <c r="E25" s="9"/>
      <c r="F25" s="9"/>
      <c r="G25" s="9"/>
      <c r="H25" s="9"/>
      <c r="I25" s="9"/>
      <c r="J25" s="9"/>
      <c r="K25" s="9"/>
      <c r="L25" s="17"/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4" x14ac:dyDescent="0.3">
      <c r="A26" s="17"/>
      <c r="B26" s="9"/>
      <c r="C26" s="9"/>
      <c r="D26" s="9"/>
      <c r="E26" s="9"/>
      <c r="F26" s="9"/>
      <c r="G26" s="9"/>
      <c r="H26" s="9"/>
      <c r="I26" s="9"/>
      <c r="J26" s="9"/>
      <c r="K26" s="9"/>
      <c r="L26" s="17"/>
      <c r="M26" s="1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4" x14ac:dyDescent="0.3">
      <c r="A27" s="17"/>
      <c r="B27" s="9"/>
      <c r="C27" s="9"/>
      <c r="D27" s="9"/>
      <c r="E27" s="9"/>
      <c r="F27" s="9"/>
      <c r="G27" s="9"/>
      <c r="H27" s="9"/>
      <c r="I27" s="9"/>
      <c r="J27" s="9"/>
      <c r="K27" s="9"/>
      <c r="L27" s="17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4" x14ac:dyDescent="0.3">
      <c r="A28" s="17"/>
      <c r="B28" s="9"/>
      <c r="C28" s="9"/>
      <c r="D28" s="9"/>
      <c r="E28" s="9"/>
      <c r="F28" s="9"/>
      <c r="G28" s="9"/>
      <c r="H28" s="9"/>
      <c r="I28" s="9"/>
      <c r="J28" s="9"/>
      <c r="K28" s="9"/>
      <c r="L28" s="17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4" x14ac:dyDescent="0.3">
      <c r="A29" s="17"/>
      <c r="B29" s="9"/>
      <c r="C29" s="9"/>
      <c r="D29" s="9"/>
      <c r="E29" s="9"/>
      <c r="F29" s="9"/>
      <c r="G29" s="9"/>
      <c r="H29" s="9"/>
      <c r="I29" s="9"/>
      <c r="J29" s="9"/>
      <c r="K29" s="9"/>
      <c r="L29" s="17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4" x14ac:dyDescent="0.3">
      <c r="A30" s="17"/>
      <c r="B30" s="9"/>
      <c r="C30" s="9"/>
      <c r="D30" s="9"/>
      <c r="E30" s="9"/>
      <c r="F30" s="9"/>
      <c r="G30" s="9"/>
      <c r="H30" s="9"/>
      <c r="I30" s="9"/>
      <c r="J30" s="9"/>
      <c r="K30" s="9"/>
      <c r="L30" s="17"/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4" x14ac:dyDescent="0.3">
      <c r="A31" s="17"/>
      <c r="B31" s="9"/>
      <c r="C31" s="9"/>
      <c r="D31" s="9"/>
      <c r="E31" s="9"/>
      <c r="F31" s="9"/>
      <c r="G31" s="9"/>
      <c r="H31" s="9"/>
      <c r="I31" s="9"/>
      <c r="J31" s="9"/>
      <c r="K31" s="9"/>
      <c r="L31" s="17"/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4" x14ac:dyDescent="0.3">
      <c r="A32" s="17"/>
      <c r="B32" s="9"/>
      <c r="C32" s="9"/>
      <c r="D32" s="9"/>
      <c r="E32" s="9"/>
      <c r="F32" s="9"/>
      <c r="G32" s="9"/>
      <c r="H32" s="9"/>
      <c r="I32" s="9"/>
      <c r="J32" s="9"/>
      <c r="K32" s="9"/>
      <c r="L32" s="17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4" x14ac:dyDescent="0.3">
      <c r="A33" s="17"/>
      <c r="B33" s="9"/>
      <c r="C33" s="9"/>
      <c r="D33" s="9"/>
      <c r="E33" s="9"/>
      <c r="F33" s="9"/>
      <c r="G33" s="9"/>
      <c r="H33" s="9"/>
      <c r="I33" s="9"/>
      <c r="J33" s="9"/>
      <c r="K33" s="9"/>
      <c r="L33" s="17"/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4" x14ac:dyDescent="0.3">
      <c r="A34" s="17"/>
      <c r="B34" s="9"/>
      <c r="C34" s="9"/>
      <c r="D34" s="9"/>
      <c r="E34" s="9"/>
      <c r="F34" s="9"/>
      <c r="G34" s="9"/>
      <c r="H34" s="9"/>
      <c r="I34" s="9"/>
      <c r="J34" s="9"/>
      <c r="K34" s="9"/>
      <c r="L34" s="17"/>
      <c r="M34" s="1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4" x14ac:dyDescent="0.3">
      <c r="A35" s="17"/>
      <c r="B35" s="9"/>
      <c r="C35" s="9"/>
      <c r="D35" s="9"/>
      <c r="E35" s="9"/>
      <c r="F35" s="9"/>
      <c r="G35" s="9"/>
      <c r="H35" s="9"/>
      <c r="I35" s="9"/>
      <c r="J35" s="9"/>
      <c r="K35" s="9"/>
      <c r="L35" s="17"/>
      <c r="M35" s="1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4" x14ac:dyDescent="0.3">
      <c r="A36" s="17"/>
      <c r="B36" s="9"/>
      <c r="C36" s="9"/>
      <c r="D36" s="9"/>
      <c r="E36" s="9"/>
      <c r="F36" s="9"/>
      <c r="G36" s="9"/>
      <c r="H36" s="9"/>
      <c r="I36" s="9"/>
      <c r="J36" s="9"/>
      <c r="K36" s="9"/>
      <c r="L36" s="17"/>
      <c r="M36" s="16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4" x14ac:dyDescent="0.3">
      <c r="A37" s="17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6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4" x14ac:dyDescent="0.3">
      <c r="A38" s="17"/>
      <c r="B38" s="9"/>
      <c r="C38" s="9"/>
      <c r="D38" s="9"/>
      <c r="E38" s="9"/>
      <c r="F38" s="9"/>
      <c r="G38" s="9"/>
      <c r="H38" s="9"/>
      <c r="I38" s="9"/>
      <c r="J38" s="9"/>
      <c r="K38" s="9"/>
      <c r="L38" s="17"/>
      <c r="M38" s="16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4" x14ac:dyDescent="0.3">
      <c r="A39" s="17"/>
      <c r="B39" s="9"/>
      <c r="C39" s="9"/>
      <c r="D39" s="9"/>
      <c r="E39" s="9"/>
      <c r="F39" s="9"/>
      <c r="G39" s="9"/>
      <c r="H39" s="9"/>
      <c r="I39" s="9"/>
      <c r="J39" s="9"/>
      <c r="K39" s="9"/>
      <c r="L39" s="17"/>
      <c r="M39" s="16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4" x14ac:dyDescent="0.3">
      <c r="A40" s="17"/>
      <c r="B40" s="9"/>
      <c r="C40" s="9"/>
      <c r="D40" s="9"/>
      <c r="E40" s="9"/>
      <c r="F40" s="9"/>
      <c r="G40" s="9"/>
      <c r="H40" s="9"/>
      <c r="I40" s="9"/>
      <c r="J40" s="9"/>
      <c r="K40" s="9"/>
      <c r="L40" s="17"/>
      <c r="M40" s="16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4" x14ac:dyDescent="0.3">
      <c r="A41" s="17"/>
      <c r="B41" s="9"/>
      <c r="C41" s="9"/>
      <c r="D41" s="9"/>
      <c r="E41" s="9"/>
      <c r="F41" s="9"/>
      <c r="G41" s="9"/>
      <c r="H41" s="9"/>
      <c r="I41" s="9"/>
      <c r="J41" s="9"/>
      <c r="K41" s="9"/>
      <c r="L41" s="17"/>
      <c r="M41" s="16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4" x14ac:dyDescent="0.3">
      <c r="A42" s="17"/>
      <c r="B42" s="9"/>
      <c r="C42" s="9"/>
      <c r="D42" s="9"/>
      <c r="E42" s="9"/>
      <c r="F42" s="9"/>
      <c r="G42" s="9"/>
      <c r="H42" s="9"/>
      <c r="I42" s="9"/>
      <c r="J42" s="9"/>
      <c r="K42" s="9"/>
      <c r="L42" s="17"/>
      <c r="M42" s="16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4" x14ac:dyDescent="0.3">
      <c r="A43" s="17"/>
      <c r="B43" s="9"/>
      <c r="C43" s="9"/>
      <c r="D43" s="9"/>
      <c r="E43" s="9"/>
      <c r="F43" s="9"/>
      <c r="G43" s="9"/>
      <c r="H43" s="9"/>
      <c r="I43" s="9"/>
      <c r="J43" s="9"/>
      <c r="K43" s="9"/>
      <c r="L43" s="17"/>
      <c r="M43" s="16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4" x14ac:dyDescent="0.3">
      <c r="A44" s="17"/>
      <c r="B44" s="9"/>
      <c r="C44" s="9"/>
      <c r="D44" s="9"/>
      <c r="E44" s="9"/>
      <c r="F44" s="9"/>
      <c r="G44" s="9"/>
      <c r="H44" s="9"/>
      <c r="I44" s="9"/>
      <c r="J44" s="9"/>
      <c r="K44" s="9"/>
      <c r="L44" s="17"/>
      <c r="M44" s="16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4" x14ac:dyDescent="0.3">
      <c r="A45" s="17"/>
      <c r="B45" s="9"/>
      <c r="C45" s="9"/>
      <c r="D45" s="9"/>
      <c r="E45" s="9"/>
      <c r="F45" s="9"/>
      <c r="G45" s="9"/>
      <c r="H45" s="9"/>
      <c r="I45" s="9"/>
      <c r="J45" s="9"/>
      <c r="K45" s="9"/>
      <c r="L45" s="17"/>
      <c r="M45" s="16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4" x14ac:dyDescent="0.3">
      <c r="A46" s="17"/>
      <c r="B46" s="9"/>
      <c r="C46" s="9"/>
      <c r="D46" s="9"/>
      <c r="E46" s="9"/>
      <c r="F46" s="9"/>
      <c r="G46" s="9"/>
      <c r="H46" s="9"/>
      <c r="I46" s="9"/>
      <c r="J46" s="9"/>
      <c r="K46" s="9"/>
      <c r="L46" s="17"/>
      <c r="M46" s="16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4" x14ac:dyDescent="0.3">
      <c r="A47" s="17"/>
      <c r="B47" s="9"/>
      <c r="C47" s="9"/>
      <c r="D47" s="9"/>
      <c r="E47" s="9"/>
      <c r="F47" s="9"/>
      <c r="G47" s="9"/>
      <c r="H47" s="9"/>
      <c r="I47" s="9"/>
      <c r="J47" s="9"/>
      <c r="K47" s="9"/>
      <c r="L47" s="17"/>
      <c r="M47" s="16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4" x14ac:dyDescent="0.3">
      <c r="A48" s="17"/>
      <c r="B48" s="9"/>
      <c r="C48" s="9"/>
      <c r="D48" s="9"/>
      <c r="E48" s="9"/>
      <c r="F48" s="9"/>
      <c r="G48" s="9"/>
      <c r="H48" s="9"/>
      <c r="I48" s="9"/>
      <c r="J48" s="9"/>
      <c r="K48" s="9"/>
      <c r="L48" s="17"/>
      <c r="M48" s="16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4" x14ac:dyDescent="0.3">
      <c r="A49" s="17"/>
      <c r="B49" s="9"/>
      <c r="C49" s="9"/>
      <c r="D49" s="9"/>
      <c r="E49" s="9"/>
      <c r="F49" s="9"/>
      <c r="G49" s="9"/>
      <c r="H49" s="9"/>
      <c r="I49" s="9"/>
      <c r="J49" s="9"/>
      <c r="K49" s="9"/>
      <c r="L49" s="17"/>
      <c r="M49" s="16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4" x14ac:dyDescent="0.3">
      <c r="A50" s="17"/>
      <c r="B50" s="9"/>
      <c r="C50" s="9"/>
      <c r="D50" s="9"/>
      <c r="E50" s="9"/>
      <c r="F50" s="9"/>
      <c r="G50" s="9"/>
      <c r="H50" s="9"/>
      <c r="I50" s="9"/>
      <c r="J50" s="9"/>
      <c r="K50" s="9"/>
      <c r="L50" s="17"/>
      <c r="M50" s="16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4" x14ac:dyDescent="0.3">
      <c r="A51" s="17"/>
      <c r="B51" s="9"/>
      <c r="C51" s="9"/>
      <c r="D51" s="9"/>
      <c r="E51" s="9"/>
      <c r="F51" s="9"/>
      <c r="G51" s="9"/>
      <c r="H51" s="9"/>
      <c r="I51" s="9"/>
      <c r="J51" s="9"/>
      <c r="K51" s="9"/>
      <c r="L51" s="17"/>
      <c r="M51" s="16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4" x14ac:dyDescent="0.3">
      <c r="A52" s="17"/>
      <c r="B52" s="9"/>
      <c r="C52" s="9"/>
      <c r="D52" s="9"/>
      <c r="E52" s="9"/>
      <c r="F52" s="9"/>
      <c r="G52" s="9"/>
      <c r="H52" s="9"/>
      <c r="I52" s="9"/>
      <c r="J52" s="9"/>
      <c r="K52" s="9"/>
      <c r="L52" s="17"/>
      <c r="M52" s="16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4" x14ac:dyDescent="0.3">
      <c r="A53" s="17"/>
      <c r="B53" s="9"/>
      <c r="C53" s="9"/>
      <c r="D53" s="9"/>
      <c r="E53" s="9"/>
      <c r="F53" s="9"/>
      <c r="G53" s="9"/>
      <c r="H53" s="9"/>
      <c r="I53" s="9"/>
      <c r="J53" s="9"/>
      <c r="K53" s="9"/>
      <c r="L53" s="17"/>
      <c r="M53" s="16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4" x14ac:dyDescent="0.3">
      <c r="A54" s="17"/>
      <c r="B54" s="9"/>
      <c r="C54" s="9"/>
      <c r="D54" s="9"/>
      <c r="E54" s="9"/>
      <c r="F54" s="9"/>
      <c r="G54" s="9"/>
      <c r="H54" s="9"/>
      <c r="I54" s="9"/>
      <c r="J54" s="9"/>
      <c r="K54" s="9"/>
      <c r="L54" s="17"/>
      <c r="M54" s="16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4" x14ac:dyDescent="0.3">
      <c r="A55" s="17"/>
      <c r="B55" s="9"/>
      <c r="C55" s="9"/>
      <c r="D55" s="9"/>
      <c r="E55" s="9"/>
      <c r="F55" s="9"/>
      <c r="G55" s="9"/>
      <c r="H55" s="9"/>
      <c r="I55" s="9"/>
      <c r="J55" s="9"/>
      <c r="K55" s="9"/>
      <c r="L55" s="17"/>
      <c r="M55" s="16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4" x14ac:dyDescent="0.3">
      <c r="A56" s="17"/>
      <c r="B56" s="9"/>
      <c r="C56" s="9"/>
      <c r="D56" s="9"/>
      <c r="E56" s="9"/>
      <c r="F56" s="9"/>
      <c r="G56" s="9"/>
      <c r="H56" s="9"/>
      <c r="I56" s="9"/>
      <c r="J56" s="9"/>
      <c r="K56" s="9"/>
      <c r="L56" s="17"/>
      <c r="M56" s="16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4" x14ac:dyDescent="0.3">
      <c r="A57" s="17"/>
      <c r="B57" s="9"/>
      <c r="C57" s="9"/>
      <c r="D57" s="9"/>
      <c r="E57" s="9"/>
      <c r="F57" s="9"/>
      <c r="G57" s="9"/>
      <c r="H57" s="9"/>
      <c r="I57" s="9"/>
      <c r="J57" s="9"/>
      <c r="K57" s="9"/>
      <c r="L57" s="17"/>
      <c r="M57" s="16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4" x14ac:dyDescent="0.3">
      <c r="A58" s="17"/>
      <c r="B58" s="9"/>
      <c r="C58" s="9"/>
      <c r="D58" s="9"/>
      <c r="E58" s="9"/>
      <c r="F58" s="9"/>
      <c r="G58" s="9"/>
      <c r="H58" s="9"/>
      <c r="I58" s="9"/>
      <c r="J58" s="9"/>
      <c r="K58" s="9"/>
      <c r="L58" s="17"/>
      <c r="M58" s="16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4" x14ac:dyDescent="0.3">
      <c r="A59" s="17"/>
      <c r="B59" s="9"/>
      <c r="C59" s="9"/>
      <c r="D59" s="9"/>
      <c r="E59" s="9"/>
      <c r="F59" s="9"/>
      <c r="G59" s="9"/>
      <c r="H59" s="9"/>
      <c r="I59" s="9"/>
      <c r="J59" s="9"/>
      <c r="K59" s="9"/>
      <c r="L59" s="17"/>
      <c r="M59" s="16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4" x14ac:dyDescent="0.3">
      <c r="A60" s="17"/>
      <c r="B60" s="9"/>
      <c r="C60" s="9"/>
      <c r="D60" s="9"/>
      <c r="E60" s="9"/>
      <c r="F60" s="9"/>
      <c r="G60" s="9"/>
      <c r="H60" s="9"/>
      <c r="I60" s="9"/>
      <c r="J60" s="9"/>
      <c r="K60" s="9"/>
      <c r="L60" s="17"/>
      <c r="M60" s="16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4" x14ac:dyDescent="0.3">
      <c r="A61" s="17"/>
      <c r="B61" s="9"/>
      <c r="C61" s="9"/>
      <c r="D61" s="9"/>
      <c r="E61" s="9"/>
      <c r="F61" s="9"/>
      <c r="G61" s="9"/>
      <c r="H61" s="9"/>
      <c r="I61" s="9"/>
      <c r="J61" s="9"/>
      <c r="K61" s="9"/>
      <c r="L61" s="17"/>
      <c r="M61" s="16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4" x14ac:dyDescent="0.3">
      <c r="A62" s="17"/>
      <c r="B62" s="9"/>
      <c r="C62" s="9"/>
      <c r="D62" s="9"/>
      <c r="E62" s="9"/>
      <c r="F62" s="9"/>
      <c r="G62" s="9"/>
      <c r="H62" s="9"/>
      <c r="I62" s="9"/>
      <c r="J62" s="9"/>
      <c r="K62" s="9"/>
      <c r="L62" s="17"/>
      <c r="M62" s="16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4" x14ac:dyDescent="0.3">
      <c r="A63" s="17"/>
      <c r="B63" s="9"/>
      <c r="C63" s="9"/>
      <c r="D63" s="9"/>
      <c r="E63" s="9"/>
      <c r="F63" s="9"/>
      <c r="G63" s="9"/>
      <c r="H63" s="9"/>
      <c r="I63" s="9"/>
      <c r="J63" s="9"/>
      <c r="K63" s="9"/>
      <c r="L63" s="17"/>
      <c r="M63" s="16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4" x14ac:dyDescent="0.3">
      <c r="A64" s="17"/>
      <c r="B64" s="9"/>
      <c r="C64" s="9"/>
      <c r="D64" s="9"/>
      <c r="E64" s="9"/>
      <c r="F64" s="9"/>
      <c r="G64" s="9"/>
      <c r="H64" s="9"/>
      <c r="I64" s="9"/>
      <c r="J64" s="9"/>
      <c r="K64" s="9"/>
      <c r="L64" s="17"/>
      <c r="M64" s="16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4" x14ac:dyDescent="0.3">
      <c r="A65" s="17"/>
      <c r="B65" s="9"/>
      <c r="C65" s="9"/>
      <c r="D65" s="9"/>
      <c r="E65" s="9"/>
      <c r="F65" s="9"/>
      <c r="G65" s="9"/>
      <c r="H65" s="9"/>
      <c r="I65" s="9"/>
      <c r="J65" s="9"/>
      <c r="K65" s="9"/>
      <c r="L65" s="17"/>
      <c r="M65" s="16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4" x14ac:dyDescent="0.3">
      <c r="A66" s="17"/>
      <c r="B66" s="9"/>
      <c r="C66" s="9"/>
      <c r="D66" s="9"/>
      <c r="E66" s="9"/>
      <c r="F66" s="9"/>
      <c r="G66" s="9"/>
      <c r="H66" s="9"/>
      <c r="I66" s="9"/>
      <c r="J66" s="9"/>
      <c r="K66" s="9"/>
      <c r="L66" s="17"/>
      <c r="M66" s="16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4" x14ac:dyDescent="0.3">
      <c r="A67" s="17"/>
      <c r="B67" s="9"/>
      <c r="C67" s="9"/>
      <c r="D67" s="9"/>
      <c r="E67" s="9"/>
      <c r="F67" s="9"/>
      <c r="G67" s="9"/>
      <c r="H67" s="9"/>
      <c r="I67" s="9"/>
      <c r="J67" s="9"/>
      <c r="K67" s="9"/>
      <c r="L67" s="17"/>
      <c r="M67" s="16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4" x14ac:dyDescent="0.3">
      <c r="A68" s="17"/>
      <c r="B68" s="9"/>
      <c r="C68" s="9"/>
      <c r="D68" s="9"/>
      <c r="E68" s="9"/>
      <c r="F68" s="9"/>
      <c r="G68" s="9"/>
      <c r="H68" s="9"/>
      <c r="I68" s="9"/>
      <c r="J68" s="9"/>
      <c r="K68" s="9"/>
      <c r="L68" s="17"/>
      <c r="M68" s="16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4" x14ac:dyDescent="0.3">
      <c r="A69" s="17"/>
      <c r="B69" s="9"/>
      <c r="C69" s="9"/>
      <c r="D69" s="9"/>
      <c r="E69" s="9"/>
      <c r="F69" s="9"/>
      <c r="G69" s="9"/>
      <c r="H69" s="9"/>
      <c r="I69" s="9"/>
      <c r="J69" s="9"/>
      <c r="K69" s="9"/>
      <c r="L69" s="17"/>
      <c r="M69" s="16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4" x14ac:dyDescent="0.3">
      <c r="A70" s="17"/>
      <c r="B70" s="9"/>
      <c r="C70" s="9"/>
      <c r="D70" s="9"/>
      <c r="E70" s="9"/>
      <c r="F70" s="9"/>
      <c r="G70" s="9"/>
      <c r="H70" s="9"/>
      <c r="I70" s="9"/>
      <c r="J70" s="9"/>
      <c r="K70" s="9"/>
      <c r="L70" s="17"/>
      <c r="M70" s="16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4" x14ac:dyDescent="0.3">
      <c r="A71" s="17"/>
      <c r="B71" s="9"/>
      <c r="C71" s="9"/>
      <c r="D71" s="9"/>
      <c r="E71" s="9"/>
      <c r="F71" s="9"/>
      <c r="G71" s="9"/>
      <c r="H71" s="9"/>
      <c r="I71" s="9"/>
      <c r="J71" s="9"/>
      <c r="K71" s="9"/>
      <c r="L71" s="17"/>
      <c r="M71" s="16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4" x14ac:dyDescent="0.3">
      <c r="A72" s="17"/>
      <c r="B72" s="9"/>
      <c r="C72" s="9"/>
      <c r="D72" s="9"/>
      <c r="E72" s="9"/>
      <c r="F72" s="9"/>
      <c r="G72" s="9"/>
      <c r="H72" s="9"/>
      <c r="I72" s="9"/>
      <c r="J72" s="9"/>
      <c r="K72" s="9"/>
      <c r="L72" s="17"/>
      <c r="M72" s="16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4" x14ac:dyDescent="0.3">
      <c r="A73" s="17"/>
      <c r="B73" s="9"/>
      <c r="C73" s="9"/>
      <c r="D73" s="9"/>
      <c r="E73" s="9"/>
      <c r="F73" s="9"/>
      <c r="G73" s="9"/>
      <c r="H73" s="9"/>
      <c r="I73" s="9"/>
      <c r="J73" s="9"/>
      <c r="K73" s="9"/>
      <c r="L73" s="17"/>
      <c r="M73" s="16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4" x14ac:dyDescent="0.3">
      <c r="A74" s="17"/>
      <c r="B74" s="9"/>
      <c r="C74" s="9"/>
      <c r="D74" s="9"/>
      <c r="E74" s="9"/>
      <c r="F74" s="9"/>
      <c r="G74" s="9"/>
      <c r="H74" s="9"/>
      <c r="I74" s="9"/>
      <c r="J74" s="9"/>
      <c r="K74" s="9"/>
      <c r="L74" s="17"/>
      <c r="M74" s="16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4" x14ac:dyDescent="0.3">
      <c r="A75" s="17"/>
      <c r="B75" s="9"/>
      <c r="C75" s="9"/>
      <c r="D75" s="9"/>
      <c r="E75" s="9"/>
      <c r="F75" s="9"/>
      <c r="G75" s="9"/>
      <c r="H75" s="9"/>
      <c r="I75" s="9"/>
      <c r="J75" s="9"/>
      <c r="K75" s="9"/>
      <c r="L75" s="17"/>
      <c r="M75" s="16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4" x14ac:dyDescent="0.3">
      <c r="A76" s="17"/>
      <c r="B76" s="9"/>
      <c r="C76" s="9"/>
      <c r="D76" s="9"/>
      <c r="E76" s="9"/>
      <c r="F76" s="9"/>
      <c r="G76" s="9"/>
      <c r="H76" s="9"/>
      <c r="I76" s="9"/>
      <c r="J76" s="9"/>
      <c r="K76" s="9"/>
      <c r="L76" s="17"/>
      <c r="M76" s="16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4" x14ac:dyDescent="0.3">
      <c r="A77" s="17"/>
      <c r="B77" s="9"/>
      <c r="C77" s="9"/>
      <c r="D77" s="9"/>
      <c r="E77" s="9"/>
      <c r="F77" s="9"/>
      <c r="G77" s="9"/>
      <c r="H77" s="9"/>
      <c r="I77" s="9"/>
      <c r="J77" s="9"/>
      <c r="K77" s="9"/>
      <c r="L77" s="17"/>
      <c r="M77" s="16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4" x14ac:dyDescent="0.3">
      <c r="A78" s="17"/>
      <c r="B78" s="9"/>
      <c r="C78" s="9"/>
      <c r="D78" s="9"/>
      <c r="E78" s="9"/>
      <c r="F78" s="9"/>
      <c r="G78" s="9"/>
      <c r="H78" s="9"/>
      <c r="I78" s="9"/>
      <c r="J78" s="9"/>
      <c r="K78" s="9"/>
      <c r="L78" s="17"/>
      <c r="M78" s="16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4" x14ac:dyDescent="0.3">
      <c r="A79" s="17"/>
      <c r="B79" s="9"/>
      <c r="C79" s="9"/>
      <c r="D79" s="9"/>
      <c r="E79" s="9"/>
      <c r="F79" s="9"/>
      <c r="G79" s="9"/>
      <c r="H79" s="9"/>
      <c r="I79" s="9"/>
      <c r="J79" s="9"/>
      <c r="K79" s="9"/>
      <c r="L79" s="17"/>
      <c r="M79" s="16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4" x14ac:dyDescent="0.3">
      <c r="A80" s="17"/>
      <c r="B80" s="9"/>
      <c r="C80" s="9"/>
      <c r="D80" s="9"/>
      <c r="E80" s="9"/>
      <c r="F80" s="9"/>
      <c r="G80" s="9"/>
      <c r="H80" s="9"/>
      <c r="I80" s="9"/>
      <c r="J80" s="9"/>
      <c r="K80" s="9"/>
      <c r="L80" s="17"/>
      <c r="M80" s="16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4" x14ac:dyDescent="0.3">
      <c r="A81" s="17"/>
      <c r="B81" s="9"/>
      <c r="C81" s="9"/>
      <c r="D81" s="9"/>
      <c r="E81" s="9"/>
      <c r="F81" s="9"/>
      <c r="G81" s="9"/>
      <c r="H81" s="9"/>
      <c r="I81" s="9"/>
      <c r="J81" s="9"/>
      <c r="K81" s="9"/>
      <c r="L81" s="17"/>
      <c r="M81" s="16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4" x14ac:dyDescent="0.3">
      <c r="A82" s="17"/>
      <c r="B82" s="9"/>
      <c r="C82" s="9"/>
      <c r="D82" s="9"/>
      <c r="E82" s="9"/>
      <c r="F82" s="9"/>
      <c r="G82" s="9"/>
      <c r="H82" s="9"/>
      <c r="I82" s="9"/>
      <c r="J82" s="9"/>
      <c r="K82" s="9"/>
      <c r="L82" s="17"/>
      <c r="M82" s="16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4" x14ac:dyDescent="0.3">
      <c r="A83" s="17"/>
      <c r="B83" s="9"/>
      <c r="C83" s="9"/>
      <c r="D83" s="9"/>
      <c r="E83" s="9"/>
      <c r="F83" s="9"/>
      <c r="G83" s="9"/>
      <c r="H83" s="9"/>
      <c r="I83" s="9"/>
      <c r="J83" s="9"/>
      <c r="K83" s="9"/>
      <c r="L83" s="17"/>
      <c r="M83" s="16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4" x14ac:dyDescent="0.3">
      <c r="A84" s="17"/>
      <c r="B84" s="9"/>
      <c r="C84" s="9"/>
      <c r="D84" s="9"/>
      <c r="E84" s="9"/>
      <c r="F84" s="9"/>
      <c r="G84" s="9"/>
      <c r="H84" s="9"/>
      <c r="I84" s="9"/>
      <c r="J84" s="9"/>
      <c r="K84" s="9"/>
      <c r="L84" s="17"/>
      <c r="M84" s="16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4" x14ac:dyDescent="0.3">
      <c r="A85" s="17"/>
      <c r="B85" s="9"/>
      <c r="C85" s="9"/>
      <c r="D85" s="9"/>
      <c r="E85" s="9"/>
      <c r="F85" s="9"/>
      <c r="G85" s="9"/>
      <c r="H85" s="9"/>
      <c r="I85" s="9"/>
      <c r="J85" s="9"/>
      <c r="K85" s="9"/>
      <c r="L85" s="17"/>
      <c r="M85" s="16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4" x14ac:dyDescent="0.3">
      <c r="A86" s="17"/>
      <c r="B86" s="9"/>
      <c r="C86" s="9"/>
      <c r="D86" s="9"/>
      <c r="E86" s="9"/>
      <c r="F86" s="9"/>
      <c r="G86" s="9"/>
      <c r="H86" s="9"/>
      <c r="I86" s="9"/>
      <c r="J86" s="9"/>
      <c r="K86" s="9"/>
      <c r="L86" s="17"/>
      <c r="M86" s="16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4" x14ac:dyDescent="0.3">
      <c r="A87" s="17"/>
      <c r="B87" s="9"/>
      <c r="C87" s="9"/>
      <c r="D87" s="9"/>
      <c r="E87" s="9"/>
      <c r="F87" s="9"/>
      <c r="G87" s="9"/>
      <c r="H87" s="9"/>
      <c r="I87" s="9"/>
      <c r="J87" s="9"/>
      <c r="K87" s="9"/>
      <c r="L87" s="17"/>
      <c r="M87" s="16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4" x14ac:dyDescent="0.3">
      <c r="A88" s="17"/>
      <c r="B88" s="9"/>
      <c r="C88" s="9"/>
      <c r="D88" s="9"/>
      <c r="E88" s="9"/>
      <c r="F88" s="9"/>
      <c r="G88" s="9"/>
      <c r="H88" s="9"/>
      <c r="I88" s="9"/>
      <c r="J88" s="9"/>
      <c r="K88" s="9"/>
      <c r="L88" s="17"/>
      <c r="M88" s="16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4" x14ac:dyDescent="0.3">
      <c r="A89" s="17"/>
      <c r="B89" s="9"/>
      <c r="C89" s="9"/>
      <c r="D89" s="9"/>
      <c r="E89" s="9"/>
      <c r="F89" s="9"/>
      <c r="G89" s="9"/>
      <c r="H89" s="9"/>
      <c r="I89" s="9"/>
      <c r="J89" s="9"/>
      <c r="K89" s="9"/>
      <c r="L89" s="17"/>
      <c r="M89" s="16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4" x14ac:dyDescent="0.3">
      <c r="A90" s="17"/>
      <c r="B90" s="9"/>
      <c r="C90" s="9"/>
      <c r="D90" s="9"/>
      <c r="E90" s="9"/>
      <c r="F90" s="9"/>
      <c r="G90" s="9"/>
      <c r="H90" s="9"/>
      <c r="I90" s="9"/>
      <c r="J90" s="9"/>
      <c r="K90" s="9"/>
      <c r="L90" s="17"/>
      <c r="M90" s="16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4" x14ac:dyDescent="0.3">
      <c r="A91" s="17"/>
      <c r="B91" s="9"/>
      <c r="C91" s="9"/>
      <c r="D91" s="9"/>
      <c r="E91" s="9"/>
      <c r="F91" s="9"/>
      <c r="G91" s="9"/>
      <c r="H91" s="9"/>
      <c r="I91" s="9"/>
      <c r="J91" s="9"/>
      <c r="K91" s="9"/>
      <c r="L91" s="17"/>
      <c r="M91" s="16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4" x14ac:dyDescent="0.3">
      <c r="A92" s="17"/>
      <c r="B92" s="9"/>
      <c r="C92" s="9"/>
      <c r="D92" s="9"/>
      <c r="E92" s="9"/>
      <c r="F92" s="9"/>
      <c r="G92" s="9"/>
      <c r="H92" s="9"/>
      <c r="I92" s="9"/>
      <c r="J92" s="9"/>
      <c r="K92" s="9"/>
      <c r="L92" s="17"/>
      <c r="M92" s="16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4" x14ac:dyDescent="0.3">
      <c r="A93" s="17"/>
      <c r="B93" s="9"/>
      <c r="C93" s="9"/>
      <c r="D93" s="9"/>
      <c r="E93" s="9"/>
      <c r="F93" s="9"/>
      <c r="G93" s="9"/>
      <c r="H93" s="9"/>
      <c r="I93" s="9"/>
      <c r="J93" s="9"/>
      <c r="K93" s="9"/>
      <c r="L93" s="17"/>
      <c r="M93" s="16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4" x14ac:dyDescent="0.3">
      <c r="A94" s="17"/>
      <c r="B94" s="9"/>
      <c r="C94" s="9"/>
      <c r="D94" s="9"/>
      <c r="E94" s="9"/>
      <c r="F94" s="9"/>
      <c r="G94" s="9"/>
      <c r="H94" s="9"/>
      <c r="I94" s="9"/>
      <c r="J94" s="9"/>
      <c r="K94" s="9"/>
      <c r="L94" s="17"/>
      <c r="M94" s="16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4" x14ac:dyDescent="0.3">
      <c r="A95" s="17"/>
      <c r="B95" s="9"/>
      <c r="C95" s="9"/>
      <c r="D95" s="9"/>
      <c r="E95" s="9"/>
      <c r="F95" s="9"/>
      <c r="G95" s="9"/>
      <c r="H95" s="9"/>
      <c r="I95" s="9"/>
      <c r="J95" s="9"/>
      <c r="K95" s="9"/>
      <c r="L95" s="17"/>
      <c r="M95" s="16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4" x14ac:dyDescent="0.3">
      <c r="A96" s="17"/>
      <c r="B96" s="9"/>
      <c r="C96" s="9"/>
      <c r="D96" s="9"/>
      <c r="E96" s="9"/>
      <c r="F96" s="9"/>
      <c r="G96" s="9"/>
      <c r="H96" s="9"/>
      <c r="I96" s="9"/>
      <c r="J96" s="9"/>
      <c r="K96" s="9"/>
      <c r="L96" s="17"/>
      <c r="M96" s="16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4" x14ac:dyDescent="0.3">
      <c r="A97" s="17"/>
      <c r="B97" s="9"/>
      <c r="C97" s="9"/>
      <c r="D97" s="9"/>
      <c r="E97" s="9"/>
      <c r="F97" s="9"/>
      <c r="G97" s="9"/>
      <c r="H97" s="9"/>
      <c r="I97" s="9"/>
      <c r="J97" s="9"/>
      <c r="K97" s="9"/>
      <c r="L97" s="17"/>
      <c r="M97" s="16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4" x14ac:dyDescent="0.3">
      <c r="A98" s="17"/>
      <c r="B98" s="9"/>
      <c r="C98" s="9"/>
      <c r="D98" s="9"/>
      <c r="E98" s="9"/>
      <c r="F98" s="9"/>
      <c r="G98" s="9"/>
      <c r="H98" s="9"/>
      <c r="I98" s="9"/>
      <c r="J98" s="9"/>
      <c r="K98" s="9"/>
      <c r="L98" s="17"/>
      <c r="M98" s="16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4" x14ac:dyDescent="0.3">
      <c r="A99" s="17"/>
      <c r="B99" s="9"/>
      <c r="C99" s="9"/>
      <c r="D99" s="9"/>
      <c r="E99" s="9"/>
      <c r="F99" s="9"/>
      <c r="G99" s="9"/>
      <c r="H99" s="9"/>
      <c r="I99" s="9"/>
      <c r="J99" s="9"/>
      <c r="K99" s="9"/>
      <c r="L99" s="17"/>
      <c r="M99" s="16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4" x14ac:dyDescent="0.3">
      <c r="A100" s="1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7"/>
      <c r="M100" s="16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4" x14ac:dyDescent="0.3">
      <c r="A101" s="1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7"/>
      <c r="M101" s="16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4" x14ac:dyDescent="0.3">
      <c r="A102" s="1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7"/>
      <c r="M102" s="16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4" x14ac:dyDescent="0.3">
      <c r="A103" s="1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7"/>
      <c r="M103" s="16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4" x14ac:dyDescent="0.3">
      <c r="A104" s="1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7"/>
      <c r="M104" s="16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4" x14ac:dyDescent="0.3">
      <c r="A105" s="1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7"/>
      <c r="M105" s="16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4" x14ac:dyDescent="0.3">
      <c r="A106" s="1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7"/>
      <c r="M106" s="16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4" x14ac:dyDescent="0.3">
      <c r="A107" s="1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7"/>
      <c r="M107" s="16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4" x14ac:dyDescent="0.3">
      <c r="A108" s="1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7"/>
      <c r="M108" s="16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4" x14ac:dyDescent="0.3">
      <c r="A109" s="1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7"/>
      <c r="M109" s="16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4" x14ac:dyDescent="0.3">
      <c r="A110" s="1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7"/>
      <c r="M110" s="16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4" x14ac:dyDescent="0.3">
      <c r="A111" s="1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7"/>
      <c r="M111" s="16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4" x14ac:dyDescent="0.3">
      <c r="A112" s="1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7"/>
      <c r="M112" s="16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4" x14ac:dyDescent="0.3">
      <c r="A113" s="1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7"/>
      <c r="M113" s="16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4" x14ac:dyDescent="0.3">
      <c r="A114" s="1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7"/>
      <c r="M114" s="16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4" x14ac:dyDescent="0.3">
      <c r="A115" s="1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7"/>
      <c r="M115" s="16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4" x14ac:dyDescent="0.3">
      <c r="A116" s="1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7"/>
      <c r="M116" s="16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4" x14ac:dyDescent="0.3">
      <c r="A117" s="1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7"/>
      <c r="M117" s="16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4" x14ac:dyDescent="0.3">
      <c r="A118" s="1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7"/>
      <c r="M118" s="16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4" x14ac:dyDescent="0.3">
      <c r="A119" s="1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7"/>
      <c r="M119" s="16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4" x14ac:dyDescent="0.3">
      <c r="A120" s="1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7"/>
      <c r="M120" s="16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4" x14ac:dyDescent="0.3">
      <c r="A121" s="1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7"/>
      <c r="M121" s="16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4" x14ac:dyDescent="0.3">
      <c r="A122" s="1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7"/>
      <c r="M122" s="16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4" x14ac:dyDescent="0.3">
      <c r="A123" s="1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7"/>
      <c r="M123" s="16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4" x14ac:dyDescent="0.3">
      <c r="A124" s="1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7"/>
      <c r="M124" s="16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4" x14ac:dyDescent="0.3">
      <c r="A125" s="1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7"/>
      <c r="M125" s="16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4" x14ac:dyDescent="0.3">
      <c r="A126" s="1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7"/>
      <c r="M126" s="16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4" x14ac:dyDescent="0.3">
      <c r="A127" s="1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7"/>
      <c r="M127" s="16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4" x14ac:dyDescent="0.3">
      <c r="A128" s="1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7"/>
      <c r="M128" s="16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4" x14ac:dyDescent="0.3">
      <c r="A129" s="1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7"/>
      <c r="M129" s="16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4" x14ac:dyDescent="0.3">
      <c r="A130" s="1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7"/>
      <c r="M130" s="16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4" x14ac:dyDescent="0.3">
      <c r="A131" s="1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7"/>
      <c r="M131" s="16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4" x14ac:dyDescent="0.3">
      <c r="A132" s="1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7"/>
      <c r="M132" s="16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4" x14ac:dyDescent="0.3">
      <c r="A133" s="1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7"/>
      <c r="M133" s="16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4" x14ac:dyDescent="0.3">
      <c r="A134" s="1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7"/>
      <c r="M134" s="16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4" x14ac:dyDescent="0.3">
      <c r="A135" s="1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7"/>
      <c r="M135" s="16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4" x14ac:dyDescent="0.3">
      <c r="A136" s="1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7"/>
      <c r="M136" s="16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4" x14ac:dyDescent="0.3">
      <c r="A137" s="1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7"/>
      <c r="M137" s="16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4" x14ac:dyDescent="0.3">
      <c r="A138" s="1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7"/>
      <c r="M138" s="16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4" x14ac:dyDescent="0.3">
      <c r="A139" s="1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7"/>
      <c r="M139" s="16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4" x14ac:dyDescent="0.3">
      <c r="A140" s="1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7"/>
      <c r="M140" s="16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4" x14ac:dyDescent="0.3">
      <c r="A141" s="1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7"/>
      <c r="M141" s="16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4" x14ac:dyDescent="0.3">
      <c r="A142" s="1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7"/>
      <c r="M142" s="16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4" x14ac:dyDescent="0.3">
      <c r="A143" s="1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7"/>
      <c r="M143" s="16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4" x14ac:dyDescent="0.3">
      <c r="A144" s="1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7"/>
      <c r="M144" s="16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4" x14ac:dyDescent="0.3">
      <c r="A145" s="1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7"/>
      <c r="M145" s="16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4" x14ac:dyDescent="0.3">
      <c r="A146" s="1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7"/>
      <c r="M146" s="16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4" x14ac:dyDescent="0.3">
      <c r="A147" s="1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7"/>
      <c r="M147" s="16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4" x14ac:dyDescent="0.3">
      <c r="A148" s="1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7"/>
      <c r="M148" s="16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4" x14ac:dyDescent="0.3">
      <c r="A149" s="1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7"/>
      <c r="M149" s="16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4" x14ac:dyDescent="0.3">
      <c r="A150" s="1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7"/>
      <c r="M150" s="16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4" x14ac:dyDescent="0.3">
      <c r="A151" s="1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7"/>
      <c r="M151" s="16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4" x14ac:dyDescent="0.3">
      <c r="A152" s="1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7"/>
      <c r="M152" s="16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4" x14ac:dyDescent="0.3">
      <c r="A153" s="1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7"/>
      <c r="M153" s="16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4" x14ac:dyDescent="0.3">
      <c r="A154" s="1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7"/>
      <c r="M154" s="16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4" x14ac:dyDescent="0.3">
      <c r="A155" s="1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7"/>
      <c r="M155" s="16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4" x14ac:dyDescent="0.3">
      <c r="A156" s="1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7"/>
      <c r="M156" s="16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4" x14ac:dyDescent="0.3">
      <c r="A157" s="1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7"/>
      <c r="M157" s="16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4" x14ac:dyDescent="0.3">
      <c r="A158" s="1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7"/>
      <c r="M158" s="16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4" x14ac:dyDescent="0.3">
      <c r="A159" s="1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7"/>
      <c r="M159" s="16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4" x14ac:dyDescent="0.3">
      <c r="A160" s="1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7"/>
      <c r="M160" s="16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4" x14ac:dyDescent="0.3">
      <c r="A161" s="1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7"/>
      <c r="M161" s="16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4" x14ac:dyDescent="0.3">
      <c r="A162" s="1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7"/>
      <c r="M162" s="16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4" x14ac:dyDescent="0.3">
      <c r="A163" s="1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7"/>
      <c r="M163" s="16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4" x14ac:dyDescent="0.3">
      <c r="A164" s="1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7"/>
      <c r="M164" s="16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4" x14ac:dyDescent="0.3">
      <c r="A165" s="1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7"/>
      <c r="M165" s="16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4" x14ac:dyDescent="0.3">
      <c r="A166" s="1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7"/>
      <c r="M166" s="16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4" x14ac:dyDescent="0.3">
      <c r="A167" s="1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7"/>
      <c r="M167" s="16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4" x14ac:dyDescent="0.3">
      <c r="A168" s="1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7"/>
      <c r="M168" s="16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4" x14ac:dyDescent="0.3">
      <c r="A169" s="1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7"/>
      <c r="M169" s="16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4" x14ac:dyDescent="0.3">
      <c r="A170" s="1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7"/>
      <c r="M170" s="16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4" x14ac:dyDescent="0.3">
      <c r="A171" s="1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7"/>
      <c r="M171" s="16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4" x14ac:dyDescent="0.3">
      <c r="A172" s="1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7"/>
      <c r="M172" s="16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4" x14ac:dyDescent="0.3">
      <c r="A173" s="1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7"/>
      <c r="M173" s="16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4" x14ac:dyDescent="0.3">
      <c r="A174" s="1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7"/>
      <c r="M174" s="16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4" x14ac:dyDescent="0.3">
      <c r="A175" s="1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7"/>
      <c r="M175" s="16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4" x14ac:dyDescent="0.3">
      <c r="A176" s="1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7"/>
      <c r="M176" s="16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4" x14ac:dyDescent="0.3">
      <c r="A177" s="1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7"/>
      <c r="M177" s="16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4" x14ac:dyDescent="0.3">
      <c r="A178" s="1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7"/>
      <c r="M178" s="16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4" x14ac:dyDescent="0.3">
      <c r="A179" s="1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7"/>
      <c r="M179" s="16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4" x14ac:dyDescent="0.3">
      <c r="A180" s="1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7"/>
      <c r="M180" s="16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4" x14ac:dyDescent="0.3">
      <c r="A181" s="1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7"/>
      <c r="M181" s="16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4" x14ac:dyDescent="0.3">
      <c r="A182" s="1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7"/>
      <c r="M182" s="16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4" x14ac:dyDescent="0.3">
      <c r="A183" s="1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7"/>
      <c r="M183" s="16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4" x14ac:dyDescent="0.3">
      <c r="A184" s="1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7"/>
      <c r="M184" s="16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4" x14ac:dyDescent="0.3">
      <c r="A185" s="1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7"/>
      <c r="M185" s="16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4" x14ac:dyDescent="0.3">
      <c r="A186" s="1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7"/>
      <c r="M186" s="16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4" x14ac:dyDescent="0.3">
      <c r="A187" s="1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7"/>
      <c r="M187" s="16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4" x14ac:dyDescent="0.3">
      <c r="A188" s="1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7"/>
      <c r="M188" s="16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4" x14ac:dyDescent="0.3">
      <c r="A189" s="1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7"/>
      <c r="M189" s="16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4" x14ac:dyDescent="0.3">
      <c r="A190" s="1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7"/>
      <c r="M190" s="16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4" x14ac:dyDescent="0.3">
      <c r="A191" s="1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7"/>
      <c r="M191" s="16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4" x14ac:dyDescent="0.3">
      <c r="A192" s="1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7"/>
      <c r="M192" s="16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4" x14ac:dyDescent="0.3">
      <c r="A193" s="1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7"/>
      <c r="M193" s="16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4" x14ac:dyDescent="0.3">
      <c r="A194" s="1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7"/>
      <c r="M194" s="16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4" x14ac:dyDescent="0.3">
      <c r="A195" s="1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7"/>
      <c r="M195" s="16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4" x14ac:dyDescent="0.3">
      <c r="A196" s="1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7"/>
      <c r="M196" s="16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4" x14ac:dyDescent="0.3">
      <c r="A197" s="1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7"/>
      <c r="M197" s="16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4" x14ac:dyDescent="0.3">
      <c r="A198" s="1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7"/>
      <c r="M198" s="16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4" x14ac:dyDescent="0.3">
      <c r="A199" s="1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7"/>
      <c r="M199" s="16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4" x14ac:dyDescent="0.3">
      <c r="A200" s="1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7"/>
      <c r="M200" s="16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4" x14ac:dyDescent="0.3">
      <c r="A201" s="1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7"/>
      <c r="M201" s="16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4" x14ac:dyDescent="0.3">
      <c r="A202" s="1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7"/>
      <c r="M202" s="16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4" x14ac:dyDescent="0.3">
      <c r="A203" s="1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7"/>
      <c r="M203" s="16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4" x14ac:dyDescent="0.3">
      <c r="A204" s="1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7"/>
      <c r="M204" s="16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4" x14ac:dyDescent="0.3">
      <c r="A205" s="1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7"/>
      <c r="M205" s="16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4" x14ac:dyDescent="0.3">
      <c r="A206" s="1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7"/>
      <c r="M206" s="16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4" x14ac:dyDescent="0.3">
      <c r="A207" s="1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7"/>
      <c r="M207" s="16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4" x14ac:dyDescent="0.3">
      <c r="A208" s="1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7"/>
      <c r="M208" s="16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4" x14ac:dyDescent="0.3">
      <c r="A209" s="1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7"/>
      <c r="M209" s="16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4" x14ac:dyDescent="0.3">
      <c r="A210" s="1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7"/>
      <c r="M210" s="16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4" x14ac:dyDescent="0.3">
      <c r="A211" s="1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7"/>
      <c r="M211" s="16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4" x14ac:dyDescent="0.3">
      <c r="A212" s="1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7"/>
      <c r="M212" s="16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4" x14ac:dyDescent="0.3">
      <c r="A213" s="1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7"/>
      <c r="M213" s="16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4" x14ac:dyDescent="0.3">
      <c r="A214" s="1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7"/>
      <c r="M214" s="16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4" x14ac:dyDescent="0.3">
      <c r="A215" s="1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7"/>
      <c r="M215" s="16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4" x14ac:dyDescent="0.3">
      <c r="A216" s="1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7"/>
      <c r="M216" s="16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4" x14ac:dyDescent="0.3">
      <c r="A217" s="1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7"/>
      <c r="M217" s="16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4" x14ac:dyDescent="0.3">
      <c r="A218" s="1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7"/>
      <c r="M218" s="16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4" x14ac:dyDescent="0.3">
      <c r="A219" s="1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7"/>
      <c r="M219" s="16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4" x14ac:dyDescent="0.3">
      <c r="A220" s="1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7"/>
      <c r="M220" s="16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4" x14ac:dyDescent="0.3">
      <c r="A221" s="1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7"/>
      <c r="M221" s="16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4" x14ac:dyDescent="0.3">
      <c r="A222" s="1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7"/>
      <c r="M222" s="16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4" x14ac:dyDescent="0.3">
      <c r="A223" s="1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7"/>
      <c r="M223" s="16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4" x14ac:dyDescent="0.3">
      <c r="A224" s="1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7"/>
      <c r="M224" s="16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4" x14ac:dyDescent="0.3">
      <c r="A225" s="1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7"/>
      <c r="M225" s="16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4" x14ac:dyDescent="0.3">
      <c r="A226" s="1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7"/>
      <c r="M226" s="16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4" x14ac:dyDescent="0.3">
      <c r="A227" s="1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7"/>
      <c r="M227" s="16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4" x14ac:dyDescent="0.3">
      <c r="A228" s="1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7"/>
      <c r="M228" s="16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4" x14ac:dyDescent="0.3">
      <c r="A229" s="1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7"/>
      <c r="M229" s="16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4" x14ac:dyDescent="0.3">
      <c r="A230" s="1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7"/>
      <c r="M230" s="16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4" x14ac:dyDescent="0.3">
      <c r="A231" s="1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7"/>
      <c r="M231" s="16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4" x14ac:dyDescent="0.3">
      <c r="A232" s="1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7"/>
      <c r="M232" s="16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4" x14ac:dyDescent="0.3">
      <c r="A233" s="1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7"/>
      <c r="M233" s="16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4" x14ac:dyDescent="0.3">
      <c r="A234" s="1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7"/>
      <c r="M234" s="16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4" x14ac:dyDescent="0.3">
      <c r="A235" s="1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7"/>
      <c r="M235" s="16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4" x14ac:dyDescent="0.3">
      <c r="A236" s="1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7"/>
      <c r="M236" s="16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4" x14ac:dyDescent="0.3">
      <c r="A237" s="1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7"/>
      <c r="M237" s="16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4" x14ac:dyDescent="0.3">
      <c r="A238" s="1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7"/>
      <c r="M238" s="16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4" x14ac:dyDescent="0.3">
      <c r="A239" s="1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7"/>
      <c r="M239" s="16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4" x14ac:dyDescent="0.3">
      <c r="A240" s="1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7"/>
      <c r="M240" s="16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4" x14ac:dyDescent="0.3">
      <c r="A241" s="1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7"/>
      <c r="M241" s="16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4" x14ac:dyDescent="0.3">
      <c r="A242" s="1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7"/>
      <c r="M242" s="16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4" x14ac:dyDescent="0.3">
      <c r="A243" s="1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7"/>
      <c r="M243" s="16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4" x14ac:dyDescent="0.3">
      <c r="A244" s="1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7"/>
      <c r="M244" s="16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4" x14ac:dyDescent="0.3">
      <c r="A245" s="1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7"/>
      <c r="M245" s="16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4" x14ac:dyDescent="0.3">
      <c r="A246" s="1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7"/>
      <c r="M246" s="16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4" x14ac:dyDescent="0.3">
      <c r="A247" s="1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7"/>
      <c r="M247" s="16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4" x14ac:dyDescent="0.3">
      <c r="A248" s="1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7"/>
      <c r="M248" s="16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4" x14ac:dyDescent="0.3">
      <c r="A249" s="1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7"/>
      <c r="M249" s="16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4" x14ac:dyDescent="0.3">
      <c r="A250" s="1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7"/>
      <c r="M250" s="16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4" x14ac:dyDescent="0.3">
      <c r="A251" s="1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7"/>
      <c r="M251" s="16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4" x14ac:dyDescent="0.3">
      <c r="A252" s="1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7"/>
      <c r="M252" s="16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4" x14ac:dyDescent="0.3">
      <c r="A253" s="1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7"/>
      <c r="M253" s="16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4" x14ac:dyDescent="0.3">
      <c r="A254" s="1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7"/>
      <c r="M254" s="16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4" x14ac:dyDescent="0.3">
      <c r="A255" s="1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7"/>
      <c r="M255" s="16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4" x14ac:dyDescent="0.3">
      <c r="A256" s="1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7"/>
      <c r="M256" s="16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4" x14ac:dyDescent="0.3">
      <c r="A257" s="1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7"/>
      <c r="M257" s="16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4" x14ac:dyDescent="0.3">
      <c r="A258" s="1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7"/>
      <c r="M258" s="16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4" x14ac:dyDescent="0.3">
      <c r="A259" s="1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7"/>
      <c r="M259" s="16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4" x14ac:dyDescent="0.3">
      <c r="A260" s="1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7"/>
      <c r="M260" s="16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4" x14ac:dyDescent="0.3">
      <c r="A261" s="1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7"/>
      <c r="M261" s="16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4" x14ac:dyDescent="0.3">
      <c r="A262" s="1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7"/>
      <c r="M262" s="16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4" x14ac:dyDescent="0.3">
      <c r="A263" s="1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7"/>
      <c r="M263" s="16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4" x14ac:dyDescent="0.3">
      <c r="A264" s="1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7"/>
      <c r="M264" s="16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4" x14ac:dyDescent="0.3">
      <c r="A265" s="1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7"/>
      <c r="M265" s="16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4" x14ac:dyDescent="0.3">
      <c r="A266" s="1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7"/>
      <c r="M266" s="16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4" x14ac:dyDescent="0.3">
      <c r="A267" s="1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7"/>
      <c r="M267" s="16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4" x14ac:dyDescent="0.3">
      <c r="A268" s="1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7"/>
      <c r="M268" s="16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4" x14ac:dyDescent="0.3">
      <c r="A269" s="1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7"/>
      <c r="M269" s="16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4" x14ac:dyDescent="0.3">
      <c r="A270" s="1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7"/>
      <c r="M270" s="16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4" x14ac:dyDescent="0.3">
      <c r="A271" s="1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7"/>
      <c r="M271" s="16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4" x14ac:dyDescent="0.3">
      <c r="A272" s="1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7"/>
      <c r="M272" s="16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4" x14ac:dyDescent="0.3">
      <c r="A273" s="1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7"/>
      <c r="M273" s="16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4" x14ac:dyDescent="0.3">
      <c r="A274" s="1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7"/>
      <c r="M274" s="16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4" x14ac:dyDescent="0.3">
      <c r="A275" s="1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7"/>
      <c r="M275" s="16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4" x14ac:dyDescent="0.3">
      <c r="A276" s="1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7"/>
      <c r="M276" s="16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4" x14ac:dyDescent="0.3">
      <c r="A277" s="1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7"/>
      <c r="M277" s="16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4" x14ac:dyDescent="0.3">
      <c r="A278" s="1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7"/>
      <c r="M278" s="16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4" x14ac:dyDescent="0.3">
      <c r="A279" s="1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7"/>
      <c r="M279" s="16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4" x14ac:dyDescent="0.3">
      <c r="A280" s="1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7"/>
      <c r="M280" s="16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4" x14ac:dyDescent="0.3">
      <c r="A281" s="1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7"/>
      <c r="M281" s="16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4" x14ac:dyDescent="0.3">
      <c r="A282" s="1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7"/>
      <c r="M282" s="16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4" x14ac:dyDescent="0.3">
      <c r="A283" s="1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7"/>
      <c r="M283" s="16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4" x14ac:dyDescent="0.3">
      <c r="A284" s="1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7"/>
      <c r="M284" s="16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4" x14ac:dyDescent="0.3">
      <c r="A285" s="1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7"/>
      <c r="M285" s="16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4" x14ac:dyDescent="0.3">
      <c r="A286" s="1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7"/>
      <c r="M286" s="16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4" x14ac:dyDescent="0.3">
      <c r="A287" s="1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7"/>
      <c r="M287" s="16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4" x14ac:dyDescent="0.3">
      <c r="A288" s="1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7"/>
      <c r="M288" s="16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4" x14ac:dyDescent="0.3">
      <c r="A289" s="1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7"/>
      <c r="M289" s="16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4" x14ac:dyDescent="0.3">
      <c r="A290" s="1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7"/>
      <c r="M290" s="16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4" x14ac:dyDescent="0.3">
      <c r="A291" s="1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7"/>
      <c r="M291" s="16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4" x14ac:dyDescent="0.3">
      <c r="A292" s="1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7"/>
      <c r="M292" s="16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4" x14ac:dyDescent="0.3">
      <c r="A293" s="1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7"/>
      <c r="M293" s="16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4" x14ac:dyDescent="0.3">
      <c r="A294" s="1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7"/>
      <c r="M294" s="16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4" x14ac:dyDescent="0.3">
      <c r="A295" s="1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7"/>
      <c r="M295" s="16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4" x14ac:dyDescent="0.3">
      <c r="A296" s="1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7"/>
      <c r="M296" s="16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4" x14ac:dyDescent="0.3">
      <c r="A297" s="1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7"/>
      <c r="M297" s="16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4" x14ac:dyDescent="0.3">
      <c r="A298" s="1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7"/>
      <c r="M298" s="16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4" x14ac:dyDescent="0.3">
      <c r="A299" s="1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7"/>
      <c r="M299" s="16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4" x14ac:dyDescent="0.3">
      <c r="A300" s="1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7"/>
      <c r="M300" s="16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4" x14ac:dyDescent="0.3">
      <c r="A301" s="1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7"/>
      <c r="M301" s="16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4" x14ac:dyDescent="0.3">
      <c r="A302" s="1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7"/>
      <c r="M302" s="16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4" x14ac:dyDescent="0.3">
      <c r="A303" s="1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7"/>
      <c r="M303" s="16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4" x14ac:dyDescent="0.3">
      <c r="A304" s="1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7"/>
      <c r="M304" s="16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4" x14ac:dyDescent="0.3">
      <c r="A305" s="1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7"/>
      <c r="M305" s="16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4" x14ac:dyDescent="0.3">
      <c r="A306" s="1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7"/>
      <c r="M306" s="16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4" x14ac:dyDescent="0.3">
      <c r="A307" s="1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7"/>
      <c r="M307" s="16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4" x14ac:dyDescent="0.3">
      <c r="A308" s="1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7"/>
      <c r="M308" s="16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4" x14ac:dyDescent="0.3">
      <c r="A309" s="1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7"/>
      <c r="M309" s="16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4" x14ac:dyDescent="0.3">
      <c r="A310" s="1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7"/>
      <c r="M310" s="16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4" x14ac:dyDescent="0.3">
      <c r="A311" s="1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7"/>
      <c r="M311" s="16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4" x14ac:dyDescent="0.3">
      <c r="A312" s="1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7"/>
      <c r="M312" s="16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4" x14ac:dyDescent="0.3">
      <c r="A313" s="1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7"/>
      <c r="M313" s="16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4" x14ac:dyDescent="0.3">
      <c r="A314" s="1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7"/>
      <c r="M314" s="16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4" x14ac:dyDescent="0.3">
      <c r="A315" s="1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7"/>
      <c r="M315" s="16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4" x14ac:dyDescent="0.3">
      <c r="A316" s="1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7"/>
      <c r="M316" s="16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4" x14ac:dyDescent="0.3">
      <c r="A317" s="1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7"/>
      <c r="M317" s="16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4" x14ac:dyDescent="0.3">
      <c r="A318" s="1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7"/>
      <c r="M318" s="16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4" x14ac:dyDescent="0.3">
      <c r="A319" s="1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7"/>
      <c r="M319" s="16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4" x14ac:dyDescent="0.3">
      <c r="A320" s="1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7"/>
      <c r="M320" s="16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4" x14ac:dyDescent="0.3">
      <c r="A321" s="1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7"/>
      <c r="M321" s="16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4" x14ac:dyDescent="0.3">
      <c r="A322" s="1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7"/>
      <c r="M322" s="16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4" x14ac:dyDescent="0.3">
      <c r="A323" s="1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7"/>
      <c r="M323" s="16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4" x14ac:dyDescent="0.3">
      <c r="A324" s="1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7"/>
      <c r="M324" s="16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4" x14ac:dyDescent="0.3">
      <c r="A325" s="1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7"/>
      <c r="M325" s="16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4" x14ac:dyDescent="0.3">
      <c r="A326" s="1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7"/>
      <c r="M326" s="16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4" x14ac:dyDescent="0.3">
      <c r="A327" s="1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7"/>
      <c r="M327" s="16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4" x14ac:dyDescent="0.3">
      <c r="A328" s="1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7"/>
      <c r="M328" s="16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4" x14ac:dyDescent="0.3">
      <c r="A329" s="1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7"/>
      <c r="M329" s="16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4" x14ac:dyDescent="0.3">
      <c r="A330" s="1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7"/>
      <c r="M330" s="16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4" x14ac:dyDescent="0.3">
      <c r="A331" s="1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7"/>
      <c r="M331" s="16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4" x14ac:dyDescent="0.3">
      <c r="A332" s="1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7"/>
      <c r="M332" s="16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4" x14ac:dyDescent="0.3">
      <c r="A333" s="1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7"/>
      <c r="M333" s="16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4" x14ac:dyDescent="0.3">
      <c r="A334" s="1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7"/>
      <c r="M334" s="16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4" x14ac:dyDescent="0.3">
      <c r="A335" s="1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7"/>
      <c r="M335" s="16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4" x14ac:dyDescent="0.3">
      <c r="A336" s="1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7"/>
      <c r="M336" s="16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4" x14ac:dyDescent="0.3">
      <c r="A337" s="1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7"/>
      <c r="M337" s="16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4" x14ac:dyDescent="0.3">
      <c r="A338" s="1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7"/>
      <c r="M338" s="16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4" x14ac:dyDescent="0.3">
      <c r="A339" s="1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7"/>
      <c r="M339" s="16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4" x14ac:dyDescent="0.3">
      <c r="A340" s="1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7"/>
      <c r="M340" s="16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4" x14ac:dyDescent="0.3">
      <c r="A341" s="1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7"/>
      <c r="M341" s="16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4" x14ac:dyDescent="0.3">
      <c r="A342" s="1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7"/>
      <c r="M342" s="16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4" x14ac:dyDescent="0.3">
      <c r="A343" s="1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7"/>
      <c r="M343" s="16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4" x14ac:dyDescent="0.3">
      <c r="A344" s="1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7"/>
      <c r="M344" s="16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4" x14ac:dyDescent="0.3">
      <c r="A345" s="1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7"/>
      <c r="M345" s="16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4" x14ac:dyDescent="0.3">
      <c r="A346" s="1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7"/>
      <c r="M346" s="16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4" x14ac:dyDescent="0.3">
      <c r="A347" s="1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7"/>
      <c r="M347" s="16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4" x14ac:dyDescent="0.3">
      <c r="A348" s="1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7"/>
      <c r="M348" s="16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4" x14ac:dyDescent="0.3">
      <c r="A349" s="1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7"/>
      <c r="M349" s="16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4" x14ac:dyDescent="0.3">
      <c r="A350" s="1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7"/>
      <c r="M350" s="16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4" x14ac:dyDescent="0.3">
      <c r="A351" s="1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7"/>
      <c r="M351" s="16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4" x14ac:dyDescent="0.3">
      <c r="A352" s="1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7"/>
      <c r="M352" s="16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4" x14ac:dyDescent="0.3">
      <c r="A353" s="1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7"/>
      <c r="M353" s="16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4" x14ac:dyDescent="0.3">
      <c r="A354" s="1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7"/>
      <c r="M354" s="16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4" x14ac:dyDescent="0.3">
      <c r="A355" s="1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7"/>
      <c r="M355" s="16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4" x14ac:dyDescent="0.3">
      <c r="A356" s="1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7"/>
      <c r="M356" s="16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4" x14ac:dyDescent="0.3">
      <c r="A357" s="1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7"/>
      <c r="M357" s="16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4" x14ac:dyDescent="0.3">
      <c r="A358" s="1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7"/>
      <c r="M358" s="16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4" x14ac:dyDescent="0.3">
      <c r="A359" s="1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7"/>
      <c r="M359" s="16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4" x14ac:dyDescent="0.3">
      <c r="A360" s="1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7"/>
      <c r="M360" s="16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4" x14ac:dyDescent="0.3">
      <c r="A361" s="1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7"/>
      <c r="M361" s="16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4" x14ac:dyDescent="0.3">
      <c r="A362" s="1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7"/>
      <c r="M362" s="16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4" x14ac:dyDescent="0.3">
      <c r="A363" s="1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7"/>
      <c r="M363" s="16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4" x14ac:dyDescent="0.3">
      <c r="A364" s="1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7"/>
      <c r="M364" s="16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4" x14ac:dyDescent="0.3">
      <c r="A365" s="1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7"/>
      <c r="M365" s="16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4" x14ac:dyDescent="0.3">
      <c r="A366" s="1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7"/>
      <c r="M366" s="16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4" x14ac:dyDescent="0.3">
      <c r="A367" s="1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7"/>
      <c r="M367" s="16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4" x14ac:dyDescent="0.3">
      <c r="A368" s="1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7"/>
      <c r="M368" s="16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4" x14ac:dyDescent="0.3">
      <c r="A369" s="1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7"/>
      <c r="M369" s="16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4" x14ac:dyDescent="0.3">
      <c r="A370" s="1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7"/>
      <c r="M370" s="16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4" x14ac:dyDescent="0.3">
      <c r="A371" s="1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7"/>
      <c r="M371" s="16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4" x14ac:dyDescent="0.3">
      <c r="A372" s="1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7"/>
      <c r="M372" s="16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4" x14ac:dyDescent="0.3">
      <c r="A373" s="1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7"/>
      <c r="M373" s="16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4" x14ac:dyDescent="0.3">
      <c r="A374" s="1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7"/>
      <c r="M374" s="16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4" x14ac:dyDescent="0.3">
      <c r="A375" s="1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7"/>
      <c r="M375" s="16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4" x14ac:dyDescent="0.3">
      <c r="A376" s="1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7"/>
      <c r="M376" s="16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4" x14ac:dyDescent="0.3">
      <c r="A377" s="1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7"/>
      <c r="M377" s="16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4" x14ac:dyDescent="0.3">
      <c r="A378" s="1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7"/>
      <c r="M378" s="16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4" x14ac:dyDescent="0.3">
      <c r="A379" s="1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7"/>
      <c r="M379" s="16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4" x14ac:dyDescent="0.3">
      <c r="A380" s="1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7"/>
      <c r="M380" s="16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4" x14ac:dyDescent="0.3">
      <c r="A381" s="1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7"/>
      <c r="M381" s="16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4" x14ac:dyDescent="0.3">
      <c r="A382" s="1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7"/>
      <c r="M382" s="16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4" x14ac:dyDescent="0.3">
      <c r="A383" s="1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7"/>
      <c r="M383" s="16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4" x14ac:dyDescent="0.3">
      <c r="A384" s="1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7"/>
      <c r="M384" s="16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4" x14ac:dyDescent="0.3">
      <c r="A385" s="1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7"/>
      <c r="M385" s="16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4" x14ac:dyDescent="0.3">
      <c r="A386" s="1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7"/>
      <c r="M386" s="16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4" x14ac:dyDescent="0.3">
      <c r="A387" s="1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7"/>
      <c r="M387" s="16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4" x14ac:dyDescent="0.3">
      <c r="A388" s="1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7"/>
      <c r="M388" s="16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4" x14ac:dyDescent="0.3">
      <c r="A389" s="1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7"/>
      <c r="M389" s="16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4" x14ac:dyDescent="0.3">
      <c r="A390" s="1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7"/>
      <c r="M390" s="16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4" x14ac:dyDescent="0.3">
      <c r="A391" s="1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7"/>
      <c r="M391" s="16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4" x14ac:dyDescent="0.3">
      <c r="A392" s="1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7"/>
      <c r="M392" s="16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4" x14ac:dyDescent="0.3">
      <c r="A393" s="1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7"/>
      <c r="M393" s="16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4" x14ac:dyDescent="0.3">
      <c r="A394" s="1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7"/>
      <c r="M394" s="16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4" x14ac:dyDescent="0.3">
      <c r="A395" s="1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7"/>
      <c r="M395" s="16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4" x14ac:dyDescent="0.3">
      <c r="A396" s="1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7"/>
      <c r="M396" s="16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4" x14ac:dyDescent="0.3">
      <c r="A397" s="1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7"/>
      <c r="M397" s="16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4" x14ac:dyDescent="0.3">
      <c r="A398" s="1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7"/>
      <c r="M398" s="16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4" x14ac:dyDescent="0.3">
      <c r="A399" s="1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7"/>
      <c r="M399" s="16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4" x14ac:dyDescent="0.3">
      <c r="A400" s="1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7"/>
      <c r="M400" s="16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4" x14ac:dyDescent="0.3">
      <c r="A401" s="1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7"/>
      <c r="M401" s="16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4" x14ac:dyDescent="0.3">
      <c r="A402" s="1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7"/>
      <c r="M402" s="16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4" x14ac:dyDescent="0.3">
      <c r="A403" s="1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7"/>
      <c r="M403" s="16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4" x14ac:dyDescent="0.3">
      <c r="A404" s="1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7"/>
      <c r="M404" s="16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4" x14ac:dyDescent="0.3">
      <c r="A405" s="1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7"/>
      <c r="M405" s="16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4" x14ac:dyDescent="0.3">
      <c r="A406" s="1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7"/>
      <c r="M406" s="16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4" x14ac:dyDescent="0.3">
      <c r="A407" s="1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7"/>
      <c r="M407" s="16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4" x14ac:dyDescent="0.3">
      <c r="A408" s="1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7"/>
      <c r="M408" s="16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4" x14ac:dyDescent="0.3">
      <c r="A409" s="1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7"/>
      <c r="M409" s="16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4" x14ac:dyDescent="0.3">
      <c r="A410" s="1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7"/>
      <c r="M410" s="16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4" x14ac:dyDescent="0.3">
      <c r="A411" s="1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7"/>
      <c r="M411" s="16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4" x14ac:dyDescent="0.3">
      <c r="A412" s="1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7"/>
      <c r="M412" s="16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4" x14ac:dyDescent="0.3">
      <c r="A413" s="1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7"/>
      <c r="M413" s="16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4" x14ac:dyDescent="0.3">
      <c r="A414" s="1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7"/>
      <c r="M414" s="16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4" x14ac:dyDescent="0.3">
      <c r="A415" s="1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7"/>
      <c r="M415" s="16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4" x14ac:dyDescent="0.3">
      <c r="A416" s="1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7"/>
      <c r="M416" s="16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4" x14ac:dyDescent="0.3">
      <c r="A417" s="1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7"/>
      <c r="M417" s="16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4" x14ac:dyDescent="0.3">
      <c r="A418" s="1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7"/>
      <c r="M418" s="16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4" x14ac:dyDescent="0.3">
      <c r="A419" s="1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7"/>
      <c r="M419" s="16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4" x14ac:dyDescent="0.3">
      <c r="A420" s="1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7"/>
      <c r="M420" s="16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4" x14ac:dyDescent="0.3">
      <c r="A421" s="1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7"/>
      <c r="M421" s="16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4" x14ac:dyDescent="0.3">
      <c r="A422" s="1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7"/>
      <c r="M422" s="16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4" x14ac:dyDescent="0.3">
      <c r="A423" s="1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7"/>
      <c r="M423" s="16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4" x14ac:dyDescent="0.3">
      <c r="A424" s="1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7"/>
      <c r="M424" s="16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4" x14ac:dyDescent="0.3">
      <c r="A425" s="1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7"/>
      <c r="M425" s="16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4" x14ac:dyDescent="0.3">
      <c r="A426" s="1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7"/>
      <c r="M426" s="16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4" x14ac:dyDescent="0.3">
      <c r="A427" s="1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7"/>
      <c r="M427" s="16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4" x14ac:dyDescent="0.3">
      <c r="A428" s="1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7"/>
      <c r="M428" s="16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4" x14ac:dyDescent="0.3">
      <c r="A429" s="1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7"/>
      <c r="M429" s="16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4" x14ac:dyDescent="0.3">
      <c r="A430" s="1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7"/>
      <c r="M430" s="16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4" x14ac:dyDescent="0.3">
      <c r="A431" s="1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7"/>
      <c r="M431" s="16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4" x14ac:dyDescent="0.3">
      <c r="A432" s="1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7"/>
      <c r="M432" s="16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4" x14ac:dyDescent="0.3">
      <c r="A433" s="1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7"/>
      <c r="M433" s="16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4" x14ac:dyDescent="0.3">
      <c r="A434" s="1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7"/>
      <c r="M434" s="16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4" x14ac:dyDescent="0.3">
      <c r="A435" s="1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7"/>
      <c r="M435" s="16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4" x14ac:dyDescent="0.3">
      <c r="A436" s="1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7"/>
      <c r="M436" s="16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4" x14ac:dyDescent="0.3">
      <c r="A437" s="1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7"/>
      <c r="M437" s="16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4" x14ac:dyDescent="0.3">
      <c r="A438" s="1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7"/>
      <c r="M438" s="16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4" x14ac:dyDescent="0.3">
      <c r="A439" s="1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7"/>
      <c r="M439" s="16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4" x14ac:dyDescent="0.3">
      <c r="A440" s="1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7"/>
      <c r="M440" s="16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4" x14ac:dyDescent="0.3">
      <c r="A441" s="1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7"/>
      <c r="M441" s="16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4" x14ac:dyDescent="0.3">
      <c r="A442" s="1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7"/>
      <c r="M442" s="16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4" x14ac:dyDescent="0.3">
      <c r="A443" s="1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7"/>
      <c r="M443" s="16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4" x14ac:dyDescent="0.3">
      <c r="A444" s="1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7"/>
      <c r="M444" s="16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4" x14ac:dyDescent="0.3">
      <c r="A445" s="1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7"/>
      <c r="M445" s="16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4" x14ac:dyDescent="0.3">
      <c r="A446" s="1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7"/>
      <c r="M446" s="16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4" x14ac:dyDescent="0.3">
      <c r="A447" s="1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7"/>
      <c r="M447" s="16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4" x14ac:dyDescent="0.3">
      <c r="A448" s="1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7"/>
      <c r="M448" s="16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4" x14ac:dyDescent="0.3">
      <c r="A449" s="1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7"/>
      <c r="M449" s="16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4" x14ac:dyDescent="0.3">
      <c r="A450" s="1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7"/>
      <c r="M450" s="16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4" x14ac:dyDescent="0.3">
      <c r="A451" s="1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7"/>
      <c r="M451" s="16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4" x14ac:dyDescent="0.3">
      <c r="A452" s="1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7"/>
      <c r="M452" s="16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4" x14ac:dyDescent="0.3">
      <c r="A453" s="1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7"/>
      <c r="M453" s="16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4" x14ac:dyDescent="0.3">
      <c r="A454" s="1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7"/>
      <c r="M454" s="16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4" x14ac:dyDescent="0.3">
      <c r="A455" s="1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7"/>
      <c r="M455" s="16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4" x14ac:dyDescent="0.3">
      <c r="A456" s="1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7"/>
      <c r="M456" s="16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4" x14ac:dyDescent="0.3">
      <c r="A457" s="1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7"/>
      <c r="M457" s="16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4" x14ac:dyDescent="0.3">
      <c r="A458" s="1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7"/>
      <c r="M458" s="16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4" x14ac:dyDescent="0.3">
      <c r="A459" s="1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7"/>
      <c r="M459" s="16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4" x14ac:dyDescent="0.3">
      <c r="A460" s="1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7"/>
      <c r="M460" s="16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4" x14ac:dyDescent="0.3">
      <c r="A461" s="1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7"/>
      <c r="M461" s="16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4" x14ac:dyDescent="0.3">
      <c r="A462" s="1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7"/>
      <c r="M462" s="16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4" x14ac:dyDescent="0.3">
      <c r="A463" s="1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7"/>
      <c r="M463" s="16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4" x14ac:dyDescent="0.3">
      <c r="A464" s="1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7"/>
      <c r="M464" s="16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4" x14ac:dyDescent="0.3">
      <c r="A465" s="1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7"/>
      <c r="M465" s="16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4" x14ac:dyDescent="0.3">
      <c r="A466" s="1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7"/>
      <c r="M466" s="16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4" x14ac:dyDescent="0.3">
      <c r="A467" s="1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7"/>
      <c r="M467" s="16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4" x14ac:dyDescent="0.3">
      <c r="A468" s="1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7"/>
      <c r="M468" s="16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4" x14ac:dyDescent="0.3">
      <c r="A469" s="1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7"/>
      <c r="M469" s="16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4" x14ac:dyDescent="0.3">
      <c r="A470" s="1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7"/>
      <c r="M470" s="16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4" x14ac:dyDescent="0.3">
      <c r="A471" s="1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7"/>
      <c r="M471" s="16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4" x14ac:dyDescent="0.3">
      <c r="A472" s="1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7"/>
      <c r="M472" s="16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4" x14ac:dyDescent="0.3">
      <c r="A473" s="1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7"/>
      <c r="M473" s="16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4" x14ac:dyDescent="0.3">
      <c r="A474" s="1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7"/>
      <c r="M474" s="16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4" x14ac:dyDescent="0.3">
      <c r="A475" s="1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7"/>
      <c r="M475" s="16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4" x14ac:dyDescent="0.3">
      <c r="A476" s="1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7"/>
      <c r="M476" s="16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4" x14ac:dyDescent="0.3">
      <c r="A477" s="1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7"/>
      <c r="M477" s="16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4" x14ac:dyDescent="0.3">
      <c r="A478" s="1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7"/>
      <c r="M478" s="16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4" x14ac:dyDescent="0.3">
      <c r="A479" s="1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7"/>
      <c r="M479" s="16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4" x14ac:dyDescent="0.3">
      <c r="A480" s="1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7"/>
      <c r="M480" s="16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4" x14ac:dyDescent="0.3">
      <c r="A481" s="1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7"/>
      <c r="M481" s="16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4" x14ac:dyDescent="0.3">
      <c r="A482" s="1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7"/>
      <c r="M482" s="16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4" x14ac:dyDescent="0.3">
      <c r="A483" s="1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7"/>
      <c r="M483" s="16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4" x14ac:dyDescent="0.3">
      <c r="A484" s="1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7"/>
      <c r="M484" s="16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4" x14ac:dyDescent="0.3">
      <c r="A485" s="1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7"/>
      <c r="M485" s="16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4" x14ac:dyDescent="0.3">
      <c r="A486" s="1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7"/>
      <c r="M486" s="16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4" x14ac:dyDescent="0.3">
      <c r="A487" s="1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7"/>
      <c r="M487" s="16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4" x14ac:dyDescent="0.3">
      <c r="A488" s="1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7"/>
      <c r="M488" s="16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4" x14ac:dyDescent="0.3">
      <c r="A489" s="1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7"/>
      <c r="M489" s="16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4" x14ac:dyDescent="0.3">
      <c r="A490" s="1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7"/>
      <c r="M490" s="16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4" x14ac:dyDescent="0.3">
      <c r="A491" s="1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7"/>
      <c r="M491" s="16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4" x14ac:dyDescent="0.3">
      <c r="A492" s="1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7"/>
      <c r="M492" s="16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4" x14ac:dyDescent="0.3">
      <c r="A493" s="1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7"/>
      <c r="M493" s="16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4" x14ac:dyDescent="0.3">
      <c r="A494" s="1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7"/>
      <c r="M494" s="16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4" x14ac:dyDescent="0.3">
      <c r="A495" s="1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7"/>
      <c r="M495" s="16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4" x14ac:dyDescent="0.3">
      <c r="A496" s="1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7"/>
      <c r="M496" s="16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4" x14ac:dyDescent="0.3">
      <c r="A497" s="1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7"/>
      <c r="M497" s="16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4" x14ac:dyDescent="0.3">
      <c r="A498" s="1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7"/>
      <c r="M498" s="16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4" x14ac:dyDescent="0.3">
      <c r="A499" s="1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7"/>
      <c r="M499" s="16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4" x14ac:dyDescent="0.3">
      <c r="A500" s="1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7"/>
      <c r="M500" s="16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4" x14ac:dyDescent="0.3">
      <c r="A501" s="1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7"/>
      <c r="M501" s="16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4" x14ac:dyDescent="0.3">
      <c r="A502" s="1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7"/>
      <c r="M502" s="16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4" x14ac:dyDescent="0.3">
      <c r="A503" s="1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7"/>
      <c r="M503" s="16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4" x14ac:dyDescent="0.3">
      <c r="A504" s="1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7"/>
      <c r="M504" s="16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4" x14ac:dyDescent="0.3">
      <c r="A505" s="1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7"/>
      <c r="M505" s="16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4" x14ac:dyDescent="0.3">
      <c r="A506" s="1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7"/>
      <c r="M506" s="16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4" x14ac:dyDescent="0.3">
      <c r="A507" s="1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7"/>
      <c r="M507" s="16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4" x14ac:dyDescent="0.3">
      <c r="A508" s="1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7"/>
      <c r="M508" s="16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4" x14ac:dyDescent="0.3">
      <c r="A509" s="1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7"/>
      <c r="M509" s="16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4" x14ac:dyDescent="0.3">
      <c r="A510" s="1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7"/>
      <c r="M510" s="16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4" x14ac:dyDescent="0.3">
      <c r="A511" s="1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7"/>
      <c r="M511" s="16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4" x14ac:dyDescent="0.3">
      <c r="A512" s="1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7"/>
      <c r="M512" s="16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4" x14ac:dyDescent="0.3">
      <c r="A513" s="1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7"/>
      <c r="M513" s="16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4" x14ac:dyDescent="0.3">
      <c r="A514" s="1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7"/>
      <c r="M514" s="16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4" x14ac:dyDescent="0.3">
      <c r="A515" s="1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7"/>
      <c r="M515" s="16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4" x14ac:dyDescent="0.3">
      <c r="A516" s="1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7"/>
      <c r="M516" s="16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4" x14ac:dyDescent="0.3">
      <c r="A517" s="1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7"/>
      <c r="M517" s="16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4" x14ac:dyDescent="0.3">
      <c r="A518" s="1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7"/>
      <c r="M518" s="16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4" x14ac:dyDescent="0.3">
      <c r="A519" s="1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7"/>
      <c r="M519" s="16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4" x14ac:dyDescent="0.3">
      <c r="A520" s="1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7"/>
      <c r="M520" s="16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4" x14ac:dyDescent="0.3">
      <c r="A521" s="1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7"/>
      <c r="M521" s="16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4" x14ac:dyDescent="0.3">
      <c r="A522" s="1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7"/>
      <c r="M522" s="16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4" x14ac:dyDescent="0.3">
      <c r="A523" s="1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7"/>
      <c r="M523" s="16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4" x14ac:dyDescent="0.3">
      <c r="A524" s="1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7"/>
      <c r="M524" s="16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4" x14ac:dyDescent="0.3">
      <c r="A525" s="1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7"/>
      <c r="M525" s="16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4" x14ac:dyDescent="0.3">
      <c r="A526" s="1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7"/>
      <c r="M526" s="16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4" x14ac:dyDescent="0.3">
      <c r="A527" s="1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7"/>
      <c r="M527" s="16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4" x14ac:dyDescent="0.3">
      <c r="A528" s="1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7"/>
      <c r="M528" s="16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4" x14ac:dyDescent="0.3">
      <c r="A529" s="1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7"/>
      <c r="M529" s="16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4" x14ac:dyDescent="0.3">
      <c r="A530" s="1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7"/>
      <c r="M530" s="16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4" x14ac:dyDescent="0.3">
      <c r="A531" s="1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7"/>
      <c r="M531" s="16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4" x14ac:dyDescent="0.3">
      <c r="A532" s="1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7"/>
      <c r="M532" s="16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4" x14ac:dyDescent="0.3">
      <c r="A533" s="1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7"/>
      <c r="M533" s="16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4" x14ac:dyDescent="0.3">
      <c r="A534" s="1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7"/>
      <c r="M534" s="16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4" x14ac:dyDescent="0.3">
      <c r="A535" s="1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7"/>
      <c r="M535" s="16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4" x14ac:dyDescent="0.3">
      <c r="A536" s="1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7"/>
      <c r="M536" s="16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4" x14ac:dyDescent="0.3">
      <c r="A537" s="1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7"/>
      <c r="M537" s="16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4" x14ac:dyDescent="0.3">
      <c r="A538" s="1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7"/>
      <c r="M538" s="16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4" x14ac:dyDescent="0.3">
      <c r="A539" s="1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7"/>
      <c r="M539" s="16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4" x14ac:dyDescent="0.3">
      <c r="A540" s="1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7"/>
      <c r="M540" s="16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4" x14ac:dyDescent="0.3">
      <c r="A541" s="1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7"/>
      <c r="M541" s="16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4" x14ac:dyDescent="0.3">
      <c r="A542" s="1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7"/>
      <c r="M542" s="16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4" x14ac:dyDescent="0.3">
      <c r="A543" s="1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7"/>
      <c r="M543" s="16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4" x14ac:dyDescent="0.3">
      <c r="A544" s="1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7"/>
      <c r="M544" s="16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4" x14ac:dyDescent="0.3">
      <c r="A545" s="1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7"/>
      <c r="M545" s="16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4" x14ac:dyDescent="0.3">
      <c r="A546" s="1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7"/>
      <c r="M546" s="16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4" x14ac:dyDescent="0.3">
      <c r="A547" s="1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7"/>
      <c r="M547" s="16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4" x14ac:dyDescent="0.3">
      <c r="A548" s="1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7"/>
      <c r="M548" s="16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4" x14ac:dyDescent="0.3">
      <c r="A549" s="1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7"/>
      <c r="M549" s="16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4" x14ac:dyDescent="0.3">
      <c r="A550" s="1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7"/>
      <c r="M550" s="16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4" x14ac:dyDescent="0.3">
      <c r="A551" s="1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7"/>
      <c r="M551" s="16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4" x14ac:dyDescent="0.3">
      <c r="A552" s="1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7"/>
      <c r="M552" s="16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4" x14ac:dyDescent="0.3">
      <c r="A553" s="1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7"/>
      <c r="M553" s="16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4" x14ac:dyDescent="0.3">
      <c r="A554" s="1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7"/>
      <c r="M554" s="16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4" x14ac:dyDescent="0.3">
      <c r="A555" s="1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7"/>
      <c r="M555" s="16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4" x14ac:dyDescent="0.3">
      <c r="A556" s="1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7"/>
      <c r="M556" s="16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4" x14ac:dyDescent="0.3">
      <c r="A557" s="1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7"/>
      <c r="M557" s="16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4" x14ac:dyDescent="0.3">
      <c r="A558" s="1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7"/>
      <c r="M558" s="16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4" x14ac:dyDescent="0.3">
      <c r="A559" s="1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7"/>
      <c r="M559" s="16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4" x14ac:dyDescent="0.3">
      <c r="A560" s="1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7"/>
      <c r="M560" s="16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4" x14ac:dyDescent="0.3">
      <c r="A561" s="1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7"/>
      <c r="M561" s="16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4" x14ac:dyDescent="0.3">
      <c r="A562" s="1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7"/>
      <c r="M562" s="16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4" x14ac:dyDescent="0.3">
      <c r="A563" s="1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7"/>
      <c r="M563" s="16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4" x14ac:dyDescent="0.3">
      <c r="A564" s="1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7"/>
      <c r="M564" s="16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4" x14ac:dyDescent="0.3">
      <c r="A565" s="1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7"/>
      <c r="M565" s="16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4" x14ac:dyDescent="0.3">
      <c r="A566" s="1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7"/>
      <c r="M566" s="16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4" x14ac:dyDescent="0.3">
      <c r="A567" s="1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7"/>
      <c r="M567" s="16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4" x14ac:dyDescent="0.3">
      <c r="A568" s="1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7"/>
      <c r="M568" s="16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4" x14ac:dyDescent="0.3">
      <c r="A569" s="1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7"/>
      <c r="M569" s="16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4" x14ac:dyDescent="0.3">
      <c r="A570" s="1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7"/>
      <c r="M570" s="16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4" x14ac:dyDescent="0.3">
      <c r="A571" s="1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7"/>
      <c r="M571" s="16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4" x14ac:dyDescent="0.3">
      <c r="A572" s="17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7"/>
      <c r="M572" s="16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4" x14ac:dyDescent="0.3">
      <c r="A573" s="17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7"/>
      <c r="M573" s="16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4" x14ac:dyDescent="0.3">
      <c r="A574" s="17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7"/>
      <c r="M574" s="16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4" x14ac:dyDescent="0.3">
      <c r="A575" s="17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7"/>
      <c r="M575" s="16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4" x14ac:dyDescent="0.3">
      <c r="A576" s="17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7"/>
      <c r="M576" s="16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4" x14ac:dyDescent="0.3">
      <c r="A577" s="17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7"/>
      <c r="M577" s="16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4" x14ac:dyDescent="0.3">
      <c r="A578" s="17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7"/>
      <c r="M578" s="16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4" x14ac:dyDescent="0.3">
      <c r="A579" s="17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7"/>
      <c r="M579" s="16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4" x14ac:dyDescent="0.3">
      <c r="A580" s="17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7"/>
      <c r="M580" s="16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4" x14ac:dyDescent="0.3">
      <c r="A581" s="17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7"/>
      <c r="M581" s="16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4" x14ac:dyDescent="0.3">
      <c r="A582" s="17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7"/>
      <c r="M582" s="16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4" x14ac:dyDescent="0.3">
      <c r="A583" s="17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7"/>
      <c r="M583" s="16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4" x14ac:dyDescent="0.3">
      <c r="A584" s="17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7"/>
      <c r="M584" s="16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4" x14ac:dyDescent="0.3">
      <c r="A585" s="17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7"/>
      <c r="M585" s="16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4" x14ac:dyDescent="0.3">
      <c r="A586" s="17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7"/>
      <c r="M586" s="16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4" x14ac:dyDescent="0.3">
      <c r="A587" s="17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7"/>
      <c r="M587" s="16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4" x14ac:dyDescent="0.3">
      <c r="A588" s="17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7"/>
      <c r="M588" s="16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4" x14ac:dyDescent="0.3">
      <c r="A589" s="17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7"/>
      <c r="M589" s="16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4" x14ac:dyDescent="0.3">
      <c r="A590" s="17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7"/>
      <c r="M590" s="16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4" x14ac:dyDescent="0.3">
      <c r="A591" s="17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7"/>
      <c r="M591" s="16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4" x14ac:dyDescent="0.3">
      <c r="A592" s="17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7"/>
      <c r="M592" s="16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4" x14ac:dyDescent="0.3">
      <c r="A593" s="17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7"/>
      <c r="M593" s="16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4" x14ac:dyDescent="0.3">
      <c r="A594" s="17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7"/>
      <c r="M594" s="16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4" x14ac:dyDescent="0.3">
      <c r="A595" s="17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7"/>
      <c r="M595" s="16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4" x14ac:dyDescent="0.3">
      <c r="A596" s="17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7"/>
      <c r="M596" s="16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4" x14ac:dyDescent="0.3">
      <c r="A597" s="17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7"/>
      <c r="M597" s="16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4" x14ac:dyDescent="0.3">
      <c r="A598" s="17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7"/>
      <c r="M598" s="16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4" x14ac:dyDescent="0.3">
      <c r="A599" s="17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7"/>
      <c r="M599" s="16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4" x14ac:dyDescent="0.3">
      <c r="A600" s="17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7"/>
      <c r="M600" s="16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4" x14ac:dyDescent="0.3">
      <c r="A601" s="17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7"/>
      <c r="M601" s="16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4" x14ac:dyDescent="0.3">
      <c r="A602" s="17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7"/>
      <c r="M602" s="16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4" x14ac:dyDescent="0.3">
      <c r="A603" s="17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7"/>
      <c r="M603" s="16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4" x14ac:dyDescent="0.3">
      <c r="A604" s="17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7"/>
      <c r="M604" s="16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4" x14ac:dyDescent="0.3">
      <c r="A605" s="1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7"/>
      <c r="M605" s="16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4" x14ac:dyDescent="0.3">
      <c r="A606" s="1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7"/>
      <c r="M606" s="16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4" x14ac:dyDescent="0.3">
      <c r="A607" s="1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7"/>
      <c r="M607" s="16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4" x14ac:dyDescent="0.3">
      <c r="A608" s="1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7"/>
      <c r="M608" s="16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4" x14ac:dyDescent="0.3">
      <c r="A609" s="1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7"/>
      <c r="M609" s="16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4" x14ac:dyDescent="0.3">
      <c r="A610" s="1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7"/>
      <c r="M610" s="16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4" x14ac:dyDescent="0.3">
      <c r="A611" s="1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7"/>
      <c r="M611" s="16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4" x14ac:dyDescent="0.3">
      <c r="A612" s="1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7"/>
      <c r="M612" s="16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4" x14ac:dyDescent="0.3">
      <c r="A613" s="1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7"/>
      <c r="M613" s="16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4" x14ac:dyDescent="0.3">
      <c r="A614" s="1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7"/>
      <c r="M614" s="16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4" x14ac:dyDescent="0.3">
      <c r="A615" s="1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7"/>
      <c r="M615" s="16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4" x14ac:dyDescent="0.3">
      <c r="A616" s="1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7"/>
      <c r="M616" s="16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4" x14ac:dyDescent="0.3">
      <c r="A617" s="1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7"/>
      <c r="M617" s="16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4" x14ac:dyDescent="0.3">
      <c r="A618" s="1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7"/>
      <c r="M618" s="16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4" x14ac:dyDescent="0.3">
      <c r="A619" s="1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7"/>
      <c r="M619" s="16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4" x14ac:dyDescent="0.3">
      <c r="A620" s="1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7"/>
      <c r="M620" s="16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4" x14ac:dyDescent="0.3">
      <c r="A621" s="1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7"/>
      <c r="M621" s="16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4" x14ac:dyDescent="0.3">
      <c r="A622" s="1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7"/>
      <c r="M622" s="16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4" x14ac:dyDescent="0.3">
      <c r="A623" s="1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7"/>
      <c r="M623" s="16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4" x14ac:dyDescent="0.3">
      <c r="A624" s="1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7"/>
      <c r="M624" s="16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4" x14ac:dyDescent="0.3">
      <c r="A625" s="1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7"/>
      <c r="M625" s="16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4" x14ac:dyDescent="0.3">
      <c r="A626" s="1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7"/>
      <c r="M626" s="16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4" x14ac:dyDescent="0.3">
      <c r="A627" s="1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7"/>
      <c r="M627" s="16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4" x14ac:dyDescent="0.3">
      <c r="A628" s="1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7"/>
      <c r="M628" s="16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4" x14ac:dyDescent="0.3">
      <c r="A629" s="1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7"/>
      <c r="M629" s="16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4" x14ac:dyDescent="0.3">
      <c r="A630" s="1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7"/>
      <c r="M630" s="16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4" x14ac:dyDescent="0.3">
      <c r="A631" s="1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7"/>
      <c r="M631" s="16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4" x14ac:dyDescent="0.3">
      <c r="A632" s="1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7"/>
      <c r="M632" s="16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4" x14ac:dyDescent="0.3">
      <c r="A633" s="1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7"/>
      <c r="M633" s="16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4" x14ac:dyDescent="0.3">
      <c r="A634" s="1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7"/>
      <c r="M634" s="16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4" x14ac:dyDescent="0.3">
      <c r="A635" s="1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7"/>
      <c r="M635" s="16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4" x14ac:dyDescent="0.3">
      <c r="A636" s="1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7"/>
      <c r="M636" s="16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4" x14ac:dyDescent="0.3">
      <c r="A637" s="1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7"/>
      <c r="M637" s="16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4" x14ac:dyDescent="0.3">
      <c r="A638" s="1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7"/>
      <c r="M638" s="16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4" x14ac:dyDescent="0.3">
      <c r="A639" s="1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7"/>
      <c r="M639" s="16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4" x14ac:dyDescent="0.3">
      <c r="A640" s="1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7"/>
      <c r="M640" s="16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4" x14ac:dyDescent="0.3">
      <c r="A641" s="1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7"/>
      <c r="M641" s="16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4" x14ac:dyDescent="0.3">
      <c r="A642" s="1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7"/>
      <c r="M642" s="16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4" x14ac:dyDescent="0.3">
      <c r="A643" s="1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7"/>
      <c r="M643" s="16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4" x14ac:dyDescent="0.3">
      <c r="A644" s="1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7"/>
      <c r="M644" s="16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4" x14ac:dyDescent="0.3">
      <c r="A645" s="1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7"/>
      <c r="M645" s="16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4" x14ac:dyDescent="0.3">
      <c r="A646" s="1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7"/>
      <c r="M646" s="16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4" x14ac:dyDescent="0.3">
      <c r="A647" s="1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7"/>
      <c r="M647" s="16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4" x14ac:dyDescent="0.3">
      <c r="A648" s="1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7"/>
      <c r="M648" s="16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4" x14ac:dyDescent="0.3">
      <c r="A649" s="1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7"/>
      <c r="M649" s="16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4" x14ac:dyDescent="0.3">
      <c r="A650" s="1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7"/>
      <c r="M650" s="16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4" x14ac:dyDescent="0.3">
      <c r="A651" s="1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7"/>
      <c r="M651" s="16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4" x14ac:dyDescent="0.3">
      <c r="A652" s="1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7"/>
      <c r="M652" s="16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4" x14ac:dyDescent="0.3">
      <c r="A653" s="1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7"/>
      <c r="M653" s="16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4" x14ac:dyDescent="0.3">
      <c r="A654" s="1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7"/>
      <c r="M654" s="16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4" x14ac:dyDescent="0.3">
      <c r="A655" s="1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7"/>
      <c r="M655" s="16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4" x14ac:dyDescent="0.3">
      <c r="A656" s="1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7"/>
      <c r="M656" s="16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4" x14ac:dyDescent="0.3">
      <c r="A657" s="1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7"/>
      <c r="M657" s="16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4" x14ac:dyDescent="0.3">
      <c r="A658" s="1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7"/>
      <c r="M658" s="16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4" x14ac:dyDescent="0.3">
      <c r="A659" s="1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7"/>
      <c r="M659" s="16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4" x14ac:dyDescent="0.3">
      <c r="A660" s="1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7"/>
      <c r="M660" s="16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4" x14ac:dyDescent="0.3">
      <c r="A661" s="1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7"/>
      <c r="M661" s="16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4" x14ac:dyDescent="0.3">
      <c r="A662" s="1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7"/>
      <c r="M662" s="16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4" x14ac:dyDescent="0.3">
      <c r="A663" s="1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7"/>
      <c r="M663" s="16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4" x14ac:dyDescent="0.3">
      <c r="A664" s="1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7"/>
      <c r="M664" s="16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4" x14ac:dyDescent="0.3">
      <c r="A665" s="1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7"/>
      <c r="M665" s="16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4" x14ac:dyDescent="0.3">
      <c r="A666" s="1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7"/>
      <c r="M666" s="16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4" x14ac:dyDescent="0.3">
      <c r="A667" s="1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7"/>
      <c r="M667" s="16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4" x14ac:dyDescent="0.3">
      <c r="A668" s="1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7"/>
      <c r="M668" s="16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4" x14ac:dyDescent="0.3">
      <c r="A669" s="1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7"/>
      <c r="M669" s="16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4" x14ac:dyDescent="0.3">
      <c r="A670" s="1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7"/>
      <c r="M670" s="16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4" x14ac:dyDescent="0.3">
      <c r="A671" s="1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7"/>
      <c r="M671" s="16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4" x14ac:dyDescent="0.3">
      <c r="A672" s="1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7"/>
      <c r="M672" s="16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4" x14ac:dyDescent="0.3">
      <c r="A673" s="1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7"/>
      <c r="M673" s="16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4" x14ac:dyDescent="0.3">
      <c r="A674" s="1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7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4" x14ac:dyDescent="0.3">
      <c r="A675" s="1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7"/>
      <c r="M675" s="16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4" x14ac:dyDescent="0.3">
      <c r="A676" s="1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7"/>
      <c r="M676" s="16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4" x14ac:dyDescent="0.3">
      <c r="A677" s="1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7"/>
      <c r="M677" s="16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4" x14ac:dyDescent="0.3">
      <c r="A678" s="1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7"/>
      <c r="M678" s="16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4" x14ac:dyDescent="0.3">
      <c r="A679" s="1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7"/>
      <c r="M679" s="16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4" x14ac:dyDescent="0.3">
      <c r="A680" s="1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7"/>
      <c r="M680" s="16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4" x14ac:dyDescent="0.3">
      <c r="A681" s="1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7"/>
      <c r="M681" s="16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4" x14ac:dyDescent="0.3">
      <c r="A682" s="1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7"/>
      <c r="M682" s="16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4" x14ac:dyDescent="0.3">
      <c r="A683" s="1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7"/>
      <c r="M683" s="16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4" x14ac:dyDescent="0.3">
      <c r="A684" s="1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7"/>
      <c r="M684" s="16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4" x14ac:dyDescent="0.3">
      <c r="A685" s="1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7"/>
      <c r="M685" s="16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4" x14ac:dyDescent="0.3">
      <c r="A686" s="1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7"/>
      <c r="M686" s="16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4" x14ac:dyDescent="0.3">
      <c r="A687" s="1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7"/>
      <c r="M687" s="16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4" x14ac:dyDescent="0.3">
      <c r="A688" s="1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7"/>
      <c r="M688" s="16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4" x14ac:dyDescent="0.3">
      <c r="A689" s="1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7"/>
      <c r="M689" s="16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4" x14ac:dyDescent="0.3">
      <c r="A690" s="1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7"/>
      <c r="M690" s="16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4" x14ac:dyDescent="0.3">
      <c r="A691" s="1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7"/>
      <c r="M691" s="16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4" x14ac:dyDescent="0.3">
      <c r="A692" s="1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7"/>
      <c r="M692" s="16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4" x14ac:dyDescent="0.3">
      <c r="A693" s="1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7"/>
      <c r="M693" s="16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4" x14ac:dyDescent="0.3">
      <c r="A694" s="1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7"/>
      <c r="M694" s="16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4" x14ac:dyDescent="0.3">
      <c r="A695" s="1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7"/>
      <c r="M695" s="16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4" x14ac:dyDescent="0.3">
      <c r="A696" s="1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7"/>
      <c r="M696" s="16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4" x14ac:dyDescent="0.3">
      <c r="A697" s="1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7"/>
      <c r="M697" s="16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4" x14ac:dyDescent="0.3">
      <c r="A698" s="1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7"/>
      <c r="M698" s="16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4" x14ac:dyDescent="0.3">
      <c r="A699" s="1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7"/>
      <c r="M699" s="16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4" x14ac:dyDescent="0.3">
      <c r="A700" s="1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7"/>
      <c r="M700" s="16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4" x14ac:dyDescent="0.3">
      <c r="A701" s="1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7"/>
      <c r="M701" s="16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4" x14ac:dyDescent="0.3">
      <c r="A702" s="1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7"/>
      <c r="M702" s="16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4" x14ac:dyDescent="0.3">
      <c r="A703" s="1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7"/>
      <c r="M703" s="16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4" x14ac:dyDescent="0.3">
      <c r="A704" s="1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7"/>
      <c r="M704" s="16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4" x14ac:dyDescent="0.3">
      <c r="A705" s="1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7"/>
      <c r="M705" s="16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4" x14ac:dyDescent="0.3">
      <c r="A706" s="1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7"/>
      <c r="M706" s="16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4" x14ac:dyDescent="0.3">
      <c r="A707" s="1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7"/>
      <c r="M707" s="16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4" x14ac:dyDescent="0.3">
      <c r="A708" s="1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7"/>
      <c r="M708" s="16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4" x14ac:dyDescent="0.3">
      <c r="A709" s="1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7"/>
      <c r="M709" s="16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4" x14ac:dyDescent="0.3">
      <c r="A710" s="1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7"/>
      <c r="M710" s="16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4" x14ac:dyDescent="0.3">
      <c r="A711" s="1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7"/>
      <c r="M711" s="16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4" x14ac:dyDescent="0.3">
      <c r="A712" s="1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7"/>
      <c r="M712" s="16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4" x14ac:dyDescent="0.3">
      <c r="A713" s="1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7"/>
      <c r="M713" s="16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4" x14ac:dyDescent="0.3">
      <c r="A714" s="1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7"/>
      <c r="M714" s="16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4" x14ac:dyDescent="0.3">
      <c r="A715" s="1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7"/>
      <c r="M715" s="16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4" x14ac:dyDescent="0.3">
      <c r="A716" s="1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7"/>
      <c r="M716" s="16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4" x14ac:dyDescent="0.3">
      <c r="A717" s="1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7"/>
      <c r="M717" s="16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4" x14ac:dyDescent="0.3">
      <c r="A718" s="1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7"/>
      <c r="M718" s="16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4" x14ac:dyDescent="0.3">
      <c r="A719" s="1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7"/>
      <c r="M719" s="16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4" x14ac:dyDescent="0.3">
      <c r="A720" s="1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7"/>
      <c r="M720" s="16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4" x14ac:dyDescent="0.3">
      <c r="A721" s="1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7"/>
      <c r="M721" s="16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4" x14ac:dyDescent="0.3">
      <c r="A722" s="1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7"/>
      <c r="M722" s="16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4" x14ac:dyDescent="0.3">
      <c r="A723" s="1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7"/>
      <c r="M723" s="16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4" x14ac:dyDescent="0.3">
      <c r="A724" s="1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7"/>
      <c r="M724" s="16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4" x14ac:dyDescent="0.3">
      <c r="A725" s="1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7"/>
      <c r="M725" s="16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4" x14ac:dyDescent="0.3">
      <c r="A726" s="1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7"/>
      <c r="M726" s="16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4" x14ac:dyDescent="0.3">
      <c r="A727" s="1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7"/>
      <c r="M727" s="16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4" x14ac:dyDescent="0.3">
      <c r="A728" s="1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7"/>
      <c r="M728" s="16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4" x14ac:dyDescent="0.3">
      <c r="A729" s="1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7"/>
      <c r="M729" s="16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4" x14ac:dyDescent="0.3">
      <c r="A730" s="1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7"/>
      <c r="M730" s="16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4" x14ac:dyDescent="0.3">
      <c r="A731" s="1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7"/>
      <c r="M731" s="16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4" x14ac:dyDescent="0.3">
      <c r="A732" s="1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7"/>
      <c r="M732" s="16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4" x14ac:dyDescent="0.3">
      <c r="A733" s="1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7"/>
      <c r="M733" s="16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4" x14ac:dyDescent="0.3">
      <c r="A734" s="1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7"/>
      <c r="M734" s="16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4" x14ac:dyDescent="0.3">
      <c r="A735" s="1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7"/>
      <c r="M735" s="16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4" x14ac:dyDescent="0.3">
      <c r="A736" s="1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7"/>
      <c r="M736" s="16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4" x14ac:dyDescent="0.3">
      <c r="A737" s="1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7"/>
      <c r="M737" s="16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4" x14ac:dyDescent="0.3">
      <c r="A738" s="1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7"/>
      <c r="M738" s="16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4" x14ac:dyDescent="0.3">
      <c r="A739" s="1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7"/>
      <c r="M739" s="16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4" x14ac:dyDescent="0.3">
      <c r="A740" s="1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7"/>
      <c r="M740" s="16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4" x14ac:dyDescent="0.3">
      <c r="A741" s="1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7"/>
      <c r="M741" s="16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4" x14ac:dyDescent="0.3">
      <c r="A742" s="1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7"/>
      <c r="M742" s="16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4" x14ac:dyDescent="0.3">
      <c r="A743" s="1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7"/>
      <c r="M743" s="16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4" x14ac:dyDescent="0.3">
      <c r="A744" s="1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7"/>
      <c r="M744" s="16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4" x14ac:dyDescent="0.3">
      <c r="A745" s="1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7"/>
      <c r="M745" s="16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4" x14ac:dyDescent="0.3">
      <c r="A746" s="1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7"/>
      <c r="M746" s="16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4" x14ac:dyDescent="0.3">
      <c r="A747" s="1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7"/>
      <c r="M747" s="16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4" x14ac:dyDescent="0.3">
      <c r="A748" s="1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7"/>
      <c r="M748" s="16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4" x14ac:dyDescent="0.3">
      <c r="A749" s="1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7"/>
      <c r="M749" s="16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4" x14ac:dyDescent="0.3">
      <c r="A750" s="1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7"/>
      <c r="M750" s="16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4" x14ac:dyDescent="0.3">
      <c r="A751" s="1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7"/>
      <c r="M751" s="16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4" x14ac:dyDescent="0.3">
      <c r="A752" s="1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7"/>
      <c r="M752" s="16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4" x14ac:dyDescent="0.3">
      <c r="A753" s="1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7"/>
      <c r="M753" s="16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4" x14ac:dyDescent="0.3">
      <c r="A754" s="1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7"/>
      <c r="M754" s="16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4" x14ac:dyDescent="0.3">
      <c r="A755" s="1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7"/>
      <c r="M755" s="16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4" x14ac:dyDescent="0.3">
      <c r="A756" s="1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7"/>
      <c r="M756" s="16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4" x14ac:dyDescent="0.3">
      <c r="A757" s="1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7"/>
      <c r="M757" s="16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4" x14ac:dyDescent="0.3">
      <c r="A758" s="1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7"/>
      <c r="M758" s="16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4" x14ac:dyDescent="0.3">
      <c r="A759" s="1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7"/>
      <c r="M759" s="16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4" x14ac:dyDescent="0.3">
      <c r="A760" s="1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7"/>
      <c r="M760" s="16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4" x14ac:dyDescent="0.3">
      <c r="A761" s="1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7"/>
      <c r="M761" s="16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4" x14ac:dyDescent="0.3">
      <c r="A762" s="1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7"/>
      <c r="M762" s="16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4" x14ac:dyDescent="0.3">
      <c r="A763" s="1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7"/>
      <c r="M763" s="16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4" x14ac:dyDescent="0.3">
      <c r="A764" s="1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7"/>
      <c r="M764" s="16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4" x14ac:dyDescent="0.3">
      <c r="A765" s="1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7"/>
      <c r="M765" s="16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4" x14ac:dyDescent="0.3">
      <c r="A766" s="1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7"/>
      <c r="M766" s="16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4" x14ac:dyDescent="0.3">
      <c r="A767" s="1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7"/>
      <c r="M767" s="16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4" x14ac:dyDescent="0.3">
      <c r="A768" s="1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7"/>
      <c r="M768" s="16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4" x14ac:dyDescent="0.3">
      <c r="A769" s="1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7"/>
      <c r="M769" s="16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4" x14ac:dyDescent="0.3">
      <c r="A770" s="1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7"/>
      <c r="M770" s="16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4" x14ac:dyDescent="0.3">
      <c r="A771" s="1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7"/>
      <c r="M771" s="16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4" x14ac:dyDescent="0.3">
      <c r="A772" s="1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7"/>
      <c r="M772" s="16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4" x14ac:dyDescent="0.3">
      <c r="A773" s="1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7"/>
      <c r="M773" s="16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4" x14ac:dyDescent="0.3">
      <c r="A774" s="1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7"/>
      <c r="M774" s="16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4" x14ac:dyDescent="0.3">
      <c r="A775" s="1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7"/>
      <c r="M775" s="16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4" x14ac:dyDescent="0.3">
      <c r="A776" s="1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7"/>
      <c r="M776" s="16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4" x14ac:dyDescent="0.3">
      <c r="A777" s="1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7"/>
      <c r="M777" s="16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4" x14ac:dyDescent="0.3">
      <c r="A778" s="1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7"/>
      <c r="M778" s="16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4" x14ac:dyDescent="0.3">
      <c r="A779" s="1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7"/>
      <c r="M779" s="16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4" x14ac:dyDescent="0.3">
      <c r="A780" s="1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7"/>
      <c r="M780" s="16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4" x14ac:dyDescent="0.3">
      <c r="A781" s="1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7"/>
      <c r="M781" s="16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4" x14ac:dyDescent="0.3">
      <c r="A782" s="1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7"/>
      <c r="M782" s="16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4" x14ac:dyDescent="0.3">
      <c r="A783" s="1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7"/>
      <c r="M783" s="16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4" x14ac:dyDescent="0.3">
      <c r="A784" s="1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7"/>
      <c r="M784" s="16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4" x14ac:dyDescent="0.3">
      <c r="A785" s="1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7"/>
      <c r="M785" s="16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4" x14ac:dyDescent="0.3">
      <c r="A786" s="1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7"/>
      <c r="M786" s="16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4" x14ac:dyDescent="0.3">
      <c r="A787" s="1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7"/>
      <c r="M787" s="16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4" x14ac:dyDescent="0.3">
      <c r="A788" s="1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7"/>
      <c r="M788" s="16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4" x14ac:dyDescent="0.3">
      <c r="A789" s="1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7"/>
      <c r="M789" s="16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4" x14ac:dyDescent="0.3">
      <c r="A790" s="1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7"/>
      <c r="M790" s="16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4" x14ac:dyDescent="0.3">
      <c r="A791" s="1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7"/>
      <c r="M791" s="16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4" x14ac:dyDescent="0.3">
      <c r="A792" s="1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7"/>
      <c r="M792" s="16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4" x14ac:dyDescent="0.3">
      <c r="A793" s="1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7"/>
      <c r="M793" s="16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4" x14ac:dyDescent="0.3">
      <c r="A794" s="1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7"/>
      <c r="M794" s="16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4" x14ac:dyDescent="0.3">
      <c r="A795" s="1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7"/>
      <c r="M795" s="16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4" x14ac:dyDescent="0.3">
      <c r="A796" s="1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7"/>
      <c r="M796" s="16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4" x14ac:dyDescent="0.3">
      <c r="A797" s="1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7"/>
      <c r="M797" s="16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4" x14ac:dyDescent="0.3">
      <c r="A798" s="1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7"/>
      <c r="M798" s="16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4" x14ac:dyDescent="0.3">
      <c r="A799" s="1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7"/>
      <c r="M799" s="16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4" x14ac:dyDescent="0.3">
      <c r="A800" s="1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7"/>
      <c r="M800" s="16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4" x14ac:dyDescent="0.3">
      <c r="A801" s="1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7"/>
      <c r="M801" s="16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4" x14ac:dyDescent="0.3">
      <c r="A802" s="1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7"/>
      <c r="M802" s="16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4" x14ac:dyDescent="0.3">
      <c r="A803" s="1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7"/>
      <c r="M803" s="16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4" x14ac:dyDescent="0.3">
      <c r="A804" s="1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7"/>
      <c r="M804" s="16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4" x14ac:dyDescent="0.3">
      <c r="A805" s="1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7"/>
      <c r="M805" s="16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4" x14ac:dyDescent="0.3">
      <c r="A806" s="1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7"/>
      <c r="M806" s="16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4" x14ac:dyDescent="0.3">
      <c r="A807" s="1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7"/>
      <c r="M807" s="16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4" x14ac:dyDescent="0.3">
      <c r="A808" s="1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7"/>
      <c r="M808" s="16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4" x14ac:dyDescent="0.3">
      <c r="A809" s="1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7"/>
      <c r="M809" s="16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4" x14ac:dyDescent="0.3">
      <c r="A810" s="1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7"/>
      <c r="M810" s="16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4" x14ac:dyDescent="0.3">
      <c r="A811" s="1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7"/>
      <c r="M811" s="16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4" x14ac:dyDescent="0.3">
      <c r="A812" s="1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7"/>
      <c r="M812" s="16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4" x14ac:dyDescent="0.3">
      <c r="A813" s="1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7"/>
      <c r="M813" s="16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4" x14ac:dyDescent="0.3">
      <c r="A814" s="1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7"/>
      <c r="M814" s="16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4" x14ac:dyDescent="0.3">
      <c r="A815" s="1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7"/>
      <c r="M815" s="16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4" x14ac:dyDescent="0.3">
      <c r="A816" s="1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7"/>
      <c r="M816" s="16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4" x14ac:dyDescent="0.3">
      <c r="A817" s="1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7"/>
      <c r="M817" s="16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4" x14ac:dyDescent="0.3">
      <c r="A818" s="1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7"/>
      <c r="M818" s="16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4" x14ac:dyDescent="0.3">
      <c r="A819" s="1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7"/>
      <c r="M819" s="16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4" x14ac:dyDescent="0.3">
      <c r="A820" s="1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7"/>
      <c r="M820" s="16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4" x14ac:dyDescent="0.3">
      <c r="A821" s="1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7"/>
      <c r="M821" s="16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4" x14ac:dyDescent="0.3">
      <c r="A822" s="1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7"/>
      <c r="M822" s="16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4" x14ac:dyDescent="0.3">
      <c r="A823" s="1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7"/>
      <c r="M823" s="16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4" x14ac:dyDescent="0.3">
      <c r="A824" s="1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7"/>
      <c r="M824" s="16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4" x14ac:dyDescent="0.3">
      <c r="A825" s="1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7"/>
      <c r="M825" s="16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4" x14ac:dyDescent="0.3">
      <c r="A826" s="1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7"/>
      <c r="M826" s="16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4" x14ac:dyDescent="0.3">
      <c r="A827" s="1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7"/>
      <c r="M827" s="16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4" x14ac:dyDescent="0.3">
      <c r="A828" s="1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7"/>
      <c r="M828" s="16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4" x14ac:dyDescent="0.3">
      <c r="A829" s="1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7"/>
      <c r="M829" s="16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4" x14ac:dyDescent="0.3">
      <c r="A830" s="1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7"/>
      <c r="M830" s="16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4" x14ac:dyDescent="0.3">
      <c r="A831" s="1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7"/>
      <c r="M831" s="16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4" x14ac:dyDescent="0.3">
      <c r="A832" s="1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7"/>
      <c r="M832" s="16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4" x14ac:dyDescent="0.3">
      <c r="A833" s="1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7"/>
      <c r="M833" s="16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4" x14ac:dyDescent="0.3">
      <c r="A834" s="1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7"/>
      <c r="M834" s="16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4" x14ac:dyDescent="0.3">
      <c r="A835" s="1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7"/>
      <c r="M835" s="16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4" x14ac:dyDescent="0.3">
      <c r="A836" s="1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7"/>
      <c r="M836" s="16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4" x14ac:dyDescent="0.3">
      <c r="A837" s="1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7"/>
      <c r="M837" s="16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4" x14ac:dyDescent="0.3">
      <c r="A838" s="1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7"/>
      <c r="M838" s="16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4" x14ac:dyDescent="0.3">
      <c r="A839" s="1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7"/>
      <c r="M839" s="16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4" x14ac:dyDescent="0.3">
      <c r="A840" s="1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7"/>
      <c r="M840" s="16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4" x14ac:dyDescent="0.3">
      <c r="A841" s="1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7"/>
      <c r="M841" s="16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4" x14ac:dyDescent="0.3">
      <c r="A842" s="1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7"/>
      <c r="M842" s="16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4" x14ac:dyDescent="0.3">
      <c r="A843" s="1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7"/>
      <c r="M843" s="16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4" x14ac:dyDescent="0.3">
      <c r="A844" s="1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7"/>
      <c r="M844" s="16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4" x14ac:dyDescent="0.3">
      <c r="A845" s="1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7"/>
      <c r="M845" s="16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4" x14ac:dyDescent="0.3">
      <c r="A846" s="1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7"/>
      <c r="M846" s="16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4" x14ac:dyDescent="0.3">
      <c r="A847" s="1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7"/>
      <c r="M847" s="16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4" x14ac:dyDescent="0.3">
      <c r="A848" s="1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7"/>
      <c r="M848" s="16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4" x14ac:dyDescent="0.3">
      <c r="A849" s="1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7"/>
      <c r="M849" s="16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4" x14ac:dyDescent="0.3">
      <c r="A850" s="1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7"/>
      <c r="M850" s="16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4" x14ac:dyDescent="0.3">
      <c r="A851" s="1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7"/>
      <c r="M851" s="16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4" x14ac:dyDescent="0.3">
      <c r="A852" s="1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7"/>
      <c r="M852" s="16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4" x14ac:dyDescent="0.3">
      <c r="A853" s="1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7"/>
      <c r="M853" s="16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4" x14ac:dyDescent="0.3">
      <c r="A854" s="1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7"/>
      <c r="M854" s="16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4" x14ac:dyDescent="0.3">
      <c r="A855" s="1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7"/>
      <c r="M855" s="16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4" x14ac:dyDescent="0.3">
      <c r="A856" s="1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7"/>
      <c r="M856" s="16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4" x14ac:dyDescent="0.3">
      <c r="A857" s="1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7"/>
      <c r="M857" s="16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4" x14ac:dyDescent="0.3">
      <c r="A858" s="1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7"/>
      <c r="M858" s="16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4" x14ac:dyDescent="0.3">
      <c r="A859" s="1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7"/>
      <c r="M859" s="16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4" x14ac:dyDescent="0.3">
      <c r="A860" s="1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7"/>
      <c r="M860" s="16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4" x14ac:dyDescent="0.3">
      <c r="A861" s="1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7"/>
      <c r="M861" s="16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4" x14ac:dyDescent="0.3">
      <c r="A862" s="1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7"/>
      <c r="M862" s="16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4" x14ac:dyDescent="0.3">
      <c r="A863" s="1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7"/>
      <c r="M863" s="16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4" x14ac:dyDescent="0.3">
      <c r="A864" s="1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7"/>
      <c r="M864" s="16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4" x14ac:dyDescent="0.3">
      <c r="A865" s="1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7"/>
      <c r="M865" s="16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4" x14ac:dyDescent="0.3">
      <c r="A866" s="1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7"/>
      <c r="M866" s="16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4" x14ac:dyDescent="0.3">
      <c r="A867" s="1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7"/>
      <c r="M867" s="16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4" x14ac:dyDescent="0.3">
      <c r="A868" s="1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7"/>
      <c r="M868" s="16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4" x14ac:dyDescent="0.3">
      <c r="A869" s="1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7"/>
      <c r="M869" s="16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4" x14ac:dyDescent="0.3">
      <c r="A870" s="1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7"/>
      <c r="M870" s="16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4" x14ac:dyDescent="0.3">
      <c r="A871" s="1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7"/>
      <c r="M871" s="16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4" x14ac:dyDescent="0.3">
      <c r="A872" s="1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7"/>
      <c r="M872" s="16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4" x14ac:dyDescent="0.3">
      <c r="A873" s="1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7"/>
      <c r="M873" s="16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4" x14ac:dyDescent="0.3">
      <c r="A874" s="1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7"/>
      <c r="M874" s="16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4" x14ac:dyDescent="0.3">
      <c r="A875" s="1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7"/>
      <c r="M875" s="16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4" x14ac:dyDescent="0.3">
      <c r="A876" s="1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7"/>
      <c r="M876" s="16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4" x14ac:dyDescent="0.3">
      <c r="A877" s="1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7"/>
      <c r="M877" s="16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4" x14ac:dyDescent="0.3">
      <c r="A878" s="1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7"/>
      <c r="M878" s="16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4" x14ac:dyDescent="0.3">
      <c r="A879" s="1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7"/>
      <c r="M879" s="16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4" x14ac:dyDescent="0.3">
      <c r="A880" s="1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7"/>
      <c r="M880" s="16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4" x14ac:dyDescent="0.3">
      <c r="A881" s="1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7"/>
      <c r="M881" s="16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4" x14ac:dyDescent="0.3">
      <c r="A882" s="1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7"/>
      <c r="M882" s="16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4" x14ac:dyDescent="0.3">
      <c r="A883" s="1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7"/>
      <c r="M883" s="16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4" x14ac:dyDescent="0.3">
      <c r="A884" s="1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7"/>
      <c r="M884" s="16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4" x14ac:dyDescent="0.3">
      <c r="A885" s="1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7"/>
      <c r="M885" s="16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4" x14ac:dyDescent="0.3">
      <c r="A886" s="1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7"/>
      <c r="M886" s="16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4" x14ac:dyDescent="0.3">
      <c r="A887" s="1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7"/>
      <c r="M887" s="16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4" x14ac:dyDescent="0.3">
      <c r="A888" s="1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7"/>
      <c r="M888" s="16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4" x14ac:dyDescent="0.3">
      <c r="A889" s="1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7"/>
      <c r="M889" s="16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4" x14ac:dyDescent="0.3">
      <c r="A890" s="1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7"/>
      <c r="M890" s="16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4" x14ac:dyDescent="0.3">
      <c r="A891" s="1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7"/>
      <c r="M891" s="16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4" x14ac:dyDescent="0.3">
      <c r="A892" s="1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7"/>
      <c r="M892" s="16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4" x14ac:dyDescent="0.3">
      <c r="A893" s="1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7"/>
      <c r="M893" s="16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4" x14ac:dyDescent="0.3">
      <c r="A894" s="1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7"/>
      <c r="M894" s="16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4" x14ac:dyDescent="0.3">
      <c r="A895" s="1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7"/>
      <c r="M895" s="16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4" x14ac:dyDescent="0.3">
      <c r="A896" s="1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7"/>
      <c r="M896" s="16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4" x14ac:dyDescent="0.3">
      <c r="A897" s="1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7"/>
      <c r="M897" s="16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4" x14ac:dyDescent="0.3">
      <c r="A898" s="1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7"/>
      <c r="M898" s="16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4" x14ac:dyDescent="0.3">
      <c r="A899" s="1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7"/>
      <c r="M899" s="16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4" x14ac:dyDescent="0.3">
      <c r="A900" s="1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7"/>
      <c r="M900" s="16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4" x14ac:dyDescent="0.3">
      <c r="A901" s="1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7"/>
      <c r="M901" s="16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4" x14ac:dyDescent="0.3">
      <c r="A902" s="1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7"/>
      <c r="M902" s="16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4" x14ac:dyDescent="0.3">
      <c r="A903" s="1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7"/>
      <c r="M903" s="16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4" x14ac:dyDescent="0.3">
      <c r="A904" s="1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7"/>
      <c r="M904" s="16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4" x14ac:dyDescent="0.3">
      <c r="A905" s="1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7"/>
      <c r="M905" s="16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4" x14ac:dyDescent="0.3">
      <c r="A906" s="1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7"/>
      <c r="M906" s="16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4" x14ac:dyDescent="0.3">
      <c r="A907" s="1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7"/>
      <c r="M907" s="16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4" x14ac:dyDescent="0.3">
      <c r="A908" s="1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7"/>
      <c r="M908" s="16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4" x14ac:dyDescent="0.3">
      <c r="A909" s="1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7"/>
      <c r="M909" s="16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4" x14ac:dyDescent="0.3">
      <c r="A910" s="1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7"/>
      <c r="M910" s="16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4" x14ac:dyDescent="0.3">
      <c r="A911" s="1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7"/>
      <c r="M911" s="16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4" x14ac:dyDescent="0.3">
      <c r="A912" s="1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7"/>
      <c r="M912" s="16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4" x14ac:dyDescent="0.3">
      <c r="A913" s="1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7"/>
      <c r="M913" s="16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4" x14ac:dyDescent="0.3">
      <c r="A914" s="1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7"/>
      <c r="M914" s="16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4" x14ac:dyDescent="0.3">
      <c r="A915" s="1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7"/>
      <c r="M915" s="16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4" x14ac:dyDescent="0.3">
      <c r="A916" s="1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7"/>
      <c r="M916" s="16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4" x14ac:dyDescent="0.3">
      <c r="A917" s="1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7"/>
      <c r="M917" s="16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4" x14ac:dyDescent="0.3">
      <c r="A918" s="1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7"/>
      <c r="M918" s="16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4" x14ac:dyDescent="0.3">
      <c r="A919" s="1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7"/>
      <c r="M919" s="16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4" x14ac:dyDescent="0.3">
      <c r="A920" s="1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7"/>
      <c r="M920" s="16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4" x14ac:dyDescent="0.3">
      <c r="A921" s="1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7"/>
      <c r="M921" s="16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4" x14ac:dyDescent="0.3">
      <c r="A922" s="1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7"/>
      <c r="M922" s="16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4" x14ac:dyDescent="0.3">
      <c r="A923" s="1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7"/>
      <c r="M923" s="16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4" x14ac:dyDescent="0.3">
      <c r="A924" s="1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7"/>
      <c r="M924" s="16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4" x14ac:dyDescent="0.3">
      <c r="A925" s="1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7"/>
      <c r="M925" s="16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4" x14ac:dyDescent="0.3">
      <c r="A926" s="1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7"/>
      <c r="M926" s="16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4" x14ac:dyDescent="0.3">
      <c r="A927" s="1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7"/>
      <c r="M927" s="16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4" x14ac:dyDescent="0.3">
      <c r="A928" s="1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7"/>
      <c r="M928" s="16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4" x14ac:dyDescent="0.3">
      <c r="A929" s="1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7"/>
      <c r="M929" s="16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4" x14ac:dyDescent="0.3">
      <c r="A930" s="1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7"/>
      <c r="M930" s="16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4" x14ac:dyDescent="0.3">
      <c r="A931" s="1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7"/>
      <c r="M931" s="16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4" x14ac:dyDescent="0.3">
      <c r="A932" s="1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7"/>
      <c r="M932" s="16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4" x14ac:dyDescent="0.3">
      <c r="A933" s="1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7"/>
      <c r="M933" s="16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4" x14ac:dyDescent="0.3">
      <c r="A934" s="1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7"/>
      <c r="M934" s="16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4" x14ac:dyDescent="0.3">
      <c r="A935" s="1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7"/>
      <c r="M935" s="16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4" x14ac:dyDescent="0.3">
      <c r="A936" s="1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7"/>
      <c r="M936" s="16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4" x14ac:dyDescent="0.3">
      <c r="A937" s="1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7"/>
      <c r="M937" s="16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4" x14ac:dyDescent="0.3">
      <c r="A938" s="1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7"/>
      <c r="M938" s="16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4" x14ac:dyDescent="0.3">
      <c r="A939" s="1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7"/>
      <c r="M939" s="16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4" x14ac:dyDescent="0.3">
      <c r="A940" s="1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7"/>
      <c r="M940" s="16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4" x14ac:dyDescent="0.3">
      <c r="A941" s="1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7"/>
      <c r="M941" s="16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4" x14ac:dyDescent="0.3">
      <c r="A942" s="1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7"/>
      <c r="M942" s="16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4" x14ac:dyDescent="0.3">
      <c r="A943" s="1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7"/>
      <c r="M943" s="16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4" x14ac:dyDescent="0.3">
      <c r="A944" s="1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7"/>
      <c r="M944" s="16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4" x14ac:dyDescent="0.3">
      <c r="A945" s="1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7"/>
      <c r="M945" s="16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4" x14ac:dyDescent="0.3">
      <c r="A946" s="1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7"/>
      <c r="M946" s="16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4" x14ac:dyDescent="0.3">
      <c r="A947" s="1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7"/>
      <c r="M947" s="16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4" x14ac:dyDescent="0.3">
      <c r="A948" s="1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7"/>
      <c r="M948" s="16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4" x14ac:dyDescent="0.3">
      <c r="A949" s="1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7"/>
      <c r="M949" s="16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4" x14ac:dyDescent="0.3">
      <c r="A950" s="1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7"/>
      <c r="M950" s="16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4" x14ac:dyDescent="0.3">
      <c r="A951" s="1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7"/>
      <c r="M951" s="16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4" x14ac:dyDescent="0.3">
      <c r="A952" s="1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7"/>
      <c r="M952" s="16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4" x14ac:dyDescent="0.3">
      <c r="A953" s="1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7"/>
      <c r="M953" s="16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4" x14ac:dyDescent="0.3">
      <c r="A954" s="1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7"/>
      <c r="M954" s="16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4" x14ac:dyDescent="0.3">
      <c r="A955" s="1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7"/>
      <c r="M955" s="16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4" x14ac:dyDescent="0.3">
      <c r="A956" s="1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7"/>
      <c r="M956" s="16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4" x14ac:dyDescent="0.3">
      <c r="A957" s="1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7"/>
      <c r="M957" s="16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4" x14ac:dyDescent="0.3">
      <c r="A958" s="1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7"/>
      <c r="M958" s="16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4" x14ac:dyDescent="0.3">
      <c r="A959" s="1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7"/>
      <c r="M959" s="16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4" x14ac:dyDescent="0.3">
      <c r="A960" s="1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7"/>
      <c r="M960" s="16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4" x14ac:dyDescent="0.3">
      <c r="A961" s="1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7"/>
      <c r="M961" s="16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4" x14ac:dyDescent="0.3">
      <c r="A962" s="1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7"/>
      <c r="M962" s="16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4" x14ac:dyDescent="0.3">
      <c r="A963" s="1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7"/>
      <c r="M963" s="16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4" x14ac:dyDescent="0.3">
      <c r="A964" s="1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7"/>
      <c r="M964" s="16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4" x14ac:dyDescent="0.3">
      <c r="A965" s="1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7"/>
      <c r="M965" s="16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4" x14ac:dyDescent="0.3">
      <c r="A966" s="1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7"/>
      <c r="M966" s="16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4" x14ac:dyDescent="0.3">
      <c r="A967" s="1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7"/>
      <c r="M967" s="16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4" x14ac:dyDescent="0.3">
      <c r="A968" s="1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7"/>
      <c r="M968" s="16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4" x14ac:dyDescent="0.3">
      <c r="A969" s="1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7"/>
      <c r="M969" s="16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4" x14ac:dyDescent="0.3">
      <c r="A970" s="1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7"/>
      <c r="M970" s="16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4" x14ac:dyDescent="0.3">
      <c r="A971" s="1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7"/>
      <c r="M971" s="16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4" x14ac:dyDescent="0.3">
      <c r="A972" s="1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7"/>
      <c r="M972" s="16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4" x14ac:dyDescent="0.3">
      <c r="A973" s="1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7"/>
      <c r="M973" s="16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4" x14ac:dyDescent="0.3">
      <c r="A974" s="1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7"/>
      <c r="M974" s="16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4" x14ac:dyDescent="0.3">
      <c r="A975" s="1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7"/>
      <c r="M975" s="16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4" x14ac:dyDescent="0.3">
      <c r="A976" s="1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7"/>
      <c r="M976" s="16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4" x14ac:dyDescent="0.3">
      <c r="A977" s="1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7"/>
      <c r="M977" s="16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4" x14ac:dyDescent="0.3">
      <c r="A978" s="1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7"/>
      <c r="M978" s="16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4" x14ac:dyDescent="0.3">
      <c r="A979" s="1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7"/>
      <c r="M979" s="16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4" x14ac:dyDescent="0.3">
      <c r="A980" s="1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7"/>
      <c r="M980" s="16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4" x14ac:dyDescent="0.3">
      <c r="A981" s="1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7"/>
      <c r="M981" s="16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4" x14ac:dyDescent="0.3">
      <c r="A982" s="1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7"/>
      <c r="M982" s="16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4" x14ac:dyDescent="0.3">
      <c r="A983" s="1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7"/>
      <c r="M983" s="16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4" x14ac:dyDescent="0.3">
      <c r="A984" s="1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7"/>
      <c r="M984" s="16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4" x14ac:dyDescent="0.3">
      <c r="A985" s="1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7"/>
      <c r="M985" s="16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4" x14ac:dyDescent="0.3">
      <c r="A986" s="1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7"/>
      <c r="M986" s="16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4" x14ac:dyDescent="0.3">
      <c r="A987" s="1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7"/>
      <c r="M987" s="16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4" x14ac:dyDescent="0.3">
      <c r="A988" s="1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7"/>
      <c r="M988" s="16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4" x14ac:dyDescent="0.3">
      <c r="A989" s="1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7"/>
      <c r="M989" s="16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4" x14ac:dyDescent="0.3">
      <c r="A990" s="1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7"/>
      <c r="M990" s="16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4" x14ac:dyDescent="0.3">
      <c r="A991" s="1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7"/>
      <c r="M991" s="16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4" x14ac:dyDescent="0.3">
      <c r="A992" s="1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7"/>
      <c r="M992" s="16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4" x14ac:dyDescent="0.3">
      <c r="A993" s="1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7"/>
      <c r="M993" s="16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4" x14ac:dyDescent="0.3">
      <c r="A994" s="1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7"/>
      <c r="M994" s="16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4" x14ac:dyDescent="0.3">
      <c r="A995" s="1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7"/>
      <c r="M995" s="16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4" x14ac:dyDescent="0.3">
      <c r="A996" s="17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7"/>
      <c r="M996" s="16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4" x14ac:dyDescent="0.3">
      <c r="A997" s="17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7"/>
      <c r="M997" s="16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4" x14ac:dyDescent="0.3">
      <c r="A998" s="17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7"/>
      <c r="M998" s="16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4" x14ac:dyDescent="0.3">
      <c r="A999" s="17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7"/>
      <c r="M999" s="16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4" x14ac:dyDescent="0.3">
      <c r="A1000" s="17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7"/>
      <c r="M1000" s="16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26" activePane="bottomRight" state="frozen"/>
      <selection activeCell="M4" sqref="M4"/>
      <selection pane="topRight" activeCell="M4" sqref="M4"/>
      <selection pane="bottomLeft" activeCell="M4" sqref="M4"/>
      <selection pane="bottomRight" sqref="A1:A1048576"/>
    </sheetView>
  </sheetViews>
  <sheetFormatPr defaultColWidth="14.44140625" defaultRowHeight="14.4" x14ac:dyDescent="0.3"/>
  <cols>
    <col min="1" max="1" width="12" customWidth="1"/>
    <col min="2" max="2" width="20.109375" bestFit="1" customWidth="1"/>
    <col min="3" max="3" width="7.5546875" bestFit="1" customWidth="1"/>
    <col min="4" max="4" width="9.77734375" bestFit="1" customWidth="1"/>
    <col min="5" max="26" width="9.109375" customWidth="1"/>
  </cols>
  <sheetData>
    <row r="1" spans="1:26" ht="32.4" x14ac:dyDescent="0.85">
      <c r="A1" s="42" t="s">
        <v>59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26.4" x14ac:dyDescent="0.7">
      <c r="A2" s="44" t="s">
        <v>60</v>
      </c>
      <c r="B2" s="44" t="s">
        <v>61</v>
      </c>
      <c r="C2" s="44" t="s">
        <v>62</v>
      </c>
      <c r="D2" s="44" t="s">
        <v>4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23.4" x14ac:dyDescent="0.6">
      <c r="A3" s="45">
        <v>1</v>
      </c>
      <c r="B3" s="46" t="s">
        <v>63</v>
      </c>
      <c r="C3" s="46">
        <f>+รายการสินค้าตีกลับ!B35</f>
        <v>0</v>
      </c>
      <c r="D3" s="47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23.4" x14ac:dyDescent="0.6">
      <c r="A4" s="45">
        <v>2</v>
      </c>
      <c r="B4" s="46" t="s">
        <v>64</v>
      </c>
      <c r="C4" s="46">
        <f>+รายการสินค้าตีกลับ!C35</f>
        <v>0</v>
      </c>
      <c r="D4" s="48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23.4" x14ac:dyDescent="0.6">
      <c r="A5" s="45">
        <v>3</v>
      </c>
      <c r="B5" s="46" t="s">
        <v>65</v>
      </c>
      <c r="C5" s="46">
        <f>+รายการสินค้าตีกลับ!D35</f>
        <v>18</v>
      </c>
      <c r="D5" s="48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23.4" x14ac:dyDescent="0.6">
      <c r="A6" s="45">
        <v>4</v>
      </c>
      <c r="B6" s="46" t="s">
        <v>66</v>
      </c>
      <c r="C6" s="46">
        <f>+รายการสินค้าตีกลับ!E35</f>
        <v>2</v>
      </c>
      <c r="D6" s="48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23.4" x14ac:dyDescent="0.6">
      <c r="A7" s="45">
        <v>5</v>
      </c>
      <c r="B7" s="46" t="s">
        <v>67</v>
      </c>
      <c r="C7" s="46">
        <f>+รายการสินค้าตีกลับ!F35</f>
        <v>5</v>
      </c>
      <c r="D7" s="46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23.4" x14ac:dyDescent="0.6">
      <c r="A8" s="45">
        <v>6</v>
      </c>
      <c r="B8" s="46" t="s">
        <v>68</v>
      </c>
      <c r="C8" s="46">
        <f>+รายการสินค้าตีกลับ!G35</f>
        <v>0</v>
      </c>
      <c r="D8" s="46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23.4" x14ac:dyDescent="0.6">
      <c r="A9" s="45">
        <v>7</v>
      </c>
      <c r="B9" s="46" t="s">
        <v>69</v>
      </c>
      <c r="C9" s="46">
        <f>+รายการสินค้าตีกลับ!I35</f>
        <v>165</v>
      </c>
      <c r="D9" s="46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23.4" x14ac:dyDescent="0.6">
      <c r="A10" s="45">
        <v>8</v>
      </c>
      <c r="B10" s="46" t="s">
        <v>70</v>
      </c>
      <c r="C10" s="46">
        <f>+รายการสินค้าตีกลับ!J35</f>
        <v>0</v>
      </c>
      <c r="D10" s="46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23.4" x14ac:dyDescent="0.6">
      <c r="A11" s="45">
        <v>9</v>
      </c>
      <c r="B11" s="46" t="s">
        <v>71</v>
      </c>
      <c r="C11" s="46">
        <f>+รายการสินค้าตีกลับ!L35</f>
        <v>0</v>
      </c>
      <c r="D11" s="46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23.4" x14ac:dyDescent="0.6">
      <c r="A12" s="45">
        <v>10</v>
      </c>
      <c r="B12" s="46" t="s">
        <v>72</v>
      </c>
      <c r="C12" s="46">
        <f>+รายการสินค้าตีกลับ!M35</f>
        <v>0</v>
      </c>
      <c r="D12" s="46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23.4" x14ac:dyDescent="0.6">
      <c r="A13" s="45">
        <v>11</v>
      </c>
      <c r="B13" s="46" t="s">
        <v>73</v>
      </c>
      <c r="C13" s="46">
        <f>+รายการสินค้าตีกลับ!N35</f>
        <v>0</v>
      </c>
      <c r="D13" s="46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23.4" x14ac:dyDescent="0.6">
      <c r="A14" s="45">
        <v>12</v>
      </c>
      <c r="B14" s="46" t="s">
        <v>74</v>
      </c>
      <c r="C14" s="46">
        <f>+รายการสินค้าตีกลับ!O35</f>
        <v>0</v>
      </c>
      <c r="D14" s="46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23.4" x14ac:dyDescent="0.6">
      <c r="A15" s="45">
        <v>13</v>
      </c>
      <c r="B15" s="46" t="s">
        <v>75</v>
      </c>
      <c r="C15" s="46">
        <f>+รายการสินค้าตีกลับ!P35</f>
        <v>0</v>
      </c>
      <c r="D15" s="46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23.4" x14ac:dyDescent="0.6">
      <c r="A16" s="45">
        <v>14</v>
      </c>
      <c r="B16" s="46" t="s">
        <v>76</v>
      </c>
      <c r="C16" s="46">
        <f>+รายการสินค้าตีกลับ!Q35</f>
        <v>0</v>
      </c>
      <c r="D16" s="4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23.4" x14ac:dyDescent="0.6">
      <c r="A17" s="45">
        <v>15</v>
      </c>
      <c r="B17" s="46" t="s">
        <v>77</v>
      </c>
      <c r="C17" s="46">
        <v>0</v>
      </c>
      <c r="D17" s="46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23.4" x14ac:dyDescent="0.6">
      <c r="A18" s="45">
        <v>16</v>
      </c>
      <c r="B18" s="46" t="s">
        <v>78</v>
      </c>
      <c r="C18" s="46">
        <v>0</v>
      </c>
      <c r="D18" s="46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23.4" x14ac:dyDescent="0.6">
      <c r="A19" s="45">
        <v>17</v>
      </c>
      <c r="B19" s="46" t="s">
        <v>79</v>
      </c>
      <c r="C19" s="46">
        <f>+รายการสินค้าตีกลับ!R35</f>
        <v>0</v>
      </c>
      <c r="D19" s="46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23.4" x14ac:dyDescent="0.6">
      <c r="A20" s="45">
        <v>18</v>
      </c>
      <c r="B20" s="46" t="s">
        <v>80</v>
      </c>
      <c r="C20" s="46">
        <f>+รายการสินค้าตีกลับ!S35</f>
        <v>0</v>
      </c>
      <c r="D20" s="46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23.4" x14ac:dyDescent="0.6">
      <c r="A21" s="45">
        <v>19</v>
      </c>
      <c r="B21" s="46" t="s">
        <v>81</v>
      </c>
      <c r="C21" s="46">
        <v>0</v>
      </c>
      <c r="D21" s="46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23.4" x14ac:dyDescent="0.6">
      <c r="A22" s="45">
        <v>20</v>
      </c>
      <c r="B22" s="46" t="s">
        <v>82</v>
      </c>
      <c r="C22" s="46">
        <v>0</v>
      </c>
      <c r="D22" s="46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23.4" x14ac:dyDescent="0.6">
      <c r="A23" s="45">
        <v>21</v>
      </c>
      <c r="B23" s="46" t="s">
        <v>83</v>
      </c>
      <c r="C23" s="46">
        <v>0</v>
      </c>
      <c r="D23" s="46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23.4" x14ac:dyDescent="0.6">
      <c r="A24" s="45">
        <v>22</v>
      </c>
      <c r="B24" s="46" t="s">
        <v>84</v>
      </c>
      <c r="C24" s="46">
        <v>0</v>
      </c>
      <c r="D24" s="46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23.4" x14ac:dyDescent="0.6">
      <c r="A25" s="45">
        <v>23</v>
      </c>
      <c r="B25" s="46" t="s">
        <v>85</v>
      </c>
      <c r="C25" s="46">
        <v>0</v>
      </c>
      <c r="D25" s="46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23.4" x14ac:dyDescent="0.6">
      <c r="A26" s="45">
        <v>24</v>
      </c>
      <c r="B26" s="46" t="s">
        <v>86</v>
      </c>
      <c r="C26" s="46">
        <v>0</v>
      </c>
      <c r="D26" s="46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23.4" x14ac:dyDescent="0.6">
      <c r="A27" s="45">
        <v>25</v>
      </c>
      <c r="B27" s="46" t="s">
        <v>87</v>
      </c>
      <c r="C27" s="46">
        <v>0</v>
      </c>
      <c r="D27" s="46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23.4" x14ac:dyDescent="0.6">
      <c r="A28" s="45">
        <v>26</v>
      </c>
      <c r="B28" s="46" t="s">
        <v>88</v>
      </c>
      <c r="C28" s="46">
        <v>0</v>
      </c>
      <c r="D28" s="46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23.4" x14ac:dyDescent="0.6">
      <c r="A29" s="45">
        <v>27</v>
      </c>
      <c r="B29" s="46" t="s">
        <v>89</v>
      </c>
      <c r="C29" s="46">
        <f>+รายการสินค้าตีกลับ!Y35</f>
        <v>0</v>
      </c>
      <c r="D29" s="46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23.4" x14ac:dyDescent="0.6">
      <c r="A30" s="45">
        <v>28</v>
      </c>
      <c r="B30" s="46" t="s">
        <v>90</v>
      </c>
      <c r="C30" s="46">
        <v>0</v>
      </c>
      <c r="D30" s="46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23.4" x14ac:dyDescent="0.6">
      <c r="A31" s="45">
        <v>29</v>
      </c>
      <c r="B31" s="46" t="s">
        <v>91</v>
      </c>
      <c r="C31" s="46">
        <v>0</v>
      </c>
      <c r="D31" s="46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23.4" x14ac:dyDescent="0.6">
      <c r="A32" s="45">
        <v>30</v>
      </c>
      <c r="B32" s="46" t="s">
        <v>92</v>
      </c>
      <c r="C32" s="46">
        <v>0</v>
      </c>
      <c r="D32" s="4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23.4" x14ac:dyDescent="0.6">
      <c r="A33" s="45">
        <v>31</v>
      </c>
      <c r="B33" s="46" t="s">
        <v>93</v>
      </c>
      <c r="C33" s="46">
        <v>0</v>
      </c>
      <c r="D33" s="46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23.4" x14ac:dyDescent="0.6">
      <c r="A34" s="45">
        <v>32</v>
      </c>
      <c r="B34" s="46" t="s">
        <v>94</v>
      </c>
      <c r="C34" s="46">
        <v>0</v>
      </c>
      <c r="D34" s="4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23.4" x14ac:dyDescent="0.6">
      <c r="A35" s="45">
        <v>33</v>
      </c>
      <c r="B35" s="46" t="s">
        <v>95</v>
      </c>
      <c r="C35" s="46">
        <f>+รายการสินค้าตีกลับ!AC35</f>
        <v>1</v>
      </c>
      <c r="D35" s="46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23.4" x14ac:dyDescent="0.6">
      <c r="A36" s="45">
        <v>34</v>
      </c>
      <c r="B36" s="46" t="s">
        <v>96</v>
      </c>
      <c r="C36" s="46">
        <f>+รายการสินค้าตีกลับ!AD35</f>
        <v>0</v>
      </c>
      <c r="D36" s="46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23.4" x14ac:dyDescent="0.6">
      <c r="A37" s="45">
        <v>35</v>
      </c>
      <c r="B37" s="46"/>
      <c r="C37" s="46"/>
      <c r="D37" s="46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23.4" x14ac:dyDescent="0.6">
      <c r="A38" s="45">
        <v>36</v>
      </c>
      <c r="B38" s="46"/>
      <c r="C38" s="46"/>
      <c r="D38" s="46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28.8" x14ac:dyDescent="0.75">
      <c r="A39" s="43"/>
      <c r="B39" s="49" t="s">
        <v>97</v>
      </c>
      <c r="C39" s="50">
        <f>SUM(C3:C38)</f>
        <v>191</v>
      </c>
      <c r="D39" s="51" t="s">
        <v>98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23.4" x14ac:dyDescent="0.6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23.4" x14ac:dyDescent="0.6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23.4" x14ac:dyDescent="0.6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23.4" x14ac:dyDescent="0.6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3.4" x14ac:dyDescent="0.6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23.4" x14ac:dyDescent="0.6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23.4" x14ac:dyDescent="0.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23.4" x14ac:dyDescent="0.6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23.4" x14ac:dyDescent="0.6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23.4" x14ac:dyDescent="0.6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23.4" x14ac:dyDescent="0.6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23.4" x14ac:dyDescent="0.6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23.4" x14ac:dyDescent="0.6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23.4" x14ac:dyDescent="0.6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23.4" x14ac:dyDescent="0.6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23.4" x14ac:dyDescent="0.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23.4" x14ac:dyDescent="0.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23.4" x14ac:dyDescent="0.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23.4" x14ac:dyDescent="0.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23.4" x14ac:dyDescent="0.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23.4" x14ac:dyDescent="0.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23.4" x14ac:dyDescent="0.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23.4" x14ac:dyDescent="0.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23.4" x14ac:dyDescent="0.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23.4" x14ac:dyDescent="0.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23.4" x14ac:dyDescent="0.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23.4" x14ac:dyDescent="0.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23.4" x14ac:dyDescent="0.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23.4" x14ac:dyDescent="0.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23.4" x14ac:dyDescent="0.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23.4" x14ac:dyDescent="0.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23.4" x14ac:dyDescent="0.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23.4" x14ac:dyDescent="0.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23.4" x14ac:dyDescent="0.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23.4" x14ac:dyDescent="0.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23.4" x14ac:dyDescent="0.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23.4" x14ac:dyDescent="0.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23.4" x14ac:dyDescent="0.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23.4" x14ac:dyDescent="0.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23.4" x14ac:dyDescent="0.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23.4" x14ac:dyDescent="0.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23.4" x14ac:dyDescent="0.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23.4" x14ac:dyDescent="0.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23.4" x14ac:dyDescent="0.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23.4" x14ac:dyDescent="0.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23.4" x14ac:dyDescent="0.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23.4" x14ac:dyDescent="0.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23.4" x14ac:dyDescent="0.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23.4" x14ac:dyDescent="0.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23.4" x14ac:dyDescent="0.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23.4" x14ac:dyDescent="0.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23.4" x14ac:dyDescent="0.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23.4" x14ac:dyDescent="0.6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23.4" x14ac:dyDescent="0.6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23.4" x14ac:dyDescent="0.6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23.4" x14ac:dyDescent="0.6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23.4" x14ac:dyDescent="0.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23.4" x14ac:dyDescent="0.6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23.4" x14ac:dyDescent="0.6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23.4" x14ac:dyDescent="0.6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23.4" x14ac:dyDescent="0.6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23.4" x14ac:dyDescent="0.6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23.4" x14ac:dyDescent="0.6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23.4" x14ac:dyDescent="0.6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23.4" x14ac:dyDescent="0.6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23.4" x14ac:dyDescent="0.6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23.4" x14ac:dyDescent="0.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23.4" x14ac:dyDescent="0.6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23.4" x14ac:dyDescent="0.6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23.4" x14ac:dyDescent="0.6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23.4" x14ac:dyDescent="0.6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23.4" x14ac:dyDescent="0.6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23.4" x14ac:dyDescent="0.6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23.4" x14ac:dyDescent="0.6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23.4" x14ac:dyDescent="0.6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23.4" x14ac:dyDescent="0.6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23.4" x14ac:dyDescent="0.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23.4" x14ac:dyDescent="0.6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23.4" x14ac:dyDescent="0.6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23.4" x14ac:dyDescent="0.6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23.4" x14ac:dyDescent="0.6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23.4" x14ac:dyDescent="0.6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23.4" x14ac:dyDescent="0.6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23.4" x14ac:dyDescent="0.6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23.4" x14ac:dyDescent="0.6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23.4" x14ac:dyDescent="0.6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23.4" x14ac:dyDescent="0.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23.4" x14ac:dyDescent="0.6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23.4" x14ac:dyDescent="0.6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23.4" x14ac:dyDescent="0.6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23.4" x14ac:dyDescent="0.6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23.4" x14ac:dyDescent="0.6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23.4" x14ac:dyDescent="0.6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23.4" x14ac:dyDescent="0.6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23.4" x14ac:dyDescent="0.6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23.4" x14ac:dyDescent="0.6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23.4" x14ac:dyDescent="0.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23.4" x14ac:dyDescent="0.6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23.4" x14ac:dyDescent="0.6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23.4" x14ac:dyDescent="0.6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23.4" x14ac:dyDescent="0.6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23.4" x14ac:dyDescent="0.6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23.4" x14ac:dyDescent="0.6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23.4" x14ac:dyDescent="0.6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23.4" x14ac:dyDescent="0.6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23.4" x14ac:dyDescent="0.6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23.4" x14ac:dyDescent="0.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23.4" x14ac:dyDescent="0.6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23.4" x14ac:dyDescent="0.6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23.4" x14ac:dyDescent="0.6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23.4" x14ac:dyDescent="0.6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23.4" x14ac:dyDescent="0.6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23.4" x14ac:dyDescent="0.6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23.4" x14ac:dyDescent="0.6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23.4" x14ac:dyDescent="0.6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23.4" x14ac:dyDescent="0.6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23.4" x14ac:dyDescent="0.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23.4" x14ac:dyDescent="0.6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23.4" x14ac:dyDescent="0.6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23.4" x14ac:dyDescent="0.6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23.4" x14ac:dyDescent="0.6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23.4" x14ac:dyDescent="0.6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23.4" x14ac:dyDescent="0.6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23.4" x14ac:dyDescent="0.6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23.4" x14ac:dyDescent="0.6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23.4" x14ac:dyDescent="0.6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23.4" x14ac:dyDescent="0.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23.4" x14ac:dyDescent="0.6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23.4" x14ac:dyDescent="0.6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23.4" x14ac:dyDescent="0.6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23.4" x14ac:dyDescent="0.6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23.4" x14ac:dyDescent="0.6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23.4" x14ac:dyDescent="0.6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23.4" x14ac:dyDescent="0.6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23.4" x14ac:dyDescent="0.6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23.4" x14ac:dyDescent="0.6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23.4" x14ac:dyDescent="0.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23.4" x14ac:dyDescent="0.6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23.4" x14ac:dyDescent="0.6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23.4" x14ac:dyDescent="0.6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23.4" x14ac:dyDescent="0.6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23.4" x14ac:dyDescent="0.6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23.4" x14ac:dyDescent="0.6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23.4" x14ac:dyDescent="0.6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23.4" x14ac:dyDescent="0.6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23.4" x14ac:dyDescent="0.6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23.4" x14ac:dyDescent="0.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23.4" x14ac:dyDescent="0.6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23.4" x14ac:dyDescent="0.6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23.4" x14ac:dyDescent="0.6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23.4" x14ac:dyDescent="0.6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23.4" x14ac:dyDescent="0.6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23.4" x14ac:dyDescent="0.6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23.4" x14ac:dyDescent="0.6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23.4" x14ac:dyDescent="0.6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23.4" x14ac:dyDescent="0.6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23.4" x14ac:dyDescent="0.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23.4" x14ac:dyDescent="0.6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23.4" x14ac:dyDescent="0.6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23.4" x14ac:dyDescent="0.6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23.4" x14ac:dyDescent="0.6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23.4" x14ac:dyDescent="0.6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23.4" x14ac:dyDescent="0.6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23.4" x14ac:dyDescent="0.6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23.4" x14ac:dyDescent="0.6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23.4" x14ac:dyDescent="0.6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23.4" x14ac:dyDescent="0.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23.4" x14ac:dyDescent="0.6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23.4" x14ac:dyDescent="0.6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23.4" x14ac:dyDescent="0.6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23.4" x14ac:dyDescent="0.6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23.4" x14ac:dyDescent="0.6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23.4" x14ac:dyDescent="0.6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23.4" x14ac:dyDescent="0.6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23.4" x14ac:dyDescent="0.6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23.4" x14ac:dyDescent="0.6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23.4" x14ac:dyDescent="0.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23.4" x14ac:dyDescent="0.6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23.4" x14ac:dyDescent="0.6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23.4" x14ac:dyDescent="0.6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23.4" x14ac:dyDescent="0.6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23.4" x14ac:dyDescent="0.6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23.4" x14ac:dyDescent="0.6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23.4" x14ac:dyDescent="0.6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23.4" x14ac:dyDescent="0.6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23.4" x14ac:dyDescent="0.6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23.4" x14ac:dyDescent="0.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23.4" x14ac:dyDescent="0.6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23.4" x14ac:dyDescent="0.6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23.4" x14ac:dyDescent="0.6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23.4" x14ac:dyDescent="0.6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23.4" x14ac:dyDescent="0.6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23.4" x14ac:dyDescent="0.6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23.4" x14ac:dyDescent="0.6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23.4" x14ac:dyDescent="0.6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23.4" x14ac:dyDescent="0.6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23.4" x14ac:dyDescent="0.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23.4" x14ac:dyDescent="0.6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23.4" x14ac:dyDescent="0.6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23.4" x14ac:dyDescent="0.6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23.4" x14ac:dyDescent="0.6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23.4" x14ac:dyDescent="0.6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23.4" x14ac:dyDescent="0.6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23.4" x14ac:dyDescent="0.6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23.4" x14ac:dyDescent="0.6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23.4" x14ac:dyDescent="0.6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23.4" x14ac:dyDescent="0.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23.4" x14ac:dyDescent="0.6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23.4" x14ac:dyDescent="0.6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23.4" x14ac:dyDescent="0.6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23.4" x14ac:dyDescent="0.6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23.4" x14ac:dyDescent="0.6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23.4" x14ac:dyDescent="0.6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23.4" x14ac:dyDescent="0.6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23.4" x14ac:dyDescent="0.6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23.4" x14ac:dyDescent="0.6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23.4" x14ac:dyDescent="0.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23.4" x14ac:dyDescent="0.6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23.4" x14ac:dyDescent="0.6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23.4" x14ac:dyDescent="0.6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23.4" x14ac:dyDescent="0.6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23.4" x14ac:dyDescent="0.6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23.4" x14ac:dyDescent="0.6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23.4" x14ac:dyDescent="0.6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23.4" x14ac:dyDescent="0.6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23.4" x14ac:dyDescent="0.6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23.4" x14ac:dyDescent="0.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23.4" x14ac:dyDescent="0.6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23.4" x14ac:dyDescent="0.6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23.4" x14ac:dyDescent="0.6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23.4" x14ac:dyDescent="0.6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23.4" x14ac:dyDescent="0.6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23.4" x14ac:dyDescent="0.6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23.4" x14ac:dyDescent="0.6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23.4" x14ac:dyDescent="0.6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23.4" x14ac:dyDescent="0.6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23.4" x14ac:dyDescent="0.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23.4" x14ac:dyDescent="0.6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23.4" x14ac:dyDescent="0.6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23.4" x14ac:dyDescent="0.6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23.4" x14ac:dyDescent="0.6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23.4" x14ac:dyDescent="0.6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23.4" x14ac:dyDescent="0.6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23.4" x14ac:dyDescent="0.6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23.4" x14ac:dyDescent="0.6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23.4" x14ac:dyDescent="0.6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23.4" x14ac:dyDescent="0.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23.4" x14ac:dyDescent="0.6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23.4" x14ac:dyDescent="0.6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23.4" x14ac:dyDescent="0.6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23.4" x14ac:dyDescent="0.6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23.4" x14ac:dyDescent="0.6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23.4" x14ac:dyDescent="0.6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23.4" x14ac:dyDescent="0.6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23.4" x14ac:dyDescent="0.6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23.4" x14ac:dyDescent="0.6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23.4" x14ac:dyDescent="0.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23.4" x14ac:dyDescent="0.6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23.4" x14ac:dyDescent="0.6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23.4" x14ac:dyDescent="0.6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23.4" x14ac:dyDescent="0.6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23.4" x14ac:dyDescent="0.6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23.4" x14ac:dyDescent="0.6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23.4" x14ac:dyDescent="0.6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23.4" x14ac:dyDescent="0.6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23.4" x14ac:dyDescent="0.6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23.4" x14ac:dyDescent="0.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23.4" x14ac:dyDescent="0.6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23.4" x14ac:dyDescent="0.6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23.4" x14ac:dyDescent="0.6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23.4" x14ac:dyDescent="0.6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23.4" x14ac:dyDescent="0.6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23.4" x14ac:dyDescent="0.6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23.4" x14ac:dyDescent="0.6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23.4" x14ac:dyDescent="0.6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23.4" x14ac:dyDescent="0.6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23.4" x14ac:dyDescent="0.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23.4" x14ac:dyDescent="0.6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23.4" x14ac:dyDescent="0.6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23.4" x14ac:dyDescent="0.6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23.4" x14ac:dyDescent="0.6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23.4" x14ac:dyDescent="0.6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23.4" x14ac:dyDescent="0.6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23.4" x14ac:dyDescent="0.6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23.4" x14ac:dyDescent="0.6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23.4" x14ac:dyDescent="0.6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23.4" x14ac:dyDescent="0.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23.4" x14ac:dyDescent="0.6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23.4" x14ac:dyDescent="0.6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23.4" x14ac:dyDescent="0.6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23.4" x14ac:dyDescent="0.6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23.4" x14ac:dyDescent="0.6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23.4" x14ac:dyDescent="0.6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23.4" x14ac:dyDescent="0.6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23.4" x14ac:dyDescent="0.6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23.4" x14ac:dyDescent="0.6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23.4" x14ac:dyDescent="0.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23.4" x14ac:dyDescent="0.6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23.4" x14ac:dyDescent="0.6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23.4" x14ac:dyDescent="0.6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23.4" x14ac:dyDescent="0.6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23.4" x14ac:dyDescent="0.6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23.4" x14ac:dyDescent="0.6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23.4" x14ac:dyDescent="0.6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23.4" x14ac:dyDescent="0.6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23.4" x14ac:dyDescent="0.6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23.4" x14ac:dyDescent="0.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23.4" x14ac:dyDescent="0.6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23.4" x14ac:dyDescent="0.6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23.4" x14ac:dyDescent="0.6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23.4" x14ac:dyDescent="0.6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23.4" x14ac:dyDescent="0.6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23.4" x14ac:dyDescent="0.6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23.4" x14ac:dyDescent="0.6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23.4" x14ac:dyDescent="0.6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23.4" x14ac:dyDescent="0.6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23.4" x14ac:dyDescent="0.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23.4" x14ac:dyDescent="0.6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23.4" x14ac:dyDescent="0.6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23.4" x14ac:dyDescent="0.6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23.4" x14ac:dyDescent="0.6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23.4" x14ac:dyDescent="0.6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23.4" x14ac:dyDescent="0.6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23.4" x14ac:dyDescent="0.6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23.4" x14ac:dyDescent="0.6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23.4" x14ac:dyDescent="0.6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23.4" x14ac:dyDescent="0.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23.4" x14ac:dyDescent="0.6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23.4" x14ac:dyDescent="0.6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23.4" x14ac:dyDescent="0.6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23.4" x14ac:dyDescent="0.6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23.4" x14ac:dyDescent="0.6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23.4" x14ac:dyDescent="0.6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23.4" x14ac:dyDescent="0.6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23.4" x14ac:dyDescent="0.6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23.4" x14ac:dyDescent="0.6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23.4" x14ac:dyDescent="0.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23.4" x14ac:dyDescent="0.6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23.4" x14ac:dyDescent="0.6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23.4" x14ac:dyDescent="0.6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23.4" x14ac:dyDescent="0.6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23.4" x14ac:dyDescent="0.6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23.4" x14ac:dyDescent="0.6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23.4" x14ac:dyDescent="0.6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23.4" x14ac:dyDescent="0.6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23.4" x14ac:dyDescent="0.6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23.4" x14ac:dyDescent="0.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23.4" x14ac:dyDescent="0.6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23.4" x14ac:dyDescent="0.6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23.4" x14ac:dyDescent="0.6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23.4" x14ac:dyDescent="0.6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23.4" x14ac:dyDescent="0.6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23.4" x14ac:dyDescent="0.6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23.4" x14ac:dyDescent="0.6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23.4" x14ac:dyDescent="0.6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23.4" x14ac:dyDescent="0.6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23.4" x14ac:dyDescent="0.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23.4" x14ac:dyDescent="0.6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23.4" x14ac:dyDescent="0.6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23.4" x14ac:dyDescent="0.6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23.4" x14ac:dyDescent="0.6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23.4" x14ac:dyDescent="0.6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23.4" x14ac:dyDescent="0.6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23.4" x14ac:dyDescent="0.6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23.4" x14ac:dyDescent="0.6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23.4" x14ac:dyDescent="0.6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23.4" x14ac:dyDescent="0.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23.4" x14ac:dyDescent="0.6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23.4" x14ac:dyDescent="0.6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23.4" x14ac:dyDescent="0.6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23.4" x14ac:dyDescent="0.6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23.4" x14ac:dyDescent="0.6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23.4" x14ac:dyDescent="0.6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23.4" x14ac:dyDescent="0.6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23.4" x14ac:dyDescent="0.6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23.4" x14ac:dyDescent="0.6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23.4" x14ac:dyDescent="0.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23.4" x14ac:dyDescent="0.6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23.4" x14ac:dyDescent="0.6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23.4" x14ac:dyDescent="0.6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23.4" x14ac:dyDescent="0.6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23.4" x14ac:dyDescent="0.6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23.4" x14ac:dyDescent="0.6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23.4" x14ac:dyDescent="0.6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23.4" x14ac:dyDescent="0.6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23.4" x14ac:dyDescent="0.6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23.4" x14ac:dyDescent="0.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23.4" x14ac:dyDescent="0.6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23.4" x14ac:dyDescent="0.6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23.4" x14ac:dyDescent="0.6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23.4" x14ac:dyDescent="0.6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23.4" x14ac:dyDescent="0.6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23.4" x14ac:dyDescent="0.6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23.4" x14ac:dyDescent="0.6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23.4" x14ac:dyDescent="0.6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23.4" x14ac:dyDescent="0.6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23.4" x14ac:dyDescent="0.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23.4" x14ac:dyDescent="0.6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23.4" x14ac:dyDescent="0.6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23.4" x14ac:dyDescent="0.6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23.4" x14ac:dyDescent="0.6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23.4" x14ac:dyDescent="0.6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23.4" x14ac:dyDescent="0.6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23.4" x14ac:dyDescent="0.6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23.4" x14ac:dyDescent="0.6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23.4" x14ac:dyDescent="0.6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23.4" x14ac:dyDescent="0.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23.4" x14ac:dyDescent="0.6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23.4" x14ac:dyDescent="0.6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23.4" x14ac:dyDescent="0.6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23.4" x14ac:dyDescent="0.6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23.4" x14ac:dyDescent="0.6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23.4" x14ac:dyDescent="0.6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23.4" x14ac:dyDescent="0.6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23.4" x14ac:dyDescent="0.6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23.4" x14ac:dyDescent="0.6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23.4" x14ac:dyDescent="0.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23.4" x14ac:dyDescent="0.6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23.4" x14ac:dyDescent="0.6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23.4" x14ac:dyDescent="0.6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23.4" x14ac:dyDescent="0.6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23.4" x14ac:dyDescent="0.6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23.4" x14ac:dyDescent="0.6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23.4" x14ac:dyDescent="0.6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23.4" x14ac:dyDescent="0.6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23.4" x14ac:dyDescent="0.6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23.4" x14ac:dyDescent="0.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23.4" x14ac:dyDescent="0.6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23.4" x14ac:dyDescent="0.6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23.4" x14ac:dyDescent="0.6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23.4" x14ac:dyDescent="0.6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23.4" x14ac:dyDescent="0.6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23.4" x14ac:dyDescent="0.6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23.4" x14ac:dyDescent="0.6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23.4" x14ac:dyDescent="0.6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23.4" x14ac:dyDescent="0.6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23.4" x14ac:dyDescent="0.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23.4" x14ac:dyDescent="0.6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23.4" x14ac:dyDescent="0.6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23.4" x14ac:dyDescent="0.6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23.4" x14ac:dyDescent="0.6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23.4" x14ac:dyDescent="0.6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23.4" x14ac:dyDescent="0.6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23.4" x14ac:dyDescent="0.6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23.4" x14ac:dyDescent="0.6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23.4" x14ac:dyDescent="0.6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23.4" x14ac:dyDescent="0.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23.4" x14ac:dyDescent="0.6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23.4" x14ac:dyDescent="0.6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23.4" x14ac:dyDescent="0.6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23.4" x14ac:dyDescent="0.6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23.4" x14ac:dyDescent="0.6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23.4" x14ac:dyDescent="0.6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23.4" x14ac:dyDescent="0.6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23.4" x14ac:dyDescent="0.6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23.4" x14ac:dyDescent="0.6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23.4" x14ac:dyDescent="0.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23.4" x14ac:dyDescent="0.6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23.4" x14ac:dyDescent="0.6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23.4" x14ac:dyDescent="0.6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23.4" x14ac:dyDescent="0.6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23.4" x14ac:dyDescent="0.6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23.4" x14ac:dyDescent="0.6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23.4" x14ac:dyDescent="0.6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23.4" x14ac:dyDescent="0.6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23.4" x14ac:dyDescent="0.6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23.4" x14ac:dyDescent="0.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23.4" x14ac:dyDescent="0.6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23.4" x14ac:dyDescent="0.6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23.4" x14ac:dyDescent="0.6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23.4" x14ac:dyDescent="0.6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23.4" x14ac:dyDescent="0.6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23.4" x14ac:dyDescent="0.6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23.4" x14ac:dyDescent="0.6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23.4" x14ac:dyDescent="0.6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23.4" x14ac:dyDescent="0.6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23.4" x14ac:dyDescent="0.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23.4" x14ac:dyDescent="0.6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23.4" x14ac:dyDescent="0.6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23.4" x14ac:dyDescent="0.6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23.4" x14ac:dyDescent="0.6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23.4" x14ac:dyDescent="0.6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23.4" x14ac:dyDescent="0.6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23.4" x14ac:dyDescent="0.6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23.4" x14ac:dyDescent="0.6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23.4" x14ac:dyDescent="0.6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23.4" x14ac:dyDescent="0.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23.4" x14ac:dyDescent="0.6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23.4" x14ac:dyDescent="0.6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23.4" x14ac:dyDescent="0.6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23.4" x14ac:dyDescent="0.6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23.4" x14ac:dyDescent="0.6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23.4" x14ac:dyDescent="0.6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23.4" x14ac:dyDescent="0.6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23.4" x14ac:dyDescent="0.6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23.4" x14ac:dyDescent="0.6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23.4" x14ac:dyDescent="0.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23.4" x14ac:dyDescent="0.6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23.4" x14ac:dyDescent="0.6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23.4" x14ac:dyDescent="0.6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23.4" x14ac:dyDescent="0.6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23.4" x14ac:dyDescent="0.6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23.4" x14ac:dyDescent="0.6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23.4" x14ac:dyDescent="0.6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23.4" x14ac:dyDescent="0.6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23.4" x14ac:dyDescent="0.6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23.4" x14ac:dyDescent="0.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23.4" x14ac:dyDescent="0.6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23.4" x14ac:dyDescent="0.6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23.4" x14ac:dyDescent="0.6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23.4" x14ac:dyDescent="0.6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23.4" x14ac:dyDescent="0.6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23.4" x14ac:dyDescent="0.6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23.4" x14ac:dyDescent="0.6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23.4" x14ac:dyDescent="0.6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23.4" x14ac:dyDescent="0.6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23.4" x14ac:dyDescent="0.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23.4" x14ac:dyDescent="0.6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23.4" x14ac:dyDescent="0.6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23.4" x14ac:dyDescent="0.6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23.4" x14ac:dyDescent="0.6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23.4" x14ac:dyDescent="0.6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23.4" x14ac:dyDescent="0.6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23.4" x14ac:dyDescent="0.6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23.4" x14ac:dyDescent="0.6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23.4" x14ac:dyDescent="0.6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23.4" x14ac:dyDescent="0.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23.4" x14ac:dyDescent="0.6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23.4" x14ac:dyDescent="0.6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23.4" x14ac:dyDescent="0.6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23.4" x14ac:dyDescent="0.6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23.4" x14ac:dyDescent="0.6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23.4" x14ac:dyDescent="0.6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23.4" x14ac:dyDescent="0.6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23.4" x14ac:dyDescent="0.6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23.4" x14ac:dyDescent="0.6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23.4" x14ac:dyDescent="0.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23.4" x14ac:dyDescent="0.6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23.4" x14ac:dyDescent="0.6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23.4" x14ac:dyDescent="0.6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23.4" x14ac:dyDescent="0.6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23.4" x14ac:dyDescent="0.6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23.4" x14ac:dyDescent="0.6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23.4" x14ac:dyDescent="0.6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23.4" x14ac:dyDescent="0.6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23.4" x14ac:dyDescent="0.6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23.4" x14ac:dyDescent="0.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23.4" x14ac:dyDescent="0.6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23.4" x14ac:dyDescent="0.6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23.4" x14ac:dyDescent="0.6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23.4" x14ac:dyDescent="0.6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23.4" x14ac:dyDescent="0.6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23.4" x14ac:dyDescent="0.6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23.4" x14ac:dyDescent="0.6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23.4" x14ac:dyDescent="0.6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23.4" x14ac:dyDescent="0.6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23.4" x14ac:dyDescent="0.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23.4" x14ac:dyDescent="0.6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23.4" x14ac:dyDescent="0.6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23.4" x14ac:dyDescent="0.6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23.4" x14ac:dyDescent="0.6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23.4" x14ac:dyDescent="0.6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23.4" x14ac:dyDescent="0.6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23.4" x14ac:dyDescent="0.6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23.4" x14ac:dyDescent="0.6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23.4" x14ac:dyDescent="0.6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23.4" x14ac:dyDescent="0.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23.4" x14ac:dyDescent="0.6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23.4" x14ac:dyDescent="0.6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23.4" x14ac:dyDescent="0.6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23.4" x14ac:dyDescent="0.6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23.4" x14ac:dyDescent="0.6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23.4" x14ac:dyDescent="0.6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23.4" x14ac:dyDescent="0.6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23.4" x14ac:dyDescent="0.6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23.4" x14ac:dyDescent="0.6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23.4" x14ac:dyDescent="0.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23.4" x14ac:dyDescent="0.6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23.4" x14ac:dyDescent="0.6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23.4" x14ac:dyDescent="0.6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23.4" x14ac:dyDescent="0.6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23.4" x14ac:dyDescent="0.6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23.4" x14ac:dyDescent="0.6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23.4" x14ac:dyDescent="0.6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23.4" x14ac:dyDescent="0.6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23.4" x14ac:dyDescent="0.6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23.4" x14ac:dyDescent="0.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23.4" x14ac:dyDescent="0.6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23.4" x14ac:dyDescent="0.6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23.4" x14ac:dyDescent="0.6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23.4" x14ac:dyDescent="0.6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23.4" x14ac:dyDescent="0.6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23.4" x14ac:dyDescent="0.6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23.4" x14ac:dyDescent="0.6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23.4" x14ac:dyDescent="0.6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23.4" x14ac:dyDescent="0.6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23.4" x14ac:dyDescent="0.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23.4" x14ac:dyDescent="0.6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23.4" x14ac:dyDescent="0.6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23.4" x14ac:dyDescent="0.6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23.4" x14ac:dyDescent="0.6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23.4" x14ac:dyDescent="0.6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23.4" x14ac:dyDescent="0.6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23.4" x14ac:dyDescent="0.6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23.4" x14ac:dyDescent="0.6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23.4" x14ac:dyDescent="0.6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23.4" x14ac:dyDescent="0.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23.4" x14ac:dyDescent="0.6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23.4" x14ac:dyDescent="0.6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23.4" x14ac:dyDescent="0.6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23.4" x14ac:dyDescent="0.6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23.4" x14ac:dyDescent="0.6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23.4" x14ac:dyDescent="0.6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23.4" x14ac:dyDescent="0.6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23.4" x14ac:dyDescent="0.6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23.4" x14ac:dyDescent="0.6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23.4" x14ac:dyDescent="0.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23.4" x14ac:dyDescent="0.6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23.4" x14ac:dyDescent="0.6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23.4" x14ac:dyDescent="0.6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23.4" x14ac:dyDescent="0.6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23.4" x14ac:dyDescent="0.6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23.4" x14ac:dyDescent="0.6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23.4" x14ac:dyDescent="0.6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23.4" x14ac:dyDescent="0.6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23.4" x14ac:dyDescent="0.6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23.4" x14ac:dyDescent="0.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23.4" x14ac:dyDescent="0.6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23.4" x14ac:dyDescent="0.6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23.4" x14ac:dyDescent="0.6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23.4" x14ac:dyDescent="0.6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23.4" x14ac:dyDescent="0.6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23.4" x14ac:dyDescent="0.6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23.4" x14ac:dyDescent="0.6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23.4" x14ac:dyDescent="0.6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23.4" x14ac:dyDescent="0.6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23.4" x14ac:dyDescent="0.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23.4" x14ac:dyDescent="0.6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23.4" x14ac:dyDescent="0.6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23.4" x14ac:dyDescent="0.6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23.4" x14ac:dyDescent="0.6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23.4" x14ac:dyDescent="0.6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23.4" x14ac:dyDescent="0.6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23.4" x14ac:dyDescent="0.6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23.4" x14ac:dyDescent="0.6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23.4" x14ac:dyDescent="0.6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23.4" x14ac:dyDescent="0.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23.4" x14ac:dyDescent="0.6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23.4" x14ac:dyDescent="0.6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23.4" x14ac:dyDescent="0.6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23.4" x14ac:dyDescent="0.6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23.4" x14ac:dyDescent="0.6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23.4" x14ac:dyDescent="0.6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23.4" x14ac:dyDescent="0.6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23.4" x14ac:dyDescent="0.6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23.4" x14ac:dyDescent="0.6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23.4" x14ac:dyDescent="0.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23.4" x14ac:dyDescent="0.6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23.4" x14ac:dyDescent="0.6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23.4" x14ac:dyDescent="0.6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23.4" x14ac:dyDescent="0.6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23.4" x14ac:dyDescent="0.6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23.4" x14ac:dyDescent="0.6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23.4" x14ac:dyDescent="0.6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23.4" x14ac:dyDescent="0.6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23.4" x14ac:dyDescent="0.6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23.4" x14ac:dyDescent="0.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23.4" x14ac:dyDescent="0.6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23.4" x14ac:dyDescent="0.6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23.4" x14ac:dyDescent="0.6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23.4" x14ac:dyDescent="0.6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23.4" x14ac:dyDescent="0.6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23.4" x14ac:dyDescent="0.6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23.4" x14ac:dyDescent="0.6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23.4" x14ac:dyDescent="0.6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23.4" x14ac:dyDescent="0.6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23.4" x14ac:dyDescent="0.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23.4" x14ac:dyDescent="0.6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23.4" x14ac:dyDescent="0.6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23.4" x14ac:dyDescent="0.6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23.4" x14ac:dyDescent="0.6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23.4" x14ac:dyDescent="0.6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23.4" x14ac:dyDescent="0.6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23.4" x14ac:dyDescent="0.6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23.4" x14ac:dyDescent="0.6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23.4" x14ac:dyDescent="0.6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23.4" x14ac:dyDescent="0.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23.4" x14ac:dyDescent="0.6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23.4" x14ac:dyDescent="0.6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23.4" x14ac:dyDescent="0.6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23.4" x14ac:dyDescent="0.6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23.4" x14ac:dyDescent="0.6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23.4" x14ac:dyDescent="0.6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23.4" x14ac:dyDescent="0.6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23.4" x14ac:dyDescent="0.6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23.4" x14ac:dyDescent="0.6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23.4" x14ac:dyDescent="0.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23.4" x14ac:dyDescent="0.6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23.4" x14ac:dyDescent="0.6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23.4" x14ac:dyDescent="0.6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23.4" x14ac:dyDescent="0.6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23.4" x14ac:dyDescent="0.6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23.4" x14ac:dyDescent="0.6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23.4" x14ac:dyDescent="0.6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23.4" x14ac:dyDescent="0.6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23.4" x14ac:dyDescent="0.6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23.4" x14ac:dyDescent="0.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23.4" x14ac:dyDescent="0.6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23.4" x14ac:dyDescent="0.6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23.4" x14ac:dyDescent="0.6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23.4" x14ac:dyDescent="0.6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23.4" x14ac:dyDescent="0.6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23.4" x14ac:dyDescent="0.6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23.4" x14ac:dyDescent="0.6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23.4" x14ac:dyDescent="0.6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23.4" x14ac:dyDescent="0.6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23.4" x14ac:dyDescent="0.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23.4" x14ac:dyDescent="0.6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23.4" x14ac:dyDescent="0.6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23.4" x14ac:dyDescent="0.6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23.4" x14ac:dyDescent="0.6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23.4" x14ac:dyDescent="0.6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23.4" x14ac:dyDescent="0.6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23.4" x14ac:dyDescent="0.6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23.4" x14ac:dyDescent="0.6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23.4" x14ac:dyDescent="0.6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23.4" x14ac:dyDescent="0.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23.4" x14ac:dyDescent="0.6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23.4" x14ac:dyDescent="0.6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23.4" x14ac:dyDescent="0.6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23.4" x14ac:dyDescent="0.6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23.4" x14ac:dyDescent="0.6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23.4" x14ac:dyDescent="0.6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23.4" x14ac:dyDescent="0.6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23.4" x14ac:dyDescent="0.6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23.4" x14ac:dyDescent="0.6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23.4" x14ac:dyDescent="0.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23.4" x14ac:dyDescent="0.6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23.4" x14ac:dyDescent="0.6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23.4" x14ac:dyDescent="0.6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23.4" x14ac:dyDescent="0.6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23.4" x14ac:dyDescent="0.6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23.4" x14ac:dyDescent="0.6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23.4" x14ac:dyDescent="0.6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23.4" x14ac:dyDescent="0.6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23.4" x14ac:dyDescent="0.6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23.4" x14ac:dyDescent="0.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23.4" x14ac:dyDescent="0.6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23.4" x14ac:dyDescent="0.6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23.4" x14ac:dyDescent="0.6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23.4" x14ac:dyDescent="0.6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23.4" x14ac:dyDescent="0.6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23.4" x14ac:dyDescent="0.6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23.4" x14ac:dyDescent="0.6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23.4" x14ac:dyDescent="0.6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23.4" x14ac:dyDescent="0.6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23.4" x14ac:dyDescent="0.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23.4" x14ac:dyDescent="0.6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23.4" x14ac:dyDescent="0.6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23.4" x14ac:dyDescent="0.6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23.4" x14ac:dyDescent="0.6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23.4" x14ac:dyDescent="0.6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23.4" x14ac:dyDescent="0.6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23.4" x14ac:dyDescent="0.6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23.4" x14ac:dyDescent="0.6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23.4" x14ac:dyDescent="0.6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23.4" x14ac:dyDescent="0.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23.4" x14ac:dyDescent="0.6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23.4" x14ac:dyDescent="0.6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23.4" x14ac:dyDescent="0.6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23.4" x14ac:dyDescent="0.6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23.4" x14ac:dyDescent="0.6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23.4" x14ac:dyDescent="0.6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23.4" x14ac:dyDescent="0.6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23.4" x14ac:dyDescent="0.6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23.4" x14ac:dyDescent="0.6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23.4" x14ac:dyDescent="0.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23.4" x14ac:dyDescent="0.6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23.4" x14ac:dyDescent="0.6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23.4" x14ac:dyDescent="0.6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23.4" x14ac:dyDescent="0.6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23.4" x14ac:dyDescent="0.6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23.4" x14ac:dyDescent="0.6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23.4" x14ac:dyDescent="0.6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23.4" x14ac:dyDescent="0.6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23.4" x14ac:dyDescent="0.6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23.4" x14ac:dyDescent="0.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23.4" x14ac:dyDescent="0.6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23.4" x14ac:dyDescent="0.6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23.4" x14ac:dyDescent="0.6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23.4" x14ac:dyDescent="0.6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23.4" x14ac:dyDescent="0.6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23.4" x14ac:dyDescent="0.6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23.4" x14ac:dyDescent="0.6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23.4" x14ac:dyDescent="0.6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23.4" x14ac:dyDescent="0.6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23.4" x14ac:dyDescent="0.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23.4" x14ac:dyDescent="0.6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23.4" x14ac:dyDescent="0.6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23.4" x14ac:dyDescent="0.6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23.4" x14ac:dyDescent="0.6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23.4" x14ac:dyDescent="0.6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23.4" x14ac:dyDescent="0.6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23.4" x14ac:dyDescent="0.6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23.4" x14ac:dyDescent="0.6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23.4" x14ac:dyDescent="0.6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23.4" x14ac:dyDescent="0.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23.4" x14ac:dyDescent="0.6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23.4" x14ac:dyDescent="0.6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23.4" x14ac:dyDescent="0.6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23.4" x14ac:dyDescent="0.6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23.4" x14ac:dyDescent="0.6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23.4" x14ac:dyDescent="0.6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23.4" x14ac:dyDescent="0.6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23.4" x14ac:dyDescent="0.6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23.4" x14ac:dyDescent="0.6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23.4" x14ac:dyDescent="0.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23.4" x14ac:dyDescent="0.6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23.4" x14ac:dyDescent="0.6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23.4" x14ac:dyDescent="0.6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23.4" x14ac:dyDescent="0.6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23.4" x14ac:dyDescent="0.6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23.4" x14ac:dyDescent="0.6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23.4" x14ac:dyDescent="0.6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23.4" x14ac:dyDescent="0.6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23.4" x14ac:dyDescent="0.6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23.4" x14ac:dyDescent="0.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23.4" x14ac:dyDescent="0.6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23.4" x14ac:dyDescent="0.6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23.4" x14ac:dyDescent="0.6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23.4" x14ac:dyDescent="0.6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23.4" x14ac:dyDescent="0.6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23.4" x14ac:dyDescent="0.6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23.4" x14ac:dyDescent="0.6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23.4" x14ac:dyDescent="0.6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23.4" x14ac:dyDescent="0.6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23.4" x14ac:dyDescent="0.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23.4" x14ac:dyDescent="0.6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23.4" x14ac:dyDescent="0.6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23.4" x14ac:dyDescent="0.6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23.4" x14ac:dyDescent="0.6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23.4" x14ac:dyDescent="0.6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23.4" x14ac:dyDescent="0.6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23.4" x14ac:dyDescent="0.6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23.4" x14ac:dyDescent="0.6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23.4" x14ac:dyDescent="0.6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23.4" x14ac:dyDescent="0.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23.4" x14ac:dyDescent="0.6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23.4" x14ac:dyDescent="0.6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23.4" x14ac:dyDescent="0.6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23.4" x14ac:dyDescent="0.6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23.4" x14ac:dyDescent="0.6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23.4" x14ac:dyDescent="0.6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23.4" x14ac:dyDescent="0.6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23.4" x14ac:dyDescent="0.6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23.4" x14ac:dyDescent="0.6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23.4" x14ac:dyDescent="0.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23.4" x14ac:dyDescent="0.6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23.4" x14ac:dyDescent="0.6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23.4" x14ac:dyDescent="0.6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23.4" x14ac:dyDescent="0.6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23.4" x14ac:dyDescent="0.6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23.4" x14ac:dyDescent="0.6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23.4" x14ac:dyDescent="0.6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23.4" x14ac:dyDescent="0.6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23.4" x14ac:dyDescent="0.6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23.4" x14ac:dyDescent="0.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23.4" x14ac:dyDescent="0.6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23.4" x14ac:dyDescent="0.6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23.4" x14ac:dyDescent="0.6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23.4" x14ac:dyDescent="0.6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23.4" x14ac:dyDescent="0.6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23.4" x14ac:dyDescent="0.6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23.4" x14ac:dyDescent="0.6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23.4" x14ac:dyDescent="0.6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23.4" x14ac:dyDescent="0.6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23.4" x14ac:dyDescent="0.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23.4" x14ac:dyDescent="0.6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23.4" x14ac:dyDescent="0.6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23.4" x14ac:dyDescent="0.6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23.4" x14ac:dyDescent="0.6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23.4" x14ac:dyDescent="0.6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23.4" x14ac:dyDescent="0.6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23.4" x14ac:dyDescent="0.6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23.4" x14ac:dyDescent="0.6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23.4" x14ac:dyDescent="0.6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23.4" x14ac:dyDescent="0.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23.4" x14ac:dyDescent="0.6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23.4" x14ac:dyDescent="0.6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23.4" x14ac:dyDescent="0.6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23.4" x14ac:dyDescent="0.6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23.4" x14ac:dyDescent="0.6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23.4" x14ac:dyDescent="0.6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23.4" x14ac:dyDescent="0.6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23.4" x14ac:dyDescent="0.6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23.4" x14ac:dyDescent="0.6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23.4" x14ac:dyDescent="0.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23.4" x14ac:dyDescent="0.6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23.4" x14ac:dyDescent="0.6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23.4" x14ac:dyDescent="0.6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23.4" x14ac:dyDescent="0.6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23.4" x14ac:dyDescent="0.6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23.4" x14ac:dyDescent="0.6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23.4" x14ac:dyDescent="0.6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23.4" x14ac:dyDescent="0.6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23.4" x14ac:dyDescent="0.6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23.4" x14ac:dyDescent="0.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23.4" x14ac:dyDescent="0.6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23.4" x14ac:dyDescent="0.6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23.4" x14ac:dyDescent="0.6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23.4" x14ac:dyDescent="0.6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23.4" x14ac:dyDescent="0.6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23.4" x14ac:dyDescent="0.6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23.4" x14ac:dyDescent="0.6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23.4" x14ac:dyDescent="0.6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23.4" x14ac:dyDescent="0.6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23.4" x14ac:dyDescent="0.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23.4" x14ac:dyDescent="0.6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23.4" x14ac:dyDescent="0.6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23.4" x14ac:dyDescent="0.6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23.4" x14ac:dyDescent="0.6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23.4" x14ac:dyDescent="0.6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23.4" x14ac:dyDescent="0.6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23.4" x14ac:dyDescent="0.6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23.4" x14ac:dyDescent="0.6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23.4" x14ac:dyDescent="0.6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23.4" x14ac:dyDescent="0.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23.4" x14ac:dyDescent="0.6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23.4" x14ac:dyDescent="0.6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23.4" x14ac:dyDescent="0.6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23.4" x14ac:dyDescent="0.6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23.4" x14ac:dyDescent="0.6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23.4" x14ac:dyDescent="0.6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23.4" x14ac:dyDescent="0.6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23.4" x14ac:dyDescent="0.6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23.4" x14ac:dyDescent="0.6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23.4" x14ac:dyDescent="0.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23.4" x14ac:dyDescent="0.6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23.4" x14ac:dyDescent="0.6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23.4" x14ac:dyDescent="0.6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23.4" x14ac:dyDescent="0.6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23.4" x14ac:dyDescent="0.6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23.4" x14ac:dyDescent="0.6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23.4" x14ac:dyDescent="0.6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23.4" x14ac:dyDescent="0.6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23.4" x14ac:dyDescent="0.6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23.4" x14ac:dyDescent="0.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23.4" x14ac:dyDescent="0.6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23.4" x14ac:dyDescent="0.6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23.4" x14ac:dyDescent="0.6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23.4" x14ac:dyDescent="0.6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23.4" x14ac:dyDescent="0.6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23.4" x14ac:dyDescent="0.6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23.4" x14ac:dyDescent="0.6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23.4" x14ac:dyDescent="0.6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23.4" x14ac:dyDescent="0.6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23.4" x14ac:dyDescent="0.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23.4" x14ac:dyDescent="0.6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23.4" x14ac:dyDescent="0.6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23.4" x14ac:dyDescent="0.6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23.4" x14ac:dyDescent="0.6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F36"/>
  <sheetViews>
    <sheetView workbookViewId="0">
      <pane xSplit="1" ySplit="4" topLeftCell="B23" activePane="bottomRight" state="frozen"/>
      <selection activeCell="M4" sqref="M4"/>
      <selection pane="topRight" activeCell="M4" sqref="M4"/>
      <selection pane="bottomLeft" activeCell="M4" sqref="M4"/>
      <selection pane="bottomRight" activeCell="I6" sqref="I6"/>
    </sheetView>
  </sheetViews>
  <sheetFormatPr defaultColWidth="14.44140625" defaultRowHeight="14.4" x14ac:dyDescent="0.3"/>
  <cols>
    <col min="1" max="1" width="12.44140625" customWidth="1"/>
    <col min="2" max="2" width="6.6640625" bestFit="1" customWidth="1"/>
    <col min="3" max="3" width="6.77734375" bestFit="1" customWidth="1"/>
    <col min="4" max="4" width="6.21875" bestFit="1" customWidth="1"/>
    <col min="5" max="5" width="4.109375" bestFit="1" customWidth="1"/>
    <col min="6" max="6" width="5.77734375" bestFit="1" customWidth="1"/>
    <col min="7" max="26" width="8.6640625" customWidth="1"/>
  </cols>
  <sheetData>
    <row r="1" spans="1:5" ht="32.4" x14ac:dyDescent="0.85">
      <c r="A1" s="42" t="s">
        <v>99</v>
      </c>
    </row>
    <row r="2" spans="1:5" x14ac:dyDescent="0.3">
      <c r="A2" s="139" t="s">
        <v>100</v>
      </c>
      <c r="B2" s="123"/>
      <c r="C2" s="123"/>
      <c r="D2" s="123"/>
      <c r="E2" s="124"/>
    </row>
    <row r="3" spans="1:5" ht="18" x14ac:dyDescent="0.6">
      <c r="A3" s="140" t="s">
        <v>0</v>
      </c>
      <c r="B3" s="141" t="s">
        <v>101</v>
      </c>
      <c r="C3" s="123"/>
      <c r="D3" s="123"/>
      <c r="E3" s="124"/>
    </row>
    <row r="4" spans="1:5" ht="23.4" x14ac:dyDescent="0.6">
      <c r="A4" s="128"/>
      <c r="B4" s="52" t="s">
        <v>5</v>
      </c>
      <c r="C4" s="53" t="s">
        <v>7</v>
      </c>
      <c r="D4" s="54" t="s">
        <v>9</v>
      </c>
      <c r="E4" s="55" t="s">
        <v>13</v>
      </c>
    </row>
    <row r="5" spans="1:5" ht="23.4" x14ac:dyDescent="0.6">
      <c r="A5" s="56">
        <v>1</v>
      </c>
      <c r="B5" s="11"/>
      <c r="C5" s="11"/>
      <c r="D5" s="11"/>
      <c r="E5" s="11"/>
    </row>
    <row r="6" spans="1:5" ht="23.4" x14ac:dyDescent="0.6">
      <c r="A6" s="56">
        <v>2</v>
      </c>
      <c r="B6" s="11"/>
      <c r="C6" s="11"/>
      <c r="D6" s="11"/>
      <c r="E6" s="11"/>
    </row>
    <row r="7" spans="1:5" ht="23.4" x14ac:dyDescent="0.6">
      <c r="A7" s="56">
        <v>3</v>
      </c>
      <c r="B7" s="10"/>
      <c r="C7" s="11"/>
      <c r="D7" s="11">
        <v>1</v>
      </c>
      <c r="E7" s="11"/>
    </row>
    <row r="8" spans="1:5" ht="23.4" x14ac:dyDescent="0.6">
      <c r="A8" s="56">
        <v>4</v>
      </c>
      <c r="B8" s="11"/>
      <c r="C8" s="11">
        <v>1</v>
      </c>
      <c r="D8" s="11">
        <v>6</v>
      </c>
      <c r="E8" s="11"/>
    </row>
    <row r="9" spans="1:5" ht="23.4" x14ac:dyDescent="0.6">
      <c r="A9" s="56">
        <v>5</v>
      </c>
      <c r="B9" s="11"/>
      <c r="C9" s="10"/>
      <c r="D9" s="10">
        <v>5</v>
      </c>
      <c r="E9" s="10"/>
    </row>
    <row r="10" spans="1:5" ht="23.4" x14ac:dyDescent="0.6">
      <c r="A10" s="56">
        <v>6</v>
      </c>
      <c r="B10" s="11"/>
      <c r="C10" s="11"/>
      <c r="D10" s="11">
        <v>4</v>
      </c>
      <c r="E10" s="11"/>
    </row>
    <row r="11" spans="1:5" ht="23.4" x14ac:dyDescent="0.6">
      <c r="A11" s="56">
        <v>7</v>
      </c>
      <c r="B11" s="11">
        <v>1</v>
      </c>
      <c r="C11" s="11"/>
      <c r="D11" s="11">
        <v>1</v>
      </c>
      <c r="E11" s="10"/>
    </row>
    <row r="12" spans="1:5" ht="23.4" x14ac:dyDescent="0.6">
      <c r="A12" s="56">
        <v>8</v>
      </c>
      <c r="B12" s="11">
        <v>1</v>
      </c>
      <c r="C12" s="11"/>
      <c r="D12" s="11">
        <v>3</v>
      </c>
      <c r="E12" s="11"/>
    </row>
    <row r="13" spans="1:5" ht="23.4" x14ac:dyDescent="0.6">
      <c r="A13" s="56">
        <v>9</v>
      </c>
      <c r="B13" s="11"/>
      <c r="C13" s="11"/>
      <c r="D13" s="11"/>
      <c r="E13" s="11"/>
    </row>
    <row r="14" spans="1:5" ht="23.4" x14ac:dyDescent="0.6">
      <c r="A14" s="56">
        <v>10</v>
      </c>
      <c r="B14" s="11"/>
      <c r="C14" s="11"/>
      <c r="D14" s="11">
        <v>1</v>
      </c>
      <c r="E14" s="11"/>
    </row>
    <row r="15" spans="1:5" ht="23.4" x14ac:dyDescent="0.6">
      <c r="A15" s="56">
        <v>11</v>
      </c>
      <c r="B15" s="11">
        <v>1</v>
      </c>
      <c r="C15" s="11">
        <v>2</v>
      </c>
      <c r="D15" s="11">
        <v>3</v>
      </c>
      <c r="E15" s="11">
        <v>1</v>
      </c>
    </row>
    <row r="16" spans="1:5" ht="23.4" x14ac:dyDescent="0.6">
      <c r="A16" s="56">
        <v>12</v>
      </c>
      <c r="B16" s="11">
        <v>1</v>
      </c>
      <c r="C16" s="11"/>
      <c r="D16" s="11">
        <v>1</v>
      </c>
      <c r="E16" s="11"/>
    </row>
    <row r="17" spans="1:5" ht="23.4" x14ac:dyDescent="0.6">
      <c r="A17" s="56">
        <v>13</v>
      </c>
      <c r="B17" s="11"/>
      <c r="C17" s="11"/>
      <c r="D17" s="11"/>
      <c r="E17" s="11"/>
    </row>
    <row r="18" spans="1:5" ht="23.4" x14ac:dyDescent="0.6">
      <c r="A18" s="56">
        <v>14</v>
      </c>
      <c r="B18" s="11"/>
      <c r="C18" s="10"/>
      <c r="D18" s="11"/>
      <c r="E18" s="10"/>
    </row>
    <row r="19" spans="1:5" ht="23.4" x14ac:dyDescent="0.6">
      <c r="A19" s="56">
        <v>15</v>
      </c>
      <c r="B19" s="11"/>
      <c r="C19" s="11">
        <v>2</v>
      </c>
      <c r="D19" s="11">
        <v>1</v>
      </c>
      <c r="E19" s="11"/>
    </row>
    <row r="20" spans="1:5" ht="23.4" x14ac:dyDescent="0.6">
      <c r="A20" s="56">
        <v>16</v>
      </c>
      <c r="B20" s="10"/>
      <c r="C20" s="11"/>
      <c r="D20" s="11"/>
      <c r="E20" s="11"/>
    </row>
    <row r="21" spans="1:5" ht="23.4" x14ac:dyDescent="0.6">
      <c r="A21" s="56">
        <v>17</v>
      </c>
      <c r="B21" s="11"/>
      <c r="C21" s="11"/>
      <c r="D21" s="10"/>
      <c r="E21" s="11"/>
    </row>
    <row r="22" spans="1:5" ht="23.4" x14ac:dyDescent="0.6">
      <c r="A22" s="56">
        <v>18</v>
      </c>
      <c r="B22" s="11"/>
      <c r="C22" s="11"/>
      <c r="D22" s="11">
        <v>2</v>
      </c>
      <c r="E22" s="11"/>
    </row>
    <row r="23" spans="1:5" ht="23.4" x14ac:dyDescent="0.6">
      <c r="A23" s="56">
        <v>19</v>
      </c>
      <c r="B23" s="11">
        <v>1</v>
      </c>
      <c r="C23" s="10"/>
      <c r="D23" s="10"/>
      <c r="E23" s="11"/>
    </row>
    <row r="24" spans="1:5" ht="23.4" x14ac:dyDescent="0.6">
      <c r="A24" s="56">
        <v>20</v>
      </c>
      <c r="B24" s="11"/>
      <c r="C24" s="11"/>
      <c r="D24" s="11">
        <v>1</v>
      </c>
      <c r="E24" s="10"/>
    </row>
    <row r="25" spans="1:5" ht="23.4" x14ac:dyDescent="0.6">
      <c r="A25" s="56">
        <v>21</v>
      </c>
      <c r="B25" s="11"/>
      <c r="C25" s="11"/>
      <c r="D25" s="11"/>
      <c r="E25" s="11"/>
    </row>
    <row r="26" spans="1:5" ht="23.4" x14ac:dyDescent="0.6">
      <c r="A26" s="56">
        <v>22</v>
      </c>
      <c r="B26" s="11">
        <v>1</v>
      </c>
      <c r="C26" s="11"/>
      <c r="D26" s="11">
        <v>2</v>
      </c>
      <c r="E26" s="11">
        <v>2</v>
      </c>
    </row>
    <row r="27" spans="1:5" ht="23.4" x14ac:dyDescent="0.6">
      <c r="A27" s="56">
        <v>23</v>
      </c>
      <c r="B27" s="11">
        <v>2</v>
      </c>
      <c r="C27" s="11"/>
      <c r="D27" s="11"/>
      <c r="E27" s="11">
        <v>1</v>
      </c>
    </row>
    <row r="28" spans="1:5" ht="23.4" x14ac:dyDescent="0.6">
      <c r="A28" s="56">
        <v>24</v>
      </c>
      <c r="B28" s="10"/>
      <c r="C28" s="11"/>
      <c r="D28" s="11">
        <v>6</v>
      </c>
      <c r="E28" s="10"/>
    </row>
    <row r="29" spans="1:5" ht="23.4" x14ac:dyDescent="0.6">
      <c r="A29" s="56">
        <v>25</v>
      </c>
      <c r="B29" s="11"/>
      <c r="C29" s="10"/>
      <c r="D29" s="10"/>
      <c r="E29" s="11">
        <v>1</v>
      </c>
    </row>
    <row r="30" spans="1:5" ht="23.4" x14ac:dyDescent="0.6">
      <c r="A30" s="56">
        <v>26</v>
      </c>
      <c r="B30" s="11"/>
      <c r="C30" s="11"/>
      <c r="D30" s="11">
        <v>2</v>
      </c>
      <c r="E30" s="11"/>
    </row>
    <row r="31" spans="1:5" ht="23.4" x14ac:dyDescent="0.6">
      <c r="A31" s="56">
        <v>27</v>
      </c>
      <c r="B31" s="11"/>
      <c r="C31" s="11"/>
      <c r="D31" s="11">
        <v>2</v>
      </c>
      <c r="E31" s="11"/>
    </row>
    <row r="32" spans="1:5" ht="23.4" x14ac:dyDescent="0.6">
      <c r="A32" s="56">
        <v>28</v>
      </c>
      <c r="B32" s="11"/>
      <c r="C32" s="11"/>
      <c r="D32" s="11"/>
      <c r="E32" s="11"/>
    </row>
    <row r="33" spans="1:6" ht="23.4" x14ac:dyDescent="0.6">
      <c r="A33" s="56">
        <v>29</v>
      </c>
      <c r="B33" s="10"/>
      <c r="C33" s="10"/>
      <c r="D33" s="10">
        <v>3</v>
      </c>
      <c r="E33" s="10"/>
    </row>
    <row r="34" spans="1:6" ht="23.4" x14ac:dyDescent="0.6">
      <c r="A34" s="56">
        <v>30</v>
      </c>
      <c r="D34" s="57">
        <v>2</v>
      </c>
    </row>
    <row r="35" spans="1:6" ht="23.4" x14ac:dyDescent="0.6">
      <c r="A35" s="56">
        <v>31</v>
      </c>
      <c r="D35" s="58">
        <v>3</v>
      </c>
    </row>
    <row r="36" spans="1:6" ht="26.4" x14ac:dyDescent="0.7">
      <c r="A36" s="59" t="s">
        <v>41</v>
      </c>
      <c r="B36" s="60">
        <f t="shared" ref="B36:E36" si="0">SUM(B5:B35)</f>
        <v>8</v>
      </c>
      <c r="C36" s="60">
        <f t="shared" si="0"/>
        <v>5</v>
      </c>
      <c r="D36" s="60">
        <f t="shared" si="0"/>
        <v>49</v>
      </c>
      <c r="E36" s="60">
        <f t="shared" si="0"/>
        <v>5</v>
      </c>
      <c r="F36" s="61" t="s">
        <v>1</v>
      </c>
    </row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E4" activePane="bottomRight" state="frozen"/>
      <selection activeCell="M4" sqref="M4"/>
      <selection pane="topRight" activeCell="M4" sqref="M4"/>
      <selection pane="bottomLeft" activeCell="M4" sqref="M4"/>
      <selection pane="bottomRight" activeCell="I1" sqref="I1"/>
    </sheetView>
  </sheetViews>
  <sheetFormatPr defaultColWidth="14.44140625" defaultRowHeight="14.4" x14ac:dyDescent="0.3"/>
  <cols>
    <col min="1" max="1" width="10.33203125" customWidth="1"/>
    <col min="2" max="2" width="9.77734375" bestFit="1" customWidth="1"/>
    <col min="3" max="3" width="17.21875" bestFit="1" customWidth="1"/>
    <col min="4" max="4" width="17.6640625" bestFit="1" customWidth="1"/>
    <col min="5" max="5" width="14.5546875" bestFit="1" customWidth="1"/>
    <col min="6" max="6" width="31.5546875" bestFit="1" customWidth="1"/>
    <col min="7" max="7" width="18" bestFit="1" customWidth="1"/>
    <col min="8" max="8" width="12.77734375" bestFit="1" customWidth="1"/>
    <col min="9" max="9" width="11.6640625" bestFit="1" customWidth="1"/>
    <col min="10" max="10" width="15" bestFit="1" customWidth="1"/>
    <col min="11" max="11" width="9" bestFit="1" customWidth="1"/>
    <col min="12" max="12" width="9" customWidth="1"/>
    <col min="13" max="13" width="9.109375" customWidth="1"/>
    <col min="14" max="14" width="23.88671875" bestFit="1" customWidth="1"/>
    <col min="15" max="15" width="41.6640625" bestFit="1" customWidth="1"/>
    <col min="16" max="16" width="19.5546875" bestFit="1" customWidth="1"/>
    <col min="17" max="40" width="9.109375" customWidth="1"/>
  </cols>
  <sheetData>
    <row r="1" spans="1:40" ht="32.4" x14ac:dyDescent="0.3">
      <c r="A1" s="62" t="s">
        <v>102</v>
      </c>
      <c r="B1" s="17"/>
      <c r="C1" s="63"/>
      <c r="D1" s="63"/>
      <c r="E1" s="63"/>
      <c r="F1" s="63"/>
      <c r="G1" s="17"/>
      <c r="H1" s="64" t="s">
        <v>41</v>
      </c>
      <c r="I1" s="65">
        <f>SUBTOTAL(9,I4:I11989)</f>
        <v>1885.96</v>
      </c>
      <c r="J1" s="66" t="s">
        <v>58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spans="1:40" ht="23.4" x14ac:dyDescent="0.3">
      <c r="A2" s="67" t="s">
        <v>60</v>
      </c>
      <c r="B2" s="67" t="s">
        <v>103</v>
      </c>
      <c r="C2" s="67" t="s">
        <v>104</v>
      </c>
      <c r="D2" s="67" t="s">
        <v>105</v>
      </c>
      <c r="E2" s="67" t="s">
        <v>106</v>
      </c>
      <c r="F2" s="67" t="s">
        <v>107</v>
      </c>
      <c r="G2" s="142" t="s">
        <v>108</v>
      </c>
      <c r="H2" s="111"/>
      <c r="I2" s="67" t="s">
        <v>109</v>
      </c>
      <c r="J2" s="67" t="s">
        <v>110</v>
      </c>
      <c r="K2" s="68" t="s">
        <v>4</v>
      </c>
      <c r="L2" s="40"/>
      <c r="M2" s="40"/>
      <c r="N2" s="69" t="s">
        <v>111</v>
      </c>
      <c r="O2" s="69" t="s">
        <v>112</v>
      </c>
      <c r="P2" s="69" t="s">
        <v>113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</row>
    <row r="3" spans="1:40" ht="23.4" x14ac:dyDescent="0.3">
      <c r="A3" s="70"/>
      <c r="B3" s="70"/>
      <c r="C3" s="70"/>
      <c r="D3" s="70"/>
      <c r="E3" s="70"/>
      <c r="F3" s="70"/>
      <c r="G3" s="71" t="s">
        <v>114</v>
      </c>
      <c r="H3" s="72" t="s">
        <v>115</v>
      </c>
      <c r="I3" s="70"/>
      <c r="J3" s="70"/>
      <c r="K3" s="73"/>
      <c r="L3" s="40"/>
      <c r="M3" s="40"/>
      <c r="N3" s="74"/>
      <c r="O3" s="74"/>
      <c r="P3" s="74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4" spans="1:40" ht="23.4" x14ac:dyDescent="0.6">
      <c r="A4" s="17">
        <v>1</v>
      </c>
      <c r="B4" s="75">
        <v>244533</v>
      </c>
      <c r="C4" s="63" t="s">
        <v>116</v>
      </c>
      <c r="D4" s="63" t="s">
        <v>117</v>
      </c>
      <c r="E4" s="76" t="s">
        <v>118</v>
      </c>
      <c r="F4" s="76" t="s">
        <v>119</v>
      </c>
      <c r="G4" s="76" t="s">
        <v>120</v>
      </c>
      <c r="H4" s="63" t="s">
        <v>121</v>
      </c>
      <c r="I4" s="77">
        <v>266.8</v>
      </c>
      <c r="J4" s="17" t="s">
        <v>46</v>
      </c>
      <c r="K4" s="17"/>
      <c r="L4" s="17"/>
      <c r="M4" s="17"/>
      <c r="N4" s="78" t="s">
        <v>46</v>
      </c>
      <c r="O4" s="46" t="s">
        <v>122</v>
      </c>
      <c r="P4" s="79" t="s">
        <v>118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23.4" x14ac:dyDescent="0.6">
      <c r="A5" s="17">
        <v>2</v>
      </c>
      <c r="B5" s="75">
        <v>244564</v>
      </c>
      <c r="C5" s="63" t="s">
        <v>123</v>
      </c>
      <c r="D5" s="63" t="s">
        <v>124</v>
      </c>
      <c r="E5" s="76" t="s">
        <v>118</v>
      </c>
      <c r="F5" s="76" t="s">
        <v>119</v>
      </c>
      <c r="G5" s="76" t="s">
        <v>125</v>
      </c>
      <c r="H5" s="63"/>
      <c r="I5" s="77">
        <v>529.17999999999995</v>
      </c>
      <c r="J5" s="17" t="s">
        <v>46</v>
      </c>
      <c r="K5" s="17"/>
      <c r="L5" s="17"/>
      <c r="M5" s="17"/>
      <c r="N5" s="78" t="s">
        <v>47</v>
      </c>
      <c r="O5" s="46" t="s">
        <v>126</v>
      </c>
      <c r="P5" s="80" t="s">
        <v>127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</row>
    <row r="6" spans="1:40" ht="23.4" x14ac:dyDescent="0.6">
      <c r="A6" s="17">
        <v>3</v>
      </c>
      <c r="B6" s="75">
        <v>244656</v>
      </c>
      <c r="C6" s="63" t="s">
        <v>128</v>
      </c>
      <c r="D6" s="63" t="s">
        <v>129</v>
      </c>
      <c r="E6" s="76" t="s">
        <v>118</v>
      </c>
      <c r="F6" s="76" t="s">
        <v>119</v>
      </c>
      <c r="G6" s="76" t="s">
        <v>130</v>
      </c>
      <c r="H6" s="63" t="s">
        <v>131</v>
      </c>
      <c r="I6" s="77">
        <v>155</v>
      </c>
      <c r="J6" s="17" t="s">
        <v>46</v>
      </c>
      <c r="K6" s="17"/>
      <c r="L6" s="17"/>
      <c r="M6" s="17"/>
      <c r="N6" s="78" t="s">
        <v>48</v>
      </c>
      <c r="O6" s="46" t="s">
        <v>132</v>
      </c>
      <c r="P6" s="79" t="s">
        <v>133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spans="1:40" ht="23.4" x14ac:dyDescent="0.6">
      <c r="A7" s="17">
        <v>4</v>
      </c>
      <c r="B7" s="81">
        <v>244686</v>
      </c>
      <c r="C7" s="76" t="s">
        <v>134</v>
      </c>
      <c r="D7" s="63" t="s">
        <v>135</v>
      </c>
      <c r="E7" s="76" t="s">
        <v>118</v>
      </c>
      <c r="F7" s="76" t="s">
        <v>119</v>
      </c>
      <c r="G7" s="76" t="s">
        <v>136</v>
      </c>
      <c r="H7" s="63"/>
      <c r="I7" s="77">
        <v>211.5</v>
      </c>
      <c r="J7" s="17" t="s">
        <v>46</v>
      </c>
      <c r="K7" s="17"/>
      <c r="L7" s="17"/>
      <c r="M7" s="17"/>
      <c r="N7" s="78" t="s">
        <v>137</v>
      </c>
      <c r="O7" s="46" t="s">
        <v>119</v>
      </c>
      <c r="P7" s="78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</row>
    <row r="8" spans="1:40" ht="23.4" x14ac:dyDescent="0.6">
      <c r="A8" s="17">
        <v>5</v>
      </c>
      <c r="B8" s="17" t="s">
        <v>138</v>
      </c>
      <c r="C8" s="76" t="s">
        <v>139</v>
      </c>
      <c r="D8" s="63" t="s">
        <v>140</v>
      </c>
      <c r="E8" s="76" t="s">
        <v>118</v>
      </c>
      <c r="F8" s="76" t="s">
        <v>119</v>
      </c>
      <c r="G8" s="76" t="s">
        <v>141</v>
      </c>
      <c r="H8" s="63" t="s">
        <v>142</v>
      </c>
      <c r="I8" s="77">
        <v>195.48</v>
      </c>
      <c r="J8" s="17" t="s">
        <v>46</v>
      </c>
      <c r="K8" s="17"/>
      <c r="L8" s="17"/>
      <c r="M8" s="17"/>
      <c r="N8" s="78"/>
      <c r="O8" s="46" t="s">
        <v>143</v>
      </c>
      <c r="P8" s="78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</row>
    <row r="9" spans="1:40" ht="23.4" x14ac:dyDescent="0.6">
      <c r="A9" s="17">
        <v>6</v>
      </c>
      <c r="B9" s="17" t="s">
        <v>144</v>
      </c>
      <c r="C9" s="76" t="s">
        <v>145</v>
      </c>
      <c r="D9" s="63" t="s">
        <v>146</v>
      </c>
      <c r="E9" s="76" t="s">
        <v>118</v>
      </c>
      <c r="F9" s="76" t="s">
        <v>119</v>
      </c>
      <c r="G9" s="63" t="s">
        <v>147</v>
      </c>
      <c r="H9" s="63" t="s">
        <v>148</v>
      </c>
      <c r="I9" s="77">
        <v>111</v>
      </c>
      <c r="J9" s="17" t="s">
        <v>46</v>
      </c>
      <c r="K9" s="17"/>
      <c r="L9" s="17"/>
      <c r="M9" s="17"/>
      <c r="N9" s="78"/>
      <c r="O9" s="46" t="s">
        <v>149</v>
      </c>
      <c r="P9" s="78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</row>
    <row r="10" spans="1:40" ht="23.4" x14ac:dyDescent="0.6">
      <c r="A10" s="17">
        <v>7</v>
      </c>
      <c r="B10" s="17" t="s">
        <v>150</v>
      </c>
      <c r="C10" s="76" t="s">
        <v>151</v>
      </c>
      <c r="D10" s="63" t="s">
        <v>152</v>
      </c>
      <c r="E10" s="76" t="s">
        <v>118</v>
      </c>
      <c r="F10" s="76" t="s">
        <v>119</v>
      </c>
      <c r="G10" s="76" t="s">
        <v>153</v>
      </c>
      <c r="H10" s="63" t="s">
        <v>154</v>
      </c>
      <c r="I10" s="77">
        <v>154</v>
      </c>
      <c r="J10" s="17" t="s">
        <v>46</v>
      </c>
      <c r="K10" s="17"/>
      <c r="L10" s="17"/>
      <c r="M10" s="17"/>
      <c r="N10" s="78"/>
      <c r="O10" s="46" t="s">
        <v>155</v>
      </c>
      <c r="P10" s="78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spans="1:40" ht="23.4" x14ac:dyDescent="0.6">
      <c r="A11" s="17">
        <v>8</v>
      </c>
      <c r="B11" s="17" t="s">
        <v>150</v>
      </c>
      <c r="C11" s="63" t="s">
        <v>156</v>
      </c>
      <c r="D11" s="63" t="s">
        <v>157</v>
      </c>
      <c r="E11" s="76" t="s">
        <v>118</v>
      </c>
      <c r="F11" s="76" t="s">
        <v>122</v>
      </c>
      <c r="G11" s="76" t="s">
        <v>153</v>
      </c>
      <c r="H11" s="63" t="s">
        <v>154</v>
      </c>
      <c r="I11" s="77">
        <v>263</v>
      </c>
      <c r="J11" s="17" t="s">
        <v>46</v>
      </c>
      <c r="K11" s="17"/>
      <c r="L11" s="17"/>
      <c r="M11" s="17"/>
      <c r="N11" s="78"/>
      <c r="O11" s="46" t="s">
        <v>158</v>
      </c>
      <c r="P11" s="78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23.4" x14ac:dyDescent="0.6">
      <c r="A12" s="17"/>
      <c r="B12" s="17"/>
      <c r="C12" s="63"/>
      <c r="D12" s="63"/>
      <c r="E12" s="76"/>
      <c r="F12" s="76"/>
      <c r="G12" s="17"/>
      <c r="H12" s="17"/>
      <c r="I12" s="16"/>
      <c r="J12" s="17"/>
      <c r="K12" s="17"/>
      <c r="L12" s="17"/>
      <c r="M12" s="17"/>
      <c r="N12" s="78"/>
      <c r="O12" s="46" t="s">
        <v>159</v>
      </c>
      <c r="P12" s="78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ht="23.4" x14ac:dyDescent="0.6">
      <c r="A13" s="17"/>
      <c r="B13" s="17"/>
      <c r="C13" s="63"/>
      <c r="D13" s="63"/>
      <c r="E13" s="76"/>
      <c r="F13" s="76"/>
      <c r="G13" s="17"/>
      <c r="H13" s="17"/>
      <c r="I13" s="16"/>
      <c r="J13" s="17"/>
      <c r="K13" s="17"/>
      <c r="L13" s="17"/>
      <c r="M13" s="17"/>
      <c r="N13" s="78"/>
      <c r="O13" s="46" t="s">
        <v>160</v>
      </c>
      <c r="P13" s="78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0" ht="23.4" x14ac:dyDescent="0.3">
      <c r="A14" s="17"/>
      <c r="B14" s="17"/>
      <c r="C14" s="63"/>
      <c r="D14" s="63"/>
      <c r="E14" s="76"/>
      <c r="F14" s="76"/>
      <c r="G14" s="17"/>
      <c r="H14" s="17"/>
      <c r="I14" s="16"/>
      <c r="J14" s="17"/>
      <c r="K14" s="63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0" ht="23.4" x14ac:dyDescent="0.3">
      <c r="A15" s="17"/>
      <c r="B15" s="75"/>
      <c r="C15" s="63"/>
      <c r="D15" s="63"/>
      <c r="E15" s="76"/>
      <c r="F15" s="76"/>
      <c r="G15" s="17"/>
      <c r="H15" s="17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0" ht="23.4" x14ac:dyDescent="0.3">
      <c r="A16" s="17"/>
      <c r="B16" s="75"/>
      <c r="C16" s="63"/>
      <c r="D16" s="63"/>
      <c r="E16" s="76"/>
      <c r="F16" s="76"/>
      <c r="G16" s="17"/>
      <c r="H16" s="17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spans="1:40" ht="23.4" x14ac:dyDescent="0.3">
      <c r="A17" s="17"/>
      <c r="B17" s="75"/>
      <c r="C17" s="63"/>
      <c r="D17" s="63"/>
      <c r="E17" s="76"/>
      <c r="F17" s="76"/>
      <c r="G17" s="17"/>
      <c r="H17" s="17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1:40" ht="23.4" x14ac:dyDescent="0.3">
      <c r="A18" s="17"/>
      <c r="B18" s="17"/>
      <c r="C18" s="63"/>
      <c r="D18" s="63"/>
      <c r="E18" s="63"/>
      <c r="F18" s="63"/>
      <c r="G18" s="17"/>
      <c r="H18" s="17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23.4" x14ac:dyDescent="0.3">
      <c r="A19" s="17"/>
      <c r="B19" s="17"/>
      <c r="C19" s="63"/>
      <c r="D19" s="63"/>
      <c r="E19" s="63"/>
      <c r="F19" s="63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1:40" ht="23.4" x14ac:dyDescent="0.3">
      <c r="A20" s="17"/>
      <c r="B20" s="17"/>
      <c r="C20" s="63"/>
      <c r="D20" s="63"/>
      <c r="E20" s="63"/>
      <c r="F20" s="63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spans="1:40" ht="23.4" x14ac:dyDescent="0.3">
      <c r="A21" s="17"/>
      <c r="B21" s="17"/>
      <c r="C21" s="63"/>
      <c r="D21" s="63"/>
      <c r="E21" s="63"/>
      <c r="F21" s="63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</row>
    <row r="22" spans="1:40" ht="23.4" x14ac:dyDescent="0.3">
      <c r="A22" s="17"/>
      <c r="B22" s="17"/>
      <c r="C22" s="63"/>
      <c r="D22" s="63"/>
      <c r="E22" s="63"/>
      <c r="F22" s="63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spans="1:40" ht="23.4" x14ac:dyDescent="0.3">
      <c r="A23" s="17"/>
      <c r="B23" s="17"/>
      <c r="C23" s="63"/>
      <c r="D23" s="63"/>
      <c r="E23" s="63"/>
      <c r="F23" s="63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</row>
    <row r="24" spans="1:40" ht="23.4" x14ac:dyDescent="0.3">
      <c r="A24" s="17"/>
      <c r="B24" s="17"/>
      <c r="C24" s="63"/>
      <c r="D24" s="63"/>
      <c r="E24" s="63"/>
      <c r="F24" s="63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spans="1:40" ht="23.4" x14ac:dyDescent="0.3">
      <c r="A25" s="17"/>
      <c r="B25" s="17"/>
      <c r="C25" s="63"/>
      <c r="D25" s="63"/>
      <c r="E25" s="63"/>
      <c r="F25" s="63"/>
      <c r="G25" s="17"/>
      <c r="H25" s="17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</row>
    <row r="26" spans="1:40" ht="23.4" x14ac:dyDescent="0.3">
      <c r="A26" s="17"/>
      <c r="B26" s="17"/>
      <c r="C26" s="63"/>
      <c r="D26" s="63"/>
      <c r="E26" s="63"/>
      <c r="F26" s="63"/>
      <c r="G26" s="17"/>
      <c r="H26" s="17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spans="1:40" ht="23.4" x14ac:dyDescent="0.3">
      <c r="A27" s="17"/>
      <c r="B27" s="17"/>
      <c r="C27" s="63"/>
      <c r="D27" s="63"/>
      <c r="E27" s="63"/>
      <c r="F27" s="63"/>
      <c r="G27" s="17"/>
      <c r="H27" s="17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</row>
    <row r="28" spans="1:40" ht="23.4" x14ac:dyDescent="0.3">
      <c r="A28" s="17"/>
      <c r="B28" s="17"/>
      <c r="C28" s="63"/>
      <c r="D28" s="63"/>
      <c r="E28" s="63"/>
      <c r="F28" s="63"/>
      <c r="G28" s="17"/>
      <c r="H28" s="17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spans="1:40" ht="23.4" x14ac:dyDescent="0.3">
      <c r="A29" s="17"/>
      <c r="B29" s="17"/>
      <c r="C29" s="63"/>
      <c r="D29" s="63"/>
      <c r="E29" s="63"/>
      <c r="F29" s="63"/>
      <c r="G29" s="17"/>
      <c r="H29" s="17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</row>
    <row r="30" spans="1:40" ht="23.4" x14ac:dyDescent="0.3">
      <c r="A30" s="17"/>
      <c r="B30" s="17"/>
      <c r="C30" s="63"/>
      <c r="D30" s="63"/>
      <c r="E30" s="63"/>
      <c r="F30" s="63"/>
      <c r="G30" s="17"/>
      <c r="H30" s="17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spans="1:40" ht="23.4" x14ac:dyDescent="0.3">
      <c r="A31" s="17"/>
      <c r="B31" s="17"/>
      <c r="C31" s="63"/>
      <c r="D31" s="63"/>
      <c r="E31" s="63"/>
      <c r="F31" s="63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spans="1:40" ht="23.4" x14ac:dyDescent="0.3">
      <c r="A32" s="17"/>
      <c r="B32" s="17"/>
      <c r="C32" s="63"/>
      <c r="D32" s="63"/>
      <c r="E32" s="63"/>
      <c r="F32" s="63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spans="1:40" ht="23.4" x14ac:dyDescent="0.3">
      <c r="A33" s="17"/>
      <c r="B33" s="17"/>
      <c r="C33" s="63"/>
      <c r="D33" s="63"/>
      <c r="E33" s="63"/>
      <c r="F33" s="63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spans="1:40" ht="23.4" x14ac:dyDescent="0.3">
      <c r="A34" s="17"/>
      <c r="B34" s="17"/>
      <c r="C34" s="63"/>
      <c r="D34" s="63"/>
      <c r="E34" s="63"/>
      <c r="F34" s="63"/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spans="1:40" ht="23.4" x14ac:dyDescent="0.3">
      <c r="A35" s="17"/>
      <c r="B35" s="17"/>
      <c r="C35" s="63"/>
      <c r="D35" s="63"/>
      <c r="E35" s="63"/>
      <c r="F35" s="63"/>
      <c r="G35" s="17"/>
      <c r="H35" s="17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</row>
    <row r="36" spans="1:40" ht="23.4" x14ac:dyDescent="0.3">
      <c r="A36" s="17"/>
      <c r="B36" s="17"/>
      <c r="C36" s="63"/>
      <c r="D36" s="63"/>
      <c r="E36" s="63"/>
      <c r="F36" s="63"/>
      <c r="G36" s="17"/>
      <c r="H36" s="17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spans="1:40" ht="23.4" x14ac:dyDescent="0.3">
      <c r="A37" s="17"/>
      <c r="B37" s="17"/>
      <c r="C37" s="63"/>
      <c r="D37" s="63"/>
      <c r="E37" s="63"/>
      <c r="F37" s="63"/>
      <c r="G37" s="17"/>
      <c r="H37" s="17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</row>
    <row r="38" spans="1:40" ht="23.4" x14ac:dyDescent="0.3">
      <c r="A38" s="17"/>
      <c r="B38" s="17"/>
      <c r="C38" s="63"/>
      <c r="D38" s="63"/>
      <c r="E38" s="63"/>
      <c r="F38" s="63"/>
      <c r="G38" s="17"/>
      <c r="H38" s="17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spans="1:40" ht="23.4" x14ac:dyDescent="0.3">
      <c r="A39" s="17"/>
      <c r="B39" s="17"/>
      <c r="C39" s="63"/>
      <c r="D39" s="63"/>
      <c r="E39" s="63"/>
      <c r="F39" s="63"/>
      <c r="G39" s="17"/>
      <c r="H39" s="17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spans="1:40" ht="23.4" x14ac:dyDescent="0.3">
      <c r="A40" s="17"/>
      <c r="B40" s="17"/>
      <c r="C40" s="63"/>
      <c r="D40" s="63"/>
      <c r="E40" s="63"/>
      <c r="F40" s="63"/>
      <c r="G40" s="17"/>
      <c r="H40" s="17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spans="1:40" ht="23.4" x14ac:dyDescent="0.3">
      <c r="A41" s="17"/>
      <c r="B41" s="17"/>
      <c r="C41" s="63"/>
      <c r="D41" s="63"/>
      <c r="E41" s="63"/>
      <c r="F41" s="63"/>
      <c r="G41" s="17"/>
      <c r="H41" s="17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</row>
    <row r="42" spans="1:40" ht="23.4" x14ac:dyDescent="0.3">
      <c r="A42" s="17"/>
      <c r="B42" s="17"/>
      <c r="C42" s="63"/>
      <c r="D42" s="63"/>
      <c r="E42" s="63"/>
      <c r="F42" s="63"/>
      <c r="G42" s="17"/>
      <c r="H42" s="17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</row>
    <row r="43" spans="1:40" ht="23.4" x14ac:dyDescent="0.3">
      <c r="A43" s="17"/>
      <c r="B43" s="17"/>
      <c r="C43" s="63"/>
      <c r="D43" s="63"/>
      <c r="E43" s="63"/>
      <c r="F43" s="63"/>
      <c r="G43" s="17"/>
      <c r="H43" s="17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</row>
    <row r="44" spans="1:40" ht="23.4" x14ac:dyDescent="0.3">
      <c r="A44" s="17"/>
      <c r="B44" s="17"/>
      <c r="C44" s="63"/>
      <c r="D44" s="63"/>
      <c r="E44" s="63"/>
      <c r="F44" s="63"/>
      <c r="G44" s="17"/>
      <c r="H44" s="17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</row>
    <row r="45" spans="1:40" ht="23.4" x14ac:dyDescent="0.3">
      <c r="A45" s="17"/>
      <c r="B45" s="17"/>
      <c r="C45" s="63"/>
      <c r="D45" s="63"/>
      <c r="E45" s="63"/>
      <c r="F45" s="63"/>
      <c r="G45" s="17"/>
      <c r="H45" s="17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</row>
    <row r="46" spans="1:40" ht="23.4" x14ac:dyDescent="0.3">
      <c r="A46" s="17"/>
      <c r="B46" s="17"/>
      <c r="C46" s="63"/>
      <c r="D46" s="63"/>
      <c r="E46" s="63"/>
      <c r="F46" s="63"/>
      <c r="G46" s="17"/>
      <c r="H46" s="17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</row>
    <row r="47" spans="1:40" ht="23.4" x14ac:dyDescent="0.3">
      <c r="A47" s="17"/>
      <c r="B47" s="17"/>
      <c r="C47" s="63"/>
      <c r="D47" s="63"/>
      <c r="E47" s="63"/>
      <c r="F47" s="63"/>
      <c r="G47" s="17"/>
      <c r="H47" s="17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</row>
    <row r="48" spans="1:40" ht="23.4" x14ac:dyDescent="0.3">
      <c r="A48" s="17"/>
      <c r="B48" s="17"/>
      <c r="C48" s="63"/>
      <c r="D48" s="63"/>
      <c r="E48" s="63"/>
      <c r="F48" s="63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</row>
    <row r="49" spans="1:40" ht="23.4" x14ac:dyDescent="0.3">
      <c r="A49" s="17"/>
      <c r="B49" s="17"/>
      <c r="C49" s="63"/>
      <c r="D49" s="63"/>
      <c r="E49" s="63"/>
      <c r="F49" s="63"/>
      <c r="G49" s="17"/>
      <c r="H49" s="17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</row>
    <row r="50" spans="1:40" ht="23.4" x14ac:dyDescent="0.3">
      <c r="A50" s="17"/>
      <c r="B50" s="17"/>
      <c r="C50" s="63"/>
      <c r="D50" s="63"/>
      <c r="E50" s="63"/>
      <c r="F50" s="63"/>
      <c r="G50" s="17"/>
      <c r="H50" s="17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</row>
    <row r="51" spans="1:40" ht="23.4" x14ac:dyDescent="0.3">
      <c r="A51" s="17"/>
      <c r="B51" s="17"/>
      <c r="C51" s="63"/>
      <c r="D51" s="63"/>
      <c r="E51" s="63"/>
      <c r="F51" s="63"/>
      <c r="G51" s="17"/>
      <c r="H51" s="17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</row>
    <row r="52" spans="1:40" ht="23.4" x14ac:dyDescent="0.3">
      <c r="A52" s="17"/>
      <c r="B52" s="17"/>
      <c r="C52" s="63"/>
      <c r="D52" s="63"/>
      <c r="E52" s="63"/>
      <c r="F52" s="63"/>
      <c r="G52" s="17"/>
      <c r="H52" s="17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</row>
    <row r="53" spans="1:40" ht="23.4" x14ac:dyDescent="0.3">
      <c r="A53" s="17"/>
      <c r="B53" s="17"/>
      <c r="C53" s="63"/>
      <c r="D53" s="63"/>
      <c r="E53" s="63"/>
      <c r="F53" s="63"/>
      <c r="G53" s="17"/>
      <c r="H53" s="17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</row>
    <row r="54" spans="1:40" ht="23.4" x14ac:dyDescent="0.3">
      <c r="A54" s="17"/>
      <c r="B54" s="17"/>
      <c r="C54" s="63"/>
      <c r="D54" s="63"/>
      <c r="E54" s="63"/>
      <c r="F54" s="63"/>
      <c r="G54" s="17"/>
      <c r="H54" s="17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spans="1:40" ht="23.4" x14ac:dyDescent="0.3">
      <c r="A55" s="17"/>
      <c r="B55" s="17"/>
      <c r="C55" s="63"/>
      <c r="D55" s="63"/>
      <c r="E55" s="63"/>
      <c r="F55" s="63"/>
      <c r="G55" s="17"/>
      <c r="H55" s="17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</row>
    <row r="56" spans="1:40" ht="23.4" x14ac:dyDescent="0.3">
      <c r="A56" s="17"/>
      <c r="B56" s="17"/>
      <c r="C56" s="63"/>
      <c r="D56" s="63"/>
      <c r="E56" s="63"/>
      <c r="F56" s="63"/>
      <c r="G56" s="17"/>
      <c r="H56" s="17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</row>
    <row r="57" spans="1:40" ht="23.4" x14ac:dyDescent="0.3">
      <c r="A57" s="17"/>
      <c r="B57" s="17"/>
      <c r="C57" s="63"/>
      <c r="D57" s="63"/>
      <c r="E57" s="63"/>
      <c r="F57" s="63"/>
      <c r="G57" s="17"/>
      <c r="H57" s="17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</row>
    <row r="58" spans="1:40" ht="23.4" x14ac:dyDescent="0.3">
      <c r="A58" s="17"/>
      <c r="B58" s="17"/>
      <c r="C58" s="63"/>
      <c r="D58" s="63"/>
      <c r="E58" s="63"/>
      <c r="F58" s="63"/>
      <c r="G58" s="17"/>
      <c r="H58" s="17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spans="1:40" ht="23.4" x14ac:dyDescent="0.3">
      <c r="A59" s="17"/>
      <c r="B59" s="17"/>
      <c r="C59" s="63"/>
      <c r="D59" s="63"/>
      <c r="E59" s="63"/>
      <c r="F59" s="63"/>
      <c r="G59" s="17"/>
      <c r="H59" s="17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spans="1:40" ht="23.4" x14ac:dyDescent="0.3">
      <c r="A60" s="17"/>
      <c r="B60" s="17"/>
      <c r="C60" s="63"/>
      <c r="D60" s="63"/>
      <c r="E60" s="63"/>
      <c r="F60" s="63"/>
      <c r="G60" s="17"/>
      <c r="H60" s="17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spans="1:40" ht="23.4" x14ac:dyDescent="0.3">
      <c r="A61" s="17"/>
      <c r="B61" s="17"/>
      <c r="C61" s="63"/>
      <c r="D61" s="63"/>
      <c r="E61" s="63"/>
      <c r="F61" s="63"/>
      <c r="G61" s="17"/>
      <c r="H61" s="17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</row>
    <row r="62" spans="1:40" ht="23.4" x14ac:dyDescent="0.3">
      <c r="A62" s="17"/>
      <c r="B62" s="17"/>
      <c r="C62" s="63"/>
      <c r="D62" s="63"/>
      <c r="E62" s="63"/>
      <c r="F62" s="63"/>
      <c r="G62" s="17"/>
      <c r="H62" s="17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</row>
    <row r="63" spans="1:40" ht="23.4" x14ac:dyDescent="0.3">
      <c r="A63" s="17"/>
      <c r="B63" s="17"/>
      <c r="C63" s="63"/>
      <c r="D63" s="63"/>
      <c r="E63" s="63"/>
      <c r="F63" s="63"/>
      <c r="G63" s="17"/>
      <c r="H63" s="17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</row>
    <row r="64" spans="1:40" ht="23.4" x14ac:dyDescent="0.3">
      <c r="A64" s="17"/>
      <c r="B64" s="17"/>
      <c r="C64" s="63"/>
      <c r="D64" s="63"/>
      <c r="E64" s="63"/>
      <c r="F64" s="63"/>
      <c r="G64" s="17"/>
      <c r="H64" s="17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</row>
    <row r="65" spans="1:40" ht="23.4" x14ac:dyDescent="0.3">
      <c r="A65" s="17"/>
      <c r="B65" s="17"/>
      <c r="C65" s="63"/>
      <c r="D65" s="63"/>
      <c r="E65" s="63"/>
      <c r="F65" s="63"/>
      <c r="G65" s="17"/>
      <c r="H65" s="17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</row>
    <row r="66" spans="1:40" ht="23.4" x14ac:dyDescent="0.3">
      <c r="A66" s="17"/>
      <c r="B66" s="17"/>
      <c r="C66" s="63"/>
      <c r="D66" s="63"/>
      <c r="E66" s="63"/>
      <c r="F66" s="63"/>
      <c r="G66" s="17"/>
      <c r="H66" s="17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</row>
    <row r="67" spans="1:40" ht="23.4" x14ac:dyDescent="0.3">
      <c r="A67" s="17"/>
      <c r="B67" s="17"/>
      <c r="C67" s="63"/>
      <c r="D67" s="63"/>
      <c r="E67" s="63"/>
      <c r="F67" s="63"/>
      <c r="G67" s="17"/>
      <c r="H67" s="17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</row>
    <row r="68" spans="1:40" ht="23.4" x14ac:dyDescent="0.3">
      <c r="A68" s="17"/>
      <c r="B68" s="17"/>
      <c r="C68" s="63"/>
      <c r="D68" s="63"/>
      <c r="E68" s="63"/>
      <c r="F68" s="63"/>
      <c r="G68" s="17"/>
      <c r="H68" s="17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</row>
    <row r="69" spans="1:40" ht="23.4" x14ac:dyDescent="0.3">
      <c r="A69" s="17"/>
      <c r="B69" s="17"/>
      <c r="C69" s="63"/>
      <c r="D69" s="63"/>
      <c r="E69" s="63"/>
      <c r="F69" s="63"/>
      <c r="G69" s="17"/>
      <c r="H69" s="17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</row>
    <row r="70" spans="1:40" ht="23.4" x14ac:dyDescent="0.3">
      <c r="A70" s="17"/>
      <c r="B70" s="17"/>
      <c r="C70" s="63"/>
      <c r="D70" s="63"/>
      <c r="E70" s="63"/>
      <c r="F70" s="63"/>
      <c r="G70" s="17"/>
      <c r="H70" s="17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</row>
    <row r="71" spans="1:40" ht="23.4" x14ac:dyDescent="0.3">
      <c r="A71" s="17"/>
      <c r="B71" s="17"/>
      <c r="C71" s="63"/>
      <c r="D71" s="63"/>
      <c r="E71" s="63"/>
      <c r="F71" s="63"/>
      <c r="G71" s="17"/>
      <c r="H71" s="17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</row>
    <row r="72" spans="1:40" ht="23.4" x14ac:dyDescent="0.3">
      <c r="A72" s="17"/>
      <c r="B72" s="17"/>
      <c r="C72" s="63"/>
      <c r="D72" s="63"/>
      <c r="E72" s="63"/>
      <c r="F72" s="63"/>
      <c r="G72" s="17"/>
      <c r="H72" s="17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spans="1:40" ht="23.4" x14ac:dyDescent="0.3">
      <c r="A73" s="17"/>
      <c r="B73" s="17"/>
      <c r="C73" s="63"/>
      <c r="D73" s="63"/>
      <c r="E73" s="63"/>
      <c r="F73" s="63"/>
      <c r="G73" s="17"/>
      <c r="H73" s="17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spans="1:40" ht="23.4" x14ac:dyDescent="0.3">
      <c r="A74" s="17"/>
      <c r="B74" s="17"/>
      <c r="C74" s="63"/>
      <c r="D74" s="63"/>
      <c r="E74" s="63"/>
      <c r="F74" s="63"/>
      <c r="G74" s="17"/>
      <c r="H74" s="17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spans="1:40" ht="23.4" x14ac:dyDescent="0.3">
      <c r="A75" s="17"/>
      <c r="B75" s="17"/>
      <c r="C75" s="63"/>
      <c r="D75" s="63"/>
      <c r="E75" s="63"/>
      <c r="F75" s="63"/>
      <c r="G75" s="17"/>
      <c r="H75" s="17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</row>
    <row r="76" spans="1:40" ht="23.4" x14ac:dyDescent="0.3">
      <c r="A76" s="17"/>
      <c r="B76" s="17"/>
      <c r="C76" s="63"/>
      <c r="D76" s="63"/>
      <c r="E76" s="63"/>
      <c r="F76" s="63"/>
      <c r="G76" s="17"/>
      <c r="H76" s="17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</row>
    <row r="77" spans="1:40" ht="23.4" x14ac:dyDescent="0.3">
      <c r="A77" s="17"/>
      <c r="B77" s="17"/>
      <c r="C77" s="63"/>
      <c r="D77" s="63"/>
      <c r="E77" s="63"/>
      <c r="F77" s="63"/>
      <c r="G77" s="17"/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</row>
    <row r="78" spans="1:40" ht="23.4" x14ac:dyDescent="0.3">
      <c r="A78" s="17"/>
      <c r="B78" s="17"/>
      <c r="C78" s="63"/>
      <c r="D78" s="63"/>
      <c r="E78" s="63"/>
      <c r="F78" s="63"/>
      <c r="G78" s="17"/>
      <c r="H78" s="17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</row>
    <row r="79" spans="1:40" ht="23.4" x14ac:dyDescent="0.3">
      <c r="A79" s="17"/>
      <c r="B79" s="17"/>
      <c r="C79" s="63"/>
      <c r="D79" s="63"/>
      <c r="E79" s="63"/>
      <c r="F79" s="63"/>
      <c r="G79" s="17"/>
      <c r="H79" s="17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</row>
    <row r="80" spans="1:40" ht="23.4" x14ac:dyDescent="0.3">
      <c r="A80" s="17"/>
      <c r="B80" s="17"/>
      <c r="C80" s="63"/>
      <c r="D80" s="63"/>
      <c r="E80" s="63"/>
      <c r="F80" s="63"/>
      <c r="G80" s="17"/>
      <c r="H80" s="17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</row>
    <row r="81" spans="1:40" ht="23.4" x14ac:dyDescent="0.3">
      <c r="A81" s="17"/>
      <c r="B81" s="17"/>
      <c r="C81" s="63"/>
      <c r="D81" s="63"/>
      <c r="E81" s="63"/>
      <c r="F81" s="63"/>
      <c r="G81" s="17"/>
      <c r="H81" s="17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</row>
    <row r="82" spans="1:40" ht="23.4" x14ac:dyDescent="0.3">
      <c r="A82" s="17"/>
      <c r="B82" s="17"/>
      <c r="C82" s="63"/>
      <c r="D82" s="63"/>
      <c r="E82" s="63"/>
      <c r="F82" s="63"/>
      <c r="G82" s="17"/>
      <c r="H82" s="17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</row>
    <row r="83" spans="1:40" ht="23.4" x14ac:dyDescent="0.3">
      <c r="A83" s="17"/>
      <c r="B83" s="17"/>
      <c r="C83" s="63"/>
      <c r="D83" s="63"/>
      <c r="E83" s="63"/>
      <c r="F83" s="63"/>
      <c r="G83" s="17"/>
      <c r="H83" s="17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spans="1:40" ht="23.4" x14ac:dyDescent="0.3">
      <c r="A84" s="17"/>
      <c r="B84" s="17"/>
      <c r="C84" s="63"/>
      <c r="D84" s="63"/>
      <c r="E84" s="63"/>
      <c r="F84" s="63"/>
      <c r="G84" s="17"/>
      <c r="H84" s="17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spans="1:40" ht="23.4" x14ac:dyDescent="0.3">
      <c r="A85" s="17"/>
      <c r="B85" s="17"/>
      <c r="C85" s="63"/>
      <c r="D85" s="63"/>
      <c r="E85" s="63"/>
      <c r="F85" s="63"/>
      <c r="G85" s="17"/>
      <c r="H85" s="17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</row>
    <row r="86" spans="1:40" ht="23.4" x14ac:dyDescent="0.3">
      <c r="A86" s="17"/>
      <c r="B86" s="17"/>
      <c r="C86" s="63"/>
      <c r="D86" s="63"/>
      <c r="E86" s="63"/>
      <c r="F86" s="63"/>
      <c r="G86" s="17"/>
      <c r="H86" s="17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</row>
    <row r="87" spans="1:40" ht="23.4" x14ac:dyDescent="0.3">
      <c r="A87" s="17"/>
      <c r="B87" s="17"/>
      <c r="C87" s="63"/>
      <c r="D87" s="63"/>
      <c r="E87" s="63"/>
      <c r="F87" s="63"/>
      <c r="G87" s="17"/>
      <c r="H87" s="17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</row>
    <row r="88" spans="1:40" ht="23.4" x14ac:dyDescent="0.3">
      <c r="A88" s="17"/>
      <c r="B88" s="17"/>
      <c r="C88" s="63"/>
      <c r="D88" s="63"/>
      <c r="E88" s="63"/>
      <c r="F88" s="63"/>
      <c r="G88" s="17"/>
      <c r="H88" s="17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spans="1:40" ht="23.4" x14ac:dyDescent="0.3">
      <c r="A89" s="17"/>
      <c r="B89" s="17"/>
      <c r="C89" s="63"/>
      <c r="D89" s="63"/>
      <c r="E89" s="63"/>
      <c r="F89" s="63"/>
      <c r="G89" s="17"/>
      <c r="H89" s="17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</row>
    <row r="90" spans="1:40" ht="23.4" x14ac:dyDescent="0.3">
      <c r="A90" s="17"/>
      <c r="B90" s="17"/>
      <c r="C90" s="63"/>
      <c r="D90" s="63"/>
      <c r="E90" s="63"/>
      <c r="F90" s="63"/>
      <c r="G90" s="17"/>
      <c r="H90" s="17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spans="1:40" ht="23.4" x14ac:dyDescent="0.3">
      <c r="A91" s="17"/>
      <c r="B91" s="17"/>
      <c r="C91" s="63"/>
      <c r="D91" s="63"/>
      <c r="E91" s="63"/>
      <c r="F91" s="63"/>
      <c r="G91" s="17"/>
      <c r="H91" s="17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</row>
    <row r="92" spans="1:40" ht="23.4" x14ac:dyDescent="0.3">
      <c r="A92" s="17"/>
      <c r="B92" s="17"/>
      <c r="C92" s="63"/>
      <c r="D92" s="63"/>
      <c r="E92" s="63"/>
      <c r="F92" s="63"/>
      <c r="G92" s="17"/>
      <c r="H92" s="17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spans="1:40" ht="23.4" x14ac:dyDescent="0.3">
      <c r="A93" s="17"/>
      <c r="B93" s="17"/>
      <c r="C93" s="63"/>
      <c r="D93" s="63"/>
      <c r="E93" s="63"/>
      <c r="F93" s="63"/>
      <c r="G93" s="17"/>
      <c r="H93" s="17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</row>
    <row r="94" spans="1:40" ht="23.4" x14ac:dyDescent="0.3">
      <c r="A94" s="17"/>
      <c r="B94" s="17"/>
      <c r="C94" s="63"/>
      <c r="D94" s="63"/>
      <c r="E94" s="63"/>
      <c r="F94" s="63"/>
      <c r="G94" s="17"/>
      <c r="H94" s="17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spans="1:40" ht="23.4" x14ac:dyDescent="0.3">
      <c r="A95" s="17"/>
      <c r="B95" s="17"/>
      <c r="C95" s="63"/>
      <c r="D95" s="63"/>
      <c r="E95" s="63"/>
      <c r="F95" s="63"/>
      <c r="G95" s="17"/>
      <c r="H95" s="17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</row>
    <row r="96" spans="1:40" ht="23.4" x14ac:dyDescent="0.3">
      <c r="A96" s="17"/>
      <c r="B96" s="17"/>
      <c r="C96" s="63"/>
      <c r="D96" s="63"/>
      <c r="E96" s="63"/>
      <c r="F96" s="63"/>
      <c r="G96" s="17"/>
      <c r="H96" s="17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</row>
    <row r="97" spans="1:40" ht="23.4" x14ac:dyDescent="0.3">
      <c r="A97" s="17"/>
      <c r="B97" s="17"/>
      <c r="C97" s="63"/>
      <c r="D97" s="63"/>
      <c r="E97" s="63"/>
      <c r="F97" s="63"/>
      <c r="G97" s="17"/>
      <c r="H97" s="17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</row>
    <row r="98" spans="1:40" ht="23.4" x14ac:dyDescent="0.3">
      <c r="A98" s="17"/>
      <c r="B98" s="17"/>
      <c r="C98" s="63"/>
      <c r="D98" s="63"/>
      <c r="E98" s="63"/>
      <c r="F98" s="63"/>
      <c r="G98" s="17"/>
      <c r="H98" s="17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</row>
    <row r="99" spans="1:40" ht="23.4" x14ac:dyDescent="0.3">
      <c r="A99" s="17"/>
      <c r="B99" s="17"/>
      <c r="C99" s="63"/>
      <c r="D99" s="63"/>
      <c r="E99" s="63"/>
      <c r="F99" s="63"/>
      <c r="G99" s="17"/>
      <c r="H99" s="17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</row>
    <row r="100" spans="1:40" ht="23.4" x14ac:dyDescent="0.3">
      <c r="A100" s="17"/>
      <c r="B100" s="17"/>
      <c r="C100" s="63"/>
      <c r="D100" s="63"/>
      <c r="E100" s="63"/>
      <c r="F100" s="63"/>
      <c r="G100" s="17"/>
      <c r="H100" s="17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</row>
    <row r="101" spans="1:40" ht="23.4" x14ac:dyDescent="0.3">
      <c r="A101" s="17"/>
      <c r="B101" s="17"/>
      <c r="C101" s="63"/>
      <c r="D101" s="63"/>
      <c r="E101" s="63"/>
      <c r="F101" s="63"/>
      <c r="G101" s="17"/>
      <c r="H101" s="17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</row>
    <row r="102" spans="1:40" ht="23.4" x14ac:dyDescent="0.3">
      <c r="A102" s="17"/>
      <c r="B102" s="17"/>
      <c r="C102" s="63"/>
      <c r="D102" s="63"/>
      <c r="E102" s="63"/>
      <c r="F102" s="63"/>
      <c r="G102" s="17"/>
      <c r="H102" s="17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</row>
    <row r="103" spans="1:40" ht="23.4" x14ac:dyDescent="0.3">
      <c r="A103" s="17"/>
      <c r="B103" s="17"/>
      <c r="C103" s="63"/>
      <c r="D103" s="63"/>
      <c r="E103" s="63"/>
      <c r="F103" s="63"/>
      <c r="G103" s="17"/>
      <c r="H103" s="17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</row>
    <row r="104" spans="1:40" ht="23.4" x14ac:dyDescent="0.3">
      <c r="A104" s="17"/>
      <c r="B104" s="17"/>
      <c r="C104" s="63"/>
      <c r="D104" s="63"/>
      <c r="E104" s="63"/>
      <c r="F104" s="63"/>
      <c r="G104" s="17"/>
      <c r="H104" s="17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</row>
    <row r="105" spans="1:40" ht="23.4" x14ac:dyDescent="0.3">
      <c r="A105" s="17"/>
      <c r="B105" s="17"/>
      <c r="C105" s="63"/>
      <c r="D105" s="63"/>
      <c r="E105" s="63"/>
      <c r="F105" s="63"/>
      <c r="G105" s="17"/>
      <c r="H105" s="17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</row>
    <row r="106" spans="1:40" ht="23.4" x14ac:dyDescent="0.3">
      <c r="A106" s="17"/>
      <c r="B106" s="17"/>
      <c r="C106" s="63"/>
      <c r="D106" s="63"/>
      <c r="E106" s="63"/>
      <c r="F106" s="63"/>
      <c r="G106" s="17"/>
      <c r="H106" s="17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</row>
    <row r="107" spans="1:40" ht="23.4" x14ac:dyDescent="0.3">
      <c r="A107" s="17"/>
      <c r="B107" s="17"/>
      <c r="C107" s="63"/>
      <c r="D107" s="63"/>
      <c r="E107" s="63"/>
      <c r="F107" s="63"/>
      <c r="G107" s="17"/>
      <c r="H107" s="17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</row>
    <row r="108" spans="1:40" ht="23.4" x14ac:dyDescent="0.3">
      <c r="A108" s="17"/>
      <c r="B108" s="17"/>
      <c r="C108" s="63"/>
      <c r="D108" s="63"/>
      <c r="E108" s="63"/>
      <c r="F108" s="63"/>
      <c r="G108" s="17"/>
      <c r="H108" s="17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</row>
    <row r="109" spans="1:40" ht="23.4" x14ac:dyDescent="0.3">
      <c r="A109" s="17"/>
      <c r="B109" s="17"/>
      <c r="C109" s="63"/>
      <c r="D109" s="63"/>
      <c r="E109" s="63"/>
      <c r="F109" s="63"/>
      <c r="G109" s="17"/>
      <c r="H109" s="17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</row>
    <row r="110" spans="1:40" ht="23.4" x14ac:dyDescent="0.3">
      <c r="A110" s="17"/>
      <c r="B110" s="17"/>
      <c r="C110" s="63"/>
      <c r="D110" s="63"/>
      <c r="E110" s="63"/>
      <c r="F110" s="63"/>
      <c r="G110" s="17"/>
      <c r="H110" s="17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</row>
    <row r="111" spans="1:40" ht="23.4" x14ac:dyDescent="0.3">
      <c r="A111" s="17"/>
      <c r="B111" s="17"/>
      <c r="C111" s="63"/>
      <c r="D111" s="63"/>
      <c r="E111" s="63"/>
      <c r="F111" s="63"/>
      <c r="G111" s="17"/>
      <c r="H111" s="17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spans="1:40" ht="23.4" x14ac:dyDescent="0.3">
      <c r="A112" s="17"/>
      <c r="B112" s="17"/>
      <c r="C112" s="63"/>
      <c r="D112" s="63"/>
      <c r="E112" s="63"/>
      <c r="F112" s="63"/>
      <c r="G112" s="17"/>
      <c r="H112" s="17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spans="1:40" ht="23.4" x14ac:dyDescent="0.3">
      <c r="A113" s="17"/>
      <c r="B113" s="17"/>
      <c r="C113" s="63"/>
      <c r="D113" s="63"/>
      <c r="E113" s="63"/>
      <c r="F113" s="63"/>
      <c r="G113" s="17"/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spans="1:40" ht="23.4" x14ac:dyDescent="0.3">
      <c r="A114" s="17"/>
      <c r="B114" s="17"/>
      <c r="C114" s="63"/>
      <c r="D114" s="63"/>
      <c r="E114" s="63"/>
      <c r="F114" s="63"/>
      <c r="G114" s="17"/>
      <c r="H114" s="17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</row>
    <row r="115" spans="1:40" ht="23.4" x14ac:dyDescent="0.3">
      <c r="A115" s="17"/>
      <c r="B115" s="17"/>
      <c r="C115" s="63"/>
      <c r="D115" s="63"/>
      <c r="E115" s="63"/>
      <c r="F115" s="63"/>
      <c r="G115" s="17"/>
      <c r="H115" s="17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</row>
    <row r="116" spans="1:40" ht="23.4" x14ac:dyDescent="0.3">
      <c r="A116" s="17"/>
      <c r="B116" s="17"/>
      <c r="C116" s="63"/>
      <c r="D116" s="63"/>
      <c r="E116" s="63"/>
      <c r="F116" s="63"/>
      <c r="G116" s="17"/>
      <c r="H116" s="17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spans="1:40" ht="23.4" x14ac:dyDescent="0.3">
      <c r="A117" s="17"/>
      <c r="B117" s="17"/>
      <c r="C117" s="63"/>
      <c r="D117" s="63"/>
      <c r="E117" s="63"/>
      <c r="F117" s="63"/>
      <c r="G117" s="17"/>
      <c r="H117" s="17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spans="1:40" ht="23.4" x14ac:dyDescent="0.3">
      <c r="A118" s="17"/>
      <c r="B118" s="17"/>
      <c r="C118" s="63"/>
      <c r="D118" s="63"/>
      <c r="E118" s="63"/>
      <c r="F118" s="63"/>
      <c r="G118" s="17"/>
      <c r="H118" s="17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spans="1:40" ht="23.4" x14ac:dyDescent="0.3">
      <c r="A119" s="17"/>
      <c r="B119" s="17"/>
      <c r="C119" s="63"/>
      <c r="D119" s="63"/>
      <c r="E119" s="63"/>
      <c r="F119" s="63"/>
      <c r="G119" s="17"/>
      <c r="H119" s="17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</row>
    <row r="120" spans="1:40" ht="23.4" x14ac:dyDescent="0.3">
      <c r="A120" s="17"/>
      <c r="B120" s="17"/>
      <c r="C120" s="63"/>
      <c r="D120" s="63"/>
      <c r="E120" s="63"/>
      <c r="F120" s="63"/>
      <c r="G120" s="17"/>
      <c r="H120" s="17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</row>
    <row r="121" spans="1:40" ht="23.4" x14ac:dyDescent="0.3">
      <c r="A121" s="17"/>
      <c r="B121" s="17"/>
      <c r="C121" s="63"/>
      <c r="D121" s="63"/>
      <c r="E121" s="63"/>
      <c r="F121" s="63"/>
      <c r="G121" s="17"/>
      <c r="H121" s="17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</row>
    <row r="122" spans="1:40" ht="23.4" x14ac:dyDescent="0.3">
      <c r="A122" s="17"/>
      <c r="B122" s="17"/>
      <c r="C122" s="63"/>
      <c r="D122" s="63"/>
      <c r="E122" s="63"/>
      <c r="F122" s="63"/>
      <c r="G122" s="17"/>
      <c r="H122" s="17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spans="1:40" ht="23.4" x14ac:dyDescent="0.3">
      <c r="A123" s="17"/>
      <c r="B123" s="17"/>
      <c r="C123" s="63"/>
      <c r="D123" s="63"/>
      <c r="E123" s="63"/>
      <c r="F123" s="63"/>
      <c r="G123" s="17"/>
      <c r="H123" s="17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</row>
    <row r="124" spans="1:40" ht="23.4" x14ac:dyDescent="0.3">
      <c r="A124" s="17"/>
      <c r="B124" s="17"/>
      <c r="C124" s="63"/>
      <c r="D124" s="63"/>
      <c r="E124" s="63"/>
      <c r="F124" s="63"/>
      <c r="G124" s="17"/>
      <c r="H124" s="17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</row>
    <row r="125" spans="1:40" ht="23.4" x14ac:dyDescent="0.3">
      <c r="A125" s="17"/>
      <c r="B125" s="17"/>
      <c r="C125" s="63"/>
      <c r="D125" s="63"/>
      <c r="E125" s="63"/>
      <c r="F125" s="63"/>
      <c r="G125" s="17"/>
      <c r="H125" s="17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spans="1:40" ht="23.4" x14ac:dyDescent="0.3">
      <c r="A126" s="17"/>
      <c r="B126" s="17"/>
      <c r="C126" s="63"/>
      <c r="D126" s="63"/>
      <c r="E126" s="63"/>
      <c r="F126" s="63"/>
      <c r="G126" s="17"/>
      <c r="H126" s="17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spans="1:40" ht="23.4" x14ac:dyDescent="0.3">
      <c r="A127" s="17"/>
      <c r="B127" s="17"/>
      <c r="C127" s="63"/>
      <c r="D127" s="63"/>
      <c r="E127" s="63"/>
      <c r="F127" s="63"/>
      <c r="G127" s="17"/>
      <c r="H127" s="17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</row>
    <row r="128" spans="1:40" ht="23.4" x14ac:dyDescent="0.3">
      <c r="A128" s="17"/>
      <c r="B128" s="17"/>
      <c r="C128" s="63"/>
      <c r="D128" s="63"/>
      <c r="E128" s="63"/>
      <c r="F128" s="63"/>
      <c r="G128" s="17"/>
      <c r="H128" s="17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</row>
    <row r="129" spans="1:40" ht="23.4" x14ac:dyDescent="0.3">
      <c r="A129" s="17"/>
      <c r="B129" s="17"/>
      <c r="C129" s="63"/>
      <c r="D129" s="63"/>
      <c r="E129" s="63"/>
      <c r="F129" s="63"/>
      <c r="G129" s="17"/>
      <c r="H129" s="17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</row>
    <row r="130" spans="1:40" ht="23.4" x14ac:dyDescent="0.3">
      <c r="A130" s="17"/>
      <c r="B130" s="17"/>
      <c r="C130" s="63"/>
      <c r="D130" s="63"/>
      <c r="E130" s="63"/>
      <c r="F130" s="63"/>
      <c r="G130" s="17"/>
      <c r="H130" s="17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</row>
    <row r="131" spans="1:40" ht="23.4" x14ac:dyDescent="0.3">
      <c r="A131" s="17"/>
      <c r="B131" s="17"/>
      <c r="C131" s="63"/>
      <c r="D131" s="63"/>
      <c r="E131" s="63"/>
      <c r="F131" s="63"/>
      <c r="G131" s="17"/>
      <c r="H131" s="17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</row>
    <row r="132" spans="1:40" ht="23.4" x14ac:dyDescent="0.3">
      <c r="A132" s="17"/>
      <c r="B132" s="17"/>
      <c r="C132" s="63"/>
      <c r="D132" s="63"/>
      <c r="E132" s="63"/>
      <c r="F132" s="63"/>
      <c r="G132" s="17"/>
      <c r="H132" s="17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</row>
    <row r="133" spans="1:40" ht="23.4" x14ac:dyDescent="0.3">
      <c r="A133" s="17"/>
      <c r="B133" s="17"/>
      <c r="C133" s="63"/>
      <c r="D133" s="63"/>
      <c r="E133" s="63"/>
      <c r="F133" s="63"/>
      <c r="G133" s="17"/>
      <c r="H133" s="17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</row>
    <row r="134" spans="1:40" ht="23.4" x14ac:dyDescent="0.3">
      <c r="A134" s="17"/>
      <c r="B134" s="17"/>
      <c r="C134" s="63"/>
      <c r="D134" s="63"/>
      <c r="E134" s="63"/>
      <c r="F134" s="63"/>
      <c r="G134" s="17"/>
      <c r="H134" s="17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</row>
    <row r="135" spans="1:40" ht="23.4" x14ac:dyDescent="0.3">
      <c r="A135" s="17"/>
      <c r="B135" s="17"/>
      <c r="C135" s="63"/>
      <c r="D135" s="63"/>
      <c r="E135" s="63"/>
      <c r="F135" s="63"/>
      <c r="G135" s="17"/>
      <c r="H135" s="17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</row>
    <row r="136" spans="1:40" ht="23.4" x14ac:dyDescent="0.3">
      <c r="A136" s="17"/>
      <c r="B136" s="17"/>
      <c r="C136" s="63"/>
      <c r="D136" s="63"/>
      <c r="E136" s="63"/>
      <c r="F136" s="63"/>
      <c r="G136" s="17"/>
      <c r="H136" s="17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</row>
    <row r="137" spans="1:40" ht="23.4" x14ac:dyDescent="0.3">
      <c r="A137" s="17"/>
      <c r="B137" s="17"/>
      <c r="C137" s="63"/>
      <c r="D137" s="63"/>
      <c r="E137" s="63"/>
      <c r="F137" s="63"/>
      <c r="G137" s="17"/>
      <c r="H137" s="17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</row>
    <row r="138" spans="1:40" ht="23.4" x14ac:dyDescent="0.3">
      <c r="A138" s="17"/>
      <c r="B138" s="17"/>
      <c r="C138" s="63"/>
      <c r="D138" s="63"/>
      <c r="E138" s="63"/>
      <c r="F138" s="63"/>
      <c r="G138" s="17"/>
      <c r="H138" s="17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</row>
    <row r="139" spans="1:40" ht="23.4" x14ac:dyDescent="0.3">
      <c r="A139" s="17"/>
      <c r="B139" s="17"/>
      <c r="C139" s="63"/>
      <c r="D139" s="63"/>
      <c r="E139" s="63"/>
      <c r="F139" s="63"/>
      <c r="G139" s="17"/>
      <c r="H139" s="17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</row>
    <row r="140" spans="1:40" ht="23.4" x14ac:dyDescent="0.3">
      <c r="A140" s="17"/>
      <c r="B140" s="17"/>
      <c r="C140" s="63"/>
      <c r="D140" s="63"/>
      <c r="E140" s="63"/>
      <c r="F140" s="63"/>
      <c r="G140" s="17"/>
      <c r="H140" s="17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</row>
    <row r="141" spans="1:40" ht="23.4" x14ac:dyDescent="0.3">
      <c r="A141" s="17"/>
      <c r="B141" s="17"/>
      <c r="C141" s="63"/>
      <c r="D141" s="63"/>
      <c r="E141" s="63"/>
      <c r="F141" s="63"/>
      <c r="G141" s="17"/>
      <c r="H141" s="17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</row>
    <row r="142" spans="1:40" ht="23.4" x14ac:dyDescent="0.3">
      <c r="A142" s="17"/>
      <c r="B142" s="17"/>
      <c r="C142" s="63"/>
      <c r="D142" s="63"/>
      <c r="E142" s="63"/>
      <c r="F142" s="63"/>
      <c r="G142" s="17"/>
      <c r="H142" s="17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</row>
    <row r="143" spans="1:40" ht="23.4" x14ac:dyDescent="0.3">
      <c r="A143" s="17"/>
      <c r="B143" s="17"/>
      <c r="C143" s="63"/>
      <c r="D143" s="63"/>
      <c r="E143" s="63"/>
      <c r="F143" s="63"/>
      <c r="G143" s="17"/>
      <c r="H143" s="17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</row>
    <row r="144" spans="1:40" ht="23.4" x14ac:dyDescent="0.3">
      <c r="A144" s="17"/>
      <c r="B144" s="17"/>
      <c r="C144" s="63"/>
      <c r="D144" s="63"/>
      <c r="E144" s="63"/>
      <c r="F144" s="63"/>
      <c r="G144" s="17"/>
      <c r="H144" s="17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</row>
    <row r="145" spans="1:40" ht="23.4" x14ac:dyDescent="0.3">
      <c r="A145" s="17"/>
      <c r="B145" s="17"/>
      <c r="C145" s="63"/>
      <c r="D145" s="63"/>
      <c r="E145" s="63"/>
      <c r="F145" s="63"/>
      <c r="G145" s="17"/>
      <c r="H145" s="17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</row>
    <row r="146" spans="1:40" ht="23.4" x14ac:dyDescent="0.3">
      <c r="A146" s="17"/>
      <c r="B146" s="17"/>
      <c r="C146" s="63"/>
      <c r="D146" s="63"/>
      <c r="E146" s="63"/>
      <c r="F146" s="63"/>
      <c r="G146" s="17"/>
      <c r="H146" s="17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</row>
    <row r="147" spans="1:40" ht="23.4" x14ac:dyDescent="0.3">
      <c r="A147" s="17"/>
      <c r="B147" s="17"/>
      <c r="C147" s="63"/>
      <c r="D147" s="63"/>
      <c r="E147" s="63"/>
      <c r="F147" s="63"/>
      <c r="G147" s="17"/>
      <c r="H147" s="17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</row>
    <row r="148" spans="1:40" ht="23.4" x14ac:dyDescent="0.3">
      <c r="A148" s="17"/>
      <c r="B148" s="17"/>
      <c r="C148" s="63"/>
      <c r="D148" s="63"/>
      <c r="E148" s="63"/>
      <c r="F148" s="63"/>
      <c r="G148" s="17"/>
      <c r="H148" s="17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</row>
    <row r="149" spans="1:40" ht="23.4" x14ac:dyDescent="0.3">
      <c r="A149" s="17"/>
      <c r="B149" s="17"/>
      <c r="C149" s="63"/>
      <c r="D149" s="63"/>
      <c r="E149" s="63"/>
      <c r="F149" s="63"/>
      <c r="G149" s="17"/>
      <c r="H149" s="17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</row>
    <row r="150" spans="1:40" ht="23.4" x14ac:dyDescent="0.3">
      <c r="A150" s="17"/>
      <c r="B150" s="17"/>
      <c r="C150" s="63"/>
      <c r="D150" s="63"/>
      <c r="E150" s="63"/>
      <c r="F150" s="63"/>
      <c r="G150" s="17"/>
      <c r="H150" s="17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</row>
    <row r="151" spans="1:40" ht="23.4" x14ac:dyDescent="0.3">
      <c r="A151" s="17"/>
      <c r="B151" s="17"/>
      <c r="C151" s="63"/>
      <c r="D151" s="63"/>
      <c r="E151" s="63"/>
      <c r="F151" s="63"/>
      <c r="G151" s="17"/>
      <c r="H151" s="17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</row>
    <row r="152" spans="1:40" ht="23.4" x14ac:dyDescent="0.3">
      <c r="A152" s="17"/>
      <c r="B152" s="17"/>
      <c r="C152" s="63"/>
      <c r="D152" s="63"/>
      <c r="E152" s="63"/>
      <c r="F152" s="63"/>
      <c r="G152" s="17"/>
      <c r="H152" s="17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</row>
    <row r="153" spans="1:40" ht="23.4" x14ac:dyDescent="0.3">
      <c r="A153" s="17"/>
      <c r="B153" s="17"/>
      <c r="C153" s="63"/>
      <c r="D153" s="63"/>
      <c r="E153" s="63"/>
      <c r="F153" s="63"/>
      <c r="G153" s="17"/>
      <c r="H153" s="17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</row>
    <row r="154" spans="1:40" ht="23.4" x14ac:dyDescent="0.3">
      <c r="A154" s="17"/>
      <c r="B154" s="17"/>
      <c r="C154" s="63"/>
      <c r="D154" s="63"/>
      <c r="E154" s="63"/>
      <c r="F154" s="63"/>
      <c r="G154" s="17"/>
      <c r="H154" s="17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</row>
    <row r="155" spans="1:40" ht="23.4" x14ac:dyDescent="0.3">
      <c r="A155" s="17"/>
      <c r="B155" s="17"/>
      <c r="C155" s="63"/>
      <c r="D155" s="63"/>
      <c r="E155" s="63"/>
      <c r="F155" s="63"/>
      <c r="G155" s="17"/>
      <c r="H155" s="17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</row>
    <row r="156" spans="1:40" ht="23.4" x14ac:dyDescent="0.3">
      <c r="A156" s="17"/>
      <c r="B156" s="17"/>
      <c r="C156" s="63"/>
      <c r="D156" s="63"/>
      <c r="E156" s="63"/>
      <c r="F156" s="63"/>
      <c r="G156" s="17"/>
      <c r="H156" s="17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</row>
    <row r="157" spans="1:40" ht="23.4" x14ac:dyDescent="0.3">
      <c r="A157" s="17"/>
      <c r="B157" s="17"/>
      <c r="C157" s="63"/>
      <c r="D157" s="63"/>
      <c r="E157" s="63"/>
      <c r="F157" s="63"/>
      <c r="G157" s="17"/>
      <c r="H157" s="17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</row>
    <row r="158" spans="1:40" ht="23.4" x14ac:dyDescent="0.3">
      <c r="A158" s="17"/>
      <c r="B158" s="17"/>
      <c r="C158" s="63"/>
      <c r="D158" s="63"/>
      <c r="E158" s="63"/>
      <c r="F158" s="63"/>
      <c r="G158" s="17"/>
      <c r="H158" s="17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</row>
    <row r="159" spans="1:40" ht="23.4" x14ac:dyDescent="0.3">
      <c r="A159" s="17"/>
      <c r="B159" s="17"/>
      <c r="C159" s="63"/>
      <c r="D159" s="63"/>
      <c r="E159" s="63"/>
      <c r="F159" s="63"/>
      <c r="G159" s="17"/>
      <c r="H159" s="17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</row>
    <row r="160" spans="1:40" ht="23.4" x14ac:dyDescent="0.3">
      <c r="A160" s="17"/>
      <c r="B160" s="17"/>
      <c r="C160" s="63"/>
      <c r="D160" s="63"/>
      <c r="E160" s="63"/>
      <c r="F160" s="63"/>
      <c r="G160" s="17"/>
      <c r="H160" s="17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</row>
    <row r="161" spans="1:40" ht="23.4" x14ac:dyDescent="0.3">
      <c r="A161" s="17"/>
      <c r="B161" s="17"/>
      <c r="C161" s="63"/>
      <c r="D161" s="63"/>
      <c r="E161" s="63"/>
      <c r="F161" s="63"/>
      <c r="G161" s="17"/>
      <c r="H161" s="17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</row>
    <row r="162" spans="1:40" ht="23.4" x14ac:dyDescent="0.3">
      <c r="A162" s="17"/>
      <c r="B162" s="17"/>
      <c r="C162" s="63"/>
      <c r="D162" s="63"/>
      <c r="E162" s="63"/>
      <c r="F162" s="63"/>
      <c r="G162" s="17"/>
      <c r="H162" s="17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spans="1:40" ht="23.4" x14ac:dyDescent="0.3">
      <c r="A163" s="17"/>
      <c r="B163" s="17"/>
      <c r="C163" s="63"/>
      <c r="D163" s="63"/>
      <c r="E163" s="63"/>
      <c r="F163" s="63"/>
      <c r="G163" s="17"/>
      <c r="H163" s="17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</row>
    <row r="164" spans="1:40" ht="23.4" x14ac:dyDescent="0.3">
      <c r="A164" s="17"/>
      <c r="B164" s="17"/>
      <c r="C164" s="63"/>
      <c r="D164" s="63"/>
      <c r="E164" s="63"/>
      <c r="F164" s="63"/>
      <c r="G164" s="17"/>
      <c r="H164" s="17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</row>
    <row r="165" spans="1:40" ht="23.4" x14ac:dyDescent="0.3">
      <c r="A165" s="17"/>
      <c r="B165" s="17"/>
      <c r="C165" s="63"/>
      <c r="D165" s="63"/>
      <c r="E165" s="63"/>
      <c r="F165" s="63"/>
      <c r="G165" s="17"/>
      <c r="H165" s="17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</row>
    <row r="166" spans="1:40" ht="23.4" x14ac:dyDescent="0.3">
      <c r="A166" s="17"/>
      <c r="B166" s="17"/>
      <c r="C166" s="63"/>
      <c r="D166" s="63"/>
      <c r="E166" s="63"/>
      <c r="F166" s="63"/>
      <c r="G166" s="17"/>
      <c r="H166" s="17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</row>
    <row r="167" spans="1:40" ht="23.4" x14ac:dyDescent="0.3">
      <c r="A167" s="17"/>
      <c r="B167" s="17"/>
      <c r="C167" s="63"/>
      <c r="D167" s="63"/>
      <c r="E167" s="63"/>
      <c r="F167" s="63"/>
      <c r="G167" s="17"/>
      <c r="H167" s="17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</row>
    <row r="168" spans="1:40" ht="23.4" x14ac:dyDescent="0.3">
      <c r="A168" s="17"/>
      <c r="B168" s="17"/>
      <c r="C168" s="63"/>
      <c r="D168" s="63"/>
      <c r="E168" s="63"/>
      <c r="F168" s="63"/>
      <c r="G168" s="17"/>
      <c r="H168" s="17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</row>
    <row r="169" spans="1:40" ht="23.4" x14ac:dyDescent="0.3">
      <c r="A169" s="17"/>
      <c r="B169" s="17"/>
      <c r="C169" s="63"/>
      <c r="D169" s="63"/>
      <c r="E169" s="63"/>
      <c r="F169" s="63"/>
      <c r="G169" s="17"/>
      <c r="H169" s="17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</row>
    <row r="170" spans="1:40" ht="23.4" x14ac:dyDescent="0.3">
      <c r="A170" s="17"/>
      <c r="B170" s="17"/>
      <c r="C170" s="63"/>
      <c r="D170" s="63"/>
      <c r="E170" s="63"/>
      <c r="F170" s="63"/>
      <c r="G170" s="17"/>
      <c r="H170" s="17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</row>
    <row r="171" spans="1:40" ht="23.4" x14ac:dyDescent="0.3">
      <c r="A171" s="17"/>
      <c r="B171" s="17"/>
      <c r="C171" s="63"/>
      <c r="D171" s="63"/>
      <c r="E171" s="63"/>
      <c r="F171" s="63"/>
      <c r="G171" s="17"/>
      <c r="H171" s="17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</row>
    <row r="172" spans="1:40" ht="23.4" x14ac:dyDescent="0.3">
      <c r="A172" s="17"/>
      <c r="B172" s="17"/>
      <c r="C172" s="63"/>
      <c r="D172" s="63"/>
      <c r="E172" s="63"/>
      <c r="F172" s="63"/>
      <c r="G172" s="17"/>
      <c r="H172" s="17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</row>
    <row r="173" spans="1:40" ht="23.4" x14ac:dyDescent="0.3">
      <c r="A173" s="17"/>
      <c r="B173" s="17"/>
      <c r="C173" s="63"/>
      <c r="D173" s="63"/>
      <c r="E173" s="63"/>
      <c r="F173" s="63"/>
      <c r="G173" s="17"/>
      <c r="H173" s="17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</row>
    <row r="174" spans="1:40" ht="23.4" x14ac:dyDescent="0.3">
      <c r="A174" s="17"/>
      <c r="B174" s="17"/>
      <c r="C174" s="63"/>
      <c r="D174" s="63"/>
      <c r="E174" s="63"/>
      <c r="F174" s="63"/>
      <c r="G174" s="17"/>
      <c r="H174" s="17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spans="1:40" ht="23.4" x14ac:dyDescent="0.3">
      <c r="A175" s="17"/>
      <c r="B175" s="17"/>
      <c r="C175" s="63"/>
      <c r="D175" s="63"/>
      <c r="E175" s="63"/>
      <c r="F175" s="63"/>
      <c r="G175" s="17"/>
      <c r="H175" s="17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</row>
    <row r="176" spans="1:40" ht="23.4" x14ac:dyDescent="0.3">
      <c r="A176" s="17"/>
      <c r="B176" s="17"/>
      <c r="C176" s="63"/>
      <c r="D176" s="63"/>
      <c r="E176" s="63"/>
      <c r="F176" s="63"/>
      <c r="G176" s="17"/>
      <c r="H176" s="17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</row>
    <row r="177" spans="1:40" ht="23.4" x14ac:dyDescent="0.3">
      <c r="A177" s="17"/>
      <c r="B177" s="17"/>
      <c r="C177" s="63"/>
      <c r="D177" s="63"/>
      <c r="E177" s="63"/>
      <c r="F177" s="63"/>
      <c r="G177" s="17"/>
      <c r="H177" s="17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</row>
    <row r="178" spans="1:40" ht="23.4" x14ac:dyDescent="0.3">
      <c r="A178" s="17"/>
      <c r="B178" s="17"/>
      <c r="C178" s="63"/>
      <c r="D178" s="63"/>
      <c r="E178" s="63"/>
      <c r="F178" s="63"/>
      <c r="G178" s="17"/>
      <c r="H178" s="17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</row>
    <row r="179" spans="1:40" ht="23.4" x14ac:dyDescent="0.3">
      <c r="A179" s="17"/>
      <c r="B179" s="17"/>
      <c r="C179" s="63"/>
      <c r="D179" s="63"/>
      <c r="E179" s="63"/>
      <c r="F179" s="63"/>
      <c r="G179" s="17"/>
      <c r="H179" s="17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</row>
    <row r="180" spans="1:40" ht="23.4" x14ac:dyDescent="0.3">
      <c r="A180" s="17"/>
      <c r="B180" s="17"/>
      <c r="C180" s="63"/>
      <c r="D180" s="63"/>
      <c r="E180" s="63"/>
      <c r="F180" s="63"/>
      <c r="G180" s="17"/>
      <c r="H180" s="17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spans="1:40" ht="23.4" x14ac:dyDescent="0.3">
      <c r="A181" s="17"/>
      <c r="B181" s="17"/>
      <c r="C181" s="63"/>
      <c r="D181" s="63"/>
      <c r="E181" s="63"/>
      <c r="F181" s="63"/>
      <c r="G181" s="17"/>
      <c r="H181" s="17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</row>
    <row r="182" spans="1:40" ht="23.4" x14ac:dyDescent="0.3">
      <c r="A182" s="17"/>
      <c r="B182" s="17"/>
      <c r="C182" s="63"/>
      <c r="D182" s="63"/>
      <c r="E182" s="63"/>
      <c r="F182" s="63"/>
      <c r="G182" s="17"/>
      <c r="H182" s="17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spans="1:40" ht="23.4" x14ac:dyDescent="0.3">
      <c r="A183" s="17"/>
      <c r="B183" s="17"/>
      <c r="C183" s="63"/>
      <c r="D183" s="63"/>
      <c r="E183" s="63"/>
      <c r="F183" s="63"/>
      <c r="G183" s="17"/>
      <c r="H183" s="17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</row>
    <row r="184" spans="1:40" ht="23.4" x14ac:dyDescent="0.3">
      <c r="A184" s="17"/>
      <c r="B184" s="17"/>
      <c r="C184" s="63"/>
      <c r="D184" s="63"/>
      <c r="E184" s="63"/>
      <c r="F184" s="63"/>
      <c r="G184" s="17"/>
      <c r="H184" s="17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spans="1:40" ht="23.4" x14ac:dyDescent="0.3">
      <c r="A185" s="17"/>
      <c r="B185" s="17"/>
      <c r="C185" s="63"/>
      <c r="D185" s="63"/>
      <c r="E185" s="63"/>
      <c r="F185" s="63"/>
      <c r="G185" s="17"/>
      <c r="H185" s="17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</row>
    <row r="186" spans="1:40" ht="23.4" x14ac:dyDescent="0.3">
      <c r="A186" s="17"/>
      <c r="B186" s="17"/>
      <c r="C186" s="63"/>
      <c r="D186" s="63"/>
      <c r="E186" s="63"/>
      <c r="F186" s="63"/>
      <c r="G186" s="17"/>
      <c r="H186" s="17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spans="1:40" ht="23.4" x14ac:dyDescent="0.3">
      <c r="A187" s="17"/>
      <c r="B187" s="17"/>
      <c r="C187" s="63"/>
      <c r="D187" s="63"/>
      <c r="E187" s="63"/>
      <c r="F187" s="63"/>
      <c r="G187" s="17"/>
      <c r="H187" s="17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</row>
    <row r="188" spans="1:40" ht="23.4" x14ac:dyDescent="0.3">
      <c r="A188" s="17"/>
      <c r="B188" s="17"/>
      <c r="C188" s="63"/>
      <c r="D188" s="63"/>
      <c r="E188" s="63"/>
      <c r="F188" s="63"/>
      <c r="G188" s="17"/>
      <c r="H188" s="17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spans="1:40" ht="23.4" x14ac:dyDescent="0.3">
      <c r="A189" s="17"/>
      <c r="B189" s="17"/>
      <c r="C189" s="63"/>
      <c r="D189" s="63"/>
      <c r="E189" s="63"/>
      <c r="F189" s="63"/>
      <c r="G189" s="17"/>
      <c r="H189" s="17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</row>
    <row r="190" spans="1:40" ht="23.4" x14ac:dyDescent="0.3">
      <c r="A190" s="17"/>
      <c r="B190" s="17"/>
      <c r="C190" s="63"/>
      <c r="D190" s="63"/>
      <c r="E190" s="63"/>
      <c r="F190" s="63"/>
      <c r="G190" s="17"/>
      <c r="H190" s="17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spans="1:40" ht="23.4" x14ac:dyDescent="0.3">
      <c r="A191" s="17"/>
      <c r="B191" s="17"/>
      <c r="C191" s="63"/>
      <c r="D191" s="63"/>
      <c r="E191" s="63"/>
      <c r="F191" s="63"/>
      <c r="G191" s="17"/>
      <c r="H191" s="17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</row>
    <row r="192" spans="1:40" ht="23.4" x14ac:dyDescent="0.3">
      <c r="A192" s="17"/>
      <c r="B192" s="17"/>
      <c r="C192" s="63"/>
      <c r="D192" s="63"/>
      <c r="E192" s="63"/>
      <c r="F192" s="63"/>
      <c r="G192" s="17"/>
      <c r="H192" s="17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spans="1:40" ht="23.4" x14ac:dyDescent="0.3">
      <c r="A193" s="17"/>
      <c r="B193" s="17"/>
      <c r="C193" s="63"/>
      <c r="D193" s="63"/>
      <c r="E193" s="63"/>
      <c r="F193" s="63"/>
      <c r="G193" s="17"/>
      <c r="H193" s="17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</row>
    <row r="194" spans="1:40" ht="23.4" x14ac:dyDescent="0.3">
      <c r="A194" s="17"/>
      <c r="B194" s="17"/>
      <c r="C194" s="63"/>
      <c r="D194" s="63"/>
      <c r="E194" s="63"/>
      <c r="F194" s="63"/>
      <c r="G194" s="17"/>
      <c r="H194" s="17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spans="1:40" ht="23.4" x14ac:dyDescent="0.3">
      <c r="A195" s="17"/>
      <c r="B195" s="17"/>
      <c r="C195" s="63"/>
      <c r="D195" s="63"/>
      <c r="E195" s="63"/>
      <c r="F195" s="63"/>
      <c r="G195" s="17"/>
      <c r="H195" s="17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</row>
    <row r="196" spans="1:40" ht="23.4" x14ac:dyDescent="0.3">
      <c r="A196" s="17"/>
      <c r="B196" s="17"/>
      <c r="C196" s="63"/>
      <c r="D196" s="63"/>
      <c r="E196" s="63"/>
      <c r="F196" s="63"/>
      <c r="G196" s="17"/>
      <c r="H196" s="17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spans="1:40" ht="23.4" x14ac:dyDescent="0.3">
      <c r="A197" s="17"/>
      <c r="B197" s="17"/>
      <c r="C197" s="63"/>
      <c r="D197" s="63"/>
      <c r="E197" s="63"/>
      <c r="F197" s="63"/>
      <c r="G197" s="17"/>
      <c r="H197" s="17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</row>
    <row r="198" spans="1:40" ht="23.4" x14ac:dyDescent="0.3">
      <c r="A198" s="17"/>
      <c r="B198" s="17"/>
      <c r="C198" s="63"/>
      <c r="D198" s="63"/>
      <c r="E198" s="63"/>
      <c r="F198" s="63"/>
      <c r="G198" s="17"/>
      <c r="H198" s="17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spans="1:40" ht="23.4" x14ac:dyDescent="0.3">
      <c r="A199" s="17"/>
      <c r="B199" s="17"/>
      <c r="C199" s="63"/>
      <c r="D199" s="63"/>
      <c r="E199" s="63"/>
      <c r="F199" s="63"/>
      <c r="G199" s="17"/>
      <c r="H199" s="17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</row>
    <row r="200" spans="1:40" ht="23.4" x14ac:dyDescent="0.3">
      <c r="A200" s="17"/>
      <c r="B200" s="17"/>
      <c r="C200" s="63"/>
      <c r="D200" s="63"/>
      <c r="E200" s="63"/>
      <c r="F200" s="63"/>
      <c r="G200" s="17"/>
      <c r="H200" s="17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spans="1:40" ht="23.4" x14ac:dyDescent="0.3">
      <c r="A201" s="17"/>
      <c r="B201" s="17"/>
      <c r="C201" s="63"/>
      <c r="D201" s="63"/>
      <c r="E201" s="63"/>
      <c r="F201" s="63"/>
      <c r="G201" s="17"/>
      <c r="H201" s="17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</row>
    <row r="202" spans="1:40" ht="23.4" x14ac:dyDescent="0.3">
      <c r="A202" s="17"/>
      <c r="B202" s="17"/>
      <c r="C202" s="63"/>
      <c r="D202" s="63"/>
      <c r="E202" s="63"/>
      <c r="F202" s="63"/>
      <c r="G202" s="17"/>
      <c r="H202" s="17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spans="1:40" ht="23.4" x14ac:dyDescent="0.3">
      <c r="A203" s="17"/>
      <c r="B203" s="17"/>
      <c r="C203" s="63"/>
      <c r="D203" s="63"/>
      <c r="E203" s="63"/>
      <c r="F203" s="63"/>
      <c r="G203" s="17"/>
      <c r="H203" s="17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</row>
    <row r="204" spans="1:40" ht="23.4" x14ac:dyDescent="0.3">
      <c r="A204" s="17"/>
      <c r="B204" s="17"/>
      <c r="C204" s="63"/>
      <c r="D204" s="63"/>
      <c r="E204" s="63"/>
      <c r="F204" s="63"/>
      <c r="G204" s="17"/>
      <c r="H204" s="17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spans="1:40" ht="23.4" x14ac:dyDescent="0.3">
      <c r="A205" s="17"/>
      <c r="B205" s="17"/>
      <c r="C205" s="63"/>
      <c r="D205" s="63"/>
      <c r="E205" s="63"/>
      <c r="F205" s="63"/>
      <c r="G205" s="17"/>
      <c r="H205" s="17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</row>
    <row r="206" spans="1:40" ht="23.4" x14ac:dyDescent="0.3">
      <c r="A206" s="17"/>
      <c r="B206" s="17"/>
      <c r="C206" s="63"/>
      <c r="D206" s="63"/>
      <c r="E206" s="63"/>
      <c r="F206" s="63"/>
      <c r="G206" s="17"/>
      <c r="H206" s="17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spans="1:40" ht="23.4" x14ac:dyDescent="0.3">
      <c r="A207" s="17"/>
      <c r="B207" s="17"/>
      <c r="C207" s="63"/>
      <c r="D207" s="63"/>
      <c r="E207" s="63"/>
      <c r="F207" s="63"/>
      <c r="G207" s="17"/>
      <c r="H207" s="17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</row>
    <row r="208" spans="1:40" ht="23.4" x14ac:dyDescent="0.3">
      <c r="A208" s="17"/>
      <c r="B208" s="17"/>
      <c r="C208" s="63"/>
      <c r="D208" s="63"/>
      <c r="E208" s="63"/>
      <c r="F208" s="63"/>
      <c r="G208" s="17"/>
      <c r="H208" s="17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spans="1:40" ht="23.4" x14ac:dyDescent="0.3">
      <c r="A209" s="17"/>
      <c r="B209" s="17"/>
      <c r="C209" s="63"/>
      <c r="D209" s="63"/>
      <c r="E209" s="63"/>
      <c r="F209" s="63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</row>
    <row r="210" spans="1:40" ht="23.4" x14ac:dyDescent="0.3">
      <c r="A210" s="17"/>
      <c r="B210" s="17"/>
      <c r="C210" s="63"/>
      <c r="D210" s="63"/>
      <c r="E210" s="63"/>
      <c r="F210" s="63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spans="1:40" ht="23.4" x14ac:dyDescent="0.3">
      <c r="A211" s="17"/>
      <c r="B211" s="17"/>
      <c r="C211" s="63"/>
      <c r="D211" s="63"/>
      <c r="E211" s="63"/>
      <c r="F211" s="63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</row>
    <row r="212" spans="1:40" ht="23.4" x14ac:dyDescent="0.3">
      <c r="A212" s="17"/>
      <c r="B212" s="17"/>
      <c r="C212" s="63"/>
      <c r="D212" s="63"/>
      <c r="E212" s="63"/>
      <c r="F212" s="63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spans="1:40" ht="23.4" x14ac:dyDescent="0.3">
      <c r="A213" s="17"/>
      <c r="B213" s="17"/>
      <c r="C213" s="63"/>
      <c r="D213" s="63"/>
      <c r="E213" s="63"/>
      <c r="F213" s="63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</row>
    <row r="214" spans="1:40" ht="23.4" x14ac:dyDescent="0.3">
      <c r="A214" s="17"/>
      <c r="B214" s="17"/>
      <c r="C214" s="63"/>
      <c r="D214" s="63"/>
      <c r="E214" s="63"/>
      <c r="F214" s="63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spans="1:40" ht="23.4" x14ac:dyDescent="0.3">
      <c r="A215" s="17"/>
      <c r="B215" s="17"/>
      <c r="C215" s="63"/>
      <c r="D215" s="63"/>
      <c r="E215" s="63"/>
      <c r="F215" s="63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</row>
    <row r="216" spans="1:40" ht="23.4" x14ac:dyDescent="0.3">
      <c r="A216" s="17"/>
      <c r="B216" s="17"/>
      <c r="C216" s="63"/>
      <c r="D216" s="63"/>
      <c r="E216" s="63"/>
      <c r="F216" s="63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spans="1:40" ht="23.4" x14ac:dyDescent="0.3">
      <c r="A217" s="17"/>
      <c r="B217" s="17"/>
      <c r="C217" s="63"/>
      <c r="D217" s="63"/>
      <c r="E217" s="63"/>
      <c r="F217" s="63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</row>
    <row r="218" spans="1:40" ht="23.4" x14ac:dyDescent="0.3">
      <c r="A218" s="17"/>
      <c r="B218" s="17"/>
      <c r="C218" s="63"/>
      <c r="D218" s="63"/>
      <c r="E218" s="63"/>
      <c r="F218" s="63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spans="1:40" ht="23.4" x14ac:dyDescent="0.3">
      <c r="A219" s="17"/>
      <c r="B219" s="17"/>
      <c r="C219" s="63"/>
      <c r="D219" s="63"/>
      <c r="E219" s="63"/>
      <c r="F219" s="63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</row>
    <row r="220" spans="1:40" ht="23.4" x14ac:dyDescent="0.3">
      <c r="A220" s="17"/>
      <c r="B220" s="17"/>
      <c r="C220" s="63"/>
      <c r="D220" s="63"/>
      <c r="E220" s="63"/>
      <c r="F220" s="63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spans="1:40" ht="23.4" x14ac:dyDescent="0.3">
      <c r="A221" s="17"/>
      <c r="B221" s="17"/>
      <c r="C221" s="63"/>
      <c r="D221" s="63"/>
      <c r="E221" s="63"/>
      <c r="F221" s="63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</row>
    <row r="222" spans="1:40" ht="23.4" x14ac:dyDescent="0.3">
      <c r="A222" s="17"/>
      <c r="B222" s="17"/>
      <c r="C222" s="63"/>
      <c r="D222" s="63"/>
      <c r="E222" s="63"/>
      <c r="F222" s="63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spans="1:40" ht="23.4" x14ac:dyDescent="0.3">
      <c r="A223" s="17"/>
      <c r="B223" s="17"/>
      <c r="C223" s="63"/>
      <c r="D223" s="63"/>
      <c r="E223" s="63"/>
      <c r="F223" s="63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</row>
    <row r="224" spans="1:40" ht="23.4" x14ac:dyDescent="0.3">
      <c r="A224" s="17"/>
      <c r="B224" s="17"/>
      <c r="C224" s="63"/>
      <c r="D224" s="63"/>
      <c r="E224" s="63"/>
      <c r="F224" s="63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spans="1:40" ht="23.4" x14ac:dyDescent="0.3">
      <c r="A225" s="17"/>
      <c r="B225" s="17"/>
      <c r="C225" s="63"/>
      <c r="D225" s="63"/>
      <c r="E225" s="63"/>
      <c r="F225" s="63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</row>
    <row r="226" spans="1:40" ht="23.4" x14ac:dyDescent="0.3">
      <c r="A226" s="17"/>
      <c r="B226" s="17"/>
      <c r="C226" s="63"/>
      <c r="D226" s="63"/>
      <c r="E226" s="63"/>
      <c r="F226" s="63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  <row r="227" spans="1:40" ht="23.4" x14ac:dyDescent="0.3">
      <c r="A227" s="17"/>
      <c r="B227" s="17"/>
      <c r="C227" s="63"/>
      <c r="D227" s="63"/>
      <c r="E227" s="63"/>
      <c r="F227" s="63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</row>
    <row r="228" spans="1:40" ht="23.4" x14ac:dyDescent="0.3">
      <c r="A228" s="17"/>
      <c r="B228" s="17"/>
      <c r="C228" s="63"/>
      <c r="D228" s="63"/>
      <c r="E228" s="63"/>
      <c r="F228" s="63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</row>
    <row r="229" spans="1:40" ht="23.4" x14ac:dyDescent="0.3">
      <c r="A229" s="17"/>
      <c r="B229" s="17"/>
      <c r="C229" s="63"/>
      <c r="D229" s="63"/>
      <c r="E229" s="63"/>
      <c r="F229" s="63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</row>
    <row r="230" spans="1:40" ht="23.4" x14ac:dyDescent="0.3">
      <c r="A230" s="17"/>
      <c r="B230" s="17"/>
      <c r="C230" s="63"/>
      <c r="D230" s="63"/>
      <c r="E230" s="63"/>
      <c r="F230" s="63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</row>
    <row r="231" spans="1:40" ht="23.4" x14ac:dyDescent="0.3">
      <c r="A231" s="17"/>
      <c r="B231" s="17"/>
      <c r="C231" s="63"/>
      <c r="D231" s="63"/>
      <c r="E231" s="63"/>
      <c r="F231" s="63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</row>
    <row r="232" spans="1:40" ht="23.4" x14ac:dyDescent="0.3">
      <c r="A232" s="17"/>
      <c r="B232" s="17"/>
      <c r="C232" s="63"/>
      <c r="D232" s="63"/>
      <c r="E232" s="63"/>
      <c r="F232" s="63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</row>
    <row r="233" spans="1:40" ht="23.4" x14ac:dyDescent="0.3">
      <c r="A233" s="17"/>
      <c r="B233" s="17"/>
      <c r="C233" s="63"/>
      <c r="D233" s="63"/>
      <c r="E233" s="63"/>
      <c r="F233" s="63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</row>
    <row r="234" spans="1:40" ht="23.4" x14ac:dyDescent="0.3">
      <c r="A234" s="17"/>
      <c r="B234" s="17"/>
      <c r="C234" s="63"/>
      <c r="D234" s="63"/>
      <c r="E234" s="63"/>
      <c r="F234" s="63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</row>
    <row r="235" spans="1:40" ht="23.4" x14ac:dyDescent="0.3">
      <c r="A235" s="17"/>
      <c r="B235" s="17"/>
      <c r="C235" s="63"/>
      <c r="D235" s="63"/>
      <c r="E235" s="63"/>
      <c r="F235" s="63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</row>
    <row r="236" spans="1:40" ht="23.4" x14ac:dyDescent="0.3">
      <c r="A236" s="17"/>
      <c r="B236" s="17"/>
      <c r="C236" s="63"/>
      <c r="D236" s="63"/>
      <c r="E236" s="63"/>
      <c r="F236" s="63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</row>
    <row r="237" spans="1:40" ht="23.4" x14ac:dyDescent="0.3">
      <c r="A237" s="17"/>
      <c r="B237" s="17"/>
      <c r="C237" s="63"/>
      <c r="D237" s="63"/>
      <c r="E237" s="63"/>
      <c r="F237" s="63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</row>
    <row r="238" spans="1:40" ht="23.4" x14ac:dyDescent="0.3">
      <c r="A238" s="17"/>
      <c r="B238" s="17"/>
      <c r="C238" s="63"/>
      <c r="D238" s="63"/>
      <c r="E238" s="63"/>
      <c r="F238" s="63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</row>
    <row r="239" spans="1:40" ht="23.4" x14ac:dyDescent="0.3">
      <c r="A239" s="17"/>
      <c r="B239" s="17"/>
      <c r="C239" s="63"/>
      <c r="D239" s="63"/>
      <c r="E239" s="63"/>
      <c r="F239" s="63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</row>
    <row r="240" spans="1:40" ht="23.4" x14ac:dyDescent="0.3">
      <c r="A240" s="17"/>
      <c r="B240" s="17"/>
      <c r="C240" s="63"/>
      <c r="D240" s="63"/>
      <c r="E240" s="63"/>
      <c r="F240" s="63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</row>
    <row r="241" spans="1:40" ht="23.4" x14ac:dyDescent="0.3">
      <c r="A241" s="17"/>
      <c r="B241" s="17"/>
      <c r="C241" s="63"/>
      <c r="D241" s="63"/>
      <c r="E241" s="63"/>
      <c r="F241" s="63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</row>
    <row r="242" spans="1:40" ht="23.4" x14ac:dyDescent="0.3">
      <c r="A242" s="17"/>
      <c r="B242" s="17"/>
      <c r="C242" s="63"/>
      <c r="D242" s="63"/>
      <c r="E242" s="63"/>
      <c r="F242" s="63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</row>
    <row r="243" spans="1:40" ht="23.4" x14ac:dyDescent="0.3">
      <c r="A243" s="17"/>
      <c r="B243" s="17"/>
      <c r="C243" s="63"/>
      <c r="D243" s="63"/>
      <c r="E243" s="63"/>
      <c r="F243" s="63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</row>
    <row r="244" spans="1:40" ht="23.4" x14ac:dyDescent="0.3">
      <c r="A244" s="17"/>
      <c r="B244" s="17"/>
      <c r="C244" s="63"/>
      <c r="D244" s="63"/>
      <c r="E244" s="63"/>
      <c r="F244" s="63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</row>
    <row r="245" spans="1:40" ht="23.4" x14ac:dyDescent="0.3">
      <c r="A245" s="17"/>
      <c r="B245" s="17"/>
      <c r="C245" s="63"/>
      <c r="D245" s="63"/>
      <c r="E245" s="63"/>
      <c r="F245" s="63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</row>
    <row r="246" spans="1:40" ht="23.4" x14ac:dyDescent="0.3">
      <c r="A246" s="17"/>
      <c r="B246" s="17"/>
      <c r="C246" s="63"/>
      <c r="D246" s="63"/>
      <c r="E246" s="63"/>
      <c r="F246" s="63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</row>
    <row r="247" spans="1:40" ht="23.4" x14ac:dyDescent="0.3">
      <c r="A247" s="17"/>
      <c r="B247" s="17"/>
      <c r="C247" s="63"/>
      <c r="D247" s="63"/>
      <c r="E247" s="63"/>
      <c r="F247" s="63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</row>
    <row r="248" spans="1:40" ht="23.4" x14ac:dyDescent="0.3">
      <c r="A248" s="17"/>
      <c r="B248" s="17"/>
      <c r="C248" s="63"/>
      <c r="D248" s="63"/>
      <c r="E248" s="63"/>
      <c r="F248" s="63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</row>
    <row r="249" spans="1:40" ht="23.4" x14ac:dyDescent="0.3">
      <c r="A249" s="17"/>
      <c r="B249" s="17"/>
      <c r="C249" s="63"/>
      <c r="D249" s="63"/>
      <c r="E249" s="63"/>
      <c r="F249" s="63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</row>
    <row r="250" spans="1:40" ht="23.4" x14ac:dyDescent="0.3">
      <c r="A250" s="17"/>
      <c r="B250" s="17"/>
      <c r="C250" s="63"/>
      <c r="D250" s="63"/>
      <c r="E250" s="63"/>
      <c r="F250" s="63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</row>
    <row r="251" spans="1:40" ht="23.4" x14ac:dyDescent="0.3">
      <c r="A251" s="17"/>
      <c r="B251" s="17"/>
      <c r="C251" s="63"/>
      <c r="D251" s="63"/>
      <c r="E251" s="63"/>
      <c r="F251" s="63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</row>
    <row r="252" spans="1:40" ht="23.4" x14ac:dyDescent="0.3">
      <c r="A252" s="17"/>
      <c r="B252" s="17"/>
      <c r="C252" s="63"/>
      <c r="D252" s="63"/>
      <c r="E252" s="63"/>
      <c r="F252" s="63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</row>
    <row r="253" spans="1:40" ht="23.4" x14ac:dyDescent="0.3">
      <c r="A253" s="17"/>
      <c r="B253" s="17"/>
      <c r="C253" s="63"/>
      <c r="D253" s="63"/>
      <c r="E253" s="63"/>
      <c r="F253" s="63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</row>
    <row r="254" spans="1:40" ht="23.4" x14ac:dyDescent="0.3">
      <c r="A254" s="17"/>
      <c r="B254" s="17"/>
      <c r="C254" s="63"/>
      <c r="D254" s="63"/>
      <c r="E254" s="63"/>
      <c r="F254" s="63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</row>
    <row r="255" spans="1:40" ht="23.4" x14ac:dyDescent="0.3">
      <c r="A255" s="17"/>
      <c r="B255" s="17"/>
      <c r="C255" s="63"/>
      <c r="D255" s="63"/>
      <c r="E255" s="63"/>
      <c r="F255" s="63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</row>
    <row r="256" spans="1:40" ht="23.4" x14ac:dyDescent="0.3">
      <c r="A256" s="17"/>
      <c r="B256" s="17"/>
      <c r="C256" s="63"/>
      <c r="D256" s="63"/>
      <c r="E256" s="63"/>
      <c r="F256" s="63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</row>
    <row r="257" spans="1:40" ht="23.4" x14ac:dyDescent="0.3">
      <c r="A257" s="17"/>
      <c r="B257" s="17"/>
      <c r="C257" s="63"/>
      <c r="D257" s="63"/>
      <c r="E257" s="63"/>
      <c r="F257" s="63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</row>
    <row r="258" spans="1:40" ht="23.4" x14ac:dyDescent="0.3">
      <c r="A258" s="17"/>
      <c r="B258" s="17"/>
      <c r="C258" s="63"/>
      <c r="D258" s="63"/>
      <c r="E258" s="63"/>
      <c r="F258" s="63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</row>
    <row r="259" spans="1:40" ht="23.4" x14ac:dyDescent="0.3">
      <c r="A259" s="17"/>
      <c r="B259" s="17"/>
      <c r="C259" s="63"/>
      <c r="D259" s="63"/>
      <c r="E259" s="63"/>
      <c r="F259" s="63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</row>
    <row r="260" spans="1:40" ht="23.4" x14ac:dyDescent="0.3">
      <c r="A260" s="17"/>
      <c r="B260" s="17"/>
      <c r="C260" s="63"/>
      <c r="D260" s="63"/>
      <c r="E260" s="63"/>
      <c r="F260" s="63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</row>
    <row r="261" spans="1:40" ht="23.4" x14ac:dyDescent="0.3">
      <c r="A261" s="17"/>
      <c r="B261" s="17"/>
      <c r="C261" s="63"/>
      <c r="D261" s="63"/>
      <c r="E261" s="63"/>
      <c r="F261" s="63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</row>
    <row r="262" spans="1:40" ht="23.4" x14ac:dyDescent="0.3">
      <c r="A262" s="17"/>
      <c r="B262" s="17"/>
      <c r="C262" s="63"/>
      <c r="D262" s="63"/>
      <c r="E262" s="63"/>
      <c r="F262" s="63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</row>
    <row r="263" spans="1:40" ht="23.4" x14ac:dyDescent="0.3">
      <c r="A263" s="17"/>
      <c r="B263" s="17"/>
      <c r="C263" s="63"/>
      <c r="D263" s="63"/>
      <c r="E263" s="63"/>
      <c r="F263" s="63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</row>
    <row r="264" spans="1:40" ht="23.4" x14ac:dyDescent="0.3">
      <c r="A264" s="17"/>
      <c r="B264" s="17"/>
      <c r="C264" s="63"/>
      <c r="D264" s="63"/>
      <c r="E264" s="63"/>
      <c r="F264" s="63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</row>
    <row r="265" spans="1:40" ht="23.4" x14ac:dyDescent="0.3">
      <c r="A265" s="17"/>
      <c r="B265" s="17"/>
      <c r="C265" s="63"/>
      <c r="D265" s="63"/>
      <c r="E265" s="63"/>
      <c r="F265" s="63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</row>
    <row r="266" spans="1:40" ht="23.4" x14ac:dyDescent="0.3">
      <c r="A266" s="17"/>
      <c r="B266" s="17"/>
      <c r="C266" s="63"/>
      <c r="D266" s="63"/>
      <c r="E266" s="63"/>
      <c r="F266" s="63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</row>
    <row r="267" spans="1:40" ht="23.4" x14ac:dyDescent="0.3">
      <c r="A267" s="17"/>
      <c r="B267" s="17"/>
      <c r="C267" s="63"/>
      <c r="D267" s="63"/>
      <c r="E267" s="63"/>
      <c r="F267" s="63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</row>
    <row r="268" spans="1:40" ht="23.4" x14ac:dyDescent="0.3">
      <c r="A268" s="17"/>
      <c r="B268" s="17"/>
      <c r="C268" s="63"/>
      <c r="D268" s="63"/>
      <c r="E268" s="63"/>
      <c r="F268" s="63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</row>
    <row r="269" spans="1:40" ht="23.4" x14ac:dyDescent="0.3">
      <c r="A269" s="17"/>
      <c r="B269" s="17"/>
      <c r="C269" s="63"/>
      <c r="D269" s="63"/>
      <c r="E269" s="63"/>
      <c r="F269" s="63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</row>
    <row r="270" spans="1:40" ht="23.4" x14ac:dyDescent="0.3">
      <c r="A270" s="17"/>
      <c r="B270" s="17"/>
      <c r="C270" s="63"/>
      <c r="D270" s="63"/>
      <c r="E270" s="63"/>
      <c r="F270" s="63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</row>
    <row r="271" spans="1:40" ht="23.4" x14ac:dyDescent="0.3">
      <c r="A271" s="17"/>
      <c r="B271" s="17"/>
      <c r="C271" s="63"/>
      <c r="D271" s="63"/>
      <c r="E271" s="63"/>
      <c r="F271" s="63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</row>
    <row r="272" spans="1:40" ht="23.4" x14ac:dyDescent="0.3">
      <c r="A272" s="17"/>
      <c r="B272" s="17"/>
      <c r="C272" s="63"/>
      <c r="D272" s="63"/>
      <c r="E272" s="63"/>
      <c r="F272" s="63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</row>
    <row r="273" spans="1:40" ht="23.4" x14ac:dyDescent="0.3">
      <c r="A273" s="17"/>
      <c r="B273" s="17"/>
      <c r="C273" s="63"/>
      <c r="D273" s="63"/>
      <c r="E273" s="63"/>
      <c r="F273" s="63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</row>
    <row r="274" spans="1:40" ht="23.4" x14ac:dyDescent="0.3">
      <c r="A274" s="17"/>
      <c r="B274" s="17"/>
      <c r="C274" s="63"/>
      <c r="D274" s="63"/>
      <c r="E274" s="63"/>
      <c r="F274" s="63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</row>
    <row r="275" spans="1:40" ht="23.4" x14ac:dyDescent="0.3">
      <c r="A275" s="17"/>
      <c r="B275" s="17"/>
      <c r="C275" s="63"/>
      <c r="D275" s="63"/>
      <c r="E275" s="63"/>
      <c r="F275" s="63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</row>
    <row r="276" spans="1:40" ht="23.4" x14ac:dyDescent="0.3">
      <c r="A276" s="17"/>
      <c r="B276" s="17"/>
      <c r="C276" s="63"/>
      <c r="D276" s="63"/>
      <c r="E276" s="63"/>
      <c r="F276" s="63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</row>
    <row r="277" spans="1:40" ht="23.4" x14ac:dyDescent="0.3">
      <c r="A277" s="17"/>
      <c r="B277" s="17"/>
      <c r="C277" s="63"/>
      <c r="D277" s="63"/>
      <c r="E277" s="63"/>
      <c r="F277" s="63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</row>
    <row r="278" spans="1:40" ht="23.4" x14ac:dyDescent="0.3">
      <c r="A278" s="17"/>
      <c r="B278" s="17"/>
      <c r="C278" s="63"/>
      <c r="D278" s="63"/>
      <c r="E278" s="63"/>
      <c r="F278" s="63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</row>
    <row r="279" spans="1:40" ht="23.4" x14ac:dyDescent="0.3">
      <c r="A279" s="17"/>
      <c r="B279" s="17"/>
      <c r="C279" s="63"/>
      <c r="D279" s="63"/>
      <c r="E279" s="63"/>
      <c r="F279" s="63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</row>
    <row r="280" spans="1:40" ht="23.4" x14ac:dyDescent="0.3">
      <c r="A280" s="17"/>
      <c r="B280" s="17"/>
      <c r="C280" s="63"/>
      <c r="D280" s="63"/>
      <c r="E280" s="63"/>
      <c r="F280" s="63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</row>
    <row r="281" spans="1:40" ht="23.4" x14ac:dyDescent="0.3">
      <c r="A281" s="17"/>
      <c r="B281" s="17"/>
      <c r="C281" s="63"/>
      <c r="D281" s="63"/>
      <c r="E281" s="63"/>
      <c r="F281" s="63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</row>
    <row r="282" spans="1:40" ht="23.4" x14ac:dyDescent="0.3">
      <c r="A282" s="17"/>
      <c r="B282" s="17"/>
      <c r="C282" s="63"/>
      <c r="D282" s="63"/>
      <c r="E282" s="63"/>
      <c r="F282" s="63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</row>
    <row r="283" spans="1:40" ht="23.4" x14ac:dyDescent="0.3">
      <c r="A283" s="17"/>
      <c r="B283" s="17"/>
      <c r="C283" s="63"/>
      <c r="D283" s="63"/>
      <c r="E283" s="63"/>
      <c r="F283" s="63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</row>
    <row r="284" spans="1:40" ht="23.4" x14ac:dyDescent="0.3">
      <c r="A284" s="17"/>
      <c r="B284" s="17"/>
      <c r="C284" s="63"/>
      <c r="D284" s="63"/>
      <c r="E284" s="63"/>
      <c r="F284" s="63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</row>
    <row r="285" spans="1:40" ht="23.4" x14ac:dyDescent="0.3">
      <c r="A285" s="17"/>
      <c r="B285" s="17"/>
      <c r="C285" s="63"/>
      <c r="D285" s="63"/>
      <c r="E285" s="63"/>
      <c r="F285" s="63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</row>
    <row r="286" spans="1:40" ht="23.4" x14ac:dyDescent="0.3">
      <c r="A286" s="17"/>
      <c r="B286" s="17"/>
      <c r="C286" s="63"/>
      <c r="D286" s="63"/>
      <c r="E286" s="63"/>
      <c r="F286" s="63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</row>
    <row r="287" spans="1:40" ht="23.4" x14ac:dyDescent="0.3">
      <c r="A287" s="17"/>
      <c r="B287" s="17"/>
      <c r="C287" s="63"/>
      <c r="D287" s="63"/>
      <c r="E287" s="63"/>
      <c r="F287" s="63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</row>
    <row r="288" spans="1:40" ht="23.4" x14ac:dyDescent="0.3">
      <c r="A288" s="17"/>
      <c r="B288" s="17"/>
      <c r="C288" s="63"/>
      <c r="D288" s="63"/>
      <c r="E288" s="63"/>
      <c r="F288" s="63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</row>
    <row r="289" spans="1:40" ht="23.4" x14ac:dyDescent="0.3">
      <c r="A289" s="17"/>
      <c r="B289" s="17"/>
      <c r="C289" s="63"/>
      <c r="D289" s="63"/>
      <c r="E289" s="63"/>
      <c r="F289" s="63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</row>
    <row r="290" spans="1:40" ht="23.4" x14ac:dyDescent="0.3">
      <c r="A290" s="17"/>
      <c r="B290" s="17"/>
      <c r="C290" s="63"/>
      <c r="D290" s="63"/>
      <c r="E290" s="63"/>
      <c r="F290" s="63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</row>
    <row r="291" spans="1:40" ht="23.4" x14ac:dyDescent="0.3">
      <c r="A291" s="17"/>
      <c r="B291" s="17"/>
      <c r="C291" s="63"/>
      <c r="D291" s="63"/>
      <c r="E291" s="63"/>
      <c r="F291" s="63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</row>
    <row r="292" spans="1:40" ht="23.4" x14ac:dyDescent="0.3">
      <c r="A292" s="17"/>
      <c r="B292" s="17"/>
      <c r="C292" s="63"/>
      <c r="D292" s="63"/>
      <c r="E292" s="63"/>
      <c r="F292" s="63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</row>
    <row r="293" spans="1:40" ht="23.4" x14ac:dyDescent="0.3">
      <c r="A293" s="17"/>
      <c r="B293" s="17"/>
      <c r="C293" s="63"/>
      <c r="D293" s="63"/>
      <c r="E293" s="63"/>
      <c r="F293" s="63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</row>
    <row r="294" spans="1:40" ht="23.4" x14ac:dyDescent="0.3">
      <c r="A294" s="17"/>
      <c r="B294" s="17"/>
      <c r="C294" s="63"/>
      <c r="D294" s="63"/>
      <c r="E294" s="63"/>
      <c r="F294" s="63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</row>
    <row r="295" spans="1:40" ht="23.4" x14ac:dyDescent="0.3">
      <c r="A295" s="17"/>
      <c r="B295" s="17"/>
      <c r="C295" s="63"/>
      <c r="D295" s="63"/>
      <c r="E295" s="63"/>
      <c r="F295" s="63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</row>
    <row r="296" spans="1:40" ht="23.4" x14ac:dyDescent="0.3">
      <c r="A296" s="17"/>
      <c r="B296" s="17"/>
      <c r="C296" s="63"/>
      <c r="D296" s="63"/>
      <c r="E296" s="63"/>
      <c r="F296" s="63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</row>
    <row r="297" spans="1:40" ht="23.4" x14ac:dyDescent="0.3">
      <c r="A297" s="17"/>
      <c r="B297" s="17"/>
      <c r="C297" s="63"/>
      <c r="D297" s="63"/>
      <c r="E297" s="63"/>
      <c r="F297" s="63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</row>
    <row r="298" spans="1:40" ht="23.4" x14ac:dyDescent="0.3">
      <c r="A298" s="17"/>
      <c r="B298" s="17"/>
      <c r="C298" s="63"/>
      <c r="D298" s="63"/>
      <c r="E298" s="63"/>
      <c r="F298" s="63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</row>
    <row r="299" spans="1:40" ht="23.4" x14ac:dyDescent="0.3">
      <c r="A299" s="17"/>
      <c r="B299" s="17"/>
      <c r="C299" s="63"/>
      <c r="D299" s="63"/>
      <c r="E299" s="63"/>
      <c r="F299" s="63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</row>
    <row r="300" spans="1:40" ht="23.4" x14ac:dyDescent="0.3">
      <c r="A300" s="17"/>
      <c r="B300" s="17"/>
      <c r="C300" s="63"/>
      <c r="D300" s="63"/>
      <c r="E300" s="63"/>
      <c r="F300" s="63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</row>
    <row r="301" spans="1:40" ht="23.4" x14ac:dyDescent="0.3">
      <c r="A301" s="17"/>
      <c r="B301" s="17"/>
      <c r="C301" s="63"/>
      <c r="D301" s="63"/>
      <c r="E301" s="63"/>
      <c r="F301" s="63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</row>
    <row r="302" spans="1:40" ht="23.4" x14ac:dyDescent="0.3">
      <c r="A302" s="17"/>
      <c r="B302" s="17"/>
      <c r="C302" s="63"/>
      <c r="D302" s="63"/>
      <c r="E302" s="63"/>
      <c r="F302" s="63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</row>
    <row r="303" spans="1:40" ht="23.4" x14ac:dyDescent="0.3">
      <c r="A303" s="17"/>
      <c r="B303" s="17"/>
      <c r="C303" s="63"/>
      <c r="D303" s="63"/>
      <c r="E303" s="63"/>
      <c r="F303" s="63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</row>
    <row r="304" spans="1:40" ht="23.4" x14ac:dyDescent="0.3">
      <c r="A304" s="17"/>
      <c r="B304" s="17"/>
      <c r="C304" s="63"/>
      <c r="D304" s="63"/>
      <c r="E304" s="63"/>
      <c r="F304" s="63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</row>
    <row r="305" spans="1:40" ht="23.4" x14ac:dyDescent="0.3">
      <c r="A305" s="17"/>
      <c r="B305" s="17"/>
      <c r="C305" s="63"/>
      <c r="D305" s="63"/>
      <c r="E305" s="63"/>
      <c r="F305" s="63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</row>
    <row r="306" spans="1:40" ht="23.4" x14ac:dyDescent="0.3">
      <c r="A306" s="17"/>
      <c r="B306" s="17"/>
      <c r="C306" s="63"/>
      <c r="D306" s="63"/>
      <c r="E306" s="63"/>
      <c r="F306" s="63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</row>
    <row r="307" spans="1:40" ht="23.4" x14ac:dyDescent="0.3">
      <c r="A307" s="17"/>
      <c r="B307" s="17"/>
      <c r="C307" s="63"/>
      <c r="D307" s="63"/>
      <c r="E307" s="63"/>
      <c r="F307" s="63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</row>
    <row r="308" spans="1:40" ht="23.4" x14ac:dyDescent="0.3">
      <c r="A308" s="17"/>
      <c r="B308" s="17"/>
      <c r="C308" s="63"/>
      <c r="D308" s="63"/>
      <c r="E308" s="63"/>
      <c r="F308" s="63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</row>
    <row r="309" spans="1:40" ht="23.4" x14ac:dyDescent="0.3">
      <c r="A309" s="17"/>
      <c r="B309" s="17"/>
      <c r="C309" s="63"/>
      <c r="D309" s="63"/>
      <c r="E309" s="63"/>
      <c r="F309" s="63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</row>
    <row r="310" spans="1:40" ht="23.4" x14ac:dyDescent="0.3">
      <c r="A310" s="17"/>
      <c r="B310" s="17"/>
      <c r="C310" s="63"/>
      <c r="D310" s="63"/>
      <c r="E310" s="63"/>
      <c r="F310" s="63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</row>
    <row r="311" spans="1:40" ht="23.4" x14ac:dyDescent="0.3">
      <c r="A311" s="17"/>
      <c r="B311" s="17"/>
      <c r="C311" s="63"/>
      <c r="D311" s="63"/>
      <c r="E311" s="63"/>
      <c r="F311" s="63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</row>
    <row r="312" spans="1:40" ht="23.4" x14ac:dyDescent="0.3">
      <c r="A312" s="17"/>
      <c r="B312" s="17"/>
      <c r="C312" s="63"/>
      <c r="D312" s="63"/>
      <c r="E312" s="63"/>
      <c r="F312" s="63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</row>
    <row r="313" spans="1:40" ht="23.4" x14ac:dyDescent="0.3">
      <c r="A313" s="17"/>
      <c r="B313" s="17"/>
      <c r="C313" s="63"/>
      <c r="D313" s="63"/>
      <c r="E313" s="63"/>
      <c r="F313" s="63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</row>
    <row r="314" spans="1:40" ht="23.4" x14ac:dyDescent="0.3">
      <c r="A314" s="17"/>
      <c r="B314" s="17"/>
      <c r="C314" s="63"/>
      <c r="D314" s="63"/>
      <c r="E314" s="63"/>
      <c r="F314" s="63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</row>
    <row r="315" spans="1:40" ht="23.4" x14ac:dyDescent="0.3">
      <c r="A315" s="17"/>
      <c r="B315" s="17"/>
      <c r="C315" s="63"/>
      <c r="D315" s="63"/>
      <c r="E315" s="63"/>
      <c r="F315" s="63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</row>
    <row r="316" spans="1:40" ht="23.4" x14ac:dyDescent="0.3">
      <c r="A316" s="17"/>
      <c r="B316" s="17"/>
      <c r="C316" s="63"/>
      <c r="D316" s="63"/>
      <c r="E316" s="63"/>
      <c r="F316" s="63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</row>
    <row r="317" spans="1:40" ht="23.4" x14ac:dyDescent="0.3">
      <c r="A317" s="17"/>
      <c r="B317" s="17"/>
      <c r="C317" s="63"/>
      <c r="D317" s="63"/>
      <c r="E317" s="63"/>
      <c r="F317" s="63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</row>
    <row r="318" spans="1:40" ht="23.4" x14ac:dyDescent="0.3">
      <c r="A318" s="17"/>
      <c r="B318" s="17"/>
      <c r="C318" s="63"/>
      <c r="D318" s="63"/>
      <c r="E318" s="63"/>
      <c r="F318" s="63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</row>
    <row r="319" spans="1:40" ht="23.4" x14ac:dyDescent="0.3">
      <c r="A319" s="17"/>
      <c r="B319" s="17"/>
      <c r="C319" s="63"/>
      <c r="D319" s="63"/>
      <c r="E319" s="63"/>
      <c r="F319" s="63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</row>
    <row r="320" spans="1:40" ht="23.4" x14ac:dyDescent="0.3">
      <c r="A320" s="17"/>
      <c r="B320" s="17"/>
      <c r="C320" s="63"/>
      <c r="D320" s="63"/>
      <c r="E320" s="63"/>
      <c r="F320" s="63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</row>
    <row r="321" spans="1:40" ht="23.4" x14ac:dyDescent="0.3">
      <c r="A321" s="17"/>
      <c r="B321" s="17"/>
      <c r="C321" s="63"/>
      <c r="D321" s="63"/>
      <c r="E321" s="63"/>
      <c r="F321" s="63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</row>
    <row r="322" spans="1:40" ht="23.4" x14ac:dyDescent="0.3">
      <c r="A322" s="17"/>
      <c r="B322" s="17"/>
      <c r="C322" s="63"/>
      <c r="D322" s="63"/>
      <c r="E322" s="63"/>
      <c r="F322" s="63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</row>
    <row r="323" spans="1:40" ht="23.4" x14ac:dyDescent="0.3">
      <c r="A323" s="17"/>
      <c r="B323" s="17"/>
      <c r="C323" s="63"/>
      <c r="D323" s="63"/>
      <c r="E323" s="63"/>
      <c r="F323" s="63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</row>
    <row r="324" spans="1:40" ht="23.4" x14ac:dyDescent="0.3">
      <c r="A324" s="17"/>
      <c r="B324" s="17"/>
      <c r="C324" s="63"/>
      <c r="D324" s="63"/>
      <c r="E324" s="63"/>
      <c r="F324" s="63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</row>
    <row r="325" spans="1:40" ht="23.4" x14ac:dyDescent="0.3">
      <c r="A325" s="17"/>
      <c r="B325" s="17"/>
      <c r="C325" s="63"/>
      <c r="D325" s="63"/>
      <c r="E325" s="63"/>
      <c r="F325" s="63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</row>
    <row r="326" spans="1:40" ht="23.4" x14ac:dyDescent="0.3">
      <c r="A326" s="17"/>
      <c r="B326" s="17"/>
      <c r="C326" s="63"/>
      <c r="D326" s="63"/>
      <c r="E326" s="63"/>
      <c r="F326" s="63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</row>
    <row r="327" spans="1:40" ht="23.4" x14ac:dyDescent="0.3">
      <c r="A327" s="17"/>
      <c r="B327" s="17"/>
      <c r="C327" s="63"/>
      <c r="D327" s="63"/>
      <c r="E327" s="63"/>
      <c r="F327" s="63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</row>
    <row r="328" spans="1:40" ht="23.4" x14ac:dyDescent="0.3">
      <c r="A328" s="17"/>
      <c r="B328" s="17"/>
      <c r="C328" s="63"/>
      <c r="D328" s="63"/>
      <c r="E328" s="63"/>
      <c r="F328" s="63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</row>
    <row r="329" spans="1:40" ht="23.4" x14ac:dyDescent="0.3">
      <c r="A329" s="17"/>
      <c r="B329" s="17"/>
      <c r="C329" s="63"/>
      <c r="D329" s="63"/>
      <c r="E329" s="63"/>
      <c r="F329" s="63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</row>
    <row r="330" spans="1:40" ht="23.4" x14ac:dyDescent="0.3">
      <c r="A330" s="17"/>
      <c r="B330" s="17"/>
      <c r="C330" s="63"/>
      <c r="D330" s="63"/>
      <c r="E330" s="63"/>
      <c r="F330" s="63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</row>
    <row r="331" spans="1:40" ht="23.4" x14ac:dyDescent="0.3">
      <c r="A331" s="17"/>
      <c r="B331" s="17"/>
      <c r="C331" s="63"/>
      <c r="D331" s="63"/>
      <c r="E331" s="63"/>
      <c r="F331" s="63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</row>
    <row r="332" spans="1:40" ht="23.4" x14ac:dyDescent="0.3">
      <c r="A332" s="17"/>
      <c r="B332" s="17"/>
      <c r="C332" s="63"/>
      <c r="D332" s="63"/>
      <c r="E332" s="63"/>
      <c r="F332" s="63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</row>
    <row r="333" spans="1:40" ht="23.4" x14ac:dyDescent="0.3">
      <c r="A333" s="17"/>
      <c r="B333" s="17"/>
      <c r="C333" s="63"/>
      <c r="D333" s="63"/>
      <c r="E333" s="63"/>
      <c r="F333" s="63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</row>
    <row r="334" spans="1:40" ht="23.4" x14ac:dyDescent="0.3">
      <c r="A334" s="17"/>
      <c r="B334" s="17"/>
      <c r="C334" s="63"/>
      <c r="D334" s="63"/>
      <c r="E334" s="63"/>
      <c r="F334" s="63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</row>
    <row r="335" spans="1:40" ht="23.4" x14ac:dyDescent="0.3">
      <c r="A335" s="17"/>
      <c r="B335" s="17"/>
      <c r="C335" s="63"/>
      <c r="D335" s="63"/>
      <c r="E335" s="63"/>
      <c r="F335" s="63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</row>
    <row r="336" spans="1:40" ht="23.4" x14ac:dyDescent="0.3">
      <c r="A336" s="17"/>
      <c r="B336" s="17"/>
      <c r="C336" s="63"/>
      <c r="D336" s="63"/>
      <c r="E336" s="63"/>
      <c r="F336" s="63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</row>
    <row r="337" spans="1:40" ht="23.4" x14ac:dyDescent="0.3">
      <c r="A337" s="17"/>
      <c r="B337" s="17"/>
      <c r="C337" s="63"/>
      <c r="D337" s="63"/>
      <c r="E337" s="63"/>
      <c r="F337" s="63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</row>
    <row r="338" spans="1:40" ht="23.4" x14ac:dyDescent="0.3">
      <c r="A338" s="17"/>
      <c r="B338" s="17"/>
      <c r="C338" s="63"/>
      <c r="D338" s="63"/>
      <c r="E338" s="63"/>
      <c r="F338" s="63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</row>
    <row r="339" spans="1:40" ht="23.4" x14ac:dyDescent="0.3">
      <c r="A339" s="17"/>
      <c r="B339" s="17"/>
      <c r="C339" s="63"/>
      <c r="D339" s="63"/>
      <c r="E339" s="63"/>
      <c r="F339" s="63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</row>
    <row r="340" spans="1:40" ht="23.4" x14ac:dyDescent="0.3">
      <c r="A340" s="17"/>
      <c r="B340" s="17"/>
      <c r="C340" s="63"/>
      <c r="D340" s="63"/>
      <c r="E340" s="63"/>
      <c r="F340" s="63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</row>
    <row r="341" spans="1:40" ht="23.4" x14ac:dyDescent="0.3">
      <c r="A341" s="17"/>
      <c r="B341" s="17"/>
      <c r="C341" s="63"/>
      <c r="D341" s="63"/>
      <c r="E341" s="63"/>
      <c r="F341" s="63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</row>
    <row r="342" spans="1:40" ht="23.4" x14ac:dyDescent="0.3">
      <c r="A342" s="17"/>
      <c r="B342" s="17"/>
      <c r="C342" s="63"/>
      <c r="D342" s="63"/>
      <c r="E342" s="63"/>
      <c r="F342" s="63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</row>
    <row r="343" spans="1:40" ht="23.4" x14ac:dyDescent="0.3">
      <c r="A343" s="17"/>
      <c r="B343" s="17"/>
      <c r="C343" s="63"/>
      <c r="D343" s="63"/>
      <c r="E343" s="63"/>
      <c r="F343" s="63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</row>
    <row r="344" spans="1:40" ht="23.4" x14ac:dyDescent="0.3">
      <c r="A344" s="17"/>
      <c r="B344" s="17"/>
      <c r="C344" s="63"/>
      <c r="D344" s="63"/>
      <c r="E344" s="63"/>
      <c r="F344" s="63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</row>
    <row r="345" spans="1:40" ht="23.4" x14ac:dyDescent="0.3">
      <c r="A345" s="17"/>
      <c r="B345" s="17"/>
      <c r="C345" s="63"/>
      <c r="D345" s="63"/>
      <c r="E345" s="63"/>
      <c r="F345" s="63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</row>
    <row r="346" spans="1:40" ht="23.4" x14ac:dyDescent="0.3">
      <c r="A346" s="17"/>
      <c r="B346" s="17"/>
      <c r="C346" s="63"/>
      <c r="D346" s="63"/>
      <c r="E346" s="63"/>
      <c r="F346" s="63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</row>
    <row r="347" spans="1:40" ht="23.4" x14ac:dyDescent="0.3">
      <c r="A347" s="17"/>
      <c r="B347" s="17"/>
      <c r="C347" s="63"/>
      <c r="D347" s="63"/>
      <c r="E347" s="63"/>
      <c r="F347" s="63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</row>
    <row r="348" spans="1:40" ht="23.4" x14ac:dyDescent="0.3">
      <c r="A348" s="17"/>
      <c r="B348" s="17"/>
      <c r="C348" s="63"/>
      <c r="D348" s="63"/>
      <c r="E348" s="63"/>
      <c r="F348" s="63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</row>
    <row r="349" spans="1:40" ht="23.4" x14ac:dyDescent="0.3">
      <c r="A349" s="17"/>
      <c r="B349" s="17"/>
      <c r="C349" s="63"/>
      <c r="D349" s="63"/>
      <c r="E349" s="63"/>
      <c r="F349" s="63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</row>
    <row r="350" spans="1:40" ht="23.4" x14ac:dyDescent="0.3">
      <c r="A350" s="17"/>
      <c r="B350" s="17"/>
      <c r="C350" s="63"/>
      <c r="D350" s="63"/>
      <c r="E350" s="63"/>
      <c r="F350" s="63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</row>
    <row r="351" spans="1:40" ht="23.4" x14ac:dyDescent="0.3">
      <c r="A351" s="17"/>
      <c r="B351" s="17"/>
      <c r="C351" s="63"/>
      <c r="D351" s="63"/>
      <c r="E351" s="63"/>
      <c r="F351" s="63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</row>
    <row r="352" spans="1:40" ht="23.4" x14ac:dyDescent="0.3">
      <c r="A352" s="17"/>
      <c r="B352" s="17"/>
      <c r="C352" s="63"/>
      <c r="D352" s="63"/>
      <c r="E352" s="63"/>
      <c r="F352" s="63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</row>
    <row r="353" spans="1:40" ht="23.4" x14ac:dyDescent="0.3">
      <c r="A353" s="17"/>
      <c r="B353" s="17"/>
      <c r="C353" s="63"/>
      <c r="D353" s="63"/>
      <c r="E353" s="63"/>
      <c r="F353" s="63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</row>
    <row r="354" spans="1:40" ht="23.4" x14ac:dyDescent="0.3">
      <c r="A354" s="17"/>
      <c r="B354" s="17"/>
      <c r="C354" s="63"/>
      <c r="D354" s="63"/>
      <c r="E354" s="63"/>
      <c r="F354" s="63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</row>
    <row r="355" spans="1:40" ht="23.4" x14ac:dyDescent="0.3">
      <c r="A355" s="17"/>
      <c r="B355" s="17"/>
      <c r="C355" s="63"/>
      <c r="D355" s="63"/>
      <c r="E355" s="63"/>
      <c r="F355" s="63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</row>
    <row r="356" spans="1:40" ht="23.4" x14ac:dyDescent="0.3">
      <c r="A356" s="17"/>
      <c r="B356" s="17"/>
      <c r="C356" s="63"/>
      <c r="D356" s="63"/>
      <c r="E356" s="63"/>
      <c r="F356" s="63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</row>
    <row r="357" spans="1:40" ht="23.4" x14ac:dyDescent="0.3">
      <c r="A357" s="17"/>
      <c r="B357" s="17"/>
      <c r="C357" s="63"/>
      <c r="D357" s="63"/>
      <c r="E357" s="63"/>
      <c r="F357" s="63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</row>
    <row r="358" spans="1:40" ht="23.4" x14ac:dyDescent="0.3">
      <c r="A358" s="17"/>
      <c r="B358" s="17"/>
      <c r="C358" s="63"/>
      <c r="D358" s="63"/>
      <c r="E358" s="63"/>
      <c r="F358" s="63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</row>
    <row r="359" spans="1:40" ht="23.4" x14ac:dyDescent="0.3">
      <c r="A359" s="17"/>
      <c r="B359" s="17"/>
      <c r="C359" s="63"/>
      <c r="D359" s="63"/>
      <c r="E359" s="63"/>
      <c r="F359" s="63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</row>
    <row r="360" spans="1:40" ht="23.4" x14ac:dyDescent="0.3">
      <c r="A360" s="17"/>
      <c r="B360" s="17"/>
      <c r="C360" s="63"/>
      <c r="D360" s="63"/>
      <c r="E360" s="63"/>
      <c r="F360" s="63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</row>
    <row r="361" spans="1:40" ht="23.4" x14ac:dyDescent="0.3">
      <c r="A361" s="17"/>
      <c r="B361" s="17"/>
      <c r="C361" s="63"/>
      <c r="D361" s="63"/>
      <c r="E361" s="63"/>
      <c r="F361" s="63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</row>
    <row r="362" spans="1:40" ht="23.4" x14ac:dyDescent="0.3">
      <c r="A362" s="17"/>
      <c r="B362" s="17"/>
      <c r="C362" s="63"/>
      <c r="D362" s="63"/>
      <c r="E362" s="63"/>
      <c r="F362" s="63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</row>
    <row r="363" spans="1:40" ht="23.4" x14ac:dyDescent="0.3">
      <c r="A363" s="17"/>
      <c r="B363" s="17"/>
      <c r="C363" s="63"/>
      <c r="D363" s="63"/>
      <c r="E363" s="63"/>
      <c r="F363" s="63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</row>
    <row r="364" spans="1:40" ht="23.4" x14ac:dyDescent="0.3">
      <c r="A364" s="17"/>
      <c r="B364" s="17"/>
      <c r="C364" s="63"/>
      <c r="D364" s="63"/>
      <c r="E364" s="63"/>
      <c r="F364" s="63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</row>
    <row r="365" spans="1:40" ht="23.4" x14ac:dyDescent="0.3">
      <c r="A365" s="17"/>
      <c r="B365" s="17"/>
      <c r="C365" s="63"/>
      <c r="D365" s="63"/>
      <c r="E365" s="63"/>
      <c r="F365" s="63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</row>
    <row r="366" spans="1:40" ht="23.4" x14ac:dyDescent="0.3">
      <c r="A366" s="17"/>
      <c r="B366" s="17"/>
      <c r="C366" s="63"/>
      <c r="D366" s="63"/>
      <c r="E366" s="63"/>
      <c r="F366" s="63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</row>
    <row r="367" spans="1:40" ht="23.4" x14ac:dyDescent="0.3">
      <c r="A367" s="17"/>
      <c r="B367" s="17"/>
      <c r="C367" s="63"/>
      <c r="D367" s="63"/>
      <c r="E367" s="63"/>
      <c r="F367" s="63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</row>
    <row r="368" spans="1:40" ht="23.4" x14ac:dyDescent="0.3">
      <c r="A368" s="17"/>
      <c r="B368" s="17"/>
      <c r="C368" s="63"/>
      <c r="D368" s="63"/>
      <c r="E368" s="63"/>
      <c r="F368" s="63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</row>
    <row r="369" spans="1:40" ht="23.4" x14ac:dyDescent="0.3">
      <c r="A369" s="17"/>
      <c r="B369" s="17"/>
      <c r="C369" s="63"/>
      <c r="D369" s="63"/>
      <c r="E369" s="63"/>
      <c r="F369" s="63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</row>
    <row r="370" spans="1:40" ht="23.4" x14ac:dyDescent="0.3">
      <c r="A370" s="17"/>
      <c r="B370" s="17"/>
      <c r="C370" s="63"/>
      <c r="D370" s="63"/>
      <c r="E370" s="63"/>
      <c r="F370" s="63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</row>
    <row r="371" spans="1:40" ht="23.4" x14ac:dyDescent="0.3">
      <c r="A371" s="17"/>
      <c r="B371" s="17"/>
      <c r="C371" s="63"/>
      <c r="D371" s="63"/>
      <c r="E371" s="63"/>
      <c r="F371" s="63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</row>
    <row r="372" spans="1:40" ht="23.4" x14ac:dyDescent="0.3">
      <c r="A372" s="17"/>
      <c r="B372" s="17"/>
      <c r="C372" s="63"/>
      <c r="D372" s="63"/>
      <c r="E372" s="63"/>
      <c r="F372" s="63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</row>
    <row r="373" spans="1:40" ht="23.4" x14ac:dyDescent="0.3">
      <c r="A373" s="17"/>
      <c r="B373" s="17"/>
      <c r="C373" s="63"/>
      <c r="D373" s="63"/>
      <c r="E373" s="63"/>
      <c r="F373" s="63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</row>
    <row r="374" spans="1:40" ht="23.4" x14ac:dyDescent="0.3">
      <c r="A374" s="17"/>
      <c r="B374" s="17"/>
      <c r="C374" s="63"/>
      <c r="D374" s="63"/>
      <c r="E374" s="63"/>
      <c r="F374" s="63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</row>
    <row r="375" spans="1:40" ht="23.4" x14ac:dyDescent="0.3">
      <c r="A375" s="17"/>
      <c r="B375" s="17"/>
      <c r="C375" s="63"/>
      <c r="D375" s="63"/>
      <c r="E375" s="63"/>
      <c r="F375" s="63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</row>
    <row r="376" spans="1:40" ht="23.4" x14ac:dyDescent="0.3">
      <c r="A376" s="17"/>
      <c r="B376" s="17"/>
      <c r="C376" s="63"/>
      <c r="D376" s="63"/>
      <c r="E376" s="63"/>
      <c r="F376" s="63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</row>
    <row r="377" spans="1:40" ht="23.4" x14ac:dyDescent="0.3">
      <c r="A377" s="17"/>
      <c r="B377" s="17"/>
      <c r="C377" s="63"/>
      <c r="D377" s="63"/>
      <c r="E377" s="63"/>
      <c r="F377" s="63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</row>
    <row r="378" spans="1:40" ht="23.4" x14ac:dyDescent="0.3">
      <c r="A378" s="17"/>
      <c r="B378" s="17"/>
      <c r="C378" s="63"/>
      <c r="D378" s="63"/>
      <c r="E378" s="63"/>
      <c r="F378" s="63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</row>
    <row r="379" spans="1:40" ht="23.4" x14ac:dyDescent="0.3">
      <c r="A379" s="17"/>
      <c r="B379" s="17"/>
      <c r="C379" s="63"/>
      <c r="D379" s="63"/>
      <c r="E379" s="63"/>
      <c r="F379" s="63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</row>
    <row r="380" spans="1:40" ht="23.4" x14ac:dyDescent="0.3">
      <c r="A380" s="17"/>
      <c r="B380" s="17"/>
      <c r="C380" s="63"/>
      <c r="D380" s="63"/>
      <c r="E380" s="63"/>
      <c r="F380" s="63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</row>
    <row r="381" spans="1:40" ht="23.4" x14ac:dyDescent="0.3">
      <c r="A381" s="17"/>
      <c r="B381" s="17"/>
      <c r="C381" s="63"/>
      <c r="D381" s="63"/>
      <c r="E381" s="63"/>
      <c r="F381" s="63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</row>
    <row r="382" spans="1:40" ht="23.4" x14ac:dyDescent="0.3">
      <c r="A382" s="17"/>
      <c r="B382" s="17"/>
      <c r="C382" s="63"/>
      <c r="D382" s="63"/>
      <c r="E382" s="63"/>
      <c r="F382" s="63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</row>
    <row r="383" spans="1:40" ht="23.4" x14ac:dyDescent="0.3">
      <c r="A383" s="17"/>
      <c r="B383" s="17"/>
      <c r="C383" s="63"/>
      <c r="D383" s="63"/>
      <c r="E383" s="63"/>
      <c r="F383" s="63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</row>
    <row r="384" spans="1:40" ht="23.4" x14ac:dyDescent="0.3">
      <c r="A384" s="17"/>
      <c r="B384" s="17"/>
      <c r="C384" s="63"/>
      <c r="D384" s="63"/>
      <c r="E384" s="63"/>
      <c r="F384" s="63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</row>
    <row r="385" spans="1:40" ht="23.4" x14ac:dyDescent="0.3">
      <c r="A385" s="17"/>
      <c r="B385" s="17"/>
      <c r="C385" s="63"/>
      <c r="D385" s="63"/>
      <c r="E385" s="63"/>
      <c r="F385" s="63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</row>
    <row r="386" spans="1:40" ht="23.4" x14ac:dyDescent="0.3">
      <c r="A386" s="17"/>
      <c r="B386" s="17"/>
      <c r="C386" s="63"/>
      <c r="D386" s="63"/>
      <c r="E386" s="63"/>
      <c r="F386" s="63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</row>
    <row r="387" spans="1:40" ht="23.4" x14ac:dyDescent="0.3">
      <c r="A387" s="17"/>
      <c r="B387" s="17"/>
      <c r="C387" s="63"/>
      <c r="D387" s="63"/>
      <c r="E387" s="63"/>
      <c r="F387" s="63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</row>
    <row r="388" spans="1:40" ht="23.4" x14ac:dyDescent="0.3">
      <c r="A388" s="17"/>
      <c r="B388" s="17"/>
      <c r="C388" s="63"/>
      <c r="D388" s="63"/>
      <c r="E388" s="63"/>
      <c r="F388" s="63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</row>
    <row r="389" spans="1:40" ht="23.4" x14ac:dyDescent="0.3">
      <c r="A389" s="17"/>
      <c r="B389" s="17"/>
      <c r="C389" s="63"/>
      <c r="D389" s="63"/>
      <c r="E389" s="63"/>
      <c r="F389" s="63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</row>
    <row r="390" spans="1:40" ht="23.4" x14ac:dyDescent="0.3">
      <c r="A390" s="17"/>
      <c r="B390" s="17"/>
      <c r="C390" s="63"/>
      <c r="D390" s="63"/>
      <c r="E390" s="63"/>
      <c r="F390" s="63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</row>
    <row r="391" spans="1:40" ht="23.4" x14ac:dyDescent="0.3">
      <c r="A391" s="17"/>
      <c r="B391" s="17"/>
      <c r="C391" s="63"/>
      <c r="D391" s="63"/>
      <c r="E391" s="63"/>
      <c r="F391" s="63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</row>
    <row r="392" spans="1:40" ht="23.4" x14ac:dyDescent="0.3">
      <c r="A392" s="17"/>
      <c r="B392" s="17"/>
      <c r="C392" s="63"/>
      <c r="D392" s="63"/>
      <c r="E392" s="63"/>
      <c r="F392" s="63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</row>
    <row r="393" spans="1:40" ht="23.4" x14ac:dyDescent="0.3">
      <c r="A393" s="17"/>
      <c r="B393" s="17"/>
      <c r="C393" s="63"/>
      <c r="D393" s="63"/>
      <c r="E393" s="63"/>
      <c r="F393" s="63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</row>
    <row r="394" spans="1:40" ht="23.4" x14ac:dyDescent="0.3">
      <c r="A394" s="17"/>
      <c r="B394" s="17"/>
      <c r="C394" s="63"/>
      <c r="D394" s="63"/>
      <c r="E394" s="63"/>
      <c r="F394" s="63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</row>
    <row r="395" spans="1:40" ht="23.4" x14ac:dyDescent="0.3">
      <c r="A395" s="17"/>
      <c r="B395" s="17"/>
      <c r="C395" s="63"/>
      <c r="D395" s="63"/>
      <c r="E395" s="63"/>
      <c r="F395" s="63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</row>
    <row r="396" spans="1:40" ht="23.4" x14ac:dyDescent="0.3">
      <c r="A396" s="17"/>
      <c r="B396" s="17"/>
      <c r="C396" s="63"/>
      <c r="D396" s="63"/>
      <c r="E396" s="63"/>
      <c r="F396" s="63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</row>
    <row r="397" spans="1:40" ht="23.4" x14ac:dyDescent="0.3">
      <c r="A397" s="17"/>
      <c r="B397" s="17"/>
      <c r="C397" s="63"/>
      <c r="D397" s="63"/>
      <c r="E397" s="63"/>
      <c r="F397" s="63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</row>
    <row r="398" spans="1:40" ht="23.4" x14ac:dyDescent="0.3">
      <c r="A398" s="17"/>
      <c r="B398" s="17"/>
      <c r="C398" s="63"/>
      <c r="D398" s="63"/>
      <c r="E398" s="63"/>
      <c r="F398" s="63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</row>
    <row r="399" spans="1:40" ht="23.4" x14ac:dyDescent="0.3">
      <c r="A399" s="17"/>
      <c r="B399" s="17"/>
      <c r="C399" s="63"/>
      <c r="D399" s="63"/>
      <c r="E399" s="63"/>
      <c r="F399" s="63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</row>
    <row r="400" spans="1:40" ht="23.4" x14ac:dyDescent="0.3">
      <c r="A400" s="17"/>
      <c r="B400" s="17"/>
      <c r="C400" s="63"/>
      <c r="D400" s="63"/>
      <c r="E400" s="63"/>
      <c r="F400" s="63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</row>
    <row r="401" spans="1:40" ht="23.4" x14ac:dyDescent="0.3">
      <c r="A401" s="17"/>
      <c r="B401" s="17"/>
      <c r="C401" s="63"/>
      <c r="D401" s="63"/>
      <c r="E401" s="63"/>
      <c r="F401" s="63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</row>
    <row r="402" spans="1:40" ht="23.4" x14ac:dyDescent="0.3">
      <c r="A402" s="17"/>
      <c r="B402" s="17"/>
      <c r="C402" s="63"/>
      <c r="D402" s="63"/>
      <c r="E402" s="63"/>
      <c r="F402" s="63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</row>
    <row r="403" spans="1:40" ht="23.4" x14ac:dyDescent="0.3">
      <c r="A403" s="17"/>
      <c r="B403" s="17"/>
      <c r="C403" s="63"/>
      <c r="D403" s="63"/>
      <c r="E403" s="63"/>
      <c r="F403" s="63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</row>
    <row r="404" spans="1:40" ht="23.4" x14ac:dyDescent="0.3">
      <c r="A404" s="17"/>
      <c r="B404" s="17"/>
      <c r="C404" s="63"/>
      <c r="D404" s="63"/>
      <c r="E404" s="63"/>
      <c r="F404" s="63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</row>
    <row r="405" spans="1:40" ht="23.4" x14ac:dyDescent="0.3">
      <c r="A405" s="17"/>
      <c r="B405" s="17"/>
      <c r="C405" s="63"/>
      <c r="D405" s="63"/>
      <c r="E405" s="63"/>
      <c r="F405" s="63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</row>
    <row r="406" spans="1:40" ht="23.4" x14ac:dyDescent="0.3">
      <c r="A406" s="17"/>
      <c r="B406" s="17"/>
      <c r="C406" s="63"/>
      <c r="D406" s="63"/>
      <c r="E406" s="63"/>
      <c r="F406" s="63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</row>
    <row r="407" spans="1:40" ht="23.4" x14ac:dyDescent="0.3">
      <c r="A407" s="17"/>
      <c r="B407" s="17"/>
      <c r="C407" s="63"/>
      <c r="D407" s="63"/>
      <c r="E407" s="63"/>
      <c r="F407" s="63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</row>
    <row r="408" spans="1:40" ht="23.4" x14ac:dyDescent="0.3">
      <c r="A408" s="17"/>
      <c r="B408" s="17"/>
      <c r="C408" s="63"/>
      <c r="D408" s="63"/>
      <c r="E408" s="63"/>
      <c r="F408" s="63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</row>
    <row r="409" spans="1:40" ht="23.4" x14ac:dyDescent="0.3">
      <c r="A409" s="17"/>
      <c r="B409" s="17"/>
      <c r="C409" s="63"/>
      <c r="D409" s="63"/>
      <c r="E409" s="63"/>
      <c r="F409" s="63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</row>
    <row r="410" spans="1:40" ht="23.4" x14ac:dyDescent="0.3">
      <c r="A410" s="17"/>
      <c r="B410" s="17"/>
      <c r="C410" s="63"/>
      <c r="D410" s="63"/>
      <c r="E410" s="63"/>
      <c r="F410" s="63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</row>
    <row r="411" spans="1:40" ht="23.4" x14ac:dyDescent="0.3">
      <c r="A411" s="17"/>
      <c r="B411" s="17"/>
      <c r="C411" s="63"/>
      <c r="D411" s="63"/>
      <c r="E411" s="63"/>
      <c r="F411" s="63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</row>
    <row r="412" spans="1:40" ht="23.4" x14ac:dyDescent="0.3">
      <c r="A412" s="17"/>
      <c r="B412" s="17"/>
      <c r="C412" s="63"/>
      <c r="D412" s="63"/>
      <c r="E412" s="63"/>
      <c r="F412" s="63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</row>
    <row r="413" spans="1:40" ht="23.4" x14ac:dyDescent="0.3">
      <c r="A413" s="17"/>
      <c r="B413" s="17"/>
      <c r="C413" s="63"/>
      <c r="D413" s="63"/>
      <c r="E413" s="63"/>
      <c r="F413" s="63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</row>
    <row r="414" spans="1:40" ht="23.4" x14ac:dyDescent="0.3">
      <c r="A414" s="17"/>
      <c r="B414" s="17"/>
      <c r="C414" s="63"/>
      <c r="D414" s="63"/>
      <c r="E414" s="63"/>
      <c r="F414" s="63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</row>
    <row r="415" spans="1:40" ht="23.4" x14ac:dyDescent="0.3">
      <c r="A415" s="17"/>
      <c r="B415" s="17"/>
      <c r="C415" s="63"/>
      <c r="D415" s="63"/>
      <c r="E415" s="63"/>
      <c r="F415" s="63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</row>
    <row r="416" spans="1:40" ht="23.4" x14ac:dyDescent="0.3">
      <c r="A416" s="17"/>
      <c r="B416" s="17"/>
      <c r="C416" s="63"/>
      <c r="D416" s="63"/>
      <c r="E416" s="63"/>
      <c r="F416" s="63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</row>
    <row r="417" spans="1:40" ht="23.4" x14ac:dyDescent="0.3">
      <c r="A417" s="17"/>
      <c r="B417" s="17"/>
      <c r="C417" s="63"/>
      <c r="D417" s="63"/>
      <c r="E417" s="63"/>
      <c r="F417" s="63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</row>
    <row r="418" spans="1:40" ht="23.4" x14ac:dyDescent="0.3">
      <c r="A418" s="17"/>
      <c r="B418" s="17"/>
      <c r="C418" s="63"/>
      <c r="D418" s="63"/>
      <c r="E418" s="63"/>
      <c r="F418" s="63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</row>
    <row r="419" spans="1:40" ht="23.4" x14ac:dyDescent="0.3">
      <c r="A419" s="17"/>
      <c r="B419" s="17"/>
      <c r="C419" s="63"/>
      <c r="D419" s="63"/>
      <c r="E419" s="63"/>
      <c r="F419" s="63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</row>
    <row r="420" spans="1:40" ht="23.4" x14ac:dyDescent="0.3">
      <c r="A420" s="17"/>
      <c r="B420" s="17"/>
      <c r="C420" s="63"/>
      <c r="D420" s="63"/>
      <c r="E420" s="63"/>
      <c r="F420" s="63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</row>
    <row r="421" spans="1:40" ht="23.4" x14ac:dyDescent="0.3">
      <c r="A421" s="17"/>
      <c r="B421" s="17"/>
      <c r="C421" s="63"/>
      <c r="D421" s="63"/>
      <c r="E421" s="63"/>
      <c r="F421" s="63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</row>
    <row r="422" spans="1:40" ht="23.4" x14ac:dyDescent="0.3">
      <c r="A422" s="17"/>
      <c r="B422" s="17"/>
      <c r="C422" s="63"/>
      <c r="D422" s="63"/>
      <c r="E422" s="63"/>
      <c r="F422" s="63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</row>
    <row r="423" spans="1:40" ht="23.4" x14ac:dyDescent="0.3">
      <c r="A423" s="17"/>
      <c r="B423" s="17"/>
      <c r="C423" s="63"/>
      <c r="D423" s="63"/>
      <c r="E423" s="63"/>
      <c r="F423" s="63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</row>
    <row r="424" spans="1:40" ht="23.4" x14ac:dyDescent="0.3">
      <c r="A424" s="17"/>
      <c r="B424" s="17"/>
      <c r="C424" s="63"/>
      <c r="D424" s="63"/>
      <c r="E424" s="63"/>
      <c r="F424" s="63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</row>
    <row r="425" spans="1:40" ht="23.4" x14ac:dyDescent="0.3">
      <c r="A425" s="17"/>
      <c r="B425" s="17"/>
      <c r="C425" s="63"/>
      <c r="D425" s="63"/>
      <c r="E425" s="63"/>
      <c r="F425" s="63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</row>
    <row r="426" spans="1:40" ht="23.4" x14ac:dyDescent="0.3">
      <c r="A426" s="17"/>
      <c r="B426" s="17"/>
      <c r="C426" s="63"/>
      <c r="D426" s="63"/>
      <c r="E426" s="63"/>
      <c r="F426" s="63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</row>
    <row r="427" spans="1:40" ht="23.4" x14ac:dyDescent="0.3">
      <c r="A427" s="17"/>
      <c r="B427" s="17"/>
      <c r="C427" s="63"/>
      <c r="D427" s="63"/>
      <c r="E427" s="63"/>
      <c r="F427" s="63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</row>
    <row r="428" spans="1:40" ht="23.4" x14ac:dyDescent="0.3">
      <c r="A428" s="17"/>
      <c r="B428" s="17"/>
      <c r="C428" s="63"/>
      <c r="D428" s="63"/>
      <c r="E428" s="63"/>
      <c r="F428" s="63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</row>
    <row r="429" spans="1:40" ht="23.4" x14ac:dyDescent="0.3">
      <c r="A429" s="17"/>
      <c r="B429" s="17"/>
      <c r="C429" s="63"/>
      <c r="D429" s="63"/>
      <c r="E429" s="63"/>
      <c r="F429" s="63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</row>
    <row r="430" spans="1:40" ht="23.4" x14ac:dyDescent="0.3">
      <c r="A430" s="17"/>
      <c r="B430" s="17"/>
      <c r="C430" s="63"/>
      <c r="D430" s="63"/>
      <c r="E430" s="63"/>
      <c r="F430" s="63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</row>
    <row r="431" spans="1:40" ht="23.4" x14ac:dyDescent="0.3">
      <c r="A431" s="17"/>
      <c r="B431" s="17"/>
      <c r="C431" s="63"/>
      <c r="D431" s="63"/>
      <c r="E431" s="63"/>
      <c r="F431" s="63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</row>
    <row r="432" spans="1:40" ht="23.4" x14ac:dyDescent="0.3">
      <c r="A432" s="17"/>
      <c r="B432" s="17"/>
      <c r="C432" s="63"/>
      <c r="D432" s="63"/>
      <c r="E432" s="63"/>
      <c r="F432" s="63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</row>
    <row r="433" spans="1:40" ht="23.4" x14ac:dyDescent="0.3">
      <c r="A433" s="17"/>
      <c r="B433" s="17"/>
      <c r="C433" s="63"/>
      <c r="D433" s="63"/>
      <c r="E433" s="63"/>
      <c r="F433" s="63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</row>
    <row r="434" spans="1:40" ht="23.4" x14ac:dyDescent="0.3">
      <c r="A434" s="17"/>
      <c r="B434" s="17"/>
      <c r="C434" s="63"/>
      <c r="D434" s="63"/>
      <c r="E434" s="63"/>
      <c r="F434" s="63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</row>
    <row r="435" spans="1:40" ht="23.4" x14ac:dyDescent="0.3">
      <c r="A435" s="17"/>
      <c r="B435" s="17"/>
      <c r="C435" s="63"/>
      <c r="D435" s="63"/>
      <c r="E435" s="63"/>
      <c r="F435" s="63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</row>
    <row r="436" spans="1:40" ht="23.4" x14ac:dyDescent="0.3">
      <c r="A436" s="17"/>
      <c r="B436" s="17"/>
      <c r="C436" s="63"/>
      <c r="D436" s="63"/>
      <c r="E436" s="63"/>
      <c r="F436" s="63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</row>
    <row r="437" spans="1:40" ht="23.4" x14ac:dyDescent="0.3">
      <c r="A437" s="17"/>
      <c r="B437" s="17"/>
      <c r="C437" s="63"/>
      <c r="D437" s="63"/>
      <c r="E437" s="63"/>
      <c r="F437" s="63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</row>
    <row r="438" spans="1:40" ht="23.4" x14ac:dyDescent="0.3">
      <c r="A438" s="17"/>
      <c r="B438" s="17"/>
      <c r="C438" s="63"/>
      <c r="D438" s="63"/>
      <c r="E438" s="63"/>
      <c r="F438" s="63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</row>
    <row r="439" spans="1:40" ht="23.4" x14ac:dyDescent="0.3">
      <c r="A439" s="17"/>
      <c r="B439" s="17"/>
      <c r="C439" s="63"/>
      <c r="D439" s="63"/>
      <c r="E439" s="63"/>
      <c r="F439" s="63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</row>
    <row r="440" spans="1:40" ht="23.4" x14ac:dyDescent="0.3">
      <c r="A440" s="17"/>
      <c r="B440" s="17"/>
      <c r="C440" s="63"/>
      <c r="D440" s="63"/>
      <c r="E440" s="63"/>
      <c r="F440" s="63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</row>
    <row r="441" spans="1:40" ht="23.4" x14ac:dyDescent="0.3">
      <c r="A441" s="17"/>
      <c r="B441" s="17"/>
      <c r="C441" s="63"/>
      <c r="D441" s="63"/>
      <c r="E441" s="63"/>
      <c r="F441" s="63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</row>
    <row r="442" spans="1:40" ht="23.4" x14ac:dyDescent="0.3">
      <c r="A442" s="17"/>
      <c r="B442" s="17"/>
      <c r="C442" s="63"/>
      <c r="D442" s="63"/>
      <c r="E442" s="63"/>
      <c r="F442" s="63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</row>
    <row r="443" spans="1:40" ht="23.4" x14ac:dyDescent="0.3">
      <c r="A443" s="17"/>
      <c r="B443" s="17"/>
      <c r="C443" s="63"/>
      <c r="D443" s="63"/>
      <c r="E443" s="63"/>
      <c r="F443" s="63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</row>
    <row r="444" spans="1:40" ht="23.4" x14ac:dyDescent="0.3">
      <c r="A444" s="17"/>
      <c r="B444" s="17"/>
      <c r="C444" s="63"/>
      <c r="D444" s="63"/>
      <c r="E444" s="63"/>
      <c r="F444" s="63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</row>
    <row r="445" spans="1:40" ht="23.4" x14ac:dyDescent="0.3">
      <c r="A445" s="17"/>
      <c r="B445" s="17"/>
      <c r="C445" s="63"/>
      <c r="D445" s="63"/>
      <c r="E445" s="63"/>
      <c r="F445" s="63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</row>
    <row r="446" spans="1:40" ht="23.4" x14ac:dyDescent="0.3">
      <c r="A446" s="17"/>
      <c r="B446" s="17"/>
      <c r="C446" s="63"/>
      <c r="D446" s="63"/>
      <c r="E446" s="63"/>
      <c r="F446" s="63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</row>
    <row r="447" spans="1:40" ht="23.4" x14ac:dyDescent="0.3">
      <c r="A447" s="17"/>
      <c r="B447" s="17"/>
      <c r="C447" s="63"/>
      <c r="D447" s="63"/>
      <c r="E447" s="63"/>
      <c r="F447" s="63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</row>
    <row r="448" spans="1:40" ht="23.4" x14ac:dyDescent="0.3">
      <c r="A448" s="17"/>
      <c r="B448" s="17"/>
      <c r="C448" s="63"/>
      <c r="D448" s="63"/>
      <c r="E448" s="63"/>
      <c r="F448" s="63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</row>
    <row r="449" spans="1:40" ht="23.4" x14ac:dyDescent="0.3">
      <c r="A449" s="17"/>
      <c r="B449" s="17"/>
      <c r="C449" s="63"/>
      <c r="D449" s="63"/>
      <c r="E449" s="63"/>
      <c r="F449" s="63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</row>
    <row r="450" spans="1:40" ht="23.4" x14ac:dyDescent="0.3">
      <c r="A450" s="17"/>
      <c r="B450" s="17"/>
      <c r="C450" s="63"/>
      <c r="D450" s="63"/>
      <c r="E450" s="63"/>
      <c r="F450" s="63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</row>
    <row r="451" spans="1:40" ht="23.4" x14ac:dyDescent="0.3">
      <c r="A451" s="17"/>
      <c r="B451" s="17"/>
      <c r="C451" s="63"/>
      <c r="D451" s="63"/>
      <c r="E451" s="63"/>
      <c r="F451" s="63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</row>
    <row r="452" spans="1:40" ht="23.4" x14ac:dyDescent="0.3">
      <c r="A452" s="17"/>
      <c r="B452" s="17"/>
      <c r="C452" s="63"/>
      <c r="D452" s="63"/>
      <c r="E452" s="63"/>
      <c r="F452" s="63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</row>
    <row r="453" spans="1:40" ht="23.4" x14ac:dyDescent="0.3">
      <c r="A453" s="17"/>
      <c r="B453" s="17"/>
      <c r="C453" s="63"/>
      <c r="D453" s="63"/>
      <c r="E453" s="63"/>
      <c r="F453" s="63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</row>
    <row r="454" spans="1:40" ht="23.4" x14ac:dyDescent="0.3">
      <c r="A454" s="17"/>
      <c r="B454" s="17"/>
      <c r="C454" s="63"/>
      <c r="D454" s="63"/>
      <c r="E454" s="63"/>
      <c r="F454" s="63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</row>
    <row r="455" spans="1:40" ht="23.4" x14ac:dyDescent="0.3">
      <c r="A455" s="17"/>
      <c r="B455" s="17"/>
      <c r="C455" s="63"/>
      <c r="D455" s="63"/>
      <c r="E455" s="63"/>
      <c r="F455" s="63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</row>
    <row r="456" spans="1:40" ht="23.4" x14ac:dyDescent="0.3">
      <c r="A456" s="17"/>
      <c r="B456" s="17"/>
      <c r="C456" s="63"/>
      <c r="D456" s="63"/>
      <c r="E456" s="63"/>
      <c r="F456" s="63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</row>
    <row r="457" spans="1:40" ht="23.4" x14ac:dyDescent="0.3">
      <c r="A457" s="17"/>
      <c r="B457" s="17"/>
      <c r="C457" s="63"/>
      <c r="D457" s="63"/>
      <c r="E457" s="63"/>
      <c r="F457" s="63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</row>
    <row r="458" spans="1:40" ht="23.4" x14ac:dyDescent="0.3">
      <c r="A458" s="17"/>
      <c r="B458" s="17"/>
      <c r="C458" s="63"/>
      <c r="D458" s="63"/>
      <c r="E458" s="63"/>
      <c r="F458" s="63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</row>
    <row r="459" spans="1:40" ht="23.4" x14ac:dyDescent="0.3">
      <c r="A459" s="17"/>
      <c r="B459" s="17"/>
      <c r="C459" s="63"/>
      <c r="D459" s="63"/>
      <c r="E459" s="63"/>
      <c r="F459" s="63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</row>
    <row r="460" spans="1:40" ht="23.4" x14ac:dyDescent="0.3">
      <c r="A460" s="17"/>
      <c r="B460" s="17"/>
      <c r="C460" s="63"/>
      <c r="D460" s="63"/>
      <c r="E460" s="63"/>
      <c r="F460" s="63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</row>
    <row r="461" spans="1:40" ht="23.4" x14ac:dyDescent="0.3">
      <c r="A461" s="17"/>
      <c r="B461" s="17"/>
      <c r="C461" s="63"/>
      <c r="D461" s="63"/>
      <c r="E461" s="63"/>
      <c r="F461" s="63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</row>
    <row r="462" spans="1:40" ht="23.4" x14ac:dyDescent="0.3">
      <c r="A462" s="17"/>
      <c r="B462" s="17"/>
      <c r="C462" s="63"/>
      <c r="D462" s="63"/>
      <c r="E462" s="63"/>
      <c r="F462" s="63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</row>
    <row r="463" spans="1:40" ht="23.4" x14ac:dyDescent="0.3">
      <c r="A463" s="17"/>
      <c r="B463" s="17"/>
      <c r="C463" s="63"/>
      <c r="D463" s="63"/>
      <c r="E463" s="63"/>
      <c r="F463" s="63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</row>
    <row r="464" spans="1:40" ht="23.4" x14ac:dyDescent="0.3">
      <c r="A464" s="17"/>
      <c r="B464" s="17"/>
      <c r="C464" s="63"/>
      <c r="D464" s="63"/>
      <c r="E464" s="63"/>
      <c r="F464" s="63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</row>
    <row r="465" spans="1:40" ht="23.4" x14ac:dyDescent="0.3">
      <c r="A465" s="17"/>
      <c r="B465" s="17"/>
      <c r="C465" s="63"/>
      <c r="D465" s="63"/>
      <c r="E465" s="63"/>
      <c r="F465" s="63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</row>
    <row r="466" spans="1:40" ht="23.4" x14ac:dyDescent="0.3">
      <c r="A466" s="17"/>
      <c r="B466" s="17"/>
      <c r="C466" s="63"/>
      <c r="D466" s="63"/>
      <c r="E466" s="63"/>
      <c r="F466" s="63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</row>
    <row r="467" spans="1:40" ht="23.4" x14ac:dyDescent="0.3">
      <c r="A467" s="17"/>
      <c r="B467" s="17"/>
      <c r="C467" s="63"/>
      <c r="D467" s="63"/>
      <c r="E467" s="63"/>
      <c r="F467" s="63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</row>
    <row r="468" spans="1:40" ht="23.4" x14ac:dyDescent="0.3">
      <c r="A468" s="17"/>
      <c r="B468" s="17"/>
      <c r="C468" s="63"/>
      <c r="D468" s="63"/>
      <c r="E468" s="63"/>
      <c r="F468" s="63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</row>
    <row r="469" spans="1:40" ht="23.4" x14ac:dyDescent="0.3">
      <c r="A469" s="17"/>
      <c r="B469" s="17"/>
      <c r="C469" s="63"/>
      <c r="D469" s="63"/>
      <c r="E469" s="63"/>
      <c r="F469" s="63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</row>
    <row r="470" spans="1:40" ht="23.4" x14ac:dyDescent="0.3">
      <c r="A470" s="17"/>
      <c r="B470" s="17"/>
      <c r="C470" s="63"/>
      <c r="D470" s="63"/>
      <c r="E470" s="63"/>
      <c r="F470" s="63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</row>
    <row r="471" spans="1:40" ht="23.4" x14ac:dyDescent="0.3">
      <c r="A471" s="17"/>
      <c r="B471" s="17"/>
      <c r="C471" s="63"/>
      <c r="D471" s="63"/>
      <c r="E471" s="63"/>
      <c r="F471" s="63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</row>
    <row r="472" spans="1:40" ht="23.4" x14ac:dyDescent="0.3">
      <c r="A472" s="17"/>
      <c r="B472" s="17"/>
      <c r="C472" s="63"/>
      <c r="D472" s="63"/>
      <c r="E472" s="63"/>
      <c r="F472" s="63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</row>
    <row r="473" spans="1:40" ht="23.4" x14ac:dyDescent="0.3">
      <c r="A473" s="17"/>
      <c r="B473" s="17"/>
      <c r="C473" s="63"/>
      <c r="D473" s="63"/>
      <c r="E473" s="63"/>
      <c r="F473" s="63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</row>
    <row r="474" spans="1:40" ht="23.4" x14ac:dyDescent="0.3">
      <c r="A474" s="17"/>
      <c r="B474" s="17"/>
      <c r="C474" s="63"/>
      <c r="D474" s="63"/>
      <c r="E474" s="63"/>
      <c r="F474" s="63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</row>
    <row r="475" spans="1:40" ht="23.4" x14ac:dyDescent="0.3">
      <c r="A475" s="17"/>
      <c r="B475" s="17"/>
      <c r="C475" s="63"/>
      <c r="D475" s="63"/>
      <c r="E475" s="63"/>
      <c r="F475" s="63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</row>
    <row r="476" spans="1:40" ht="23.4" x14ac:dyDescent="0.3">
      <c r="A476" s="17"/>
      <c r="B476" s="17"/>
      <c r="C476" s="63"/>
      <c r="D476" s="63"/>
      <c r="E476" s="63"/>
      <c r="F476" s="63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</row>
    <row r="477" spans="1:40" ht="23.4" x14ac:dyDescent="0.3">
      <c r="A477" s="17"/>
      <c r="B477" s="17"/>
      <c r="C477" s="63"/>
      <c r="D477" s="63"/>
      <c r="E477" s="63"/>
      <c r="F477" s="63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</row>
    <row r="478" spans="1:40" ht="23.4" x14ac:dyDescent="0.3">
      <c r="A478" s="17"/>
      <c r="B478" s="17"/>
      <c r="C478" s="63"/>
      <c r="D478" s="63"/>
      <c r="E478" s="63"/>
      <c r="F478" s="63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</row>
    <row r="479" spans="1:40" ht="23.4" x14ac:dyDescent="0.3">
      <c r="A479" s="17"/>
      <c r="B479" s="17"/>
      <c r="C479" s="63"/>
      <c r="D479" s="63"/>
      <c r="E479" s="63"/>
      <c r="F479" s="63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</row>
    <row r="480" spans="1:40" ht="23.4" x14ac:dyDescent="0.3">
      <c r="A480" s="17"/>
      <c r="B480" s="17"/>
      <c r="C480" s="63"/>
      <c r="D480" s="63"/>
      <c r="E480" s="63"/>
      <c r="F480" s="63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</row>
    <row r="481" spans="1:40" ht="23.4" x14ac:dyDescent="0.3">
      <c r="A481" s="17"/>
      <c r="B481" s="17"/>
      <c r="C481" s="63"/>
      <c r="D481" s="63"/>
      <c r="E481" s="63"/>
      <c r="F481" s="63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</row>
    <row r="482" spans="1:40" ht="23.4" x14ac:dyDescent="0.3">
      <c r="A482" s="17"/>
      <c r="B482" s="17"/>
      <c r="C482" s="63"/>
      <c r="D482" s="63"/>
      <c r="E482" s="63"/>
      <c r="F482" s="63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</row>
    <row r="483" spans="1:40" ht="23.4" x14ac:dyDescent="0.3">
      <c r="A483" s="17"/>
      <c r="B483" s="17"/>
      <c r="C483" s="63"/>
      <c r="D483" s="63"/>
      <c r="E483" s="63"/>
      <c r="F483" s="63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</row>
    <row r="484" spans="1:40" ht="23.4" x14ac:dyDescent="0.3">
      <c r="A484" s="17"/>
      <c r="B484" s="17"/>
      <c r="C484" s="63"/>
      <c r="D484" s="63"/>
      <c r="E484" s="63"/>
      <c r="F484" s="63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</row>
    <row r="485" spans="1:40" ht="23.4" x14ac:dyDescent="0.3">
      <c r="A485" s="17"/>
      <c r="B485" s="17"/>
      <c r="C485" s="63"/>
      <c r="D485" s="63"/>
      <c r="E485" s="63"/>
      <c r="F485" s="63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</row>
    <row r="486" spans="1:40" ht="23.4" x14ac:dyDescent="0.3">
      <c r="A486" s="17"/>
      <c r="B486" s="17"/>
      <c r="C486" s="63"/>
      <c r="D486" s="63"/>
      <c r="E486" s="63"/>
      <c r="F486" s="63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</row>
    <row r="487" spans="1:40" ht="23.4" x14ac:dyDescent="0.3">
      <c r="A487" s="17"/>
      <c r="B487" s="17"/>
      <c r="C487" s="63"/>
      <c r="D487" s="63"/>
      <c r="E487" s="63"/>
      <c r="F487" s="63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</row>
    <row r="488" spans="1:40" ht="23.4" x14ac:dyDescent="0.3">
      <c r="A488" s="17"/>
      <c r="B488" s="17"/>
      <c r="C488" s="63"/>
      <c r="D488" s="63"/>
      <c r="E488" s="63"/>
      <c r="F488" s="63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</row>
    <row r="489" spans="1:40" ht="23.4" x14ac:dyDescent="0.3">
      <c r="A489" s="17"/>
      <c r="B489" s="17"/>
      <c r="C489" s="63"/>
      <c r="D489" s="63"/>
      <c r="E489" s="63"/>
      <c r="F489" s="63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</row>
    <row r="490" spans="1:40" ht="23.4" x14ac:dyDescent="0.3">
      <c r="A490" s="17"/>
      <c r="B490" s="17"/>
      <c r="C490" s="63"/>
      <c r="D490" s="63"/>
      <c r="E490" s="63"/>
      <c r="F490" s="63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</row>
    <row r="491" spans="1:40" ht="23.4" x14ac:dyDescent="0.3">
      <c r="A491" s="17"/>
      <c r="B491" s="17"/>
      <c r="C491" s="63"/>
      <c r="D491" s="63"/>
      <c r="E491" s="63"/>
      <c r="F491" s="63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</row>
    <row r="492" spans="1:40" ht="23.4" x14ac:dyDescent="0.3">
      <c r="A492" s="17"/>
      <c r="B492" s="17"/>
      <c r="C492" s="63"/>
      <c r="D492" s="63"/>
      <c r="E492" s="63"/>
      <c r="F492" s="63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</row>
    <row r="493" spans="1:40" ht="23.4" x14ac:dyDescent="0.3">
      <c r="A493" s="17"/>
      <c r="B493" s="17"/>
      <c r="C493" s="63"/>
      <c r="D493" s="63"/>
      <c r="E493" s="63"/>
      <c r="F493" s="63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</row>
    <row r="494" spans="1:40" ht="23.4" x14ac:dyDescent="0.3">
      <c r="A494" s="17"/>
      <c r="B494" s="17"/>
      <c r="C494" s="63"/>
      <c r="D494" s="63"/>
      <c r="E494" s="63"/>
      <c r="F494" s="63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</row>
    <row r="495" spans="1:40" ht="23.4" x14ac:dyDescent="0.3">
      <c r="A495" s="17"/>
      <c r="B495" s="17"/>
      <c r="C495" s="63"/>
      <c r="D495" s="63"/>
      <c r="E495" s="63"/>
      <c r="F495" s="63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</row>
    <row r="496" spans="1:40" ht="23.4" x14ac:dyDescent="0.3">
      <c r="A496" s="17"/>
      <c r="B496" s="17"/>
      <c r="C496" s="63"/>
      <c r="D496" s="63"/>
      <c r="E496" s="63"/>
      <c r="F496" s="63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</row>
    <row r="497" spans="1:40" ht="23.4" x14ac:dyDescent="0.3">
      <c r="A497" s="17"/>
      <c r="B497" s="17"/>
      <c r="C497" s="63"/>
      <c r="D497" s="63"/>
      <c r="E497" s="63"/>
      <c r="F497" s="63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</row>
    <row r="498" spans="1:40" ht="23.4" x14ac:dyDescent="0.3">
      <c r="A498" s="17"/>
      <c r="B498" s="17"/>
      <c r="C498" s="63"/>
      <c r="D498" s="63"/>
      <c r="E498" s="63"/>
      <c r="F498" s="63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</row>
    <row r="499" spans="1:40" ht="23.4" x14ac:dyDescent="0.3">
      <c r="A499" s="17"/>
      <c r="B499" s="17"/>
      <c r="C499" s="63"/>
      <c r="D499" s="63"/>
      <c r="E499" s="63"/>
      <c r="F499" s="63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</row>
    <row r="500" spans="1:40" ht="23.4" x14ac:dyDescent="0.3">
      <c r="A500" s="17"/>
      <c r="B500" s="17"/>
      <c r="C500" s="63"/>
      <c r="D500" s="63"/>
      <c r="E500" s="63"/>
      <c r="F500" s="63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</row>
    <row r="501" spans="1:40" ht="23.4" x14ac:dyDescent="0.3">
      <c r="A501" s="17"/>
      <c r="B501" s="17"/>
      <c r="C501" s="63"/>
      <c r="D501" s="63"/>
      <c r="E501" s="63"/>
      <c r="F501" s="63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</row>
    <row r="502" spans="1:40" ht="23.4" x14ac:dyDescent="0.3">
      <c r="A502" s="17"/>
      <c r="B502" s="17"/>
      <c r="C502" s="63"/>
      <c r="D502" s="63"/>
      <c r="E502" s="63"/>
      <c r="F502" s="63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</row>
    <row r="503" spans="1:40" ht="23.4" x14ac:dyDescent="0.3">
      <c r="A503" s="17"/>
      <c r="B503" s="17"/>
      <c r="C503" s="63"/>
      <c r="D503" s="63"/>
      <c r="E503" s="63"/>
      <c r="F503" s="63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</row>
    <row r="504" spans="1:40" ht="23.4" x14ac:dyDescent="0.3">
      <c r="A504" s="17"/>
      <c r="B504" s="17"/>
      <c r="C504" s="63"/>
      <c r="D504" s="63"/>
      <c r="E504" s="63"/>
      <c r="F504" s="63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</row>
    <row r="505" spans="1:40" ht="23.4" x14ac:dyDescent="0.3">
      <c r="A505" s="17"/>
      <c r="B505" s="17"/>
      <c r="C505" s="63"/>
      <c r="D505" s="63"/>
      <c r="E505" s="63"/>
      <c r="F505" s="63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</row>
    <row r="506" spans="1:40" ht="23.4" x14ac:dyDescent="0.3">
      <c r="A506" s="17"/>
      <c r="B506" s="17"/>
      <c r="C506" s="63"/>
      <c r="D506" s="63"/>
      <c r="E506" s="63"/>
      <c r="F506" s="63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</row>
    <row r="507" spans="1:40" ht="23.4" x14ac:dyDescent="0.3">
      <c r="A507" s="17"/>
      <c r="B507" s="17"/>
      <c r="C507" s="63"/>
      <c r="D507" s="63"/>
      <c r="E507" s="63"/>
      <c r="F507" s="63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</row>
    <row r="508" spans="1:40" ht="23.4" x14ac:dyDescent="0.3">
      <c r="A508" s="17"/>
      <c r="B508" s="17"/>
      <c r="C508" s="63"/>
      <c r="D508" s="63"/>
      <c r="E508" s="63"/>
      <c r="F508" s="63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</row>
    <row r="509" spans="1:40" ht="23.4" x14ac:dyDescent="0.3">
      <c r="A509" s="17"/>
      <c r="B509" s="17"/>
      <c r="C509" s="63"/>
      <c r="D509" s="63"/>
      <c r="E509" s="63"/>
      <c r="F509" s="63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</row>
    <row r="510" spans="1:40" ht="23.4" x14ac:dyDescent="0.3">
      <c r="A510" s="17"/>
      <c r="B510" s="17"/>
      <c r="C510" s="63"/>
      <c r="D510" s="63"/>
      <c r="E510" s="63"/>
      <c r="F510" s="63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</row>
    <row r="511" spans="1:40" ht="23.4" x14ac:dyDescent="0.3">
      <c r="A511" s="17"/>
      <c r="B511" s="17"/>
      <c r="C511" s="63"/>
      <c r="D511" s="63"/>
      <c r="E511" s="63"/>
      <c r="F511" s="63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</row>
    <row r="512" spans="1:40" ht="23.4" x14ac:dyDescent="0.3">
      <c r="A512" s="17"/>
      <c r="B512" s="17"/>
      <c r="C512" s="63"/>
      <c r="D512" s="63"/>
      <c r="E512" s="63"/>
      <c r="F512" s="63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</row>
    <row r="513" spans="1:40" ht="23.4" x14ac:dyDescent="0.3">
      <c r="A513" s="17"/>
      <c r="B513" s="17"/>
      <c r="C513" s="63"/>
      <c r="D513" s="63"/>
      <c r="E513" s="63"/>
      <c r="F513" s="63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</row>
    <row r="514" spans="1:40" ht="23.4" x14ac:dyDescent="0.3">
      <c r="A514" s="17"/>
      <c r="B514" s="17"/>
      <c r="C514" s="63"/>
      <c r="D514" s="63"/>
      <c r="E514" s="63"/>
      <c r="F514" s="63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</row>
    <row r="515" spans="1:40" ht="23.4" x14ac:dyDescent="0.3">
      <c r="A515" s="17"/>
      <c r="B515" s="17"/>
      <c r="C515" s="63"/>
      <c r="D515" s="63"/>
      <c r="E515" s="63"/>
      <c r="F515" s="63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</row>
    <row r="516" spans="1:40" ht="23.4" x14ac:dyDescent="0.3">
      <c r="A516" s="17"/>
      <c r="B516" s="17"/>
      <c r="C516" s="63"/>
      <c r="D516" s="63"/>
      <c r="E516" s="63"/>
      <c r="F516" s="63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</row>
    <row r="517" spans="1:40" ht="23.4" x14ac:dyDescent="0.3">
      <c r="A517" s="17"/>
      <c r="B517" s="17"/>
      <c r="C517" s="63"/>
      <c r="D517" s="63"/>
      <c r="E517" s="63"/>
      <c r="F517" s="63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</row>
    <row r="518" spans="1:40" ht="23.4" x14ac:dyDescent="0.3">
      <c r="A518" s="17"/>
      <c r="B518" s="17"/>
      <c r="C518" s="63"/>
      <c r="D518" s="63"/>
      <c r="E518" s="63"/>
      <c r="F518" s="63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</row>
    <row r="519" spans="1:40" ht="23.4" x14ac:dyDescent="0.3">
      <c r="A519" s="17"/>
      <c r="B519" s="17"/>
      <c r="C519" s="63"/>
      <c r="D519" s="63"/>
      <c r="E519" s="63"/>
      <c r="F519" s="63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</row>
    <row r="520" spans="1:40" ht="23.4" x14ac:dyDescent="0.3">
      <c r="A520" s="17"/>
      <c r="B520" s="17"/>
      <c r="C520" s="63"/>
      <c r="D520" s="63"/>
      <c r="E520" s="63"/>
      <c r="F520" s="63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</row>
    <row r="521" spans="1:40" ht="23.4" x14ac:dyDescent="0.3">
      <c r="A521" s="17"/>
      <c r="B521" s="17"/>
      <c r="C521" s="63"/>
      <c r="D521" s="63"/>
      <c r="E521" s="63"/>
      <c r="F521" s="63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</row>
    <row r="522" spans="1:40" ht="23.4" x14ac:dyDescent="0.3">
      <c r="A522" s="17"/>
      <c r="B522" s="17"/>
      <c r="C522" s="63"/>
      <c r="D522" s="63"/>
      <c r="E522" s="63"/>
      <c r="F522" s="63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</row>
    <row r="523" spans="1:40" ht="23.4" x14ac:dyDescent="0.3">
      <c r="A523" s="17"/>
      <c r="B523" s="17"/>
      <c r="C523" s="63"/>
      <c r="D523" s="63"/>
      <c r="E523" s="63"/>
      <c r="F523" s="63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</row>
    <row r="524" spans="1:40" ht="23.4" x14ac:dyDescent="0.3">
      <c r="A524" s="17"/>
      <c r="B524" s="17"/>
      <c r="C524" s="63"/>
      <c r="D524" s="63"/>
      <c r="E524" s="63"/>
      <c r="F524" s="63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</row>
    <row r="525" spans="1:40" ht="23.4" x14ac:dyDescent="0.3">
      <c r="A525" s="17"/>
      <c r="B525" s="17"/>
      <c r="C525" s="63"/>
      <c r="D525" s="63"/>
      <c r="E525" s="63"/>
      <c r="F525" s="63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</row>
    <row r="526" spans="1:40" ht="23.4" x14ac:dyDescent="0.3">
      <c r="A526" s="17"/>
      <c r="B526" s="17"/>
      <c r="C526" s="63"/>
      <c r="D526" s="63"/>
      <c r="E526" s="63"/>
      <c r="F526" s="63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</row>
    <row r="527" spans="1:40" ht="23.4" x14ac:dyDescent="0.3">
      <c r="A527" s="17"/>
      <c r="B527" s="17"/>
      <c r="C527" s="63"/>
      <c r="D527" s="63"/>
      <c r="E527" s="63"/>
      <c r="F527" s="63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</row>
    <row r="528" spans="1:40" ht="23.4" x14ac:dyDescent="0.3">
      <c r="A528" s="17"/>
      <c r="B528" s="17"/>
      <c r="C528" s="63"/>
      <c r="D528" s="63"/>
      <c r="E528" s="63"/>
      <c r="F528" s="63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</row>
    <row r="529" spans="1:40" ht="23.4" x14ac:dyDescent="0.3">
      <c r="A529" s="17"/>
      <c r="B529" s="17"/>
      <c r="C529" s="63"/>
      <c r="D529" s="63"/>
      <c r="E529" s="63"/>
      <c r="F529" s="63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</row>
    <row r="530" spans="1:40" ht="23.4" x14ac:dyDescent="0.3">
      <c r="A530" s="17"/>
      <c r="B530" s="17"/>
      <c r="C530" s="63"/>
      <c r="D530" s="63"/>
      <c r="E530" s="63"/>
      <c r="F530" s="63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</row>
    <row r="531" spans="1:40" ht="23.4" x14ac:dyDescent="0.3">
      <c r="A531" s="17"/>
      <c r="B531" s="17"/>
      <c r="C531" s="63"/>
      <c r="D531" s="63"/>
      <c r="E531" s="63"/>
      <c r="F531" s="63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</row>
    <row r="532" spans="1:40" ht="23.4" x14ac:dyDescent="0.3">
      <c r="A532" s="17"/>
      <c r="B532" s="17"/>
      <c r="C532" s="63"/>
      <c r="D532" s="63"/>
      <c r="E532" s="63"/>
      <c r="F532" s="63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</row>
    <row r="533" spans="1:40" ht="23.4" x14ac:dyDescent="0.3">
      <c r="A533" s="17"/>
      <c r="B533" s="17"/>
      <c r="C533" s="63"/>
      <c r="D533" s="63"/>
      <c r="E533" s="63"/>
      <c r="F533" s="63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</row>
    <row r="534" spans="1:40" ht="23.4" x14ac:dyDescent="0.3">
      <c r="A534" s="17"/>
      <c r="B534" s="17"/>
      <c r="C534" s="63"/>
      <c r="D534" s="63"/>
      <c r="E534" s="63"/>
      <c r="F534" s="63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</row>
    <row r="535" spans="1:40" ht="23.4" x14ac:dyDescent="0.3">
      <c r="A535" s="17"/>
      <c r="B535" s="17"/>
      <c r="C535" s="63"/>
      <c r="D535" s="63"/>
      <c r="E535" s="63"/>
      <c r="F535" s="63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</row>
    <row r="536" spans="1:40" ht="23.4" x14ac:dyDescent="0.3">
      <c r="A536" s="17"/>
      <c r="B536" s="17"/>
      <c r="C536" s="63"/>
      <c r="D536" s="63"/>
      <c r="E536" s="63"/>
      <c r="F536" s="63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</row>
    <row r="537" spans="1:40" ht="23.4" x14ac:dyDescent="0.3">
      <c r="A537" s="17"/>
      <c r="B537" s="17"/>
      <c r="C537" s="63"/>
      <c r="D537" s="63"/>
      <c r="E537" s="63"/>
      <c r="F537" s="63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</row>
    <row r="538" spans="1:40" ht="23.4" x14ac:dyDescent="0.3">
      <c r="A538" s="17"/>
      <c r="B538" s="17"/>
      <c r="C538" s="63"/>
      <c r="D538" s="63"/>
      <c r="E538" s="63"/>
      <c r="F538" s="63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</row>
    <row r="539" spans="1:40" ht="23.4" x14ac:dyDescent="0.3">
      <c r="A539" s="17"/>
      <c r="B539" s="17"/>
      <c r="C539" s="63"/>
      <c r="D539" s="63"/>
      <c r="E539" s="63"/>
      <c r="F539" s="63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</row>
    <row r="540" spans="1:40" ht="23.4" x14ac:dyDescent="0.3">
      <c r="A540" s="17"/>
      <c r="B540" s="17"/>
      <c r="C540" s="63"/>
      <c r="D540" s="63"/>
      <c r="E540" s="63"/>
      <c r="F540" s="63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</row>
    <row r="541" spans="1:40" ht="23.4" x14ac:dyDescent="0.3">
      <c r="A541" s="17"/>
      <c r="B541" s="17"/>
      <c r="C541" s="63"/>
      <c r="D541" s="63"/>
      <c r="E541" s="63"/>
      <c r="F541" s="63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</row>
    <row r="542" spans="1:40" ht="23.4" x14ac:dyDescent="0.3">
      <c r="A542" s="17"/>
      <c r="B542" s="17"/>
      <c r="C542" s="63"/>
      <c r="D542" s="63"/>
      <c r="E542" s="63"/>
      <c r="F542" s="63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</row>
    <row r="543" spans="1:40" ht="23.4" x14ac:dyDescent="0.3">
      <c r="A543" s="17"/>
      <c r="B543" s="17"/>
      <c r="C543" s="63"/>
      <c r="D543" s="63"/>
      <c r="E543" s="63"/>
      <c r="F543" s="63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</row>
    <row r="544" spans="1:40" ht="23.4" x14ac:dyDescent="0.3">
      <c r="A544" s="17"/>
      <c r="B544" s="17"/>
      <c r="C544" s="63"/>
      <c r="D544" s="63"/>
      <c r="E544" s="63"/>
      <c r="F544" s="63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</row>
    <row r="545" spans="1:40" ht="23.4" x14ac:dyDescent="0.3">
      <c r="A545" s="17"/>
      <c r="B545" s="17"/>
      <c r="C545" s="63"/>
      <c r="D545" s="63"/>
      <c r="E545" s="63"/>
      <c r="F545" s="63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</row>
    <row r="546" spans="1:40" ht="23.4" x14ac:dyDescent="0.3">
      <c r="A546" s="17"/>
      <c r="B546" s="17"/>
      <c r="C546" s="63"/>
      <c r="D546" s="63"/>
      <c r="E546" s="63"/>
      <c r="F546" s="63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</row>
    <row r="547" spans="1:40" ht="23.4" x14ac:dyDescent="0.3">
      <c r="A547" s="17"/>
      <c r="B547" s="17"/>
      <c r="C547" s="63"/>
      <c r="D547" s="63"/>
      <c r="E547" s="63"/>
      <c r="F547" s="63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</row>
    <row r="548" spans="1:40" ht="23.4" x14ac:dyDescent="0.3">
      <c r="A548" s="17"/>
      <c r="B548" s="17"/>
      <c r="C548" s="63"/>
      <c r="D548" s="63"/>
      <c r="E548" s="63"/>
      <c r="F548" s="63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</row>
    <row r="549" spans="1:40" ht="23.4" x14ac:dyDescent="0.3">
      <c r="A549" s="17"/>
      <c r="B549" s="17"/>
      <c r="C549" s="63"/>
      <c r="D549" s="63"/>
      <c r="E549" s="63"/>
      <c r="F549" s="63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</row>
    <row r="550" spans="1:40" ht="23.4" x14ac:dyDescent="0.3">
      <c r="A550" s="17"/>
      <c r="B550" s="17"/>
      <c r="C550" s="63"/>
      <c r="D550" s="63"/>
      <c r="E550" s="63"/>
      <c r="F550" s="63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</row>
    <row r="551" spans="1:40" ht="23.4" x14ac:dyDescent="0.3">
      <c r="A551" s="17"/>
      <c r="B551" s="17"/>
      <c r="C551" s="63"/>
      <c r="D551" s="63"/>
      <c r="E551" s="63"/>
      <c r="F551" s="63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</row>
    <row r="552" spans="1:40" ht="23.4" x14ac:dyDescent="0.3">
      <c r="A552" s="17"/>
      <c r="B552" s="17"/>
      <c r="C552" s="63"/>
      <c r="D552" s="63"/>
      <c r="E552" s="63"/>
      <c r="F552" s="63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</row>
    <row r="553" spans="1:40" ht="23.4" x14ac:dyDescent="0.3">
      <c r="A553" s="17"/>
      <c r="B553" s="17"/>
      <c r="C553" s="63"/>
      <c r="D553" s="63"/>
      <c r="E553" s="63"/>
      <c r="F553" s="63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</row>
    <row r="554" spans="1:40" ht="23.4" x14ac:dyDescent="0.3">
      <c r="A554" s="17"/>
      <c r="B554" s="17"/>
      <c r="C554" s="63"/>
      <c r="D554" s="63"/>
      <c r="E554" s="63"/>
      <c r="F554" s="63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</row>
    <row r="555" spans="1:40" ht="23.4" x14ac:dyDescent="0.3">
      <c r="A555" s="17"/>
      <c r="B555" s="17"/>
      <c r="C555" s="63"/>
      <c r="D555" s="63"/>
      <c r="E555" s="63"/>
      <c r="F555" s="63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</row>
    <row r="556" spans="1:40" ht="23.4" x14ac:dyDescent="0.3">
      <c r="A556" s="17"/>
      <c r="B556" s="17"/>
      <c r="C556" s="63"/>
      <c r="D556" s="63"/>
      <c r="E556" s="63"/>
      <c r="F556" s="63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</row>
    <row r="557" spans="1:40" ht="23.4" x14ac:dyDescent="0.3">
      <c r="A557" s="17"/>
      <c r="B557" s="17"/>
      <c r="C557" s="63"/>
      <c r="D557" s="63"/>
      <c r="E557" s="63"/>
      <c r="F557" s="63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</row>
    <row r="558" spans="1:40" ht="23.4" x14ac:dyDescent="0.3">
      <c r="A558" s="17"/>
      <c r="B558" s="17"/>
      <c r="C558" s="63"/>
      <c r="D558" s="63"/>
      <c r="E558" s="63"/>
      <c r="F558" s="63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</row>
    <row r="559" spans="1:40" ht="23.4" x14ac:dyDescent="0.3">
      <c r="A559" s="17"/>
      <c r="B559" s="17"/>
      <c r="C559" s="63"/>
      <c r="D559" s="63"/>
      <c r="E559" s="63"/>
      <c r="F559" s="63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</row>
    <row r="560" spans="1:40" ht="23.4" x14ac:dyDescent="0.3">
      <c r="A560" s="17"/>
      <c r="B560" s="17"/>
      <c r="C560" s="63"/>
      <c r="D560" s="63"/>
      <c r="E560" s="63"/>
      <c r="F560" s="63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</row>
    <row r="561" spans="1:40" ht="23.4" x14ac:dyDescent="0.3">
      <c r="A561" s="17"/>
      <c r="B561" s="17"/>
      <c r="C561" s="63"/>
      <c r="D561" s="63"/>
      <c r="E561" s="63"/>
      <c r="F561" s="63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</row>
    <row r="562" spans="1:40" ht="23.4" x14ac:dyDescent="0.3">
      <c r="A562" s="17"/>
      <c r="B562" s="17"/>
      <c r="C562" s="63"/>
      <c r="D562" s="63"/>
      <c r="E562" s="63"/>
      <c r="F562" s="63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</row>
    <row r="563" spans="1:40" ht="23.4" x14ac:dyDescent="0.3">
      <c r="A563" s="17"/>
      <c r="B563" s="17"/>
      <c r="C563" s="63"/>
      <c r="D563" s="63"/>
      <c r="E563" s="63"/>
      <c r="F563" s="63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</row>
    <row r="564" spans="1:40" ht="23.4" x14ac:dyDescent="0.3">
      <c r="A564" s="17"/>
      <c r="B564" s="17"/>
      <c r="C564" s="63"/>
      <c r="D564" s="63"/>
      <c r="E564" s="63"/>
      <c r="F564" s="63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</row>
    <row r="565" spans="1:40" ht="23.4" x14ac:dyDescent="0.3">
      <c r="A565" s="17"/>
      <c r="B565" s="17"/>
      <c r="C565" s="63"/>
      <c r="D565" s="63"/>
      <c r="E565" s="63"/>
      <c r="F565" s="63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</row>
    <row r="566" spans="1:40" ht="23.4" x14ac:dyDescent="0.3">
      <c r="A566" s="17"/>
      <c r="B566" s="17"/>
      <c r="C566" s="63"/>
      <c r="D566" s="63"/>
      <c r="E566" s="63"/>
      <c r="F566" s="63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</row>
    <row r="567" spans="1:40" ht="23.4" x14ac:dyDescent="0.3">
      <c r="A567" s="17"/>
      <c r="B567" s="17"/>
      <c r="C567" s="63"/>
      <c r="D567" s="63"/>
      <c r="E567" s="63"/>
      <c r="F567" s="63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</row>
    <row r="568" spans="1:40" ht="23.4" x14ac:dyDescent="0.3">
      <c r="A568" s="17"/>
      <c r="B568" s="17"/>
      <c r="C568" s="63"/>
      <c r="D568" s="63"/>
      <c r="E568" s="63"/>
      <c r="F568" s="63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</row>
    <row r="569" spans="1:40" ht="23.4" x14ac:dyDescent="0.3">
      <c r="A569" s="17"/>
      <c r="B569" s="17"/>
      <c r="C569" s="63"/>
      <c r="D569" s="63"/>
      <c r="E569" s="63"/>
      <c r="F569" s="63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</row>
    <row r="570" spans="1:40" ht="23.4" x14ac:dyDescent="0.3">
      <c r="A570" s="17"/>
      <c r="B570" s="17"/>
      <c r="C570" s="63"/>
      <c r="D570" s="63"/>
      <c r="E570" s="63"/>
      <c r="F570" s="63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</row>
    <row r="571" spans="1:40" ht="23.4" x14ac:dyDescent="0.3">
      <c r="A571" s="17"/>
      <c r="B571" s="17"/>
      <c r="C571" s="63"/>
      <c r="D571" s="63"/>
      <c r="E571" s="63"/>
      <c r="F571" s="63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</row>
    <row r="572" spans="1:40" ht="23.4" x14ac:dyDescent="0.3">
      <c r="A572" s="17"/>
      <c r="B572" s="17"/>
      <c r="C572" s="63"/>
      <c r="D572" s="63"/>
      <c r="E572" s="63"/>
      <c r="F572" s="63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</row>
    <row r="573" spans="1:40" ht="23.4" x14ac:dyDescent="0.3">
      <c r="A573" s="17"/>
      <c r="B573" s="17"/>
      <c r="C573" s="63"/>
      <c r="D573" s="63"/>
      <c r="E573" s="63"/>
      <c r="F573" s="63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</row>
    <row r="574" spans="1:40" ht="23.4" x14ac:dyDescent="0.3">
      <c r="A574" s="17"/>
      <c r="B574" s="17"/>
      <c r="C574" s="63"/>
      <c r="D574" s="63"/>
      <c r="E574" s="63"/>
      <c r="F574" s="63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</row>
    <row r="575" spans="1:40" ht="23.4" x14ac:dyDescent="0.3">
      <c r="A575" s="17"/>
      <c r="B575" s="17"/>
      <c r="C575" s="63"/>
      <c r="D575" s="63"/>
      <c r="E575" s="63"/>
      <c r="F575" s="63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</row>
    <row r="576" spans="1:40" ht="23.4" x14ac:dyDescent="0.3">
      <c r="A576" s="17"/>
      <c r="B576" s="17"/>
      <c r="C576" s="63"/>
      <c r="D576" s="63"/>
      <c r="E576" s="63"/>
      <c r="F576" s="63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</row>
    <row r="577" spans="1:40" ht="23.4" x14ac:dyDescent="0.3">
      <c r="A577" s="17"/>
      <c r="B577" s="17"/>
      <c r="C577" s="63"/>
      <c r="D577" s="63"/>
      <c r="E577" s="63"/>
      <c r="F577" s="63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</row>
    <row r="578" spans="1:40" ht="23.4" x14ac:dyDescent="0.3">
      <c r="A578" s="17"/>
      <c r="B578" s="17"/>
      <c r="C578" s="63"/>
      <c r="D578" s="63"/>
      <c r="E578" s="63"/>
      <c r="F578" s="63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</row>
    <row r="579" spans="1:40" ht="23.4" x14ac:dyDescent="0.3">
      <c r="A579" s="17"/>
      <c r="B579" s="17"/>
      <c r="C579" s="63"/>
      <c r="D579" s="63"/>
      <c r="E579" s="63"/>
      <c r="F579" s="63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</row>
    <row r="580" spans="1:40" ht="23.4" x14ac:dyDescent="0.3">
      <c r="A580" s="17"/>
      <c r="B580" s="17"/>
      <c r="C580" s="63"/>
      <c r="D580" s="63"/>
      <c r="E580" s="63"/>
      <c r="F580" s="63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</row>
    <row r="581" spans="1:40" ht="23.4" x14ac:dyDescent="0.3">
      <c r="A581" s="17"/>
      <c r="B581" s="17"/>
      <c r="C581" s="63"/>
      <c r="D581" s="63"/>
      <c r="E581" s="63"/>
      <c r="F581" s="63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</row>
    <row r="582" spans="1:40" ht="23.4" x14ac:dyDescent="0.3">
      <c r="A582" s="17"/>
      <c r="B582" s="17"/>
      <c r="C582" s="63"/>
      <c r="D582" s="63"/>
      <c r="E582" s="63"/>
      <c r="F582" s="63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</row>
    <row r="583" spans="1:40" ht="23.4" x14ac:dyDescent="0.3">
      <c r="A583" s="17"/>
      <c r="B583" s="17"/>
      <c r="C583" s="63"/>
      <c r="D583" s="63"/>
      <c r="E583" s="63"/>
      <c r="F583" s="63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</row>
    <row r="584" spans="1:40" ht="23.4" x14ac:dyDescent="0.3">
      <c r="A584" s="17"/>
      <c r="B584" s="17"/>
      <c r="C584" s="63"/>
      <c r="D584" s="63"/>
      <c r="E584" s="63"/>
      <c r="F584" s="63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</row>
    <row r="585" spans="1:40" ht="23.4" x14ac:dyDescent="0.3">
      <c r="A585" s="17"/>
      <c r="B585" s="17"/>
      <c r="C585" s="63"/>
      <c r="D585" s="63"/>
      <c r="E585" s="63"/>
      <c r="F585" s="63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</row>
    <row r="586" spans="1:40" ht="23.4" x14ac:dyDescent="0.3">
      <c r="A586" s="17"/>
      <c r="B586" s="17"/>
      <c r="C586" s="63"/>
      <c r="D586" s="63"/>
      <c r="E586" s="63"/>
      <c r="F586" s="63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</row>
    <row r="587" spans="1:40" ht="23.4" x14ac:dyDescent="0.3">
      <c r="A587" s="17"/>
      <c r="B587" s="17"/>
      <c r="C587" s="63"/>
      <c r="D587" s="63"/>
      <c r="E587" s="63"/>
      <c r="F587" s="63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</row>
    <row r="588" spans="1:40" ht="23.4" x14ac:dyDescent="0.3">
      <c r="A588" s="17"/>
      <c r="B588" s="17"/>
      <c r="C588" s="63"/>
      <c r="D588" s="63"/>
      <c r="E588" s="63"/>
      <c r="F588" s="63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</row>
    <row r="589" spans="1:40" ht="23.4" x14ac:dyDescent="0.3">
      <c r="A589" s="17"/>
      <c r="B589" s="17"/>
      <c r="C589" s="63"/>
      <c r="D589" s="63"/>
      <c r="E589" s="63"/>
      <c r="F589" s="63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</row>
    <row r="590" spans="1:40" ht="23.4" x14ac:dyDescent="0.3">
      <c r="A590" s="17"/>
      <c r="B590" s="17"/>
      <c r="C590" s="63"/>
      <c r="D590" s="63"/>
      <c r="E590" s="63"/>
      <c r="F590" s="63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</row>
    <row r="591" spans="1:40" ht="23.4" x14ac:dyDescent="0.3">
      <c r="A591" s="17"/>
      <c r="B591" s="17"/>
      <c r="C591" s="63"/>
      <c r="D591" s="63"/>
      <c r="E591" s="63"/>
      <c r="F591" s="63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</row>
    <row r="592" spans="1:40" ht="23.4" x14ac:dyDescent="0.3">
      <c r="A592" s="17"/>
      <c r="B592" s="17"/>
      <c r="C592" s="63"/>
      <c r="D592" s="63"/>
      <c r="E592" s="63"/>
      <c r="F592" s="63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</row>
    <row r="593" spans="1:40" ht="23.4" x14ac:dyDescent="0.3">
      <c r="A593" s="17"/>
      <c r="B593" s="17"/>
      <c r="C593" s="63"/>
      <c r="D593" s="63"/>
      <c r="E593" s="63"/>
      <c r="F593" s="63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</row>
    <row r="594" spans="1:40" ht="23.4" x14ac:dyDescent="0.3">
      <c r="A594" s="17"/>
      <c r="B594" s="17"/>
      <c r="C594" s="63"/>
      <c r="D594" s="63"/>
      <c r="E594" s="63"/>
      <c r="F594" s="63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</row>
    <row r="595" spans="1:40" ht="23.4" x14ac:dyDescent="0.3">
      <c r="A595" s="17"/>
      <c r="B595" s="17"/>
      <c r="C595" s="63"/>
      <c r="D595" s="63"/>
      <c r="E595" s="63"/>
      <c r="F595" s="63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</row>
    <row r="596" spans="1:40" ht="23.4" x14ac:dyDescent="0.3">
      <c r="A596" s="17"/>
      <c r="B596" s="17"/>
      <c r="C596" s="63"/>
      <c r="D596" s="63"/>
      <c r="E596" s="63"/>
      <c r="F596" s="63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</row>
    <row r="597" spans="1:40" ht="23.4" x14ac:dyDescent="0.3">
      <c r="A597" s="17"/>
      <c r="B597" s="17"/>
      <c r="C597" s="63"/>
      <c r="D597" s="63"/>
      <c r="E597" s="63"/>
      <c r="F597" s="63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</row>
    <row r="598" spans="1:40" ht="23.4" x14ac:dyDescent="0.3">
      <c r="A598" s="17"/>
      <c r="B598" s="17"/>
      <c r="C598" s="63"/>
      <c r="D598" s="63"/>
      <c r="E598" s="63"/>
      <c r="F598" s="63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</row>
    <row r="599" spans="1:40" ht="23.4" x14ac:dyDescent="0.3">
      <c r="A599" s="17"/>
      <c r="B599" s="17"/>
      <c r="C599" s="63"/>
      <c r="D599" s="63"/>
      <c r="E599" s="63"/>
      <c r="F599" s="63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</row>
    <row r="600" spans="1:40" ht="23.4" x14ac:dyDescent="0.3">
      <c r="A600" s="17"/>
      <c r="B600" s="17"/>
      <c r="C600" s="63"/>
      <c r="D600" s="63"/>
      <c r="E600" s="63"/>
      <c r="F600" s="63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</row>
    <row r="601" spans="1:40" ht="23.4" x14ac:dyDescent="0.3">
      <c r="A601" s="17"/>
      <c r="B601" s="17"/>
      <c r="C601" s="63"/>
      <c r="D601" s="63"/>
      <c r="E601" s="63"/>
      <c r="F601" s="63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</row>
    <row r="602" spans="1:40" ht="23.4" x14ac:dyDescent="0.3">
      <c r="A602" s="17"/>
      <c r="B602" s="17"/>
      <c r="C602" s="63"/>
      <c r="D602" s="63"/>
      <c r="E602" s="63"/>
      <c r="F602" s="63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</row>
    <row r="603" spans="1:40" ht="23.4" x14ac:dyDescent="0.3">
      <c r="A603" s="17"/>
      <c r="B603" s="17"/>
      <c r="C603" s="63"/>
      <c r="D603" s="63"/>
      <c r="E603" s="63"/>
      <c r="F603" s="63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</row>
    <row r="604" spans="1:40" ht="23.4" x14ac:dyDescent="0.3">
      <c r="A604" s="17"/>
      <c r="B604" s="17"/>
      <c r="C604" s="63"/>
      <c r="D604" s="63"/>
      <c r="E604" s="63"/>
      <c r="F604" s="63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</row>
    <row r="605" spans="1:40" ht="23.4" x14ac:dyDescent="0.3">
      <c r="A605" s="17"/>
      <c r="B605" s="17"/>
      <c r="C605" s="63"/>
      <c r="D605" s="63"/>
      <c r="E605" s="63"/>
      <c r="F605" s="63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</row>
    <row r="606" spans="1:40" ht="23.4" x14ac:dyDescent="0.3">
      <c r="A606" s="17"/>
      <c r="B606" s="17"/>
      <c r="C606" s="63"/>
      <c r="D606" s="63"/>
      <c r="E606" s="63"/>
      <c r="F606" s="63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</row>
    <row r="607" spans="1:40" ht="23.4" x14ac:dyDescent="0.3">
      <c r="A607" s="17"/>
      <c r="B607" s="17"/>
      <c r="C607" s="63"/>
      <c r="D607" s="63"/>
      <c r="E607" s="63"/>
      <c r="F607" s="63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</row>
    <row r="608" spans="1:40" ht="23.4" x14ac:dyDescent="0.3">
      <c r="A608" s="17"/>
      <c r="B608" s="17"/>
      <c r="C608" s="63"/>
      <c r="D608" s="63"/>
      <c r="E608" s="63"/>
      <c r="F608" s="63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</row>
    <row r="609" spans="1:40" ht="23.4" x14ac:dyDescent="0.3">
      <c r="A609" s="17"/>
      <c r="B609" s="17"/>
      <c r="C609" s="63"/>
      <c r="D609" s="63"/>
      <c r="E609" s="63"/>
      <c r="F609" s="63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</row>
    <row r="610" spans="1:40" ht="23.4" x14ac:dyDescent="0.3">
      <c r="A610" s="17"/>
      <c r="B610" s="17"/>
      <c r="C610" s="63"/>
      <c r="D610" s="63"/>
      <c r="E610" s="63"/>
      <c r="F610" s="63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</row>
    <row r="611" spans="1:40" ht="23.4" x14ac:dyDescent="0.3">
      <c r="A611" s="17"/>
      <c r="B611" s="17"/>
      <c r="C611" s="63"/>
      <c r="D611" s="63"/>
      <c r="E611" s="63"/>
      <c r="F611" s="63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</row>
    <row r="612" spans="1:40" ht="23.4" x14ac:dyDescent="0.3">
      <c r="A612" s="17"/>
      <c r="B612" s="17"/>
      <c r="C612" s="63"/>
      <c r="D612" s="63"/>
      <c r="E612" s="63"/>
      <c r="F612" s="63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</row>
    <row r="613" spans="1:40" ht="23.4" x14ac:dyDescent="0.3">
      <c r="A613" s="17"/>
      <c r="B613" s="17"/>
      <c r="C613" s="63"/>
      <c r="D613" s="63"/>
      <c r="E613" s="63"/>
      <c r="F613" s="63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</row>
    <row r="614" spans="1:40" ht="23.4" x14ac:dyDescent="0.3">
      <c r="A614" s="17"/>
      <c r="B614" s="17"/>
      <c r="C614" s="63"/>
      <c r="D614" s="63"/>
      <c r="E614" s="63"/>
      <c r="F614" s="63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</row>
    <row r="615" spans="1:40" ht="23.4" x14ac:dyDescent="0.3">
      <c r="A615" s="17"/>
      <c r="B615" s="17"/>
      <c r="C615" s="63"/>
      <c r="D615" s="63"/>
      <c r="E615" s="63"/>
      <c r="F615" s="63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</row>
    <row r="616" spans="1:40" ht="23.4" x14ac:dyDescent="0.3">
      <c r="A616" s="17"/>
      <c r="B616" s="17"/>
      <c r="C616" s="63"/>
      <c r="D616" s="63"/>
      <c r="E616" s="63"/>
      <c r="F616" s="63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</row>
    <row r="617" spans="1:40" ht="23.4" x14ac:dyDescent="0.3">
      <c r="A617" s="17"/>
      <c r="B617" s="17"/>
      <c r="C617" s="63"/>
      <c r="D617" s="63"/>
      <c r="E617" s="63"/>
      <c r="F617" s="63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</row>
    <row r="618" spans="1:40" ht="23.4" x14ac:dyDescent="0.3">
      <c r="A618" s="17"/>
      <c r="B618" s="17"/>
      <c r="C618" s="63"/>
      <c r="D618" s="63"/>
      <c r="E618" s="63"/>
      <c r="F618" s="63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</row>
    <row r="619" spans="1:40" ht="23.4" x14ac:dyDescent="0.3">
      <c r="A619" s="17"/>
      <c r="B619" s="17"/>
      <c r="C619" s="63"/>
      <c r="D619" s="63"/>
      <c r="E619" s="63"/>
      <c r="F619" s="63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</row>
    <row r="620" spans="1:40" ht="23.4" x14ac:dyDescent="0.3">
      <c r="A620" s="17"/>
      <c r="B620" s="17"/>
      <c r="C620" s="63"/>
      <c r="D620" s="63"/>
      <c r="E620" s="63"/>
      <c r="F620" s="63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</row>
    <row r="621" spans="1:40" ht="23.4" x14ac:dyDescent="0.3">
      <c r="A621" s="17"/>
      <c r="B621" s="17"/>
      <c r="C621" s="63"/>
      <c r="D621" s="63"/>
      <c r="E621" s="63"/>
      <c r="F621" s="63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</row>
    <row r="622" spans="1:40" ht="23.4" x14ac:dyDescent="0.3">
      <c r="A622" s="17"/>
      <c r="B622" s="17"/>
      <c r="C622" s="63"/>
      <c r="D622" s="63"/>
      <c r="E622" s="63"/>
      <c r="F622" s="63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</row>
    <row r="623" spans="1:40" ht="23.4" x14ac:dyDescent="0.3">
      <c r="A623" s="17"/>
      <c r="B623" s="17"/>
      <c r="C623" s="63"/>
      <c r="D623" s="63"/>
      <c r="E623" s="63"/>
      <c r="F623" s="63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</row>
    <row r="624" spans="1:40" ht="23.4" x14ac:dyDescent="0.3">
      <c r="A624" s="17"/>
      <c r="B624" s="17"/>
      <c r="C624" s="63"/>
      <c r="D624" s="63"/>
      <c r="E624" s="63"/>
      <c r="F624" s="63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</row>
    <row r="625" spans="1:40" ht="23.4" x14ac:dyDescent="0.3">
      <c r="A625" s="17"/>
      <c r="B625" s="17"/>
      <c r="C625" s="63"/>
      <c r="D625" s="63"/>
      <c r="E625" s="63"/>
      <c r="F625" s="63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</row>
    <row r="626" spans="1:40" ht="23.4" x14ac:dyDescent="0.3">
      <c r="A626" s="17"/>
      <c r="B626" s="17"/>
      <c r="C626" s="63"/>
      <c r="D626" s="63"/>
      <c r="E626" s="63"/>
      <c r="F626" s="63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</row>
    <row r="627" spans="1:40" ht="23.4" x14ac:dyDescent="0.3">
      <c r="A627" s="17"/>
      <c r="B627" s="17"/>
      <c r="C627" s="63"/>
      <c r="D627" s="63"/>
      <c r="E627" s="63"/>
      <c r="F627" s="63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</row>
    <row r="628" spans="1:40" ht="23.4" x14ac:dyDescent="0.3">
      <c r="A628" s="17"/>
      <c r="B628" s="17"/>
      <c r="C628" s="63"/>
      <c r="D628" s="63"/>
      <c r="E628" s="63"/>
      <c r="F628" s="63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</row>
    <row r="629" spans="1:40" ht="23.4" x14ac:dyDescent="0.3">
      <c r="A629" s="17"/>
      <c r="B629" s="17"/>
      <c r="C629" s="63"/>
      <c r="D629" s="63"/>
      <c r="E629" s="63"/>
      <c r="F629" s="63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</row>
    <row r="630" spans="1:40" ht="23.4" x14ac:dyDescent="0.3">
      <c r="A630" s="17"/>
      <c r="B630" s="17"/>
      <c r="C630" s="63"/>
      <c r="D630" s="63"/>
      <c r="E630" s="63"/>
      <c r="F630" s="63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</row>
    <row r="631" spans="1:40" ht="23.4" x14ac:dyDescent="0.3">
      <c r="A631" s="17"/>
      <c r="B631" s="17"/>
      <c r="C631" s="63"/>
      <c r="D631" s="63"/>
      <c r="E631" s="63"/>
      <c r="F631" s="63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</row>
    <row r="632" spans="1:40" ht="23.4" x14ac:dyDescent="0.3">
      <c r="A632" s="17"/>
      <c r="B632" s="17"/>
      <c r="C632" s="63"/>
      <c r="D632" s="63"/>
      <c r="E632" s="63"/>
      <c r="F632" s="63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</row>
    <row r="633" spans="1:40" ht="23.4" x14ac:dyDescent="0.3">
      <c r="A633" s="17"/>
      <c r="B633" s="17"/>
      <c r="C633" s="63"/>
      <c r="D633" s="63"/>
      <c r="E633" s="63"/>
      <c r="F633" s="63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</row>
    <row r="634" spans="1:40" ht="23.4" x14ac:dyDescent="0.3">
      <c r="A634" s="17"/>
      <c r="B634" s="17"/>
      <c r="C634" s="63"/>
      <c r="D634" s="63"/>
      <c r="E634" s="63"/>
      <c r="F634" s="63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</row>
    <row r="635" spans="1:40" ht="23.4" x14ac:dyDescent="0.3">
      <c r="A635" s="17"/>
      <c r="B635" s="17"/>
      <c r="C635" s="63"/>
      <c r="D635" s="63"/>
      <c r="E635" s="63"/>
      <c r="F635" s="63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</row>
    <row r="636" spans="1:40" ht="23.4" x14ac:dyDescent="0.3">
      <c r="A636" s="17"/>
      <c r="B636" s="17"/>
      <c r="C636" s="63"/>
      <c r="D636" s="63"/>
      <c r="E636" s="63"/>
      <c r="F636" s="63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</row>
    <row r="637" spans="1:40" ht="23.4" x14ac:dyDescent="0.3">
      <c r="A637" s="17"/>
      <c r="B637" s="17"/>
      <c r="C637" s="63"/>
      <c r="D637" s="63"/>
      <c r="E637" s="63"/>
      <c r="F637" s="63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</row>
    <row r="638" spans="1:40" ht="23.4" x14ac:dyDescent="0.3">
      <c r="A638" s="17"/>
      <c r="B638" s="17"/>
      <c r="C638" s="63"/>
      <c r="D638" s="63"/>
      <c r="E638" s="63"/>
      <c r="F638" s="63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</row>
    <row r="639" spans="1:40" ht="23.4" x14ac:dyDescent="0.3">
      <c r="A639" s="17"/>
      <c r="B639" s="17"/>
      <c r="C639" s="63"/>
      <c r="D639" s="63"/>
      <c r="E639" s="63"/>
      <c r="F639" s="63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</row>
    <row r="640" spans="1:40" ht="23.4" x14ac:dyDescent="0.3">
      <c r="A640" s="17"/>
      <c r="B640" s="17"/>
      <c r="C640" s="63"/>
      <c r="D640" s="63"/>
      <c r="E640" s="63"/>
      <c r="F640" s="63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</row>
    <row r="641" spans="1:40" ht="23.4" x14ac:dyDescent="0.3">
      <c r="A641" s="17"/>
      <c r="B641" s="17"/>
      <c r="C641" s="63"/>
      <c r="D641" s="63"/>
      <c r="E641" s="63"/>
      <c r="F641" s="63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</row>
    <row r="642" spans="1:40" ht="23.4" x14ac:dyDescent="0.3">
      <c r="A642" s="17"/>
      <c r="B642" s="17"/>
      <c r="C642" s="63"/>
      <c r="D642" s="63"/>
      <c r="E642" s="63"/>
      <c r="F642" s="63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</row>
    <row r="643" spans="1:40" ht="23.4" x14ac:dyDescent="0.3">
      <c r="A643" s="17"/>
      <c r="B643" s="17"/>
      <c r="C643" s="63"/>
      <c r="D643" s="63"/>
      <c r="E643" s="63"/>
      <c r="F643" s="63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</row>
    <row r="644" spans="1:40" ht="23.4" x14ac:dyDescent="0.3">
      <c r="A644" s="17"/>
      <c r="B644" s="17"/>
      <c r="C644" s="63"/>
      <c r="D644" s="63"/>
      <c r="E644" s="63"/>
      <c r="F644" s="63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</row>
    <row r="645" spans="1:40" ht="23.4" x14ac:dyDescent="0.3">
      <c r="A645" s="17"/>
      <c r="B645" s="17"/>
      <c r="C645" s="63"/>
      <c r="D645" s="63"/>
      <c r="E645" s="63"/>
      <c r="F645" s="63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</row>
    <row r="646" spans="1:40" ht="23.4" x14ac:dyDescent="0.3">
      <c r="A646" s="17"/>
      <c r="B646" s="17"/>
      <c r="C646" s="63"/>
      <c r="D646" s="63"/>
      <c r="E646" s="63"/>
      <c r="F646" s="63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</row>
    <row r="647" spans="1:40" ht="23.4" x14ac:dyDescent="0.3">
      <c r="A647" s="17"/>
      <c r="B647" s="17"/>
      <c r="C647" s="63"/>
      <c r="D647" s="63"/>
      <c r="E647" s="63"/>
      <c r="F647" s="63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</row>
    <row r="648" spans="1:40" ht="23.4" x14ac:dyDescent="0.3">
      <c r="A648" s="17"/>
      <c r="B648" s="17"/>
      <c r="C648" s="63"/>
      <c r="D648" s="63"/>
      <c r="E648" s="63"/>
      <c r="F648" s="63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</row>
    <row r="649" spans="1:40" ht="23.4" x14ac:dyDescent="0.3">
      <c r="A649" s="17"/>
      <c r="B649" s="17"/>
      <c r="C649" s="63"/>
      <c r="D649" s="63"/>
      <c r="E649" s="63"/>
      <c r="F649" s="63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</row>
    <row r="650" spans="1:40" ht="23.4" x14ac:dyDescent="0.3">
      <c r="A650" s="17"/>
      <c r="B650" s="17"/>
      <c r="C650" s="63"/>
      <c r="D650" s="63"/>
      <c r="E650" s="63"/>
      <c r="F650" s="63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</row>
    <row r="651" spans="1:40" ht="23.4" x14ac:dyDescent="0.3">
      <c r="A651" s="17"/>
      <c r="B651" s="17"/>
      <c r="C651" s="63"/>
      <c r="D651" s="63"/>
      <c r="E651" s="63"/>
      <c r="F651" s="63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</row>
    <row r="652" spans="1:40" ht="23.4" x14ac:dyDescent="0.3">
      <c r="A652" s="17"/>
      <c r="B652" s="17"/>
      <c r="C652" s="63"/>
      <c r="D652" s="63"/>
      <c r="E652" s="63"/>
      <c r="F652" s="63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1:40" ht="23.4" x14ac:dyDescent="0.3">
      <c r="A653" s="17"/>
      <c r="B653" s="17"/>
      <c r="C653" s="63"/>
      <c r="D653" s="63"/>
      <c r="E653" s="63"/>
      <c r="F653" s="63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1:40" ht="23.4" x14ac:dyDescent="0.3">
      <c r="A654" s="17"/>
      <c r="B654" s="17"/>
      <c r="C654" s="63"/>
      <c r="D654" s="63"/>
      <c r="E654" s="63"/>
      <c r="F654" s="63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1:40" ht="23.4" x14ac:dyDescent="0.3">
      <c r="A655" s="17"/>
      <c r="B655" s="17"/>
      <c r="C655" s="63"/>
      <c r="D655" s="63"/>
      <c r="E655" s="63"/>
      <c r="F655" s="63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1:40" ht="23.4" x14ac:dyDescent="0.3">
      <c r="A656" s="17"/>
      <c r="B656" s="17"/>
      <c r="C656" s="63"/>
      <c r="D656" s="63"/>
      <c r="E656" s="63"/>
      <c r="F656" s="63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1:40" ht="23.4" x14ac:dyDescent="0.3">
      <c r="A657" s="17"/>
      <c r="B657" s="17"/>
      <c r="C657" s="63"/>
      <c r="D657" s="63"/>
      <c r="E657" s="63"/>
      <c r="F657" s="63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1:40" ht="23.4" x14ac:dyDescent="0.3">
      <c r="A658" s="17"/>
      <c r="B658" s="17"/>
      <c r="C658" s="63"/>
      <c r="D658" s="63"/>
      <c r="E658" s="63"/>
      <c r="F658" s="63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1:40" ht="23.4" x14ac:dyDescent="0.3">
      <c r="A659" s="17"/>
      <c r="B659" s="17"/>
      <c r="C659" s="63"/>
      <c r="D659" s="63"/>
      <c r="E659" s="63"/>
      <c r="F659" s="63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1:40" ht="23.4" x14ac:dyDescent="0.3">
      <c r="A660" s="17"/>
      <c r="B660" s="17"/>
      <c r="C660" s="63"/>
      <c r="D660" s="63"/>
      <c r="E660" s="63"/>
      <c r="F660" s="63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1:40" ht="23.4" x14ac:dyDescent="0.3">
      <c r="A661" s="17"/>
      <c r="B661" s="17"/>
      <c r="C661" s="63"/>
      <c r="D661" s="63"/>
      <c r="E661" s="63"/>
      <c r="F661" s="63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1:40" ht="23.4" x14ac:dyDescent="0.3">
      <c r="A662" s="17"/>
      <c r="B662" s="17"/>
      <c r="C662" s="63"/>
      <c r="D662" s="63"/>
      <c r="E662" s="63"/>
      <c r="F662" s="63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1:40" ht="23.4" x14ac:dyDescent="0.3">
      <c r="A663" s="17"/>
      <c r="B663" s="17"/>
      <c r="C663" s="63"/>
      <c r="D663" s="63"/>
      <c r="E663" s="63"/>
      <c r="F663" s="63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1:40" ht="23.4" x14ac:dyDescent="0.3">
      <c r="A664" s="17"/>
      <c r="B664" s="17"/>
      <c r="C664" s="63"/>
      <c r="D664" s="63"/>
      <c r="E664" s="63"/>
      <c r="F664" s="63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1:40" ht="23.4" x14ac:dyDescent="0.3">
      <c r="A665" s="17"/>
      <c r="B665" s="17"/>
      <c r="C665" s="63"/>
      <c r="D665" s="63"/>
      <c r="E665" s="63"/>
      <c r="F665" s="63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1:40" ht="23.4" x14ac:dyDescent="0.3">
      <c r="A666" s="17"/>
      <c r="B666" s="17"/>
      <c r="C666" s="63"/>
      <c r="D666" s="63"/>
      <c r="E666" s="63"/>
      <c r="F666" s="63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1:40" ht="23.4" x14ac:dyDescent="0.3">
      <c r="A667" s="17"/>
      <c r="B667" s="17"/>
      <c r="C667" s="63"/>
      <c r="D667" s="63"/>
      <c r="E667" s="63"/>
      <c r="F667" s="63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1:40" ht="23.4" x14ac:dyDescent="0.3">
      <c r="A668" s="17"/>
      <c r="B668" s="17"/>
      <c r="C668" s="63"/>
      <c r="D668" s="63"/>
      <c r="E668" s="63"/>
      <c r="F668" s="63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1:40" ht="23.4" x14ac:dyDescent="0.3">
      <c r="A669" s="17"/>
      <c r="B669" s="17"/>
      <c r="C669" s="63"/>
      <c r="D669" s="63"/>
      <c r="E669" s="63"/>
      <c r="F669" s="63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1:40" ht="23.4" x14ac:dyDescent="0.3">
      <c r="A670" s="17"/>
      <c r="B670" s="17"/>
      <c r="C670" s="63"/>
      <c r="D670" s="63"/>
      <c r="E670" s="63"/>
      <c r="F670" s="63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1:40" ht="23.4" x14ac:dyDescent="0.3">
      <c r="A671" s="17"/>
      <c r="B671" s="17"/>
      <c r="C671" s="63"/>
      <c r="D671" s="63"/>
      <c r="E671" s="63"/>
      <c r="F671" s="63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1:40" ht="23.4" x14ac:dyDescent="0.3">
      <c r="A672" s="17"/>
      <c r="B672" s="17"/>
      <c r="C672" s="63"/>
      <c r="D672" s="63"/>
      <c r="E672" s="63"/>
      <c r="F672" s="63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1:40" ht="23.4" x14ac:dyDescent="0.3">
      <c r="A673" s="17"/>
      <c r="B673" s="17"/>
      <c r="C673" s="63"/>
      <c r="D673" s="63"/>
      <c r="E673" s="63"/>
      <c r="F673" s="63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1:40" ht="23.4" x14ac:dyDescent="0.3">
      <c r="A674" s="17"/>
      <c r="B674" s="17"/>
      <c r="C674" s="63"/>
      <c r="D674" s="63"/>
      <c r="E674" s="63"/>
      <c r="F674" s="63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1:40" ht="23.4" x14ac:dyDescent="0.3">
      <c r="A675" s="17"/>
      <c r="B675" s="17"/>
      <c r="C675" s="63"/>
      <c r="D675" s="63"/>
      <c r="E675" s="63"/>
      <c r="F675" s="63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1:40" ht="23.4" x14ac:dyDescent="0.3">
      <c r="A676" s="17"/>
      <c r="B676" s="17"/>
      <c r="C676" s="63"/>
      <c r="D676" s="63"/>
      <c r="E676" s="63"/>
      <c r="F676" s="63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1:40" ht="23.4" x14ac:dyDescent="0.3">
      <c r="A677" s="17"/>
      <c r="B677" s="17"/>
      <c r="C677" s="63"/>
      <c r="D677" s="63"/>
      <c r="E677" s="63"/>
      <c r="F677" s="63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1:40" ht="23.4" x14ac:dyDescent="0.3">
      <c r="A678" s="17"/>
      <c r="B678" s="17"/>
      <c r="C678" s="63"/>
      <c r="D678" s="63"/>
      <c r="E678" s="63"/>
      <c r="F678" s="63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1:40" ht="23.4" x14ac:dyDescent="0.3">
      <c r="A679" s="17"/>
      <c r="B679" s="17"/>
      <c r="C679" s="63"/>
      <c r="D679" s="63"/>
      <c r="E679" s="63"/>
      <c r="F679" s="63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1:40" ht="23.4" x14ac:dyDescent="0.3">
      <c r="A680" s="17"/>
      <c r="B680" s="17"/>
      <c r="C680" s="63"/>
      <c r="D680" s="63"/>
      <c r="E680" s="63"/>
      <c r="F680" s="63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1:40" ht="23.4" x14ac:dyDescent="0.3">
      <c r="A681" s="17"/>
      <c r="B681" s="17"/>
      <c r="C681" s="63"/>
      <c r="D681" s="63"/>
      <c r="E681" s="63"/>
      <c r="F681" s="63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1:40" ht="23.4" x14ac:dyDescent="0.3">
      <c r="A682" s="17"/>
      <c r="B682" s="17"/>
      <c r="C682" s="63"/>
      <c r="D682" s="63"/>
      <c r="E682" s="63"/>
      <c r="F682" s="63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1:40" ht="23.4" x14ac:dyDescent="0.3">
      <c r="A683" s="17"/>
      <c r="B683" s="17"/>
      <c r="C683" s="63"/>
      <c r="D683" s="63"/>
      <c r="E683" s="63"/>
      <c r="F683" s="63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1:40" ht="23.4" x14ac:dyDescent="0.3">
      <c r="A684" s="17"/>
      <c r="B684" s="17"/>
      <c r="C684" s="63"/>
      <c r="D684" s="63"/>
      <c r="E684" s="63"/>
      <c r="F684" s="63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1:40" ht="23.4" x14ac:dyDescent="0.3">
      <c r="A685" s="17"/>
      <c r="B685" s="17"/>
      <c r="C685" s="63"/>
      <c r="D685" s="63"/>
      <c r="E685" s="63"/>
      <c r="F685" s="63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1:40" ht="23.4" x14ac:dyDescent="0.3">
      <c r="A686" s="17"/>
      <c r="B686" s="17"/>
      <c r="C686" s="63"/>
      <c r="D686" s="63"/>
      <c r="E686" s="63"/>
      <c r="F686" s="63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1:40" ht="23.4" x14ac:dyDescent="0.3">
      <c r="A687" s="17"/>
      <c r="B687" s="17"/>
      <c r="C687" s="63"/>
      <c r="D687" s="63"/>
      <c r="E687" s="63"/>
      <c r="F687" s="63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1:40" ht="23.4" x14ac:dyDescent="0.3">
      <c r="A688" s="17"/>
      <c r="B688" s="17"/>
      <c r="C688" s="63"/>
      <c r="D688" s="63"/>
      <c r="E688" s="63"/>
      <c r="F688" s="63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1:40" ht="23.4" x14ac:dyDescent="0.3">
      <c r="A689" s="17"/>
      <c r="B689" s="17"/>
      <c r="C689" s="63"/>
      <c r="D689" s="63"/>
      <c r="E689" s="63"/>
      <c r="F689" s="63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1:40" ht="23.4" x14ac:dyDescent="0.3">
      <c r="A690" s="17"/>
      <c r="B690" s="17"/>
      <c r="C690" s="63"/>
      <c r="D690" s="63"/>
      <c r="E690" s="63"/>
      <c r="F690" s="63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1:40" ht="23.4" x14ac:dyDescent="0.3">
      <c r="A691" s="17"/>
      <c r="B691" s="17"/>
      <c r="C691" s="63"/>
      <c r="D691" s="63"/>
      <c r="E691" s="63"/>
      <c r="F691" s="63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1:40" ht="23.4" x14ac:dyDescent="0.3">
      <c r="A692" s="17"/>
      <c r="B692" s="17"/>
      <c r="C692" s="63"/>
      <c r="D692" s="63"/>
      <c r="E692" s="63"/>
      <c r="F692" s="63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1:40" ht="23.4" x14ac:dyDescent="0.3">
      <c r="A693" s="17"/>
      <c r="B693" s="17"/>
      <c r="C693" s="63"/>
      <c r="D693" s="63"/>
      <c r="E693" s="63"/>
      <c r="F693" s="63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1:40" ht="23.4" x14ac:dyDescent="0.3">
      <c r="A694" s="17"/>
      <c r="B694" s="17"/>
      <c r="C694" s="63"/>
      <c r="D694" s="63"/>
      <c r="E694" s="63"/>
      <c r="F694" s="63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1:40" ht="23.4" x14ac:dyDescent="0.3">
      <c r="A695" s="17"/>
      <c r="B695" s="17"/>
      <c r="C695" s="63"/>
      <c r="D695" s="63"/>
      <c r="E695" s="63"/>
      <c r="F695" s="63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1:40" ht="23.4" x14ac:dyDescent="0.3">
      <c r="A696" s="17"/>
      <c r="B696" s="17"/>
      <c r="C696" s="63"/>
      <c r="D696" s="63"/>
      <c r="E696" s="63"/>
      <c r="F696" s="63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1:40" ht="23.4" x14ac:dyDescent="0.3">
      <c r="A697" s="17"/>
      <c r="B697" s="17"/>
      <c r="C697" s="63"/>
      <c r="D697" s="63"/>
      <c r="E697" s="63"/>
      <c r="F697" s="63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1:40" ht="23.4" x14ac:dyDescent="0.3">
      <c r="A698" s="17"/>
      <c r="B698" s="17"/>
      <c r="C698" s="63"/>
      <c r="D698" s="63"/>
      <c r="E698" s="63"/>
      <c r="F698" s="63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1:40" ht="23.4" x14ac:dyDescent="0.3">
      <c r="A699" s="17"/>
      <c r="B699" s="17"/>
      <c r="C699" s="63"/>
      <c r="D699" s="63"/>
      <c r="E699" s="63"/>
      <c r="F699" s="63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1:40" ht="23.4" x14ac:dyDescent="0.3">
      <c r="A700" s="17"/>
      <c r="B700" s="17"/>
      <c r="C700" s="63"/>
      <c r="D700" s="63"/>
      <c r="E700" s="63"/>
      <c r="F700" s="63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1:40" ht="23.4" x14ac:dyDescent="0.3">
      <c r="A701" s="17"/>
      <c r="B701" s="17"/>
      <c r="C701" s="63"/>
      <c r="D701" s="63"/>
      <c r="E701" s="63"/>
      <c r="F701" s="63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1:40" ht="23.4" x14ac:dyDescent="0.3">
      <c r="A702" s="17"/>
      <c r="B702" s="17"/>
      <c r="C702" s="63"/>
      <c r="D702" s="63"/>
      <c r="E702" s="63"/>
      <c r="F702" s="63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1:40" ht="23.4" x14ac:dyDescent="0.3">
      <c r="A703" s="17"/>
      <c r="B703" s="17"/>
      <c r="C703" s="63"/>
      <c r="D703" s="63"/>
      <c r="E703" s="63"/>
      <c r="F703" s="63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1:40" ht="23.4" x14ac:dyDescent="0.3">
      <c r="A704" s="17"/>
      <c r="B704" s="17"/>
      <c r="C704" s="63"/>
      <c r="D704" s="63"/>
      <c r="E704" s="63"/>
      <c r="F704" s="63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1:40" ht="23.4" x14ac:dyDescent="0.3">
      <c r="A705" s="17"/>
      <c r="B705" s="17"/>
      <c r="C705" s="63"/>
      <c r="D705" s="63"/>
      <c r="E705" s="63"/>
      <c r="F705" s="63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1:40" ht="23.4" x14ac:dyDescent="0.3">
      <c r="A706" s="17"/>
      <c r="B706" s="17"/>
      <c r="C706" s="63"/>
      <c r="D706" s="63"/>
      <c r="E706" s="63"/>
      <c r="F706" s="63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1:40" ht="23.4" x14ac:dyDescent="0.3">
      <c r="A707" s="17"/>
      <c r="B707" s="17"/>
      <c r="C707" s="63"/>
      <c r="D707" s="63"/>
      <c r="E707" s="63"/>
      <c r="F707" s="63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1:40" ht="23.4" x14ac:dyDescent="0.3">
      <c r="A708" s="17"/>
      <c r="B708" s="17"/>
      <c r="C708" s="63"/>
      <c r="D708" s="63"/>
      <c r="E708" s="63"/>
      <c r="F708" s="63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1:40" ht="23.4" x14ac:dyDescent="0.3">
      <c r="A709" s="17"/>
      <c r="B709" s="17"/>
      <c r="C709" s="63"/>
      <c r="D709" s="63"/>
      <c r="E709" s="63"/>
      <c r="F709" s="63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1:40" ht="23.4" x14ac:dyDescent="0.3">
      <c r="A710" s="17"/>
      <c r="B710" s="17"/>
      <c r="C710" s="63"/>
      <c r="D710" s="63"/>
      <c r="E710" s="63"/>
      <c r="F710" s="63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1:40" ht="23.4" x14ac:dyDescent="0.3">
      <c r="A711" s="17"/>
      <c r="B711" s="17"/>
      <c r="C711" s="63"/>
      <c r="D711" s="63"/>
      <c r="E711" s="63"/>
      <c r="F711" s="63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1:40" ht="23.4" x14ac:dyDescent="0.3">
      <c r="A712" s="17"/>
      <c r="B712" s="17"/>
      <c r="C712" s="63"/>
      <c r="D712" s="63"/>
      <c r="E712" s="63"/>
      <c r="F712" s="63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1:40" ht="23.4" x14ac:dyDescent="0.3">
      <c r="A713" s="17"/>
      <c r="B713" s="17"/>
      <c r="C713" s="63"/>
      <c r="D713" s="63"/>
      <c r="E713" s="63"/>
      <c r="F713" s="63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1:40" ht="23.4" x14ac:dyDescent="0.3">
      <c r="A714" s="17"/>
      <c r="B714" s="17"/>
      <c r="C714" s="63"/>
      <c r="D714" s="63"/>
      <c r="E714" s="63"/>
      <c r="F714" s="63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1:40" ht="23.4" x14ac:dyDescent="0.3">
      <c r="A715" s="17"/>
      <c r="B715" s="17"/>
      <c r="C715" s="63"/>
      <c r="D715" s="63"/>
      <c r="E715" s="63"/>
      <c r="F715" s="63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1:40" ht="23.4" x14ac:dyDescent="0.3">
      <c r="A716" s="17"/>
      <c r="B716" s="17"/>
      <c r="C716" s="63"/>
      <c r="D716" s="63"/>
      <c r="E716" s="63"/>
      <c r="F716" s="63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1:40" ht="23.4" x14ac:dyDescent="0.3">
      <c r="A717" s="17"/>
      <c r="B717" s="17"/>
      <c r="C717" s="63"/>
      <c r="D717" s="63"/>
      <c r="E717" s="63"/>
      <c r="F717" s="63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1:40" ht="23.4" x14ac:dyDescent="0.3">
      <c r="A718" s="17"/>
      <c r="B718" s="17"/>
      <c r="C718" s="63"/>
      <c r="D718" s="63"/>
      <c r="E718" s="63"/>
      <c r="F718" s="63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1:40" ht="23.4" x14ac:dyDescent="0.3">
      <c r="A719" s="17"/>
      <c r="B719" s="17"/>
      <c r="C719" s="63"/>
      <c r="D719" s="63"/>
      <c r="E719" s="63"/>
      <c r="F719" s="63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1:40" ht="23.4" x14ac:dyDescent="0.3">
      <c r="A720" s="17"/>
      <c r="B720" s="17"/>
      <c r="C720" s="63"/>
      <c r="D720" s="63"/>
      <c r="E720" s="63"/>
      <c r="F720" s="63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1:40" ht="23.4" x14ac:dyDescent="0.3">
      <c r="A721" s="17"/>
      <c r="B721" s="17"/>
      <c r="C721" s="63"/>
      <c r="D721" s="63"/>
      <c r="E721" s="63"/>
      <c r="F721" s="63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1:40" ht="23.4" x14ac:dyDescent="0.3">
      <c r="A722" s="17"/>
      <c r="B722" s="17"/>
      <c r="C722" s="63"/>
      <c r="D722" s="63"/>
      <c r="E722" s="63"/>
      <c r="F722" s="63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1:40" ht="23.4" x14ac:dyDescent="0.3">
      <c r="A723" s="17"/>
      <c r="B723" s="17"/>
      <c r="C723" s="63"/>
      <c r="D723" s="63"/>
      <c r="E723" s="63"/>
      <c r="F723" s="63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1:40" ht="23.4" x14ac:dyDescent="0.3">
      <c r="A724" s="17"/>
      <c r="B724" s="17"/>
      <c r="C724" s="63"/>
      <c r="D724" s="63"/>
      <c r="E724" s="63"/>
      <c r="F724" s="63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1:40" ht="23.4" x14ac:dyDescent="0.3">
      <c r="A725" s="17"/>
      <c r="B725" s="17"/>
      <c r="C725" s="63"/>
      <c r="D725" s="63"/>
      <c r="E725" s="63"/>
      <c r="F725" s="63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1:40" ht="23.4" x14ac:dyDescent="0.3">
      <c r="A726" s="17"/>
      <c r="B726" s="17"/>
      <c r="C726" s="63"/>
      <c r="D726" s="63"/>
      <c r="E726" s="63"/>
      <c r="F726" s="63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1:40" ht="23.4" x14ac:dyDescent="0.3">
      <c r="A727" s="17"/>
      <c r="B727" s="17"/>
      <c r="C727" s="63"/>
      <c r="D727" s="63"/>
      <c r="E727" s="63"/>
      <c r="F727" s="63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1:40" ht="23.4" x14ac:dyDescent="0.3">
      <c r="A728" s="17"/>
      <c r="B728" s="17"/>
      <c r="C728" s="63"/>
      <c r="D728" s="63"/>
      <c r="E728" s="63"/>
      <c r="F728" s="63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1:40" ht="23.4" x14ac:dyDescent="0.3">
      <c r="A729" s="17"/>
      <c r="B729" s="17"/>
      <c r="C729" s="63"/>
      <c r="D729" s="63"/>
      <c r="E729" s="63"/>
      <c r="F729" s="63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1:40" ht="23.4" x14ac:dyDescent="0.3">
      <c r="A730" s="17"/>
      <c r="B730" s="17"/>
      <c r="C730" s="63"/>
      <c r="D730" s="63"/>
      <c r="E730" s="63"/>
      <c r="F730" s="63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1:40" ht="23.4" x14ac:dyDescent="0.3">
      <c r="A731" s="17"/>
      <c r="B731" s="17"/>
      <c r="C731" s="63"/>
      <c r="D731" s="63"/>
      <c r="E731" s="63"/>
      <c r="F731" s="63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1:40" ht="23.4" x14ac:dyDescent="0.3">
      <c r="A732" s="17"/>
      <c r="B732" s="17"/>
      <c r="C732" s="63"/>
      <c r="D732" s="63"/>
      <c r="E732" s="63"/>
      <c r="F732" s="63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1:40" ht="23.4" x14ac:dyDescent="0.3">
      <c r="A733" s="17"/>
      <c r="B733" s="17"/>
      <c r="C733" s="63"/>
      <c r="D733" s="63"/>
      <c r="E733" s="63"/>
      <c r="F733" s="63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1:40" ht="23.4" x14ac:dyDescent="0.3">
      <c r="A734" s="17"/>
      <c r="B734" s="17"/>
      <c r="C734" s="63"/>
      <c r="D734" s="63"/>
      <c r="E734" s="63"/>
      <c r="F734" s="63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1:40" ht="23.4" x14ac:dyDescent="0.3">
      <c r="A735" s="17"/>
      <c r="B735" s="17"/>
      <c r="C735" s="63"/>
      <c r="D735" s="63"/>
      <c r="E735" s="63"/>
      <c r="F735" s="63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1:40" ht="23.4" x14ac:dyDescent="0.3">
      <c r="A736" s="17"/>
      <c r="B736" s="17"/>
      <c r="C736" s="63"/>
      <c r="D736" s="63"/>
      <c r="E736" s="63"/>
      <c r="F736" s="63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1:40" ht="23.4" x14ac:dyDescent="0.3">
      <c r="A737" s="17"/>
      <c r="B737" s="17"/>
      <c r="C737" s="63"/>
      <c r="D737" s="63"/>
      <c r="E737" s="63"/>
      <c r="F737" s="63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1:40" ht="23.4" x14ac:dyDescent="0.3">
      <c r="A738" s="17"/>
      <c r="B738" s="17"/>
      <c r="C738" s="63"/>
      <c r="D738" s="63"/>
      <c r="E738" s="63"/>
      <c r="F738" s="63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1:40" ht="23.4" x14ac:dyDescent="0.3">
      <c r="A739" s="17"/>
      <c r="B739" s="17"/>
      <c r="C739" s="63"/>
      <c r="D739" s="63"/>
      <c r="E739" s="63"/>
      <c r="F739" s="63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1:40" ht="23.4" x14ac:dyDescent="0.3">
      <c r="A740" s="17"/>
      <c r="B740" s="17"/>
      <c r="C740" s="63"/>
      <c r="D740" s="63"/>
      <c r="E740" s="63"/>
      <c r="F740" s="63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1:40" ht="23.4" x14ac:dyDescent="0.3">
      <c r="A741" s="17"/>
      <c r="B741" s="17"/>
      <c r="C741" s="63"/>
      <c r="D741" s="63"/>
      <c r="E741" s="63"/>
      <c r="F741" s="63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1:40" ht="23.4" x14ac:dyDescent="0.3">
      <c r="A742" s="17"/>
      <c r="B742" s="17"/>
      <c r="C742" s="63"/>
      <c r="D742" s="63"/>
      <c r="E742" s="63"/>
      <c r="F742" s="63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1:40" ht="23.4" x14ac:dyDescent="0.3">
      <c r="A743" s="17"/>
      <c r="B743" s="17"/>
      <c r="C743" s="63"/>
      <c r="D743" s="63"/>
      <c r="E743" s="63"/>
      <c r="F743" s="63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1:40" ht="23.4" x14ac:dyDescent="0.3">
      <c r="A744" s="17"/>
      <c r="B744" s="17"/>
      <c r="C744" s="63"/>
      <c r="D744" s="63"/>
      <c r="E744" s="63"/>
      <c r="F744" s="63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1:40" ht="23.4" x14ac:dyDescent="0.3">
      <c r="A745" s="17"/>
      <c r="B745" s="17"/>
      <c r="C745" s="63"/>
      <c r="D745" s="63"/>
      <c r="E745" s="63"/>
      <c r="F745" s="63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1:40" ht="23.4" x14ac:dyDescent="0.3">
      <c r="A746" s="17"/>
      <c r="B746" s="17"/>
      <c r="C746" s="63"/>
      <c r="D746" s="63"/>
      <c r="E746" s="63"/>
      <c r="F746" s="63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1:40" ht="23.4" x14ac:dyDescent="0.3">
      <c r="A747" s="17"/>
      <c r="B747" s="17"/>
      <c r="C747" s="63"/>
      <c r="D747" s="63"/>
      <c r="E747" s="63"/>
      <c r="F747" s="63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1:40" ht="23.4" x14ac:dyDescent="0.3">
      <c r="A748" s="17"/>
      <c r="B748" s="17"/>
      <c r="C748" s="63"/>
      <c r="D748" s="63"/>
      <c r="E748" s="63"/>
      <c r="F748" s="63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1:40" ht="23.4" x14ac:dyDescent="0.3">
      <c r="A749" s="17"/>
      <c r="B749" s="17"/>
      <c r="C749" s="63"/>
      <c r="D749" s="63"/>
      <c r="E749" s="63"/>
      <c r="F749" s="63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1:40" ht="23.4" x14ac:dyDescent="0.3">
      <c r="A750" s="17"/>
      <c r="B750" s="17"/>
      <c r="C750" s="63"/>
      <c r="D750" s="63"/>
      <c r="E750" s="63"/>
      <c r="F750" s="63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1:40" ht="23.4" x14ac:dyDescent="0.3">
      <c r="A751" s="17"/>
      <c r="B751" s="17"/>
      <c r="C751" s="63"/>
      <c r="D751" s="63"/>
      <c r="E751" s="63"/>
      <c r="F751" s="63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1:40" ht="23.4" x14ac:dyDescent="0.3">
      <c r="A752" s="17"/>
      <c r="B752" s="17"/>
      <c r="C752" s="63"/>
      <c r="D752" s="63"/>
      <c r="E752" s="63"/>
      <c r="F752" s="63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1:40" ht="23.4" x14ac:dyDescent="0.3">
      <c r="A753" s="17"/>
      <c r="B753" s="17"/>
      <c r="C753" s="63"/>
      <c r="D753" s="63"/>
      <c r="E753" s="63"/>
      <c r="F753" s="63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1:40" ht="23.4" x14ac:dyDescent="0.3">
      <c r="A754" s="17"/>
      <c r="B754" s="17"/>
      <c r="C754" s="63"/>
      <c r="D754" s="63"/>
      <c r="E754" s="63"/>
      <c r="F754" s="63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1:40" ht="23.4" x14ac:dyDescent="0.3">
      <c r="A755" s="17"/>
      <c r="B755" s="17"/>
      <c r="C755" s="63"/>
      <c r="D755" s="63"/>
      <c r="E755" s="63"/>
      <c r="F755" s="63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1:40" ht="23.4" x14ac:dyDescent="0.3">
      <c r="A756" s="17"/>
      <c r="B756" s="17"/>
      <c r="C756" s="63"/>
      <c r="D756" s="63"/>
      <c r="E756" s="63"/>
      <c r="F756" s="63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1:40" ht="23.4" x14ac:dyDescent="0.3">
      <c r="A757" s="17"/>
      <c r="B757" s="17"/>
      <c r="C757" s="63"/>
      <c r="D757" s="63"/>
      <c r="E757" s="63"/>
      <c r="F757" s="63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1:40" ht="23.4" x14ac:dyDescent="0.3">
      <c r="A758" s="17"/>
      <c r="B758" s="17"/>
      <c r="C758" s="63"/>
      <c r="D758" s="63"/>
      <c r="E758" s="63"/>
      <c r="F758" s="63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1:40" ht="23.4" x14ac:dyDescent="0.3">
      <c r="A759" s="17"/>
      <c r="B759" s="17"/>
      <c r="C759" s="63"/>
      <c r="D759" s="63"/>
      <c r="E759" s="63"/>
      <c r="F759" s="63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1:40" ht="23.4" x14ac:dyDescent="0.3">
      <c r="A760" s="17"/>
      <c r="B760" s="17"/>
      <c r="C760" s="63"/>
      <c r="D760" s="63"/>
      <c r="E760" s="63"/>
      <c r="F760" s="63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1:40" ht="23.4" x14ac:dyDescent="0.3">
      <c r="A761" s="17"/>
      <c r="B761" s="17"/>
      <c r="C761" s="63"/>
      <c r="D761" s="63"/>
      <c r="E761" s="63"/>
      <c r="F761" s="63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1:40" ht="23.4" x14ac:dyDescent="0.3">
      <c r="A762" s="17"/>
      <c r="B762" s="17"/>
      <c r="C762" s="63"/>
      <c r="D762" s="63"/>
      <c r="E762" s="63"/>
      <c r="F762" s="63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1:40" ht="23.4" x14ac:dyDescent="0.3">
      <c r="A763" s="17"/>
      <c r="B763" s="17"/>
      <c r="C763" s="63"/>
      <c r="D763" s="63"/>
      <c r="E763" s="63"/>
      <c r="F763" s="63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1:40" ht="23.4" x14ac:dyDescent="0.3">
      <c r="A764" s="17"/>
      <c r="B764" s="17"/>
      <c r="C764" s="63"/>
      <c r="D764" s="63"/>
      <c r="E764" s="63"/>
      <c r="F764" s="63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1:40" ht="23.4" x14ac:dyDescent="0.3">
      <c r="A765" s="17"/>
      <c r="B765" s="17"/>
      <c r="C765" s="63"/>
      <c r="D765" s="63"/>
      <c r="E765" s="63"/>
      <c r="F765" s="63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1:40" ht="23.4" x14ac:dyDescent="0.3">
      <c r="A766" s="17"/>
      <c r="B766" s="17"/>
      <c r="C766" s="63"/>
      <c r="D766" s="63"/>
      <c r="E766" s="63"/>
      <c r="F766" s="63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1:40" ht="23.4" x14ac:dyDescent="0.3">
      <c r="A767" s="17"/>
      <c r="B767" s="17"/>
      <c r="C767" s="63"/>
      <c r="D767" s="63"/>
      <c r="E767" s="63"/>
      <c r="F767" s="63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1:40" ht="23.4" x14ac:dyDescent="0.3">
      <c r="A768" s="17"/>
      <c r="B768" s="17"/>
      <c r="C768" s="63"/>
      <c r="D768" s="63"/>
      <c r="E768" s="63"/>
      <c r="F768" s="63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1:40" ht="23.4" x14ac:dyDescent="0.3">
      <c r="A769" s="17"/>
      <c r="B769" s="17"/>
      <c r="C769" s="63"/>
      <c r="D769" s="63"/>
      <c r="E769" s="63"/>
      <c r="F769" s="63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1:40" ht="23.4" x14ac:dyDescent="0.3">
      <c r="A770" s="17"/>
      <c r="B770" s="17"/>
      <c r="C770" s="63"/>
      <c r="D770" s="63"/>
      <c r="E770" s="63"/>
      <c r="F770" s="63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1:40" ht="23.4" x14ac:dyDescent="0.3">
      <c r="A771" s="17"/>
      <c r="B771" s="17"/>
      <c r="C771" s="63"/>
      <c r="D771" s="63"/>
      <c r="E771" s="63"/>
      <c r="F771" s="63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1:40" ht="23.4" x14ac:dyDescent="0.3">
      <c r="A772" s="17"/>
      <c r="B772" s="17"/>
      <c r="C772" s="63"/>
      <c r="D772" s="63"/>
      <c r="E772" s="63"/>
      <c r="F772" s="63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1:40" ht="23.4" x14ac:dyDescent="0.3">
      <c r="A773" s="17"/>
      <c r="B773" s="17"/>
      <c r="C773" s="63"/>
      <c r="D773" s="63"/>
      <c r="E773" s="63"/>
      <c r="F773" s="63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1:40" ht="23.4" x14ac:dyDescent="0.3">
      <c r="A774" s="17"/>
      <c r="B774" s="17"/>
      <c r="C774" s="63"/>
      <c r="D774" s="63"/>
      <c r="E774" s="63"/>
      <c r="F774" s="63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1:40" ht="23.4" x14ac:dyDescent="0.3">
      <c r="A775" s="17"/>
      <c r="B775" s="17"/>
      <c r="C775" s="63"/>
      <c r="D775" s="63"/>
      <c r="E775" s="63"/>
      <c r="F775" s="63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1:40" ht="23.4" x14ac:dyDescent="0.3">
      <c r="A776" s="17"/>
      <c r="B776" s="17"/>
      <c r="C776" s="63"/>
      <c r="D776" s="63"/>
      <c r="E776" s="63"/>
      <c r="F776" s="63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1:40" ht="23.4" x14ac:dyDescent="0.3">
      <c r="A777" s="17"/>
      <c r="B777" s="17"/>
      <c r="C777" s="63"/>
      <c r="D777" s="63"/>
      <c r="E777" s="63"/>
      <c r="F777" s="63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1:40" ht="23.4" x14ac:dyDescent="0.3">
      <c r="A778" s="17"/>
      <c r="B778" s="17"/>
      <c r="C778" s="63"/>
      <c r="D778" s="63"/>
      <c r="E778" s="63"/>
      <c r="F778" s="63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1:40" ht="23.4" x14ac:dyDescent="0.3">
      <c r="A779" s="17"/>
      <c r="B779" s="17"/>
      <c r="C779" s="63"/>
      <c r="D779" s="63"/>
      <c r="E779" s="63"/>
      <c r="F779" s="63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1:40" ht="23.4" x14ac:dyDescent="0.3">
      <c r="A780" s="17"/>
      <c r="B780" s="17"/>
      <c r="C780" s="63"/>
      <c r="D780" s="63"/>
      <c r="E780" s="63"/>
      <c r="F780" s="63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1:40" ht="23.4" x14ac:dyDescent="0.3">
      <c r="A781" s="17"/>
      <c r="B781" s="17"/>
      <c r="C781" s="63"/>
      <c r="D781" s="63"/>
      <c r="E781" s="63"/>
      <c r="F781" s="63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1:40" ht="23.4" x14ac:dyDescent="0.3">
      <c r="A782" s="17"/>
      <c r="B782" s="17"/>
      <c r="C782" s="63"/>
      <c r="D782" s="63"/>
      <c r="E782" s="63"/>
      <c r="F782" s="63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1:40" ht="23.4" x14ac:dyDescent="0.3">
      <c r="A783" s="17"/>
      <c r="B783" s="17"/>
      <c r="C783" s="63"/>
      <c r="D783" s="63"/>
      <c r="E783" s="63"/>
      <c r="F783" s="63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1:40" ht="23.4" x14ac:dyDescent="0.3">
      <c r="A784" s="17"/>
      <c r="B784" s="17"/>
      <c r="C784" s="63"/>
      <c r="D784" s="63"/>
      <c r="E784" s="63"/>
      <c r="F784" s="63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1:40" ht="23.4" x14ac:dyDescent="0.3">
      <c r="A785" s="17"/>
      <c r="B785" s="17"/>
      <c r="C785" s="63"/>
      <c r="D785" s="63"/>
      <c r="E785" s="63"/>
      <c r="F785" s="63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1:40" ht="23.4" x14ac:dyDescent="0.3">
      <c r="A786" s="17"/>
      <c r="B786" s="17"/>
      <c r="C786" s="63"/>
      <c r="D786" s="63"/>
      <c r="E786" s="63"/>
      <c r="F786" s="63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1:40" ht="23.4" x14ac:dyDescent="0.3">
      <c r="A787" s="17"/>
      <c r="B787" s="17"/>
      <c r="C787" s="63"/>
      <c r="D787" s="63"/>
      <c r="E787" s="63"/>
      <c r="F787" s="63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1:40" ht="23.4" x14ac:dyDescent="0.3">
      <c r="A788" s="17"/>
      <c r="B788" s="17"/>
      <c r="C788" s="63"/>
      <c r="D788" s="63"/>
      <c r="E788" s="63"/>
      <c r="F788" s="63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1:40" ht="23.4" x14ac:dyDescent="0.3">
      <c r="A789" s="17"/>
      <c r="B789" s="17"/>
      <c r="C789" s="63"/>
      <c r="D789" s="63"/>
      <c r="E789" s="63"/>
      <c r="F789" s="63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1:40" ht="23.4" x14ac:dyDescent="0.3">
      <c r="A790" s="17"/>
      <c r="B790" s="17"/>
      <c r="C790" s="63"/>
      <c r="D790" s="63"/>
      <c r="E790" s="63"/>
      <c r="F790" s="63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1:40" ht="23.4" x14ac:dyDescent="0.3">
      <c r="A791" s="17"/>
      <c r="B791" s="17"/>
      <c r="C791" s="63"/>
      <c r="D791" s="63"/>
      <c r="E791" s="63"/>
      <c r="F791" s="63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1:40" ht="23.4" x14ac:dyDescent="0.3">
      <c r="A792" s="17"/>
      <c r="B792" s="17"/>
      <c r="C792" s="63"/>
      <c r="D792" s="63"/>
      <c r="E792" s="63"/>
      <c r="F792" s="63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1:40" ht="23.4" x14ac:dyDescent="0.3">
      <c r="A793" s="17"/>
      <c r="B793" s="17"/>
      <c r="C793" s="63"/>
      <c r="D793" s="63"/>
      <c r="E793" s="63"/>
      <c r="F793" s="63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1:40" ht="23.4" x14ac:dyDescent="0.3">
      <c r="A794" s="17"/>
      <c r="B794" s="17"/>
      <c r="C794" s="63"/>
      <c r="D794" s="63"/>
      <c r="E794" s="63"/>
      <c r="F794" s="63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1:40" ht="23.4" x14ac:dyDescent="0.3">
      <c r="A795" s="17"/>
      <c r="B795" s="17"/>
      <c r="C795" s="63"/>
      <c r="D795" s="63"/>
      <c r="E795" s="63"/>
      <c r="F795" s="63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1:40" ht="23.4" x14ac:dyDescent="0.3">
      <c r="A796" s="17"/>
      <c r="B796" s="17"/>
      <c r="C796" s="63"/>
      <c r="D796" s="63"/>
      <c r="E796" s="63"/>
      <c r="F796" s="63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1:40" ht="23.4" x14ac:dyDescent="0.3">
      <c r="A797" s="17"/>
      <c r="B797" s="17"/>
      <c r="C797" s="63"/>
      <c r="D797" s="63"/>
      <c r="E797" s="63"/>
      <c r="F797" s="63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1:40" ht="23.4" x14ac:dyDescent="0.3">
      <c r="A798" s="17"/>
      <c r="B798" s="17"/>
      <c r="C798" s="63"/>
      <c r="D798" s="63"/>
      <c r="E798" s="63"/>
      <c r="F798" s="63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1:40" ht="23.4" x14ac:dyDescent="0.3">
      <c r="A799" s="17"/>
      <c r="B799" s="17"/>
      <c r="C799" s="63"/>
      <c r="D799" s="63"/>
      <c r="E799" s="63"/>
      <c r="F799" s="63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1:40" ht="23.4" x14ac:dyDescent="0.3">
      <c r="A800" s="17"/>
      <c r="B800" s="17"/>
      <c r="C800" s="63"/>
      <c r="D800" s="63"/>
      <c r="E800" s="63"/>
      <c r="F800" s="63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1:40" ht="23.4" x14ac:dyDescent="0.3">
      <c r="A801" s="17"/>
      <c r="B801" s="17"/>
      <c r="C801" s="63"/>
      <c r="D801" s="63"/>
      <c r="E801" s="63"/>
      <c r="F801" s="63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1:40" ht="23.4" x14ac:dyDescent="0.3">
      <c r="A802" s="17"/>
      <c r="B802" s="17"/>
      <c r="C802" s="63"/>
      <c r="D802" s="63"/>
      <c r="E802" s="63"/>
      <c r="F802" s="63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1:40" ht="23.4" x14ac:dyDescent="0.3">
      <c r="A803" s="17"/>
      <c r="B803" s="17"/>
      <c r="C803" s="63"/>
      <c r="D803" s="63"/>
      <c r="E803" s="63"/>
      <c r="F803" s="63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1:40" ht="23.4" x14ac:dyDescent="0.3">
      <c r="A804" s="17"/>
      <c r="B804" s="17"/>
      <c r="C804" s="63"/>
      <c r="D804" s="63"/>
      <c r="E804" s="63"/>
      <c r="F804" s="63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1:40" ht="23.4" x14ac:dyDescent="0.3">
      <c r="A805" s="17"/>
      <c r="B805" s="17"/>
      <c r="C805" s="63"/>
      <c r="D805" s="63"/>
      <c r="E805" s="63"/>
      <c r="F805" s="63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1:40" ht="23.4" x14ac:dyDescent="0.3">
      <c r="A806" s="17"/>
      <c r="B806" s="17"/>
      <c r="C806" s="63"/>
      <c r="D806" s="63"/>
      <c r="E806" s="63"/>
      <c r="F806" s="63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1:40" ht="23.4" x14ac:dyDescent="0.3">
      <c r="A807" s="17"/>
      <c r="B807" s="17"/>
      <c r="C807" s="63"/>
      <c r="D807" s="63"/>
      <c r="E807" s="63"/>
      <c r="F807" s="63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1:40" ht="23.4" x14ac:dyDescent="0.3">
      <c r="A808" s="17"/>
      <c r="B808" s="17"/>
      <c r="C808" s="63"/>
      <c r="D808" s="63"/>
      <c r="E808" s="63"/>
      <c r="F808" s="63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1:40" ht="23.4" x14ac:dyDescent="0.3">
      <c r="A809" s="17"/>
      <c r="B809" s="17"/>
      <c r="C809" s="63"/>
      <c r="D809" s="63"/>
      <c r="E809" s="63"/>
      <c r="F809" s="63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1:40" ht="23.4" x14ac:dyDescent="0.3">
      <c r="A810" s="17"/>
      <c r="B810" s="17"/>
      <c r="C810" s="63"/>
      <c r="D810" s="63"/>
      <c r="E810" s="63"/>
      <c r="F810" s="63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1:40" ht="23.4" x14ac:dyDescent="0.3">
      <c r="A811" s="17"/>
      <c r="B811" s="17"/>
      <c r="C811" s="63"/>
      <c r="D811" s="63"/>
      <c r="E811" s="63"/>
      <c r="F811" s="63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1:40" ht="23.4" x14ac:dyDescent="0.3">
      <c r="A812" s="17"/>
      <c r="B812" s="17"/>
      <c r="C812" s="63"/>
      <c r="D812" s="63"/>
      <c r="E812" s="63"/>
      <c r="F812" s="63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1:40" ht="23.4" x14ac:dyDescent="0.3">
      <c r="A813" s="17"/>
      <c r="B813" s="17"/>
      <c r="C813" s="63"/>
      <c r="D813" s="63"/>
      <c r="E813" s="63"/>
      <c r="F813" s="63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1:40" ht="23.4" x14ac:dyDescent="0.3">
      <c r="A814" s="17"/>
      <c r="B814" s="17"/>
      <c r="C814" s="63"/>
      <c r="D814" s="63"/>
      <c r="E814" s="63"/>
      <c r="F814" s="63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1:40" ht="23.4" x14ac:dyDescent="0.3">
      <c r="A815" s="17"/>
      <c r="B815" s="17"/>
      <c r="C815" s="63"/>
      <c r="D815" s="63"/>
      <c r="E815" s="63"/>
      <c r="F815" s="63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1:40" ht="23.4" x14ac:dyDescent="0.3">
      <c r="A816" s="17"/>
      <c r="B816" s="17"/>
      <c r="C816" s="63"/>
      <c r="D816" s="63"/>
      <c r="E816" s="63"/>
      <c r="F816" s="63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1:40" ht="23.4" x14ac:dyDescent="0.3">
      <c r="A817" s="17"/>
      <c r="B817" s="17"/>
      <c r="C817" s="63"/>
      <c r="D817" s="63"/>
      <c r="E817" s="63"/>
      <c r="F817" s="63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1:40" ht="23.4" x14ac:dyDescent="0.3">
      <c r="A818" s="17"/>
      <c r="B818" s="17"/>
      <c r="C818" s="63"/>
      <c r="D818" s="63"/>
      <c r="E818" s="63"/>
      <c r="F818" s="63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1:40" ht="23.4" x14ac:dyDescent="0.3">
      <c r="A819" s="17"/>
      <c r="B819" s="17"/>
      <c r="C819" s="63"/>
      <c r="D819" s="63"/>
      <c r="E819" s="63"/>
      <c r="F819" s="63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1:40" ht="23.4" x14ac:dyDescent="0.3">
      <c r="A820" s="17"/>
      <c r="B820" s="17"/>
      <c r="C820" s="63"/>
      <c r="D820" s="63"/>
      <c r="E820" s="63"/>
      <c r="F820" s="63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1:40" ht="23.4" x14ac:dyDescent="0.3">
      <c r="A821" s="17"/>
      <c r="B821" s="17"/>
      <c r="C821" s="63"/>
      <c r="D821" s="63"/>
      <c r="E821" s="63"/>
      <c r="F821" s="63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1:40" ht="23.4" x14ac:dyDescent="0.3">
      <c r="A822" s="17"/>
      <c r="B822" s="17"/>
      <c r="C822" s="63"/>
      <c r="D822" s="63"/>
      <c r="E822" s="63"/>
      <c r="F822" s="63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1:40" ht="23.4" x14ac:dyDescent="0.3">
      <c r="A823" s="17"/>
      <c r="B823" s="17"/>
      <c r="C823" s="63"/>
      <c r="D823" s="63"/>
      <c r="E823" s="63"/>
      <c r="F823" s="63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1:40" ht="23.4" x14ac:dyDescent="0.3">
      <c r="A824" s="17"/>
      <c r="B824" s="17"/>
      <c r="C824" s="63"/>
      <c r="D824" s="63"/>
      <c r="E824" s="63"/>
      <c r="F824" s="63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1:40" ht="23.4" x14ac:dyDescent="0.3">
      <c r="A825" s="17"/>
      <c r="B825" s="17"/>
      <c r="C825" s="63"/>
      <c r="D825" s="63"/>
      <c r="E825" s="63"/>
      <c r="F825" s="63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1:40" ht="23.4" x14ac:dyDescent="0.3">
      <c r="A826" s="17"/>
      <c r="B826" s="17"/>
      <c r="C826" s="63"/>
      <c r="D826" s="63"/>
      <c r="E826" s="63"/>
      <c r="F826" s="63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1:40" ht="23.4" x14ac:dyDescent="0.3">
      <c r="A827" s="17"/>
      <c r="B827" s="17"/>
      <c r="C827" s="63"/>
      <c r="D827" s="63"/>
      <c r="E827" s="63"/>
      <c r="F827" s="63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1:40" ht="23.4" x14ac:dyDescent="0.3">
      <c r="A828" s="17"/>
      <c r="B828" s="17"/>
      <c r="C828" s="63"/>
      <c r="D828" s="63"/>
      <c r="E828" s="63"/>
      <c r="F828" s="63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1:40" ht="23.4" x14ac:dyDescent="0.3">
      <c r="A829" s="17"/>
      <c r="B829" s="17"/>
      <c r="C829" s="63"/>
      <c r="D829" s="63"/>
      <c r="E829" s="63"/>
      <c r="F829" s="63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1:40" ht="23.4" x14ac:dyDescent="0.3">
      <c r="A830" s="17"/>
      <c r="B830" s="17"/>
      <c r="C830" s="63"/>
      <c r="D830" s="63"/>
      <c r="E830" s="63"/>
      <c r="F830" s="63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1:40" ht="23.4" x14ac:dyDescent="0.3">
      <c r="A831" s="17"/>
      <c r="B831" s="17"/>
      <c r="C831" s="63"/>
      <c r="D831" s="63"/>
      <c r="E831" s="63"/>
      <c r="F831" s="63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1:40" ht="23.4" x14ac:dyDescent="0.3">
      <c r="A832" s="17"/>
      <c r="B832" s="17"/>
      <c r="C832" s="63"/>
      <c r="D832" s="63"/>
      <c r="E832" s="63"/>
      <c r="F832" s="63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1:40" ht="23.4" x14ac:dyDescent="0.3">
      <c r="A833" s="17"/>
      <c r="B833" s="17"/>
      <c r="C833" s="63"/>
      <c r="D833" s="63"/>
      <c r="E833" s="63"/>
      <c r="F833" s="63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1:40" ht="23.4" x14ac:dyDescent="0.3">
      <c r="A834" s="17"/>
      <c r="B834" s="17"/>
      <c r="C834" s="63"/>
      <c r="D834" s="63"/>
      <c r="E834" s="63"/>
      <c r="F834" s="63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1:40" ht="23.4" x14ac:dyDescent="0.3">
      <c r="A835" s="17"/>
      <c r="B835" s="17"/>
      <c r="C835" s="63"/>
      <c r="D835" s="63"/>
      <c r="E835" s="63"/>
      <c r="F835" s="63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1:40" ht="23.4" x14ac:dyDescent="0.3">
      <c r="A836" s="17"/>
      <c r="B836" s="17"/>
      <c r="C836" s="63"/>
      <c r="D836" s="63"/>
      <c r="E836" s="63"/>
      <c r="F836" s="63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</row>
    <row r="837" spans="1:40" ht="23.4" x14ac:dyDescent="0.3">
      <c r="A837" s="17"/>
      <c r="B837" s="17"/>
      <c r="C837" s="63"/>
      <c r="D837" s="63"/>
      <c r="E837" s="63"/>
      <c r="F837" s="63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</row>
    <row r="838" spans="1:40" ht="23.4" x14ac:dyDescent="0.3">
      <c r="A838" s="17"/>
      <c r="B838" s="17"/>
      <c r="C838" s="63"/>
      <c r="D838" s="63"/>
      <c r="E838" s="63"/>
      <c r="F838" s="63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</row>
    <row r="839" spans="1:40" ht="23.4" x14ac:dyDescent="0.3">
      <c r="A839" s="17"/>
      <c r="B839" s="17"/>
      <c r="C839" s="63"/>
      <c r="D839" s="63"/>
      <c r="E839" s="63"/>
      <c r="F839" s="63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</row>
    <row r="840" spans="1:40" ht="23.4" x14ac:dyDescent="0.3">
      <c r="A840" s="17"/>
      <c r="B840" s="17"/>
      <c r="C840" s="63"/>
      <c r="D840" s="63"/>
      <c r="E840" s="63"/>
      <c r="F840" s="63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</row>
    <row r="841" spans="1:40" ht="23.4" x14ac:dyDescent="0.3">
      <c r="A841" s="17"/>
      <c r="B841" s="17"/>
      <c r="C841" s="63"/>
      <c r="D841" s="63"/>
      <c r="E841" s="63"/>
      <c r="F841" s="63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</row>
    <row r="842" spans="1:40" ht="23.4" x14ac:dyDescent="0.3">
      <c r="A842" s="17"/>
      <c r="B842" s="17"/>
      <c r="C842" s="63"/>
      <c r="D842" s="63"/>
      <c r="E842" s="63"/>
      <c r="F842" s="63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</row>
    <row r="843" spans="1:40" ht="23.4" x14ac:dyDescent="0.3">
      <c r="A843" s="17"/>
      <c r="B843" s="17"/>
      <c r="C843" s="63"/>
      <c r="D843" s="63"/>
      <c r="E843" s="63"/>
      <c r="F843" s="63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</row>
    <row r="844" spans="1:40" ht="23.4" x14ac:dyDescent="0.3">
      <c r="A844" s="17"/>
      <c r="B844" s="17"/>
      <c r="C844" s="63"/>
      <c r="D844" s="63"/>
      <c r="E844" s="63"/>
      <c r="F844" s="63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</row>
    <row r="845" spans="1:40" ht="23.4" x14ac:dyDescent="0.3">
      <c r="A845" s="17"/>
      <c r="B845" s="17"/>
      <c r="C845" s="63"/>
      <c r="D845" s="63"/>
      <c r="E845" s="63"/>
      <c r="F845" s="63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</row>
    <row r="846" spans="1:40" ht="23.4" x14ac:dyDescent="0.3">
      <c r="A846" s="17"/>
      <c r="B846" s="17"/>
      <c r="C846" s="63"/>
      <c r="D846" s="63"/>
      <c r="E846" s="63"/>
      <c r="F846" s="63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</row>
    <row r="847" spans="1:40" ht="23.4" x14ac:dyDescent="0.3">
      <c r="A847" s="17"/>
      <c r="B847" s="17"/>
      <c r="C847" s="63"/>
      <c r="D847" s="63"/>
      <c r="E847" s="63"/>
      <c r="F847" s="63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</row>
    <row r="848" spans="1:40" ht="23.4" x14ac:dyDescent="0.3">
      <c r="A848" s="17"/>
      <c r="B848" s="17"/>
      <c r="C848" s="63"/>
      <c r="D848" s="63"/>
      <c r="E848" s="63"/>
      <c r="F848" s="63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</row>
    <row r="849" spans="1:40" ht="23.4" x14ac:dyDescent="0.3">
      <c r="A849" s="17"/>
      <c r="B849" s="17"/>
      <c r="C849" s="63"/>
      <c r="D849" s="63"/>
      <c r="E849" s="63"/>
      <c r="F849" s="63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</row>
    <row r="850" spans="1:40" ht="23.4" x14ac:dyDescent="0.3">
      <c r="A850" s="17"/>
      <c r="B850" s="17"/>
      <c r="C850" s="63"/>
      <c r="D850" s="63"/>
      <c r="E850" s="63"/>
      <c r="F850" s="63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</row>
    <row r="851" spans="1:40" ht="23.4" x14ac:dyDescent="0.3">
      <c r="A851" s="17"/>
      <c r="B851" s="17"/>
      <c r="C851" s="63"/>
      <c r="D851" s="63"/>
      <c r="E851" s="63"/>
      <c r="F851" s="63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</row>
    <row r="852" spans="1:40" ht="23.4" x14ac:dyDescent="0.3">
      <c r="A852" s="17"/>
      <c r="B852" s="17"/>
      <c r="C852" s="63"/>
      <c r="D852" s="63"/>
      <c r="E852" s="63"/>
      <c r="F852" s="63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</row>
    <row r="853" spans="1:40" ht="23.4" x14ac:dyDescent="0.3">
      <c r="A853" s="17"/>
      <c r="B853" s="17"/>
      <c r="C853" s="63"/>
      <c r="D853" s="63"/>
      <c r="E853" s="63"/>
      <c r="F853" s="63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</row>
    <row r="854" spans="1:40" ht="23.4" x14ac:dyDescent="0.3">
      <c r="A854" s="17"/>
      <c r="B854" s="17"/>
      <c r="C854" s="63"/>
      <c r="D854" s="63"/>
      <c r="E854" s="63"/>
      <c r="F854" s="63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</row>
    <row r="855" spans="1:40" ht="23.4" x14ac:dyDescent="0.3">
      <c r="A855" s="17"/>
      <c r="B855" s="17"/>
      <c r="C855" s="63"/>
      <c r="D855" s="63"/>
      <c r="E855" s="63"/>
      <c r="F855" s="63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</row>
    <row r="856" spans="1:40" ht="23.4" x14ac:dyDescent="0.3">
      <c r="A856" s="17"/>
      <c r="B856" s="17"/>
      <c r="C856" s="63"/>
      <c r="D856" s="63"/>
      <c r="E856" s="63"/>
      <c r="F856" s="63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</row>
    <row r="857" spans="1:40" ht="23.4" x14ac:dyDescent="0.3">
      <c r="A857" s="17"/>
      <c r="B857" s="17"/>
      <c r="C857" s="63"/>
      <c r="D857" s="63"/>
      <c r="E857" s="63"/>
      <c r="F857" s="63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</row>
    <row r="858" spans="1:40" ht="23.4" x14ac:dyDescent="0.3">
      <c r="A858" s="17"/>
      <c r="B858" s="17"/>
      <c r="C858" s="63"/>
      <c r="D858" s="63"/>
      <c r="E858" s="63"/>
      <c r="F858" s="63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</row>
    <row r="859" spans="1:40" ht="23.4" x14ac:dyDescent="0.3">
      <c r="A859" s="17"/>
      <c r="B859" s="17"/>
      <c r="C859" s="63"/>
      <c r="D859" s="63"/>
      <c r="E859" s="63"/>
      <c r="F859" s="63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</row>
    <row r="860" spans="1:40" ht="23.4" x14ac:dyDescent="0.3">
      <c r="A860" s="17"/>
      <c r="B860" s="17"/>
      <c r="C860" s="63"/>
      <c r="D860" s="63"/>
      <c r="E860" s="63"/>
      <c r="F860" s="63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</row>
    <row r="861" spans="1:40" ht="23.4" x14ac:dyDescent="0.3">
      <c r="A861" s="17"/>
      <c r="B861" s="17"/>
      <c r="C861" s="63"/>
      <c r="D861" s="63"/>
      <c r="E861" s="63"/>
      <c r="F861" s="63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</row>
    <row r="862" spans="1:40" ht="23.4" x14ac:dyDescent="0.3">
      <c r="A862" s="17"/>
      <c r="B862" s="17"/>
      <c r="C862" s="63"/>
      <c r="D862" s="63"/>
      <c r="E862" s="63"/>
      <c r="F862" s="63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</row>
    <row r="863" spans="1:40" ht="23.4" x14ac:dyDescent="0.3">
      <c r="A863" s="17"/>
      <c r="B863" s="17"/>
      <c r="C863" s="63"/>
      <c r="D863" s="63"/>
      <c r="E863" s="63"/>
      <c r="F863" s="63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</row>
    <row r="864" spans="1:40" ht="23.4" x14ac:dyDescent="0.3">
      <c r="A864" s="17"/>
      <c r="B864" s="17"/>
      <c r="C864" s="63"/>
      <c r="D864" s="63"/>
      <c r="E864" s="63"/>
      <c r="F864" s="63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</row>
    <row r="865" spans="1:40" ht="23.4" x14ac:dyDescent="0.3">
      <c r="A865" s="17"/>
      <c r="B865" s="17"/>
      <c r="C865" s="63"/>
      <c r="D865" s="63"/>
      <c r="E865" s="63"/>
      <c r="F865" s="63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</row>
    <row r="866" spans="1:40" ht="23.4" x14ac:dyDescent="0.3">
      <c r="A866" s="17"/>
      <c r="B866" s="17"/>
      <c r="C866" s="63"/>
      <c r="D866" s="63"/>
      <c r="E866" s="63"/>
      <c r="F866" s="63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</row>
    <row r="867" spans="1:40" ht="23.4" x14ac:dyDescent="0.3">
      <c r="A867" s="17"/>
      <c r="B867" s="17"/>
      <c r="C867" s="63"/>
      <c r="D867" s="63"/>
      <c r="E867" s="63"/>
      <c r="F867" s="63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</row>
    <row r="868" spans="1:40" ht="23.4" x14ac:dyDescent="0.3">
      <c r="A868" s="17"/>
      <c r="B868" s="17"/>
      <c r="C868" s="63"/>
      <c r="D868" s="63"/>
      <c r="E868" s="63"/>
      <c r="F868" s="63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</row>
    <row r="869" spans="1:40" ht="23.4" x14ac:dyDescent="0.3">
      <c r="A869" s="17"/>
      <c r="B869" s="17"/>
      <c r="C869" s="63"/>
      <c r="D869" s="63"/>
      <c r="E869" s="63"/>
      <c r="F869" s="63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</row>
    <row r="870" spans="1:40" ht="23.4" x14ac:dyDescent="0.3">
      <c r="A870" s="17"/>
      <c r="B870" s="17"/>
      <c r="C870" s="63"/>
      <c r="D870" s="63"/>
      <c r="E870" s="63"/>
      <c r="F870" s="63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</row>
    <row r="871" spans="1:40" ht="23.4" x14ac:dyDescent="0.3">
      <c r="A871" s="17"/>
      <c r="B871" s="17"/>
      <c r="C871" s="63"/>
      <c r="D871" s="63"/>
      <c r="E871" s="63"/>
      <c r="F871" s="63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</row>
    <row r="872" spans="1:40" ht="23.4" x14ac:dyDescent="0.3">
      <c r="A872" s="17"/>
      <c r="B872" s="17"/>
      <c r="C872" s="63"/>
      <c r="D872" s="63"/>
      <c r="E872" s="63"/>
      <c r="F872" s="63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</row>
    <row r="873" spans="1:40" ht="23.4" x14ac:dyDescent="0.3">
      <c r="A873" s="17"/>
      <c r="B873" s="17"/>
      <c r="C873" s="63"/>
      <c r="D873" s="63"/>
      <c r="E873" s="63"/>
      <c r="F873" s="63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</row>
    <row r="874" spans="1:40" ht="23.4" x14ac:dyDescent="0.3">
      <c r="A874" s="17"/>
      <c r="B874" s="17"/>
      <c r="C874" s="63"/>
      <c r="D874" s="63"/>
      <c r="E874" s="63"/>
      <c r="F874" s="63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</row>
    <row r="875" spans="1:40" ht="23.4" x14ac:dyDescent="0.3">
      <c r="A875" s="17"/>
      <c r="B875" s="17"/>
      <c r="C875" s="63"/>
      <c r="D875" s="63"/>
      <c r="E875" s="63"/>
      <c r="F875" s="63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</row>
    <row r="876" spans="1:40" ht="23.4" x14ac:dyDescent="0.3">
      <c r="A876" s="17"/>
      <c r="B876" s="17"/>
      <c r="C876" s="63"/>
      <c r="D876" s="63"/>
      <c r="E876" s="63"/>
      <c r="F876" s="63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</row>
    <row r="877" spans="1:40" ht="23.4" x14ac:dyDescent="0.3">
      <c r="A877" s="17"/>
      <c r="B877" s="17"/>
      <c r="C877" s="63"/>
      <c r="D877" s="63"/>
      <c r="E877" s="63"/>
      <c r="F877" s="63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</row>
    <row r="878" spans="1:40" ht="23.4" x14ac:dyDescent="0.3">
      <c r="A878" s="17"/>
      <c r="B878" s="17"/>
      <c r="C878" s="63"/>
      <c r="D878" s="63"/>
      <c r="E878" s="63"/>
      <c r="F878" s="63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</row>
    <row r="879" spans="1:40" ht="23.4" x14ac:dyDescent="0.3">
      <c r="A879" s="17"/>
      <c r="B879" s="17"/>
      <c r="C879" s="63"/>
      <c r="D879" s="63"/>
      <c r="E879" s="63"/>
      <c r="F879" s="63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</row>
    <row r="880" spans="1:40" ht="23.4" x14ac:dyDescent="0.3">
      <c r="A880" s="17"/>
      <c r="B880" s="17"/>
      <c r="C880" s="63"/>
      <c r="D880" s="63"/>
      <c r="E880" s="63"/>
      <c r="F880" s="63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</row>
    <row r="881" spans="1:40" ht="23.4" x14ac:dyDescent="0.3">
      <c r="A881" s="17"/>
      <c r="B881" s="17"/>
      <c r="C881" s="63"/>
      <c r="D881" s="63"/>
      <c r="E881" s="63"/>
      <c r="F881" s="63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</row>
    <row r="882" spans="1:40" ht="23.4" x14ac:dyDescent="0.3">
      <c r="A882" s="17"/>
      <c r="B882" s="17"/>
      <c r="C882" s="63"/>
      <c r="D882" s="63"/>
      <c r="E882" s="63"/>
      <c r="F882" s="63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</row>
    <row r="883" spans="1:40" ht="23.4" x14ac:dyDescent="0.3">
      <c r="A883" s="17"/>
      <c r="B883" s="17"/>
      <c r="C883" s="63"/>
      <c r="D883" s="63"/>
      <c r="E883" s="63"/>
      <c r="F883" s="63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</row>
    <row r="884" spans="1:40" ht="23.4" x14ac:dyDescent="0.3">
      <c r="A884" s="17"/>
      <c r="B884" s="17"/>
      <c r="C884" s="63"/>
      <c r="D884" s="63"/>
      <c r="E884" s="63"/>
      <c r="F884" s="63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</row>
    <row r="885" spans="1:40" ht="23.4" x14ac:dyDescent="0.3">
      <c r="A885" s="17"/>
      <c r="B885" s="17"/>
      <c r="C885" s="63"/>
      <c r="D885" s="63"/>
      <c r="E885" s="63"/>
      <c r="F885" s="63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</row>
    <row r="886" spans="1:40" ht="23.4" x14ac:dyDescent="0.3">
      <c r="A886" s="17"/>
      <c r="B886" s="17"/>
      <c r="C886" s="63"/>
      <c r="D886" s="63"/>
      <c r="E886" s="63"/>
      <c r="F886" s="63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</row>
    <row r="887" spans="1:40" ht="23.4" x14ac:dyDescent="0.3">
      <c r="A887" s="17"/>
      <c r="B887" s="17"/>
      <c r="C887" s="63"/>
      <c r="D887" s="63"/>
      <c r="E887" s="63"/>
      <c r="F887" s="63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</row>
    <row r="888" spans="1:40" ht="23.4" x14ac:dyDescent="0.3">
      <c r="A888" s="17"/>
      <c r="B888" s="17"/>
      <c r="C888" s="63"/>
      <c r="D888" s="63"/>
      <c r="E888" s="63"/>
      <c r="F888" s="63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</row>
    <row r="889" spans="1:40" ht="23.4" x14ac:dyDescent="0.3">
      <c r="A889" s="17"/>
      <c r="B889" s="17"/>
      <c r="C889" s="63"/>
      <c r="D889" s="63"/>
      <c r="E889" s="63"/>
      <c r="F889" s="63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</row>
    <row r="890" spans="1:40" ht="23.4" x14ac:dyDescent="0.3">
      <c r="A890" s="17"/>
      <c r="B890" s="17"/>
      <c r="C890" s="63"/>
      <c r="D890" s="63"/>
      <c r="E890" s="63"/>
      <c r="F890" s="63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</row>
    <row r="891" spans="1:40" ht="23.4" x14ac:dyDescent="0.3">
      <c r="A891" s="17"/>
      <c r="B891" s="17"/>
      <c r="C891" s="63"/>
      <c r="D891" s="63"/>
      <c r="E891" s="63"/>
      <c r="F891" s="63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</row>
    <row r="892" spans="1:40" ht="23.4" x14ac:dyDescent="0.3">
      <c r="A892" s="17"/>
      <c r="B892" s="17"/>
      <c r="C892" s="63"/>
      <c r="D892" s="63"/>
      <c r="E892" s="63"/>
      <c r="F892" s="63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</row>
    <row r="893" spans="1:40" ht="23.4" x14ac:dyDescent="0.3">
      <c r="A893" s="17"/>
      <c r="B893" s="17"/>
      <c r="C893" s="63"/>
      <c r="D893" s="63"/>
      <c r="E893" s="63"/>
      <c r="F893" s="63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</row>
    <row r="894" spans="1:40" ht="23.4" x14ac:dyDescent="0.3">
      <c r="A894" s="17"/>
      <c r="B894" s="17"/>
      <c r="C894" s="63"/>
      <c r="D894" s="63"/>
      <c r="E894" s="63"/>
      <c r="F894" s="63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</row>
    <row r="895" spans="1:40" ht="23.4" x14ac:dyDescent="0.3">
      <c r="A895" s="17"/>
      <c r="B895" s="17"/>
      <c r="C895" s="63"/>
      <c r="D895" s="63"/>
      <c r="E895" s="63"/>
      <c r="F895" s="63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</row>
    <row r="896" spans="1:40" ht="23.4" x14ac:dyDescent="0.3">
      <c r="A896" s="17"/>
      <c r="B896" s="17"/>
      <c r="C896" s="63"/>
      <c r="D896" s="63"/>
      <c r="E896" s="63"/>
      <c r="F896" s="63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</row>
    <row r="897" spans="1:40" ht="23.4" x14ac:dyDescent="0.3">
      <c r="A897" s="17"/>
      <c r="B897" s="17"/>
      <c r="C897" s="63"/>
      <c r="D897" s="63"/>
      <c r="E897" s="63"/>
      <c r="F897" s="63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</row>
    <row r="898" spans="1:40" ht="23.4" x14ac:dyDescent="0.3">
      <c r="A898" s="17"/>
      <c r="B898" s="17"/>
      <c r="C898" s="63"/>
      <c r="D898" s="63"/>
      <c r="E898" s="63"/>
      <c r="F898" s="63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</row>
    <row r="899" spans="1:40" ht="23.4" x14ac:dyDescent="0.3">
      <c r="A899" s="17"/>
      <c r="B899" s="17"/>
      <c r="C899" s="63"/>
      <c r="D899" s="63"/>
      <c r="E899" s="63"/>
      <c r="F899" s="63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</row>
    <row r="900" spans="1:40" ht="23.4" x14ac:dyDescent="0.3">
      <c r="A900" s="17"/>
      <c r="B900" s="17"/>
      <c r="C900" s="63"/>
      <c r="D900" s="63"/>
      <c r="E900" s="63"/>
      <c r="F900" s="63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</row>
    <row r="901" spans="1:40" ht="23.4" x14ac:dyDescent="0.3">
      <c r="A901" s="17"/>
      <c r="B901" s="17"/>
      <c r="C901" s="63"/>
      <c r="D901" s="63"/>
      <c r="E901" s="63"/>
      <c r="F901" s="63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</row>
    <row r="902" spans="1:40" ht="23.4" x14ac:dyDescent="0.3">
      <c r="A902" s="17"/>
      <c r="B902" s="17"/>
      <c r="C902" s="63"/>
      <c r="D902" s="63"/>
      <c r="E902" s="63"/>
      <c r="F902" s="63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</row>
    <row r="903" spans="1:40" ht="23.4" x14ac:dyDescent="0.3">
      <c r="A903" s="17"/>
      <c r="B903" s="17"/>
      <c r="C903" s="63"/>
      <c r="D903" s="63"/>
      <c r="E903" s="63"/>
      <c r="F903" s="63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</row>
    <row r="904" spans="1:40" ht="23.4" x14ac:dyDescent="0.3">
      <c r="A904" s="17"/>
      <c r="B904" s="17"/>
      <c r="C904" s="63"/>
      <c r="D904" s="63"/>
      <c r="E904" s="63"/>
      <c r="F904" s="63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</row>
    <row r="905" spans="1:40" ht="23.4" x14ac:dyDescent="0.3">
      <c r="A905" s="17"/>
      <c r="B905" s="17"/>
      <c r="C905" s="63"/>
      <c r="D905" s="63"/>
      <c r="E905" s="63"/>
      <c r="F905" s="63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</row>
    <row r="906" spans="1:40" ht="23.4" x14ac:dyDescent="0.3">
      <c r="A906" s="17"/>
      <c r="B906" s="17"/>
      <c r="C906" s="63"/>
      <c r="D906" s="63"/>
      <c r="E906" s="63"/>
      <c r="F906" s="63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</row>
    <row r="907" spans="1:40" ht="23.4" x14ac:dyDescent="0.3">
      <c r="A907" s="17"/>
      <c r="B907" s="17"/>
      <c r="C907" s="63"/>
      <c r="D907" s="63"/>
      <c r="E907" s="63"/>
      <c r="F907" s="63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</row>
    <row r="908" spans="1:40" ht="23.4" x14ac:dyDescent="0.3">
      <c r="A908" s="17"/>
      <c r="B908" s="17"/>
      <c r="C908" s="63"/>
      <c r="D908" s="63"/>
      <c r="E908" s="63"/>
      <c r="F908" s="63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</row>
    <row r="909" spans="1:40" ht="23.4" x14ac:dyDescent="0.3">
      <c r="A909" s="17"/>
      <c r="B909" s="17"/>
      <c r="C909" s="63"/>
      <c r="D909" s="63"/>
      <c r="E909" s="63"/>
      <c r="F909" s="63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</row>
    <row r="910" spans="1:40" ht="23.4" x14ac:dyDescent="0.3">
      <c r="A910" s="17"/>
      <c r="B910" s="17"/>
      <c r="C910" s="63"/>
      <c r="D910" s="63"/>
      <c r="E910" s="63"/>
      <c r="F910" s="63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</row>
    <row r="911" spans="1:40" ht="23.4" x14ac:dyDescent="0.3">
      <c r="A911" s="17"/>
      <c r="B911" s="17"/>
      <c r="C911" s="63"/>
      <c r="D911" s="63"/>
      <c r="E911" s="63"/>
      <c r="F911" s="63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</row>
    <row r="912" spans="1:40" ht="23.4" x14ac:dyDescent="0.3">
      <c r="A912" s="17"/>
      <c r="B912" s="17"/>
      <c r="C912" s="63"/>
      <c r="D912" s="63"/>
      <c r="E912" s="63"/>
      <c r="F912" s="63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</row>
    <row r="913" spans="1:40" ht="23.4" x14ac:dyDescent="0.3">
      <c r="A913" s="17"/>
      <c r="B913" s="17"/>
      <c r="C913" s="63"/>
      <c r="D913" s="63"/>
      <c r="E913" s="63"/>
      <c r="F913" s="63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</row>
    <row r="914" spans="1:40" ht="23.4" x14ac:dyDescent="0.3">
      <c r="A914" s="17"/>
      <c r="B914" s="17"/>
      <c r="C914" s="63"/>
      <c r="D914" s="63"/>
      <c r="E914" s="63"/>
      <c r="F914" s="63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</row>
    <row r="915" spans="1:40" ht="23.4" x14ac:dyDescent="0.3">
      <c r="A915" s="17"/>
      <c r="B915" s="17"/>
      <c r="C915" s="63"/>
      <c r="D915" s="63"/>
      <c r="E915" s="63"/>
      <c r="F915" s="63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</row>
    <row r="916" spans="1:40" ht="23.4" x14ac:dyDescent="0.3">
      <c r="A916" s="17"/>
      <c r="B916" s="17"/>
      <c r="C916" s="63"/>
      <c r="D916" s="63"/>
      <c r="E916" s="63"/>
      <c r="F916" s="63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</row>
    <row r="917" spans="1:40" ht="23.4" x14ac:dyDescent="0.3">
      <c r="A917" s="17"/>
      <c r="B917" s="17"/>
      <c r="C917" s="63"/>
      <c r="D917" s="63"/>
      <c r="E917" s="63"/>
      <c r="F917" s="63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</row>
    <row r="918" spans="1:40" ht="23.4" x14ac:dyDescent="0.3">
      <c r="A918" s="17"/>
      <c r="B918" s="17"/>
      <c r="C918" s="63"/>
      <c r="D918" s="63"/>
      <c r="E918" s="63"/>
      <c r="F918" s="63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</row>
    <row r="919" spans="1:40" ht="23.4" x14ac:dyDescent="0.3">
      <c r="A919" s="17"/>
      <c r="B919" s="17"/>
      <c r="C919" s="63"/>
      <c r="D919" s="63"/>
      <c r="E919" s="63"/>
      <c r="F919" s="63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</row>
    <row r="920" spans="1:40" ht="23.4" x14ac:dyDescent="0.3">
      <c r="A920" s="17"/>
      <c r="B920" s="17"/>
      <c r="C920" s="63"/>
      <c r="D920" s="63"/>
      <c r="E920" s="63"/>
      <c r="F920" s="63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</row>
    <row r="921" spans="1:40" ht="23.4" x14ac:dyDescent="0.3">
      <c r="A921" s="17"/>
      <c r="B921" s="17"/>
      <c r="C921" s="63"/>
      <c r="D921" s="63"/>
      <c r="E921" s="63"/>
      <c r="F921" s="63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</row>
    <row r="922" spans="1:40" ht="23.4" x14ac:dyDescent="0.3">
      <c r="A922" s="17"/>
      <c r="B922" s="17"/>
      <c r="C922" s="63"/>
      <c r="D922" s="63"/>
      <c r="E922" s="63"/>
      <c r="F922" s="63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</row>
    <row r="923" spans="1:40" ht="23.4" x14ac:dyDescent="0.3">
      <c r="A923" s="17"/>
      <c r="B923" s="17"/>
      <c r="C923" s="63"/>
      <c r="D923" s="63"/>
      <c r="E923" s="63"/>
      <c r="F923" s="63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</row>
    <row r="924" spans="1:40" ht="23.4" x14ac:dyDescent="0.3">
      <c r="A924" s="17"/>
      <c r="B924" s="17"/>
      <c r="C924" s="63"/>
      <c r="D924" s="63"/>
      <c r="E924" s="63"/>
      <c r="F924" s="63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</row>
    <row r="925" spans="1:40" ht="23.4" x14ac:dyDescent="0.3">
      <c r="A925" s="17"/>
      <c r="B925" s="17"/>
      <c r="C925" s="63"/>
      <c r="D925" s="63"/>
      <c r="E925" s="63"/>
      <c r="F925" s="63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</row>
    <row r="926" spans="1:40" ht="23.4" x14ac:dyDescent="0.3">
      <c r="A926" s="17"/>
      <c r="B926" s="17"/>
      <c r="C926" s="63"/>
      <c r="D926" s="63"/>
      <c r="E926" s="63"/>
      <c r="F926" s="63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</row>
    <row r="927" spans="1:40" ht="23.4" x14ac:dyDescent="0.3">
      <c r="A927" s="17"/>
      <c r="B927" s="17"/>
      <c r="C927" s="63"/>
      <c r="D927" s="63"/>
      <c r="E927" s="63"/>
      <c r="F927" s="63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</row>
    <row r="928" spans="1:40" ht="23.4" x14ac:dyDescent="0.3">
      <c r="A928" s="17"/>
      <c r="B928" s="17"/>
      <c r="C928" s="63"/>
      <c r="D928" s="63"/>
      <c r="E928" s="63"/>
      <c r="F928" s="63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</row>
    <row r="929" spans="1:40" ht="23.4" x14ac:dyDescent="0.3">
      <c r="A929" s="17"/>
      <c r="B929" s="17"/>
      <c r="C929" s="63"/>
      <c r="D929" s="63"/>
      <c r="E929" s="63"/>
      <c r="F929" s="63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</row>
    <row r="930" spans="1:40" ht="23.4" x14ac:dyDescent="0.3">
      <c r="A930" s="17"/>
      <c r="B930" s="17"/>
      <c r="C930" s="63"/>
      <c r="D930" s="63"/>
      <c r="E930" s="63"/>
      <c r="F930" s="63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</row>
    <row r="931" spans="1:40" ht="23.4" x14ac:dyDescent="0.3">
      <c r="A931" s="17"/>
      <c r="B931" s="17"/>
      <c r="C931" s="63"/>
      <c r="D931" s="63"/>
      <c r="E931" s="63"/>
      <c r="F931" s="63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</row>
    <row r="932" spans="1:40" ht="23.4" x14ac:dyDescent="0.3">
      <c r="A932" s="17"/>
      <c r="B932" s="17"/>
      <c r="C932" s="63"/>
      <c r="D932" s="63"/>
      <c r="E932" s="63"/>
      <c r="F932" s="63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</row>
    <row r="933" spans="1:40" ht="23.4" x14ac:dyDescent="0.3">
      <c r="A933" s="17"/>
      <c r="B933" s="17"/>
      <c r="C933" s="63"/>
      <c r="D933" s="63"/>
      <c r="E933" s="63"/>
      <c r="F933" s="63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</row>
    <row r="934" spans="1:40" ht="23.4" x14ac:dyDescent="0.3">
      <c r="A934" s="17"/>
      <c r="B934" s="17"/>
      <c r="C934" s="63"/>
      <c r="D934" s="63"/>
      <c r="E934" s="63"/>
      <c r="F934" s="63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</row>
    <row r="935" spans="1:40" ht="23.4" x14ac:dyDescent="0.3">
      <c r="A935" s="17"/>
      <c r="B935" s="17"/>
      <c r="C935" s="63"/>
      <c r="D935" s="63"/>
      <c r="E935" s="63"/>
      <c r="F935" s="63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</row>
    <row r="936" spans="1:40" ht="23.4" x14ac:dyDescent="0.3">
      <c r="A936" s="17"/>
      <c r="B936" s="17"/>
      <c r="C936" s="63"/>
      <c r="D936" s="63"/>
      <c r="E936" s="63"/>
      <c r="F936" s="63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</row>
    <row r="937" spans="1:40" ht="23.4" x14ac:dyDescent="0.3">
      <c r="A937" s="17"/>
      <c r="B937" s="17"/>
      <c r="C937" s="63"/>
      <c r="D937" s="63"/>
      <c r="E937" s="63"/>
      <c r="F937" s="63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</row>
    <row r="938" spans="1:40" ht="23.4" x14ac:dyDescent="0.3">
      <c r="A938" s="17"/>
      <c r="B938" s="17"/>
      <c r="C938" s="63"/>
      <c r="D938" s="63"/>
      <c r="E938" s="63"/>
      <c r="F938" s="63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</row>
    <row r="939" spans="1:40" ht="23.4" x14ac:dyDescent="0.3">
      <c r="A939" s="17"/>
      <c r="B939" s="17"/>
      <c r="C939" s="63"/>
      <c r="D939" s="63"/>
      <c r="E939" s="63"/>
      <c r="F939" s="63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</row>
    <row r="940" spans="1:40" ht="23.4" x14ac:dyDescent="0.3">
      <c r="A940" s="17"/>
      <c r="B940" s="17"/>
      <c r="C940" s="63"/>
      <c r="D940" s="63"/>
      <c r="E940" s="63"/>
      <c r="F940" s="63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</row>
    <row r="941" spans="1:40" ht="23.4" x14ac:dyDescent="0.3">
      <c r="A941" s="17"/>
      <c r="B941" s="17"/>
      <c r="C941" s="63"/>
      <c r="D941" s="63"/>
      <c r="E941" s="63"/>
      <c r="F941" s="63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</row>
    <row r="942" spans="1:40" ht="23.4" x14ac:dyDescent="0.3">
      <c r="A942" s="17"/>
      <c r="B942" s="17"/>
      <c r="C942" s="63"/>
      <c r="D942" s="63"/>
      <c r="E942" s="63"/>
      <c r="F942" s="63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</row>
    <row r="943" spans="1:40" ht="23.4" x14ac:dyDescent="0.3">
      <c r="A943" s="17"/>
      <c r="B943" s="17"/>
      <c r="C943" s="63"/>
      <c r="D943" s="63"/>
      <c r="E943" s="63"/>
      <c r="F943" s="63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</row>
    <row r="944" spans="1:40" ht="23.4" x14ac:dyDescent="0.3">
      <c r="A944" s="17"/>
      <c r="B944" s="17"/>
      <c r="C944" s="63"/>
      <c r="D944" s="63"/>
      <c r="E944" s="63"/>
      <c r="F944" s="63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</row>
    <row r="945" spans="1:40" ht="23.4" x14ac:dyDescent="0.3">
      <c r="A945" s="17"/>
      <c r="B945" s="17"/>
      <c r="C945" s="63"/>
      <c r="D945" s="63"/>
      <c r="E945" s="63"/>
      <c r="F945" s="63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</row>
    <row r="946" spans="1:40" ht="23.4" x14ac:dyDescent="0.3">
      <c r="A946" s="17"/>
      <c r="B946" s="17"/>
      <c r="C946" s="63"/>
      <c r="D946" s="63"/>
      <c r="E946" s="63"/>
      <c r="F946" s="63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</row>
    <row r="947" spans="1:40" ht="23.4" x14ac:dyDescent="0.3">
      <c r="A947" s="17"/>
      <c r="B947" s="17"/>
      <c r="C947" s="63"/>
      <c r="D947" s="63"/>
      <c r="E947" s="63"/>
      <c r="F947" s="63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</row>
    <row r="948" spans="1:40" ht="23.4" x14ac:dyDescent="0.3">
      <c r="A948" s="17"/>
      <c r="B948" s="17"/>
      <c r="C948" s="63"/>
      <c r="D948" s="63"/>
      <c r="E948" s="63"/>
      <c r="F948" s="63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</row>
    <row r="949" spans="1:40" ht="23.4" x14ac:dyDescent="0.3">
      <c r="A949" s="17"/>
      <c r="B949" s="17"/>
      <c r="C949" s="63"/>
      <c r="D949" s="63"/>
      <c r="E949" s="63"/>
      <c r="F949" s="63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</row>
    <row r="950" spans="1:40" ht="23.4" x14ac:dyDescent="0.3">
      <c r="A950" s="17"/>
      <c r="B950" s="17"/>
      <c r="C950" s="63"/>
      <c r="D950" s="63"/>
      <c r="E950" s="63"/>
      <c r="F950" s="63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</row>
    <row r="951" spans="1:40" ht="23.4" x14ac:dyDescent="0.3">
      <c r="A951" s="17"/>
      <c r="B951" s="17"/>
      <c r="C951" s="63"/>
      <c r="D951" s="63"/>
      <c r="E951" s="63"/>
      <c r="F951" s="63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</row>
    <row r="952" spans="1:40" ht="23.4" x14ac:dyDescent="0.3">
      <c r="A952" s="17"/>
      <c r="B952" s="17"/>
      <c r="C952" s="63"/>
      <c r="D952" s="63"/>
      <c r="E952" s="63"/>
      <c r="F952" s="63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</row>
    <row r="953" spans="1:40" ht="23.4" x14ac:dyDescent="0.3">
      <c r="A953" s="17"/>
      <c r="B953" s="17"/>
      <c r="C953" s="63"/>
      <c r="D953" s="63"/>
      <c r="E953" s="63"/>
      <c r="F953" s="63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</row>
    <row r="954" spans="1:40" ht="23.4" x14ac:dyDescent="0.3">
      <c r="A954" s="17"/>
      <c r="B954" s="17"/>
      <c r="C954" s="63"/>
      <c r="D954" s="63"/>
      <c r="E954" s="63"/>
      <c r="F954" s="63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</row>
    <row r="955" spans="1:40" ht="23.4" x14ac:dyDescent="0.3">
      <c r="A955" s="17"/>
      <c r="B955" s="17"/>
      <c r="C955" s="63"/>
      <c r="D955" s="63"/>
      <c r="E955" s="63"/>
      <c r="F955" s="63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</row>
    <row r="956" spans="1:40" ht="23.4" x14ac:dyDescent="0.3">
      <c r="A956" s="17"/>
      <c r="B956" s="17"/>
      <c r="C956" s="63"/>
      <c r="D956" s="63"/>
      <c r="E956" s="63"/>
      <c r="F956" s="63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</row>
    <row r="957" spans="1:40" ht="23.4" x14ac:dyDescent="0.3">
      <c r="A957" s="17"/>
      <c r="B957" s="17"/>
      <c r="C957" s="63"/>
      <c r="D957" s="63"/>
      <c r="E957" s="63"/>
      <c r="F957" s="63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</row>
    <row r="958" spans="1:40" ht="23.4" x14ac:dyDescent="0.3">
      <c r="A958" s="17"/>
      <c r="B958" s="17"/>
      <c r="C958" s="63"/>
      <c r="D958" s="63"/>
      <c r="E958" s="63"/>
      <c r="F958" s="63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</row>
    <row r="959" spans="1:40" ht="23.4" x14ac:dyDescent="0.3">
      <c r="A959" s="17"/>
      <c r="B959" s="17"/>
      <c r="C959" s="63"/>
      <c r="D959" s="63"/>
      <c r="E959" s="63"/>
      <c r="F959" s="63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</row>
    <row r="960" spans="1:40" ht="23.4" x14ac:dyDescent="0.3">
      <c r="A960" s="17"/>
      <c r="B960" s="17"/>
      <c r="C960" s="63"/>
      <c r="D960" s="63"/>
      <c r="E960" s="63"/>
      <c r="F960" s="63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</row>
    <row r="961" spans="1:40" ht="23.4" x14ac:dyDescent="0.3">
      <c r="A961" s="17"/>
      <c r="B961" s="17"/>
      <c r="C961" s="63"/>
      <c r="D961" s="63"/>
      <c r="E961" s="63"/>
      <c r="F961" s="63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</row>
    <row r="962" spans="1:40" ht="23.4" x14ac:dyDescent="0.3">
      <c r="A962" s="17"/>
      <c r="B962" s="17"/>
      <c r="C962" s="63"/>
      <c r="D962" s="63"/>
      <c r="E962" s="63"/>
      <c r="F962" s="63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</row>
    <row r="963" spans="1:40" ht="23.4" x14ac:dyDescent="0.3">
      <c r="A963" s="17"/>
      <c r="B963" s="17"/>
      <c r="C963" s="63"/>
      <c r="D963" s="63"/>
      <c r="E963" s="63"/>
      <c r="F963" s="63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</row>
    <row r="964" spans="1:40" ht="23.4" x14ac:dyDescent="0.3">
      <c r="A964" s="17"/>
      <c r="B964" s="17"/>
      <c r="C964" s="63"/>
      <c r="D964" s="63"/>
      <c r="E964" s="63"/>
      <c r="F964" s="63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</row>
    <row r="965" spans="1:40" ht="23.4" x14ac:dyDescent="0.3">
      <c r="A965" s="17"/>
      <c r="B965" s="17"/>
      <c r="C965" s="63"/>
      <c r="D965" s="63"/>
      <c r="E965" s="63"/>
      <c r="F965" s="63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</row>
    <row r="966" spans="1:40" ht="23.4" x14ac:dyDescent="0.3">
      <c r="A966" s="17"/>
      <c r="B966" s="17"/>
      <c r="C966" s="63"/>
      <c r="D966" s="63"/>
      <c r="E966" s="63"/>
      <c r="F966" s="63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</row>
    <row r="967" spans="1:40" ht="23.4" x14ac:dyDescent="0.3">
      <c r="A967" s="17"/>
      <c r="B967" s="17"/>
      <c r="C967" s="63"/>
      <c r="D967" s="63"/>
      <c r="E967" s="63"/>
      <c r="F967" s="63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</row>
    <row r="968" spans="1:40" ht="23.4" x14ac:dyDescent="0.3">
      <c r="A968" s="17"/>
      <c r="B968" s="17"/>
      <c r="C968" s="63"/>
      <c r="D968" s="63"/>
      <c r="E968" s="63"/>
      <c r="F968" s="63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</row>
    <row r="969" spans="1:40" ht="23.4" x14ac:dyDescent="0.3">
      <c r="A969" s="17"/>
      <c r="B969" s="17"/>
      <c r="C969" s="63"/>
      <c r="D969" s="63"/>
      <c r="E969" s="63"/>
      <c r="F969" s="63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</row>
    <row r="970" spans="1:40" ht="23.4" x14ac:dyDescent="0.3">
      <c r="A970" s="17"/>
      <c r="B970" s="17"/>
      <c r="C970" s="63"/>
      <c r="D970" s="63"/>
      <c r="E970" s="63"/>
      <c r="F970" s="63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</row>
    <row r="971" spans="1:40" ht="23.4" x14ac:dyDescent="0.3">
      <c r="A971" s="17"/>
      <c r="B971" s="17"/>
      <c r="C971" s="63"/>
      <c r="D971" s="63"/>
      <c r="E971" s="63"/>
      <c r="F971" s="63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</row>
    <row r="972" spans="1:40" ht="23.4" x14ac:dyDescent="0.3">
      <c r="A972" s="17"/>
      <c r="B972" s="17"/>
      <c r="C972" s="63"/>
      <c r="D972" s="63"/>
      <c r="E972" s="63"/>
      <c r="F972" s="63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</row>
    <row r="973" spans="1:40" ht="23.4" x14ac:dyDescent="0.3">
      <c r="A973" s="17"/>
      <c r="B973" s="17"/>
      <c r="C973" s="63"/>
      <c r="D973" s="63"/>
      <c r="E973" s="63"/>
      <c r="F973" s="63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</row>
    <row r="974" spans="1:40" ht="23.4" x14ac:dyDescent="0.3">
      <c r="A974" s="17"/>
      <c r="B974" s="17"/>
      <c r="C974" s="63"/>
      <c r="D974" s="63"/>
      <c r="E974" s="63"/>
      <c r="F974" s="63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</row>
    <row r="975" spans="1:40" ht="23.4" x14ac:dyDescent="0.3">
      <c r="A975" s="17"/>
      <c r="B975" s="17"/>
      <c r="C975" s="63"/>
      <c r="D975" s="63"/>
      <c r="E975" s="63"/>
      <c r="F975" s="63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</row>
    <row r="976" spans="1:40" ht="23.4" x14ac:dyDescent="0.3">
      <c r="A976" s="17"/>
      <c r="B976" s="17"/>
      <c r="C976" s="63"/>
      <c r="D976" s="63"/>
      <c r="E976" s="63"/>
      <c r="F976" s="63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</row>
    <row r="977" spans="1:40" ht="23.4" x14ac:dyDescent="0.3">
      <c r="A977" s="17"/>
      <c r="B977" s="17"/>
      <c r="C977" s="63"/>
      <c r="D977" s="63"/>
      <c r="E977" s="63"/>
      <c r="F977" s="63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</row>
    <row r="978" spans="1:40" ht="23.4" x14ac:dyDescent="0.3">
      <c r="A978" s="17"/>
      <c r="B978" s="17"/>
      <c r="C978" s="63"/>
      <c r="D978" s="63"/>
      <c r="E978" s="63"/>
      <c r="F978" s="63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</row>
    <row r="979" spans="1:40" ht="23.4" x14ac:dyDescent="0.3">
      <c r="A979" s="17"/>
      <c r="B979" s="17"/>
      <c r="C979" s="63"/>
      <c r="D979" s="63"/>
      <c r="E979" s="63"/>
      <c r="F979" s="63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</row>
    <row r="980" spans="1:40" ht="23.4" x14ac:dyDescent="0.3">
      <c r="A980" s="17"/>
      <c r="B980" s="17"/>
      <c r="C980" s="63"/>
      <c r="D980" s="63"/>
      <c r="E980" s="63"/>
      <c r="F980" s="63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</row>
    <row r="981" spans="1:40" ht="23.4" x14ac:dyDescent="0.3">
      <c r="A981" s="17"/>
      <c r="B981" s="17"/>
      <c r="C981" s="63"/>
      <c r="D981" s="63"/>
      <c r="E981" s="63"/>
      <c r="F981" s="63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</row>
    <row r="982" spans="1:40" ht="23.4" x14ac:dyDescent="0.3">
      <c r="A982" s="17"/>
      <c r="B982" s="17"/>
      <c r="C982" s="63"/>
      <c r="D982" s="63"/>
      <c r="E982" s="63"/>
      <c r="F982" s="63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</row>
    <row r="983" spans="1:40" ht="23.4" x14ac:dyDescent="0.3">
      <c r="A983" s="17"/>
      <c r="B983" s="17"/>
      <c r="C983" s="63"/>
      <c r="D983" s="63"/>
      <c r="E983" s="63"/>
      <c r="F983" s="63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</row>
    <row r="984" spans="1:40" ht="23.4" x14ac:dyDescent="0.3">
      <c r="A984" s="17"/>
      <c r="B984" s="17"/>
      <c r="C984" s="63"/>
      <c r="D984" s="63"/>
      <c r="E984" s="63"/>
      <c r="F984" s="63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</row>
    <row r="985" spans="1:40" ht="23.4" x14ac:dyDescent="0.3">
      <c r="A985" s="17"/>
      <c r="B985" s="17"/>
      <c r="C985" s="63"/>
      <c r="D985" s="63"/>
      <c r="E985" s="63"/>
      <c r="F985" s="63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</row>
    <row r="986" spans="1:40" ht="23.4" x14ac:dyDescent="0.3">
      <c r="A986" s="17"/>
      <c r="B986" s="17"/>
      <c r="C986" s="63"/>
      <c r="D986" s="63"/>
      <c r="E986" s="63"/>
      <c r="F986" s="63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</row>
    <row r="987" spans="1:40" ht="23.4" x14ac:dyDescent="0.3">
      <c r="A987" s="17"/>
      <c r="B987" s="17"/>
      <c r="C987" s="63"/>
      <c r="D987" s="63"/>
      <c r="E987" s="63"/>
      <c r="F987" s="63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</row>
    <row r="988" spans="1:40" ht="23.4" x14ac:dyDescent="0.3">
      <c r="A988" s="17"/>
      <c r="B988" s="17"/>
      <c r="C988" s="63"/>
      <c r="D988" s="63"/>
      <c r="E988" s="63"/>
      <c r="F988" s="63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</row>
    <row r="989" spans="1:40" ht="23.4" x14ac:dyDescent="0.3">
      <c r="A989" s="17"/>
      <c r="B989" s="17"/>
      <c r="C989" s="63"/>
      <c r="D989" s="63"/>
      <c r="E989" s="63"/>
      <c r="F989" s="63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</row>
    <row r="990" spans="1:40" ht="23.4" x14ac:dyDescent="0.3">
      <c r="A990" s="17"/>
      <c r="B990" s="17"/>
      <c r="C990" s="63"/>
      <c r="D990" s="63"/>
      <c r="E990" s="63"/>
      <c r="F990" s="63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</row>
    <row r="991" spans="1:40" ht="23.4" x14ac:dyDescent="0.3">
      <c r="A991" s="17"/>
      <c r="B991" s="17"/>
      <c r="C991" s="63"/>
      <c r="D991" s="63"/>
      <c r="E991" s="63"/>
      <c r="F991" s="63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</row>
    <row r="992" spans="1:40" ht="23.4" x14ac:dyDescent="0.3">
      <c r="A992" s="17"/>
      <c r="B992" s="17"/>
      <c r="C992" s="63"/>
      <c r="D992" s="63"/>
      <c r="E992" s="63"/>
      <c r="F992" s="63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</row>
    <row r="993" spans="1:40" ht="23.4" x14ac:dyDescent="0.3">
      <c r="A993" s="17"/>
      <c r="B993" s="17"/>
      <c r="C993" s="63"/>
      <c r="D993" s="63"/>
      <c r="E993" s="63"/>
      <c r="F993" s="63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</row>
    <row r="994" spans="1:40" ht="23.4" x14ac:dyDescent="0.3">
      <c r="A994" s="17"/>
      <c r="B994" s="17"/>
      <c r="C994" s="63"/>
      <c r="D994" s="63"/>
      <c r="E994" s="63"/>
      <c r="F994" s="63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</row>
    <row r="995" spans="1:40" ht="23.4" x14ac:dyDescent="0.3">
      <c r="A995" s="17"/>
      <c r="B995" s="17"/>
      <c r="C995" s="63"/>
      <c r="D995" s="63"/>
      <c r="E995" s="63"/>
      <c r="F995" s="63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</row>
    <row r="996" spans="1:40" ht="23.4" x14ac:dyDescent="0.3">
      <c r="A996" s="17"/>
      <c r="B996" s="17"/>
      <c r="C996" s="63"/>
      <c r="D996" s="63"/>
      <c r="E996" s="63"/>
      <c r="F996" s="63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</row>
    <row r="997" spans="1:40" ht="23.4" x14ac:dyDescent="0.3">
      <c r="A997" s="17"/>
      <c r="B997" s="17"/>
      <c r="C997" s="63"/>
      <c r="D997" s="63"/>
      <c r="E997" s="63"/>
      <c r="F997" s="63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</row>
    <row r="998" spans="1:40" ht="23.4" x14ac:dyDescent="0.3">
      <c r="A998" s="17"/>
      <c r="B998" s="17"/>
      <c r="C998" s="63"/>
      <c r="D998" s="63"/>
      <c r="E998" s="63"/>
      <c r="F998" s="63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</row>
    <row r="999" spans="1:40" ht="23.4" x14ac:dyDescent="0.3">
      <c r="A999" s="17"/>
      <c r="B999" s="17"/>
      <c r="C999" s="63"/>
      <c r="D999" s="63"/>
      <c r="E999" s="63"/>
      <c r="F999" s="63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</row>
    <row r="1000" spans="1:40" ht="23.4" x14ac:dyDescent="0.3">
      <c r="A1000" s="17"/>
      <c r="B1000" s="17"/>
      <c r="C1000" s="63"/>
      <c r="D1000" s="63"/>
      <c r="E1000" s="63"/>
      <c r="F1000" s="63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</row>
  </sheetData>
  <autoFilter ref="A3:AN17" xr:uid="{00000000-0009-0000-0000-000004000000}"/>
  <mergeCells count="1">
    <mergeCell ref="G2:H2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6600"/>
    <pageSetUpPr fitToPage="1"/>
  </sheetPr>
  <dimension ref="A1:Z1000"/>
  <sheetViews>
    <sheetView workbookViewId="0">
      <pane xSplit="4" ySplit="3" topLeftCell="E4" activePane="bottomRight" state="frozen"/>
      <selection activeCell="M4" sqref="M4"/>
      <selection pane="topRight" activeCell="M4" sqref="M4"/>
      <selection pane="bottomLeft" activeCell="M4" sqref="M4"/>
      <selection pane="bottomRight" activeCell="I4" sqref="I4"/>
    </sheetView>
  </sheetViews>
  <sheetFormatPr defaultColWidth="14.44140625" defaultRowHeight="14.4" x14ac:dyDescent="0.3"/>
  <cols>
    <col min="1" max="1" width="11.6640625" customWidth="1"/>
    <col min="2" max="2" width="25.77734375" bestFit="1" customWidth="1"/>
    <col min="3" max="3" width="18.77734375" bestFit="1" customWidth="1"/>
    <col min="4" max="4" width="17.33203125" bestFit="1" customWidth="1"/>
    <col min="5" max="5" width="14.5546875" bestFit="1" customWidth="1"/>
    <col min="6" max="6" width="7" bestFit="1" customWidth="1"/>
    <col min="7" max="7" width="7.88671875" customWidth="1"/>
    <col min="8" max="8" width="12.77734375" bestFit="1" customWidth="1"/>
    <col min="9" max="9" width="11.6640625" bestFit="1" customWidth="1"/>
    <col min="10" max="10" width="23.88671875" bestFit="1" customWidth="1"/>
    <col min="11" max="12" width="9" customWidth="1"/>
    <col min="13" max="13" width="23.88671875" bestFit="1" customWidth="1"/>
    <col min="14" max="14" width="7" customWidth="1"/>
    <col min="15" max="15" width="12.6640625" bestFit="1" customWidth="1"/>
    <col min="16" max="26" width="9.109375" customWidth="1"/>
  </cols>
  <sheetData>
    <row r="1" spans="1:26" ht="32.4" x14ac:dyDescent="0.3">
      <c r="A1" s="101" t="s">
        <v>161</v>
      </c>
      <c r="B1" s="100"/>
      <c r="C1" s="102"/>
      <c r="D1" s="102"/>
      <c r="E1" s="102"/>
      <c r="F1" s="102"/>
      <c r="G1" s="100"/>
      <c r="H1" s="103" t="s">
        <v>41</v>
      </c>
      <c r="I1" s="104">
        <f>SUBTOTAL(9,I4:I12000)</f>
        <v>116</v>
      </c>
      <c r="J1" s="105" t="s">
        <v>58</v>
      </c>
      <c r="K1" s="100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4" x14ac:dyDescent="0.6">
      <c r="A2" s="143" t="s">
        <v>60</v>
      </c>
      <c r="B2" s="143" t="s">
        <v>103</v>
      </c>
      <c r="C2" s="143" t="s">
        <v>104</v>
      </c>
      <c r="D2" s="143" t="s">
        <v>105</v>
      </c>
      <c r="E2" s="143" t="s">
        <v>106</v>
      </c>
      <c r="F2" s="143" t="s">
        <v>107</v>
      </c>
      <c r="G2" s="147" t="s">
        <v>108</v>
      </c>
      <c r="H2" s="148"/>
      <c r="I2" s="143" t="s">
        <v>109</v>
      </c>
      <c r="J2" s="143" t="s">
        <v>110</v>
      </c>
      <c r="K2" s="145" t="s">
        <v>4</v>
      </c>
      <c r="L2" s="40"/>
      <c r="M2" s="69" t="s">
        <v>111</v>
      </c>
      <c r="N2" s="69" t="s">
        <v>112</v>
      </c>
      <c r="O2" s="69" t="s">
        <v>113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3.4" x14ac:dyDescent="0.6">
      <c r="A3" s="144"/>
      <c r="B3" s="144"/>
      <c r="C3" s="144"/>
      <c r="D3" s="144"/>
      <c r="E3" s="144"/>
      <c r="F3" s="144"/>
      <c r="G3" s="106" t="s">
        <v>114</v>
      </c>
      <c r="H3" s="106" t="s">
        <v>115</v>
      </c>
      <c r="I3" s="144"/>
      <c r="J3" s="144"/>
      <c r="K3" s="146"/>
      <c r="L3" s="40"/>
      <c r="M3" s="74"/>
      <c r="N3" s="74"/>
      <c r="O3" s="74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4" x14ac:dyDescent="0.6">
      <c r="A4" s="17">
        <v>1</v>
      </c>
      <c r="B4" s="81">
        <v>244442</v>
      </c>
      <c r="C4" s="76" t="s">
        <v>162</v>
      </c>
      <c r="D4" s="63" t="s">
        <v>163</v>
      </c>
      <c r="E4" s="63" t="s">
        <v>164</v>
      </c>
      <c r="F4" s="17" t="s">
        <v>165</v>
      </c>
      <c r="G4" s="9"/>
      <c r="H4" s="63"/>
      <c r="I4" s="77">
        <v>116</v>
      </c>
      <c r="J4" s="100" t="s">
        <v>47</v>
      </c>
      <c r="K4" s="17"/>
      <c r="L4" s="17"/>
      <c r="M4" s="78" t="s">
        <v>46</v>
      </c>
      <c r="N4" s="78" t="s">
        <v>165</v>
      </c>
      <c r="O4" s="79" t="s">
        <v>118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46.8" hidden="1" x14ac:dyDescent="0.6">
      <c r="A5" s="17">
        <v>2</v>
      </c>
      <c r="B5" s="81">
        <v>244656</v>
      </c>
      <c r="C5" s="63" t="s">
        <v>166</v>
      </c>
      <c r="D5" s="63" t="s">
        <v>167</v>
      </c>
      <c r="E5" s="63" t="s">
        <v>164</v>
      </c>
      <c r="F5" s="17" t="s">
        <v>165</v>
      </c>
      <c r="G5" s="9"/>
      <c r="H5" s="63"/>
      <c r="I5" s="77">
        <v>107</v>
      </c>
      <c r="J5" s="100" t="s">
        <v>46</v>
      </c>
      <c r="K5" s="17"/>
      <c r="L5" s="17"/>
      <c r="M5" s="78" t="s">
        <v>47</v>
      </c>
      <c r="N5" s="78" t="s">
        <v>168</v>
      </c>
      <c r="O5" s="80" t="s">
        <v>127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4" hidden="1" x14ac:dyDescent="0.6">
      <c r="A6" s="17">
        <v>3</v>
      </c>
      <c r="B6" s="81">
        <v>244656</v>
      </c>
      <c r="C6" s="82" t="s">
        <v>169</v>
      </c>
      <c r="D6" s="63" t="s">
        <v>170</v>
      </c>
      <c r="E6" s="63" t="s">
        <v>164</v>
      </c>
      <c r="F6" s="17" t="s">
        <v>165</v>
      </c>
      <c r="G6" s="17"/>
      <c r="H6" s="63"/>
      <c r="I6" s="77">
        <v>129</v>
      </c>
      <c r="J6" s="100" t="s">
        <v>46</v>
      </c>
      <c r="K6" s="17"/>
      <c r="L6" s="17"/>
      <c r="M6" s="78" t="s">
        <v>48</v>
      </c>
      <c r="N6" s="78"/>
      <c r="O6" s="79" t="s">
        <v>133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4" hidden="1" x14ac:dyDescent="0.6">
      <c r="A7" s="17">
        <v>4</v>
      </c>
      <c r="B7" s="17" t="s">
        <v>171</v>
      </c>
      <c r="C7" s="63" t="s">
        <v>172</v>
      </c>
      <c r="D7" s="63" t="s">
        <v>173</v>
      </c>
      <c r="E7" s="63" t="s">
        <v>164</v>
      </c>
      <c r="F7" s="17" t="s">
        <v>165</v>
      </c>
      <c r="G7" s="17"/>
      <c r="H7" s="63"/>
      <c r="I7" s="77">
        <v>104</v>
      </c>
      <c r="J7" s="100" t="s">
        <v>46</v>
      </c>
      <c r="K7" s="17"/>
      <c r="L7" s="17"/>
      <c r="M7" s="78" t="s">
        <v>137</v>
      </c>
      <c r="N7" s="78"/>
      <c r="O7" s="78" t="s">
        <v>174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3.4" hidden="1" x14ac:dyDescent="0.6">
      <c r="A8" s="17">
        <v>5</v>
      </c>
      <c r="B8" s="17" t="s">
        <v>175</v>
      </c>
      <c r="C8" s="63" t="s">
        <v>176</v>
      </c>
      <c r="D8" s="63" t="s">
        <v>177</v>
      </c>
      <c r="E8" s="63" t="s">
        <v>164</v>
      </c>
      <c r="F8" s="17" t="s">
        <v>165</v>
      </c>
      <c r="G8" s="17"/>
      <c r="H8" s="63"/>
      <c r="I8" s="77">
        <v>159</v>
      </c>
      <c r="J8" s="100" t="s">
        <v>46</v>
      </c>
      <c r="K8" s="17"/>
      <c r="L8" s="17"/>
      <c r="M8" s="78"/>
      <c r="N8" s="78"/>
      <c r="O8" s="78" t="s">
        <v>164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3.4" hidden="1" x14ac:dyDescent="0.6">
      <c r="A9" s="17">
        <v>6</v>
      </c>
      <c r="B9" s="75"/>
      <c r="C9" s="63"/>
      <c r="D9" s="63"/>
      <c r="E9" s="63"/>
      <c r="F9" s="76"/>
      <c r="G9" s="17"/>
      <c r="H9" s="63"/>
      <c r="I9" s="7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3.4" hidden="1" x14ac:dyDescent="0.6">
      <c r="A10" s="17">
        <v>7</v>
      </c>
      <c r="B10" s="75"/>
      <c r="C10" s="75"/>
      <c r="D10" s="63"/>
      <c r="E10" s="63"/>
      <c r="F10" s="76"/>
      <c r="G10" s="17"/>
      <c r="H10" s="63"/>
      <c r="I10" s="7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3.4" hidden="1" x14ac:dyDescent="0.3">
      <c r="A11" s="17"/>
      <c r="B11" s="17"/>
      <c r="C11" s="63"/>
      <c r="D11" s="17"/>
      <c r="E11" s="63"/>
      <c r="F11" s="6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4" hidden="1" x14ac:dyDescent="0.3">
      <c r="A12" s="83" t="s">
        <v>178</v>
      </c>
      <c r="B12" s="84" t="s">
        <v>179</v>
      </c>
      <c r="C12" s="85"/>
      <c r="D12" s="17"/>
      <c r="E12" s="63"/>
      <c r="F12" s="63"/>
      <c r="G12" s="17"/>
      <c r="H12" s="63"/>
      <c r="I12" s="63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4" x14ac:dyDescent="0.3">
      <c r="A13" s="17"/>
      <c r="B13" s="75"/>
      <c r="C13" s="76"/>
      <c r="D13" s="76"/>
      <c r="E13" s="76"/>
      <c r="F13" s="76"/>
      <c r="G13" s="17"/>
      <c r="H13" s="63"/>
      <c r="I13" s="63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4" x14ac:dyDescent="0.3">
      <c r="A14" s="17"/>
      <c r="B14" s="75"/>
      <c r="C14" s="63"/>
      <c r="D14" s="63"/>
      <c r="E14" s="63"/>
      <c r="F14" s="63"/>
      <c r="G14" s="17"/>
      <c r="H14" s="63"/>
      <c r="I14" s="63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4" x14ac:dyDescent="0.3">
      <c r="A15" s="17"/>
      <c r="B15" s="75"/>
      <c r="C15" s="63"/>
      <c r="D15" s="63"/>
      <c r="E15" s="63"/>
      <c r="F15" s="63"/>
      <c r="G15" s="17"/>
      <c r="H15" s="63"/>
      <c r="I15" s="63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4" x14ac:dyDescent="0.3">
      <c r="A16" s="17"/>
      <c r="B16" s="75"/>
      <c r="C16" s="63"/>
      <c r="D16" s="63"/>
      <c r="E16" s="63"/>
      <c r="F16" s="63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4" x14ac:dyDescent="0.3">
      <c r="A17" s="17"/>
      <c r="B17" s="75"/>
      <c r="C17" s="63"/>
      <c r="D17" s="63"/>
      <c r="E17" s="63"/>
      <c r="F17" s="63"/>
      <c r="G17" s="6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4" x14ac:dyDescent="0.3">
      <c r="A18" s="17"/>
      <c r="B18" s="75"/>
      <c r="C18" s="76"/>
      <c r="D18" s="17"/>
      <c r="E18" s="63"/>
      <c r="F18" s="63"/>
      <c r="G18" s="17"/>
      <c r="H18" s="17"/>
      <c r="I18" s="63"/>
      <c r="J18" s="17"/>
      <c r="K18" s="17"/>
      <c r="L18" s="17"/>
      <c r="M18" s="17"/>
      <c r="N18" s="17"/>
      <c r="O18" s="17"/>
      <c r="P18" s="17"/>
      <c r="Q18" s="17"/>
      <c r="R18" s="76"/>
      <c r="S18" s="76"/>
      <c r="T18" s="76"/>
      <c r="U18" s="17"/>
      <c r="V18" s="63"/>
      <c r="W18" s="17"/>
      <c r="X18" s="17"/>
      <c r="Y18" s="17"/>
      <c r="Z18" s="17"/>
    </row>
    <row r="19" spans="1:26" ht="23.4" x14ac:dyDescent="0.3">
      <c r="A19" s="17"/>
      <c r="B19" s="75"/>
      <c r="C19" s="63"/>
      <c r="D19" s="17"/>
      <c r="E19" s="63"/>
      <c r="F19" s="63"/>
      <c r="G19" s="17"/>
      <c r="H19" s="63"/>
      <c r="I19" s="63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4" x14ac:dyDescent="0.3">
      <c r="A20" s="17"/>
      <c r="B20" s="75"/>
      <c r="C20" s="63"/>
      <c r="D20" s="17"/>
      <c r="E20" s="63"/>
      <c r="F20" s="63"/>
      <c r="G20" s="17"/>
      <c r="H20" s="63"/>
      <c r="I20" s="63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4" x14ac:dyDescent="0.3">
      <c r="A21" s="17"/>
      <c r="B21" s="75"/>
      <c r="C21" s="76"/>
      <c r="D21" s="76"/>
      <c r="E21" s="76"/>
      <c r="F21" s="76"/>
      <c r="G21" s="17"/>
      <c r="H21" s="63"/>
      <c r="I21" s="63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4" x14ac:dyDescent="0.3">
      <c r="A22" s="17"/>
      <c r="B22" s="75"/>
      <c r="C22" s="63"/>
      <c r="D22" s="63"/>
      <c r="E22" s="63"/>
      <c r="F22" s="63"/>
      <c r="G22" s="17"/>
      <c r="H22" s="63"/>
      <c r="I22" s="63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4" x14ac:dyDescent="0.3">
      <c r="A23" s="17"/>
      <c r="B23" s="75"/>
      <c r="C23" s="63"/>
      <c r="D23" s="63"/>
      <c r="E23" s="63"/>
      <c r="F23" s="63"/>
      <c r="G23" s="17"/>
      <c r="H23" s="63"/>
      <c r="I23" s="63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4" x14ac:dyDescent="0.3">
      <c r="A24" s="17"/>
      <c r="B24" s="75"/>
      <c r="C24" s="76"/>
      <c r="D24" s="76"/>
      <c r="E24" s="76"/>
      <c r="F24" s="76"/>
      <c r="G24" s="17"/>
      <c r="H24" s="63"/>
      <c r="I24" s="63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4" x14ac:dyDescent="0.3">
      <c r="A25" s="17"/>
      <c r="B25" s="75"/>
      <c r="C25" s="63"/>
      <c r="D25" s="63"/>
      <c r="E25" s="63"/>
      <c r="F25" s="63"/>
      <c r="G25" s="17"/>
      <c r="H25" s="63"/>
      <c r="I25" s="63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4" x14ac:dyDescent="0.3">
      <c r="A26" s="17"/>
      <c r="B26" s="17"/>
      <c r="C26" s="63"/>
      <c r="D26" s="63"/>
      <c r="E26" s="63"/>
      <c r="F26" s="63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4" x14ac:dyDescent="0.3">
      <c r="A27" s="17"/>
      <c r="B27" s="17"/>
      <c r="C27" s="63"/>
      <c r="D27" s="63"/>
      <c r="E27" s="63"/>
      <c r="F27" s="63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4" x14ac:dyDescent="0.3">
      <c r="A28" s="17"/>
      <c r="B28" s="17"/>
      <c r="C28" s="63"/>
      <c r="D28" s="63"/>
      <c r="E28" s="63"/>
      <c r="F28" s="63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4" x14ac:dyDescent="0.3">
      <c r="A29" s="17"/>
      <c r="B29" s="17"/>
      <c r="C29" s="63"/>
      <c r="D29" s="63"/>
      <c r="E29" s="63"/>
      <c r="F29" s="63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4" x14ac:dyDescent="0.3">
      <c r="A30" s="17"/>
      <c r="B30" s="17"/>
      <c r="C30" s="63"/>
      <c r="D30" s="63"/>
      <c r="E30" s="63"/>
      <c r="F30" s="63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4" x14ac:dyDescent="0.3">
      <c r="A31" s="17"/>
      <c r="B31" s="17"/>
      <c r="C31" s="63"/>
      <c r="D31" s="63"/>
      <c r="E31" s="63"/>
      <c r="F31" s="63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4" x14ac:dyDescent="0.3">
      <c r="A32" s="17"/>
      <c r="B32" s="17"/>
      <c r="C32" s="63"/>
      <c r="D32" s="63"/>
      <c r="E32" s="63"/>
      <c r="F32" s="63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4" x14ac:dyDescent="0.3">
      <c r="A33" s="17"/>
      <c r="B33" s="17"/>
      <c r="C33" s="63"/>
      <c r="D33" s="63"/>
      <c r="E33" s="63"/>
      <c r="F33" s="63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4" x14ac:dyDescent="0.3">
      <c r="A34" s="17"/>
      <c r="B34" s="17"/>
      <c r="C34" s="63"/>
      <c r="D34" s="63"/>
      <c r="E34" s="63"/>
      <c r="F34" s="6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4" x14ac:dyDescent="0.3">
      <c r="A35" s="17"/>
      <c r="B35" s="17"/>
      <c r="C35" s="63"/>
      <c r="D35" s="63"/>
      <c r="E35" s="63"/>
      <c r="F35" s="63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4" x14ac:dyDescent="0.3">
      <c r="A36" s="17"/>
      <c r="B36" s="17"/>
      <c r="C36" s="63"/>
      <c r="D36" s="63"/>
      <c r="E36" s="63"/>
      <c r="F36" s="63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4" x14ac:dyDescent="0.3">
      <c r="A37" s="17"/>
      <c r="B37" s="17"/>
      <c r="C37" s="63"/>
      <c r="D37" s="63"/>
      <c r="E37" s="63"/>
      <c r="F37" s="63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4" x14ac:dyDescent="0.3">
      <c r="A38" s="17"/>
      <c r="B38" s="17"/>
      <c r="C38" s="63"/>
      <c r="D38" s="63"/>
      <c r="E38" s="63"/>
      <c r="F38" s="63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4" x14ac:dyDescent="0.3">
      <c r="A39" s="17"/>
      <c r="B39" s="17"/>
      <c r="C39" s="63"/>
      <c r="D39" s="63"/>
      <c r="E39" s="63"/>
      <c r="F39" s="63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4" x14ac:dyDescent="0.3">
      <c r="A40" s="17"/>
      <c r="B40" s="17"/>
      <c r="C40" s="63"/>
      <c r="D40" s="63"/>
      <c r="E40" s="63"/>
      <c r="F40" s="63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4" x14ac:dyDescent="0.3">
      <c r="A41" s="17"/>
      <c r="B41" s="17"/>
      <c r="C41" s="63"/>
      <c r="D41" s="63"/>
      <c r="E41" s="63"/>
      <c r="F41" s="63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4" x14ac:dyDescent="0.3">
      <c r="A42" s="17"/>
      <c r="B42" s="17"/>
      <c r="C42" s="63"/>
      <c r="D42" s="63"/>
      <c r="E42" s="63"/>
      <c r="F42" s="63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4" x14ac:dyDescent="0.3">
      <c r="A43" s="17"/>
      <c r="B43" s="17"/>
      <c r="C43" s="63"/>
      <c r="D43" s="63"/>
      <c r="E43" s="63"/>
      <c r="F43" s="63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4" x14ac:dyDescent="0.3">
      <c r="A44" s="17"/>
      <c r="B44" s="17"/>
      <c r="C44" s="63"/>
      <c r="D44" s="63"/>
      <c r="E44" s="63"/>
      <c r="F44" s="63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4" x14ac:dyDescent="0.3">
      <c r="A45" s="17"/>
      <c r="B45" s="17"/>
      <c r="C45" s="63"/>
      <c r="D45" s="63"/>
      <c r="E45" s="63"/>
      <c r="F45" s="63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4" x14ac:dyDescent="0.3">
      <c r="A46" s="17"/>
      <c r="B46" s="17"/>
      <c r="C46" s="63"/>
      <c r="D46" s="63"/>
      <c r="E46" s="63"/>
      <c r="F46" s="6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4" x14ac:dyDescent="0.3">
      <c r="A47" s="17"/>
      <c r="B47" s="17"/>
      <c r="C47" s="63"/>
      <c r="D47" s="63"/>
      <c r="E47" s="63"/>
      <c r="F47" s="63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4" x14ac:dyDescent="0.3">
      <c r="A48" s="17"/>
      <c r="B48" s="17"/>
      <c r="C48" s="63"/>
      <c r="D48" s="63"/>
      <c r="E48" s="63"/>
      <c r="F48" s="63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4" x14ac:dyDescent="0.3">
      <c r="A49" s="17"/>
      <c r="B49" s="17"/>
      <c r="C49" s="63"/>
      <c r="D49" s="63"/>
      <c r="E49" s="63"/>
      <c r="F49" s="63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4" x14ac:dyDescent="0.3">
      <c r="A50" s="17"/>
      <c r="B50" s="17"/>
      <c r="C50" s="63"/>
      <c r="D50" s="63"/>
      <c r="E50" s="63"/>
      <c r="F50" s="63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4" x14ac:dyDescent="0.3">
      <c r="A51" s="17"/>
      <c r="B51" s="17"/>
      <c r="C51" s="63"/>
      <c r="D51" s="63"/>
      <c r="E51" s="63"/>
      <c r="F51" s="6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4" x14ac:dyDescent="0.3">
      <c r="A52" s="17"/>
      <c r="B52" s="17"/>
      <c r="C52" s="63"/>
      <c r="D52" s="63"/>
      <c r="E52" s="63"/>
      <c r="F52" s="6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4" x14ac:dyDescent="0.3">
      <c r="A53" s="17"/>
      <c r="B53" s="17"/>
      <c r="C53" s="63"/>
      <c r="D53" s="63"/>
      <c r="E53" s="63"/>
      <c r="F53" s="63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4" x14ac:dyDescent="0.3">
      <c r="A54" s="17"/>
      <c r="B54" s="17"/>
      <c r="C54" s="63"/>
      <c r="D54" s="63"/>
      <c r="E54" s="63"/>
      <c r="F54" s="63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4" x14ac:dyDescent="0.3">
      <c r="A55" s="17"/>
      <c r="B55" s="17"/>
      <c r="C55" s="63"/>
      <c r="D55" s="63"/>
      <c r="E55" s="63"/>
      <c r="F55" s="63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4" x14ac:dyDescent="0.3">
      <c r="A56" s="17"/>
      <c r="B56" s="17"/>
      <c r="C56" s="63"/>
      <c r="D56" s="63"/>
      <c r="E56" s="63"/>
      <c r="F56" s="63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4" x14ac:dyDescent="0.3">
      <c r="A57" s="17"/>
      <c r="B57" s="17"/>
      <c r="C57" s="63"/>
      <c r="D57" s="63"/>
      <c r="E57" s="63"/>
      <c r="F57" s="63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4" x14ac:dyDescent="0.3">
      <c r="A58" s="17"/>
      <c r="B58" s="17"/>
      <c r="C58" s="63"/>
      <c r="D58" s="63"/>
      <c r="E58" s="63"/>
      <c r="F58" s="63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4" x14ac:dyDescent="0.3">
      <c r="A59" s="17"/>
      <c r="B59" s="17"/>
      <c r="C59" s="63"/>
      <c r="D59" s="63"/>
      <c r="E59" s="63"/>
      <c r="F59" s="63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4" x14ac:dyDescent="0.3">
      <c r="A60" s="17"/>
      <c r="B60" s="17"/>
      <c r="C60" s="63"/>
      <c r="D60" s="63"/>
      <c r="E60" s="63"/>
      <c r="F60" s="6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4" x14ac:dyDescent="0.3">
      <c r="A61" s="17"/>
      <c r="B61" s="17"/>
      <c r="C61" s="63"/>
      <c r="D61" s="63"/>
      <c r="E61" s="63"/>
      <c r="F61" s="6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4" x14ac:dyDescent="0.3">
      <c r="A62" s="17"/>
      <c r="B62" s="17"/>
      <c r="C62" s="63"/>
      <c r="D62" s="63"/>
      <c r="E62" s="63"/>
      <c r="F62" s="63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4" x14ac:dyDescent="0.3">
      <c r="A63" s="17"/>
      <c r="B63" s="17"/>
      <c r="C63" s="63"/>
      <c r="D63" s="63"/>
      <c r="E63" s="63"/>
      <c r="F63" s="63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4" x14ac:dyDescent="0.3">
      <c r="A64" s="17"/>
      <c r="B64" s="17"/>
      <c r="C64" s="63"/>
      <c r="D64" s="63"/>
      <c r="E64" s="63"/>
      <c r="F64" s="63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4" x14ac:dyDescent="0.3">
      <c r="A65" s="17"/>
      <c r="B65" s="17"/>
      <c r="C65" s="63"/>
      <c r="D65" s="63"/>
      <c r="E65" s="63"/>
      <c r="F65" s="63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4" x14ac:dyDescent="0.3">
      <c r="A66" s="17"/>
      <c r="B66" s="17"/>
      <c r="C66" s="63"/>
      <c r="D66" s="63"/>
      <c r="E66" s="63"/>
      <c r="F66" s="63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4" x14ac:dyDescent="0.3">
      <c r="A67" s="17"/>
      <c r="B67" s="17"/>
      <c r="C67" s="63"/>
      <c r="D67" s="63"/>
      <c r="E67" s="63"/>
      <c r="F67" s="63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4" x14ac:dyDescent="0.3">
      <c r="A68" s="17"/>
      <c r="B68" s="17"/>
      <c r="C68" s="63"/>
      <c r="D68" s="63"/>
      <c r="E68" s="63"/>
      <c r="F68" s="63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4" x14ac:dyDescent="0.3">
      <c r="A69" s="17"/>
      <c r="B69" s="17"/>
      <c r="C69" s="63"/>
      <c r="D69" s="63"/>
      <c r="E69" s="63"/>
      <c r="F69" s="63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4" x14ac:dyDescent="0.3">
      <c r="A70" s="17"/>
      <c r="B70" s="17"/>
      <c r="C70" s="63"/>
      <c r="D70" s="63"/>
      <c r="E70" s="63"/>
      <c r="F70" s="63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4" x14ac:dyDescent="0.3">
      <c r="A71" s="17"/>
      <c r="B71" s="17"/>
      <c r="C71" s="63"/>
      <c r="D71" s="63"/>
      <c r="E71" s="63"/>
      <c r="F71" s="63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4" x14ac:dyDescent="0.3">
      <c r="A72" s="17"/>
      <c r="B72" s="17"/>
      <c r="C72" s="63"/>
      <c r="D72" s="63"/>
      <c r="E72" s="63"/>
      <c r="F72" s="63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4" x14ac:dyDescent="0.3">
      <c r="A73" s="17"/>
      <c r="B73" s="17"/>
      <c r="C73" s="63"/>
      <c r="D73" s="63"/>
      <c r="E73" s="63"/>
      <c r="F73" s="63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4" x14ac:dyDescent="0.3">
      <c r="A74" s="17"/>
      <c r="B74" s="17"/>
      <c r="C74" s="63"/>
      <c r="D74" s="63"/>
      <c r="E74" s="63"/>
      <c r="F74" s="63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4" x14ac:dyDescent="0.3">
      <c r="A75" s="17"/>
      <c r="B75" s="17"/>
      <c r="C75" s="63"/>
      <c r="D75" s="63"/>
      <c r="E75" s="63"/>
      <c r="F75" s="63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4" x14ac:dyDescent="0.3">
      <c r="A76" s="17"/>
      <c r="B76" s="17"/>
      <c r="C76" s="63"/>
      <c r="D76" s="63"/>
      <c r="E76" s="63"/>
      <c r="F76" s="63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4" x14ac:dyDescent="0.3">
      <c r="A77" s="17"/>
      <c r="B77" s="17"/>
      <c r="C77" s="63"/>
      <c r="D77" s="63"/>
      <c r="E77" s="63"/>
      <c r="F77" s="63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4" x14ac:dyDescent="0.3">
      <c r="A78" s="17"/>
      <c r="B78" s="17"/>
      <c r="C78" s="63"/>
      <c r="D78" s="63"/>
      <c r="E78" s="63"/>
      <c r="F78" s="63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4" x14ac:dyDescent="0.3">
      <c r="A79" s="17"/>
      <c r="B79" s="17"/>
      <c r="C79" s="63"/>
      <c r="D79" s="63"/>
      <c r="E79" s="63"/>
      <c r="F79" s="63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4" x14ac:dyDescent="0.3">
      <c r="A80" s="17"/>
      <c r="B80" s="17"/>
      <c r="C80" s="63"/>
      <c r="D80" s="63"/>
      <c r="E80" s="63"/>
      <c r="F80" s="63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4" x14ac:dyDescent="0.3">
      <c r="A81" s="17"/>
      <c r="B81" s="17"/>
      <c r="C81" s="63"/>
      <c r="D81" s="63"/>
      <c r="E81" s="63"/>
      <c r="F81" s="63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4" x14ac:dyDescent="0.3">
      <c r="A82" s="17"/>
      <c r="B82" s="17"/>
      <c r="C82" s="63"/>
      <c r="D82" s="63"/>
      <c r="E82" s="63"/>
      <c r="F82" s="63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4" x14ac:dyDescent="0.3">
      <c r="A83" s="17"/>
      <c r="B83" s="17"/>
      <c r="C83" s="63"/>
      <c r="D83" s="63"/>
      <c r="E83" s="63"/>
      <c r="F83" s="63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4" x14ac:dyDescent="0.3">
      <c r="A84" s="17"/>
      <c r="B84" s="17"/>
      <c r="C84" s="63"/>
      <c r="D84" s="63"/>
      <c r="E84" s="63"/>
      <c r="F84" s="63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4" x14ac:dyDescent="0.3">
      <c r="A85" s="17"/>
      <c r="B85" s="17"/>
      <c r="C85" s="63"/>
      <c r="D85" s="63"/>
      <c r="E85" s="63"/>
      <c r="F85" s="63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4" x14ac:dyDescent="0.3">
      <c r="A86" s="17"/>
      <c r="B86" s="17"/>
      <c r="C86" s="63"/>
      <c r="D86" s="63"/>
      <c r="E86" s="63"/>
      <c r="F86" s="63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4" x14ac:dyDescent="0.3">
      <c r="A87" s="17"/>
      <c r="B87" s="17"/>
      <c r="C87" s="63"/>
      <c r="D87" s="63"/>
      <c r="E87" s="63"/>
      <c r="F87" s="63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4" x14ac:dyDescent="0.3">
      <c r="A88" s="17"/>
      <c r="B88" s="17"/>
      <c r="C88" s="63"/>
      <c r="D88" s="63"/>
      <c r="E88" s="63"/>
      <c r="F88" s="63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4" x14ac:dyDescent="0.3">
      <c r="A89" s="17"/>
      <c r="B89" s="17"/>
      <c r="C89" s="63"/>
      <c r="D89" s="63"/>
      <c r="E89" s="63"/>
      <c r="F89" s="63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4" x14ac:dyDescent="0.3">
      <c r="A90" s="17"/>
      <c r="B90" s="17"/>
      <c r="C90" s="63"/>
      <c r="D90" s="63"/>
      <c r="E90" s="63"/>
      <c r="F90" s="63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4" x14ac:dyDescent="0.3">
      <c r="A91" s="17"/>
      <c r="B91" s="17"/>
      <c r="C91" s="63"/>
      <c r="D91" s="63"/>
      <c r="E91" s="63"/>
      <c r="F91" s="63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4" x14ac:dyDescent="0.3">
      <c r="A92" s="17"/>
      <c r="B92" s="17"/>
      <c r="C92" s="63"/>
      <c r="D92" s="63"/>
      <c r="E92" s="63"/>
      <c r="F92" s="63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4" x14ac:dyDescent="0.3">
      <c r="A93" s="17"/>
      <c r="B93" s="17"/>
      <c r="C93" s="63"/>
      <c r="D93" s="63"/>
      <c r="E93" s="63"/>
      <c r="F93" s="63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4" x14ac:dyDescent="0.3">
      <c r="A94" s="17"/>
      <c r="B94" s="17"/>
      <c r="C94" s="63"/>
      <c r="D94" s="63"/>
      <c r="E94" s="63"/>
      <c r="F94" s="63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4" x14ac:dyDescent="0.3">
      <c r="A95" s="17"/>
      <c r="B95" s="17"/>
      <c r="C95" s="63"/>
      <c r="D95" s="63"/>
      <c r="E95" s="63"/>
      <c r="F95" s="63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4" x14ac:dyDescent="0.3">
      <c r="A96" s="17"/>
      <c r="B96" s="17"/>
      <c r="C96" s="63"/>
      <c r="D96" s="63"/>
      <c r="E96" s="63"/>
      <c r="F96" s="63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4" x14ac:dyDescent="0.3">
      <c r="A97" s="17"/>
      <c r="B97" s="17"/>
      <c r="C97" s="63"/>
      <c r="D97" s="63"/>
      <c r="E97" s="63"/>
      <c r="F97" s="63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4" x14ac:dyDescent="0.3">
      <c r="A98" s="17"/>
      <c r="B98" s="17"/>
      <c r="C98" s="63"/>
      <c r="D98" s="63"/>
      <c r="E98" s="63"/>
      <c r="F98" s="63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4" x14ac:dyDescent="0.3">
      <c r="A99" s="17"/>
      <c r="B99" s="17"/>
      <c r="C99" s="63"/>
      <c r="D99" s="63"/>
      <c r="E99" s="63"/>
      <c r="F99" s="63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4" x14ac:dyDescent="0.3">
      <c r="A100" s="17"/>
      <c r="B100" s="17"/>
      <c r="C100" s="63"/>
      <c r="D100" s="63"/>
      <c r="E100" s="63"/>
      <c r="F100" s="63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4" x14ac:dyDescent="0.3">
      <c r="A101" s="17"/>
      <c r="B101" s="17"/>
      <c r="C101" s="63"/>
      <c r="D101" s="63"/>
      <c r="E101" s="63"/>
      <c r="F101" s="63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4" x14ac:dyDescent="0.3">
      <c r="A102" s="17"/>
      <c r="B102" s="17"/>
      <c r="C102" s="63"/>
      <c r="D102" s="63"/>
      <c r="E102" s="63"/>
      <c r="F102" s="63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4" x14ac:dyDescent="0.3">
      <c r="A103" s="17"/>
      <c r="B103" s="17"/>
      <c r="C103" s="63"/>
      <c r="D103" s="63"/>
      <c r="E103" s="63"/>
      <c r="F103" s="63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4" x14ac:dyDescent="0.3">
      <c r="A104" s="17"/>
      <c r="B104" s="17"/>
      <c r="C104" s="63"/>
      <c r="D104" s="63"/>
      <c r="E104" s="63"/>
      <c r="F104" s="63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4" x14ac:dyDescent="0.3">
      <c r="A105" s="17"/>
      <c r="B105" s="17"/>
      <c r="C105" s="63"/>
      <c r="D105" s="63"/>
      <c r="E105" s="63"/>
      <c r="F105" s="63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4" x14ac:dyDescent="0.3">
      <c r="A106" s="17"/>
      <c r="B106" s="17"/>
      <c r="C106" s="63"/>
      <c r="D106" s="63"/>
      <c r="E106" s="63"/>
      <c r="F106" s="63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4" x14ac:dyDescent="0.3">
      <c r="A107" s="17"/>
      <c r="B107" s="17"/>
      <c r="C107" s="63"/>
      <c r="D107" s="63"/>
      <c r="E107" s="63"/>
      <c r="F107" s="63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4" x14ac:dyDescent="0.3">
      <c r="A108" s="17"/>
      <c r="B108" s="17"/>
      <c r="C108" s="63"/>
      <c r="D108" s="63"/>
      <c r="E108" s="63"/>
      <c r="F108" s="63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4" x14ac:dyDescent="0.3">
      <c r="A109" s="17"/>
      <c r="B109" s="17"/>
      <c r="C109" s="63"/>
      <c r="D109" s="63"/>
      <c r="E109" s="63"/>
      <c r="F109" s="63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4" x14ac:dyDescent="0.3">
      <c r="A110" s="17"/>
      <c r="B110" s="17"/>
      <c r="C110" s="63"/>
      <c r="D110" s="63"/>
      <c r="E110" s="63"/>
      <c r="F110" s="63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4" x14ac:dyDescent="0.3">
      <c r="A111" s="17"/>
      <c r="B111" s="17"/>
      <c r="C111" s="63"/>
      <c r="D111" s="63"/>
      <c r="E111" s="63"/>
      <c r="F111" s="63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4" x14ac:dyDescent="0.3">
      <c r="A112" s="17"/>
      <c r="B112" s="17"/>
      <c r="C112" s="63"/>
      <c r="D112" s="63"/>
      <c r="E112" s="63"/>
      <c r="F112" s="63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4" x14ac:dyDescent="0.3">
      <c r="A113" s="17"/>
      <c r="B113" s="17"/>
      <c r="C113" s="63"/>
      <c r="D113" s="63"/>
      <c r="E113" s="63"/>
      <c r="F113" s="63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4" x14ac:dyDescent="0.3">
      <c r="A114" s="17"/>
      <c r="B114" s="17"/>
      <c r="C114" s="63"/>
      <c r="D114" s="63"/>
      <c r="E114" s="63"/>
      <c r="F114" s="63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4" x14ac:dyDescent="0.3">
      <c r="A115" s="17"/>
      <c r="B115" s="17"/>
      <c r="C115" s="63"/>
      <c r="D115" s="63"/>
      <c r="E115" s="63"/>
      <c r="F115" s="63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4" x14ac:dyDescent="0.3">
      <c r="A116" s="17"/>
      <c r="B116" s="17"/>
      <c r="C116" s="63"/>
      <c r="D116" s="63"/>
      <c r="E116" s="63"/>
      <c r="F116" s="63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4" x14ac:dyDescent="0.3">
      <c r="A117" s="17"/>
      <c r="B117" s="17"/>
      <c r="C117" s="63"/>
      <c r="D117" s="63"/>
      <c r="E117" s="63"/>
      <c r="F117" s="63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4" x14ac:dyDescent="0.3">
      <c r="A118" s="17"/>
      <c r="B118" s="17"/>
      <c r="C118" s="63"/>
      <c r="D118" s="63"/>
      <c r="E118" s="63"/>
      <c r="F118" s="63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4" x14ac:dyDescent="0.3">
      <c r="A119" s="17"/>
      <c r="B119" s="17"/>
      <c r="C119" s="63"/>
      <c r="D119" s="63"/>
      <c r="E119" s="63"/>
      <c r="F119" s="63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4" x14ac:dyDescent="0.3">
      <c r="A120" s="17"/>
      <c r="B120" s="17"/>
      <c r="C120" s="63"/>
      <c r="D120" s="63"/>
      <c r="E120" s="63"/>
      <c r="F120" s="63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4" x14ac:dyDescent="0.3">
      <c r="A121" s="17"/>
      <c r="B121" s="17"/>
      <c r="C121" s="63"/>
      <c r="D121" s="63"/>
      <c r="E121" s="63"/>
      <c r="F121" s="63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4" x14ac:dyDescent="0.3">
      <c r="A122" s="17"/>
      <c r="B122" s="17"/>
      <c r="C122" s="63"/>
      <c r="D122" s="63"/>
      <c r="E122" s="63"/>
      <c r="F122" s="63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4" x14ac:dyDescent="0.3">
      <c r="A123" s="17"/>
      <c r="B123" s="17"/>
      <c r="C123" s="63"/>
      <c r="D123" s="63"/>
      <c r="E123" s="63"/>
      <c r="F123" s="63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4" x14ac:dyDescent="0.3">
      <c r="A124" s="17"/>
      <c r="B124" s="17"/>
      <c r="C124" s="63"/>
      <c r="D124" s="63"/>
      <c r="E124" s="63"/>
      <c r="F124" s="63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4" x14ac:dyDescent="0.3">
      <c r="A125" s="17"/>
      <c r="B125" s="17"/>
      <c r="C125" s="63"/>
      <c r="D125" s="63"/>
      <c r="E125" s="63"/>
      <c r="F125" s="63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4" x14ac:dyDescent="0.3">
      <c r="A126" s="17"/>
      <c r="B126" s="17"/>
      <c r="C126" s="63"/>
      <c r="D126" s="63"/>
      <c r="E126" s="63"/>
      <c r="F126" s="63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4" x14ac:dyDescent="0.3">
      <c r="A127" s="17"/>
      <c r="B127" s="17"/>
      <c r="C127" s="63"/>
      <c r="D127" s="63"/>
      <c r="E127" s="63"/>
      <c r="F127" s="63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4" x14ac:dyDescent="0.3">
      <c r="A128" s="17"/>
      <c r="B128" s="17"/>
      <c r="C128" s="63"/>
      <c r="D128" s="63"/>
      <c r="E128" s="63"/>
      <c r="F128" s="63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4" x14ac:dyDescent="0.3">
      <c r="A129" s="17"/>
      <c r="B129" s="17"/>
      <c r="C129" s="63"/>
      <c r="D129" s="63"/>
      <c r="E129" s="63"/>
      <c r="F129" s="63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4" x14ac:dyDescent="0.3">
      <c r="A130" s="17"/>
      <c r="B130" s="17"/>
      <c r="C130" s="63"/>
      <c r="D130" s="63"/>
      <c r="E130" s="63"/>
      <c r="F130" s="63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4" x14ac:dyDescent="0.3">
      <c r="A131" s="17"/>
      <c r="B131" s="17"/>
      <c r="C131" s="63"/>
      <c r="D131" s="63"/>
      <c r="E131" s="63"/>
      <c r="F131" s="63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4" x14ac:dyDescent="0.3">
      <c r="A132" s="17"/>
      <c r="B132" s="17"/>
      <c r="C132" s="63"/>
      <c r="D132" s="63"/>
      <c r="E132" s="63"/>
      <c r="F132" s="63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4" x14ac:dyDescent="0.3">
      <c r="A133" s="17"/>
      <c r="B133" s="17"/>
      <c r="C133" s="63"/>
      <c r="D133" s="63"/>
      <c r="E133" s="63"/>
      <c r="F133" s="63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4" x14ac:dyDescent="0.3">
      <c r="A134" s="17"/>
      <c r="B134" s="17"/>
      <c r="C134" s="63"/>
      <c r="D134" s="63"/>
      <c r="E134" s="63"/>
      <c r="F134" s="63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4" x14ac:dyDescent="0.3">
      <c r="A135" s="17"/>
      <c r="B135" s="17"/>
      <c r="C135" s="63"/>
      <c r="D135" s="63"/>
      <c r="E135" s="63"/>
      <c r="F135" s="63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4" x14ac:dyDescent="0.3">
      <c r="A136" s="17"/>
      <c r="B136" s="17"/>
      <c r="C136" s="63"/>
      <c r="D136" s="63"/>
      <c r="E136" s="63"/>
      <c r="F136" s="63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4" x14ac:dyDescent="0.3">
      <c r="A137" s="17"/>
      <c r="B137" s="17"/>
      <c r="C137" s="63"/>
      <c r="D137" s="63"/>
      <c r="E137" s="63"/>
      <c r="F137" s="63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4" x14ac:dyDescent="0.3">
      <c r="A138" s="17"/>
      <c r="B138" s="17"/>
      <c r="C138" s="63"/>
      <c r="D138" s="63"/>
      <c r="E138" s="63"/>
      <c r="F138" s="63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4" x14ac:dyDescent="0.3">
      <c r="A139" s="17"/>
      <c r="B139" s="17"/>
      <c r="C139" s="63"/>
      <c r="D139" s="63"/>
      <c r="E139" s="63"/>
      <c r="F139" s="63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4" x14ac:dyDescent="0.3">
      <c r="A140" s="17"/>
      <c r="B140" s="17"/>
      <c r="C140" s="63"/>
      <c r="D140" s="63"/>
      <c r="E140" s="63"/>
      <c r="F140" s="63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4" x14ac:dyDescent="0.3">
      <c r="A141" s="17"/>
      <c r="B141" s="17"/>
      <c r="C141" s="63"/>
      <c r="D141" s="63"/>
      <c r="E141" s="63"/>
      <c r="F141" s="63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4" x14ac:dyDescent="0.3">
      <c r="A142" s="17"/>
      <c r="B142" s="17"/>
      <c r="C142" s="63"/>
      <c r="D142" s="63"/>
      <c r="E142" s="63"/>
      <c r="F142" s="63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4" x14ac:dyDescent="0.3">
      <c r="A143" s="17"/>
      <c r="B143" s="17"/>
      <c r="C143" s="63"/>
      <c r="D143" s="63"/>
      <c r="E143" s="63"/>
      <c r="F143" s="63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4" x14ac:dyDescent="0.3">
      <c r="A144" s="17"/>
      <c r="B144" s="17"/>
      <c r="C144" s="63"/>
      <c r="D144" s="63"/>
      <c r="E144" s="63"/>
      <c r="F144" s="63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4" x14ac:dyDescent="0.3">
      <c r="A145" s="17"/>
      <c r="B145" s="17"/>
      <c r="C145" s="63"/>
      <c r="D145" s="63"/>
      <c r="E145" s="63"/>
      <c r="F145" s="63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4" x14ac:dyDescent="0.3">
      <c r="A146" s="17"/>
      <c r="B146" s="17"/>
      <c r="C146" s="63"/>
      <c r="D146" s="63"/>
      <c r="E146" s="63"/>
      <c r="F146" s="63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4" x14ac:dyDescent="0.3">
      <c r="A147" s="17"/>
      <c r="B147" s="17"/>
      <c r="C147" s="63"/>
      <c r="D147" s="63"/>
      <c r="E147" s="63"/>
      <c r="F147" s="63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4" x14ac:dyDescent="0.3">
      <c r="A148" s="17"/>
      <c r="B148" s="17"/>
      <c r="C148" s="63"/>
      <c r="D148" s="63"/>
      <c r="E148" s="63"/>
      <c r="F148" s="63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4" x14ac:dyDescent="0.3">
      <c r="A149" s="17"/>
      <c r="B149" s="17"/>
      <c r="C149" s="63"/>
      <c r="D149" s="63"/>
      <c r="E149" s="63"/>
      <c r="F149" s="63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4" x14ac:dyDescent="0.3">
      <c r="A150" s="17"/>
      <c r="B150" s="17"/>
      <c r="C150" s="63"/>
      <c r="D150" s="63"/>
      <c r="E150" s="63"/>
      <c r="F150" s="63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4" x14ac:dyDescent="0.3">
      <c r="A151" s="17"/>
      <c r="B151" s="17"/>
      <c r="C151" s="63"/>
      <c r="D151" s="63"/>
      <c r="E151" s="63"/>
      <c r="F151" s="63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4" x14ac:dyDescent="0.3">
      <c r="A152" s="17"/>
      <c r="B152" s="17"/>
      <c r="C152" s="63"/>
      <c r="D152" s="63"/>
      <c r="E152" s="63"/>
      <c r="F152" s="63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4" x14ac:dyDescent="0.3">
      <c r="A153" s="17"/>
      <c r="B153" s="17"/>
      <c r="C153" s="63"/>
      <c r="D153" s="63"/>
      <c r="E153" s="63"/>
      <c r="F153" s="63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4" x14ac:dyDescent="0.3">
      <c r="A154" s="17"/>
      <c r="B154" s="17"/>
      <c r="C154" s="63"/>
      <c r="D154" s="63"/>
      <c r="E154" s="63"/>
      <c r="F154" s="63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4" x14ac:dyDescent="0.3">
      <c r="A155" s="17"/>
      <c r="B155" s="17"/>
      <c r="C155" s="63"/>
      <c r="D155" s="63"/>
      <c r="E155" s="63"/>
      <c r="F155" s="63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4" x14ac:dyDescent="0.3">
      <c r="A156" s="17"/>
      <c r="B156" s="17"/>
      <c r="C156" s="63"/>
      <c r="D156" s="63"/>
      <c r="E156" s="63"/>
      <c r="F156" s="63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4" x14ac:dyDescent="0.3">
      <c r="A157" s="17"/>
      <c r="B157" s="17"/>
      <c r="C157" s="63"/>
      <c r="D157" s="63"/>
      <c r="E157" s="63"/>
      <c r="F157" s="63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4" x14ac:dyDescent="0.3">
      <c r="A158" s="17"/>
      <c r="B158" s="17"/>
      <c r="C158" s="63"/>
      <c r="D158" s="63"/>
      <c r="E158" s="63"/>
      <c r="F158" s="63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4" x14ac:dyDescent="0.3">
      <c r="A159" s="17"/>
      <c r="B159" s="17"/>
      <c r="C159" s="63"/>
      <c r="D159" s="63"/>
      <c r="E159" s="63"/>
      <c r="F159" s="63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4" x14ac:dyDescent="0.3">
      <c r="A160" s="17"/>
      <c r="B160" s="17"/>
      <c r="C160" s="63"/>
      <c r="D160" s="63"/>
      <c r="E160" s="63"/>
      <c r="F160" s="63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4" x14ac:dyDescent="0.3">
      <c r="A161" s="17"/>
      <c r="B161" s="17"/>
      <c r="C161" s="63"/>
      <c r="D161" s="63"/>
      <c r="E161" s="63"/>
      <c r="F161" s="63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4" x14ac:dyDescent="0.3">
      <c r="A162" s="17"/>
      <c r="B162" s="17"/>
      <c r="C162" s="63"/>
      <c r="D162" s="63"/>
      <c r="E162" s="63"/>
      <c r="F162" s="63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4" x14ac:dyDescent="0.3">
      <c r="A163" s="17"/>
      <c r="B163" s="17"/>
      <c r="C163" s="63"/>
      <c r="D163" s="63"/>
      <c r="E163" s="63"/>
      <c r="F163" s="63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4" x14ac:dyDescent="0.3">
      <c r="A164" s="17"/>
      <c r="B164" s="17"/>
      <c r="C164" s="63"/>
      <c r="D164" s="63"/>
      <c r="E164" s="63"/>
      <c r="F164" s="63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4" x14ac:dyDescent="0.3">
      <c r="A165" s="17"/>
      <c r="B165" s="17"/>
      <c r="C165" s="63"/>
      <c r="D165" s="63"/>
      <c r="E165" s="63"/>
      <c r="F165" s="63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4" x14ac:dyDescent="0.3">
      <c r="A166" s="17"/>
      <c r="B166" s="17"/>
      <c r="C166" s="63"/>
      <c r="D166" s="63"/>
      <c r="E166" s="63"/>
      <c r="F166" s="63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4" x14ac:dyDescent="0.3">
      <c r="A167" s="17"/>
      <c r="B167" s="17"/>
      <c r="C167" s="63"/>
      <c r="D167" s="63"/>
      <c r="E167" s="63"/>
      <c r="F167" s="63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4" x14ac:dyDescent="0.3">
      <c r="A168" s="17"/>
      <c r="B168" s="17"/>
      <c r="C168" s="63"/>
      <c r="D168" s="63"/>
      <c r="E168" s="63"/>
      <c r="F168" s="63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4" x14ac:dyDescent="0.3">
      <c r="A169" s="17"/>
      <c r="B169" s="17"/>
      <c r="C169" s="63"/>
      <c r="D169" s="63"/>
      <c r="E169" s="63"/>
      <c r="F169" s="63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4" x14ac:dyDescent="0.3">
      <c r="A170" s="17"/>
      <c r="B170" s="17"/>
      <c r="C170" s="63"/>
      <c r="D170" s="63"/>
      <c r="E170" s="63"/>
      <c r="F170" s="63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4" x14ac:dyDescent="0.3">
      <c r="A171" s="17"/>
      <c r="B171" s="17"/>
      <c r="C171" s="63"/>
      <c r="D171" s="63"/>
      <c r="E171" s="63"/>
      <c r="F171" s="63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4" x14ac:dyDescent="0.3">
      <c r="A172" s="17"/>
      <c r="B172" s="17"/>
      <c r="C172" s="63"/>
      <c r="D172" s="63"/>
      <c r="E172" s="63"/>
      <c r="F172" s="63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4" x14ac:dyDescent="0.3">
      <c r="A173" s="17"/>
      <c r="B173" s="17"/>
      <c r="C173" s="63"/>
      <c r="D173" s="63"/>
      <c r="E173" s="63"/>
      <c r="F173" s="63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4" x14ac:dyDescent="0.3">
      <c r="A174" s="17"/>
      <c r="B174" s="17"/>
      <c r="C174" s="63"/>
      <c r="D174" s="63"/>
      <c r="E174" s="63"/>
      <c r="F174" s="63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4" x14ac:dyDescent="0.3">
      <c r="A175" s="17"/>
      <c r="B175" s="17"/>
      <c r="C175" s="63"/>
      <c r="D175" s="63"/>
      <c r="E175" s="63"/>
      <c r="F175" s="63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4" x14ac:dyDescent="0.3">
      <c r="A176" s="17"/>
      <c r="B176" s="17"/>
      <c r="C176" s="63"/>
      <c r="D176" s="63"/>
      <c r="E176" s="63"/>
      <c r="F176" s="63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4" x14ac:dyDescent="0.3">
      <c r="A177" s="17"/>
      <c r="B177" s="17"/>
      <c r="C177" s="63"/>
      <c r="D177" s="63"/>
      <c r="E177" s="63"/>
      <c r="F177" s="63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4" x14ac:dyDescent="0.3">
      <c r="A178" s="17"/>
      <c r="B178" s="17"/>
      <c r="C178" s="63"/>
      <c r="D178" s="63"/>
      <c r="E178" s="63"/>
      <c r="F178" s="63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4" x14ac:dyDescent="0.3">
      <c r="A179" s="17"/>
      <c r="B179" s="17"/>
      <c r="C179" s="63"/>
      <c r="D179" s="63"/>
      <c r="E179" s="63"/>
      <c r="F179" s="63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4" x14ac:dyDescent="0.3">
      <c r="A180" s="17"/>
      <c r="B180" s="17"/>
      <c r="C180" s="63"/>
      <c r="D180" s="63"/>
      <c r="E180" s="63"/>
      <c r="F180" s="63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4" x14ac:dyDescent="0.3">
      <c r="A181" s="17"/>
      <c r="B181" s="17"/>
      <c r="C181" s="63"/>
      <c r="D181" s="63"/>
      <c r="E181" s="63"/>
      <c r="F181" s="63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4" x14ac:dyDescent="0.3">
      <c r="A182" s="17"/>
      <c r="B182" s="17"/>
      <c r="C182" s="63"/>
      <c r="D182" s="63"/>
      <c r="E182" s="63"/>
      <c r="F182" s="63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4" x14ac:dyDescent="0.3">
      <c r="A183" s="17"/>
      <c r="B183" s="17"/>
      <c r="C183" s="63"/>
      <c r="D183" s="63"/>
      <c r="E183" s="63"/>
      <c r="F183" s="63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4" x14ac:dyDescent="0.3">
      <c r="A184" s="17"/>
      <c r="B184" s="17"/>
      <c r="C184" s="63"/>
      <c r="D184" s="63"/>
      <c r="E184" s="63"/>
      <c r="F184" s="63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4" x14ac:dyDescent="0.3">
      <c r="A185" s="17"/>
      <c r="B185" s="17"/>
      <c r="C185" s="63"/>
      <c r="D185" s="63"/>
      <c r="E185" s="63"/>
      <c r="F185" s="63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4" x14ac:dyDescent="0.3">
      <c r="A186" s="17"/>
      <c r="B186" s="17"/>
      <c r="C186" s="63"/>
      <c r="D186" s="63"/>
      <c r="E186" s="63"/>
      <c r="F186" s="63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4" x14ac:dyDescent="0.3">
      <c r="A187" s="17"/>
      <c r="B187" s="17"/>
      <c r="C187" s="63"/>
      <c r="D187" s="63"/>
      <c r="E187" s="63"/>
      <c r="F187" s="63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4" x14ac:dyDescent="0.3">
      <c r="A188" s="17"/>
      <c r="B188" s="17"/>
      <c r="C188" s="63"/>
      <c r="D188" s="63"/>
      <c r="E188" s="63"/>
      <c r="F188" s="63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4" x14ac:dyDescent="0.3">
      <c r="A189" s="17"/>
      <c r="B189" s="17"/>
      <c r="C189" s="63"/>
      <c r="D189" s="63"/>
      <c r="E189" s="63"/>
      <c r="F189" s="63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4" x14ac:dyDescent="0.3">
      <c r="A190" s="17"/>
      <c r="B190" s="17"/>
      <c r="C190" s="63"/>
      <c r="D190" s="63"/>
      <c r="E190" s="63"/>
      <c r="F190" s="63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4" x14ac:dyDescent="0.3">
      <c r="A191" s="17"/>
      <c r="B191" s="17"/>
      <c r="C191" s="63"/>
      <c r="D191" s="63"/>
      <c r="E191" s="63"/>
      <c r="F191" s="63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4" x14ac:dyDescent="0.3">
      <c r="A192" s="17"/>
      <c r="B192" s="17"/>
      <c r="C192" s="63"/>
      <c r="D192" s="63"/>
      <c r="E192" s="63"/>
      <c r="F192" s="63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4" x14ac:dyDescent="0.3">
      <c r="A193" s="17"/>
      <c r="B193" s="17"/>
      <c r="C193" s="63"/>
      <c r="D193" s="63"/>
      <c r="E193" s="63"/>
      <c r="F193" s="63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4" x14ac:dyDescent="0.3">
      <c r="A194" s="17"/>
      <c r="B194" s="17"/>
      <c r="C194" s="63"/>
      <c r="D194" s="63"/>
      <c r="E194" s="63"/>
      <c r="F194" s="63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4" x14ac:dyDescent="0.3">
      <c r="A195" s="17"/>
      <c r="B195" s="17"/>
      <c r="C195" s="63"/>
      <c r="D195" s="63"/>
      <c r="E195" s="63"/>
      <c r="F195" s="63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4" x14ac:dyDescent="0.3">
      <c r="A196" s="17"/>
      <c r="B196" s="17"/>
      <c r="C196" s="63"/>
      <c r="D196" s="63"/>
      <c r="E196" s="63"/>
      <c r="F196" s="63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4" x14ac:dyDescent="0.3">
      <c r="A197" s="17"/>
      <c r="B197" s="17"/>
      <c r="C197" s="63"/>
      <c r="D197" s="63"/>
      <c r="E197" s="63"/>
      <c r="F197" s="63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4" x14ac:dyDescent="0.3">
      <c r="A198" s="17"/>
      <c r="B198" s="17"/>
      <c r="C198" s="63"/>
      <c r="D198" s="63"/>
      <c r="E198" s="63"/>
      <c r="F198" s="63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4" x14ac:dyDescent="0.3">
      <c r="A199" s="17"/>
      <c r="B199" s="17"/>
      <c r="C199" s="63"/>
      <c r="D199" s="63"/>
      <c r="E199" s="63"/>
      <c r="F199" s="63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4" x14ac:dyDescent="0.3">
      <c r="A200" s="17"/>
      <c r="B200" s="17"/>
      <c r="C200" s="63"/>
      <c r="D200" s="63"/>
      <c r="E200" s="63"/>
      <c r="F200" s="63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4" x14ac:dyDescent="0.3">
      <c r="A201" s="17"/>
      <c r="B201" s="17"/>
      <c r="C201" s="63"/>
      <c r="D201" s="63"/>
      <c r="E201" s="63"/>
      <c r="F201" s="63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4" x14ac:dyDescent="0.3">
      <c r="A202" s="17"/>
      <c r="B202" s="17"/>
      <c r="C202" s="63"/>
      <c r="D202" s="63"/>
      <c r="E202" s="63"/>
      <c r="F202" s="63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4" x14ac:dyDescent="0.3">
      <c r="A203" s="17"/>
      <c r="B203" s="17"/>
      <c r="C203" s="63"/>
      <c r="D203" s="63"/>
      <c r="E203" s="63"/>
      <c r="F203" s="63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4" x14ac:dyDescent="0.3">
      <c r="A204" s="17"/>
      <c r="B204" s="17"/>
      <c r="C204" s="63"/>
      <c r="D204" s="63"/>
      <c r="E204" s="63"/>
      <c r="F204" s="63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4" x14ac:dyDescent="0.3">
      <c r="A205" s="17"/>
      <c r="B205" s="17"/>
      <c r="C205" s="63"/>
      <c r="D205" s="63"/>
      <c r="E205" s="63"/>
      <c r="F205" s="63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4" x14ac:dyDescent="0.3">
      <c r="A206" s="17"/>
      <c r="B206" s="17"/>
      <c r="C206" s="63"/>
      <c r="D206" s="63"/>
      <c r="E206" s="63"/>
      <c r="F206" s="63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4" x14ac:dyDescent="0.3">
      <c r="A207" s="17"/>
      <c r="B207" s="17"/>
      <c r="C207" s="63"/>
      <c r="D207" s="63"/>
      <c r="E207" s="63"/>
      <c r="F207" s="63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4" x14ac:dyDescent="0.3">
      <c r="A208" s="17"/>
      <c r="B208" s="17"/>
      <c r="C208" s="63"/>
      <c r="D208" s="63"/>
      <c r="E208" s="63"/>
      <c r="F208" s="63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4" x14ac:dyDescent="0.3">
      <c r="A209" s="17"/>
      <c r="B209" s="17"/>
      <c r="C209" s="63"/>
      <c r="D209" s="63"/>
      <c r="E209" s="63"/>
      <c r="F209" s="63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4" x14ac:dyDescent="0.3">
      <c r="A210" s="17"/>
      <c r="B210" s="17"/>
      <c r="C210" s="63"/>
      <c r="D210" s="63"/>
      <c r="E210" s="63"/>
      <c r="F210" s="63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4" x14ac:dyDescent="0.3">
      <c r="A211" s="17"/>
      <c r="B211" s="17"/>
      <c r="C211" s="63"/>
      <c r="D211" s="63"/>
      <c r="E211" s="63"/>
      <c r="F211" s="63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4" x14ac:dyDescent="0.3">
      <c r="A212" s="17"/>
      <c r="B212" s="17"/>
      <c r="C212" s="63"/>
      <c r="D212" s="63"/>
      <c r="E212" s="63"/>
      <c r="F212" s="63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4" x14ac:dyDescent="0.3">
      <c r="A213" s="17"/>
      <c r="B213" s="17"/>
      <c r="C213" s="63"/>
      <c r="D213" s="63"/>
      <c r="E213" s="63"/>
      <c r="F213" s="63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4" x14ac:dyDescent="0.3">
      <c r="A214" s="17"/>
      <c r="B214" s="17"/>
      <c r="C214" s="63"/>
      <c r="D214" s="63"/>
      <c r="E214" s="63"/>
      <c r="F214" s="63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4" x14ac:dyDescent="0.3">
      <c r="A215" s="17"/>
      <c r="B215" s="17"/>
      <c r="C215" s="63"/>
      <c r="D215" s="63"/>
      <c r="E215" s="63"/>
      <c r="F215" s="63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4" x14ac:dyDescent="0.3">
      <c r="A216" s="17"/>
      <c r="B216" s="17"/>
      <c r="C216" s="63"/>
      <c r="D216" s="63"/>
      <c r="E216" s="63"/>
      <c r="F216" s="63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4" x14ac:dyDescent="0.3">
      <c r="A217" s="17"/>
      <c r="B217" s="17"/>
      <c r="C217" s="63"/>
      <c r="D217" s="63"/>
      <c r="E217" s="63"/>
      <c r="F217" s="63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4" x14ac:dyDescent="0.3">
      <c r="A218" s="17"/>
      <c r="B218" s="17"/>
      <c r="C218" s="63"/>
      <c r="D218" s="63"/>
      <c r="E218" s="63"/>
      <c r="F218" s="63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4" x14ac:dyDescent="0.3">
      <c r="A219" s="17"/>
      <c r="B219" s="17"/>
      <c r="C219" s="63"/>
      <c r="D219" s="63"/>
      <c r="E219" s="63"/>
      <c r="F219" s="63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4" x14ac:dyDescent="0.3">
      <c r="A220" s="17"/>
      <c r="B220" s="17"/>
      <c r="C220" s="63"/>
      <c r="D220" s="63"/>
      <c r="E220" s="63"/>
      <c r="F220" s="63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4" x14ac:dyDescent="0.3">
      <c r="A221" s="17"/>
      <c r="B221" s="17"/>
      <c r="C221" s="63"/>
      <c r="D221" s="63"/>
      <c r="E221" s="63"/>
      <c r="F221" s="63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4" x14ac:dyDescent="0.3">
      <c r="A222" s="17"/>
      <c r="B222" s="17"/>
      <c r="C222" s="63"/>
      <c r="D222" s="63"/>
      <c r="E222" s="63"/>
      <c r="F222" s="63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4" x14ac:dyDescent="0.3">
      <c r="A223" s="17"/>
      <c r="B223" s="17"/>
      <c r="C223" s="63"/>
      <c r="D223" s="63"/>
      <c r="E223" s="63"/>
      <c r="F223" s="63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4" x14ac:dyDescent="0.3">
      <c r="A224" s="17"/>
      <c r="B224" s="17"/>
      <c r="C224" s="63"/>
      <c r="D224" s="63"/>
      <c r="E224" s="63"/>
      <c r="F224" s="63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4" x14ac:dyDescent="0.3">
      <c r="A225" s="17"/>
      <c r="B225" s="17"/>
      <c r="C225" s="63"/>
      <c r="D225" s="63"/>
      <c r="E225" s="63"/>
      <c r="F225" s="63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4" x14ac:dyDescent="0.3">
      <c r="A226" s="17"/>
      <c r="B226" s="17"/>
      <c r="C226" s="63"/>
      <c r="D226" s="63"/>
      <c r="E226" s="63"/>
      <c r="F226" s="63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4" x14ac:dyDescent="0.3">
      <c r="A227" s="17"/>
      <c r="B227" s="17"/>
      <c r="C227" s="63"/>
      <c r="D227" s="63"/>
      <c r="E227" s="63"/>
      <c r="F227" s="63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4" x14ac:dyDescent="0.3">
      <c r="A228" s="17"/>
      <c r="B228" s="17"/>
      <c r="C228" s="63"/>
      <c r="D228" s="63"/>
      <c r="E228" s="63"/>
      <c r="F228" s="63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4" x14ac:dyDescent="0.3">
      <c r="A229" s="17"/>
      <c r="B229" s="17"/>
      <c r="C229" s="63"/>
      <c r="D229" s="63"/>
      <c r="E229" s="63"/>
      <c r="F229" s="63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4" x14ac:dyDescent="0.3">
      <c r="A230" s="17"/>
      <c r="B230" s="17"/>
      <c r="C230" s="63"/>
      <c r="D230" s="63"/>
      <c r="E230" s="63"/>
      <c r="F230" s="63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4" x14ac:dyDescent="0.3">
      <c r="A231" s="17"/>
      <c r="B231" s="17"/>
      <c r="C231" s="63"/>
      <c r="D231" s="63"/>
      <c r="E231" s="63"/>
      <c r="F231" s="63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4" x14ac:dyDescent="0.3">
      <c r="A232" s="17"/>
      <c r="B232" s="17"/>
      <c r="C232" s="63"/>
      <c r="D232" s="63"/>
      <c r="E232" s="63"/>
      <c r="F232" s="63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4" x14ac:dyDescent="0.3">
      <c r="A233" s="17"/>
      <c r="B233" s="17"/>
      <c r="C233" s="63"/>
      <c r="D233" s="63"/>
      <c r="E233" s="63"/>
      <c r="F233" s="63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4" x14ac:dyDescent="0.3">
      <c r="A234" s="17"/>
      <c r="B234" s="17"/>
      <c r="C234" s="63"/>
      <c r="D234" s="63"/>
      <c r="E234" s="63"/>
      <c r="F234" s="63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4" x14ac:dyDescent="0.3">
      <c r="A235" s="17"/>
      <c r="B235" s="17"/>
      <c r="C235" s="63"/>
      <c r="D235" s="63"/>
      <c r="E235" s="63"/>
      <c r="F235" s="63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4" x14ac:dyDescent="0.3">
      <c r="A236" s="17"/>
      <c r="B236" s="17"/>
      <c r="C236" s="63"/>
      <c r="D236" s="63"/>
      <c r="E236" s="63"/>
      <c r="F236" s="63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4" x14ac:dyDescent="0.3">
      <c r="A237" s="17"/>
      <c r="B237" s="17"/>
      <c r="C237" s="63"/>
      <c r="D237" s="63"/>
      <c r="E237" s="63"/>
      <c r="F237" s="63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4" x14ac:dyDescent="0.3">
      <c r="A238" s="17"/>
      <c r="B238" s="17"/>
      <c r="C238" s="63"/>
      <c r="D238" s="63"/>
      <c r="E238" s="63"/>
      <c r="F238" s="63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4" x14ac:dyDescent="0.3">
      <c r="A239" s="17"/>
      <c r="B239" s="17"/>
      <c r="C239" s="63"/>
      <c r="D239" s="63"/>
      <c r="E239" s="63"/>
      <c r="F239" s="63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4" x14ac:dyDescent="0.3">
      <c r="A240" s="17"/>
      <c r="B240" s="17"/>
      <c r="C240" s="63"/>
      <c r="D240" s="63"/>
      <c r="E240" s="63"/>
      <c r="F240" s="63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4" x14ac:dyDescent="0.3">
      <c r="A241" s="17"/>
      <c r="B241" s="17"/>
      <c r="C241" s="63"/>
      <c r="D241" s="63"/>
      <c r="E241" s="63"/>
      <c r="F241" s="63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4" x14ac:dyDescent="0.3">
      <c r="A242" s="17"/>
      <c r="B242" s="17"/>
      <c r="C242" s="63"/>
      <c r="D242" s="63"/>
      <c r="E242" s="63"/>
      <c r="F242" s="63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4" x14ac:dyDescent="0.3">
      <c r="A243" s="17"/>
      <c r="B243" s="17"/>
      <c r="C243" s="63"/>
      <c r="D243" s="63"/>
      <c r="E243" s="63"/>
      <c r="F243" s="63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4" x14ac:dyDescent="0.3">
      <c r="A244" s="17"/>
      <c r="B244" s="17"/>
      <c r="C244" s="63"/>
      <c r="D244" s="63"/>
      <c r="E244" s="63"/>
      <c r="F244" s="63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4" x14ac:dyDescent="0.3">
      <c r="A245" s="17"/>
      <c r="B245" s="17"/>
      <c r="C245" s="63"/>
      <c r="D245" s="63"/>
      <c r="E245" s="63"/>
      <c r="F245" s="63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4" x14ac:dyDescent="0.3">
      <c r="A246" s="17"/>
      <c r="B246" s="17"/>
      <c r="C246" s="63"/>
      <c r="D246" s="63"/>
      <c r="E246" s="63"/>
      <c r="F246" s="63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4" x14ac:dyDescent="0.3">
      <c r="A247" s="17"/>
      <c r="B247" s="17"/>
      <c r="C247" s="63"/>
      <c r="D247" s="63"/>
      <c r="E247" s="63"/>
      <c r="F247" s="63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4" x14ac:dyDescent="0.3">
      <c r="A248" s="17"/>
      <c r="B248" s="17"/>
      <c r="C248" s="63"/>
      <c r="D248" s="63"/>
      <c r="E248" s="63"/>
      <c r="F248" s="63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4" x14ac:dyDescent="0.3">
      <c r="A249" s="17"/>
      <c r="B249" s="17"/>
      <c r="C249" s="63"/>
      <c r="D249" s="63"/>
      <c r="E249" s="63"/>
      <c r="F249" s="63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4" x14ac:dyDescent="0.3">
      <c r="A250" s="17"/>
      <c r="B250" s="17"/>
      <c r="C250" s="63"/>
      <c r="D250" s="63"/>
      <c r="E250" s="63"/>
      <c r="F250" s="63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4" x14ac:dyDescent="0.3">
      <c r="A251" s="17"/>
      <c r="B251" s="17"/>
      <c r="C251" s="63"/>
      <c r="D251" s="63"/>
      <c r="E251" s="63"/>
      <c r="F251" s="63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4" x14ac:dyDescent="0.3">
      <c r="A252" s="17"/>
      <c r="B252" s="17"/>
      <c r="C252" s="63"/>
      <c r="D252" s="63"/>
      <c r="E252" s="63"/>
      <c r="F252" s="63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4" x14ac:dyDescent="0.3">
      <c r="A253" s="17"/>
      <c r="B253" s="17"/>
      <c r="C253" s="63"/>
      <c r="D253" s="63"/>
      <c r="E253" s="63"/>
      <c r="F253" s="63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4" x14ac:dyDescent="0.3">
      <c r="A254" s="17"/>
      <c r="B254" s="17"/>
      <c r="C254" s="63"/>
      <c r="D254" s="63"/>
      <c r="E254" s="63"/>
      <c r="F254" s="63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4" x14ac:dyDescent="0.3">
      <c r="A255" s="17"/>
      <c r="B255" s="17"/>
      <c r="C255" s="63"/>
      <c r="D255" s="63"/>
      <c r="E255" s="63"/>
      <c r="F255" s="63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4" x14ac:dyDescent="0.3">
      <c r="A256" s="17"/>
      <c r="B256" s="17"/>
      <c r="C256" s="63"/>
      <c r="D256" s="63"/>
      <c r="E256" s="63"/>
      <c r="F256" s="63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4" x14ac:dyDescent="0.3">
      <c r="A257" s="17"/>
      <c r="B257" s="17"/>
      <c r="C257" s="63"/>
      <c r="D257" s="63"/>
      <c r="E257" s="63"/>
      <c r="F257" s="63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4" x14ac:dyDescent="0.3">
      <c r="A258" s="17"/>
      <c r="B258" s="17"/>
      <c r="C258" s="63"/>
      <c r="D258" s="63"/>
      <c r="E258" s="63"/>
      <c r="F258" s="63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4" x14ac:dyDescent="0.3">
      <c r="A259" s="17"/>
      <c r="B259" s="17"/>
      <c r="C259" s="63"/>
      <c r="D259" s="63"/>
      <c r="E259" s="63"/>
      <c r="F259" s="63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4" x14ac:dyDescent="0.3">
      <c r="A260" s="17"/>
      <c r="B260" s="17"/>
      <c r="C260" s="63"/>
      <c r="D260" s="63"/>
      <c r="E260" s="63"/>
      <c r="F260" s="63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4" x14ac:dyDescent="0.3">
      <c r="A261" s="17"/>
      <c r="B261" s="17"/>
      <c r="C261" s="63"/>
      <c r="D261" s="63"/>
      <c r="E261" s="63"/>
      <c r="F261" s="63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4" x14ac:dyDescent="0.3">
      <c r="A262" s="17"/>
      <c r="B262" s="17"/>
      <c r="C262" s="63"/>
      <c r="D262" s="63"/>
      <c r="E262" s="63"/>
      <c r="F262" s="63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4" x14ac:dyDescent="0.3">
      <c r="A263" s="17"/>
      <c r="B263" s="17"/>
      <c r="C263" s="63"/>
      <c r="D263" s="63"/>
      <c r="E263" s="63"/>
      <c r="F263" s="63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4" x14ac:dyDescent="0.3">
      <c r="A264" s="17"/>
      <c r="B264" s="17"/>
      <c r="C264" s="63"/>
      <c r="D264" s="63"/>
      <c r="E264" s="63"/>
      <c r="F264" s="63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4" x14ac:dyDescent="0.3">
      <c r="A265" s="17"/>
      <c r="B265" s="17"/>
      <c r="C265" s="63"/>
      <c r="D265" s="63"/>
      <c r="E265" s="63"/>
      <c r="F265" s="63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4" x14ac:dyDescent="0.3">
      <c r="A266" s="17"/>
      <c r="B266" s="17"/>
      <c r="C266" s="63"/>
      <c r="D266" s="63"/>
      <c r="E266" s="63"/>
      <c r="F266" s="63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4" x14ac:dyDescent="0.3">
      <c r="A267" s="17"/>
      <c r="B267" s="17"/>
      <c r="C267" s="63"/>
      <c r="D267" s="63"/>
      <c r="E267" s="63"/>
      <c r="F267" s="63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4" x14ac:dyDescent="0.3">
      <c r="A268" s="17"/>
      <c r="B268" s="17"/>
      <c r="C268" s="63"/>
      <c r="D268" s="63"/>
      <c r="E268" s="63"/>
      <c r="F268" s="63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4" x14ac:dyDescent="0.3">
      <c r="A269" s="17"/>
      <c r="B269" s="17"/>
      <c r="C269" s="63"/>
      <c r="D269" s="63"/>
      <c r="E269" s="63"/>
      <c r="F269" s="63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4" x14ac:dyDescent="0.3">
      <c r="A270" s="17"/>
      <c r="B270" s="17"/>
      <c r="C270" s="63"/>
      <c r="D270" s="63"/>
      <c r="E270" s="63"/>
      <c r="F270" s="63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4" x14ac:dyDescent="0.3">
      <c r="A271" s="17"/>
      <c r="B271" s="17"/>
      <c r="C271" s="63"/>
      <c r="D271" s="63"/>
      <c r="E271" s="63"/>
      <c r="F271" s="63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4" x14ac:dyDescent="0.3">
      <c r="A272" s="17"/>
      <c r="B272" s="17"/>
      <c r="C272" s="63"/>
      <c r="D272" s="63"/>
      <c r="E272" s="63"/>
      <c r="F272" s="63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4" x14ac:dyDescent="0.3">
      <c r="A273" s="17"/>
      <c r="B273" s="17"/>
      <c r="C273" s="63"/>
      <c r="D273" s="63"/>
      <c r="E273" s="63"/>
      <c r="F273" s="63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4" x14ac:dyDescent="0.3">
      <c r="A274" s="17"/>
      <c r="B274" s="17"/>
      <c r="C274" s="63"/>
      <c r="D274" s="63"/>
      <c r="E274" s="63"/>
      <c r="F274" s="63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4" x14ac:dyDescent="0.3">
      <c r="A275" s="17"/>
      <c r="B275" s="17"/>
      <c r="C275" s="63"/>
      <c r="D275" s="63"/>
      <c r="E275" s="63"/>
      <c r="F275" s="63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4" x14ac:dyDescent="0.3">
      <c r="A276" s="17"/>
      <c r="B276" s="17"/>
      <c r="C276" s="63"/>
      <c r="D276" s="63"/>
      <c r="E276" s="63"/>
      <c r="F276" s="63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4" x14ac:dyDescent="0.3">
      <c r="A277" s="17"/>
      <c r="B277" s="17"/>
      <c r="C277" s="63"/>
      <c r="D277" s="63"/>
      <c r="E277" s="63"/>
      <c r="F277" s="63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4" x14ac:dyDescent="0.3">
      <c r="A278" s="17"/>
      <c r="B278" s="17"/>
      <c r="C278" s="63"/>
      <c r="D278" s="63"/>
      <c r="E278" s="63"/>
      <c r="F278" s="63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4" x14ac:dyDescent="0.3">
      <c r="A279" s="17"/>
      <c r="B279" s="17"/>
      <c r="C279" s="63"/>
      <c r="D279" s="63"/>
      <c r="E279" s="63"/>
      <c r="F279" s="63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4" x14ac:dyDescent="0.3">
      <c r="A280" s="17"/>
      <c r="B280" s="17"/>
      <c r="C280" s="63"/>
      <c r="D280" s="63"/>
      <c r="E280" s="63"/>
      <c r="F280" s="63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4" x14ac:dyDescent="0.3">
      <c r="A281" s="17"/>
      <c r="B281" s="17"/>
      <c r="C281" s="63"/>
      <c r="D281" s="63"/>
      <c r="E281" s="63"/>
      <c r="F281" s="63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4" x14ac:dyDescent="0.3">
      <c r="A282" s="17"/>
      <c r="B282" s="17"/>
      <c r="C282" s="63"/>
      <c r="D282" s="63"/>
      <c r="E282" s="63"/>
      <c r="F282" s="63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4" x14ac:dyDescent="0.3">
      <c r="A283" s="17"/>
      <c r="B283" s="17"/>
      <c r="C283" s="63"/>
      <c r="D283" s="63"/>
      <c r="E283" s="63"/>
      <c r="F283" s="63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4" x14ac:dyDescent="0.3">
      <c r="A284" s="17"/>
      <c r="B284" s="17"/>
      <c r="C284" s="63"/>
      <c r="D284" s="63"/>
      <c r="E284" s="63"/>
      <c r="F284" s="63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4" x14ac:dyDescent="0.3">
      <c r="A285" s="17"/>
      <c r="B285" s="17"/>
      <c r="C285" s="63"/>
      <c r="D285" s="63"/>
      <c r="E285" s="63"/>
      <c r="F285" s="63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4" x14ac:dyDescent="0.3">
      <c r="A286" s="17"/>
      <c r="B286" s="17"/>
      <c r="C286" s="63"/>
      <c r="D286" s="63"/>
      <c r="E286" s="63"/>
      <c r="F286" s="63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4" x14ac:dyDescent="0.3">
      <c r="A287" s="17"/>
      <c r="B287" s="17"/>
      <c r="C287" s="63"/>
      <c r="D287" s="63"/>
      <c r="E287" s="63"/>
      <c r="F287" s="63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4" x14ac:dyDescent="0.3">
      <c r="A288" s="17"/>
      <c r="B288" s="17"/>
      <c r="C288" s="63"/>
      <c r="D288" s="63"/>
      <c r="E288" s="63"/>
      <c r="F288" s="63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4" x14ac:dyDescent="0.3">
      <c r="A289" s="17"/>
      <c r="B289" s="17"/>
      <c r="C289" s="63"/>
      <c r="D289" s="63"/>
      <c r="E289" s="63"/>
      <c r="F289" s="63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4" x14ac:dyDescent="0.3">
      <c r="A290" s="17"/>
      <c r="B290" s="17"/>
      <c r="C290" s="63"/>
      <c r="D290" s="63"/>
      <c r="E290" s="63"/>
      <c r="F290" s="63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4" x14ac:dyDescent="0.3">
      <c r="A291" s="17"/>
      <c r="B291" s="17"/>
      <c r="C291" s="63"/>
      <c r="D291" s="63"/>
      <c r="E291" s="63"/>
      <c r="F291" s="63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4" x14ac:dyDescent="0.3">
      <c r="A292" s="17"/>
      <c r="B292" s="17"/>
      <c r="C292" s="63"/>
      <c r="D292" s="63"/>
      <c r="E292" s="63"/>
      <c r="F292" s="63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4" x14ac:dyDescent="0.3">
      <c r="A293" s="17"/>
      <c r="B293" s="17"/>
      <c r="C293" s="63"/>
      <c r="D293" s="63"/>
      <c r="E293" s="63"/>
      <c r="F293" s="63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4" x14ac:dyDescent="0.3">
      <c r="A294" s="17"/>
      <c r="B294" s="17"/>
      <c r="C294" s="63"/>
      <c r="D294" s="63"/>
      <c r="E294" s="63"/>
      <c r="F294" s="63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4" x14ac:dyDescent="0.3">
      <c r="A295" s="17"/>
      <c r="B295" s="17"/>
      <c r="C295" s="63"/>
      <c r="D295" s="63"/>
      <c r="E295" s="63"/>
      <c r="F295" s="63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4" x14ac:dyDescent="0.3">
      <c r="A296" s="17"/>
      <c r="B296" s="17"/>
      <c r="C296" s="63"/>
      <c r="D296" s="63"/>
      <c r="E296" s="63"/>
      <c r="F296" s="63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4" x14ac:dyDescent="0.3">
      <c r="A297" s="17"/>
      <c r="B297" s="17"/>
      <c r="C297" s="63"/>
      <c r="D297" s="63"/>
      <c r="E297" s="63"/>
      <c r="F297" s="63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4" x14ac:dyDescent="0.3">
      <c r="A298" s="17"/>
      <c r="B298" s="17"/>
      <c r="C298" s="63"/>
      <c r="D298" s="63"/>
      <c r="E298" s="63"/>
      <c r="F298" s="63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4" x14ac:dyDescent="0.3">
      <c r="A299" s="17"/>
      <c r="B299" s="17"/>
      <c r="C299" s="63"/>
      <c r="D299" s="63"/>
      <c r="E299" s="63"/>
      <c r="F299" s="63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4" x14ac:dyDescent="0.3">
      <c r="A300" s="17"/>
      <c r="B300" s="17"/>
      <c r="C300" s="63"/>
      <c r="D300" s="63"/>
      <c r="E300" s="63"/>
      <c r="F300" s="63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4" x14ac:dyDescent="0.3">
      <c r="A301" s="17"/>
      <c r="B301" s="17"/>
      <c r="C301" s="63"/>
      <c r="D301" s="63"/>
      <c r="E301" s="63"/>
      <c r="F301" s="63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4" x14ac:dyDescent="0.3">
      <c r="A302" s="17"/>
      <c r="B302" s="17"/>
      <c r="C302" s="63"/>
      <c r="D302" s="63"/>
      <c r="E302" s="63"/>
      <c r="F302" s="63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4" x14ac:dyDescent="0.3">
      <c r="A303" s="17"/>
      <c r="B303" s="17"/>
      <c r="C303" s="63"/>
      <c r="D303" s="63"/>
      <c r="E303" s="63"/>
      <c r="F303" s="63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4" x14ac:dyDescent="0.3">
      <c r="A304" s="17"/>
      <c r="B304" s="17"/>
      <c r="C304" s="63"/>
      <c r="D304" s="63"/>
      <c r="E304" s="63"/>
      <c r="F304" s="63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4" x14ac:dyDescent="0.3">
      <c r="A305" s="17"/>
      <c r="B305" s="17"/>
      <c r="C305" s="63"/>
      <c r="D305" s="63"/>
      <c r="E305" s="63"/>
      <c r="F305" s="63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4" x14ac:dyDescent="0.3">
      <c r="A306" s="17"/>
      <c r="B306" s="17"/>
      <c r="C306" s="63"/>
      <c r="D306" s="63"/>
      <c r="E306" s="63"/>
      <c r="F306" s="63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4" x14ac:dyDescent="0.3">
      <c r="A307" s="17"/>
      <c r="B307" s="17"/>
      <c r="C307" s="63"/>
      <c r="D307" s="63"/>
      <c r="E307" s="63"/>
      <c r="F307" s="63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4" x14ac:dyDescent="0.3">
      <c r="A308" s="17"/>
      <c r="B308" s="17"/>
      <c r="C308" s="63"/>
      <c r="D308" s="63"/>
      <c r="E308" s="63"/>
      <c r="F308" s="63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4" x14ac:dyDescent="0.3">
      <c r="A309" s="17"/>
      <c r="B309" s="17"/>
      <c r="C309" s="63"/>
      <c r="D309" s="63"/>
      <c r="E309" s="63"/>
      <c r="F309" s="63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4" x14ac:dyDescent="0.3">
      <c r="A310" s="17"/>
      <c r="B310" s="17"/>
      <c r="C310" s="63"/>
      <c r="D310" s="63"/>
      <c r="E310" s="63"/>
      <c r="F310" s="63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4" x14ac:dyDescent="0.3">
      <c r="A311" s="17"/>
      <c r="B311" s="17"/>
      <c r="C311" s="63"/>
      <c r="D311" s="63"/>
      <c r="E311" s="63"/>
      <c r="F311" s="63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4" x14ac:dyDescent="0.3">
      <c r="A312" s="17"/>
      <c r="B312" s="17"/>
      <c r="C312" s="63"/>
      <c r="D312" s="63"/>
      <c r="E312" s="63"/>
      <c r="F312" s="63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4" x14ac:dyDescent="0.3">
      <c r="A313" s="17"/>
      <c r="B313" s="17"/>
      <c r="C313" s="63"/>
      <c r="D313" s="63"/>
      <c r="E313" s="63"/>
      <c r="F313" s="63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4" x14ac:dyDescent="0.3">
      <c r="A314" s="17"/>
      <c r="B314" s="17"/>
      <c r="C314" s="63"/>
      <c r="D314" s="63"/>
      <c r="E314" s="63"/>
      <c r="F314" s="63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4" x14ac:dyDescent="0.3">
      <c r="A315" s="17"/>
      <c r="B315" s="17"/>
      <c r="C315" s="63"/>
      <c r="D315" s="63"/>
      <c r="E315" s="63"/>
      <c r="F315" s="63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4" x14ac:dyDescent="0.3">
      <c r="A316" s="17"/>
      <c r="B316" s="17"/>
      <c r="C316" s="63"/>
      <c r="D316" s="63"/>
      <c r="E316" s="63"/>
      <c r="F316" s="63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4" x14ac:dyDescent="0.3">
      <c r="A317" s="17"/>
      <c r="B317" s="17"/>
      <c r="C317" s="63"/>
      <c r="D317" s="63"/>
      <c r="E317" s="63"/>
      <c r="F317" s="63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4" x14ac:dyDescent="0.3">
      <c r="A318" s="17"/>
      <c r="B318" s="17"/>
      <c r="C318" s="63"/>
      <c r="D318" s="63"/>
      <c r="E318" s="63"/>
      <c r="F318" s="63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4" x14ac:dyDescent="0.3">
      <c r="A319" s="17"/>
      <c r="B319" s="17"/>
      <c r="C319" s="63"/>
      <c r="D319" s="63"/>
      <c r="E319" s="63"/>
      <c r="F319" s="63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4" x14ac:dyDescent="0.3">
      <c r="A320" s="17"/>
      <c r="B320" s="17"/>
      <c r="C320" s="63"/>
      <c r="D320" s="63"/>
      <c r="E320" s="63"/>
      <c r="F320" s="63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4" x14ac:dyDescent="0.3">
      <c r="A321" s="17"/>
      <c r="B321" s="17"/>
      <c r="C321" s="63"/>
      <c r="D321" s="63"/>
      <c r="E321" s="63"/>
      <c r="F321" s="63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4" x14ac:dyDescent="0.3">
      <c r="A322" s="17"/>
      <c r="B322" s="17"/>
      <c r="C322" s="63"/>
      <c r="D322" s="63"/>
      <c r="E322" s="63"/>
      <c r="F322" s="63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4" x14ac:dyDescent="0.3">
      <c r="A323" s="17"/>
      <c r="B323" s="17"/>
      <c r="C323" s="63"/>
      <c r="D323" s="63"/>
      <c r="E323" s="63"/>
      <c r="F323" s="63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4" x14ac:dyDescent="0.3">
      <c r="A324" s="17"/>
      <c r="B324" s="17"/>
      <c r="C324" s="63"/>
      <c r="D324" s="63"/>
      <c r="E324" s="63"/>
      <c r="F324" s="63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4" x14ac:dyDescent="0.3">
      <c r="A325" s="17"/>
      <c r="B325" s="17"/>
      <c r="C325" s="63"/>
      <c r="D325" s="63"/>
      <c r="E325" s="63"/>
      <c r="F325" s="63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4" x14ac:dyDescent="0.3">
      <c r="A326" s="17"/>
      <c r="B326" s="17"/>
      <c r="C326" s="63"/>
      <c r="D326" s="63"/>
      <c r="E326" s="63"/>
      <c r="F326" s="63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4" x14ac:dyDescent="0.3">
      <c r="A327" s="17"/>
      <c r="B327" s="17"/>
      <c r="C327" s="63"/>
      <c r="D327" s="63"/>
      <c r="E327" s="63"/>
      <c r="F327" s="63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4" x14ac:dyDescent="0.3">
      <c r="A328" s="17"/>
      <c r="B328" s="17"/>
      <c r="C328" s="63"/>
      <c r="D328" s="63"/>
      <c r="E328" s="63"/>
      <c r="F328" s="63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4" x14ac:dyDescent="0.3">
      <c r="A329" s="17"/>
      <c r="B329" s="17"/>
      <c r="C329" s="63"/>
      <c r="D329" s="63"/>
      <c r="E329" s="63"/>
      <c r="F329" s="63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4" x14ac:dyDescent="0.3">
      <c r="A330" s="17"/>
      <c r="B330" s="17"/>
      <c r="C330" s="63"/>
      <c r="D330" s="63"/>
      <c r="E330" s="63"/>
      <c r="F330" s="63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4" x14ac:dyDescent="0.3">
      <c r="A331" s="17"/>
      <c r="B331" s="17"/>
      <c r="C331" s="63"/>
      <c r="D331" s="63"/>
      <c r="E331" s="63"/>
      <c r="F331" s="63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4" x14ac:dyDescent="0.3">
      <c r="A332" s="17"/>
      <c r="B332" s="17"/>
      <c r="C332" s="63"/>
      <c r="D332" s="63"/>
      <c r="E332" s="63"/>
      <c r="F332" s="63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4" x14ac:dyDescent="0.3">
      <c r="A333" s="17"/>
      <c r="B333" s="17"/>
      <c r="C333" s="63"/>
      <c r="D333" s="63"/>
      <c r="E333" s="63"/>
      <c r="F333" s="63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4" x14ac:dyDescent="0.3">
      <c r="A334" s="17"/>
      <c r="B334" s="17"/>
      <c r="C334" s="63"/>
      <c r="D334" s="63"/>
      <c r="E334" s="63"/>
      <c r="F334" s="63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4" x14ac:dyDescent="0.3">
      <c r="A335" s="17"/>
      <c r="B335" s="17"/>
      <c r="C335" s="63"/>
      <c r="D335" s="63"/>
      <c r="E335" s="63"/>
      <c r="F335" s="63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4" x14ac:dyDescent="0.3">
      <c r="A336" s="17"/>
      <c r="B336" s="17"/>
      <c r="C336" s="63"/>
      <c r="D336" s="63"/>
      <c r="E336" s="63"/>
      <c r="F336" s="63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4" x14ac:dyDescent="0.3">
      <c r="A337" s="17"/>
      <c r="B337" s="17"/>
      <c r="C337" s="63"/>
      <c r="D337" s="63"/>
      <c r="E337" s="63"/>
      <c r="F337" s="63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4" x14ac:dyDescent="0.3">
      <c r="A338" s="17"/>
      <c r="B338" s="17"/>
      <c r="C338" s="63"/>
      <c r="D338" s="63"/>
      <c r="E338" s="63"/>
      <c r="F338" s="63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4" x14ac:dyDescent="0.3">
      <c r="A339" s="17"/>
      <c r="B339" s="17"/>
      <c r="C339" s="63"/>
      <c r="D339" s="63"/>
      <c r="E339" s="63"/>
      <c r="F339" s="63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4" x14ac:dyDescent="0.3">
      <c r="A340" s="17"/>
      <c r="B340" s="17"/>
      <c r="C340" s="63"/>
      <c r="D340" s="63"/>
      <c r="E340" s="63"/>
      <c r="F340" s="63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4" x14ac:dyDescent="0.3">
      <c r="A341" s="17"/>
      <c r="B341" s="17"/>
      <c r="C341" s="63"/>
      <c r="D341" s="63"/>
      <c r="E341" s="63"/>
      <c r="F341" s="63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4" x14ac:dyDescent="0.3">
      <c r="A342" s="17"/>
      <c r="B342" s="17"/>
      <c r="C342" s="63"/>
      <c r="D342" s="63"/>
      <c r="E342" s="63"/>
      <c r="F342" s="63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4" x14ac:dyDescent="0.3">
      <c r="A343" s="17"/>
      <c r="B343" s="17"/>
      <c r="C343" s="63"/>
      <c r="D343" s="63"/>
      <c r="E343" s="63"/>
      <c r="F343" s="63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4" x14ac:dyDescent="0.3">
      <c r="A344" s="17"/>
      <c r="B344" s="17"/>
      <c r="C344" s="63"/>
      <c r="D344" s="63"/>
      <c r="E344" s="63"/>
      <c r="F344" s="63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4" x14ac:dyDescent="0.3">
      <c r="A345" s="17"/>
      <c r="B345" s="17"/>
      <c r="C345" s="63"/>
      <c r="D345" s="63"/>
      <c r="E345" s="63"/>
      <c r="F345" s="63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4" x14ac:dyDescent="0.3">
      <c r="A346" s="17"/>
      <c r="B346" s="17"/>
      <c r="C346" s="63"/>
      <c r="D346" s="63"/>
      <c r="E346" s="63"/>
      <c r="F346" s="63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4" x14ac:dyDescent="0.3">
      <c r="A347" s="17"/>
      <c r="B347" s="17"/>
      <c r="C347" s="63"/>
      <c r="D347" s="63"/>
      <c r="E347" s="63"/>
      <c r="F347" s="63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4" x14ac:dyDescent="0.3">
      <c r="A348" s="17"/>
      <c r="B348" s="17"/>
      <c r="C348" s="63"/>
      <c r="D348" s="63"/>
      <c r="E348" s="63"/>
      <c r="F348" s="63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4" x14ac:dyDescent="0.3">
      <c r="A349" s="17"/>
      <c r="B349" s="17"/>
      <c r="C349" s="63"/>
      <c r="D349" s="63"/>
      <c r="E349" s="63"/>
      <c r="F349" s="63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4" x14ac:dyDescent="0.3">
      <c r="A350" s="17"/>
      <c r="B350" s="17"/>
      <c r="C350" s="63"/>
      <c r="D350" s="63"/>
      <c r="E350" s="63"/>
      <c r="F350" s="63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4" x14ac:dyDescent="0.3">
      <c r="A351" s="17"/>
      <c r="B351" s="17"/>
      <c r="C351" s="63"/>
      <c r="D351" s="63"/>
      <c r="E351" s="63"/>
      <c r="F351" s="63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4" x14ac:dyDescent="0.3">
      <c r="A352" s="17"/>
      <c r="B352" s="17"/>
      <c r="C352" s="63"/>
      <c r="D352" s="63"/>
      <c r="E352" s="63"/>
      <c r="F352" s="63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4" x14ac:dyDescent="0.3">
      <c r="A353" s="17"/>
      <c r="B353" s="17"/>
      <c r="C353" s="63"/>
      <c r="D353" s="63"/>
      <c r="E353" s="63"/>
      <c r="F353" s="63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4" x14ac:dyDescent="0.3">
      <c r="A354" s="17"/>
      <c r="B354" s="17"/>
      <c r="C354" s="63"/>
      <c r="D354" s="63"/>
      <c r="E354" s="63"/>
      <c r="F354" s="63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4" x14ac:dyDescent="0.3">
      <c r="A355" s="17"/>
      <c r="B355" s="17"/>
      <c r="C355" s="63"/>
      <c r="D355" s="63"/>
      <c r="E355" s="63"/>
      <c r="F355" s="63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4" x14ac:dyDescent="0.3">
      <c r="A356" s="17"/>
      <c r="B356" s="17"/>
      <c r="C356" s="63"/>
      <c r="D356" s="63"/>
      <c r="E356" s="63"/>
      <c r="F356" s="63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4" x14ac:dyDescent="0.3">
      <c r="A357" s="17"/>
      <c r="B357" s="17"/>
      <c r="C357" s="63"/>
      <c r="D357" s="63"/>
      <c r="E357" s="63"/>
      <c r="F357" s="63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4" x14ac:dyDescent="0.3">
      <c r="A358" s="17"/>
      <c r="B358" s="17"/>
      <c r="C358" s="63"/>
      <c r="D358" s="63"/>
      <c r="E358" s="63"/>
      <c r="F358" s="63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4" x14ac:dyDescent="0.3">
      <c r="A359" s="17"/>
      <c r="B359" s="17"/>
      <c r="C359" s="63"/>
      <c r="D359" s="63"/>
      <c r="E359" s="63"/>
      <c r="F359" s="63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4" x14ac:dyDescent="0.3">
      <c r="A360" s="17"/>
      <c r="B360" s="17"/>
      <c r="C360" s="63"/>
      <c r="D360" s="63"/>
      <c r="E360" s="63"/>
      <c r="F360" s="63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4" x14ac:dyDescent="0.3">
      <c r="A361" s="17"/>
      <c r="B361" s="17"/>
      <c r="C361" s="63"/>
      <c r="D361" s="63"/>
      <c r="E361" s="63"/>
      <c r="F361" s="63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4" x14ac:dyDescent="0.3">
      <c r="A362" s="17"/>
      <c r="B362" s="17"/>
      <c r="C362" s="63"/>
      <c r="D362" s="63"/>
      <c r="E362" s="63"/>
      <c r="F362" s="63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4" x14ac:dyDescent="0.3">
      <c r="A363" s="17"/>
      <c r="B363" s="17"/>
      <c r="C363" s="63"/>
      <c r="D363" s="63"/>
      <c r="E363" s="63"/>
      <c r="F363" s="63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4" x14ac:dyDescent="0.3">
      <c r="A364" s="17"/>
      <c r="B364" s="17"/>
      <c r="C364" s="63"/>
      <c r="D364" s="63"/>
      <c r="E364" s="63"/>
      <c r="F364" s="63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4" x14ac:dyDescent="0.3">
      <c r="A365" s="17"/>
      <c r="B365" s="17"/>
      <c r="C365" s="63"/>
      <c r="D365" s="63"/>
      <c r="E365" s="63"/>
      <c r="F365" s="63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4" x14ac:dyDescent="0.3">
      <c r="A366" s="17"/>
      <c r="B366" s="17"/>
      <c r="C366" s="63"/>
      <c r="D366" s="63"/>
      <c r="E366" s="63"/>
      <c r="F366" s="63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4" x14ac:dyDescent="0.3">
      <c r="A367" s="17"/>
      <c r="B367" s="17"/>
      <c r="C367" s="63"/>
      <c r="D367" s="63"/>
      <c r="E367" s="63"/>
      <c r="F367" s="63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4" x14ac:dyDescent="0.3">
      <c r="A368" s="17"/>
      <c r="B368" s="17"/>
      <c r="C368" s="63"/>
      <c r="D368" s="63"/>
      <c r="E368" s="63"/>
      <c r="F368" s="63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4" x14ac:dyDescent="0.3">
      <c r="A369" s="17"/>
      <c r="B369" s="17"/>
      <c r="C369" s="63"/>
      <c r="D369" s="63"/>
      <c r="E369" s="63"/>
      <c r="F369" s="63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4" x14ac:dyDescent="0.3">
      <c r="A370" s="17"/>
      <c r="B370" s="17"/>
      <c r="C370" s="63"/>
      <c r="D370" s="63"/>
      <c r="E370" s="63"/>
      <c r="F370" s="63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4" x14ac:dyDescent="0.3">
      <c r="A371" s="17"/>
      <c r="B371" s="17"/>
      <c r="C371" s="63"/>
      <c r="D371" s="63"/>
      <c r="E371" s="63"/>
      <c r="F371" s="63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4" x14ac:dyDescent="0.3">
      <c r="A372" s="17"/>
      <c r="B372" s="17"/>
      <c r="C372" s="63"/>
      <c r="D372" s="63"/>
      <c r="E372" s="63"/>
      <c r="F372" s="63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4" x14ac:dyDescent="0.3">
      <c r="A373" s="17"/>
      <c r="B373" s="17"/>
      <c r="C373" s="63"/>
      <c r="D373" s="63"/>
      <c r="E373" s="63"/>
      <c r="F373" s="63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4" x14ac:dyDescent="0.3">
      <c r="A374" s="17"/>
      <c r="B374" s="17"/>
      <c r="C374" s="63"/>
      <c r="D374" s="63"/>
      <c r="E374" s="63"/>
      <c r="F374" s="63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4" x14ac:dyDescent="0.3">
      <c r="A375" s="17"/>
      <c r="B375" s="17"/>
      <c r="C375" s="63"/>
      <c r="D375" s="63"/>
      <c r="E375" s="63"/>
      <c r="F375" s="63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4" x14ac:dyDescent="0.3">
      <c r="A376" s="17"/>
      <c r="B376" s="17"/>
      <c r="C376" s="63"/>
      <c r="D376" s="63"/>
      <c r="E376" s="63"/>
      <c r="F376" s="63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4" x14ac:dyDescent="0.3">
      <c r="A377" s="17"/>
      <c r="B377" s="17"/>
      <c r="C377" s="63"/>
      <c r="D377" s="63"/>
      <c r="E377" s="63"/>
      <c r="F377" s="63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4" x14ac:dyDescent="0.3">
      <c r="A378" s="17"/>
      <c r="B378" s="17"/>
      <c r="C378" s="63"/>
      <c r="D378" s="63"/>
      <c r="E378" s="63"/>
      <c r="F378" s="63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4" x14ac:dyDescent="0.3">
      <c r="A379" s="17"/>
      <c r="B379" s="17"/>
      <c r="C379" s="63"/>
      <c r="D379" s="63"/>
      <c r="E379" s="63"/>
      <c r="F379" s="63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4" x14ac:dyDescent="0.3">
      <c r="A380" s="17"/>
      <c r="B380" s="17"/>
      <c r="C380" s="63"/>
      <c r="D380" s="63"/>
      <c r="E380" s="63"/>
      <c r="F380" s="63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4" x14ac:dyDescent="0.3">
      <c r="A381" s="17"/>
      <c r="B381" s="17"/>
      <c r="C381" s="63"/>
      <c r="D381" s="63"/>
      <c r="E381" s="63"/>
      <c r="F381" s="63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4" x14ac:dyDescent="0.3">
      <c r="A382" s="17"/>
      <c r="B382" s="17"/>
      <c r="C382" s="63"/>
      <c r="D382" s="63"/>
      <c r="E382" s="63"/>
      <c r="F382" s="63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4" x14ac:dyDescent="0.3">
      <c r="A383" s="17"/>
      <c r="B383" s="17"/>
      <c r="C383" s="63"/>
      <c r="D383" s="63"/>
      <c r="E383" s="63"/>
      <c r="F383" s="63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4" x14ac:dyDescent="0.3">
      <c r="A384" s="17"/>
      <c r="B384" s="17"/>
      <c r="C384" s="63"/>
      <c r="D384" s="63"/>
      <c r="E384" s="63"/>
      <c r="F384" s="63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4" x14ac:dyDescent="0.3">
      <c r="A385" s="17"/>
      <c r="B385" s="17"/>
      <c r="C385" s="63"/>
      <c r="D385" s="63"/>
      <c r="E385" s="63"/>
      <c r="F385" s="63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4" x14ac:dyDescent="0.3">
      <c r="A386" s="17"/>
      <c r="B386" s="17"/>
      <c r="C386" s="63"/>
      <c r="D386" s="63"/>
      <c r="E386" s="63"/>
      <c r="F386" s="63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4" x14ac:dyDescent="0.3">
      <c r="A387" s="17"/>
      <c r="B387" s="17"/>
      <c r="C387" s="63"/>
      <c r="D387" s="63"/>
      <c r="E387" s="63"/>
      <c r="F387" s="63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4" x14ac:dyDescent="0.3">
      <c r="A388" s="17"/>
      <c r="B388" s="17"/>
      <c r="C388" s="63"/>
      <c r="D388" s="63"/>
      <c r="E388" s="63"/>
      <c r="F388" s="63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4" x14ac:dyDescent="0.3">
      <c r="A389" s="17"/>
      <c r="B389" s="17"/>
      <c r="C389" s="63"/>
      <c r="D389" s="63"/>
      <c r="E389" s="63"/>
      <c r="F389" s="63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4" x14ac:dyDescent="0.3">
      <c r="A390" s="17"/>
      <c r="B390" s="17"/>
      <c r="C390" s="63"/>
      <c r="D390" s="63"/>
      <c r="E390" s="63"/>
      <c r="F390" s="63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4" x14ac:dyDescent="0.3">
      <c r="A391" s="17"/>
      <c r="B391" s="17"/>
      <c r="C391" s="63"/>
      <c r="D391" s="63"/>
      <c r="E391" s="63"/>
      <c r="F391" s="63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4" x14ac:dyDescent="0.3">
      <c r="A392" s="17"/>
      <c r="B392" s="17"/>
      <c r="C392" s="63"/>
      <c r="D392" s="63"/>
      <c r="E392" s="63"/>
      <c r="F392" s="63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4" x14ac:dyDescent="0.3">
      <c r="A393" s="17"/>
      <c r="B393" s="17"/>
      <c r="C393" s="63"/>
      <c r="D393" s="63"/>
      <c r="E393" s="63"/>
      <c r="F393" s="63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4" x14ac:dyDescent="0.3">
      <c r="A394" s="17"/>
      <c r="B394" s="17"/>
      <c r="C394" s="63"/>
      <c r="D394" s="63"/>
      <c r="E394" s="63"/>
      <c r="F394" s="63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4" x14ac:dyDescent="0.3">
      <c r="A395" s="17"/>
      <c r="B395" s="17"/>
      <c r="C395" s="63"/>
      <c r="D395" s="63"/>
      <c r="E395" s="63"/>
      <c r="F395" s="63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4" x14ac:dyDescent="0.3">
      <c r="A396" s="17"/>
      <c r="B396" s="17"/>
      <c r="C396" s="63"/>
      <c r="D396" s="63"/>
      <c r="E396" s="63"/>
      <c r="F396" s="63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4" x14ac:dyDescent="0.3">
      <c r="A397" s="17"/>
      <c r="B397" s="17"/>
      <c r="C397" s="63"/>
      <c r="D397" s="63"/>
      <c r="E397" s="63"/>
      <c r="F397" s="63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4" x14ac:dyDescent="0.3">
      <c r="A398" s="17"/>
      <c r="B398" s="17"/>
      <c r="C398" s="63"/>
      <c r="D398" s="63"/>
      <c r="E398" s="63"/>
      <c r="F398" s="63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4" x14ac:dyDescent="0.3">
      <c r="A399" s="17"/>
      <c r="B399" s="17"/>
      <c r="C399" s="63"/>
      <c r="D399" s="63"/>
      <c r="E399" s="63"/>
      <c r="F399" s="63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4" x14ac:dyDescent="0.3">
      <c r="A400" s="17"/>
      <c r="B400" s="17"/>
      <c r="C400" s="63"/>
      <c r="D400" s="63"/>
      <c r="E400" s="63"/>
      <c r="F400" s="63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4" x14ac:dyDescent="0.3">
      <c r="A401" s="17"/>
      <c r="B401" s="17"/>
      <c r="C401" s="63"/>
      <c r="D401" s="63"/>
      <c r="E401" s="63"/>
      <c r="F401" s="63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4" x14ac:dyDescent="0.3">
      <c r="A402" s="17"/>
      <c r="B402" s="17"/>
      <c r="C402" s="63"/>
      <c r="D402" s="63"/>
      <c r="E402" s="63"/>
      <c r="F402" s="63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4" x14ac:dyDescent="0.3">
      <c r="A403" s="17"/>
      <c r="B403" s="17"/>
      <c r="C403" s="63"/>
      <c r="D403" s="63"/>
      <c r="E403" s="63"/>
      <c r="F403" s="63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4" x14ac:dyDescent="0.3">
      <c r="A404" s="17"/>
      <c r="B404" s="17"/>
      <c r="C404" s="63"/>
      <c r="D404" s="63"/>
      <c r="E404" s="63"/>
      <c r="F404" s="63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4" x14ac:dyDescent="0.3">
      <c r="A405" s="17"/>
      <c r="B405" s="17"/>
      <c r="C405" s="63"/>
      <c r="D405" s="63"/>
      <c r="E405" s="63"/>
      <c r="F405" s="63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4" x14ac:dyDescent="0.3">
      <c r="A406" s="17"/>
      <c r="B406" s="17"/>
      <c r="C406" s="63"/>
      <c r="D406" s="63"/>
      <c r="E406" s="63"/>
      <c r="F406" s="63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4" x14ac:dyDescent="0.3">
      <c r="A407" s="17"/>
      <c r="B407" s="17"/>
      <c r="C407" s="63"/>
      <c r="D407" s="63"/>
      <c r="E407" s="63"/>
      <c r="F407" s="63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4" x14ac:dyDescent="0.3">
      <c r="A408" s="17"/>
      <c r="B408" s="17"/>
      <c r="C408" s="63"/>
      <c r="D408" s="63"/>
      <c r="E408" s="63"/>
      <c r="F408" s="63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4" x14ac:dyDescent="0.3">
      <c r="A409" s="17"/>
      <c r="B409" s="17"/>
      <c r="C409" s="63"/>
      <c r="D409" s="63"/>
      <c r="E409" s="63"/>
      <c r="F409" s="63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4" x14ac:dyDescent="0.3">
      <c r="A410" s="17"/>
      <c r="B410" s="17"/>
      <c r="C410" s="63"/>
      <c r="D410" s="63"/>
      <c r="E410" s="63"/>
      <c r="F410" s="63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4" x14ac:dyDescent="0.3">
      <c r="A411" s="17"/>
      <c r="B411" s="17"/>
      <c r="C411" s="63"/>
      <c r="D411" s="63"/>
      <c r="E411" s="63"/>
      <c r="F411" s="63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4" x14ac:dyDescent="0.3">
      <c r="A412" s="17"/>
      <c r="B412" s="17"/>
      <c r="C412" s="63"/>
      <c r="D412" s="63"/>
      <c r="E412" s="63"/>
      <c r="F412" s="63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4" x14ac:dyDescent="0.3">
      <c r="A413" s="17"/>
      <c r="B413" s="17"/>
      <c r="C413" s="63"/>
      <c r="D413" s="63"/>
      <c r="E413" s="63"/>
      <c r="F413" s="63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4" x14ac:dyDescent="0.3">
      <c r="A414" s="17"/>
      <c r="B414" s="17"/>
      <c r="C414" s="63"/>
      <c r="D414" s="63"/>
      <c r="E414" s="63"/>
      <c r="F414" s="63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4" x14ac:dyDescent="0.3">
      <c r="A415" s="17"/>
      <c r="B415" s="17"/>
      <c r="C415" s="63"/>
      <c r="D415" s="63"/>
      <c r="E415" s="63"/>
      <c r="F415" s="63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4" x14ac:dyDescent="0.3">
      <c r="A416" s="17"/>
      <c r="B416" s="17"/>
      <c r="C416" s="63"/>
      <c r="D416" s="63"/>
      <c r="E416" s="63"/>
      <c r="F416" s="63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4" x14ac:dyDescent="0.3">
      <c r="A417" s="17"/>
      <c r="B417" s="17"/>
      <c r="C417" s="63"/>
      <c r="D417" s="63"/>
      <c r="E417" s="63"/>
      <c r="F417" s="63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4" x14ac:dyDescent="0.3">
      <c r="A418" s="17"/>
      <c r="B418" s="17"/>
      <c r="C418" s="63"/>
      <c r="D418" s="63"/>
      <c r="E418" s="63"/>
      <c r="F418" s="63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4" x14ac:dyDescent="0.3">
      <c r="A419" s="17"/>
      <c r="B419" s="17"/>
      <c r="C419" s="63"/>
      <c r="D419" s="63"/>
      <c r="E419" s="63"/>
      <c r="F419" s="63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4" x14ac:dyDescent="0.3">
      <c r="A420" s="17"/>
      <c r="B420" s="17"/>
      <c r="C420" s="63"/>
      <c r="D420" s="63"/>
      <c r="E420" s="63"/>
      <c r="F420" s="63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4" x14ac:dyDescent="0.3">
      <c r="A421" s="17"/>
      <c r="B421" s="17"/>
      <c r="C421" s="63"/>
      <c r="D421" s="63"/>
      <c r="E421" s="63"/>
      <c r="F421" s="63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4" x14ac:dyDescent="0.3">
      <c r="A422" s="17"/>
      <c r="B422" s="17"/>
      <c r="C422" s="63"/>
      <c r="D422" s="63"/>
      <c r="E422" s="63"/>
      <c r="F422" s="63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4" x14ac:dyDescent="0.3">
      <c r="A423" s="17"/>
      <c r="B423" s="17"/>
      <c r="C423" s="63"/>
      <c r="D423" s="63"/>
      <c r="E423" s="63"/>
      <c r="F423" s="63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4" x14ac:dyDescent="0.3">
      <c r="A424" s="17"/>
      <c r="B424" s="17"/>
      <c r="C424" s="63"/>
      <c r="D424" s="63"/>
      <c r="E424" s="63"/>
      <c r="F424" s="63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4" x14ac:dyDescent="0.3">
      <c r="A425" s="17"/>
      <c r="B425" s="17"/>
      <c r="C425" s="63"/>
      <c r="D425" s="63"/>
      <c r="E425" s="63"/>
      <c r="F425" s="63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4" x14ac:dyDescent="0.3">
      <c r="A426" s="17"/>
      <c r="B426" s="17"/>
      <c r="C426" s="63"/>
      <c r="D426" s="63"/>
      <c r="E426" s="63"/>
      <c r="F426" s="63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4" x14ac:dyDescent="0.3">
      <c r="A427" s="17"/>
      <c r="B427" s="17"/>
      <c r="C427" s="63"/>
      <c r="D427" s="63"/>
      <c r="E427" s="63"/>
      <c r="F427" s="63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4" x14ac:dyDescent="0.3">
      <c r="A428" s="17"/>
      <c r="B428" s="17"/>
      <c r="C428" s="63"/>
      <c r="D428" s="63"/>
      <c r="E428" s="63"/>
      <c r="F428" s="63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4" x14ac:dyDescent="0.3">
      <c r="A429" s="17"/>
      <c r="B429" s="17"/>
      <c r="C429" s="63"/>
      <c r="D429" s="63"/>
      <c r="E429" s="63"/>
      <c r="F429" s="63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4" x14ac:dyDescent="0.3">
      <c r="A430" s="17"/>
      <c r="B430" s="17"/>
      <c r="C430" s="63"/>
      <c r="D430" s="63"/>
      <c r="E430" s="63"/>
      <c r="F430" s="63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4" x14ac:dyDescent="0.3">
      <c r="A431" s="17"/>
      <c r="B431" s="17"/>
      <c r="C431" s="63"/>
      <c r="D431" s="63"/>
      <c r="E431" s="63"/>
      <c r="F431" s="63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4" x14ac:dyDescent="0.3">
      <c r="A432" s="17"/>
      <c r="B432" s="17"/>
      <c r="C432" s="63"/>
      <c r="D432" s="63"/>
      <c r="E432" s="63"/>
      <c r="F432" s="63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4" x14ac:dyDescent="0.3">
      <c r="A433" s="17"/>
      <c r="B433" s="17"/>
      <c r="C433" s="63"/>
      <c r="D433" s="63"/>
      <c r="E433" s="63"/>
      <c r="F433" s="63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4" x14ac:dyDescent="0.3">
      <c r="A434" s="17"/>
      <c r="B434" s="17"/>
      <c r="C434" s="63"/>
      <c r="D434" s="63"/>
      <c r="E434" s="63"/>
      <c r="F434" s="63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4" x14ac:dyDescent="0.3">
      <c r="A435" s="17"/>
      <c r="B435" s="17"/>
      <c r="C435" s="63"/>
      <c r="D435" s="63"/>
      <c r="E435" s="63"/>
      <c r="F435" s="63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4" x14ac:dyDescent="0.3">
      <c r="A436" s="17"/>
      <c r="B436" s="17"/>
      <c r="C436" s="63"/>
      <c r="D436" s="63"/>
      <c r="E436" s="63"/>
      <c r="F436" s="63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4" x14ac:dyDescent="0.3">
      <c r="A437" s="17"/>
      <c r="B437" s="17"/>
      <c r="C437" s="63"/>
      <c r="D437" s="63"/>
      <c r="E437" s="63"/>
      <c r="F437" s="63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4" x14ac:dyDescent="0.3">
      <c r="A438" s="17"/>
      <c r="B438" s="17"/>
      <c r="C438" s="63"/>
      <c r="D438" s="63"/>
      <c r="E438" s="63"/>
      <c r="F438" s="63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4" x14ac:dyDescent="0.3">
      <c r="A439" s="17"/>
      <c r="B439" s="17"/>
      <c r="C439" s="63"/>
      <c r="D439" s="63"/>
      <c r="E439" s="63"/>
      <c r="F439" s="63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4" x14ac:dyDescent="0.3">
      <c r="A440" s="17"/>
      <c r="B440" s="17"/>
      <c r="C440" s="63"/>
      <c r="D440" s="63"/>
      <c r="E440" s="63"/>
      <c r="F440" s="63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4" x14ac:dyDescent="0.3">
      <c r="A441" s="17"/>
      <c r="B441" s="17"/>
      <c r="C441" s="63"/>
      <c r="D441" s="63"/>
      <c r="E441" s="63"/>
      <c r="F441" s="63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4" x14ac:dyDescent="0.3">
      <c r="A442" s="17"/>
      <c r="B442" s="17"/>
      <c r="C442" s="63"/>
      <c r="D442" s="63"/>
      <c r="E442" s="63"/>
      <c r="F442" s="63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4" x14ac:dyDescent="0.3">
      <c r="A443" s="17"/>
      <c r="B443" s="17"/>
      <c r="C443" s="63"/>
      <c r="D443" s="63"/>
      <c r="E443" s="63"/>
      <c r="F443" s="63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4" x14ac:dyDescent="0.3">
      <c r="A444" s="17"/>
      <c r="B444" s="17"/>
      <c r="C444" s="63"/>
      <c r="D444" s="63"/>
      <c r="E444" s="63"/>
      <c r="F444" s="63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4" x14ac:dyDescent="0.3">
      <c r="A445" s="17"/>
      <c r="B445" s="17"/>
      <c r="C445" s="63"/>
      <c r="D445" s="63"/>
      <c r="E445" s="63"/>
      <c r="F445" s="63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4" x14ac:dyDescent="0.3">
      <c r="A446" s="17"/>
      <c r="B446" s="17"/>
      <c r="C446" s="63"/>
      <c r="D446" s="63"/>
      <c r="E446" s="63"/>
      <c r="F446" s="63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4" x14ac:dyDescent="0.3">
      <c r="A447" s="17"/>
      <c r="B447" s="17"/>
      <c r="C447" s="63"/>
      <c r="D447" s="63"/>
      <c r="E447" s="63"/>
      <c r="F447" s="63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4" x14ac:dyDescent="0.3">
      <c r="A448" s="17"/>
      <c r="B448" s="17"/>
      <c r="C448" s="63"/>
      <c r="D448" s="63"/>
      <c r="E448" s="63"/>
      <c r="F448" s="63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4" x14ac:dyDescent="0.3">
      <c r="A449" s="17"/>
      <c r="B449" s="17"/>
      <c r="C449" s="63"/>
      <c r="D449" s="63"/>
      <c r="E449" s="63"/>
      <c r="F449" s="63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4" x14ac:dyDescent="0.3">
      <c r="A450" s="17"/>
      <c r="B450" s="17"/>
      <c r="C450" s="63"/>
      <c r="D450" s="63"/>
      <c r="E450" s="63"/>
      <c r="F450" s="63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4" x14ac:dyDescent="0.3">
      <c r="A451" s="17"/>
      <c r="B451" s="17"/>
      <c r="C451" s="63"/>
      <c r="D451" s="63"/>
      <c r="E451" s="63"/>
      <c r="F451" s="63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4" x14ac:dyDescent="0.3">
      <c r="A452" s="17"/>
      <c r="B452" s="17"/>
      <c r="C452" s="63"/>
      <c r="D452" s="63"/>
      <c r="E452" s="63"/>
      <c r="F452" s="63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4" x14ac:dyDescent="0.3">
      <c r="A453" s="17"/>
      <c r="B453" s="17"/>
      <c r="C453" s="63"/>
      <c r="D453" s="63"/>
      <c r="E453" s="63"/>
      <c r="F453" s="63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4" x14ac:dyDescent="0.3">
      <c r="A454" s="17"/>
      <c r="B454" s="17"/>
      <c r="C454" s="63"/>
      <c r="D454" s="63"/>
      <c r="E454" s="63"/>
      <c r="F454" s="63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4" x14ac:dyDescent="0.3">
      <c r="A455" s="17"/>
      <c r="B455" s="17"/>
      <c r="C455" s="63"/>
      <c r="D455" s="63"/>
      <c r="E455" s="63"/>
      <c r="F455" s="63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4" x14ac:dyDescent="0.3">
      <c r="A456" s="17"/>
      <c r="B456" s="17"/>
      <c r="C456" s="63"/>
      <c r="D456" s="63"/>
      <c r="E456" s="63"/>
      <c r="F456" s="63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4" x14ac:dyDescent="0.3">
      <c r="A457" s="17"/>
      <c r="B457" s="17"/>
      <c r="C457" s="63"/>
      <c r="D457" s="63"/>
      <c r="E457" s="63"/>
      <c r="F457" s="63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4" x14ac:dyDescent="0.3">
      <c r="A458" s="17"/>
      <c r="B458" s="17"/>
      <c r="C458" s="63"/>
      <c r="D458" s="63"/>
      <c r="E458" s="63"/>
      <c r="F458" s="63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4" x14ac:dyDescent="0.3">
      <c r="A459" s="17"/>
      <c r="B459" s="17"/>
      <c r="C459" s="63"/>
      <c r="D459" s="63"/>
      <c r="E459" s="63"/>
      <c r="F459" s="63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4" x14ac:dyDescent="0.3">
      <c r="A460" s="17"/>
      <c r="B460" s="17"/>
      <c r="C460" s="63"/>
      <c r="D460" s="63"/>
      <c r="E460" s="63"/>
      <c r="F460" s="63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4" x14ac:dyDescent="0.3">
      <c r="A461" s="17"/>
      <c r="B461" s="17"/>
      <c r="C461" s="63"/>
      <c r="D461" s="63"/>
      <c r="E461" s="63"/>
      <c r="F461" s="63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4" x14ac:dyDescent="0.3">
      <c r="A462" s="17"/>
      <c r="B462" s="17"/>
      <c r="C462" s="63"/>
      <c r="D462" s="63"/>
      <c r="E462" s="63"/>
      <c r="F462" s="63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4" x14ac:dyDescent="0.3">
      <c r="A463" s="17"/>
      <c r="B463" s="17"/>
      <c r="C463" s="63"/>
      <c r="D463" s="63"/>
      <c r="E463" s="63"/>
      <c r="F463" s="63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4" x14ac:dyDescent="0.3">
      <c r="A464" s="17"/>
      <c r="B464" s="17"/>
      <c r="C464" s="63"/>
      <c r="D464" s="63"/>
      <c r="E464" s="63"/>
      <c r="F464" s="63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4" x14ac:dyDescent="0.3">
      <c r="A465" s="17"/>
      <c r="B465" s="17"/>
      <c r="C465" s="63"/>
      <c r="D465" s="63"/>
      <c r="E465" s="63"/>
      <c r="F465" s="63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4" x14ac:dyDescent="0.3">
      <c r="A466" s="17"/>
      <c r="B466" s="17"/>
      <c r="C466" s="63"/>
      <c r="D466" s="63"/>
      <c r="E466" s="63"/>
      <c r="F466" s="63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4" x14ac:dyDescent="0.3">
      <c r="A467" s="17"/>
      <c r="B467" s="17"/>
      <c r="C467" s="63"/>
      <c r="D467" s="63"/>
      <c r="E467" s="63"/>
      <c r="F467" s="63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4" x14ac:dyDescent="0.3">
      <c r="A468" s="17"/>
      <c r="B468" s="17"/>
      <c r="C468" s="63"/>
      <c r="D468" s="63"/>
      <c r="E468" s="63"/>
      <c r="F468" s="63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4" x14ac:dyDescent="0.3">
      <c r="A469" s="17"/>
      <c r="B469" s="17"/>
      <c r="C469" s="63"/>
      <c r="D469" s="63"/>
      <c r="E469" s="63"/>
      <c r="F469" s="63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4" x14ac:dyDescent="0.3">
      <c r="A470" s="17"/>
      <c r="B470" s="17"/>
      <c r="C470" s="63"/>
      <c r="D470" s="63"/>
      <c r="E470" s="63"/>
      <c r="F470" s="63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4" x14ac:dyDescent="0.3">
      <c r="A471" s="17"/>
      <c r="B471" s="17"/>
      <c r="C471" s="63"/>
      <c r="D471" s="63"/>
      <c r="E471" s="63"/>
      <c r="F471" s="63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4" x14ac:dyDescent="0.3">
      <c r="A472" s="17"/>
      <c r="B472" s="17"/>
      <c r="C472" s="63"/>
      <c r="D472" s="63"/>
      <c r="E472" s="63"/>
      <c r="F472" s="63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4" x14ac:dyDescent="0.3">
      <c r="A473" s="17"/>
      <c r="B473" s="17"/>
      <c r="C473" s="63"/>
      <c r="D473" s="63"/>
      <c r="E473" s="63"/>
      <c r="F473" s="63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4" x14ac:dyDescent="0.3">
      <c r="A474" s="17"/>
      <c r="B474" s="17"/>
      <c r="C474" s="63"/>
      <c r="D474" s="63"/>
      <c r="E474" s="63"/>
      <c r="F474" s="63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4" x14ac:dyDescent="0.3">
      <c r="A475" s="17"/>
      <c r="B475" s="17"/>
      <c r="C475" s="63"/>
      <c r="D475" s="63"/>
      <c r="E475" s="63"/>
      <c r="F475" s="63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4" x14ac:dyDescent="0.3">
      <c r="A476" s="17"/>
      <c r="B476" s="17"/>
      <c r="C476" s="63"/>
      <c r="D476" s="63"/>
      <c r="E476" s="63"/>
      <c r="F476" s="63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4" x14ac:dyDescent="0.3">
      <c r="A477" s="17"/>
      <c r="B477" s="17"/>
      <c r="C477" s="63"/>
      <c r="D477" s="63"/>
      <c r="E477" s="63"/>
      <c r="F477" s="63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4" x14ac:dyDescent="0.3">
      <c r="A478" s="17"/>
      <c r="B478" s="17"/>
      <c r="C478" s="63"/>
      <c r="D478" s="63"/>
      <c r="E478" s="63"/>
      <c r="F478" s="63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4" x14ac:dyDescent="0.3">
      <c r="A479" s="17"/>
      <c r="B479" s="17"/>
      <c r="C479" s="63"/>
      <c r="D479" s="63"/>
      <c r="E479" s="63"/>
      <c r="F479" s="63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4" x14ac:dyDescent="0.3">
      <c r="A480" s="17"/>
      <c r="B480" s="17"/>
      <c r="C480" s="63"/>
      <c r="D480" s="63"/>
      <c r="E480" s="63"/>
      <c r="F480" s="63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4" x14ac:dyDescent="0.3">
      <c r="A481" s="17"/>
      <c r="B481" s="17"/>
      <c r="C481" s="63"/>
      <c r="D481" s="63"/>
      <c r="E481" s="63"/>
      <c r="F481" s="63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4" x14ac:dyDescent="0.3">
      <c r="A482" s="17"/>
      <c r="B482" s="17"/>
      <c r="C482" s="63"/>
      <c r="D482" s="63"/>
      <c r="E482" s="63"/>
      <c r="F482" s="63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4" x14ac:dyDescent="0.3">
      <c r="A483" s="17"/>
      <c r="B483" s="17"/>
      <c r="C483" s="63"/>
      <c r="D483" s="63"/>
      <c r="E483" s="63"/>
      <c r="F483" s="63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4" x14ac:dyDescent="0.3">
      <c r="A484" s="17"/>
      <c r="B484" s="17"/>
      <c r="C484" s="63"/>
      <c r="D484" s="63"/>
      <c r="E484" s="63"/>
      <c r="F484" s="63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4" x14ac:dyDescent="0.3">
      <c r="A485" s="17"/>
      <c r="B485" s="17"/>
      <c r="C485" s="63"/>
      <c r="D485" s="63"/>
      <c r="E485" s="63"/>
      <c r="F485" s="63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4" x14ac:dyDescent="0.3">
      <c r="A486" s="17"/>
      <c r="B486" s="17"/>
      <c r="C486" s="63"/>
      <c r="D486" s="63"/>
      <c r="E486" s="63"/>
      <c r="F486" s="63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4" x14ac:dyDescent="0.3">
      <c r="A487" s="17"/>
      <c r="B487" s="17"/>
      <c r="C487" s="63"/>
      <c r="D487" s="63"/>
      <c r="E487" s="63"/>
      <c r="F487" s="63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4" x14ac:dyDescent="0.3">
      <c r="A488" s="17"/>
      <c r="B488" s="17"/>
      <c r="C488" s="63"/>
      <c r="D488" s="63"/>
      <c r="E488" s="63"/>
      <c r="F488" s="63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4" x14ac:dyDescent="0.3">
      <c r="A489" s="17"/>
      <c r="B489" s="17"/>
      <c r="C489" s="63"/>
      <c r="D489" s="63"/>
      <c r="E489" s="63"/>
      <c r="F489" s="63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4" x14ac:dyDescent="0.3">
      <c r="A490" s="17"/>
      <c r="B490" s="17"/>
      <c r="C490" s="63"/>
      <c r="D490" s="63"/>
      <c r="E490" s="63"/>
      <c r="F490" s="63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4" x14ac:dyDescent="0.3">
      <c r="A491" s="17"/>
      <c r="B491" s="17"/>
      <c r="C491" s="63"/>
      <c r="D491" s="63"/>
      <c r="E491" s="63"/>
      <c r="F491" s="63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4" x14ac:dyDescent="0.3">
      <c r="A492" s="17"/>
      <c r="B492" s="17"/>
      <c r="C492" s="63"/>
      <c r="D492" s="63"/>
      <c r="E492" s="63"/>
      <c r="F492" s="63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4" x14ac:dyDescent="0.3">
      <c r="A493" s="17"/>
      <c r="B493" s="17"/>
      <c r="C493" s="63"/>
      <c r="D493" s="63"/>
      <c r="E493" s="63"/>
      <c r="F493" s="63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4" x14ac:dyDescent="0.3">
      <c r="A494" s="17"/>
      <c r="B494" s="17"/>
      <c r="C494" s="63"/>
      <c r="D494" s="63"/>
      <c r="E494" s="63"/>
      <c r="F494" s="63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4" x14ac:dyDescent="0.3">
      <c r="A495" s="17"/>
      <c r="B495" s="17"/>
      <c r="C495" s="63"/>
      <c r="D495" s="63"/>
      <c r="E495" s="63"/>
      <c r="F495" s="63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4" x14ac:dyDescent="0.3">
      <c r="A496" s="17"/>
      <c r="B496" s="17"/>
      <c r="C496" s="63"/>
      <c r="D496" s="63"/>
      <c r="E496" s="63"/>
      <c r="F496" s="63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4" x14ac:dyDescent="0.3">
      <c r="A497" s="17"/>
      <c r="B497" s="17"/>
      <c r="C497" s="63"/>
      <c r="D497" s="63"/>
      <c r="E497" s="63"/>
      <c r="F497" s="63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4" x14ac:dyDescent="0.3">
      <c r="A498" s="17"/>
      <c r="B498" s="17"/>
      <c r="C498" s="63"/>
      <c r="D498" s="63"/>
      <c r="E498" s="63"/>
      <c r="F498" s="63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4" x14ac:dyDescent="0.3">
      <c r="A499" s="17"/>
      <c r="B499" s="17"/>
      <c r="C499" s="63"/>
      <c r="D499" s="63"/>
      <c r="E499" s="63"/>
      <c r="F499" s="63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4" x14ac:dyDescent="0.3">
      <c r="A500" s="17"/>
      <c r="B500" s="17"/>
      <c r="C500" s="63"/>
      <c r="D500" s="63"/>
      <c r="E500" s="63"/>
      <c r="F500" s="63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4" x14ac:dyDescent="0.3">
      <c r="A501" s="17"/>
      <c r="B501" s="17"/>
      <c r="C501" s="63"/>
      <c r="D501" s="63"/>
      <c r="E501" s="63"/>
      <c r="F501" s="63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4" x14ac:dyDescent="0.3">
      <c r="A502" s="17"/>
      <c r="B502" s="17"/>
      <c r="C502" s="63"/>
      <c r="D502" s="63"/>
      <c r="E502" s="63"/>
      <c r="F502" s="63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4" x14ac:dyDescent="0.3">
      <c r="A503" s="17"/>
      <c r="B503" s="17"/>
      <c r="C503" s="63"/>
      <c r="D503" s="63"/>
      <c r="E503" s="63"/>
      <c r="F503" s="63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4" x14ac:dyDescent="0.3">
      <c r="A504" s="17"/>
      <c r="B504" s="17"/>
      <c r="C504" s="63"/>
      <c r="D504" s="63"/>
      <c r="E504" s="63"/>
      <c r="F504" s="63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4" x14ac:dyDescent="0.3">
      <c r="A505" s="17"/>
      <c r="B505" s="17"/>
      <c r="C505" s="63"/>
      <c r="D505" s="63"/>
      <c r="E505" s="63"/>
      <c r="F505" s="63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4" x14ac:dyDescent="0.3">
      <c r="A506" s="17"/>
      <c r="B506" s="17"/>
      <c r="C506" s="63"/>
      <c r="D506" s="63"/>
      <c r="E506" s="63"/>
      <c r="F506" s="63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4" x14ac:dyDescent="0.3">
      <c r="A507" s="17"/>
      <c r="B507" s="17"/>
      <c r="C507" s="63"/>
      <c r="D507" s="63"/>
      <c r="E507" s="63"/>
      <c r="F507" s="63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4" x14ac:dyDescent="0.3">
      <c r="A508" s="17"/>
      <c r="B508" s="17"/>
      <c r="C508" s="63"/>
      <c r="D508" s="63"/>
      <c r="E508" s="63"/>
      <c r="F508" s="63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4" x14ac:dyDescent="0.3">
      <c r="A509" s="17"/>
      <c r="B509" s="17"/>
      <c r="C509" s="63"/>
      <c r="D509" s="63"/>
      <c r="E509" s="63"/>
      <c r="F509" s="63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4" x14ac:dyDescent="0.3">
      <c r="A510" s="17"/>
      <c r="B510" s="17"/>
      <c r="C510" s="63"/>
      <c r="D510" s="63"/>
      <c r="E510" s="63"/>
      <c r="F510" s="63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4" x14ac:dyDescent="0.3">
      <c r="A511" s="17"/>
      <c r="B511" s="17"/>
      <c r="C511" s="63"/>
      <c r="D511" s="63"/>
      <c r="E511" s="63"/>
      <c r="F511" s="63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4" x14ac:dyDescent="0.3">
      <c r="A512" s="17"/>
      <c r="B512" s="17"/>
      <c r="C512" s="63"/>
      <c r="D512" s="63"/>
      <c r="E512" s="63"/>
      <c r="F512" s="63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4" x14ac:dyDescent="0.3">
      <c r="A513" s="17"/>
      <c r="B513" s="17"/>
      <c r="C513" s="63"/>
      <c r="D513" s="63"/>
      <c r="E513" s="63"/>
      <c r="F513" s="63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4" x14ac:dyDescent="0.3">
      <c r="A514" s="17"/>
      <c r="B514" s="17"/>
      <c r="C514" s="63"/>
      <c r="D514" s="63"/>
      <c r="E514" s="63"/>
      <c r="F514" s="63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4" x14ac:dyDescent="0.3">
      <c r="A515" s="17"/>
      <c r="B515" s="17"/>
      <c r="C515" s="63"/>
      <c r="D515" s="63"/>
      <c r="E515" s="63"/>
      <c r="F515" s="63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4" x14ac:dyDescent="0.3">
      <c r="A516" s="17"/>
      <c r="B516" s="17"/>
      <c r="C516" s="63"/>
      <c r="D516" s="63"/>
      <c r="E516" s="63"/>
      <c r="F516" s="63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4" x14ac:dyDescent="0.3">
      <c r="A517" s="17"/>
      <c r="B517" s="17"/>
      <c r="C517" s="63"/>
      <c r="D517" s="63"/>
      <c r="E517" s="63"/>
      <c r="F517" s="63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4" x14ac:dyDescent="0.3">
      <c r="A518" s="17"/>
      <c r="B518" s="17"/>
      <c r="C518" s="63"/>
      <c r="D518" s="63"/>
      <c r="E518" s="63"/>
      <c r="F518" s="63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4" x14ac:dyDescent="0.3">
      <c r="A519" s="17"/>
      <c r="B519" s="17"/>
      <c r="C519" s="63"/>
      <c r="D519" s="63"/>
      <c r="E519" s="63"/>
      <c r="F519" s="63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4" x14ac:dyDescent="0.3">
      <c r="A520" s="17"/>
      <c r="B520" s="17"/>
      <c r="C520" s="63"/>
      <c r="D520" s="63"/>
      <c r="E520" s="63"/>
      <c r="F520" s="63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4" x14ac:dyDescent="0.3">
      <c r="A521" s="17"/>
      <c r="B521" s="17"/>
      <c r="C521" s="63"/>
      <c r="D521" s="63"/>
      <c r="E521" s="63"/>
      <c r="F521" s="63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4" x14ac:dyDescent="0.3">
      <c r="A522" s="17"/>
      <c r="B522" s="17"/>
      <c r="C522" s="63"/>
      <c r="D522" s="63"/>
      <c r="E522" s="63"/>
      <c r="F522" s="63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4" x14ac:dyDescent="0.3">
      <c r="A523" s="17"/>
      <c r="B523" s="17"/>
      <c r="C523" s="63"/>
      <c r="D523" s="63"/>
      <c r="E523" s="63"/>
      <c r="F523" s="63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4" x14ac:dyDescent="0.3">
      <c r="A524" s="17"/>
      <c r="B524" s="17"/>
      <c r="C524" s="63"/>
      <c r="D524" s="63"/>
      <c r="E524" s="63"/>
      <c r="F524" s="63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4" x14ac:dyDescent="0.3">
      <c r="A525" s="17"/>
      <c r="B525" s="17"/>
      <c r="C525" s="63"/>
      <c r="D525" s="63"/>
      <c r="E525" s="63"/>
      <c r="F525" s="63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4" x14ac:dyDescent="0.3">
      <c r="A526" s="17"/>
      <c r="B526" s="17"/>
      <c r="C526" s="63"/>
      <c r="D526" s="63"/>
      <c r="E526" s="63"/>
      <c r="F526" s="63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4" x14ac:dyDescent="0.3">
      <c r="A527" s="17"/>
      <c r="B527" s="17"/>
      <c r="C527" s="63"/>
      <c r="D527" s="63"/>
      <c r="E527" s="63"/>
      <c r="F527" s="63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4" x14ac:dyDescent="0.3">
      <c r="A528" s="17"/>
      <c r="B528" s="17"/>
      <c r="C528" s="63"/>
      <c r="D528" s="63"/>
      <c r="E528" s="63"/>
      <c r="F528" s="63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4" x14ac:dyDescent="0.3">
      <c r="A529" s="17"/>
      <c r="B529" s="17"/>
      <c r="C529" s="63"/>
      <c r="D529" s="63"/>
      <c r="E529" s="63"/>
      <c r="F529" s="63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4" x14ac:dyDescent="0.3">
      <c r="A530" s="17"/>
      <c r="B530" s="17"/>
      <c r="C530" s="63"/>
      <c r="D530" s="63"/>
      <c r="E530" s="63"/>
      <c r="F530" s="63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4" x14ac:dyDescent="0.3">
      <c r="A531" s="17"/>
      <c r="B531" s="17"/>
      <c r="C531" s="63"/>
      <c r="D531" s="63"/>
      <c r="E531" s="63"/>
      <c r="F531" s="63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4" x14ac:dyDescent="0.3">
      <c r="A532" s="17"/>
      <c r="B532" s="17"/>
      <c r="C532" s="63"/>
      <c r="D532" s="63"/>
      <c r="E532" s="63"/>
      <c r="F532" s="63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4" x14ac:dyDescent="0.3">
      <c r="A533" s="17"/>
      <c r="B533" s="17"/>
      <c r="C533" s="63"/>
      <c r="D533" s="63"/>
      <c r="E533" s="63"/>
      <c r="F533" s="63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4" x14ac:dyDescent="0.3">
      <c r="A534" s="17"/>
      <c r="B534" s="17"/>
      <c r="C534" s="63"/>
      <c r="D534" s="63"/>
      <c r="E534" s="63"/>
      <c r="F534" s="63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4" x14ac:dyDescent="0.3">
      <c r="A535" s="17"/>
      <c r="B535" s="17"/>
      <c r="C535" s="63"/>
      <c r="D535" s="63"/>
      <c r="E535" s="63"/>
      <c r="F535" s="63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4" x14ac:dyDescent="0.3">
      <c r="A536" s="17"/>
      <c r="B536" s="17"/>
      <c r="C536" s="63"/>
      <c r="D536" s="63"/>
      <c r="E536" s="63"/>
      <c r="F536" s="63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4" x14ac:dyDescent="0.3">
      <c r="A537" s="17"/>
      <c r="B537" s="17"/>
      <c r="C537" s="63"/>
      <c r="D537" s="63"/>
      <c r="E537" s="63"/>
      <c r="F537" s="63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4" x14ac:dyDescent="0.3">
      <c r="A538" s="17"/>
      <c r="B538" s="17"/>
      <c r="C538" s="63"/>
      <c r="D538" s="63"/>
      <c r="E538" s="63"/>
      <c r="F538" s="63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4" x14ac:dyDescent="0.3">
      <c r="A539" s="17"/>
      <c r="B539" s="17"/>
      <c r="C539" s="63"/>
      <c r="D539" s="63"/>
      <c r="E539" s="63"/>
      <c r="F539" s="63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4" x14ac:dyDescent="0.3">
      <c r="A540" s="17"/>
      <c r="B540" s="17"/>
      <c r="C540" s="63"/>
      <c r="D540" s="63"/>
      <c r="E540" s="63"/>
      <c r="F540" s="63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4" x14ac:dyDescent="0.3">
      <c r="A541" s="17"/>
      <c r="B541" s="17"/>
      <c r="C541" s="63"/>
      <c r="D541" s="63"/>
      <c r="E541" s="63"/>
      <c r="F541" s="63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4" x14ac:dyDescent="0.3">
      <c r="A542" s="17"/>
      <c r="B542" s="17"/>
      <c r="C542" s="63"/>
      <c r="D542" s="63"/>
      <c r="E542" s="63"/>
      <c r="F542" s="63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4" x14ac:dyDescent="0.3">
      <c r="A543" s="17"/>
      <c r="B543" s="17"/>
      <c r="C543" s="63"/>
      <c r="D543" s="63"/>
      <c r="E543" s="63"/>
      <c r="F543" s="63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4" x14ac:dyDescent="0.3">
      <c r="A544" s="17"/>
      <c r="B544" s="17"/>
      <c r="C544" s="63"/>
      <c r="D544" s="63"/>
      <c r="E544" s="63"/>
      <c r="F544" s="63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4" x14ac:dyDescent="0.3">
      <c r="A545" s="17"/>
      <c r="B545" s="17"/>
      <c r="C545" s="63"/>
      <c r="D545" s="63"/>
      <c r="E545" s="63"/>
      <c r="F545" s="63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4" x14ac:dyDescent="0.3">
      <c r="A546" s="17"/>
      <c r="B546" s="17"/>
      <c r="C546" s="63"/>
      <c r="D546" s="63"/>
      <c r="E546" s="63"/>
      <c r="F546" s="63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4" x14ac:dyDescent="0.3">
      <c r="A547" s="17"/>
      <c r="B547" s="17"/>
      <c r="C547" s="63"/>
      <c r="D547" s="63"/>
      <c r="E547" s="63"/>
      <c r="F547" s="63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4" x14ac:dyDescent="0.3">
      <c r="A548" s="17"/>
      <c r="B548" s="17"/>
      <c r="C548" s="63"/>
      <c r="D548" s="63"/>
      <c r="E548" s="63"/>
      <c r="F548" s="63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4" x14ac:dyDescent="0.3">
      <c r="A549" s="17"/>
      <c r="B549" s="17"/>
      <c r="C549" s="63"/>
      <c r="D549" s="63"/>
      <c r="E549" s="63"/>
      <c r="F549" s="63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4" x14ac:dyDescent="0.3">
      <c r="A550" s="17"/>
      <c r="B550" s="17"/>
      <c r="C550" s="63"/>
      <c r="D550" s="63"/>
      <c r="E550" s="63"/>
      <c r="F550" s="63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4" x14ac:dyDescent="0.3">
      <c r="A551" s="17"/>
      <c r="B551" s="17"/>
      <c r="C551" s="63"/>
      <c r="D551" s="63"/>
      <c r="E551" s="63"/>
      <c r="F551" s="63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4" x14ac:dyDescent="0.3">
      <c r="A552" s="17"/>
      <c r="B552" s="17"/>
      <c r="C552" s="63"/>
      <c r="D552" s="63"/>
      <c r="E552" s="63"/>
      <c r="F552" s="63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4" x14ac:dyDescent="0.3">
      <c r="A553" s="17"/>
      <c r="B553" s="17"/>
      <c r="C553" s="63"/>
      <c r="D553" s="63"/>
      <c r="E553" s="63"/>
      <c r="F553" s="63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4" x14ac:dyDescent="0.3">
      <c r="A554" s="17"/>
      <c r="B554" s="17"/>
      <c r="C554" s="63"/>
      <c r="D554" s="63"/>
      <c r="E554" s="63"/>
      <c r="F554" s="63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4" x14ac:dyDescent="0.3">
      <c r="A555" s="17"/>
      <c r="B555" s="17"/>
      <c r="C555" s="63"/>
      <c r="D555" s="63"/>
      <c r="E555" s="63"/>
      <c r="F555" s="63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4" x14ac:dyDescent="0.3">
      <c r="A556" s="17"/>
      <c r="B556" s="17"/>
      <c r="C556" s="63"/>
      <c r="D556" s="63"/>
      <c r="E556" s="63"/>
      <c r="F556" s="63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4" x14ac:dyDescent="0.3">
      <c r="A557" s="17"/>
      <c r="B557" s="17"/>
      <c r="C557" s="63"/>
      <c r="D557" s="63"/>
      <c r="E557" s="63"/>
      <c r="F557" s="63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4" x14ac:dyDescent="0.3">
      <c r="A558" s="17"/>
      <c r="B558" s="17"/>
      <c r="C558" s="63"/>
      <c r="D558" s="63"/>
      <c r="E558" s="63"/>
      <c r="F558" s="63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4" x14ac:dyDescent="0.3">
      <c r="A559" s="17"/>
      <c r="B559" s="17"/>
      <c r="C559" s="63"/>
      <c r="D559" s="63"/>
      <c r="E559" s="63"/>
      <c r="F559" s="63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4" x14ac:dyDescent="0.3">
      <c r="A560" s="17"/>
      <c r="B560" s="17"/>
      <c r="C560" s="63"/>
      <c r="D560" s="63"/>
      <c r="E560" s="63"/>
      <c r="F560" s="63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4" x14ac:dyDescent="0.3">
      <c r="A561" s="17"/>
      <c r="B561" s="17"/>
      <c r="C561" s="63"/>
      <c r="D561" s="63"/>
      <c r="E561" s="63"/>
      <c r="F561" s="63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4" x14ac:dyDescent="0.3">
      <c r="A562" s="17"/>
      <c r="B562" s="17"/>
      <c r="C562" s="63"/>
      <c r="D562" s="63"/>
      <c r="E562" s="63"/>
      <c r="F562" s="63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4" x14ac:dyDescent="0.3">
      <c r="A563" s="17"/>
      <c r="B563" s="17"/>
      <c r="C563" s="63"/>
      <c r="D563" s="63"/>
      <c r="E563" s="63"/>
      <c r="F563" s="63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4" x14ac:dyDescent="0.3">
      <c r="A564" s="17"/>
      <c r="B564" s="17"/>
      <c r="C564" s="63"/>
      <c r="D564" s="63"/>
      <c r="E564" s="63"/>
      <c r="F564" s="63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4" x14ac:dyDescent="0.3">
      <c r="A565" s="17"/>
      <c r="B565" s="17"/>
      <c r="C565" s="63"/>
      <c r="D565" s="63"/>
      <c r="E565" s="63"/>
      <c r="F565" s="63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4" x14ac:dyDescent="0.3">
      <c r="A566" s="17"/>
      <c r="B566" s="17"/>
      <c r="C566" s="63"/>
      <c r="D566" s="63"/>
      <c r="E566" s="63"/>
      <c r="F566" s="63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4" x14ac:dyDescent="0.3">
      <c r="A567" s="17"/>
      <c r="B567" s="17"/>
      <c r="C567" s="63"/>
      <c r="D567" s="63"/>
      <c r="E567" s="63"/>
      <c r="F567" s="63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4" x14ac:dyDescent="0.3">
      <c r="A568" s="17"/>
      <c r="B568" s="17"/>
      <c r="C568" s="63"/>
      <c r="D568" s="63"/>
      <c r="E568" s="63"/>
      <c r="F568" s="63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4" x14ac:dyDescent="0.3">
      <c r="A569" s="17"/>
      <c r="B569" s="17"/>
      <c r="C569" s="63"/>
      <c r="D569" s="63"/>
      <c r="E569" s="63"/>
      <c r="F569" s="63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4" x14ac:dyDescent="0.3">
      <c r="A570" s="17"/>
      <c r="B570" s="17"/>
      <c r="C570" s="63"/>
      <c r="D570" s="63"/>
      <c r="E570" s="63"/>
      <c r="F570" s="63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4" x14ac:dyDescent="0.3">
      <c r="A571" s="17"/>
      <c r="B571" s="17"/>
      <c r="C571" s="63"/>
      <c r="D571" s="63"/>
      <c r="E571" s="63"/>
      <c r="F571" s="63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4" x14ac:dyDescent="0.3">
      <c r="A572" s="17"/>
      <c r="B572" s="17"/>
      <c r="C572" s="63"/>
      <c r="D572" s="63"/>
      <c r="E572" s="63"/>
      <c r="F572" s="63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4" x14ac:dyDescent="0.3">
      <c r="A573" s="17"/>
      <c r="B573" s="17"/>
      <c r="C573" s="63"/>
      <c r="D573" s="63"/>
      <c r="E573" s="63"/>
      <c r="F573" s="63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4" x14ac:dyDescent="0.3">
      <c r="A574" s="17"/>
      <c r="B574" s="17"/>
      <c r="C574" s="63"/>
      <c r="D574" s="63"/>
      <c r="E574" s="63"/>
      <c r="F574" s="63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4" x14ac:dyDescent="0.3">
      <c r="A575" s="17"/>
      <c r="B575" s="17"/>
      <c r="C575" s="63"/>
      <c r="D575" s="63"/>
      <c r="E575" s="63"/>
      <c r="F575" s="63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4" x14ac:dyDescent="0.3">
      <c r="A576" s="17"/>
      <c r="B576" s="17"/>
      <c r="C576" s="63"/>
      <c r="D576" s="63"/>
      <c r="E576" s="63"/>
      <c r="F576" s="63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4" x14ac:dyDescent="0.3">
      <c r="A577" s="17"/>
      <c r="B577" s="17"/>
      <c r="C577" s="63"/>
      <c r="D577" s="63"/>
      <c r="E577" s="63"/>
      <c r="F577" s="63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4" x14ac:dyDescent="0.3">
      <c r="A578" s="17"/>
      <c r="B578" s="17"/>
      <c r="C578" s="63"/>
      <c r="D578" s="63"/>
      <c r="E578" s="63"/>
      <c r="F578" s="63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4" x14ac:dyDescent="0.3">
      <c r="A579" s="17"/>
      <c r="B579" s="17"/>
      <c r="C579" s="63"/>
      <c r="D579" s="63"/>
      <c r="E579" s="63"/>
      <c r="F579" s="63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4" x14ac:dyDescent="0.3">
      <c r="A580" s="17"/>
      <c r="B580" s="17"/>
      <c r="C580" s="63"/>
      <c r="D580" s="63"/>
      <c r="E580" s="63"/>
      <c r="F580" s="63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4" x14ac:dyDescent="0.3">
      <c r="A581" s="17"/>
      <c r="B581" s="17"/>
      <c r="C581" s="63"/>
      <c r="D581" s="63"/>
      <c r="E581" s="63"/>
      <c r="F581" s="63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4" x14ac:dyDescent="0.3">
      <c r="A582" s="17"/>
      <c r="B582" s="17"/>
      <c r="C582" s="63"/>
      <c r="D582" s="63"/>
      <c r="E582" s="63"/>
      <c r="F582" s="63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4" x14ac:dyDescent="0.3">
      <c r="A583" s="17"/>
      <c r="B583" s="17"/>
      <c r="C583" s="63"/>
      <c r="D583" s="63"/>
      <c r="E583" s="63"/>
      <c r="F583" s="63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4" x14ac:dyDescent="0.3">
      <c r="A584" s="17"/>
      <c r="B584" s="17"/>
      <c r="C584" s="63"/>
      <c r="D584" s="63"/>
      <c r="E584" s="63"/>
      <c r="F584" s="63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4" x14ac:dyDescent="0.3">
      <c r="A585" s="17"/>
      <c r="B585" s="17"/>
      <c r="C585" s="63"/>
      <c r="D585" s="63"/>
      <c r="E585" s="63"/>
      <c r="F585" s="63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4" x14ac:dyDescent="0.3">
      <c r="A586" s="17"/>
      <c r="B586" s="17"/>
      <c r="C586" s="63"/>
      <c r="D586" s="63"/>
      <c r="E586" s="63"/>
      <c r="F586" s="63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4" x14ac:dyDescent="0.3">
      <c r="A587" s="17"/>
      <c r="B587" s="17"/>
      <c r="C587" s="63"/>
      <c r="D587" s="63"/>
      <c r="E587" s="63"/>
      <c r="F587" s="63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4" x14ac:dyDescent="0.3">
      <c r="A588" s="17"/>
      <c r="B588" s="17"/>
      <c r="C588" s="63"/>
      <c r="D588" s="63"/>
      <c r="E588" s="63"/>
      <c r="F588" s="63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4" x14ac:dyDescent="0.3">
      <c r="A589" s="17"/>
      <c r="B589" s="17"/>
      <c r="C589" s="63"/>
      <c r="D589" s="63"/>
      <c r="E589" s="63"/>
      <c r="F589" s="63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4" x14ac:dyDescent="0.3">
      <c r="A590" s="17"/>
      <c r="B590" s="17"/>
      <c r="C590" s="63"/>
      <c r="D590" s="63"/>
      <c r="E590" s="63"/>
      <c r="F590" s="63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4" x14ac:dyDescent="0.3">
      <c r="A591" s="17"/>
      <c r="B591" s="17"/>
      <c r="C591" s="63"/>
      <c r="D591" s="63"/>
      <c r="E591" s="63"/>
      <c r="F591" s="63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4" x14ac:dyDescent="0.3">
      <c r="A592" s="17"/>
      <c r="B592" s="17"/>
      <c r="C592" s="63"/>
      <c r="D592" s="63"/>
      <c r="E592" s="63"/>
      <c r="F592" s="63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4" x14ac:dyDescent="0.3">
      <c r="A593" s="17"/>
      <c r="B593" s="17"/>
      <c r="C593" s="63"/>
      <c r="D593" s="63"/>
      <c r="E593" s="63"/>
      <c r="F593" s="63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4" x14ac:dyDescent="0.3">
      <c r="A594" s="17"/>
      <c r="B594" s="17"/>
      <c r="C594" s="63"/>
      <c r="D594" s="63"/>
      <c r="E594" s="63"/>
      <c r="F594" s="63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4" x14ac:dyDescent="0.3">
      <c r="A595" s="17"/>
      <c r="B595" s="17"/>
      <c r="C595" s="63"/>
      <c r="D595" s="63"/>
      <c r="E595" s="63"/>
      <c r="F595" s="63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4" x14ac:dyDescent="0.3">
      <c r="A596" s="17"/>
      <c r="B596" s="17"/>
      <c r="C596" s="63"/>
      <c r="D596" s="63"/>
      <c r="E596" s="63"/>
      <c r="F596" s="63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4" x14ac:dyDescent="0.3">
      <c r="A597" s="17"/>
      <c r="B597" s="17"/>
      <c r="C597" s="63"/>
      <c r="D597" s="63"/>
      <c r="E597" s="63"/>
      <c r="F597" s="63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4" x14ac:dyDescent="0.3">
      <c r="A598" s="17"/>
      <c r="B598" s="17"/>
      <c r="C598" s="63"/>
      <c r="D598" s="63"/>
      <c r="E598" s="63"/>
      <c r="F598" s="63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4" x14ac:dyDescent="0.3">
      <c r="A599" s="17"/>
      <c r="B599" s="17"/>
      <c r="C599" s="63"/>
      <c r="D599" s="63"/>
      <c r="E599" s="63"/>
      <c r="F599" s="63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4" x14ac:dyDescent="0.3">
      <c r="A600" s="17"/>
      <c r="B600" s="17"/>
      <c r="C600" s="63"/>
      <c r="D600" s="63"/>
      <c r="E600" s="63"/>
      <c r="F600" s="63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4" x14ac:dyDescent="0.3">
      <c r="A601" s="17"/>
      <c r="B601" s="17"/>
      <c r="C601" s="63"/>
      <c r="D601" s="63"/>
      <c r="E601" s="63"/>
      <c r="F601" s="63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4" x14ac:dyDescent="0.3">
      <c r="A602" s="17"/>
      <c r="B602" s="17"/>
      <c r="C602" s="63"/>
      <c r="D602" s="63"/>
      <c r="E602" s="63"/>
      <c r="F602" s="63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4" x14ac:dyDescent="0.3">
      <c r="A603" s="17"/>
      <c r="B603" s="17"/>
      <c r="C603" s="63"/>
      <c r="D603" s="63"/>
      <c r="E603" s="63"/>
      <c r="F603" s="63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4" x14ac:dyDescent="0.3">
      <c r="A604" s="17"/>
      <c r="B604" s="17"/>
      <c r="C604" s="63"/>
      <c r="D604" s="63"/>
      <c r="E604" s="63"/>
      <c r="F604" s="63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4" x14ac:dyDescent="0.3">
      <c r="A605" s="17"/>
      <c r="B605" s="17"/>
      <c r="C605" s="63"/>
      <c r="D605" s="63"/>
      <c r="E605" s="63"/>
      <c r="F605" s="63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4" x14ac:dyDescent="0.3">
      <c r="A606" s="17"/>
      <c r="B606" s="17"/>
      <c r="C606" s="63"/>
      <c r="D606" s="63"/>
      <c r="E606" s="63"/>
      <c r="F606" s="63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4" x14ac:dyDescent="0.3">
      <c r="A607" s="17"/>
      <c r="B607" s="17"/>
      <c r="C607" s="63"/>
      <c r="D607" s="63"/>
      <c r="E607" s="63"/>
      <c r="F607" s="63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4" x14ac:dyDescent="0.3">
      <c r="A608" s="17"/>
      <c r="B608" s="17"/>
      <c r="C608" s="63"/>
      <c r="D608" s="63"/>
      <c r="E608" s="63"/>
      <c r="F608" s="63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4" x14ac:dyDescent="0.3">
      <c r="A609" s="17"/>
      <c r="B609" s="17"/>
      <c r="C609" s="63"/>
      <c r="D609" s="63"/>
      <c r="E609" s="63"/>
      <c r="F609" s="63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4" x14ac:dyDescent="0.3">
      <c r="A610" s="17"/>
      <c r="B610" s="17"/>
      <c r="C610" s="63"/>
      <c r="D610" s="63"/>
      <c r="E610" s="63"/>
      <c r="F610" s="63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4" x14ac:dyDescent="0.3">
      <c r="A611" s="17"/>
      <c r="B611" s="17"/>
      <c r="C611" s="63"/>
      <c r="D611" s="63"/>
      <c r="E611" s="63"/>
      <c r="F611" s="63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4" x14ac:dyDescent="0.3">
      <c r="A612" s="17"/>
      <c r="B612" s="17"/>
      <c r="C612" s="63"/>
      <c r="D612" s="63"/>
      <c r="E612" s="63"/>
      <c r="F612" s="63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4" x14ac:dyDescent="0.3">
      <c r="A613" s="17"/>
      <c r="B613" s="17"/>
      <c r="C613" s="63"/>
      <c r="D613" s="63"/>
      <c r="E613" s="63"/>
      <c r="F613" s="63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4" x14ac:dyDescent="0.3">
      <c r="A614" s="17"/>
      <c r="B614" s="17"/>
      <c r="C614" s="63"/>
      <c r="D614" s="63"/>
      <c r="E614" s="63"/>
      <c r="F614" s="63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4" x14ac:dyDescent="0.3">
      <c r="A615" s="17"/>
      <c r="B615" s="17"/>
      <c r="C615" s="63"/>
      <c r="D615" s="63"/>
      <c r="E615" s="63"/>
      <c r="F615" s="63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4" x14ac:dyDescent="0.3">
      <c r="A616" s="17"/>
      <c r="B616" s="17"/>
      <c r="C616" s="63"/>
      <c r="D616" s="63"/>
      <c r="E616" s="63"/>
      <c r="F616" s="63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4" x14ac:dyDescent="0.3">
      <c r="A617" s="17"/>
      <c r="B617" s="17"/>
      <c r="C617" s="63"/>
      <c r="D617" s="63"/>
      <c r="E617" s="63"/>
      <c r="F617" s="63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4" x14ac:dyDescent="0.3">
      <c r="A618" s="17"/>
      <c r="B618" s="17"/>
      <c r="C618" s="63"/>
      <c r="D618" s="63"/>
      <c r="E618" s="63"/>
      <c r="F618" s="63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4" x14ac:dyDescent="0.3">
      <c r="A619" s="17"/>
      <c r="B619" s="17"/>
      <c r="C619" s="63"/>
      <c r="D619" s="63"/>
      <c r="E619" s="63"/>
      <c r="F619" s="63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4" x14ac:dyDescent="0.3">
      <c r="A620" s="17"/>
      <c r="B620" s="17"/>
      <c r="C620" s="63"/>
      <c r="D620" s="63"/>
      <c r="E620" s="63"/>
      <c r="F620" s="63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4" x14ac:dyDescent="0.3">
      <c r="A621" s="17"/>
      <c r="B621" s="17"/>
      <c r="C621" s="63"/>
      <c r="D621" s="63"/>
      <c r="E621" s="63"/>
      <c r="F621" s="63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4" x14ac:dyDescent="0.3">
      <c r="A622" s="17"/>
      <c r="B622" s="17"/>
      <c r="C622" s="63"/>
      <c r="D622" s="63"/>
      <c r="E622" s="63"/>
      <c r="F622" s="63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4" x14ac:dyDescent="0.3">
      <c r="A623" s="17"/>
      <c r="B623" s="17"/>
      <c r="C623" s="63"/>
      <c r="D623" s="63"/>
      <c r="E623" s="63"/>
      <c r="F623" s="63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4" x14ac:dyDescent="0.3">
      <c r="A624" s="17"/>
      <c r="B624" s="17"/>
      <c r="C624" s="63"/>
      <c r="D624" s="63"/>
      <c r="E624" s="63"/>
      <c r="F624" s="63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4" x14ac:dyDescent="0.3">
      <c r="A625" s="17"/>
      <c r="B625" s="17"/>
      <c r="C625" s="63"/>
      <c r="D625" s="63"/>
      <c r="E625" s="63"/>
      <c r="F625" s="63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4" x14ac:dyDescent="0.3">
      <c r="A626" s="17"/>
      <c r="B626" s="17"/>
      <c r="C626" s="63"/>
      <c r="D626" s="63"/>
      <c r="E626" s="63"/>
      <c r="F626" s="63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4" x14ac:dyDescent="0.3">
      <c r="A627" s="17"/>
      <c r="B627" s="17"/>
      <c r="C627" s="63"/>
      <c r="D627" s="63"/>
      <c r="E627" s="63"/>
      <c r="F627" s="63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4" x14ac:dyDescent="0.3">
      <c r="A628" s="17"/>
      <c r="B628" s="17"/>
      <c r="C628" s="63"/>
      <c r="D628" s="63"/>
      <c r="E628" s="63"/>
      <c r="F628" s="63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4" x14ac:dyDescent="0.3">
      <c r="A629" s="17"/>
      <c r="B629" s="17"/>
      <c r="C629" s="63"/>
      <c r="D629" s="63"/>
      <c r="E629" s="63"/>
      <c r="F629" s="63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4" x14ac:dyDescent="0.3">
      <c r="A630" s="17"/>
      <c r="B630" s="17"/>
      <c r="C630" s="63"/>
      <c r="D630" s="63"/>
      <c r="E630" s="63"/>
      <c r="F630" s="63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4" x14ac:dyDescent="0.3">
      <c r="A631" s="17"/>
      <c r="B631" s="17"/>
      <c r="C631" s="63"/>
      <c r="D631" s="63"/>
      <c r="E631" s="63"/>
      <c r="F631" s="63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4" x14ac:dyDescent="0.3">
      <c r="A632" s="17"/>
      <c r="B632" s="17"/>
      <c r="C632" s="63"/>
      <c r="D632" s="63"/>
      <c r="E632" s="63"/>
      <c r="F632" s="63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4" x14ac:dyDescent="0.3">
      <c r="A633" s="17"/>
      <c r="B633" s="17"/>
      <c r="C633" s="63"/>
      <c r="D633" s="63"/>
      <c r="E633" s="63"/>
      <c r="F633" s="63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4" x14ac:dyDescent="0.3">
      <c r="A634" s="17"/>
      <c r="B634" s="17"/>
      <c r="C634" s="63"/>
      <c r="D634" s="63"/>
      <c r="E634" s="63"/>
      <c r="F634" s="63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4" x14ac:dyDescent="0.3">
      <c r="A635" s="17"/>
      <c r="B635" s="17"/>
      <c r="C635" s="63"/>
      <c r="D635" s="63"/>
      <c r="E635" s="63"/>
      <c r="F635" s="63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4" x14ac:dyDescent="0.3">
      <c r="A636" s="17"/>
      <c r="B636" s="17"/>
      <c r="C636" s="63"/>
      <c r="D636" s="63"/>
      <c r="E636" s="63"/>
      <c r="F636" s="63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4" x14ac:dyDescent="0.3">
      <c r="A637" s="17"/>
      <c r="B637" s="17"/>
      <c r="C637" s="63"/>
      <c r="D637" s="63"/>
      <c r="E637" s="63"/>
      <c r="F637" s="63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4" x14ac:dyDescent="0.3">
      <c r="A638" s="17"/>
      <c r="B638" s="17"/>
      <c r="C638" s="63"/>
      <c r="D638" s="63"/>
      <c r="E638" s="63"/>
      <c r="F638" s="63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4" x14ac:dyDescent="0.3">
      <c r="A639" s="17"/>
      <c r="B639" s="17"/>
      <c r="C639" s="63"/>
      <c r="D639" s="63"/>
      <c r="E639" s="63"/>
      <c r="F639" s="63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4" x14ac:dyDescent="0.3">
      <c r="A640" s="17"/>
      <c r="B640" s="17"/>
      <c r="C640" s="63"/>
      <c r="D640" s="63"/>
      <c r="E640" s="63"/>
      <c r="F640" s="63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4" x14ac:dyDescent="0.3">
      <c r="A641" s="17"/>
      <c r="B641" s="17"/>
      <c r="C641" s="63"/>
      <c r="D641" s="63"/>
      <c r="E641" s="63"/>
      <c r="F641" s="63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4" x14ac:dyDescent="0.3">
      <c r="A642" s="17"/>
      <c r="B642" s="17"/>
      <c r="C642" s="63"/>
      <c r="D642" s="63"/>
      <c r="E642" s="63"/>
      <c r="F642" s="63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4" x14ac:dyDescent="0.3">
      <c r="A643" s="17"/>
      <c r="B643" s="17"/>
      <c r="C643" s="63"/>
      <c r="D643" s="63"/>
      <c r="E643" s="63"/>
      <c r="F643" s="63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4" x14ac:dyDescent="0.3">
      <c r="A644" s="17"/>
      <c r="B644" s="17"/>
      <c r="C644" s="63"/>
      <c r="D644" s="63"/>
      <c r="E644" s="63"/>
      <c r="F644" s="63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4" x14ac:dyDescent="0.3">
      <c r="A645" s="17"/>
      <c r="B645" s="17"/>
      <c r="C645" s="63"/>
      <c r="D645" s="63"/>
      <c r="E645" s="63"/>
      <c r="F645" s="63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4" x14ac:dyDescent="0.3">
      <c r="A646" s="17"/>
      <c r="B646" s="17"/>
      <c r="C646" s="63"/>
      <c r="D646" s="63"/>
      <c r="E646" s="63"/>
      <c r="F646" s="63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4" x14ac:dyDescent="0.3">
      <c r="A647" s="17"/>
      <c r="B647" s="17"/>
      <c r="C647" s="63"/>
      <c r="D647" s="63"/>
      <c r="E647" s="63"/>
      <c r="F647" s="63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4" x14ac:dyDescent="0.3">
      <c r="A648" s="17"/>
      <c r="B648" s="17"/>
      <c r="C648" s="63"/>
      <c r="D648" s="63"/>
      <c r="E648" s="63"/>
      <c r="F648" s="63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4" x14ac:dyDescent="0.3">
      <c r="A649" s="17"/>
      <c r="B649" s="17"/>
      <c r="C649" s="63"/>
      <c r="D649" s="63"/>
      <c r="E649" s="63"/>
      <c r="F649" s="63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4" x14ac:dyDescent="0.3">
      <c r="A650" s="17"/>
      <c r="B650" s="17"/>
      <c r="C650" s="63"/>
      <c r="D650" s="63"/>
      <c r="E650" s="63"/>
      <c r="F650" s="63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4" x14ac:dyDescent="0.3">
      <c r="A651" s="17"/>
      <c r="B651" s="17"/>
      <c r="C651" s="63"/>
      <c r="D651" s="63"/>
      <c r="E651" s="63"/>
      <c r="F651" s="63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4" x14ac:dyDescent="0.3">
      <c r="A652" s="17"/>
      <c r="B652" s="17"/>
      <c r="C652" s="63"/>
      <c r="D652" s="63"/>
      <c r="E652" s="63"/>
      <c r="F652" s="63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4" x14ac:dyDescent="0.3">
      <c r="A653" s="17"/>
      <c r="B653" s="17"/>
      <c r="C653" s="63"/>
      <c r="D653" s="63"/>
      <c r="E653" s="63"/>
      <c r="F653" s="63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4" x14ac:dyDescent="0.3">
      <c r="A654" s="17"/>
      <c r="B654" s="17"/>
      <c r="C654" s="63"/>
      <c r="D654" s="63"/>
      <c r="E654" s="63"/>
      <c r="F654" s="63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4" x14ac:dyDescent="0.3">
      <c r="A655" s="17"/>
      <c r="B655" s="17"/>
      <c r="C655" s="63"/>
      <c r="D655" s="63"/>
      <c r="E655" s="63"/>
      <c r="F655" s="63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4" x14ac:dyDescent="0.3">
      <c r="A656" s="17"/>
      <c r="B656" s="17"/>
      <c r="C656" s="63"/>
      <c r="D656" s="63"/>
      <c r="E656" s="63"/>
      <c r="F656" s="63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4" x14ac:dyDescent="0.3">
      <c r="A657" s="17"/>
      <c r="B657" s="17"/>
      <c r="C657" s="63"/>
      <c r="D657" s="63"/>
      <c r="E657" s="63"/>
      <c r="F657" s="63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4" x14ac:dyDescent="0.3">
      <c r="A658" s="17"/>
      <c r="B658" s="17"/>
      <c r="C658" s="63"/>
      <c r="D658" s="63"/>
      <c r="E658" s="63"/>
      <c r="F658" s="63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4" x14ac:dyDescent="0.3">
      <c r="A659" s="17"/>
      <c r="B659" s="17"/>
      <c r="C659" s="63"/>
      <c r="D659" s="63"/>
      <c r="E659" s="63"/>
      <c r="F659" s="63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4" x14ac:dyDescent="0.3">
      <c r="A660" s="17"/>
      <c r="B660" s="17"/>
      <c r="C660" s="63"/>
      <c r="D660" s="63"/>
      <c r="E660" s="63"/>
      <c r="F660" s="63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4" x14ac:dyDescent="0.3">
      <c r="A661" s="17"/>
      <c r="B661" s="17"/>
      <c r="C661" s="63"/>
      <c r="D661" s="63"/>
      <c r="E661" s="63"/>
      <c r="F661" s="63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4" x14ac:dyDescent="0.3">
      <c r="A662" s="17"/>
      <c r="B662" s="17"/>
      <c r="C662" s="63"/>
      <c r="D662" s="63"/>
      <c r="E662" s="63"/>
      <c r="F662" s="63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4" x14ac:dyDescent="0.3">
      <c r="A663" s="17"/>
      <c r="B663" s="17"/>
      <c r="C663" s="63"/>
      <c r="D663" s="63"/>
      <c r="E663" s="63"/>
      <c r="F663" s="63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4" x14ac:dyDescent="0.3">
      <c r="A664" s="17"/>
      <c r="B664" s="17"/>
      <c r="C664" s="63"/>
      <c r="D664" s="63"/>
      <c r="E664" s="63"/>
      <c r="F664" s="63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4" x14ac:dyDescent="0.3">
      <c r="A665" s="17"/>
      <c r="B665" s="17"/>
      <c r="C665" s="63"/>
      <c r="D665" s="63"/>
      <c r="E665" s="63"/>
      <c r="F665" s="63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4" x14ac:dyDescent="0.3">
      <c r="A666" s="17"/>
      <c r="B666" s="17"/>
      <c r="C666" s="63"/>
      <c r="D666" s="63"/>
      <c r="E666" s="63"/>
      <c r="F666" s="63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4" x14ac:dyDescent="0.3">
      <c r="A667" s="17"/>
      <c r="B667" s="17"/>
      <c r="C667" s="63"/>
      <c r="D667" s="63"/>
      <c r="E667" s="63"/>
      <c r="F667" s="63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4" x14ac:dyDescent="0.3">
      <c r="A668" s="17"/>
      <c r="B668" s="17"/>
      <c r="C668" s="63"/>
      <c r="D668" s="63"/>
      <c r="E668" s="63"/>
      <c r="F668" s="63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4" x14ac:dyDescent="0.3">
      <c r="A669" s="17"/>
      <c r="B669" s="17"/>
      <c r="C669" s="63"/>
      <c r="D669" s="63"/>
      <c r="E669" s="63"/>
      <c r="F669" s="63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4" x14ac:dyDescent="0.3">
      <c r="A670" s="17"/>
      <c r="B670" s="17"/>
      <c r="C670" s="63"/>
      <c r="D670" s="63"/>
      <c r="E670" s="63"/>
      <c r="F670" s="63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4" x14ac:dyDescent="0.3">
      <c r="A671" s="17"/>
      <c r="B671" s="17"/>
      <c r="C671" s="63"/>
      <c r="D671" s="63"/>
      <c r="E671" s="63"/>
      <c r="F671" s="63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4" x14ac:dyDescent="0.3">
      <c r="A672" s="17"/>
      <c r="B672" s="17"/>
      <c r="C672" s="63"/>
      <c r="D672" s="63"/>
      <c r="E672" s="63"/>
      <c r="F672" s="63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4" x14ac:dyDescent="0.3">
      <c r="A673" s="17"/>
      <c r="B673" s="17"/>
      <c r="C673" s="63"/>
      <c r="D673" s="63"/>
      <c r="E673" s="63"/>
      <c r="F673" s="63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4" x14ac:dyDescent="0.3">
      <c r="A674" s="17"/>
      <c r="B674" s="17"/>
      <c r="C674" s="63"/>
      <c r="D674" s="63"/>
      <c r="E674" s="63"/>
      <c r="F674" s="63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4" x14ac:dyDescent="0.3">
      <c r="A675" s="17"/>
      <c r="B675" s="17"/>
      <c r="C675" s="63"/>
      <c r="D675" s="63"/>
      <c r="E675" s="63"/>
      <c r="F675" s="63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4" x14ac:dyDescent="0.3">
      <c r="A676" s="17"/>
      <c r="B676" s="17"/>
      <c r="C676" s="63"/>
      <c r="D676" s="63"/>
      <c r="E676" s="63"/>
      <c r="F676" s="63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4" x14ac:dyDescent="0.3">
      <c r="A677" s="17"/>
      <c r="B677" s="17"/>
      <c r="C677" s="63"/>
      <c r="D677" s="63"/>
      <c r="E677" s="63"/>
      <c r="F677" s="63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4" x14ac:dyDescent="0.3">
      <c r="A678" s="17"/>
      <c r="B678" s="17"/>
      <c r="C678" s="63"/>
      <c r="D678" s="63"/>
      <c r="E678" s="63"/>
      <c r="F678" s="63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4" x14ac:dyDescent="0.3">
      <c r="A679" s="17"/>
      <c r="B679" s="17"/>
      <c r="C679" s="63"/>
      <c r="D679" s="63"/>
      <c r="E679" s="63"/>
      <c r="F679" s="63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4" x14ac:dyDescent="0.3">
      <c r="A680" s="17"/>
      <c r="B680" s="17"/>
      <c r="C680" s="63"/>
      <c r="D680" s="63"/>
      <c r="E680" s="63"/>
      <c r="F680" s="63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4" x14ac:dyDescent="0.3">
      <c r="A681" s="17"/>
      <c r="B681" s="17"/>
      <c r="C681" s="63"/>
      <c r="D681" s="63"/>
      <c r="E681" s="63"/>
      <c r="F681" s="63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4" x14ac:dyDescent="0.3">
      <c r="A682" s="17"/>
      <c r="B682" s="17"/>
      <c r="C682" s="63"/>
      <c r="D682" s="63"/>
      <c r="E682" s="63"/>
      <c r="F682" s="63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4" x14ac:dyDescent="0.3">
      <c r="A683" s="17"/>
      <c r="B683" s="17"/>
      <c r="C683" s="63"/>
      <c r="D683" s="63"/>
      <c r="E683" s="63"/>
      <c r="F683" s="63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4" x14ac:dyDescent="0.3">
      <c r="A684" s="17"/>
      <c r="B684" s="17"/>
      <c r="C684" s="63"/>
      <c r="D684" s="63"/>
      <c r="E684" s="63"/>
      <c r="F684" s="63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4" x14ac:dyDescent="0.3">
      <c r="A685" s="17"/>
      <c r="B685" s="17"/>
      <c r="C685" s="63"/>
      <c r="D685" s="63"/>
      <c r="E685" s="63"/>
      <c r="F685" s="63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4" x14ac:dyDescent="0.3">
      <c r="A686" s="17"/>
      <c r="B686" s="17"/>
      <c r="C686" s="63"/>
      <c r="D686" s="63"/>
      <c r="E686" s="63"/>
      <c r="F686" s="63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4" x14ac:dyDescent="0.3">
      <c r="A687" s="17"/>
      <c r="B687" s="17"/>
      <c r="C687" s="63"/>
      <c r="D687" s="63"/>
      <c r="E687" s="63"/>
      <c r="F687" s="63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4" x14ac:dyDescent="0.3">
      <c r="A688" s="17"/>
      <c r="B688" s="17"/>
      <c r="C688" s="63"/>
      <c r="D688" s="63"/>
      <c r="E688" s="63"/>
      <c r="F688" s="63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4" x14ac:dyDescent="0.3">
      <c r="A689" s="17"/>
      <c r="B689" s="17"/>
      <c r="C689" s="63"/>
      <c r="D689" s="63"/>
      <c r="E689" s="63"/>
      <c r="F689" s="63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4" x14ac:dyDescent="0.3">
      <c r="A690" s="17"/>
      <c r="B690" s="17"/>
      <c r="C690" s="63"/>
      <c r="D690" s="63"/>
      <c r="E690" s="63"/>
      <c r="F690" s="63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4" x14ac:dyDescent="0.3">
      <c r="A691" s="17"/>
      <c r="B691" s="17"/>
      <c r="C691" s="63"/>
      <c r="D691" s="63"/>
      <c r="E691" s="63"/>
      <c r="F691" s="63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4" x14ac:dyDescent="0.3">
      <c r="A692" s="17"/>
      <c r="B692" s="17"/>
      <c r="C692" s="63"/>
      <c r="D692" s="63"/>
      <c r="E692" s="63"/>
      <c r="F692" s="63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4" x14ac:dyDescent="0.3">
      <c r="A693" s="17"/>
      <c r="B693" s="17"/>
      <c r="C693" s="63"/>
      <c r="D693" s="63"/>
      <c r="E693" s="63"/>
      <c r="F693" s="63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4" x14ac:dyDescent="0.3">
      <c r="A694" s="17"/>
      <c r="B694" s="17"/>
      <c r="C694" s="63"/>
      <c r="D694" s="63"/>
      <c r="E694" s="63"/>
      <c r="F694" s="63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4" x14ac:dyDescent="0.3">
      <c r="A695" s="17"/>
      <c r="B695" s="17"/>
      <c r="C695" s="63"/>
      <c r="D695" s="63"/>
      <c r="E695" s="63"/>
      <c r="F695" s="63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4" x14ac:dyDescent="0.3">
      <c r="A696" s="17"/>
      <c r="B696" s="17"/>
      <c r="C696" s="63"/>
      <c r="D696" s="63"/>
      <c r="E696" s="63"/>
      <c r="F696" s="63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4" x14ac:dyDescent="0.3">
      <c r="A697" s="17"/>
      <c r="B697" s="17"/>
      <c r="C697" s="63"/>
      <c r="D697" s="63"/>
      <c r="E697" s="63"/>
      <c r="F697" s="63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4" x14ac:dyDescent="0.3">
      <c r="A698" s="17"/>
      <c r="B698" s="17"/>
      <c r="C698" s="63"/>
      <c r="D698" s="63"/>
      <c r="E698" s="63"/>
      <c r="F698" s="63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4" x14ac:dyDescent="0.3">
      <c r="A699" s="17"/>
      <c r="B699" s="17"/>
      <c r="C699" s="63"/>
      <c r="D699" s="63"/>
      <c r="E699" s="63"/>
      <c r="F699" s="63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4" x14ac:dyDescent="0.3">
      <c r="A700" s="17"/>
      <c r="B700" s="17"/>
      <c r="C700" s="63"/>
      <c r="D700" s="63"/>
      <c r="E700" s="63"/>
      <c r="F700" s="63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4" x14ac:dyDescent="0.3">
      <c r="A701" s="17"/>
      <c r="B701" s="17"/>
      <c r="C701" s="63"/>
      <c r="D701" s="63"/>
      <c r="E701" s="63"/>
      <c r="F701" s="63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4" x14ac:dyDescent="0.3">
      <c r="A702" s="17"/>
      <c r="B702" s="17"/>
      <c r="C702" s="63"/>
      <c r="D702" s="63"/>
      <c r="E702" s="63"/>
      <c r="F702" s="63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4" x14ac:dyDescent="0.3">
      <c r="A703" s="17"/>
      <c r="B703" s="17"/>
      <c r="C703" s="63"/>
      <c r="D703" s="63"/>
      <c r="E703" s="63"/>
      <c r="F703" s="63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4" x14ac:dyDescent="0.3">
      <c r="A704" s="17"/>
      <c r="B704" s="17"/>
      <c r="C704" s="63"/>
      <c r="D704" s="63"/>
      <c r="E704" s="63"/>
      <c r="F704" s="63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4" x14ac:dyDescent="0.3">
      <c r="A705" s="17"/>
      <c r="B705" s="17"/>
      <c r="C705" s="63"/>
      <c r="D705" s="63"/>
      <c r="E705" s="63"/>
      <c r="F705" s="63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4" x14ac:dyDescent="0.3">
      <c r="A706" s="17"/>
      <c r="B706" s="17"/>
      <c r="C706" s="63"/>
      <c r="D706" s="63"/>
      <c r="E706" s="63"/>
      <c r="F706" s="63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4" x14ac:dyDescent="0.3">
      <c r="A707" s="17"/>
      <c r="B707" s="17"/>
      <c r="C707" s="63"/>
      <c r="D707" s="63"/>
      <c r="E707" s="63"/>
      <c r="F707" s="63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4" x14ac:dyDescent="0.3">
      <c r="A708" s="17"/>
      <c r="B708" s="17"/>
      <c r="C708" s="63"/>
      <c r="D708" s="63"/>
      <c r="E708" s="63"/>
      <c r="F708" s="63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4" x14ac:dyDescent="0.3">
      <c r="A709" s="17"/>
      <c r="B709" s="17"/>
      <c r="C709" s="63"/>
      <c r="D709" s="63"/>
      <c r="E709" s="63"/>
      <c r="F709" s="63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4" x14ac:dyDescent="0.3">
      <c r="A710" s="17"/>
      <c r="B710" s="17"/>
      <c r="C710" s="63"/>
      <c r="D710" s="63"/>
      <c r="E710" s="63"/>
      <c r="F710" s="63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4" x14ac:dyDescent="0.3">
      <c r="A711" s="17"/>
      <c r="B711" s="17"/>
      <c r="C711" s="63"/>
      <c r="D711" s="63"/>
      <c r="E711" s="63"/>
      <c r="F711" s="63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4" x14ac:dyDescent="0.3">
      <c r="A712" s="17"/>
      <c r="B712" s="17"/>
      <c r="C712" s="63"/>
      <c r="D712" s="63"/>
      <c r="E712" s="63"/>
      <c r="F712" s="63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4" x14ac:dyDescent="0.3">
      <c r="A713" s="17"/>
      <c r="B713" s="17"/>
      <c r="C713" s="63"/>
      <c r="D713" s="63"/>
      <c r="E713" s="63"/>
      <c r="F713" s="63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4" x14ac:dyDescent="0.3">
      <c r="A714" s="17"/>
      <c r="B714" s="17"/>
      <c r="C714" s="63"/>
      <c r="D714" s="63"/>
      <c r="E714" s="63"/>
      <c r="F714" s="63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4" x14ac:dyDescent="0.3">
      <c r="A715" s="17"/>
      <c r="B715" s="17"/>
      <c r="C715" s="63"/>
      <c r="D715" s="63"/>
      <c r="E715" s="63"/>
      <c r="F715" s="63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4" x14ac:dyDescent="0.3">
      <c r="A716" s="17"/>
      <c r="B716" s="17"/>
      <c r="C716" s="63"/>
      <c r="D716" s="63"/>
      <c r="E716" s="63"/>
      <c r="F716" s="63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4" x14ac:dyDescent="0.3">
      <c r="A717" s="17"/>
      <c r="B717" s="17"/>
      <c r="C717" s="63"/>
      <c r="D717" s="63"/>
      <c r="E717" s="63"/>
      <c r="F717" s="63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4" x14ac:dyDescent="0.3">
      <c r="A718" s="17"/>
      <c r="B718" s="17"/>
      <c r="C718" s="63"/>
      <c r="D718" s="63"/>
      <c r="E718" s="63"/>
      <c r="F718" s="63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4" x14ac:dyDescent="0.3">
      <c r="A719" s="17"/>
      <c r="B719" s="17"/>
      <c r="C719" s="63"/>
      <c r="D719" s="63"/>
      <c r="E719" s="63"/>
      <c r="F719" s="63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4" x14ac:dyDescent="0.3">
      <c r="A720" s="17"/>
      <c r="B720" s="17"/>
      <c r="C720" s="63"/>
      <c r="D720" s="63"/>
      <c r="E720" s="63"/>
      <c r="F720" s="63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4" x14ac:dyDescent="0.3">
      <c r="A721" s="17"/>
      <c r="B721" s="17"/>
      <c r="C721" s="63"/>
      <c r="D721" s="63"/>
      <c r="E721" s="63"/>
      <c r="F721" s="63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4" x14ac:dyDescent="0.3">
      <c r="A722" s="17"/>
      <c r="B722" s="17"/>
      <c r="C722" s="63"/>
      <c r="D722" s="63"/>
      <c r="E722" s="63"/>
      <c r="F722" s="63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4" x14ac:dyDescent="0.3">
      <c r="A723" s="17"/>
      <c r="B723" s="17"/>
      <c r="C723" s="63"/>
      <c r="D723" s="63"/>
      <c r="E723" s="63"/>
      <c r="F723" s="63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4" x14ac:dyDescent="0.3">
      <c r="A724" s="17"/>
      <c r="B724" s="17"/>
      <c r="C724" s="63"/>
      <c r="D724" s="63"/>
      <c r="E724" s="63"/>
      <c r="F724" s="63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4" x14ac:dyDescent="0.3">
      <c r="A725" s="17"/>
      <c r="B725" s="17"/>
      <c r="C725" s="63"/>
      <c r="D725" s="63"/>
      <c r="E725" s="63"/>
      <c r="F725" s="63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4" x14ac:dyDescent="0.3">
      <c r="A726" s="17"/>
      <c r="B726" s="17"/>
      <c r="C726" s="63"/>
      <c r="D726" s="63"/>
      <c r="E726" s="63"/>
      <c r="F726" s="63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4" x14ac:dyDescent="0.3">
      <c r="A727" s="17"/>
      <c r="B727" s="17"/>
      <c r="C727" s="63"/>
      <c r="D727" s="63"/>
      <c r="E727" s="63"/>
      <c r="F727" s="63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4" x14ac:dyDescent="0.3">
      <c r="A728" s="17"/>
      <c r="B728" s="17"/>
      <c r="C728" s="63"/>
      <c r="D728" s="63"/>
      <c r="E728" s="63"/>
      <c r="F728" s="63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4" x14ac:dyDescent="0.3">
      <c r="A729" s="17"/>
      <c r="B729" s="17"/>
      <c r="C729" s="63"/>
      <c r="D729" s="63"/>
      <c r="E729" s="63"/>
      <c r="F729" s="63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4" x14ac:dyDescent="0.3">
      <c r="A730" s="17"/>
      <c r="B730" s="17"/>
      <c r="C730" s="63"/>
      <c r="D730" s="63"/>
      <c r="E730" s="63"/>
      <c r="F730" s="63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4" x14ac:dyDescent="0.3">
      <c r="A731" s="17"/>
      <c r="B731" s="17"/>
      <c r="C731" s="63"/>
      <c r="D731" s="63"/>
      <c r="E731" s="63"/>
      <c r="F731" s="63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4" x14ac:dyDescent="0.3">
      <c r="A732" s="17"/>
      <c r="B732" s="17"/>
      <c r="C732" s="63"/>
      <c r="D732" s="63"/>
      <c r="E732" s="63"/>
      <c r="F732" s="63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4" x14ac:dyDescent="0.3">
      <c r="A733" s="17"/>
      <c r="B733" s="17"/>
      <c r="C733" s="63"/>
      <c r="D733" s="63"/>
      <c r="E733" s="63"/>
      <c r="F733" s="63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4" x14ac:dyDescent="0.3">
      <c r="A734" s="17"/>
      <c r="B734" s="17"/>
      <c r="C734" s="63"/>
      <c r="D734" s="63"/>
      <c r="E734" s="63"/>
      <c r="F734" s="63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4" x14ac:dyDescent="0.3">
      <c r="A735" s="17"/>
      <c r="B735" s="17"/>
      <c r="C735" s="63"/>
      <c r="D735" s="63"/>
      <c r="E735" s="63"/>
      <c r="F735" s="63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4" x14ac:dyDescent="0.3">
      <c r="A736" s="17"/>
      <c r="B736" s="17"/>
      <c r="C736" s="63"/>
      <c r="D736" s="63"/>
      <c r="E736" s="63"/>
      <c r="F736" s="63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4" x14ac:dyDescent="0.3">
      <c r="A737" s="17"/>
      <c r="B737" s="17"/>
      <c r="C737" s="63"/>
      <c r="D737" s="63"/>
      <c r="E737" s="63"/>
      <c r="F737" s="63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4" x14ac:dyDescent="0.3">
      <c r="A738" s="17"/>
      <c r="B738" s="17"/>
      <c r="C738" s="63"/>
      <c r="D738" s="63"/>
      <c r="E738" s="63"/>
      <c r="F738" s="63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4" x14ac:dyDescent="0.3">
      <c r="A739" s="17"/>
      <c r="B739" s="17"/>
      <c r="C739" s="63"/>
      <c r="D739" s="63"/>
      <c r="E739" s="63"/>
      <c r="F739" s="63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4" x14ac:dyDescent="0.3">
      <c r="A740" s="17"/>
      <c r="B740" s="17"/>
      <c r="C740" s="63"/>
      <c r="D740" s="63"/>
      <c r="E740" s="63"/>
      <c r="F740" s="63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4" x14ac:dyDescent="0.3">
      <c r="A741" s="17"/>
      <c r="B741" s="17"/>
      <c r="C741" s="63"/>
      <c r="D741" s="63"/>
      <c r="E741" s="63"/>
      <c r="F741" s="63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4" x14ac:dyDescent="0.3">
      <c r="A742" s="17"/>
      <c r="B742" s="17"/>
      <c r="C742" s="63"/>
      <c r="D742" s="63"/>
      <c r="E742" s="63"/>
      <c r="F742" s="63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4" x14ac:dyDescent="0.3">
      <c r="A743" s="17"/>
      <c r="B743" s="17"/>
      <c r="C743" s="63"/>
      <c r="D743" s="63"/>
      <c r="E743" s="63"/>
      <c r="F743" s="63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4" x14ac:dyDescent="0.3">
      <c r="A744" s="17"/>
      <c r="B744" s="17"/>
      <c r="C744" s="63"/>
      <c r="D744" s="63"/>
      <c r="E744" s="63"/>
      <c r="F744" s="63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4" x14ac:dyDescent="0.3">
      <c r="A745" s="17"/>
      <c r="B745" s="17"/>
      <c r="C745" s="63"/>
      <c r="D745" s="63"/>
      <c r="E745" s="63"/>
      <c r="F745" s="63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4" x14ac:dyDescent="0.3">
      <c r="A746" s="17"/>
      <c r="B746" s="17"/>
      <c r="C746" s="63"/>
      <c r="D746" s="63"/>
      <c r="E746" s="63"/>
      <c r="F746" s="63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4" x14ac:dyDescent="0.3">
      <c r="A747" s="17"/>
      <c r="B747" s="17"/>
      <c r="C747" s="63"/>
      <c r="D747" s="63"/>
      <c r="E747" s="63"/>
      <c r="F747" s="63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4" x14ac:dyDescent="0.3">
      <c r="A748" s="17"/>
      <c r="B748" s="17"/>
      <c r="C748" s="63"/>
      <c r="D748" s="63"/>
      <c r="E748" s="63"/>
      <c r="F748" s="63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4" x14ac:dyDescent="0.3">
      <c r="A749" s="17"/>
      <c r="B749" s="17"/>
      <c r="C749" s="63"/>
      <c r="D749" s="63"/>
      <c r="E749" s="63"/>
      <c r="F749" s="63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4" x14ac:dyDescent="0.3">
      <c r="A750" s="17"/>
      <c r="B750" s="17"/>
      <c r="C750" s="63"/>
      <c r="D750" s="63"/>
      <c r="E750" s="63"/>
      <c r="F750" s="63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4" x14ac:dyDescent="0.3">
      <c r="A751" s="17"/>
      <c r="B751" s="17"/>
      <c r="C751" s="63"/>
      <c r="D751" s="63"/>
      <c r="E751" s="63"/>
      <c r="F751" s="63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4" x14ac:dyDescent="0.3">
      <c r="A752" s="17"/>
      <c r="B752" s="17"/>
      <c r="C752" s="63"/>
      <c r="D752" s="63"/>
      <c r="E752" s="63"/>
      <c r="F752" s="63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4" x14ac:dyDescent="0.3">
      <c r="A753" s="17"/>
      <c r="B753" s="17"/>
      <c r="C753" s="63"/>
      <c r="D753" s="63"/>
      <c r="E753" s="63"/>
      <c r="F753" s="63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4" x14ac:dyDescent="0.3">
      <c r="A754" s="17"/>
      <c r="B754" s="17"/>
      <c r="C754" s="63"/>
      <c r="D754" s="63"/>
      <c r="E754" s="63"/>
      <c r="F754" s="63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4" x14ac:dyDescent="0.3">
      <c r="A755" s="17"/>
      <c r="B755" s="17"/>
      <c r="C755" s="63"/>
      <c r="D755" s="63"/>
      <c r="E755" s="63"/>
      <c r="F755" s="63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4" x14ac:dyDescent="0.3">
      <c r="A756" s="17"/>
      <c r="B756" s="17"/>
      <c r="C756" s="63"/>
      <c r="D756" s="63"/>
      <c r="E756" s="63"/>
      <c r="F756" s="63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4" x14ac:dyDescent="0.3">
      <c r="A757" s="17"/>
      <c r="B757" s="17"/>
      <c r="C757" s="63"/>
      <c r="D757" s="63"/>
      <c r="E757" s="63"/>
      <c r="F757" s="63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4" x14ac:dyDescent="0.3">
      <c r="A758" s="17"/>
      <c r="B758" s="17"/>
      <c r="C758" s="63"/>
      <c r="D758" s="63"/>
      <c r="E758" s="63"/>
      <c r="F758" s="63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4" x14ac:dyDescent="0.3">
      <c r="A759" s="17"/>
      <c r="B759" s="17"/>
      <c r="C759" s="63"/>
      <c r="D759" s="63"/>
      <c r="E759" s="63"/>
      <c r="F759" s="63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4" x14ac:dyDescent="0.3">
      <c r="A760" s="17"/>
      <c r="B760" s="17"/>
      <c r="C760" s="63"/>
      <c r="D760" s="63"/>
      <c r="E760" s="63"/>
      <c r="F760" s="63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4" x14ac:dyDescent="0.3">
      <c r="A761" s="17"/>
      <c r="B761" s="17"/>
      <c r="C761" s="63"/>
      <c r="D761" s="63"/>
      <c r="E761" s="63"/>
      <c r="F761" s="63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4" x14ac:dyDescent="0.3">
      <c r="A762" s="17"/>
      <c r="B762" s="17"/>
      <c r="C762" s="63"/>
      <c r="D762" s="63"/>
      <c r="E762" s="63"/>
      <c r="F762" s="63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4" x14ac:dyDescent="0.3">
      <c r="A763" s="17"/>
      <c r="B763" s="17"/>
      <c r="C763" s="63"/>
      <c r="D763" s="63"/>
      <c r="E763" s="63"/>
      <c r="F763" s="63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4" x14ac:dyDescent="0.3">
      <c r="A764" s="17"/>
      <c r="B764" s="17"/>
      <c r="C764" s="63"/>
      <c r="D764" s="63"/>
      <c r="E764" s="63"/>
      <c r="F764" s="63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4" x14ac:dyDescent="0.3">
      <c r="A765" s="17"/>
      <c r="B765" s="17"/>
      <c r="C765" s="63"/>
      <c r="D765" s="63"/>
      <c r="E765" s="63"/>
      <c r="F765" s="63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4" x14ac:dyDescent="0.3">
      <c r="A766" s="17"/>
      <c r="B766" s="17"/>
      <c r="C766" s="63"/>
      <c r="D766" s="63"/>
      <c r="E766" s="63"/>
      <c r="F766" s="63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4" x14ac:dyDescent="0.3">
      <c r="A767" s="17"/>
      <c r="B767" s="17"/>
      <c r="C767" s="63"/>
      <c r="D767" s="63"/>
      <c r="E767" s="63"/>
      <c r="F767" s="63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4" x14ac:dyDescent="0.3">
      <c r="A768" s="17"/>
      <c r="B768" s="17"/>
      <c r="C768" s="63"/>
      <c r="D768" s="63"/>
      <c r="E768" s="63"/>
      <c r="F768" s="63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4" x14ac:dyDescent="0.3">
      <c r="A769" s="17"/>
      <c r="B769" s="17"/>
      <c r="C769" s="63"/>
      <c r="D769" s="63"/>
      <c r="E769" s="63"/>
      <c r="F769" s="63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4" x14ac:dyDescent="0.3">
      <c r="A770" s="17"/>
      <c r="B770" s="17"/>
      <c r="C770" s="63"/>
      <c r="D770" s="63"/>
      <c r="E770" s="63"/>
      <c r="F770" s="63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4" x14ac:dyDescent="0.3">
      <c r="A771" s="17"/>
      <c r="B771" s="17"/>
      <c r="C771" s="63"/>
      <c r="D771" s="63"/>
      <c r="E771" s="63"/>
      <c r="F771" s="63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4" x14ac:dyDescent="0.3">
      <c r="A772" s="17"/>
      <c r="B772" s="17"/>
      <c r="C772" s="63"/>
      <c r="D772" s="63"/>
      <c r="E772" s="63"/>
      <c r="F772" s="63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4" x14ac:dyDescent="0.3">
      <c r="A773" s="17"/>
      <c r="B773" s="17"/>
      <c r="C773" s="63"/>
      <c r="D773" s="63"/>
      <c r="E773" s="63"/>
      <c r="F773" s="63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4" x14ac:dyDescent="0.3">
      <c r="A774" s="17"/>
      <c r="B774" s="17"/>
      <c r="C774" s="63"/>
      <c r="D774" s="63"/>
      <c r="E774" s="63"/>
      <c r="F774" s="63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4" x14ac:dyDescent="0.3">
      <c r="A775" s="17"/>
      <c r="B775" s="17"/>
      <c r="C775" s="63"/>
      <c r="D775" s="63"/>
      <c r="E775" s="63"/>
      <c r="F775" s="63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4" x14ac:dyDescent="0.3">
      <c r="A776" s="17"/>
      <c r="B776" s="17"/>
      <c r="C776" s="63"/>
      <c r="D776" s="63"/>
      <c r="E776" s="63"/>
      <c r="F776" s="63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4" x14ac:dyDescent="0.3">
      <c r="A777" s="17"/>
      <c r="B777" s="17"/>
      <c r="C777" s="63"/>
      <c r="D777" s="63"/>
      <c r="E777" s="63"/>
      <c r="F777" s="63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4" x14ac:dyDescent="0.3">
      <c r="A778" s="17"/>
      <c r="B778" s="17"/>
      <c r="C778" s="63"/>
      <c r="D778" s="63"/>
      <c r="E778" s="63"/>
      <c r="F778" s="63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4" x14ac:dyDescent="0.3">
      <c r="A779" s="17"/>
      <c r="B779" s="17"/>
      <c r="C779" s="63"/>
      <c r="D779" s="63"/>
      <c r="E779" s="63"/>
      <c r="F779" s="63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4" x14ac:dyDescent="0.3">
      <c r="A780" s="17"/>
      <c r="B780" s="17"/>
      <c r="C780" s="63"/>
      <c r="D780" s="63"/>
      <c r="E780" s="63"/>
      <c r="F780" s="63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4" x14ac:dyDescent="0.3">
      <c r="A781" s="17"/>
      <c r="B781" s="17"/>
      <c r="C781" s="63"/>
      <c r="D781" s="63"/>
      <c r="E781" s="63"/>
      <c r="F781" s="63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4" x14ac:dyDescent="0.3">
      <c r="A782" s="17"/>
      <c r="B782" s="17"/>
      <c r="C782" s="63"/>
      <c r="D782" s="63"/>
      <c r="E782" s="63"/>
      <c r="F782" s="63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4" x14ac:dyDescent="0.3">
      <c r="A783" s="17"/>
      <c r="B783" s="17"/>
      <c r="C783" s="63"/>
      <c r="D783" s="63"/>
      <c r="E783" s="63"/>
      <c r="F783" s="63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4" x14ac:dyDescent="0.3">
      <c r="A784" s="17"/>
      <c r="B784" s="17"/>
      <c r="C784" s="63"/>
      <c r="D784" s="63"/>
      <c r="E784" s="63"/>
      <c r="F784" s="63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4" x14ac:dyDescent="0.3">
      <c r="A785" s="17"/>
      <c r="B785" s="17"/>
      <c r="C785" s="63"/>
      <c r="D785" s="63"/>
      <c r="E785" s="63"/>
      <c r="F785" s="63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4" x14ac:dyDescent="0.3">
      <c r="A786" s="17"/>
      <c r="B786" s="17"/>
      <c r="C786" s="63"/>
      <c r="D786" s="63"/>
      <c r="E786" s="63"/>
      <c r="F786" s="63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4" x14ac:dyDescent="0.3">
      <c r="A787" s="17"/>
      <c r="B787" s="17"/>
      <c r="C787" s="63"/>
      <c r="D787" s="63"/>
      <c r="E787" s="63"/>
      <c r="F787" s="63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4" x14ac:dyDescent="0.3">
      <c r="A788" s="17"/>
      <c r="B788" s="17"/>
      <c r="C788" s="63"/>
      <c r="D788" s="63"/>
      <c r="E788" s="63"/>
      <c r="F788" s="63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4" x14ac:dyDescent="0.3">
      <c r="A789" s="17"/>
      <c r="B789" s="17"/>
      <c r="C789" s="63"/>
      <c r="D789" s="63"/>
      <c r="E789" s="63"/>
      <c r="F789" s="63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4" x14ac:dyDescent="0.3">
      <c r="A790" s="17"/>
      <c r="B790" s="17"/>
      <c r="C790" s="63"/>
      <c r="D790" s="63"/>
      <c r="E790" s="63"/>
      <c r="F790" s="63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4" x14ac:dyDescent="0.3">
      <c r="A791" s="17"/>
      <c r="B791" s="17"/>
      <c r="C791" s="63"/>
      <c r="D791" s="63"/>
      <c r="E791" s="63"/>
      <c r="F791" s="63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4" x14ac:dyDescent="0.3">
      <c r="A792" s="17"/>
      <c r="B792" s="17"/>
      <c r="C792" s="63"/>
      <c r="D792" s="63"/>
      <c r="E792" s="63"/>
      <c r="F792" s="63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4" x14ac:dyDescent="0.3">
      <c r="A793" s="17"/>
      <c r="B793" s="17"/>
      <c r="C793" s="63"/>
      <c r="D793" s="63"/>
      <c r="E793" s="63"/>
      <c r="F793" s="63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4" x14ac:dyDescent="0.3">
      <c r="A794" s="17"/>
      <c r="B794" s="17"/>
      <c r="C794" s="63"/>
      <c r="D794" s="63"/>
      <c r="E794" s="63"/>
      <c r="F794" s="63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4" x14ac:dyDescent="0.3">
      <c r="A795" s="17"/>
      <c r="B795" s="17"/>
      <c r="C795" s="63"/>
      <c r="D795" s="63"/>
      <c r="E795" s="63"/>
      <c r="F795" s="63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4" x14ac:dyDescent="0.3">
      <c r="A796" s="17"/>
      <c r="B796" s="17"/>
      <c r="C796" s="63"/>
      <c r="D796" s="63"/>
      <c r="E796" s="63"/>
      <c r="F796" s="63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4" x14ac:dyDescent="0.3">
      <c r="A797" s="17"/>
      <c r="B797" s="17"/>
      <c r="C797" s="63"/>
      <c r="D797" s="63"/>
      <c r="E797" s="63"/>
      <c r="F797" s="63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4" x14ac:dyDescent="0.3">
      <c r="A798" s="17"/>
      <c r="B798" s="17"/>
      <c r="C798" s="63"/>
      <c r="D798" s="63"/>
      <c r="E798" s="63"/>
      <c r="F798" s="63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4" x14ac:dyDescent="0.3">
      <c r="A799" s="17"/>
      <c r="B799" s="17"/>
      <c r="C799" s="63"/>
      <c r="D799" s="63"/>
      <c r="E799" s="63"/>
      <c r="F799" s="63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4" x14ac:dyDescent="0.3">
      <c r="A800" s="17"/>
      <c r="B800" s="17"/>
      <c r="C800" s="63"/>
      <c r="D800" s="63"/>
      <c r="E800" s="63"/>
      <c r="F800" s="63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4" x14ac:dyDescent="0.3">
      <c r="A801" s="17"/>
      <c r="B801" s="17"/>
      <c r="C801" s="63"/>
      <c r="D801" s="63"/>
      <c r="E801" s="63"/>
      <c r="F801" s="63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4" x14ac:dyDescent="0.3">
      <c r="A802" s="17"/>
      <c r="B802" s="17"/>
      <c r="C802" s="63"/>
      <c r="D802" s="63"/>
      <c r="E802" s="63"/>
      <c r="F802" s="63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4" x14ac:dyDescent="0.3">
      <c r="A803" s="17"/>
      <c r="B803" s="17"/>
      <c r="C803" s="63"/>
      <c r="D803" s="63"/>
      <c r="E803" s="63"/>
      <c r="F803" s="63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4" x14ac:dyDescent="0.3">
      <c r="A804" s="17"/>
      <c r="B804" s="17"/>
      <c r="C804" s="63"/>
      <c r="D804" s="63"/>
      <c r="E804" s="63"/>
      <c r="F804" s="63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4" x14ac:dyDescent="0.3">
      <c r="A805" s="17"/>
      <c r="B805" s="17"/>
      <c r="C805" s="63"/>
      <c r="D805" s="63"/>
      <c r="E805" s="63"/>
      <c r="F805" s="63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4" x14ac:dyDescent="0.3">
      <c r="A806" s="17"/>
      <c r="B806" s="17"/>
      <c r="C806" s="63"/>
      <c r="D806" s="63"/>
      <c r="E806" s="63"/>
      <c r="F806" s="63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4" x14ac:dyDescent="0.3">
      <c r="A807" s="17"/>
      <c r="B807" s="17"/>
      <c r="C807" s="63"/>
      <c r="D807" s="63"/>
      <c r="E807" s="63"/>
      <c r="F807" s="63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4" x14ac:dyDescent="0.3">
      <c r="A808" s="17"/>
      <c r="B808" s="17"/>
      <c r="C808" s="63"/>
      <c r="D808" s="63"/>
      <c r="E808" s="63"/>
      <c r="F808" s="63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4" x14ac:dyDescent="0.3">
      <c r="A809" s="17"/>
      <c r="B809" s="17"/>
      <c r="C809" s="63"/>
      <c r="D809" s="63"/>
      <c r="E809" s="63"/>
      <c r="F809" s="63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4" x14ac:dyDescent="0.3">
      <c r="A810" s="17"/>
      <c r="B810" s="17"/>
      <c r="C810" s="63"/>
      <c r="D810" s="63"/>
      <c r="E810" s="63"/>
      <c r="F810" s="63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4" x14ac:dyDescent="0.3">
      <c r="A811" s="17"/>
      <c r="B811" s="17"/>
      <c r="C811" s="63"/>
      <c r="D811" s="63"/>
      <c r="E811" s="63"/>
      <c r="F811" s="63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4" x14ac:dyDescent="0.3">
      <c r="A812" s="17"/>
      <c r="B812" s="17"/>
      <c r="C812" s="63"/>
      <c r="D812" s="63"/>
      <c r="E812" s="63"/>
      <c r="F812" s="63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4" x14ac:dyDescent="0.3">
      <c r="A813" s="17"/>
      <c r="B813" s="17"/>
      <c r="C813" s="63"/>
      <c r="D813" s="63"/>
      <c r="E813" s="63"/>
      <c r="F813" s="63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4" x14ac:dyDescent="0.3">
      <c r="A814" s="17"/>
      <c r="B814" s="17"/>
      <c r="C814" s="63"/>
      <c r="D814" s="63"/>
      <c r="E814" s="63"/>
      <c r="F814" s="63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4" x14ac:dyDescent="0.3">
      <c r="A815" s="17"/>
      <c r="B815" s="17"/>
      <c r="C815" s="63"/>
      <c r="D815" s="63"/>
      <c r="E815" s="63"/>
      <c r="F815" s="63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4" x14ac:dyDescent="0.3">
      <c r="A816" s="17"/>
      <c r="B816" s="17"/>
      <c r="C816" s="63"/>
      <c r="D816" s="63"/>
      <c r="E816" s="63"/>
      <c r="F816" s="63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4" x14ac:dyDescent="0.3">
      <c r="A817" s="17"/>
      <c r="B817" s="17"/>
      <c r="C817" s="63"/>
      <c r="D817" s="63"/>
      <c r="E817" s="63"/>
      <c r="F817" s="63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4" x14ac:dyDescent="0.3">
      <c r="A818" s="17"/>
      <c r="B818" s="17"/>
      <c r="C818" s="63"/>
      <c r="D818" s="63"/>
      <c r="E818" s="63"/>
      <c r="F818" s="63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4" x14ac:dyDescent="0.3">
      <c r="A819" s="17"/>
      <c r="B819" s="17"/>
      <c r="C819" s="63"/>
      <c r="D819" s="63"/>
      <c r="E819" s="63"/>
      <c r="F819" s="63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4" x14ac:dyDescent="0.3">
      <c r="A820" s="17"/>
      <c r="B820" s="17"/>
      <c r="C820" s="63"/>
      <c r="D820" s="63"/>
      <c r="E820" s="63"/>
      <c r="F820" s="63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4" x14ac:dyDescent="0.3">
      <c r="A821" s="17"/>
      <c r="B821" s="17"/>
      <c r="C821" s="63"/>
      <c r="D821" s="63"/>
      <c r="E821" s="63"/>
      <c r="F821" s="63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4" x14ac:dyDescent="0.3">
      <c r="A822" s="17"/>
      <c r="B822" s="17"/>
      <c r="C822" s="63"/>
      <c r="D822" s="63"/>
      <c r="E822" s="63"/>
      <c r="F822" s="63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4" x14ac:dyDescent="0.3">
      <c r="A823" s="17"/>
      <c r="B823" s="17"/>
      <c r="C823" s="63"/>
      <c r="D823" s="63"/>
      <c r="E823" s="63"/>
      <c r="F823" s="63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4" x14ac:dyDescent="0.3">
      <c r="A824" s="17"/>
      <c r="B824" s="17"/>
      <c r="C824" s="63"/>
      <c r="D824" s="63"/>
      <c r="E824" s="63"/>
      <c r="F824" s="63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4" x14ac:dyDescent="0.3">
      <c r="A825" s="17"/>
      <c r="B825" s="17"/>
      <c r="C825" s="63"/>
      <c r="D825" s="63"/>
      <c r="E825" s="63"/>
      <c r="F825" s="63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4" x14ac:dyDescent="0.3">
      <c r="A826" s="17"/>
      <c r="B826" s="17"/>
      <c r="C826" s="63"/>
      <c r="D826" s="63"/>
      <c r="E826" s="63"/>
      <c r="F826" s="63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4" x14ac:dyDescent="0.3">
      <c r="A827" s="17"/>
      <c r="B827" s="17"/>
      <c r="C827" s="63"/>
      <c r="D827" s="63"/>
      <c r="E827" s="63"/>
      <c r="F827" s="63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4" x14ac:dyDescent="0.3">
      <c r="A828" s="17"/>
      <c r="B828" s="17"/>
      <c r="C828" s="63"/>
      <c r="D828" s="63"/>
      <c r="E828" s="63"/>
      <c r="F828" s="63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4" x14ac:dyDescent="0.3">
      <c r="A829" s="17"/>
      <c r="B829" s="17"/>
      <c r="C829" s="63"/>
      <c r="D829" s="63"/>
      <c r="E829" s="63"/>
      <c r="F829" s="63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4" x14ac:dyDescent="0.3">
      <c r="A830" s="17"/>
      <c r="B830" s="17"/>
      <c r="C830" s="63"/>
      <c r="D830" s="63"/>
      <c r="E830" s="63"/>
      <c r="F830" s="63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4" x14ac:dyDescent="0.3">
      <c r="A831" s="17"/>
      <c r="B831" s="17"/>
      <c r="C831" s="63"/>
      <c r="D831" s="63"/>
      <c r="E831" s="63"/>
      <c r="F831" s="63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4" x14ac:dyDescent="0.3">
      <c r="A832" s="17"/>
      <c r="B832" s="17"/>
      <c r="C832" s="63"/>
      <c r="D832" s="63"/>
      <c r="E832" s="63"/>
      <c r="F832" s="63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4" x14ac:dyDescent="0.3">
      <c r="A833" s="17"/>
      <c r="B833" s="17"/>
      <c r="C833" s="63"/>
      <c r="D833" s="63"/>
      <c r="E833" s="63"/>
      <c r="F833" s="63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4" x14ac:dyDescent="0.3">
      <c r="A834" s="17"/>
      <c r="B834" s="17"/>
      <c r="C834" s="63"/>
      <c r="D834" s="63"/>
      <c r="E834" s="63"/>
      <c r="F834" s="63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4" x14ac:dyDescent="0.3">
      <c r="A835" s="17"/>
      <c r="B835" s="17"/>
      <c r="C835" s="63"/>
      <c r="D835" s="63"/>
      <c r="E835" s="63"/>
      <c r="F835" s="63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4" x14ac:dyDescent="0.3">
      <c r="A836" s="17"/>
      <c r="B836" s="17"/>
      <c r="C836" s="63"/>
      <c r="D836" s="63"/>
      <c r="E836" s="63"/>
      <c r="F836" s="63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4" x14ac:dyDescent="0.3">
      <c r="A837" s="17"/>
      <c r="B837" s="17"/>
      <c r="C837" s="63"/>
      <c r="D837" s="63"/>
      <c r="E837" s="63"/>
      <c r="F837" s="63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4" x14ac:dyDescent="0.3">
      <c r="A838" s="17"/>
      <c r="B838" s="17"/>
      <c r="C838" s="63"/>
      <c r="D838" s="63"/>
      <c r="E838" s="63"/>
      <c r="F838" s="63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4" x14ac:dyDescent="0.3">
      <c r="A839" s="17"/>
      <c r="B839" s="17"/>
      <c r="C839" s="63"/>
      <c r="D839" s="63"/>
      <c r="E839" s="63"/>
      <c r="F839" s="63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4" x14ac:dyDescent="0.3">
      <c r="A840" s="17"/>
      <c r="B840" s="17"/>
      <c r="C840" s="63"/>
      <c r="D840" s="63"/>
      <c r="E840" s="63"/>
      <c r="F840" s="63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4" x14ac:dyDescent="0.3">
      <c r="A841" s="17"/>
      <c r="B841" s="17"/>
      <c r="C841" s="63"/>
      <c r="D841" s="63"/>
      <c r="E841" s="63"/>
      <c r="F841" s="63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4" x14ac:dyDescent="0.3">
      <c r="A842" s="17"/>
      <c r="B842" s="17"/>
      <c r="C842" s="63"/>
      <c r="D842" s="63"/>
      <c r="E842" s="63"/>
      <c r="F842" s="63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4" x14ac:dyDescent="0.3">
      <c r="A843" s="17"/>
      <c r="B843" s="17"/>
      <c r="C843" s="63"/>
      <c r="D843" s="63"/>
      <c r="E843" s="63"/>
      <c r="F843" s="63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4" x14ac:dyDescent="0.3">
      <c r="A844" s="17"/>
      <c r="B844" s="17"/>
      <c r="C844" s="63"/>
      <c r="D844" s="63"/>
      <c r="E844" s="63"/>
      <c r="F844" s="63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4" x14ac:dyDescent="0.3">
      <c r="A845" s="17"/>
      <c r="B845" s="17"/>
      <c r="C845" s="63"/>
      <c r="D845" s="63"/>
      <c r="E845" s="63"/>
      <c r="F845" s="63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4" x14ac:dyDescent="0.3">
      <c r="A846" s="17"/>
      <c r="B846" s="17"/>
      <c r="C846" s="63"/>
      <c r="D846" s="63"/>
      <c r="E846" s="63"/>
      <c r="F846" s="63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4" x14ac:dyDescent="0.3">
      <c r="A847" s="17"/>
      <c r="B847" s="17"/>
      <c r="C847" s="63"/>
      <c r="D847" s="63"/>
      <c r="E847" s="63"/>
      <c r="F847" s="63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4" x14ac:dyDescent="0.3">
      <c r="A848" s="17"/>
      <c r="B848" s="17"/>
      <c r="C848" s="63"/>
      <c r="D848" s="63"/>
      <c r="E848" s="63"/>
      <c r="F848" s="63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4" x14ac:dyDescent="0.3">
      <c r="A849" s="17"/>
      <c r="B849" s="17"/>
      <c r="C849" s="63"/>
      <c r="D849" s="63"/>
      <c r="E849" s="63"/>
      <c r="F849" s="63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4" x14ac:dyDescent="0.3">
      <c r="A850" s="17"/>
      <c r="B850" s="17"/>
      <c r="C850" s="63"/>
      <c r="D850" s="63"/>
      <c r="E850" s="63"/>
      <c r="F850" s="63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4" x14ac:dyDescent="0.3">
      <c r="A851" s="17"/>
      <c r="B851" s="17"/>
      <c r="C851" s="63"/>
      <c r="D851" s="63"/>
      <c r="E851" s="63"/>
      <c r="F851" s="63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4" x14ac:dyDescent="0.3">
      <c r="A852" s="17"/>
      <c r="B852" s="17"/>
      <c r="C852" s="63"/>
      <c r="D852" s="63"/>
      <c r="E852" s="63"/>
      <c r="F852" s="63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4" x14ac:dyDescent="0.3">
      <c r="A853" s="17"/>
      <c r="B853" s="17"/>
      <c r="C853" s="63"/>
      <c r="D853" s="63"/>
      <c r="E853" s="63"/>
      <c r="F853" s="63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4" x14ac:dyDescent="0.3">
      <c r="A854" s="17"/>
      <c r="B854" s="17"/>
      <c r="C854" s="63"/>
      <c r="D854" s="63"/>
      <c r="E854" s="63"/>
      <c r="F854" s="63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4" x14ac:dyDescent="0.3">
      <c r="A855" s="17"/>
      <c r="B855" s="17"/>
      <c r="C855" s="63"/>
      <c r="D855" s="63"/>
      <c r="E855" s="63"/>
      <c r="F855" s="63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4" x14ac:dyDescent="0.3">
      <c r="A856" s="17"/>
      <c r="B856" s="17"/>
      <c r="C856" s="63"/>
      <c r="D856" s="63"/>
      <c r="E856" s="63"/>
      <c r="F856" s="63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4" x14ac:dyDescent="0.3">
      <c r="A857" s="17"/>
      <c r="B857" s="17"/>
      <c r="C857" s="63"/>
      <c r="D857" s="63"/>
      <c r="E857" s="63"/>
      <c r="F857" s="63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4" x14ac:dyDescent="0.3">
      <c r="A858" s="17"/>
      <c r="B858" s="17"/>
      <c r="C858" s="63"/>
      <c r="D858" s="63"/>
      <c r="E858" s="63"/>
      <c r="F858" s="63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4" x14ac:dyDescent="0.3">
      <c r="A859" s="17"/>
      <c r="B859" s="17"/>
      <c r="C859" s="63"/>
      <c r="D859" s="63"/>
      <c r="E859" s="63"/>
      <c r="F859" s="63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4" x14ac:dyDescent="0.3">
      <c r="A860" s="17"/>
      <c r="B860" s="17"/>
      <c r="C860" s="63"/>
      <c r="D860" s="63"/>
      <c r="E860" s="63"/>
      <c r="F860" s="63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4" x14ac:dyDescent="0.3">
      <c r="A861" s="17"/>
      <c r="B861" s="17"/>
      <c r="C861" s="63"/>
      <c r="D861" s="63"/>
      <c r="E861" s="63"/>
      <c r="F861" s="63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4" x14ac:dyDescent="0.3">
      <c r="A862" s="17"/>
      <c r="B862" s="17"/>
      <c r="C862" s="63"/>
      <c r="D862" s="63"/>
      <c r="E862" s="63"/>
      <c r="F862" s="63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4" x14ac:dyDescent="0.3">
      <c r="A863" s="17"/>
      <c r="B863" s="17"/>
      <c r="C863" s="63"/>
      <c r="D863" s="63"/>
      <c r="E863" s="63"/>
      <c r="F863" s="63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4" x14ac:dyDescent="0.3">
      <c r="A864" s="17"/>
      <c r="B864" s="17"/>
      <c r="C864" s="63"/>
      <c r="D864" s="63"/>
      <c r="E864" s="63"/>
      <c r="F864" s="63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4" x14ac:dyDescent="0.3">
      <c r="A865" s="17"/>
      <c r="B865" s="17"/>
      <c r="C865" s="63"/>
      <c r="D865" s="63"/>
      <c r="E865" s="63"/>
      <c r="F865" s="63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4" x14ac:dyDescent="0.3">
      <c r="A866" s="17"/>
      <c r="B866" s="17"/>
      <c r="C866" s="63"/>
      <c r="D866" s="63"/>
      <c r="E866" s="63"/>
      <c r="F866" s="63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4" x14ac:dyDescent="0.3">
      <c r="A867" s="17"/>
      <c r="B867" s="17"/>
      <c r="C867" s="63"/>
      <c r="D867" s="63"/>
      <c r="E867" s="63"/>
      <c r="F867" s="63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4" x14ac:dyDescent="0.3">
      <c r="A868" s="17"/>
      <c r="B868" s="17"/>
      <c r="C868" s="63"/>
      <c r="D868" s="63"/>
      <c r="E868" s="63"/>
      <c r="F868" s="63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4" x14ac:dyDescent="0.3">
      <c r="A869" s="17"/>
      <c r="B869" s="17"/>
      <c r="C869" s="63"/>
      <c r="D869" s="63"/>
      <c r="E869" s="63"/>
      <c r="F869" s="63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4" x14ac:dyDescent="0.3">
      <c r="A870" s="17"/>
      <c r="B870" s="17"/>
      <c r="C870" s="63"/>
      <c r="D870" s="63"/>
      <c r="E870" s="63"/>
      <c r="F870" s="63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4" x14ac:dyDescent="0.3">
      <c r="A871" s="17"/>
      <c r="B871" s="17"/>
      <c r="C871" s="63"/>
      <c r="D871" s="63"/>
      <c r="E871" s="63"/>
      <c r="F871" s="63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4" x14ac:dyDescent="0.3">
      <c r="A872" s="17"/>
      <c r="B872" s="17"/>
      <c r="C872" s="63"/>
      <c r="D872" s="63"/>
      <c r="E872" s="63"/>
      <c r="F872" s="63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4" x14ac:dyDescent="0.3">
      <c r="A873" s="17"/>
      <c r="B873" s="17"/>
      <c r="C873" s="63"/>
      <c r="D873" s="63"/>
      <c r="E873" s="63"/>
      <c r="F873" s="63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4" x14ac:dyDescent="0.3">
      <c r="A874" s="17"/>
      <c r="B874" s="17"/>
      <c r="C874" s="63"/>
      <c r="D874" s="63"/>
      <c r="E874" s="63"/>
      <c r="F874" s="63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4" x14ac:dyDescent="0.3">
      <c r="A875" s="17"/>
      <c r="B875" s="17"/>
      <c r="C875" s="63"/>
      <c r="D875" s="63"/>
      <c r="E875" s="63"/>
      <c r="F875" s="63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4" x14ac:dyDescent="0.3">
      <c r="A876" s="17"/>
      <c r="B876" s="17"/>
      <c r="C876" s="63"/>
      <c r="D876" s="63"/>
      <c r="E876" s="63"/>
      <c r="F876" s="63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4" x14ac:dyDescent="0.3">
      <c r="A877" s="17"/>
      <c r="B877" s="17"/>
      <c r="C877" s="63"/>
      <c r="D877" s="63"/>
      <c r="E877" s="63"/>
      <c r="F877" s="63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4" x14ac:dyDescent="0.3">
      <c r="A878" s="17"/>
      <c r="B878" s="17"/>
      <c r="C878" s="63"/>
      <c r="D878" s="63"/>
      <c r="E878" s="63"/>
      <c r="F878" s="63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4" x14ac:dyDescent="0.3">
      <c r="A879" s="17"/>
      <c r="B879" s="17"/>
      <c r="C879" s="63"/>
      <c r="D879" s="63"/>
      <c r="E879" s="63"/>
      <c r="F879" s="63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4" x14ac:dyDescent="0.3">
      <c r="A880" s="17"/>
      <c r="B880" s="17"/>
      <c r="C880" s="63"/>
      <c r="D880" s="63"/>
      <c r="E880" s="63"/>
      <c r="F880" s="63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4" x14ac:dyDescent="0.3">
      <c r="A881" s="17"/>
      <c r="B881" s="17"/>
      <c r="C881" s="63"/>
      <c r="D881" s="63"/>
      <c r="E881" s="63"/>
      <c r="F881" s="63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4" x14ac:dyDescent="0.3">
      <c r="A882" s="17"/>
      <c r="B882" s="17"/>
      <c r="C882" s="63"/>
      <c r="D882" s="63"/>
      <c r="E882" s="63"/>
      <c r="F882" s="63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4" x14ac:dyDescent="0.3">
      <c r="A883" s="17"/>
      <c r="B883" s="17"/>
      <c r="C883" s="63"/>
      <c r="D883" s="63"/>
      <c r="E883" s="63"/>
      <c r="F883" s="63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4" x14ac:dyDescent="0.3">
      <c r="A884" s="17"/>
      <c r="B884" s="17"/>
      <c r="C884" s="63"/>
      <c r="D884" s="63"/>
      <c r="E884" s="63"/>
      <c r="F884" s="63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4" x14ac:dyDescent="0.3">
      <c r="A885" s="17"/>
      <c r="B885" s="17"/>
      <c r="C885" s="63"/>
      <c r="D885" s="63"/>
      <c r="E885" s="63"/>
      <c r="F885" s="63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4" x14ac:dyDescent="0.3">
      <c r="A886" s="17"/>
      <c r="B886" s="17"/>
      <c r="C886" s="63"/>
      <c r="D886" s="63"/>
      <c r="E886" s="63"/>
      <c r="F886" s="63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4" x14ac:dyDescent="0.3">
      <c r="A887" s="17"/>
      <c r="B887" s="17"/>
      <c r="C887" s="63"/>
      <c r="D887" s="63"/>
      <c r="E887" s="63"/>
      <c r="F887" s="63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4" x14ac:dyDescent="0.3">
      <c r="A888" s="17"/>
      <c r="B888" s="17"/>
      <c r="C888" s="63"/>
      <c r="D888" s="63"/>
      <c r="E888" s="63"/>
      <c r="F888" s="63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4" x14ac:dyDescent="0.3">
      <c r="A889" s="17"/>
      <c r="B889" s="17"/>
      <c r="C889" s="63"/>
      <c r="D889" s="63"/>
      <c r="E889" s="63"/>
      <c r="F889" s="63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4" x14ac:dyDescent="0.3">
      <c r="A890" s="17"/>
      <c r="B890" s="17"/>
      <c r="C890" s="63"/>
      <c r="D890" s="63"/>
      <c r="E890" s="63"/>
      <c r="F890" s="63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4" x14ac:dyDescent="0.3">
      <c r="A891" s="17"/>
      <c r="B891" s="17"/>
      <c r="C891" s="63"/>
      <c r="D891" s="63"/>
      <c r="E891" s="63"/>
      <c r="F891" s="63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4" x14ac:dyDescent="0.3">
      <c r="A892" s="17"/>
      <c r="B892" s="17"/>
      <c r="C892" s="63"/>
      <c r="D892" s="63"/>
      <c r="E892" s="63"/>
      <c r="F892" s="63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4" x14ac:dyDescent="0.3">
      <c r="A893" s="17"/>
      <c r="B893" s="17"/>
      <c r="C893" s="63"/>
      <c r="D893" s="63"/>
      <c r="E893" s="63"/>
      <c r="F893" s="63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4" x14ac:dyDescent="0.3">
      <c r="A894" s="17"/>
      <c r="B894" s="17"/>
      <c r="C894" s="63"/>
      <c r="D894" s="63"/>
      <c r="E894" s="63"/>
      <c r="F894" s="63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4" x14ac:dyDescent="0.3">
      <c r="A895" s="17"/>
      <c r="B895" s="17"/>
      <c r="C895" s="63"/>
      <c r="D895" s="63"/>
      <c r="E895" s="63"/>
      <c r="F895" s="63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4" x14ac:dyDescent="0.3">
      <c r="A896" s="17"/>
      <c r="B896" s="17"/>
      <c r="C896" s="63"/>
      <c r="D896" s="63"/>
      <c r="E896" s="63"/>
      <c r="F896" s="63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4" x14ac:dyDescent="0.3">
      <c r="A897" s="17"/>
      <c r="B897" s="17"/>
      <c r="C897" s="63"/>
      <c r="D897" s="63"/>
      <c r="E897" s="63"/>
      <c r="F897" s="63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4" x14ac:dyDescent="0.3">
      <c r="A898" s="17"/>
      <c r="B898" s="17"/>
      <c r="C898" s="63"/>
      <c r="D898" s="63"/>
      <c r="E898" s="63"/>
      <c r="F898" s="63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4" x14ac:dyDescent="0.3">
      <c r="A899" s="17"/>
      <c r="B899" s="17"/>
      <c r="C899" s="63"/>
      <c r="D899" s="63"/>
      <c r="E899" s="63"/>
      <c r="F899" s="63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4" x14ac:dyDescent="0.3">
      <c r="A900" s="17"/>
      <c r="B900" s="17"/>
      <c r="C900" s="63"/>
      <c r="D900" s="63"/>
      <c r="E900" s="63"/>
      <c r="F900" s="63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4" x14ac:dyDescent="0.3">
      <c r="A901" s="17"/>
      <c r="B901" s="17"/>
      <c r="C901" s="63"/>
      <c r="D901" s="63"/>
      <c r="E901" s="63"/>
      <c r="F901" s="63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4" x14ac:dyDescent="0.3">
      <c r="A902" s="17"/>
      <c r="B902" s="17"/>
      <c r="C902" s="63"/>
      <c r="D902" s="63"/>
      <c r="E902" s="63"/>
      <c r="F902" s="63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4" x14ac:dyDescent="0.3">
      <c r="A903" s="17"/>
      <c r="B903" s="17"/>
      <c r="C903" s="63"/>
      <c r="D903" s="63"/>
      <c r="E903" s="63"/>
      <c r="F903" s="63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4" x14ac:dyDescent="0.3">
      <c r="A904" s="17"/>
      <c r="B904" s="17"/>
      <c r="C904" s="63"/>
      <c r="D904" s="63"/>
      <c r="E904" s="63"/>
      <c r="F904" s="63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4" x14ac:dyDescent="0.3">
      <c r="A905" s="17"/>
      <c r="B905" s="17"/>
      <c r="C905" s="63"/>
      <c r="D905" s="63"/>
      <c r="E905" s="63"/>
      <c r="F905" s="63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4" x14ac:dyDescent="0.3">
      <c r="A906" s="17"/>
      <c r="B906" s="17"/>
      <c r="C906" s="63"/>
      <c r="D906" s="63"/>
      <c r="E906" s="63"/>
      <c r="F906" s="63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4" x14ac:dyDescent="0.3">
      <c r="A907" s="17"/>
      <c r="B907" s="17"/>
      <c r="C907" s="63"/>
      <c r="D907" s="63"/>
      <c r="E907" s="63"/>
      <c r="F907" s="63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4" x14ac:dyDescent="0.3">
      <c r="A908" s="17"/>
      <c r="B908" s="17"/>
      <c r="C908" s="63"/>
      <c r="D908" s="63"/>
      <c r="E908" s="63"/>
      <c r="F908" s="63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4" x14ac:dyDescent="0.3">
      <c r="A909" s="17"/>
      <c r="B909" s="17"/>
      <c r="C909" s="63"/>
      <c r="D909" s="63"/>
      <c r="E909" s="63"/>
      <c r="F909" s="63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4" x14ac:dyDescent="0.3">
      <c r="A910" s="17"/>
      <c r="B910" s="17"/>
      <c r="C910" s="63"/>
      <c r="D910" s="63"/>
      <c r="E910" s="63"/>
      <c r="F910" s="63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4" x14ac:dyDescent="0.3">
      <c r="A911" s="17"/>
      <c r="B911" s="17"/>
      <c r="C911" s="63"/>
      <c r="D911" s="63"/>
      <c r="E911" s="63"/>
      <c r="F911" s="63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4" x14ac:dyDescent="0.3">
      <c r="A912" s="17"/>
      <c r="B912" s="17"/>
      <c r="C912" s="63"/>
      <c r="D912" s="63"/>
      <c r="E912" s="63"/>
      <c r="F912" s="63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4" x14ac:dyDescent="0.3">
      <c r="A913" s="17"/>
      <c r="B913" s="17"/>
      <c r="C913" s="63"/>
      <c r="D913" s="63"/>
      <c r="E913" s="63"/>
      <c r="F913" s="63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4" x14ac:dyDescent="0.3">
      <c r="A914" s="17"/>
      <c r="B914" s="17"/>
      <c r="C914" s="63"/>
      <c r="D914" s="63"/>
      <c r="E914" s="63"/>
      <c r="F914" s="63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4" x14ac:dyDescent="0.3">
      <c r="A915" s="17"/>
      <c r="B915" s="17"/>
      <c r="C915" s="63"/>
      <c r="D915" s="63"/>
      <c r="E915" s="63"/>
      <c r="F915" s="63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4" x14ac:dyDescent="0.3">
      <c r="A916" s="17"/>
      <c r="B916" s="17"/>
      <c r="C916" s="63"/>
      <c r="D916" s="63"/>
      <c r="E916" s="63"/>
      <c r="F916" s="63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4" x14ac:dyDescent="0.3">
      <c r="A917" s="17"/>
      <c r="B917" s="17"/>
      <c r="C917" s="63"/>
      <c r="D917" s="63"/>
      <c r="E917" s="63"/>
      <c r="F917" s="63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4" x14ac:dyDescent="0.3">
      <c r="A918" s="17"/>
      <c r="B918" s="17"/>
      <c r="C918" s="63"/>
      <c r="D918" s="63"/>
      <c r="E918" s="63"/>
      <c r="F918" s="63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4" x14ac:dyDescent="0.3">
      <c r="A919" s="17"/>
      <c r="B919" s="17"/>
      <c r="C919" s="63"/>
      <c r="D919" s="63"/>
      <c r="E919" s="63"/>
      <c r="F919" s="63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4" x14ac:dyDescent="0.3">
      <c r="A920" s="17"/>
      <c r="B920" s="17"/>
      <c r="C920" s="63"/>
      <c r="D920" s="63"/>
      <c r="E920" s="63"/>
      <c r="F920" s="63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4" x14ac:dyDescent="0.3">
      <c r="A921" s="17"/>
      <c r="B921" s="17"/>
      <c r="C921" s="63"/>
      <c r="D921" s="63"/>
      <c r="E921" s="63"/>
      <c r="F921" s="63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4" x14ac:dyDescent="0.3">
      <c r="A922" s="17"/>
      <c r="B922" s="17"/>
      <c r="C922" s="63"/>
      <c r="D922" s="63"/>
      <c r="E922" s="63"/>
      <c r="F922" s="63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4" x14ac:dyDescent="0.3">
      <c r="A923" s="17"/>
      <c r="B923" s="17"/>
      <c r="C923" s="63"/>
      <c r="D923" s="63"/>
      <c r="E923" s="63"/>
      <c r="F923" s="63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4" x14ac:dyDescent="0.3">
      <c r="A924" s="17"/>
      <c r="B924" s="17"/>
      <c r="C924" s="63"/>
      <c r="D924" s="63"/>
      <c r="E924" s="63"/>
      <c r="F924" s="63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4" x14ac:dyDescent="0.3">
      <c r="A925" s="17"/>
      <c r="B925" s="17"/>
      <c r="C925" s="63"/>
      <c r="D925" s="63"/>
      <c r="E925" s="63"/>
      <c r="F925" s="63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4" x14ac:dyDescent="0.3">
      <c r="A926" s="17"/>
      <c r="B926" s="17"/>
      <c r="C926" s="63"/>
      <c r="D926" s="63"/>
      <c r="E926" s="63"/>
      <c r="F926" s="63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4" x14ac:dyDescent="0.3">
      <c r="A927" s="17"/>
      <c r="B927" s="17"/>
      <c r="C927" s="63"/>
      <c r="D927" s="63"/>
      <c r="E927" s="63"/>
      <c r="F927" s="63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4" x14ac:dyDescent="0.3">
      <c r="A928" s="17"/>
      <c r="B928" s="17"/>
      <c r="C928" s="63"/>
      <c r="D928" s="63"/>
      <c r="E928" s="63"/>
      <c r="F928" s="63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4" x14ac:dyDescent="0.3">
      <c r="A929" s="17"/>
      <c r="B929" s="17"/>
      <c r="C929" s="63"/>
      <c r="D929" s="63"/>
      <c r="E929" s="63"/>
      <c r="F929" s="63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4" x14ac:dyDescent="0.3">
      <c r="A930" s="17"/>
      <c r="B930" s="17"/>
      <c r="C930" s="63"/>
      <c r="D930" s="63"/>
      <c r="E930" s="63"/>
      <c r="F930" s="63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4" x14ac:dyDescent="0.3">
      <c r="A931" s="17"/>
      <c r="B931" s="17"/>
      <c r="C931" s="63"/>
      <c r="D931" s="63"/>
      <c r="E931" s="63"/>
      <c r="F931" s="63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4" x14ac:dyDescent="0.3">
      <c r="A932" s="17"/>
      <c r="B932" s="17"/>
      <c r="C932" s="63"/>
      <c r="D932" s="63"/>
      <c r="E932" s="63"/>
      <c r="F932" s="63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4" x14ac:dyDescent="0.3">
      <c r="A933" s="17"/>
      <c r="B933" s="17"/>
      <c r="C933" s="63"/>
      <c r="D933" s="63"/>
      <c r="E933" s="63"/>
      <c r="F933" s="63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4" x14ac:dyDescent="0.3">
      <c r="A934" s="17"/>
      <c r="B934" s="17"/>
      <c r="C934" s="63"/>
      <c r="D934" s="63"/>
      <c r="E934" s="63"/>
      <c r="F934" s="63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4" x14ac:dyDescent="0.3">
      <c r="A935" s="17"/>
      <c r="B935" s="17"/>
      <c r="C935" s="63"/>
      <c r="D935" s="63"/>
      <c r="E935" s="63"/>
      <c r="F935" s="63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4" x14ac:dyDescent="0.3">
      <c r="A936" s="17"/>
      <c r="B936" s="17"/>
      <c r="C936" s="63"/>
      <c r="D936" s="63"/>
      <c r="E936" s="63"/>
      <c r="F936" s="63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4" x14ac:dyDescent="0.3">
      <c r="A937" s="17"/>
      <c r="B937" s="17"/>
      <c r="C937" s="63"/>
      <c r="D937" s="63"/>
      <c r="E937" s="63"/>
      <c r="F937" s="63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4" x14ac:dyDescent="0.3">
      <c r="A938" s="17"/>
      <c r="B938" s="17"/>
      <c r="C938" s="63"/>
      <c r="D938" s="63"/>
      <c r="E938" s="63"/>
      <c r="F938" s="63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4" x14ac:dyDescent="0.3">
      <c r="A939" s="17"/>
      <c r="B939" s="17"/>
      <c r="C939" s="63"/>
      <c r="D939" s="63"/>
      <c r="E939" s="63"/>
      <c r="F939" s="63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4" x14ac:dyDescent="0.3">
      <c r="A940" s="17"/>
      <c r="B940" s="17"/>
      <c r="C940" s="63"/>
      <c r="D940" s="63"/>
      <c r="E940" s="63"/>
      <c r="F940" s="63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4" x14ac:dyDescent="0.3">
      <c r="A941" s="17"/>
      <c r="B941" s="17"/>
      <c r="C941" s="63"/>
      <c r="D941" s="63"/>
      <c r="E941" s="63"/>
      <c r="F941" s="63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4" x14ac:dyDescent="0.3">
      <c r="A942" s="17"/>
      <c r="B942" s="17"/>
      <c r="C942" s="63"/>
      <c r="D942" s="63"/>
      <c r="E942" s="63"/>
      <c r="F942" s="63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4" x14ac:dyDescent="0.3">
      <c r="A943" s="17"/>
      <c r="B943" s="17"/>
      <c r="C943" s="63"/>
      <c r="D943" s="63"/>
      <c r="E943" s="63"/>
      <c r="F943" s="63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4" x14ac:dyDescent="0.3">
      <c r="A944" s="17"/>
      <c r="B944" s="17"/>
      <c r="C944" s="63"/>
      <c r="D944" s="63"/>
      <c r="E944" s="63"/>
      <c r="F944" s="63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4" x14ac:dyDescent="0.3">
      <c r="A945" s="17"/>
      <c r="B945" s="17"/>
      <c r="C945" s="63"/>
      <c r="D945" s="63"/>
      <c r="E945" s="63"/>
      <c r="F945" s="63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4" x14ac:dyDescent="0.3">
      <c r="A946" s="17"/>
      <c r="B946" s="17"/>
      <c r="C946" s="63"/>
      <c r="D946" s="63"/>
      <c r="E946" s="63"/>
      <c r="F946" s="63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4" x14ac:dyDescent="0.3">
      <c r="A947" s="17"/>
      <c r="B947" s="17"/>
      <c r="C947" s="63"/>
      <c r="D947" s="63"/>
      <c r="E947" s="63"/>
      <c r="F947" s="63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4" x14ac:dyDescent="0.3">
      <c r="A948" s="17"/>
      <c r="B948" s="17"/>
      <c r="C948" s="63"/>
      <c r="D948" s="63"/>
      <c r="E948" s="63"/>
      <c r="F948" s="63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4" x14ac:dyDescent="0.3">
      <c r="A949" s="17"/>
      <c r="B949" s="17"/>
      <c r="C949" s="63"/>
      <c r="D949" s="63"/>
      <c r="E949" s="63"/>
      <c r="F949" s="63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4" x14ac:dyDescent="0.3">
      <c r="A950" s="17"/>
      <c r="B950" s="17"/>
      <c r="C950" s="63"/>
      <c r="D950" s="63"/>
      <c r="E950" s="63"/>
      <c r="F950" s="63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4" x14ac:dyDescent="0.3">
      <c r="A951" s="17"/>
      <c r="B951" s="17"/>
      <c r="C951" s="63"/>
      <c r="D951" s="63"/>
      <c r="E951" s="63"/>
      <c r="F951" s="63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4" x14ac:dyDescent="0.3">
      <c r="A952" s="17"/>
      <c r="B952" s="17"/>
      <c r="C952" s="63"/>
      <c r="D952" s="63"/>
      <c r="E952" s="63"/>
      <c r="F952" s="63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4" x14ac:dyDescent="0.3">
      <c r="A953" s="17"/>
      <c r="B953" s="17"/>
      <c r="C953" s="63"/>
      <c r="D953" s="63"/>
      <c r="E953" s="63"/>
      <c r="F953" s="63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4" x14ac:dyDescent="0.3">
      <c r="A954" s="17"/>
      <c r="B954" s="17"/>
      <c r="C954" s="63"/>
      <c r="D954" s="63"/>
      <c r="E954" s="63"/>
      <c r="F954" s="63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4" x14ac:dyDescent="0.3">
      <c r="A955" s="17"/>
      <c r="B955" s="17"/>
      <c r="C955" s="63"/>
      <c r="D955" s="63"/>
      <c r="E955" s="63"/>
      <c r="F955" s="63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4" x14ac:dyDescent="0.3">
      <c r="A956" s="17"/>
      <c r="B956" s="17"/>
      <c r="C956" s="63"/>
      <c r="D956" s="63"/>
      <c r="E956" s="63"/>
      <c r="F956" s="63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4" x14ac:dyDescent="0.3">
      <c r="A957" s="17"/>
      <c r="B957" s="17"/>
      <c r="C957" s="63"/>
      <c r="D957" s="63"/>
      <c r="E957" s="63"/>
      <c r="F957" s="63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4" x14ac:dyDescent="0.3">
      <c r="A958" s="17"/>
      <c r="B958" s="17"/>
      <c r="C958" s="63"/>
      <c r="D958" s="63"/>
      <c r="E958" s="63"/>
      <c r="F958" s="63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4" x14ac:dyDescent="0.3">
      <c r="A959" s="17"/>
      <c r="B959" s="17"/>
      <c r="C959" s="63"/>
      <c r="D959" s="63"/>
      <c r="E959" s="63"/>
      <c r="F959" s="63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4" x14ac:dyDescent="0.3">
      <c r="A960" s="17"/>
      <c r="B960" s="17"/>
      <c r="C960" s="63"/>
      <c r="D960" s="63"/>
      <c r="E960" s="63"/>
      <c r="F960" s="63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4" x14ac:dyDescent="0.3">
      <c r="A961" s="17"/>
      <c r="B961" s="17"/>
      <c r="C961" s="63"/>
      <c r="D961" s="63"/>
      <c r="E961" s="63"/>
      <c r="F961" s="63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4" x14ac:dyDescent="0.3">
      <c r="A962" s="17"/>
      <c r="B962" s="17"/>
      <c r="C962" s="63"/>
      <c r="D962" s="63"/>
      <c r="E962" s="63"/>
      <c r="F962" s="63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4" x14ac:dyDescent="0.3">
      <c r="A963" s="17"/>
      <c r="B963" s="17"/>
      <c r="C963" s="63"/>
      <c r="D963" s="63"/>
      <c r="E963" s="63"/>
      <c r="F963" s="63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4" x14ac:dyDescent="0.3">
      <c r="A964" s="17"/>
      <c r="B964" s="17"/>
      <c r="C964" s="63"/>
      <c r="D964" s="63"/>
      <c r="E964" s="63"/>
      <c r="F964" s="63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4" x14ac:dyDescent="0.3">
      <c r="A965" s="17"/>
      <c r="B965" s="17"/>
      <c r="C965" s="63"/>
      <c r="D965" s="63"/>
      <c r="E965" s="63"/>
      <c r="F965" s="63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4" x14ac:dyDescent="0.3">
      <c r="A966" s="17"/>
      <c r="B966" s="17"/>
      <c r="C966" s="63"/>
      <c r="D966" s="63"/>
      <c r="E966" s="63"/>
      <c r="F966" s="63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4" x14ac:dyDescent="0.3">
      <c r="A967" s="17"/>
      <c r="B967" s="17"/>
      <c r="C967" s="63"/>
      <c r="D967" s="63"/>
      <c r="E967" s="63"/>
      <c r="F967" s="63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4" x14ac:dyDescent="0.3">
      <c r="A968" s="17"/>
      <c r="B968" s="17"/>
      <c r="C968" s="63"/>
      <c r="D968" s="63"/>
      <c r="E968" s="63"/>
      <c r="F968" s="63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4" x14ac:dyDescent="0.3">
      <c r="A969" s="17"/>
      <c r="B969" s="17"/>
      <c r="C969" s="63"/>
      <c r="D969" s="63"/>
      <c r="E969" s="63"/>
      <c r="F969" s="63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4" x14ac:dyDescent="0.3">
      <c r="A970" s="17"/>
      <c r="B970" s="17"/>
      <c r="C970" s="63"/>
      <c r="D970" s="63"/>
      <c r="E970" s="63"/>
      <c r="F970" s="63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4" x14ac:dyDescent="0.3">
      <c r="A971" s="17"/>
      <c r="B971" s="17"/>
      <c r="C971" s="63"/>
      <c r="D971" s="63"/>
      <c r="E971" s="63"/>
      <c r="F971" s="63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4" x14ac:dyDescent="0.3">
      <c r="A972" s="17"/>
      <c r="B972" s="17"/>
      <c r="C972" s="63"/>
      <c r="D972" s="63"/>
      <c r="E972" s="63"/>
      <c r="F972" s="63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4" x14ac:dyDescent="0.3">
      <c r="A973" s="17"/>
      <c r="B973" s="17"/>
      <c r="C973" s="63"/>
      <c r="D973" s="63"/>
      <c r="E973" s="63"/>
      <c r="F973" s="63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4" x14ac:dyDescent="0.3">
      <c r="A974" s="17"/>
      <c r="B974" s="17"/>
      <c r="C974" s="63"/>
      <c r="D974" s="63"/>
      <c r="E974" s="63"/>
      <c r="F974" s="63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4" x14ac:dyDescent="0.3">
      <c r="A975" s="17"/>
      <c r="B975" s="17"/>
      <c r="C975" s="63"/>
      <c r="D975" s="63"/>
      <c r="E975" s="63"/>
      <c r="F975" s="63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4" x14ac:dyDescent="0.3">
      <c r="A976" s="17"/>
      <c r="B976" s="17"/>
      <c r="C976" s="63"/>
      <c r="D976" s="63"/>
      <c r="E976" s="63"/>
      <c r="F976" s="63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4" x14ac:dyDescent="0.3">
      <c r="A977" s="17"/>
      <c r="B977" s="17"/>
      <c r="C977" s="63"/>
      <c r="D977" s="63"/>
      <c r="E977" s="63"/>
      <c r="F977" s="63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4" x14ac:dyDescent="0.3">
      <c r="A978" s="17"/>
      <c r="B978" s="17"/>
      <c r="C978" s="63"/>
      <c r="D978" s="63"/>
      <c r="E978" s="63"/>
      <c r="F978" s="63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4" x14ac:dyDescent="0.3">
      <c r="A979" s="17"/>
      <c r="B979" s="17"/>
      <c r="C979" s="63"/>
      <c r="D979" s="63"/>
      <c r="E979" s="63"/>
      <c r="F979" s="63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4" x14ac:dyDescent="0.3">
      <c r="A980" s="17"/>
      <c r="B980" s="17"/>
      <c r="C980" s="63"/>
      <c r="D980" s="63"/>
      <c r="E980" s="63"/>
      <c r="F980" s="63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4" x14ac:dyDescent="0.3">
      <c r="A981" s="17"/>
      <c r="B981" s="17"/>
      <c r="C981" s="63"/>
      <c r="D981" s="63"/>
      <c r="E981" s="63"/>
      <c r="F981" s="63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4" x14ac:dyDescent="0.3">
      <c r="A982" s="17"/>
      <c r="B982" s="17"/>
      <c r="C982" s="63"/>
      <c r="D982" s="63"/>
      <c r="E982" s="63"/>
      <c r="F982" s="63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4" x14ac:dyDescent="0.3">
      <c r="A983" s="17"/>
      <c r="B983" s="17"/>
      <c r="C983" s="63"/>
      <c r="D983" s="63"/>
      <c r="E983" s="63"/>
      <c r="F983" s="63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4" x14ac:dyDescent="0.3">
      <c r="A984" s="17"/>
      <c r="B984" s="17"/>
      <c r="C984" s="63"/>
      <c r="D984" s="63"/>
      <c r="E984" s="63"/>
      <c r="F984" s="63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4" x14ac:dyDescent="0.3">
      <c r="A985" s="17"/>
      <c r="B985" s="17"/>
      <c r="C985" s="63"/>
      <c r="D985" s="63"/>
      <c r="E985" s="63"/>
      <c r="F985" s="63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4" x14ac:dyDescent="0.3">
      <c r="A986" s="17"/>
      <c r="B986" s="17"/>
      <c r="C986" s="63"/>
      <c r="D986" s="63"/>
      <c r="E986" s="63"/>
      <c r="F986" s="63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4" x14ac:dyDescent="0.3">
      <c r="A987" s="17"/>
      <c r="B987" s="17"/>
      <c r="C987" s="63"/>
      <c r="D987" s="63"/>
      <c r="E987" s="63"/>
      <c r="F987" s="63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4" x14ac:dyDescent="0.3">
      <c r="A988" s="17"/>
      <c r="B988" s="17"/>
      <c r="C988" s="63"/>
      <c r="D988" s="63"/>
      <c r="E988" s="63"/>
      <c r="F988" s="63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4" x14ac:dyDescent="0.3">
      <c r="A989" s="17"/>
      <c r="B989" s="17"/>
      <c r="C989" s="63"/>
      <c r="D989" s="63"/>
      <c r="E989" s="63"/>
      <c r="F989" s="63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4" x14ac:dyDescent="0.3">
      <c r="A990" s="17"/>
      <c r="B990" s="17"/>
      <c r="C990" s="63"/>
      <c r="D990" s="63"/>
      <c r="E990" s="63"/>
      <c r="F990" s="63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4" x14ac:dyDescent="0.3">
      <c r="A991" s="17"/>
      <c r="B991" s="17"/>
      <c r="C991" s="63"/>
      <c r="D991" s="63"/>
      <c r="E991" s="63"/>
      <c r="F991" s="63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4" x14ac:dyDescent="0.3">
      <c r="A992" s="17"/>
      <c r="B992" s="17"/>
      <c r="C992" s="63"/>
      <c r="D992" s="63"/>
      <c r="E992" s="63"/>
      <c r="F992" s="63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4" x14ac:dyDescent="0.3">
      <c r="A993" s="17"/>
      <c r="B993" s="17"/>
      <c r="C993" s="63"/>
      <c r="D993" s="63"/>
      <c r="E993" s="63"/>
      <c r="F993" s="63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4" x14ac:dyDescent="0.3">
      <c r="A994" s="17"/>
      <c r="B994" s="17"/>
      <c r="C994" s="63"/>
      <c r="D994" s="63"/>
      <c r="E994" s="63"/>
      <c r="F994" s="63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4" x14ac:dyDescent="0.3">
      <c r="A995" s="17"/>
      <c r="B995" s="17"/>
      <c r="C995" s="63"/>
      <c r="D995" s="63"/>
      <c r="E995" s="63"/>
      <c r="F995" s="63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4" x14ac:dyDescent="0.3">
      <c r="A996" s="17"/>
      <c r="B996" s="17"/>
      <c r="C996" s="63"/>
      <c r="D996" s="63"/>
      <c r="E996" s="63"/>
      <c r="F996" s="63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4" x14ac:dyDescent="0.3">
      <c r="A997" s="17"/>
      <c r="B997" s="17"/>
      <c r="C997" s="63"/>
      <c r="D997" s="63"/>
      <c r="E997" s="63"/>
      <c r="F997" s="63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4" x14ac:dyDescent="0.3">
      <c r="A998" s="17"/>
      <c r="B998" s="17"/>
      <c r="C998" s="63"/>
      <c r="D998" s="63"/>
      <c r="E998" s="63"/>
      <c r="F998" s="63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4" x14ac:dyDescent="0.3">
      <c r="A999" s="17"/>
      <c r="B999" s="17"/>
      <c r="C999" s="63"/>
      <c r="D999" s="63"/>
      <c r="E999" s="63"/>
      <c r="F999" s="63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4" x14ac:dyDescent="0.3">
      <c r="A1000" s="17"/>
      <c r="B1000" s="17"/>
      <c r="C1000" s="63"/>
      <c r="D1000" s="63"/>
      <c r="E1000" s="63"/>
      <c r="F1000" s="63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O12" xr:uid="{00000000-0009-0000-0000-000005000000}">
    <filterColumn colId="9">
      <filters>
        <filter val="ติดต่อไม่ได้ , ไม่รับโทรศัพท์"/>
      </filters>
    </filterColumn>
  </autoFilter>
  <mergeCells count="10">
    <mergeCell ref="I2:I3"/>
    <mergeCell ref="J2:J3"/>
    <mergeCell ref="K2:K3"/>
    <mergeCell ref="G2:H2"/>
    <mergeCell ref="A2:A3"/>
    <mergeCell ref="B2:B3"/>
    <mergeCell ref="C2:C3"/>
    <mergeCell ref="D2:D3"/>
    <mergeCell ref="E2:E3"/>
    <mergeCell ref="F2:F3"/>
  </mergeCells>
  <dataValidations count="6">
    <dataValidation type="list" allowBlank="1" showErrorMessage="1" sqref="F1:F3 F9:F17 T18 F19:F1000" xr:uid="{00000000-0002-0000-0500-000000000000}">
      <formula1>$N$4:$N$5</formula1>
    </dataValidation>
    <dataValidation type="list" allowBlank="1" showErrorMessage="1" sqref="J1" xr:uid="{00000000-0002-0000-0500-000001000000}">
      <formula1>$M$4:$M$46</formula1>
    </dataValidation>
    <dataValidation type="list" allowBlank="1" showErrorMessage="1" sqref="E4:E10" xr:uid="{00000000-0002-0000-0500-000002000000}">
      <formula1>$O$2:$O$10</formula1>
    </dataValidation>
    <dataValidation type="list" allowBlank="1" showErrorMessage="1" sqref="E1:E3 S18 E11:E1000" xr:uid="{00000000-0002-0000-0500-000003000000}">
      <formula1>$O$4:$O$8</formula1>
    </dataValidation>
    <dataValidation type="list" allowBlank="1" showErrorMessage="1" sqref="J2:J3 J12:J1000" xr:uid="{00000000-0002-0000-0500-000004000000}">
      <formula1>$M$4:$M$21</formula1>
    </dataValidation>
    <dataValidation type="list" allowBlank="1" showErrorMessage="1" sqref="F4:F8 J9:J10" xr:uid="{00000000-0002-0000-05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0066"/>
    <pageSetUpPr fitToPage="1"/>
  </sheetPr>
  <dimension ref="A1:Z1000"/>
  <sheetViews>
    <sheetView workbookViewId="0">
      <pane xSplit="4" ySplit="3" topLeftCell="E17" activePane="bottomRight" state="frozen"/>
      <selection activeCell="M4" sqref="M4"/>
      <selection pane="topRight" activeCell="M4" sqref="M4"/>
      <selection pane="bottomLeft" activeCell="M4" sqref="M4"/>
      <selection pane="bottomRight" activeCell="J22" sqref="J22"/>
    </sheetView>
  </sheetViews>
  <sheetFormatPr defaultColWidth="14.44140625" defaultRowHeight="14.4" x14ac:dyDescent="0.3"/>
  <cols>
    <col min="1" max="1" width="12.33203125" customWidth="1"/>
    <col min="2" max="2" width="9.77734375" bestFit="1" customWidth="1"/>
    <col min="3" max="3" width="19.21875" bestFit="1" customWidth="1"/>
    <col min="4" max="4" width="13.109375" bestFit="1" customWidth="1"/>
    <col min="5" max="5" width="14.5546875" bestFit="1" customWidth="1"/>
    <col min="6" max="6" width="30.21875" bestFit="1" customWidth="1"/>
    <col min="7" max="7" width="7.88671875" bestFit="1" customWidth="1"/>
    <col min="8" max="8" width="12.77734375" bestFit="1" customWidth="1"/>
    <col min="9" max="9" width="11.6640625" bestFit="1" customWidth="1"/>
    <col min="10" max="10" width="23.88671875" bestFit="1" customWidth="1"/>
    <col min="11" max="11" width="9" bestFit="1" customWidth="1"/>
    <col min="12" max="12" width="26" customWidth="1"/>
    <col min="13" max="13" width="23.88671875" bestFit="1" customWidth="1"/>
    <col min="14" max="14" width="34.21875" bestFit="1" customWidth="1"/>
    <col min="15" max="15" width="19.5546875" bestFit="1" customWidth="1"/>
    <col min="16" max="26" width="9.109375" customWidth="1"/>
  </cols>
  <sheetData>
    <row r="1" spans="1:26" ht="32.4" x14ac:dyDescent="0.3">
      <c r="A1" s="62" t="s">
        <v>180</v>
      </c>
      <c r="B1" s="17"/>
      <c r="C1" s="63"/>
      <c r="D1" s="63"/>
      <c r="E1" s="63"/>
      <c r="F1" s="63"/>
      <c r="G1" s="17"/>
      <c r="H1" s="64" t="s">
        <v>41</v>
      </c>
      <c r="I1" s="65">
        <f>SUBTOTAL(9,I4:I12000)</f>
        <v>432.5</v>
      </c>
      <c r="J1" s="66" t="s">
        <v>58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4" x14ac:dyDescent="0.3">
      <c r="A2" s="149" t="s">
        <v>60</v>
      </c>
      <c r="B2" s="149" t="s">
        <v>103</v>
      </c>
      <c r="C2" s="149" t="s">
        <v>104</v>
      </c>
      <c r="D2" s="149" t="s">
        <v>105</v>
      </c>
      <c r="E2" s="149" t="s">
        <v>106</v>
      </c>
      <c r="F2" s="149" t="s">
        <v>107</v>
      </c>
      <c r="G2" s="151" t="s">
        <v>108</v>
      </c>
      <c r="H2" s="111"/>
      <c r="I2" s="149" t="s">
        <v>109</v>
      </c>
      <c r="J2" s="149" t="s">
        <v>110</v>
      </c>
      <c r="K2" s="68" t="s">
        <v>4</v>
      </c>
      <c r="L2" s="40"/>
      <c r="M2" s="69" t="s">
        <v>111</v>
      </c>
      <c r="N2" s="69" t="s">
        <v>112</v>
      </c>
      <c r="O2" s="69" t="s">
        <v>113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3.4" x14ac:dyDescent="0.3">
      <c r="A3" s="150"/>
      <c r="B3" s="150"/>
      <c r="C3" s="150"/>
      <c r="D3" s="150"/>
      <c r="E3" s="150"/>
      <c r="F3" s="150"/>
      <c r="G3" s="86" t="s">
        <v>114</v>
      </c>
      <c r="H3" s="86" t="s">
        <v>115</v>
      </c>
      <c r="I3" s="150"/>
      <c r="J3" s="150"/>
      <c r="K3" s="73"/>
      <c r="L3" s="40"/>
      <c r="M3" s="87"/>
      <c r="N3" s="87"/>
      <c r="O3" s="87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4" hidden="1" x14ac:dyDescent="0.3">
      <c r="A4" s="17">
        <v>1</v>
      </c>
      <c r="B4" s="75">
        <v>244411</v>
      </c>
      <c r="C4" s="76" t="s">
        <v>181</v>
      </c>
      <c r="D4" s="76" t="s">
        <v>182</v>
      </c>
      <c r="E4" s="76" t="s">
        <v>183</v>
      </c>
      <c r="F4" s="76" t="s">
        <v>184</v>
      </c>
      <c r="G4" s="17"/>
      <c r="H4" s="17"/>
      <c r="I4" s="16">
        <v>99</v>
      </c>
      <c r="J4" s="17" t="s">
        <v>185</v>
      </c>
      <c r="K4" s="17"/>
      <c r="L4" s="17"/>
      <c r="M4" s="78" t="s">
        <v>46</v>
      </c>
      <c r="N4" s="78" t="s">
        <v>184</v>
      </c>
      <c r="O4" s="79" t="s">
        <v>118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3.4" hidden="1" x14ac:dyDescent="0.3">
      <c r="A5" s="17">
        <v>2</v>
      </c>
      <c r="B5" s="75">
        <v>244442</v>
      </c>
      <c r="C5" s="76" t="s">
        <v>186</v>
      </c>
      <c r="D5" s="76" t="s">
        <v>187</v>
      </c>
      <c r="E5" s="76" t="s">
        <v>183</v>
      </c>
      <c r="F5" s="76" t="s">
        <v>184</v>
      </c>
      <c r="G5" s="17"/>
      <c r="H5" s="17"/>
      <c r="I5" s="16">
        <v>181</v>
      </c>
      <c r="J5" s="17" t="s">
        <v>185</v>
      </c>
      <c r="K5" s="17"/>
      <c r="L5" s="17"/>
      <c r="M5" s="78" t="s">
        <v>47</v>
      </c>
      <c r="N5" s="78" t="s">
        <v>188</v>
      </c>
      <c r="O5" s="80" t="s">
        <v>127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4" hidden="1" x14ac:dyDescent="0.3">
      <c r="A6" s="17">
        <v>3</v>
      </c>
      <c r="B6" s="75">
        <v>244442</v>
      </c>
      <c r="C6" s="76" t="s">
        <v>189</v>
      </c>
      <c r="D6" s="76" t="s">
        <v>190</v>
      </c>
      <c r="E6" s="76" t="s">
        <v>183</v>
      </c>
      <c r="F6" s="76" t="s">
        <v>184</v>
      </c>
      <c r="G6" s="17"/>
      <c r="H6" s="17"/>
      <c r="I6" s="16">
        <v>120</v>
      </c>
      <c r="J6" s="17" t="s">
        <v>185</v>
      </c>
      <c r="K6" s="17"/>
      <c r="L6" s="17"/>
      <c r="M6" s="78" t="s">
        <v>48</v>
      </c>
      <c r="N6" s="78" t="s">
        <v>191</v>
      </c>
      <c r="O6" s="79" t="s">
        <v>133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4" hidden="1" x14ac:dyDescent="0.3">
      <c r="A7" s="17">
        <v>4</v>
      </c>
      <c r="B7" s="75">
        <v>244442</v>
      </c>
      <c r="C7" s="76" t="s">
        <v>192</v>
      </c>
      <c r="D7" s="76" t="s">
        <v>193</v>
      </c>
      <c r="E7" s="76" t="s">
        <v>183</v>
      </c>
      <c r="F7" s="76" t="s">
        <v>184</v>
      </c>
      <c r="G7" s="17"/>
      <c r="H7" s="17"/>
      <c r="I7" s="16">
        <v>186</v>
      </c>
      <c r="J7" s="17" t="s">
        <v>185</v>
      </c>
      <c r="K7" s="17"/>
      <c r="L7" s="17"/>
      <c r="M7" s="78" t="s">
        <v>137</v>
      </c>
      <c r="N7" s="78" t="s">
        <v>194</v>
      </c>
      <c r="O7" s="78" t="s">
        <v>183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3.4" hidden="1" x14ac:dyDescent="0.3">
      <c r="A8" s="17">
        <v>5</v>
      </c>
      <c r="B8" s="75">
        <v>244442</v>
      </c>
      <c r="C8" s="63" t="s">
        <v>195</v>
      </c>
      <c r="D8" s="76" t="s">
        <v>196</v>
      </c>
      <c r="E8" s="76" t="s">
        <v>183</v>
      </c>
      <c r="F8" s="76" t="s">
        <v>184</v>
      </c>
      <c r="G8" s="17"/>
      <c r="H8" s="17"/>
      <c r="I8" s="16">
        <v>178</v>
      </c>
      <c r="J8" s="17" t="s">
        <v>185</v>
      </c>
      <c r="K8" s="17"/>
      <c r="L8" s="17"/>
      <c r="M8" s="78" t="s">
        <v>197</v>
      </c>
      <c r="N8" s="78" t="s">
        <v>198</v>
      </c>
      <c r="O8" s="78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3.4" hidden="1" x14ac:dyDescent="0.3">
      <c r="A9" s="17">
        <v>6</v>
      </c>
      <c r="B9" s="75">
        <v>244442</v>
      </c>
      <c r="C9" s="76" t="s">
        <v>199</v>
      </c>
      <c r="D9" s="76" t="s">
        <v>200</v>
      </c>
      <c r="E9" s="76" t="s">
        <v>183</v>
      </c>
      <c r="F9" s="76" t="s">
        <v>184</v>
      </c>
      <c r="G9" s="17"/>
      <c r="H9" s="17"/>
      <c r="I9" s="16">
        <v>139</v>
      </c>
      <c r="J9" s="17" t="s">
        <v>185</v>
      </c>
      <c r="K9" s="17"/>
      <c r="L9" s="17"/>
      <c r="M9" s="78" t="s">
        <v>201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3.4" hidden="1" x14ac:dyDescent="0.3">
      <c r="A10" s="17">
        <v>7</v>
      </c>
      <c r="B10" s="75">
        <v>244442</v>
      </c>
      <c r="C10" s="76" t="s">
        <v>202</v>
      </c>
      <c r="D10" s="76" t="s">
        <v>203</v>
      </c>
      <c r="E10" s="76" t="s">
        <v>183</v>
      </c>
      <c r="F10" s="76" t="s">
        <v>184</v>
      </c>
      <c r="G10" s="17"/>
      <c r="H10" s="63"/>
      <c r="I10" s="16">
        <v>181</v>
      </c>
      <c r="J10" s="17" t="s">
        <v>185</v>
      </c>
      <c r="K10" s="88"/>
      <c r="L10" s="88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3.4" hidden="1" x14ac:dyDescent="0.3">
      <c r="A11" s="17">
        <v>8</v>
      </c>
      <c r="B11" s="75">
        <v>244472</v>
      </c>
      <c r="C11" s="76" t="s">
        <v>204</v>
      </c>
      <c r="D11" s="76" t="s">
        <v>205</v>
      </c>
      <c r="E11" s="76" t="s">
        <v>183</v>
      </c>
      <c r="F11" s="76" t="s">
        <v>184</v>
      </c>
      <c r="G11" s="17"/>
      <c r="H11" s="63"/>
      <c r="I11" s="16">
        <v>181</v>
      </c>
      <c r="J11" s="17" t="s">
        <v>185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4" hidden="1" x14ac:dyDescent="0.3">
      <c r="A12" s="17">
        <v>9</v>
      </c>
      <c r="B12" s="75">
        <v>244472</v>
      </c>
      <c r="C12" s="76" t="s">
        <v>206</v>
      </c>
      <c r="D12" s="76" t="s">
        <v>207</v>
      </c>
      <c r="E12" s="76" t="s">
        <v>183</v>
      </c>
      <c r="F12" s="76" t="s">
        <v>184</v>
      </c>
      <c r="G12" s="63"/>
      <c r="H12" s="17"/>
      <c r="I12" s="16">
        <v>200</v>
      </c>
      <c r="J12" s="17" t="s">
        <v>185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4" hidden="1" x14ac:dyDescent="0.3">
      <c r="A13" s="17">
        <v>10</v>
      </c>
      <c r="B13" s="75">
        <v>244472</v>
      </c>
      <c r="C13" s="76" t="s">
        <v>208</v>
      </c>
      <c r="D13" s="76" t="s">
        <v>209</v>
      </c>
      <c r="E13" s="76" t="s">
        <v>183</v>
      </c>
      <c r="F13" s="76" t="s">
        <v>184</v>
      </c>
      <c r="G13" s="63"/>
      <c r="H13" s="17"/>
      <c r="I13" s="16">
        <v>166.52</v>
      </c>
      <c r="J13" s="17" t="s">
        <v>185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4" hidden="1" x14ac:dyDescent="0.3">
      <c r="A14" s="17">
        <v>11</v>
      </c>
      <c r="B14" s="75">
        <v>244472</v>
      </c>
      <c r="C14" s="76" t="s">
        <v>210</v>
      </c>
      <c r="D14" s="76" t="s">
        <v>211</v>
      </c>
      <c r="E14" s="76" t="s">
        <v>183</v>
      </c>
      <c r="F14" s="76" t="s">
        <v>184</v>
      </c>
      <c r="G14" s="63"/>
      <c r="H14" s="17"/>
      <c r="I14" s="16">
        <v>200</v>
      </c>
      <c r="J14" s="17" t="s">
        <v>185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4" hidden="1" x14ac:dyDescent="0.3">
      <c r="A15" s="17">
        <v>12</v>
      </c>
      <c r="B15" s="75">
        <v>244472</v>
      </c>
      <c r="C15" s="76" t="s">
        <v>212</v>
      </c>
      <c r="D15" s="76" t="s">
        <v>213</v>
      </c>
      <c r="E15" s="76" t="s">
        <v>183</v>
      </c>
      <c r="F15" s="76" t="s">
        <v>184</v>
      </c>
      <c r="G15" s="63"/>
      <c r="H15" s="17"/>
      <c r="I15" s="16">
        <v>129</v>
      </c>
      <c r="J15" s="17" t="s">
        <v>185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4" hidden="1" x14ac:dyDescent="0.3">
      <c r="A16" s="17">
        <v>13</v>
      </c>
      <c r="B16" s="75">
        <v>244503</v>
      </c>
      <c r="C16" s="76" t="s">
        <v>214</v>
      </c>
      <c r="D16" s="76" t="s">
        <v>215</v>
      </c>
      <c r="E16" s="76" t="s">
        <v>183</v>
      </c>
      <c r="F16" s="76" t="s">
        <v>184</v>
      </c>
      <c r="G16" s="63"/>
      <c r="H16" s="17"/>
      <c r="I16" s="16">
        <v>360</v>
      </c>
      <c r="J16" s="17" t="s">
        <v>185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4" x14ac:dyDescent="0.3">
      <c r="A17" s="17">
        <v>14</v>
      </c>
      <c r="B17" s="75">
        <v>244503</v>
      </c>
      <c r="C17" s="76" t="s">
        <v>216</v>
      </c>
      <c r="D17" s="76" t="s">
        <v>217</v>
      </c>
      <c r="E17" s="76" t="s">
        <v>183</v>
      </c>
      <c r="F17" s="76" t="s">
        <v>184</v>
      </c>
      <c r="G17" s="17"/>
      <c r="H17" s="63"/>
      <c r="I17" s="16">
        <v>100</v>
      </c>
      <c r="J17" s="100" t="s">
        <v>47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4" hidden="1" x14ac:dyDescent="0.3">
      <c r="A18" s="17">
        <v>15</v>
      </c>
      <c r="B18" s="75">
        <v>244503</v>
      </c>
      <c r="C18" s="76" t="s">
        <v>218</v>
      </c>
      <c r="D18" s="76" t="s">
        <v>219</v>
      </c>
      <c r="E18" s="76" t="s">
        <v>183</v>
      </c>
      <c r="F18" s="76" t="s">
        <v>184</v>
      </c>
      <c r="G18" s="17"/>
      <c r="H18" s="63"/>
      <c r="I18" s="16">
        <v>176</v>
      </c>
      <c r="J18" s="17" t="s">
        <v>185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4" hidden="1" x14ac:dyDescent="0.3">
      <c r="A19" s="17">
        <v>16</v>
      </c>
      <c r="B19" s="75">
        <v>244503</v>
      </c>
      <c r="C19" s="76" t="s">
        <v>220</v>
      </c>
      <c r="D19" s="76" t="s">
        <v>221</v>
      </c>
      <c r="E19" s="76" t="s">
        <v>183</v>
      </c>
      <c r="F19" s="76" t="s">
        <v>184</v>
      </c>
      <c r="G19" s="17"/>
      <c r="H19" s="63"/>
      <c r="I19" s="16">
        <v>99</v>
      </c>
      <c r="J19" s="17" t="s">
        <v>185</v>
      </c>
      <c r="K19" s="17"/>
      <c r="L19" s="88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4" hidden="1" x14ac:dyDescent="0.3">
      <c r="A20" s="17">
        <v>17</v>
      </c>
      <c r="B20" s="75">
        <v>244564</v>
      </c>
      <c r="C20" s="76" t="s">
        <v>222</v>
      </c>
      <c r="D20" s="76" t="s">
        <v>223</v>
      </c>
      <c r="E20" s="76" t="s">
        <v>183</v>
      </c>
      <c r="F20" s="76" t="s">
        <v>184</v>
      </c>
      <c r="G20" s="17"/>
      <c r="H20" s="63"/>
      <c r="I20" s="16">
        <v>176</v>
      </c>
      <c r="J20" s="17" t="s">
        <v>185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4" hidden="1" x14ac:dyDescent="0.3">
      <c r="A21" s="17">
        <v>18</v>
      </c>
      <c r="B21" s="75">
        <v>244564</v>
      </c>
      <c r="C21" s="76" t="s">
        <v>224</v>
      </c>
      <c r="D21" s="76" t="s">
        <v>225</v>
      </c>
      <c r="E21" s="76" t="s">
        <v>183</v>
      </c>
      <c r="F21" s="76" t="s">
        <v>184</v>
      </c>
      <c r="G21" s="17"/>
      <c r="H21" s="63"/>
      <c r="I21" s="16">
        <v>176</v>
      </c>
      <c r="J21" s="17" t="s">
        <v>185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4" hidden="1" x14ac:dyDescent="0.3">
      <c r="A22" s="17">
        <v>19</v>
      </c>
      <c r="B22" s="75">
        <v>244564</v>
      </c>
      <c r="C22" s="76" t="s">
        <v>226</v>
      </c>
      <c r="D22" s="76" t="s">
        <v>227</v>
      </c>
      <c r="E22" s="76" t="s">
        <v>183</v>
      </c>
      <c r="F22" s="76" t="s">
        <v>184</v>
      </c>
      <c r="G22" s="17"/>
      <c r="H22" s="63"/>
      <c r="I22" s="16">
        <v>92</v>
      </c>
      <c r="J22" s="17" t="s">
        <v>185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4" hidden="1" x14ac:dyDescent="0.3">
      <c r="A23" s="17">
        <v>20</v>
      </c>
      <c r="B23" s="81">
        <v>244625</v>
      </c>
      <c r="C23" s="76" t="s">
        <v>228</v>
      </c>
      <c r="D23" s="76" t="s">
        <v>229</v>
      </c>
      <c r="E23" s="76" t="s">
        <v>183</v>
      </c>
      <c r="F23" s="76" t="s">
        <v>184</v>
      </c>
      <c r="G23" s="17"/>
      <c r="H23" s="17"/>
      <c r="I23" s="16">
        <v>119</v>
      </c>
      <c r="J23" s="17" t="s">
        <v>185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4" hidden="1" x14ac:dyDescent="0.3">
      <c r="A24" s="17">
        <v>21</v>
      </c>
      <c r="B24" s="81">
        <v>244656</v>
      </c>
      <c r="C24" s="76" t="s">
        <v>230</v>
      </c>
      <c r="D24" s="76" t="s">
        <v>231</v>
      </c>
      <c r="E24" s="76" t="s">
        <v>183</v>
      </c>
      <c r="F24" s="76" t="s">
        <v>184</v>
      </c>
      <c r="G24" s="17"/>
      <c r="H24" s="63"/>
      <c r="I24" s="16">
        <v>181</v>
      </c>
      <c r="J24" s="17" t="s">
        <v>185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4" hidden="1" x14ac:dyDescent="0.3">
      <c r="A25" s="17">
        <v>22</v>
      </c>
      <c r="B25" s="81">
        <v>244656</v>
      </c>
      <c r="C25" s="76" t="s">
        <v>232</v>
      </c>
      <c r="D25" s="76" t="s">
        <v>233</v>
      </c>
      <c r="E25" s="76" t="s">
        <v>183</v>
      </c>
      <c r="F25" s="76" t="s">
        <v>184</v>
      </c>
      <c r="G25" s="17"/>
      <c r="H25" s="63"/>
      <c r="I25" s="16">
        <v>100</v>
      </c>
      <c r="J25" s="17" t="s">
        <v>185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4" hidden="1" x14ac:dyDescent="0.3">
      <c r="A26" s="17">
        <v>23</v>
      </c>
      <c r="B26" s="81">
        <v>244656</v>
      </c>
      <c r="C26" s="76" t="s">
        <v>234</v>
      </c>
      <c r="D26" s="76" t="s">
        <v>235</v>
      </c>
      <c r="E26" s="76" t="s">
        <v>183</v>
      </c>
      <c r="F26" s="76" t="s">
        <v>184</v>
      </c>
      <c r="G26" s="17"/>
      <c r="H26" s="63"/>
      <c r="I26" s="16">
        <v>100</v>
      </c>
      <c r="J26" s="17" t="s">
        <v>185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4" hidden="1" x14ac:dyDescent="0.3">
      <c r="A27" s="17">
        <v>24</v>
      </c>
      <c r="B27" s="81">
        <v>244686</v>
      </c>
      <c r="C27" s="63" t="s">
        <v>236</v>
      </c>
      <c r="D27" s="76" t="s">
        <v>237</v>
      </c>
      <c r="E27" s="76" t="s">
        <v>183</v>
      </c>
      <c r="F27" s="76" t="s">
        <v>184</v>
      </c>
      <c r="G27" s="17"/>
      <c r="H27" s="63"/>
      <c r="I27" s="16">
        <v>181</v>
      </c>
      <c r="J27" s="17" t="s">
        <v>185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4" hidden="1" x14ac:dyDescent="0.3">
      <c r="A28" s="17">
        <v>25</v>
      </c>
      <c r="B28" s="17" t="s">
        <v>171</v>
      </c>
      <c r="C28" s="63" t="s">
        <v>238</v>
      </c>
      <c r="D28" s="76" t="s">
        <v>239</v>
      </c>
      <c r="E28" s="76" t="s">
        <v>183</v>
      </c>
      <c r="F28" s="76" t="s">
        <v>184</v>
      </c>
      <c r="G28" s="17"/>
      <c r="H28" s="63"/>
      <c r="I28" s="16">
        <v>195</v>
      </c>
      <c r="J28" s="17" t="s">
        <v>185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4" hidden="1" x14ac:dyDescent="0.3">
      <c r="A29" s="17">
        <v>26</v>
      </c>
      <c r="B29" s="17" t="s">
        <v>240</v>
      </c>
      <c r="C29" s="63" t="s">
        <v>241</v>
      </c>
      <c r="D29" s="76" t="s">
        <v>242</v>
      </c>
      <c r="E29" s="76" t="s">
        <v>183</v>
      </c>
      <c r="F29" s="76" t="s">
        <v>184</v>
      </c>
      <c r="G29" s="17"/>
      <c r="H29" s="63"/>
      <c r="I29" s="16">
        <v>181</v>
      </c>
      <c r="J29" s="17" t="s">
        <v>185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4" hidden="1" x14ac:dyDescent="0.3">
      <c r="A30" s="17">
        <v>27</v>
      </c>
      <c r="B30" s="17" t="s">
        <v>240</v>
      </c>
      <c r="C30" s="63" t="s">
        <v>243</v>
      </c>
      <c r="D30" s="76" t="s">
        <v>244</v>
      </c>
      <c r="E30" s="76" t="s">
        <v>183</v>
      </c>
      <c r="F30" s="76" t="s">
        <v>184</v>
      </c>
      <c r="G30" s="17"/>
      <c r="H30" s="63"/>
      <c r="I30" s="16">
        <v>181</v>
      </c>
      <c r="J30" s="17" t="s">
        <v>185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4" hidden="1" x14ac:dyDescent="0.3">
      <c r="A31" s="17">
        <v>28</v>
      </c>
      <c r="B31" s="17" t="s">
        <v>245</v>
      </c>
      <c r="C31" s="63" t="s">
        <v>246</v>
      </c>
      <c r="D31" s="76" t="s">
        <v>247</v>
      </c>
      <c r="E31" s="76" t="s">
        <v>183</v>
      </c>
      <c r="F31" s="76" t="s">
        <v>184</v>
      </c>
      <c r="G31" s="17"/>
      <c r="H31" s="63"/>
      <c r="I31" s="16">
        <v>129</v>
      </c>
      <c r="J31" s="17" t="s">
        <v>185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4" x14ac:dyDescent="0.3">
      <c r="A32" s="17">
        <v>29</v>
      </c>
      <c r="B32" s="17" t="s">
        <v>144</v>
      </c>
      <c r="C32" s="76" t="s">
        <v>248</v>
      </c>
      <c r="D32" s="76" t="s">
        <v>249</v>
      </c>
      <c r="E32" s="76" t="s">
        <v>183</v>
      </c>
      <c r="F32" s="76" t="s">
        <v>184</v>
      </c>
      <c r="G32" s="17"/>
      <c r="H32" s="63"/>
      <c r="I32" s="16">
        <v>181</v>
      </c>
      <c r="J32" s="100" t="s">
        <v>47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4" hidden="1" x14ac:dyDescent="0.3">
      <c r="A33" s="17">
        <v>30</v>
      </c>
      <c r="B33" s="17" t="s">
        <v>144</v>
      </c>
      <c r="C33" s="76" t="s">
        <v>250</v>
      </c>
      <c r="D33" s="76" t="s">
        <v>251</v>
      </c>
      <c r="E33" s="76" t="s">
        <v>183</v>
      </c>
      <c r="F33" s="76" t="s">
        <v>184</v>
      </c>
      <c r="G33" s="17"/>
      <c r="H33" s="63"/>
      <c r="I33" s="16">
        <v>180</v>
      </c>
      <c r="J33" s="17" t="s">
        <v>185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4" hidden="1" x14ac:dyDescent="0.3">
      <c r="A34" s="17">
        <v>31</v>
      </c>
      <c r="B34" s="17" t="s">
        <v>252</v>
      </c>
      <c r="C34" s="76" t="s">
        <v>253</v>
      </c>
      <c r="D34" s="76" t="s">
        <v>254</v>
      </c>
      <c r="E34" s="76" t="s">
        <v>183</v>
      </c>
      <c r="F34" s="76" t="s">
        <v>194</v>
      </c>
      <c r="G34" s="17"/>
      <c r="H34" s="63"/>
      <c r="I34" s="16">
        <v>100</v>
      </c>
      <c r="J34" s="17" t="s">
        <v>185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4" hidden="1" x14ac:dyDescent="0.3">
      <c r="A35" s="17">
        <v>32</v>
      </c>
      <c r="B35" s="17" t="s">
        <v>252</v>
      </c>
      <c r="C35" s="76" t="s">
        <v>255</v>
      </c>
      <c r="D35" s="76" t="s">
        <v>256</v>
      </c>
      <c r="E35" s="76" t="s">
        <v>183</v>
      </c>
      <c r="F35" s="76" t="s">
        <v>184</v>
      </c>
      <c r="G35" s="17"/>
      <c r="H35" s="63"/>
      <c r="I35" s="16">
        <v>181</v>
      </c>
      <c r="J35" s="17" t="s">
        <v>185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4" hidden="1" x14ac:dyDescent="0.3">
      <c r="A36" s="17">
        <v>33</v>
      </c>
      <c r="B36" s="17" t="s">
        <v>252</v>
      </c>
      <c r="C36" s="76" t="s">
        <v>257</v>
      </c>
      <c r="D36" s="76" t="s">
        <v>258</v>
      </c>
      <c r="E36" s="76" t="s">
        <v>183</v>
      </c>
      <c r="F36" s="76" t="s">
        <v>184</v>
      </c>
      <c r="G36" s="17"/>
      <c r="H36" s="63"/>
      <c r="I36" s="16">
        <v>192.31</v>
      </c>
      <c r="J36" s="17" t="s">
        <v>185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4" hidden="1" x14ac:dyDescent="0.3">
      <c r="A37" s="17">
        <v>34</v>
      </c>
      <c r="B37" s="17" t="s">
        <v>252</v>
      </c>
      <c r="C37" s="76" t="s">
        <v>259</v>
      </c>
      <c r="D37" s="76" t="s">
        <v>260</v>
      </c>
      <c r="E37" s="76" t="s">
        <v>183</v>
      </c>
      <c r="F37" s="76" t="s">
        <v>184</v>
      </c>
      <c r="G37" s="17"/>
      <c r="H37" s="63"/>
      <c r="I37" s="16">
        <v>100</v>
      </c>
      <c r="J37" s="17" t="s">
        <v>185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4" hidden="1" x14ac:dyDescent="0.3">
      <c r="A38" s="17">
        <v>35</v>
      </c>
      <c r="B38" s="17" t="s">
        <v>252</v>
      </c>
      <c r="C38" s="76" t="s">
        <v>261</v>
      </c>
      <c r="D38" s="76" t="s">
        <v>262</v>
      </c>
      <c r="E38" s="76" t="s">
        <v>183</v>
      </c>
      <c r="F38" s="76" t="s">
        <v>184</v>
      </c>
      <c r="G38" s="17"/>
      <c r="H38" s="63"/>
      <c r="I38" s="16">
        <v>78.2</v>
      </c>
      <c r="J38" s="17" t="s">
        <v>185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4" hidden="1" x14ac:dyDescent="0.3">
      <c r="A39" s="17">
        <v>36</v>
      </c>
      <c r="B39" s="17" t="s">
        <v>252</v>
      </c>
      <c r="C39" s="76" t="s">
        <v>263</v>
      </c>
      <c r="D39" s="76" t="s">
        <v>264</v>
      </c>
      <c r="E39" s="76" t="s">
        <v>183</v>
      </c>
      <c r="F39" s="76" t="s">
        <v>194</v>
      </c>
      <c r="G39" s="17"/>
      <c r="H39" s="63"/>
      <c r="I39" s="16">
        <v>100</v>
      </c>
      <c r="J39" s="17" t="s">
        <v>185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4" hidden="1" x14ac:dyDescent="0.3">
      <c r="A40" s="17">
        <v>37</v>
      </c>
      <c r="B40" s="17" t="s">
        <v>265</v>
      </c>
      <c r="C40" s="76" t="s">
        <v>266</v>
      </c>
      <c r="D40" s="76" t="s">
        <v>267</v>
      </c>
      <c r="E40" s="76" t="s">
        <v>183</v>
      </c>
      <c r="F40" s="76" t="s">
        <v>184</v>
      </c>
      <c r="G40" s="17"/>
      <c r="H40" s="63"/>
      <c r="I40" s="16">
        <v>350</v>
      </c>
      <c r="J40" s="17" t="s">
        <v>185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4" hidden="1" x14ac:dyDescent="0.3">
      <c r="A41" s="17">
        <v>38</v>
      </c>
      <c r="B41" s="17" t="s">
        <v>265</v>
      </c>
      <c r="C41" s="76" t="s">
        <v>268</v>
      </c>
      <c r="D41" s="76" t="s">
        <v>269</v>
      </c>
      <c r="E41" s="76" t="s">
        <v>183</v>
      </c>
      <c r="F41" s="76" t="s">
        <v>184</v>
      </c>
      <c r="G41" s="17"/>
      <c r="H41" s="63"/>
      <c r="I41" s="16">
        <v>182</v>
      </c>
      <c r="J41" s="17" t="s">
        <v>185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4" hidden="1" x14ac:dyDescent="0.3">
      <c r="A42" s="17">
        <v>39</v>
      </c>
      <c r="B42" s="17" t="s">
        <v>270</v>
      </c>
      <c r="C42" s="76" t="s">
        <v>271</v>
      </c>
      <c r="D42" s="76" t="s">
        <v>272</v>
      </c>
      <c r="E42" s="76" t="s">
        <v>183</v>
      </c>
      <c r="F42" s="76" t="s">
        <v>194</v>
      </c>
      <c r="G42" s="17"/>
      <c r="H42" s="63"/>
      <c r="I42" s="16">
        <v>100</v>
      </c>
      <c r="J42" s="17" t="s">
        <v>185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4" hidden="1" x14ac:dyDescent="0.3">
      <c r="A43" s="17">
        <v>40</v>
      </c>
      <c r="B43" s="17" t="s">
        <v>270</v>
      </c>
      <c r="C43" s="76" t="s">
        <v>273</v>
      </c>
      <c r="D43" s="76" t="s">
        <v>274</v>
      </c>
      <c r="E43" s="76" t="s">
        <v>183</v>
      </c>
      <c r="F43" s="76" t="s">
        <v>194</v>
      </c>
      <c r="G43" s="17"/>
      <c r="H43" s="63"/>
      <c r="I43" s="16">
        <v>110</v>
      </c>
      <c r="J43" s="17" t="s">
        <v>185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4" hidden="1" x14ac:dyDescent="0.3">
      <c r="A44" s="17">
        <v>41</v>
      </c>
      <c r="B44" s="17" t="s">
        <v>275</v>
      </c>
      <c r="C44" s="76" t="s">
        <v>276</v>
      </c>
      <c r="D44" s="76" t="s">
        <v>277</v>
      </c>
      <c r="E44" s="76" t="s">
        <v>183</v>
      </c>
      <c r="F44" s="76" t="s">
        <v>184</v>
      </c>
      <c r="G44" s="17"/>
      <c r="H44" s="63"/>
      <c r="I44" s="16">
        <v>182</v>
      </c>
      <c r="J44" s="17" t="s">
        <v>185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4" hidden="1" x14ac:dyDescent="0.3">
      <c r="A45" s="17">
        <v>42</v>
      </c>
      <c r="B45" s="17" t="s">
        <v>275</v>
      </c>
      <c r="C45" s="76" t="s">
        <v>278</v>
      </c>
      <c r="D45" s="76" t="s">
        <v>279</v>
      </c>
      <c r="E45" s="76" t="s">
        <v>183</v>
      </c>
      <c r="F45" s="76" t="s">
        <v>184</v>
      </c>
      <c r="G45" s="17"/>
      <c r="H45" s="63"/>
      <c r="I45" s="16">
        <v>224</v>
      </c>
      <c r="J45" s="17" t="s">
        <v>185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4" hidden="1" x14ac:dyDescent="0.3">
      <c r="A46" s="17">
        <v>43</v>
      </c>
      <c r="B46" s="17" t="s">
        <v>275</v>
      </c>
      <c r="C46" s="76" t="s">
        <v>280</v>
      </c>
      <c r="D46" s="76" t="s">
        <v>281</v>
      </c>
      <c r="E46" s="76" t="s">
        <v>183</v>
      </c>
      <c r="F46" s="76" t="s">
        <v>194</v>
      </c>
      <c r="G46" s="17"/>
      <c r="H46" s="63"/>
      <c r="I46" s="16">
        <v>225.62</v>
      </c>
      <c r="J46" s="17" t="s">
        <v>185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4" hidden="1" x14ac:dyDescent="0.3">
      <c r="A47" s="17">
        <v>44</v>
      </c>
      <c r="B47" s="17" t="s">
        <v>282</v>
      </c>
      <c r="C47" s="76" t="s">
        <v>283</v>
      </c>
      <c r="D47" s="76" t="s">
        <v>284</v>
      </c>
      <c r="E47" s="76" t="s">
        <v>183</v>
      </c>
      <c r="F47" s="76" t="s">
        <v>184</v>
      </c>
      <c r="G47" s="17"/>
      <c r="H47" s="63"/>
      <c r="I47" s="16">
        <v>182</v>
      </c>
      <c r="J47" s="17" t="s">
        <v>185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4" hidden="1" x14ac:dyDescent="0.3">
      <c r="A48" s="17">
        <v>45</v>
      </c>
      <c r="B48" s="17" t="s">
        <v>282</v>
      </c>
      <c r="C48" s="76" t="s">
        <v>285</v>
      </c>
      <c r="D48" s="76" t="s">
        <v>286</v>
      </c>
      <c r="E48" s="76" t="s">
        <v>183</v>
      </c>
      <c r="F48" s="76" t="s">
        <v>194</v>
      </c>
      <c r="G48" s="17"/>
      <c r="H48" s="63"/>
      <c r="I48" s="16">
        <v>99</v>
      </c>
      <c r="J48" s="17" t="s">
        <v>185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4" hidden="1" x14ac:dyDescent="0.3">
      <c r="A49" s="17">
        <v>46</v>
      </c>
      <c r="B49" s="17" t="s">
        <v>287</v>
      </c>
      <c r="C49" s="76" t="s">
        <v>288</v>
      </c>
      <c r="D49" s="76" t="s">
        <v>289</v>
      </c>
      <c r="E49" s="76" t="s">
        <v>183</v>
      </c>
      <c r="F49" s="76" t="s">
        <v>184</v>
      </c>
      <c r="G49" s="17"/>
      <c r="H49" s="63"/>
      <c r="I49" s="16">
        <v>181</v>
      </c>
      <c r="J49" s="17" t="s">
        <v>185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4" hidden="1" x14ac:dyDescent="0.3">
      <c r="A50" s="17">
        <v>47</v>
      </c>
      <c r="B50" s="17" t="s">
        <v>287</v>
      </c>
      <c r="C50" s="76" t="s">
        <v>290</v>
      </c>
      <c r="D50" s="76" t="s">
        <v>291</v>
      </c>
      <c r="E50" s="76" t="s">
        <v>183</v>
      </c>
      <c r="F50" s="76" t="s">
        <v>184</v>
      </c>
      <c r="G50" s="17"/>
      <c r="H50" s="63"/>
      <c r="I50" s="16">
        <v>182</v>
      </c>
      <c r="J50" s="17" t="s">
        <v>185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4" x14ac:dyDescent="0.3">
      <c r="A51" s="17">
        <v>48</v>
      </c>
      <c r="B51" s="17" t="s">
        <v>287</v>
      </c>
      <c r="C51" s="76" t="s">
        <v>292</v>
      </c>
      <c r="D51" s="76" t="s">
        <v>293</v>
      </c>
      <c r="E51" s="76" t="s">
        <v>183</v>
      </c>
      <c r="F51" s="76" t="s">
        <v>194</v>
      </c>
      <c r="G51" s="17"/>
      <c r="H51" s="63"/>
      <c r="I51" s="16">
        <v>151.5</v>
      </c>
      <c r="J51" s="100" t="s">
        <v>47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4" hidden="1" x14ac:dyDescent="0.3">
      <c r="A52" s="17">
        <v>49</v>
      </c>
      <c r="B52" s="17"/>
      <c r="C52" s="76"/>
      <c r="D52" s="76"/>
      <c r="E52" s="76"/>
      <c r="F52" s="76"/>
      <c r="G52" s="17"/>
      <c r="H52" s="63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4" hidden="1" x14ac:dyDescent="0.3">
      <c r="A53" s="17">
        <v>50</v>
      </c>
      <c r="B53" s="17"/>
      <c r="C53" s="76"/>
      <c r="D53" s="76"/>
      <c r="E53" s="76"/>
      <c r="F53" s="76"/>
      <c r="G53" s="17"/>
      <c r="H53" s="63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4" hidden="1" x14ac:dyDescent="0.3">
      <c r="A54" s="17">
        <v>51</v>
      </c>
      <c r="B54" s="75"/>
      <c r="C54" s="76"/>
      <c r="D54" s="76"/>
      <c r="E54" s="76"/>
      <c r="F54" s="76"/>
      <c r="G54" s="17"/>
      <c r="H54" s="63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4" hidden="1" x14ac:dyDescent="0.3">
      <c r="A55" s="17">
        <v>52</v>
      </c>
      <c r="B55" s="75"/>
      <c r="C55" s="76"/>
      <c r="D55" s="76"/>
      <c r="E55" s="76"/>
      <c r="F55" s="76"/>
      <c r="G55" s="17"/>
      <c r="H55" s="63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4" hidden="1" x14ac:dyDescent="0.3">
      <c r="A56" s="17">
        <v>53</v>
      </c>
      <c r="B56" s="75"/>
      <c r="C56" s="76"/>
      <c r="D56" s="76"/>
      <c r="E56" s="76"/>
      <c r="F56" s="76"/>
      <c r="G56" s="17"/>
      <c r="H56" s="63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4" hidden="1" x14ac:dyDescent="0.3">
      <c r="A57" s="17">
        <v>54</v>
      </c>
      <c r="B57" s="75"/>
      <c r="C57" s="76"/>
      <c r="D57" s="76"/>
      <c r="E57" s="76"/>
      <c r="F57" s="76"/>
      <c r="G57" s="17"/>
      <c r="H57" s="63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4" hidden="1" x14ac:dyDescent="0.3">
      <c r="A58" s="17">
        <v>55</v>
      </c>
      <c r="B58" s="75"/>
      <c r="C58" s="76"/>
      <c r="D58" s="76"/>
      <c r="E58" s="76"/>
      <c r="F58" s="76"/>
      <c r="G58" s="17"/>
      <c r="H58" s="63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4" hidden="1" x14ac:dyDescent="0.3">
      <c r="A59" s="17">
        <v>56</v>
      </c>
      <c r="B59" s="75"/>
      <c r="C59" s="76"/>
      <c r="D59" s="76"/>
      <c r="E59" s="76"/>
      <c r="F59" s="76"/>
      <c r="G59" s="17"/>
      <c r="H59" s="63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4" hidden="1" x14ac:dyDescent="0.3">
      <c r="A60" s="17">
        <v>57</v>
      </c>
      <c r="B60" s="75"/>
      <c r="C60" s="76"/>
      <c r="D60" s="76"/>
      <c r="E60" s="76"/>
      <c r="F60" s="76"/>
      <c r="G60" s="17"/>
      <c r="H60" s="63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4" hidden="1" x14ac:dyDescent="0.3">
      <c r="A61" s="17">
        <v>58</v>
      </c>
      <c r="B61" s="75"/>
      <c r="C61" s="76"/>
      <c r="D61" s="76"/>
      <c r="E61" s="76"/>
      <c r="F61" s="76"/>
      <c r="G61" s="17"/>
      <c r="H61" s="63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4" hidden="1" x14ac:dyDescent="0.3">
      <c r="A62" s="17">
        <v>59</v>
      </c>
      <c r="B62" s="75"/>
      <c r="C62" s="76"/>
      <c r="D62" s="76"/>
      <c r="E62" s="76"/>
      <c r="F62" s="76"/>
      <c r="G62" s="17"/>
      <c r="H62" s="63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4" hidden="1" x14ac:dyDescent="0.3">
      <c r="A63" s="17">
        <v>60</v>
      </c>
      <c r="B63" s="75"/>
      <c r="C63" s="76"/>
      <c r="D63" s="76"/>
      <c r="E63" s="76"/>
      <c r="F63" s="76"/>
      <c r="G63" s="17"/>
      <c r="H63" s="63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4" hidden="1" x14ac:dyDescent="0.3">
      <c r="A64" s="17">
        <v>61</v>
      </c>
      <c r="B64" s="75"/>
      <c r="C64" s="76"/>
      <c r="D64" s="76"/>
      <c r="E64" s="76"/>
      <c r="F64" s="76"/>
      <c r="G64" s="17"/>
      <c r="H64" s="63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4" hidden="1" x14ac:dyDescent="0.3">
      <c r="A65" s="17">
        <v>62</v>
      </c>
      <c r="B65" s="75"/>
      <c r="C65" s="76"/>
      <c r="D65" s="76"/>
      <c r="E65" s="76"/>
      <c r="F65" s="76"/>
      <c r="G65" s="17"/>
      <c r="H65" s="63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4" hidden="1" x14ac:dyDescent="0.3">
      <c r="A66" s="17">
        <v>63</v>
      </c>
      <c r="B66" s="75"/>
      <c r="C66" s="76"/>
      <c r="D66" s="76"/>
      <c r="E66" s="76"/>
      <c r="F66" s="76"/>
      <c r="G66" s="17"/>
      <c r="H66" s="63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4" hidden="1" x14ac:dyDescent="0.3">
      <c r="A67" s="17">
        <v>64</v>
      </c>
      <c r="B67" s="75"/>
      <c r="C67" s="76"/>
      <c r="D67" s="76"/>
      <c r="E67" s="76"/>
      <c r="F67" s="76"/>
      <c r="G67" s="17"/>
      <c r="H67" s="63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4" hidden="1" x14ac:dyDescent="0.3">
      <c r="A68" s="17">
        <v>65</v>
      </c>
      <c r="B68" s="75"/>
      <c r="C68" s="76"/>
      <c r="D68" s="76"/>
      <c r="E68" s="76"/>
      <c r="F68" s="76"/>
      <c r="G68" s="17"/>
      <c r="H68" s="63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4" hidden="1" x14ac:dyDescent="0.3">
      <c r="A69" s="17">
        <v>66</v>
      </c>
      <c r="B69" s="75"/>
      <c r="C69" s="76"/>
      <c r="D69" s="76"/>
      <c r="E69" s="76"/>
      <c r="F69" s="76"/>
      <c r="G69" s="17"/>
      <c r="H69" s="63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4" hidden="1" x14ac:dyDescent="0.3">
      <c r="A70" s="17">
        <v>67</v>
      </c>
      <c r="B70" s="75"/>
      <c r="C70" s="76"/>
      <c r="D70" s="76"/>
      <c r="E70" s="76"/>
      <c r="F70" s="76"/>
      <c r="G70" s="17"/>
      <c r="H70" s="63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4" hidden="1" x14ac:dyDescent="0.3">
      <c r="A71" s="17">
        <v>68</v>
      </c>
      <c r="B71" s="75"/>
      <c r="C71" s="76"/>
      <c r="D71" s="76"/>
      <c r="E71" s="76"/>
      <c r="F71" s="76"/>
      <c r="G71" s="17"/>
      <c r="H71" s="63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4" hidden="1" x14ac:dyDescent="0.3">
      <c r="A72" s="17">
        <v>69</v>
      </c>
      <c r="B72" s="75"/>
      <c r="C72" s="76"/>
      <c r="D72" s="76"/>
      <c r="E72" s="76"/>
      <c r="F72" s="76"/>
      <c r="G72" s="17"/>
      <c r="H72" s="63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4" hidden="1" x14ac:dyDescent="0.3">
      <c r="A73" s="17">
        <v>70</v>
      </c>
      <c r="B73" s="75"/>
      <c r="C73" s="76"/>
      <c r="D73" s="76"/>
      <c r="E73" s="76"/>
      <c r="F73" s="76"/>
      <c r="G73" s="17"/>
      <c r="H73" s="63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4" hidden="1" x14ac:dyDescent="0.3">
      <c r="A74" s="17">
        <v>71</v>
      </c>
      <c r="B74" s="75"/>
      <c r="C74" s="63"/>
      <c r="D74" s="76"/>
      <c r="E74" s="76"/>
      <c r="F74" s="76"/>
      <c r="G74" s="17"/>
      <c r="H74" s="17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4" hidden="1" x14ac:dyDescent="0.3">
      <c r="A75" s="17">
        <v>72</v>
      </c>
      <c r="B75" s="75"/>
      <c r="C75" s="63"/>
      <c r="D75" s="76"/>
      <c r="E75" s="76"/>
      <c r="F75" s="76"/>
      <c r="G75" s="17"/>
      <c r="H75" s="17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4" hidden="1" x14ac:dyDescent="0.3">
      <c r="A76" s="17">
        <v>73</v>
      </c>
      <c r="B76" s="75"/>
      <c r="C76" s="63"/>
      <c r="D76" s="76"/>
      <c r="E76" s="76"/>
      <c r="F76" s="76"/>
      <c r="G76" s="17"/>
      <c r="H76" s="17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4" hidden="1" x14ac:dyDescent="0.3">
      <c r="A77" s="17">
        <v>74</v>
      </c>
      <c r="B77" s="75"/>
      <c r="C77" s="63"/>
      <c r="D77" s="76"/>
      <c r="E77" s="76"/>
      <c r="F77" s="76"/>
      <c r="G77" s="17"/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4" hidden="1" x14ac:dyDescent="0.3">
      <c r="A78" s="17">
        <v>75</v>
      </c>
      <c r="B78" s="75"/>
      <c r="C78" s="63"/>
      <c r="D78" s="76"/>
      <c r="E78" s="76"/>
      <c r="F78" s="76"/>
      <c r="G78" s="17"/>
      <c r="H78" s="17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4" hidden="1" x14ac:dyDescent="0.3">
      <c r="A79" s="17">
        <v>76</v>
      </c>
      <c r="B79" s="75"/>
      <c r="C79" s="63"/>
      <c r="D79" s="76"/>
      <c r="E79" s="76"/>
      <c r="F79" s="76"/>
      <c r="G79" s="17"/>
      <c r="H79" s="17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4" hidden="1" x14ac:dyDescent="0.3">
      <c r="A80" s="17">
        <v>77</v>
      </c>
      <c r="B80" s="75"/>
      <c r="C80" s="63"/>
      <c r="D80" s="76"/>
      <c r="E80" s="76"/>
      <c r="F80" s="76"/>
      <c r="G80" s="17"/>
      <c r="H80" s="17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4" hidden="1" x14ac:dyDescent="0.3">
      <c r="A81" s="17">
        <v>78</v>
      </c>
      <c r="B81" s="75"/>
      <c r="C81" s="63"/>
      <c r="D81" s="76"/>
      <c r="E81" s="76"/>
      <c r="F81" s="76"/>
      <c r="G81" s="17"/>
      <c r="H81" s="17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4" hidden="1" x14ac:dyDescent="0.3">
      <c r="A82" s="17">
        <v>79</v>
      </c>
      <c r="B82" s="75"/>
      <c r="C82" s="63"/>
      <c r="D82" s="76"/>
      <c r="E82" s="76"/>
      <c r="F82" s="76"/>
      <c r="G82" s="17"/>
      <c r="H82" s="17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4" hidden="1" x14ac:dyDescent="0.3">
      <c r="A83" s="17">
        <v>80</v>
      </c>
      <c r="B83" s="75"/>
      <c r="C83" s="63"/>
      <c r="D83" s="76"/>
      <c r="E83" s="76"/>
      <c r="F83" s="76"/>
      <c r="G83" s="17"/>
      <c r="H83" s="17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4" hidden="1" x14ac:dyDescent="0.3">
      <c r="A84" s="17">
        <v>81</v>
      </c>
      <c r="B84" s="75"/>
      <c r="C84" s="63"/>
      <c r="D84" s="76"/>
      <c r="E84" s="76"/>
      <c r="F84" s="76"/>
      <c r="G84" s="17"/>
      <c r="H84" s="17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4" hidden="1" x14ac:dyDescent="0.3">
      <c r="A85" s="17">
        <v>82</v>
      </c>
      <c r="B85" s="75"/>
      <c r="C85" s="63"/>
      <c r="D85" s="76"/>
      <c r="E85" s="76"/>
      <c r="F85" s="76"/>
      <c r="G85" s="17"/>
      <c r="H85" s="17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4" hidden="1" x14ac:dyDescent="0.3">
      <c r="A86" s="17">
        <v>83</v>
      </c>
      <c r="B86" s="75"/>
      <c r="C86" s="63"/>
      <c r="D86" s="76"/>
      <c r="E86" s="76"/>
      <c r="F86" s="76"/>
      <c r="G86" s="17"/>
      <c r="H86" s="17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4" hidden="1" x14ac:dyDescent="0.3">
      <c r="A87" s="17">
        <v>84</v>
      </c>
      <c r="B87" s="75"/>
      <c r="C87" s="63"/>
      <c r="D87" s="76"/>
      <c r="E87" s="76"/>
      <c r="F87" s="76"/>
      <c r="G87" s="17"/>
      <c r="H87" s="17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4" hidden="1" x14ac:dyDescent="0.3">
      <c r="A88" s="17">
        <v>85</v>
      </c>
      <c r="B88" s="75"/>
      <c r="C88" s="63"/>
      <c r="D88" s="76"/>
      <c r="E88" s="76"/>
      <c r="F88" s="76"/>
      <c r="G88" s="17"/>
      <c r="H88" s="17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4" hidden="1" x14ac:dyDescent="0.3">
      <c r="A89" s="17">
        <v>86</v>
      </c>
      <c r="B89" s="75"/>
      <c r="C89" s="63"/>
      <c r="D89" s="76"/>
      <c r="E89" s="76"/>
      <c r="F89" s="76"/>
      <c r="G89" s="17"/>
      <c r="H89" s="17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4" hidden="1" x14ac:dyDescent="0.3">
      <c r="A90" s="17">
        <v>87</v>
      </c>
      <c r="B90" s="75"/>
      <c r="C90" s="63"/>
      <c r="D90" s="76"/>
      <c r="E90" s="76"/>
      <c r="F90" s="76"/>
      <c r="G90" s="17"/>
      <c r="H90" s="17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4" hidden="1" x14ac:dyDescent="0.3">
      <c r="A91" s="17">
        <v>88</v>
      </c>
      <c r="B91" s="75"/>
      <c r="C91" s="63"/>
      <c r="D91" s="76"/>
      <c r="E91" s="76"/>
      <c r="F91" s="76"/>
      <c r="G91" s="17"/>
      <c r="H91" s="17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4" hidden="1" x14ac:dyDescent="0.3">
      <c r="A92" s="17">
        <v>89</v>
      </c>
      <c r="B92" s="75"/>
      <c r="C92" s="63"/>
      <c r="D92" s="76"/>
      <c r="E92" s="76"/>
      <c r="F92" s="76"/>
      <c r="G92" s="17"/>
      <c r="H92" s="17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4" hidden="1" x14ac:dyDescent="0.3">
      <c r="A93" s="17">
        <v>90</v>
      </c>
      <c r="B93" s="75"/>
      <c r="C93" s="63"/>
      <c r="D93" s="76"/>
      <c r="E93" s="76"/>
      <c r="F93" s="76"/>
      <c r="G93" s="17"/>
      <c r="H93" s="17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4" hidden="1" x14ac:dyDescent="0.3">
      <c r="A94" s="17">
        <v>91</v>
      </c>
      <c r="B94" s="75"/>
      <c r="C94" s="63"/>
      <c r="D94" s="76"/>
      <c r="E94" s="76"/>
      <c r="F94" s="76"/>
      <c r="G94" s="17"/>
      <c r="H94" s="17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4" hidden="1" x14ac:dyDescent="0.3">
      <c r="A95" s="17">
        <v>92</v>
      </c>
      <c r="B95" s="75"/>
      <c r="C95" s="63"/>
      <c r="D95" s="76"/>
      <c r="E95" s="76"/>
      <c r="F95" s="76"/>
      <c r="G95" s="17"/>
      <c r="H95" s="17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4" hidden="1" x14ac:dyDescent="0.3">
      <c r="A96" s="17">
        <v>93</v>
      </c>
      <c r="B96" s="75"/>
      <c r="C96" s="63"/>
      <c r="D96" s="76"/>
      <c r="E96" s="76"/>
      <c r="F96" s="76"/>
      <c r="G96" s="17"/>
      <c r="H96" s="17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4" hidden="1" x14ac:dyDescent="0.3">
      <c r="A97" s="17">
        <v>94</v>
      </c>
      <c r="B97" s="75"/>
      <c r="C97" s="63"/>
      <c r="D97" s="76"/>
      <c r="E97" s="76"/>
      <c r="F97" s="76"/>
      <c r="G97" s="17"/>
      <c r="H97" s="17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4" hidden="1" x14ac:dyDescent="0.3">
      <c r="A98" s="17">
        <v>95</v>
      </c>
      <c r="B98" s="75"/>
      <c r="C98" s="63"/>
      <c r="D98" s="76"/>
      <c r="E98" s="76"/>
      <c r="F98" s="76"/>
      <c r="G98" s="17"/>
      <c r="H98" s="17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4" hidden="1" x14ac:dyDescent="0.3">
      <c r="A99" s="17">
        <v>96</v>
      </c>
      <c r="B99" s="75"/>
      <c r="C99" s="63"/>
      <c r="D99" s="76"/>
      <c r="E99" s="76"/>
      <c r="F99" s="76"/>
      <c r="G99" s="17"/>
      <c r="H99" s="17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4" hidden="1" x14ac:dyDescent="0.3">
      <c r="A100" s="17">
        <v>97</v>
      </c>
      <c r="B100" s="75"/>
      <c r="C100" s="63"/>
      <c r="D100" s="76"/>
      <c r="E100" s="76"/>
      <c r="F100" s="76"/>
      <c r="G100" s="17"/>
      <c r="H100" s="17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4" hidden="1" x14ac:dyDescent="0.3">
      <c r="A101" s="17">
        <v>98</v>
      </c>
      <c r="B101" s="75"/>
      <c r="C101" s="63"/>
      <c r="D101" s="76"/>
      <c r="E101" s="76"/>
      <c r="F101" s="76"/>
      <c r="G101" s="17"/>
      <c r="H101" s="17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4" hidden="1" x14ac:dyDescent="0.3">
      <c r="A102" s="17">
        <v>99</v>
      </c>
      <c r="B102" s="75"/>
      <c r="C102" s="63"/>
      <c r="D102" s="76"/>
      <c r="E102" s="76"/>
      <c r="F102" s="76"/>
      <c r="G102" s="17"/>
      <c r="H102" s="17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4" hidden="1" x14ac:dyDescent="0.3">
      <c r="A103" s="17">
        <v>100</v>
      </c>
      <c r="B103" s="75"/>
      <c r="C103" s="63"/>
      <c r="D103" s="76"/>
      <c r="E103" s="76"/>
      <c r="F103" s="76"/>
      <c r="G103" s="17"/>
      <c r="H103" s="17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4" hidden="1" x14ac:dyDescent="0.3">
      <c r="A104" s="17">
        <v>101</v>
      </c>
      <c r="B104" s="75"/>
      <c r="C104" s="63"/>
      <c r="D104" s="76"/>
      <c r="E104" s="76"/>
      <c r="F104" s="76"/>
      <c r="G104" s="17"/>
      <c r="H104" s="17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4" hidden="1" x14ac:dyDescent="0.3">
      <c r="A105" s="17">
        <v>102</v>
      </c>
      <c r="B105" s="75"/>
      <c r="C105" s="63"/>
      <c r="D105" s="76"/>
      <c r="E105" s="76"/>
      <c r="F105" s="76"/>
      <c r="G105" s="17"/>
      <c r="H105" s="17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4" hidden="1" x14ac:dyDescent="0.3">
      <c r="A106" s="17">
        <v>103</v>
      </c>
      <c r="B106" s="75"/>
      <c r="C106" s="63"/>
      <c r="D106" s="76"/>
      <c r="E106" s="76"/>
      <c r="F106" s="76"/>
      <c r="G106" s="17"/>
      <c r="H106" s="17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4" hidden="1" x14ac:dyDescent="0.3">
      <c r="A107" s="17">
        <v>104</v>
      </c>
      <c r="B107" s="75"/>
      <c r="C107" s="63"/>
      <c r="D107" s="76"/>
      <c r="E107" s="76"/>
      <c r="F107" s="76"/>
      <c r="G107" s="17"/>
      <c r="H107" s="17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4" hidden="1" x14ac:dyDescent="0.3">
      <c r="A108" s="17">
        <v>105</v>
      </c>
      <c r="B108" s="75"/>
      <c r="C108" s="63"/>
      <c r="D108" s="76"/>
      <c r="E108" s="76"/>
      <c r="F108" s="76"/>
      <c r="G108" s="17"/>
      <c r="H108" s="17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4" hidden="1" x14ac:dyDescent="0.3">
      <c r="A109" s="17">
        <v>106</v>
      </c>
      <c r="B109" s="75"/>
      <c r="C109" s="63"/>
      <c r="D109" s="76"/>
      <c r="E109" s="76"/>
      <c r="F109" s="76"/>
      <c r="G109" s="17"/>
      <c r="H109" s="17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4" hidden="1" x14ac:dyDescent="0.3">
      <c r="A110" s="17">
        <v>107</v>
      </c>
      <c r="B110" s="75"/>
      <c r="C110" s="63"/>
      <c r="D110" s="76"/>
      <c r="E110" s="76"/>
      <c r="F110" s="76"/>
      <c r="G110" s="17"/>
      <c r="H110" s="17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4" hidden="1" x14ac:dyDescent="0.3">
      <c r="A111" s="17">
        <v>108</v>
      </c>
      <c r="B111" s="75"/>
      <c r="C111" s="63"/>
      <c r="D111" s="76"/>
      <c r="E111" s="76"/>
      <c r="F111" s="76"/>
      <c r="G111" s="17"/>
      <c r="H111" s="17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4" hidden="1" x14ac:dyDescent="0.3">
      <c r="A112" s="17">
        <v>109</v>
      </c>
      <c r="B112" s="75"/>
      <c r="C112" s="63"/>
      <c r="D112" s="76"/>
      <c r="E112" s="76"/>
      <c r="F112" s="76"/>
      <c r="G112" s="17"/>
      <c r="H112" s="17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4" hidden="1" x14ac:dyDescent="0.3">
      <c r="A113" s="17">
        <v>110</v>
      </c>
      <c r="B113" s="75"/>
      <c r="C113" s="63"/>
      <c r="D113" s="76"/>
      <c r="E113" s="76"/>
      <c r="F113" s="76"/>
      <c r="G113" s="17"/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4" hidden="1" x14ac:dyDescent="0.3">
      <c r="A114" s="17">
        <v>111</v>
      </c>
      <c r="B114" s="75"/>
      <c r="C114" s="63"/>
      <c r="D114" s="76"/>
      <c r="E114" s="76"/>
      <c r="F114" s="76"/>
      <c r="G114" s="17"/>
      <c r="H114" s="17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4" hidden="1" x14ac:dyDescent="0.3">
      <c r="A115" s="17">
        <v>112</v>
      </c>
      <c r="B115" s="75"/>
      <c r="C115" s="63"/>
      <c r="D115" s="76"/>
      <c r="E115" s="76"/>
      <c r="F115" s="76"/>
      <c r="G115" s="17"/>
      <c r="H115" s="17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4" hidden="1" x14ac:dyDescent="0.3">
      <c r="A116" s="17">
        <v>113</v>
      </c>
      <c r="B116" s="75"/>
      <c r="C116" s="63"/>
      <c r="D116" s="76"/>
      <c r="E116" s="76"/>
      <c r="F116" s="76"/>
      <c r="G116" s="17"/>
      <c r="H116" s="17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4" hidden="1" x14ac:dyDescent="0.3">
      <c r="A117" s="17">
        <v>114</v>
      </c>
      <c r="B117" s="75"/>
      <c r="C117" s="63"/>
      <c r="D117" s="76"/>
      <c r="E117" s="76"/>
      <c r="F117" s="76"/>
      <c r="G117" s="17"/>
      <c r="H117" s="17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4" hidden="1" x14ac:dyDescent="0.3">
      <c r="A118" s="17">
        <v>115</v>
      </c>
      <c r="B118" s="75"/>
      <c r="C118" s="63"/>
      <c r="D118" s="76"/>
      <c r="E118" s="76"/>
      <c r="F118" s="76"/>
      <c r="G118" s="17"/>
      <c r="H118" s="17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4" hidden="1" x14ac:dyDescent="0.3">
      <c r="A119" s="17">
        <v>116</v>
      </c>
      <c r="B119" s="75"/>
      <c r="C119" s="63"/>
      <c r="D119" s="76"/>
      <c r="E119" s="76"/>
      <c r="F119" s="76"/>
      <c r="G119" s="17"/>
      <c r="H119" s="17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4" hidden="1" x14ac:dyDescent="0.3">
      <c r="A120" s="17">
        <v>117</v>
      </c>
      <c r="B120" s="75"/>
      <c r="C120" s="63"/>
      <c r="D120" s="76"/>
      <c r="E120" s="76"/>
      <c r="F120" s="76"/>
      <c r="G120" s="17"/>
      <c r="H120" s="17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4" hidden="1" x14ac:dyDescent="0.3">
      <c r="A121" s="17">
        <v>118</v>
      </c>
      <c r="B121" s="75"/>
      <c r="C121" s="63"/>
      <c r="D121" s="76"/>
      <c r="E121" s="76"/>
      <c r="F121" s="76"/>
      <c r="G121" s="17"/>
      <c r="H121" s="17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4" hidden="1" x14ac:dyDescent="0.3">
      <c r="A122" s="17">
        <v>119</v>
      </c>
      <c r="B122" s="75"/>
      <c r="C122" s="63"/>
      <c r="D122" s="76"/>
      <c r="E122" s="76"/>
      <c r="F122" s="76"/>
      <c r="G122" s="17"/>
      <c r="H122" s="17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4" hidden="1" x14ac:dyDescent="0.3">
      <c r="A123" s="17">
        <v>120</v>
      </c>
      <c r="B123" s="75"/>
      <c r="C123" s="63"/>
      <c r="D123" s="76"/>
      <c r="E123" s="76"/>
      <c r="F123" s="76"/>
      <c r="G123" s="17"/>
      <c r="H123" s="17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4" hidden="1" x14ac:dyDescent="0.3">
      <c r="A124" s="17">
        <v>121</v>
      </c>
      <c r="B124" s="75"/>
      <c r="C124" s="63"/>
      <c r="D124" s="76"/>
      <c r="E124" s="76"/>
      <c r="F124" s="76"/>
      <c r="G124" s="17"/>
      <c r="H124" s="17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4" hidden="1" x14ac:dyDescent="0.3">
      <c r="A125" s="17">
        <v>122</v>
      </c>
      <c r="B125" s="75"/>
      <c r="C125" s="63"/>
      <c r="D125" s="76"/>
      <c r="E125" s="76"/>
      <c r="F125" s="76"/>
      <c r="G125" s="17"/>
      <c r="H125" s="17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4" hidden="1" x14ac:dyDescent="0.3">
      <c r="A126" s="17">
        <v>123</v>
      </c>
      <c r="B126" s="75"/>
      <c r="C126" s="63"/>
      <c r="D126" s="76"/>
      <c r="E126" s="76"/>
      <c r="F126" s="76"/>
      <c r="G126" s="17"/>
      <c r="H126" s="17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4" hidden="1" x14ac:dyDescent="0.3">
      <c r="A127" s="17">
        <v>124</v>
      </c>
      <c r="B127" s="75"/>
      <c r="C127" s="63"/>
      <c r="D127" s="76"/>
      <c r="E127" s="76"/>
      <c r="F127" s="76"/>
      <c r="G127" s="17"/>
      <c r="H127" s="17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4" hidden="1" x14ac:dyDescent="0.3">
      <c r="A128" s="17">
        <v>125</v>
      </c>
      <c r="B128" s="75"/>
      <c r="C128" s="63"/>
      <c r="D128" s="76"/>
      <c r="E128" s="76"/>
      <c r="F128" s="76"/>
      <c r="G128" s="17"/>
      <c r="H128" s="17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4" hidden="1" x14ac:dyDescent="0.3">
      <c r="A129" s="17">
        <v>126</v>
      </c>
      <c r="B129" s="75"/>
      <c r="C129" s="63"/>
      <c r="D129" s="76"/>
      <c r="E129" s="76"/>
      <c r="F129" s="76"/>
      <c r="G129" s="17"/>
      <c r="H129" s="17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4" hidden="1" x14ac:dyDescent="0.3">
      <c r="A130" s="17">
        <v>127</v>
      </c>
      <c r="B130" s="75"/>
      <c r="C130" s="63"/>
      <c r="D130" s="76"/>
      <c r="E130" s="76"/>
      <c r="F130" s="76"/>
      <c r="G130" s="17"/>
      <c r="H130" s="17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4" hidden="1" x14ac:dyDescent="0.3">
      <c r="A131" s="17">
        <v>128</v>
      </c>
      <c r="B131" s="75"/>
      <c r="C131" s="63"/>
      <c r="D131" s="76"/>
      <c r="E131" s="76"/>
      <c r="F131" s="76"/>
      <c r="G131" s="17"/>
      <c r="H131" s="17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4" hidden="1" x14ac:dyDescent="0.3">
      <c r="A132" s="17">
        <v>129</v>
      </c>
      <c r="B132" s="75"/>
      <c r="C132" s="63"/>
      <c r="D132" s="76"/>
      <c r="E132" s="76"/>
      <c r="F132" s="76"/>
      <c r="G132" s="17"/>
      <c r="H132" s="17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4" hidden="1" x14ac:dyDescent="0.3">
      <c r="A133" s="17">
        <v>130</v>
      </c>
      <c r="B133" s="75"/>
      <c r="C133" s="63"/>
      <c r="D133" s="76"/>
      <c r="E133" s="76"/>
      <c r="F133" s="76"/>
      <c r="G133" s="17"/>
      <c r="H133" s="17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4" hidden="1" x14ac:dyDescent="0.3">
      <c r="A134" s="17">
        <v>131</v>
      </c>
      <c r="B134" s="75"/>
      <c r="C134" s="63"/>
      <c r="D134" s="76"/>
      <c r="E134" s="76"/>
      <c r="F134" s="76"/>
      <c r="G134" s="17"/>
      <c r="H134" s="17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4" hidden="1" x14ac:dyDescent="0.3">
      <c r="A135" s="17">
        <v>132</v>
      </c>
      <c r="B135" s="75"/>
      <c r="C135" s="63"/>
      <c r="D135" s="76"/>
      <c r="E135" s="76"/>
      <c r="F135" s="76"/>
      <c r="G135" s="17"/>
      <c r="H135" s="17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4" hidden="1" x14ac:dyDescent="0.3">
      <c r="A136" s="17">
        <v>133</v>
      </c>
      <c r="B136" s="75"/>
      <c r="C136" s="63"/>
      <c r="D136" s="76"/>
      <c r="E136" s="76"/>
      <c r="F136" s="76"/>
      <c r="G136" s="17"/>
      <c r="H136" s="17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4" hidden="1" x14ac:dyDescent="0.3">
      <c r="A137" s="17">
        <v>134</v>
      </c>
      <c r="B137" s="75"/>
      <c r="C137" s="63"/>
      <c r="D137" s="76"/>
      <c r="E137" s="76"/>
      <c r="F137" s="76"/>
      <c r="G137" s="17"/>
      <c r="H137" s="17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4" hidden="1" x14ac:dyDescent="0.3">
      <c r="A138" s="17">
        <v>135</v>
      </c>
      <c r="B138" s="75"/>
      <c r="C138" s="63"/>
      <c r="D138" s="76"/>
      <c r="E138" s="76"/>
      <c r="F138" s="76"/>
      <c r="G138" s="17"/>
      <c r="H138" s="17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4" hidden="1" x14ac:dyDescent="0.3">
      <c r="A139" s="17">
        <v>136</v>
      </c>
      <c r="B139" s="75"/>
      <c r="C139" s="63"/>
      <c r="D139" s="76"/>
      <c r="E139" s="76"/>
      <c r="F139" s="76"/>
      <c r="G139" s="17"/>
      <c r="H139" s="17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4" hidden="1" x14ac:dyDescent="0.3">
      <c r="A140" s="17">
        <v>137</v>
      </c>
      <c r="B140" s="75"/>
      <c r="C140" s="63"/>
      <c r="D140" s="76"/>
      <c r="E140" s="76"/>
      <c r="F140" s="76"/>
      <c r="G140" s="17"/>
      <c r="H140" s="17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4" hidden="1" x14ac:dyDescent="0.3">
      <c r="A141" s="17">
        <v>138</v>
      </c>
      <c r="B141" s="75"/>
      <c r="C141" s="63"/>
      <c r="D141" s="76"/>
      <c r="E141" s="76"/>
      <c r="F141" s="76"/>
      <c r="G141" s="17"/>
      <c r="H141" s="17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4" hidden="1" x14ac:dyDescent="0.3">
      <c r="A142" s="17">
        <v>139</v>
      </c>
      <c r="B142" s="17"/>
      <c r="C142" s="63"/>
      <c r="D142" s="76"/>
      <c r="E142" s="76"/>
      <c r="F142" s="76"/>
      <c r="G142" s="17"/>
      <c r="H142" s="17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4" hidden="1" x14ac:dyDescent="0.3">
      <c r="A143" s="17">
        <v>140</v>
      </c>
      <c r="B143" s="17"/>
      <c r="C143" s="63"/>
      <c r="D143" s="76"/>
      <c r="E143" s="76"/>
      <c r="F143" s="76"/>
      <c r="G143" s="17"/>
      <c r="H143" s="17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4" hidden="1" x14ac:dyDescent="0.3">
      <c r="A144" s="17">
        <v>141</v>
      </c>
      <c r="B144" s="17"/>
      <c r="C144" s="63"/>
      <c r="D144" s="76"/>
      <c r="E144" s="76"/>
      <c r="F144" s="76"/>
      <c r="G144" s="17"/>
      <c r="H144" s="17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4" hidden="1" x14ac:dyDescent="0.3">
      <c r="A145" s="17">
        <v>142</v>
      </c>
      <c r="B145" s="17"/>
      <c r="C145" s="63"/>
      <c r="D145" s="76"/>
      <c r="E145" s="76"/>
      <c r="F145" s="76"/>
      <c r="G145" s="17"/>
      <c r="H145" s="17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4" hidden="1" x14ac:dyDescent="0.3">
      <c r="A146" s="17">
        <v>143</v>
      </c>
      <c r="B146" s="17"/>
      <c r="C146" s="63"/>
      <c r="D146" s="63"/>
      <c r="E146" s="76"/>
      <c r="F146" s="76"/>
      <c r="G146" s="17"/>
      <c r="H146" s="17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4" hidden="1" x14ac:dyDescent="0.3">
      <c r="A147" s="17">
        <v>144</v>
      </c>
      <c r="B147" s="17"/>
      <c r="C147" s="63"/>
      <c r="D147" s="63"/>
      <c r="E147" s="76"/>
      <c r="F147" s="76"/>
      <c r="G147" s="17"/>
      <c r="H147" s="17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4" hidden="1" x14ac:dyDescent="0.3">
      <c r="A148" s="17">
        <v>145</v>
      </c>
      <c r="B148" s="17"/>
      <c r="C148" s="63"/>
      <c r="D148" s="63"/>
      <c r="E148" s="76"/>
      <c r="F148" s="76"/>
      <c r="G148" s="17"/>
      <c r="H148" s="17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4" hidden="1" x14ac:dyDescent="0.3">
      <c r="A149" s="17">
        <v>146</v>
      </c>
      <c r="B149" s="17"/>
      <c r="C149" s="63"/>
      <c r="D149" s="63"/>
      <c r="E149" s="76"/>
      <c r="F149" s="76"/>
      <c r="G149" s="17"/>
      <c r="H149" s="17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4" hidden="1" x14ac:dyDescent="0.3">
      <c r="A150" s="17">
        <v>147</v>
      </c>
      <c r="B150" s="17"/>
      <c r="C150" s="63"/>
      <c r="D150" s="63"/>
      <c r="E150" s="76"/>
      <c r="F150" s="76"/>
      <c r="G150" s="17"/>
      <c r="H150" s="17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4" hidden="1" x14ac:dyDescent="0.3">
      <c r="A151" s="17">
        <v>148</v>
      </c>
      <c r="B151" s="17"/>
      <c r="C151" s="63"/>
      <c r="D151" s="63"/>
      <c r="E151" s="76"/>
      <c r="F151" s="76"/>
      <c r="G151" s="17"/>
      <c r="H151" s="17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4" hidden="1" x14ac:dyDescent="0.3">
      <c r="A152" s="17">
        <v>149</v>
      </c>
      <c r="B152" s="17"/>
      <c r="C152" s="63"/>
      <c r="D152" s="63"/>
      <c r="E152" s="76"/>
      <c r="F152" s="76"/>
      <c r="G152" s="17"/>
      <c r="H152" s="17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4" hidden="1" x14ac:dyDescent="0.3">
      <c r="A153" s="17">
        <v>150</v>
      </c>
      <c r="B153" s="17"/>
      <c r="C153" s="63"/>
      <c r="D153" s="63"/>
      <c r="E153" s="76"/>
      <c r="F153" s="76"/>
      <c r="G153" s="17"/>
      <c r="H153" s="17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4" hidden="1" x14ac:dyDescent="0.3">
      <c r="A154" s="17">
        <v>151</v>
      </c>
      <c r="B154" s="17"/>
      <c r="C154" s="63"/>
      <c r="D154" s="63"/>
      <c r="E154" s="76"/>
      <c r="F154" s="76"/>
      <c r="G154" s="17"/>
      <c r="H154" s="17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4" hidden="1" x14ac:dyDescent="0.3">
      <c r="A155" s="17">
        <v>152</v>
      </c>
      <c r="B155" s="17"/>
      <c r="C155" s="63"/>
      <c r="D155" s="63"/>
      <c r="E155" s="76"/>
      <c r="F155" s="76"/>
      <c r="G155" s="17"/>
      <c r="H155" s="17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4" hidden="1" x14ac:dyDescent="0.3">
      <c r="A156" s="17">
        <v>153</v>
      </c>
      <c r="B156" s="17"/>
      <c r="C156" s="63"/>
      <c r="D156" s="63"/>
      <c r="E156" s="76"/>
      <c r="F156" s="76"/>
      <c r="G156" s="17"/>
      <c r="H156" s="17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4" hidden="1" x14ac:dyDescent="0.3">
      <c r="A157" s="17">
        <v>154</v>
      </c>
      <c r="B157" s="17"/>
      <c r="C157" s="63"/>
      <c r="D157" s="63"/>
      <c r="E157" s="76"/>
      <c r="F157" s="76"/>
      <c r="G157" s="17"/>
      <c r="H157" s="17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4" hidden="1" x14ac:dyDescent="0.3">
      <c r="A158" s="17">
        <v>155</v>
      </c>
      <c r="B158" s="17"/>
      <c r="C158" s="63"/>
      <c r="D158" s="63"/>
      <c r="E158" s="76"/>
      <c r="F158" s="76"/>
      <c r="G158" s="17"/>
      <c r="H158" s="17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4" hidden="1" x14ac:dyDescent="0.3">
      <c r="A159" s="17">
        <v>156</v>
      </c>
      <c r="B159" s="17"/>
      <c r="C159" s="63"/>
      <c r="D159" s="63"/>
      <c r="E159" s="76"/>
      <c r="F159" s="76"/>
      <c r="G159" s="17"/>
      <c r="H159" s="17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4" hidden="1" x14ac:dyDescent="0.3">
      <c r="A160" s="17">
        <v>157</v>
      </c>
      <c r="B160" s="17"/>
      <c r="C160" s="63"/>
      <c r="D160" s="63"/>
      <c r="E160" s="76"/>
      <c r="F160" s="76"/>
      <c r="G160" s="17"/>
      <c r="H160" s="17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4" hidden="1" x14ac:dyDescent="0.3">
      <c r="A161" s="17">
        <v>158</v>
      </c>
      <c r="B161" s="17"/>
      <c r="C161" s="63"/>
      <c r="D161" s="63"/>
      <c r="E161" s="76"/>
      <c r="F161" s="76"/>
      <c r="G161" s="17"/>
      <c r="H161" s="17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4" hidden="1" x14ac:dyDescent="0.3">
      <c r="A162" s="17">
        <v>159</v>
      </c>
      <c r="B162" s="17"/>
      <c r="C162" s="63"/>
      <c r="D162" s="63"/>
      <c r="E162" s="76"/>
      <c r="F162" s="76"/>
      <c r="G162" s="17"/>
      <c r="H162" s="17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4" hidden="1" x14ac:dyDescent="0.3">
      <c r="A163" s="17">
        <v>160</v>
      </c>
      <c r="B163" s="17"/>
      <c r="C163" s="63"/>
      <c r="D163" s="63"/>
      <c r="E163" s="76"/>
      <c r="F163" s="76"/>
      <c r="G163" s="17"/>
      <c r="H163" s="17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4" hidden="1" x14ac:dyDescent="0.3">
      <c r="A164" s="17">
        <v>161</v>
      </c>
      <c r="B164" s="17"/>
      <c r="C164" s="63"/>
      <c r="D164" s="63"/>
      <c r="E164" s="76"/>
      <c r="F164" s="76"/>
      <c r="G164" s="17"/>
      <c r="H164" s="17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4" hidden="1" x14ac:dyDescent="0.3">
      <c r="A165" s="17">
        <v>162</v>
      </c>
      <c r="B165" s="17"/>
      <c r="C165" s="63"/>
      <c r="D165" s="63"/>
      <c r="E165" s="76"/>
      <c r="F165" s="76"/>
      <c r="G165" s="17"/>
      <c r="H165" s="17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4" hidden="1" x14ac:dyDescent="0.3">
      <c r="A166" s="17">
        <v>163</v>
      </c>
      <c r="B166" s="17"/>
      <c r="C166" s="63"/>
      <c r="D166" s="63"/>
      <c r="E166" s="76"/>
      <c r="F166" s="76"/>
      <c r="G166" s="17"/>
      <c r="H166" s="17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4" hidden="1" x14ac:dyDescent="0.3">
      <c r="A167" s="17">
        <v>164</v>
      </c>
      <c r="B167" s="17"/>
      <c r="C167" s="63"/>
      <c r="D167" s="63"/>
      <c r="E167" s="76"/>
      <c r="F167" s="76"/>
      <c r="G167" s="17"/>
      <c r="H167" s="17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4" hidden="1" x14ac:dyDescent="0.3">
      <c r="A168" s="17">
        <v>165</v>
      </c>
      <c r="B168" s="17"/>
      <c r="C168" s="63"/>
      <c r="D168" s="63"/>
      <c r="E168" s="76"/>
      <c r="F168" s="76"/>
      <c r="G168" s="17"/>
      <c r="H168" s="17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4" hidden="1" x14ac:dyDescent="0.3">
      <c r="A169" s="17">
        <v>166</v>
      </c>
      <c r="B169" s="17"/>
      <c r="C169" s="63"/>
      <c r="D169" s="63"/>
      <c r="E169" s="76"/>
      <c r="F169" s="76"/>
      <c r="G169" s="17"/>
      <c r="H169" s="17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4" hidden="1" x14ac:dyDescent="0.3">
      <c r="A170" s="17">
        <v>167</v>
      </c>
      <c r="B170" s="17"/>
      <c r="C170" s="63"/>
      <c r="D170" s="63"/>
      <c r="E170" s="76"/>
      <c r="F170" s="76"/>
      <c r="G170" s="17"/>
      <c r="H170" s="17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4" hidden="1" x14ac:dyDescent="0.3">
      <c r="A171" s="17">
        <v>168</v>
      </c>
      <c r="B171" s="17"/>
      <c r="C171" s="63"/>
      <c r="D171" s="63"/>
      <c r="E171" s="76"/>
      <c r="F171" s="76"/>
      <c r="G171" s="17"/>
      <c r="H171" s="17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4" hidden="1" x14ac:dyDescent="0.3">
      <c r="A172" s="17">
        <v>169</v>
      </c>
      <c r="B172" s="17"/>
      <c r="C172" s="63"/>
      <c r="D172" s="63"/>
      <c r="E172" s="76"/>
      <c r="F172" s="76"/>
      <c r="G172" s="17"/>
      <c r="H172" s="17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4" hidden="1" x14ac:dyDescent="0.3">
      <c r="A173" s="17">
        <v>170</v>
      </c>
      <c r="B173" s="17"/>
      <c r="C173" s="63"/>
      <c r="D173" s="63"/>
      <c r="E173" s="76"/>
      <c r="F173" s="76"/>
      <c r="G173" s="17"/>
      <c r="H173" s="17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4" hidden="1" x14ac:dyDescent="0.3">
      <c r="A174" s="17">
        <v>171</v>
      </c>
      <c r="B174" s="17"/>
      <c r="C174" s="63"/>
      <c r="D174" s="63"/>
      <c r="E174" s="76"/>
      <c r="F174" s="76"/>
      <c r="G174" s="17"/>
      <c r="H174" s="17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4" hidden="1" x14ac:dyDescent="0.3">
      <c r="A175" s="17">
        <v>172</v>
      </c>
      <c r="B175" s="17"/>
      <c r="C175" s="63"/>
      <c r="D175" s="63"/>
      <c r="E175" s="76"/>
      <c r="F175" s="76"/>
      <c r="G175" s="17"/>
      <c r="H175" s="17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4" hidden="1" x14ac:dyDescent="0.3">
      <c r="A176" s="17">
        <v>173</v>
      </c>
      <c r="B176" s="17"/>
      <c r="C176" s="63"/>
      <c r="D176" s="63"/>
      <c r="E176" s="76"/>
      <c r="F176" s="76"/>
      <c r="G176" s="17"/>
      <c r="H176" s="17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4" hidden="1" x14ac:dyDescent="0.3">
      <c r="A177" s="17">
        <v>174</v>
      </c>
      <c r="B177" s="17"/>
      <c r="C177" s="63"/>
      <c r="D177" s="63"/>
      <c r="E177" s="76"/>
      <c r="F177" s="76"/>
      <c r="G177" s="17"/>
      <c r="H177" s="17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4" hidden="1" x14ac:dyDescent="0.3">
      <c r="A178" s="17">
        <v>175</v>
      </c>
      <c r="B178" s="17"/>
      <c r="C178" s="63"/>
      <c r="D178" s="63"/>
      <c r="E178" s="76"/>
      <c r="F178" s="76"/>
      <c r="G178" s="17"/>
      <c r="H178" s="17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4" hidden="1" x14ac:dyDescent="0.3">
      <c r="A179" s="17">
        <v>176</v>
      </c>
      <c r="B179" s="17"/>
      <c r="C179" s="63"/>
      <c r="D179" s="63"/>
      <c r="E179" s="76"/>
      <c r="F179" s="76"/>
      <c r="G179" s="17"/>
      <c r="H179" s="17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4" hidden="1" x14ac:dyDescent="0.3">
      <c r="A180" s="17">
        <v>177</v>
      </c>
      <c r="B180" s="17"/>
      <c r="C180" s="63"/>
      <c r="D180" s="63"/>
      <c r="E180" s="76"/>
      <c r="F180" s="76"/>
      <c r="G180" s="17"/>
      <c r="H180" s="17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4" hidden="1" x14ac:dyDescent="0.3">
      <c r="A181" s="17">
        <v>178</v>
      </c>
      <c r="B181" s="17"/>
      <c r="C181" s="63"/>
      <c r="D181" s="63"/>
      <c r="E181" s="76"/>
      <c r="F181" s="76"/>
      <c r="G181" s="17"/>
      <c r="H181" s="17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4" hidden="1" x14ac:dyDescent="0.3">
      <c r="A182" s="17">
        <v>179</v>
      </c>
      <c r="B182" s="17"/>
      <c r="C182" s="63"/>
      <c r="D182" s="63"/>
      <c r="E182" s="76"/>
      <c r="F182" s="76"/>
      <c r="G182" s="17"/>
      <c r="H182" s="17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4" hidden="1" x14ac:dyDescent="0.3">
      <c r="A183" s="17">
        <v>180</v>
      </c>
      <c r="B183" s="17"/>
      <c r="C183" s="63"/>
      <c r="D183" s="63"/>
      <c r="E183" s="76"/>
      <c r="F183" s="76"/>
      <c r="G183" s="17"/>
      <c r="H183" s="17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4" hidden="1" x14ac:dyDescent="0.3">
      <c r="A184" s="17">
        <v>181</v>
      </c>
      <c r="B184" s="17"/>
      <c r="C184" s="63"/>
      <c r="D184" s="63"/>
      <c r="E184" s="76"/>
      <c r="F184" s="76"/>
      <c r="G184" s="17"/>
      <c r="H184" s="17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4" hidden="1" x14ac:dyDescent="0.3">
      <c r="A185" s="17">
        <v>182</v>
      </c>
      <c r="B185" s="17"/>
      <c r="C185" s="63"/>
      <c r="D185" s="63"/>
      <c r="E185" s="76"/>
      <c r="F185" s="76"/>
      <c r="G185" s="17"/>
      <c r="H185" s="17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4" hidden="1" x14ac:dyDescent="0.3">
      <c r="A186" s="17">
        <v>183</v>
      </c>
      <c r="B186" s="17"/>
      <c r="C186" s="63"/>
      <c r="D186" s="63"/>
      <c r="E186" s="76"/>
      <c r="F186" s="76"/>
      <c r="G186" s="17"/>
      <c r="H186" s="17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4" hidden="1" x14ac:dyDescent="0.3">
      <c r="A187" s="17">
        <v>184</v>
      </c>
      <c r="B187" s="17"/>
      <c r="C187" s="63"/>
      <c r="D187" s="63"/>
      <c r="E187" s="76"/>
      <c r="F187" s="76"/>
      <c r="G187" s="17"/>
      <c r="H187" s="17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4" hidden="1" x14ac:dyDescent="0.3">
      <c r="A188" s="17">
        <v>185</v>
      </c>
      <c r="B188" s="17"/>
      <c r="C188" s="63"/>
      <c r="D188" s="63"/>
      <c r="E188" s="76"/>
      <c r="F188" s="76"/>
      <c r="G188" s="17"/>
      <c r="H188" s="17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4" hidden="1" x14ac:dyDescent="0.3">
      <c r="A189" s="17">
        <v>186</v>
      </c>
      <c r="B189" s="17"/>
      <c r="C189" s="63"/>
      <c r="D189" s="63"/>
      <c r="E189" s="76"/>
      <c r="F189" s="76"/>
      <c r="G189" s="17"/>
      <c r="H189" s="17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4" hidden="1" x14ac:dyDescent="0.3">
      <c r="A190" s="17">
        <v>187</v>
      </c>
      <c r="B190" s="17"/>
      <c r="C190" s="63"/>
      <c r="D190" s="63"/>
      <c r="E190" s="76"/>
      <c r="F190" s="76"/>
      <c r="G190" s="17"/>
      <c r="H190" s="17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4" hidden="1" x14ac:dyDescent="0.3">
      <c r="A191" s="17">
        <v>188</v>
      </c>
      <c r="B191" s="17"/>
      <c r="C191" s="63"/>
      <c r="D191" s="63"/>
      <c r="E191" s="76"/>
      <c r="F191" s="76"/>
      <c r="G191" s="17"/>
      <c r="H191" s="17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4" hidden="1" x14ac:dyDescent="0.3">
      <c r="A192" s="17">
        <v>189</v>
      </c>
      <c r="B192" s="17"/>
      <c r="C192" s="63"/>
      <c r="D192" s="63"/>
      <c r="E192" s="76"/>
      <c r="F192" s="76"/>
      <c r="G192" s="17"/>
      <c r="H192" s="17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4" hidden="1" x14ac:dyDescent="0.3">
      <c r="A193" s="17">
        <v>190</v>
      </c>
      <c r="B193" s="17"/>
      <c r="C193" s="63"/>
      <c r="D193" s="63"/>
      <c r="E193" s="76"/>
      <c r="F193" s="76"/>
      <c r="G193" s="17"/>
      <c r="H193" s="17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4" hidden="1" x14ac:dyDescent="0.3">
      <c r="A194" s="17">
        <v>191</v>
      </c>
      <c r="B194" s="17"/>
      <c r="C194" s="63"/>
      <c r="D194" s="63"/>
      <c r="E194" s="76"/>
      <c r="F194" s="76"/>
      <c r="G194" s="17"/>
      <c r="H194" s="17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4" hidden="1" x14ac:dyDescent="0.3">
      <c r="A195" s="17">
        <v>192</v>
      </c>
      <c r="B195" s="17"/>
      <c r="C195" s="63"/>
      <c r="D195" s="63"/>
      <c r="E195" s="76"/>
      <c r="F195" s="76"/>
      <c r="G195" s="17"/>
      <c r="H195" s="17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4" hidden="1" x14ac:dyDescent="0.3">
      <c r="A196" s="17">
        <v>193</v>
      </c>
      <c r="B196" s="17"/>
      <c r="C196" s="63"/>
      <c r="D196" s="63"/>
      <c r="E196" s="76"/>
      <c r="F196" s="76"/>
      <c r="G196" s="17"/>
      <c r="H196" s="17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4" hidden="1" x14ac:dyDescent="0.3">
      <c r="A197" s="17">
        <v>194</v>
      </c>
      <c r="B197" s="17"/>
      <c r="C197" s="63"/>
      <c r="D197" s="63"/>
      <c r="E197" s="76"/>
      <c r="F197" s="76"/>
      <c r="G197" s="17"/>
      <c r="H197" s="17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4" hidden="1" x14ac:dyDescent="0.3">
      <c r="A198" s="17">
        <v>195</v>
      </c>
      <c r="B198" s="17"/>
      <c r="C198" s="63"/>
      <c r="D198" s="63"/>
      <c r="E198" s="76"/>
      <c r="F198" s="76"/>
      <c r="G198" s="17"/>
      <c r="H198" s="17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4" hidden="1" x14ac:dyDescent="0.3">
      <c r="A199" s="17">
        <v>196</v>
      </c>
      <c r="B199" s="17"/>
      <c r="C199" s="63"/>
      <c r="D199" s="63"/>
      <c r="E199" s="76"/>
      <c r="F199" s="76"/>
      <c r="G199" s="17"/>
      <c r="H199" s="17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4" hidden="1" x14ac:dyDescent="0.3">
      <c r="A200" s="17">
        <v>197</v>
      </c>
      <c r="B200" s="17"/>
      <c r="C200" s="63"/>
      <c r="D200" s="63"/>
      <c r="E200" s="76"/>
      <c r="F200" s="76"/>
      <c r="G200" s="17"/>
      <c r="H200" s="17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4" hidden="1" x14ac:dyDescent="0.3">
      <c r="A201" s="17">
        <v>198</v>
      </c>
      <c r="B201" s="17"/>
      <c r="C201" s="63"/>
      <c r="D201" s="63"/>
      <c r="E201" s="76"/>
      <c r="F201" s="76"/>
      <c r="G201" s="17"/>
      <c r="H201" s="17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4" hidden="1" x14ac:dyDescent="0.3">
      <c r="A202" s="17">
        <v>199</v>
      </c>
      <c r="B202" s="17"/>
      <c r="C202" s="63"/>
      <c r="D202" s="63"/>
      <c r="E202" s="76"/>
      <c r="F202" s="76"/>
      <c r="G202" s="17"/>
      <c r="H202" s="17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4" hidden="1" x14ac:dyDescent="0.3">
      <c r="A203" s="17">
        <v>200</v>
      </c>
      <c r="B203" s="17"/>
      <c r="C203" s="63"/>
      <c r="D203" s="63"/>
      <c r="E203" s="76"/>
      <c r="F203" s="76"/>
      <c r="G203" s="17"/>
      <c r="H203" s="17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4" hidden="1" x14ac:dyDescent="0.3">
      <c r="A204" s="17">
        <v>201</v>
      </c>
      <c r="B204" s="17"/>
      <c r="C204" s="63"/>
      <c r="D204" s="63"/>
      <c r="E204" s="76"/>
      <c r="F204" s="76"/>
      <c r="G204" s="17"/>
      <c r="H204" s="17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4" hidden="1" x14ac:dyDescent="0.3">
      <c r="A205" s="17">
        <v>202</v>
      </c>
      <c r="B205" s="17"/>
      <c r="C205" s="63"/>
      <c r="D205" s="63"/>
      <c r="E205" s="76"/>
      <c r="F205" s="76"/>
      <c r="G205" s="17"/>
      <c r="H205" s="17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4" hidden="1" x14ac:dyDescent="0.3">
      <c r="A206" s="17">
        <v>203</v>
      </c>
      <c r="B206" s="17"/>
      <c r="C206" s="63"/>
      <c r="D206" s="63"/>
      <c r="E206" s="76"/>
      <c r="F206" s="76"/>
      <c r="G206" s="17"/>
      <c r="H206" s="17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4" hidden="1" x14ac:dyDescent="0.3">
      <c r="A207" s="17">
        <v>204</v>
      </c>
      <c r="B207" s="17"/>
      <c r="C207" s="63"/>
      <c r="D207" s="63"/>
      <c r="E207" s="76"/>
      <c r="F207" s="76"/>
      <c r="G207" s="17"/>
      <c r="H207" s="17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4" hidden="1" x14ac:dyDescent="0.3">
      <c r="A208" s="17">
        <v>205</v>
      </c>
      <c r="B208" s="17"/>
      <c r="C208" s="63"/>
      <c r="D208" s="63"/>
      <c r="E208" s="76"/>
      <c r="F208" s="76"/>
      <c r="G208" s="17"/>
      <c r="H208" s="17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4" hidden="1" x14ac:dyDescent="0.3">
      <c r="A209" s="17">
        <v>206</v>
      </c>
      <c r="B209" s="17"/>
      <c r="C209" s="63"/>
      <c r="D209" s="63"/>
      <c r="E209" s="76"/>
      <c r="F209" s="76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4" hidden="1" x14ac:dyDescent="0.3">
      <c r="A210" s="17">
        <v>207</v>
      </c>
      <c r="B210" s="17"/>
      <c r="C210" s="63"/>
      <c r="D210" s="63"/>
      <c r="E210" s="76"/>
      <c r="F210" s="76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4" hidden="1" x14ac:dyDescent="0.3">
      <c r="A211" s="17">
        <v>208</v>
      </c>
      <c r="B211" s="17"/>
      <c r="C211" s="63"/>
      <c r="D211" s="63"/>
      <c r="E211" s="76"/>
      <c r="F211" s="63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4" hidden="1" x14ac:dyDescent="0.3">
      <c r="A212" s="17">
        <v>209</v>
      </c>
      <c r="B212" s="17"/>
      <c r="C212" s="63"/>
      <c r="D212" s="63"/>
      <c r="E212" s="76"/>
      <c r="F212" s="63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4" hidden="1" x14ac:dyDescent="0.3">
      <c r="A213" s="17">
        <v>210</v>
      </c>
      <c r="B213" s="17"/>
      <c r="C213" s="63"/>
      <c r="D213" s="63"/>
      <c r="E213" s="63"/>
      <c r="F213" s="63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4" hidden="1" x14ac:dyDescent="0.3">
      <c r="A214" s="17">
        <v>211</v>
      </c>
      <c r="B214" s="17"/>
      <c r="C214" s="63"/>
      <c r="D214" s="63"/>
      <c r="E214" s="63"/>
      <c r="F214" s="63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4" hidden="1" x14ac:dyDescent="0.3">
      <c r="A215" s="17">
        <v>212</v>
      </c>
      <c r="B215" s="17"/>
      <c r="C215" s="63"/>
      <c r="D215" s="63"/>
      <c r="E215" s="63"/>
      <c r="F215" s="63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4" hidden="1" x14ac:dyDescent="0.3">
      <c r="A216" s="17">
        <v>213</v>
      </c>
      <c r="B216" s="17"/>
      <c r="C216" s="63"/>
      <c r="D216" s="63"/>
      <c r="E216" s="63"/>
      <c r="F216" s="63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4" hidden="1" x14ac:dyDescent="0.3">
      <c r="A217" s="17">
        <v>214</v>
      </c>
      <c r="B217" s="17"/>
      <c r="C217" s="63"/>
      <c r="D217" s="63"/>
      <c r="E217" s="63"/>
      <c r="F217" s="63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4" hidden="1" x14ac:dyDescent="0.3">
      <c r="A218" s="17">
        <v>215</v>
      </c>
      <c r="B218" s="17"/>
      <c r="C218" s="63"/>
      <c r="D218" s="63"/>
      <c r="E218" s="63"/>
      <c r="F218" s="63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4" hidden="1" x14ac:dyDescent="0.3">
      <c r="A219" s="17">
        <v>216</v>
      </c>
      <c r="B219" s="17"/>
      <c r="C219" s="63"/>
      <c r="D219" s="63"/>
      <c r="E219" s="63"/>
      <c r="F219" s="63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4" hidden="1" x14ac:dyDescent="0.3">
      <c r="A220" s="17">
        <v>217</v>
      </c>
      <c r="B220" s="17"/>
      <c r="C220" s="63"/>
      <c r="D220" s="63"/>
      <c r="E220" s="63"/>
      <c r="F220" s="63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4" hidden="1" x14ac:dyDescent="0.3">
      <c r="A221" s="17">
        <v>218</v>
      </c>
      <c r="B221" s="17"/>
      <c r="C221" s="63"/>
      <c r="D221" s="63"/>
      <c r="E221" s="63"/>
      <c r="F221" s="63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4" hidden="1" x14ac:dyDescent="0.3">
      <c r="A222" s="17">
        <v>219</v>
      </c>
      <c r="B222" s="17"/>
      <c r="C222" s="63"/>
      <c r="D222" s="63"/>
      <c r="E222" s="63"/>
      <c r="F222" s="63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4" hidden="1" x14ac:dyDescent="0.3">
      <c r="A223" s="17">
        <v>220</v>
      </c>
      <c r="B223" s="17"/>
      <c r="C223" s="63"/>
      <c r="D223" s="63"/>
      <c r="E223" s="63"/>
      <c r="F223" s="63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4" hidden="1" x14ac:dyDescent="0.3">
      <c r="A224" s="17">
        <v>221</v>
      </c>
      <c r="B224" s="17"/>
      <c r="C224" s="63"/>
      <c r="D224" s="63"/>
      <c r="E224" s="63"/>
      <c r="F224" s="63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4" hidden="1" x14ac:dyDescent="0.3">
      <c r="A225" s="17">
        <v>222</v>
      </c>
      <c r="B225" s="17"/>
      <c r="C225" s="63"/>
      <c r="D225" s="63"/>
      <c r="E225" s="63"/>
      <c r="F225" s="63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4" hidden="1" x14ac:dyDescent="0.3">
      <c r="A226" s="17">
        <v>223</v>
      </c>
      <c r="B226" s="17"/>
      <c r="C226" s="63"/>
      <c r="D226" s="63"/>
      <c r="E226" s="63"/>
      <c r="F226" s="63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4" hidden="1" x14ac:dyDescent="0.3">
      <c r="A227" s="17">
        <v>224</v>
      </c>
      <c r="B227" s="17"/>
      <c r="C227" s="63"/>
      <c r="D227" s="63"/>
      <c r="E227" s="63"/>
      <c r="F227" s="63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4" hidden="1" x14ac:dyDescent="0.3">
      <c r="A228" s="17">
        <v>225</v>
      </c>
      <c r="B228" s="17"/>
      <c r="C228" s="63"/>
      <c r="D228" s="63"/>
      <c r="E228" s="63"/>
      <c r="F228" s="63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4" hidden="1" x14ac:dyDescent="0.3">
      <c r="A229" s="17">
        <v>226</v>
      </c>
      <c r="B229" s="17"/>
      <c r="C229" s="63"/>
      <c r="D229" s="63"/>
      <c r="E229" s="63"/>
      <c r="F229" s="63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4" hidden="1" x14ac:dyDescent="0.3">
      <c r="A230" s="17">
        <v>227</v>
      </c>
      <c r="B230" s="17"/>
      <c r="C230" s="63"/>
      <c r="D230" s="63"/>
      <c r="E230" s="63"/>
      <c r="F230" s="63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4" hidden="1" x14ac:dyDescent="0.3">
      <c r="A231" s="17">
        <v>228</v>
      </c>
      <c r="B231" s="17"/>
      <c r="C231" s="63"/>
      <c r="D231" s="63"/>
      <c r="E231" s="63"/>
      <c r="F231" s="63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4" hidden="1" x14ac:dyDescent="0.3">
      <c r="A232" s="17">
        <v>229</v>
      </c>
      <c r="B232" s="17"/>
      <c r="C232" s="63"/>
      <c r="D232" s="63"/>
      <c r="E232" s="63"/>
      <c r="F232" s="63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4" hidden="1" x14ac:dyDescent="0.3">
      <c r="A233" s="17">
        <v>230</v>
      </c>
      <c r="B233" s="17"/>
      <c r="C233" s="63"/>
      <c r="D233" s="63"/>
      <c r="E233" s="63"/>
      <c r="F233" s="63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4" hidden="1" x14ac:dyDescent="0.3">
      <c r="A234" s="17">
        <v>231</v>
      </c>
      <c r="B234" s="17"/>
      <c r="C234" s="63"/>
      <c r="D234" s="63"/>
      <c r="E234" s="63"/>
      <c r="F234" s="63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4" hidden="1" x14ac:dyDescent="0.3">
      <c r="A235" s="17">
        <v>232</v>
      </c>
      <c r="B235" s="17"/>
      <c r="C235" s="63"/>
      <c r="D235" s="63"/>
      <c r="E235" s="63"/>
      <c r="F235" s="63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4" hidden="1" x14ac:dyDescent="0.3">
      <c r="A236" s="17">
        <v>233</v>
      </c>
      <c r="B236" s="17"/>
      <c r="C236" s="63"/>
      <c r="D236" s="63"/>
      <c r="E236" s="63"/>
      <c r="F236" s="63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4" hidden="1" x14ac:dyDescent="0.3">
      <c r="A237" s="17">
        <v>234</v>
      </c>
      <c r="B237" s="17"/>
      <c r="C237" s="63"/>
      <c r="D237" s="63"/>
      <c r="E237" s="63"/>
      <c r="F237" s="63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4" hidden="1" x14ac:dyDescent="0.3">
      <c r="A238" s="17">
        <v>235</v>
      </c>
      <c r="B238" s="17"/>
      <c r="C238" s="63"/>
      <c r="D238" s="63"/>
      <c r="E238" s="63"/>
      <c r="F238" s="63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4" hidden="1" x14ac:dyDescent="0.3">
      <c r="A239" s="17">
        <v>236</v>
      </c>
      <c r="B239" s="17"/>
      <c r="C239" s="63"/>
      <c r="D239" s="63"/>
      <c r="E239" s="63"/>
      <c r="F239" s="63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4" hidden="1" x14ac:dyDescent="0.3">
      <c r="A240" s="17">
        <v>237</v>
      </c>
      <c r="B240" s="17"/>
      <c r="C240" s="63"/>
      <c r="D240" s="63"/>
      <c r="E240" s="63"/>
      <c r="F240" s="63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4" hidden="1" x14ac:dyDescent="0.3">
      <c r="A241" s="17">
        <v>238</v>
      </c>
      <c r="B241" s="17"/>
      <c r="C241" s="63"/>
      <c r="D241" s="63"/>
      <c r="E241" s="63"/>
      <c r="F241" s="63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4" hidden="1" x14ac:dyDescent="0.3">
      <c r="A242" s="17">
        <v>239</v>
      </c>
      <c r="B242" s="17"/>
      <c r="C242" s="63"/>
      <c r="D242" s="63"/>
      <c r="E242" s="63"/>
      <c r="F242" s="63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4" hidden="1" x14ac:dyDescent="0.3">
      <c r="A243" s="17">
        <v>240</v>
      </c>
      <c r="B243" s="17"/>
      <c r="C243" s="63"/>
      <c r="D243" s="63"/>
      <c r="E243" s="63"/>
      <c r="F243" s="63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4" hidden="1" x14ac:dyDescent="0.3">
      <c r="A244" s="17">
        <v>241</v>
      </c>
      <c r="B244" s="17"/>
      <c r="C244" s="63"/>
      <c r="D244" s="63"/>
      <c r="E244" s="63"/>
      <c r="F244" s="63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4" hidden="1" x14ac:dyDescent="0.3">
      <c r="A245" s="17">
        <v>242</v>
      </c>
      <c r="B245" s="17"/>
      <c r="C245" s="63"/>
      <c r="D245" s="63"/>
      <c r="E245" s="63"/>
      <c r="F245" s="63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4" hidden="1" x14ac:dyDescent="0.3">
      <c r="A246" s="17">
        <v>243</v>
      </c>
      <c r="B246" s="17"/>
      <c r="C246" s="63"/>
      <c r="D246" s="63"/>
      <c r="E246" s="63"/>
      <c r="F246" s="63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4" hidden="1" x14ac:dyDescent="0.3">
      <c r="A247" s="17">
        <v>244</v>
      </c>
      <c r="B247" s="17"/>
      <c r="C247" s="63"/>
      <c r="D247" s="63"/>
      <c r="E247" s="63"/>
      <c r="F247" s="63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4" hidden="1" x14ac:dyDescent="0.3">
      <c r="A248" s="17">
        <v>245</v>
      </c>
      <c r="B248" s="17"/>
      <c r="C248" s="63"/>
      <c r="D248" s="63"/>
      <c r="E248" s="63"/>
      <c r="F248" s="63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4" hidden="1" x14ac:dyDescent="0.3">
      <c r="A249" s="17">
        <v>246</v>
      </c>
      <c r="B249" s="17"/>
      <c r="C249" s="63"/>
      <c r="D249" s="63"/>
      <c r="E249" s="63"/>
      <c r="F249" s="63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4" hidden="1" x14ac:dyDescent="0.3">
      <c r="A250" s="17">
        <v>247</v>
      </c>
      <c r="B250" s="17"/>
      <c r="C250" s="63"/>
      <c r="D250" s="63"/>
      <c r="E250" s="63"/>
      <c r="F250" s="63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4" hidden="1" x14ac:dyDescent="0.3">
      <c r="A251" s="17">
        <v>248</v>
      </c>
      <c r="B251" s="17"/>
      <c r="C251" s="63"/>
      <c r="D251" s="63"/>
      <c r="E251" s="63"/>
      <c r="F251" s="63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4" hidden="1" x14ac:dyDescent="0.3">
      <c r="A252" s="17">
        <v>249</v>
      </c>
      <c r="B252" s="17"/>
      <c r="C252" s="63"/>
      <c r="D252" s="63"/>
      <c r="E252" s="63"/>
      <c r="F252" s="63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4" hidden="1" x14ac:dyDescent="0.3">
      <c r="A253" s="17">
        <v>250</v>
      </c>
      <c r="B253" s="17"/>
      <c r="C253" s="63"/>
      <c r="D253" s="63"/>
      <c r="E253" s="63"/>
      <c r="F253" s="63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4" hidden="1" x14ac:dyDescent="0.3">
      <c r="A254" s="17">
        <v>251</v>
      </c>
      <c r="B254" s="17"/>
      <c r="C254" s="63"/>
      <c r="D254" s="63"/>
      <c r="E254" s="63"/>
      <c r="F254" s="63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4" hidden="1" x14ac:dyDescent="0.3">
      <c r="A255" s="17">
        <v>252</v>
      </c>
      <c r="B255" s="17"/>
      <c r="C255" s="63"/>
      <c r="D255" s="63"/>
      <c r="E255" s="63"/>
      <c r="F255" s="63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4" hidden="1" x14ac:dyDescent="0.3">
      <c r="A256" s="17">
        <v>253</v>
      </c>
      <c r="B256" s="17"/>
      <c r="C256" s="63"/>
      <c r="D256" s="63"/>
      <c r="E256" s="63"/>
      <c r="F256" s="63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4" hidden="1" x14ac:dyDescent="0.3">
      <c r="A257" s="17">
        <v>254</v>
      </c>
      <c r="B257" s="17"/>
      <c r="C257" s="63"/>
      <c r="D257" s="63"/>
      <c r="E257" s="63"/>
      <c r="F257" s="63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4" hidden="1" x14ac:dyDescent="0.3">
      <c r="A258" s="17">
        <v>255</v>
      </c>
      <c r="B258" s="17"/>
      <c r="C258" s="63"/>
      <c r="D258" s="63"/>
      <c r="E258" s="63"/>
      <c r="F258" s="63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4" hidden="1" x14ac:dyDescent="0.3">
      <c r="A259" s="17">
        <v>256</v>
      </c>
      <c r="B259" s="17"/>
      <c r="C259" s="63"/>
      <c r="D259" s="63"/>
      <c r="E259" s="63"/>
      <c r="F259" s="63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4" hidden="1" x14ac:dyDescent="0.3">
      <c r="A260" s="17">
        <v>257</v>
      </c>
      <c r="B260" s="17"/>
      <c r="C260" s="63"/>
      <c r="D260" s="63"/>
      <c r="E260" s="63"/>
      <c r="F260" s="63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4" hidden="1" x14ac:dyDescent="0.3">
      <c r="A261" s="17">
        <v>258</v>
      </c>
      <c r="B261" s="17"/>
      <c r="C261" s="63"/>
      <c r="D261" s="63"/>
      <c r="E261" s="63"/>
      <c r="F261" s="63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4" hidden="1" x14ac:dyDescent="0.3">
      <c r="A262" s="17">
        <v>259</v>
      </c>
      <c r="B262" s="17"/>
      <c r="C262" s="63"/>
      <c r="D262" s="63"/>
      <c r="E262" s="63"/>
      <c r="F262" s="63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4" hidden="1" x14ac:dyDescent="0.3">
      <c r="A263" s="17">
        <v>260</v>
      </c>
      <c r="B263" s="17"/>
      <c r="C263" s="63"/>
      <c r="D263" s="63"/>
      <c r="E263" s="63"/>
      <c r="F263" s="63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4" hidden="1" x14ac:dyDescent="0.3">
      <c r="A264" s="17">
        <v>261</v>
      </c>
      <c r="B264" s="17"/>
      <c r="C264" s="63"/>
      <c r="D264" s="63"/>
      <c r="E264" s="63"/>
      <c r="F264" s="63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4" hidden="1" x14ac:dyDescent="0.3">
      <c r="A265" s="17">
        <v>262</v>
      </c>
      <c r="B265" s="17"/>
      <c r="C265" s="63"/>
      <c r="D265" s="63"/>
      <c r="E265" s="63"/>
      <c r="F265" s="63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4" hidden="1" x14ac:dyDescent="0.3">
      <c r="A266" s="17">
        <v>263</v>
      </c>
      <c r="B266" s="17"/>
      <c r="C266" s="63"/>
      <c r="D266" s="63"/>
      <c r="E266" s="63"/>
      <c r="F266" s="63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4" hidden="1" x14ac:dyDescent="0.3">
      <c r="A267" s="17">
        <v>264</v>
      </c>
      <c r="B267" s="17"/>
      <c r="C267" s="63"/>
      <c r="D267" s="63"/>
      <c r="E267" s="63"/>
      <c r="F267" s="63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4" hidden="1" x14ac:dyDescent="0.3">
      <c r="A268" s="17">
        <v>265</v>
      </c>
      <c r="B268" s="17"/>
      <c r="C268" s="63"/>
      <c r="D268" s="63"/>
      <c r="E268" s="63"/>
      <c r="F268" s="63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4" hidden="1" x14ac:dyDescent="0.3">
      <c r="A269" s="17">
        <v>266</v>
      </c>
      <c r="B269" s="17"/>
      <c r="C269" s="63"/>
      <c r="D269" s="63"/>
      <c r="E269" s="63"/>
      <c r="F269" s="63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4" hidden="1" x14ac:dyDescent="0.3">
      <c r="A270" s="17">
        <v>267</v>
      </c>
      <c r="B270" s="17"/>
      <c r="C270" s="63"/>
      <c r="D270" s="63"/>
      <c r="E270" s="63"/>
      <c r="F270" s="63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4" hidden="1" x14ac:dyDescent="0.3">
      <c r="A271" s="17">
        <v>268</v>
      </c>
      <c r="B271" s="17"/>
      <c r="C271" s="63"/>
      <c r="D271" s="63"/>
      <c r="E271" s="63"/>
      <c r="F271" s="63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4" hidden="1" x14ac:dyDescent="0.3">
      <c r="A272" s="17">
        <v>269</v>
      </c>
      <c r="B272" s="17"/>
      <c r="C272" s="63"/>
      <c r="D272" s="63"/>
      <c r="E272" s="63"/>
      <c r="F272" s="63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4" hidden="1" x14ac:dyDescent="0.3">
      <c r="A273" s="17">
        <v>270</v>
      </c>
      <c r="B273" s="17"/>
      <c r="C273" s="63"/>
      <c r="D273" s="63"/>
      <c r="E273" s="63"/>
      <c r="F273" s="63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4" hidden="1" x14ac:dyDescent="0.3">
      <c r="A274" s="17">
        <v>271</v>
      </c>
      <c r="B274" s="17"/>
      <c r="C274" s="63"/>
      <c r="D274" s="63"/>
      <c r="E274" s="63"/>
      <c r="F274" s="63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4" hidden="1" x14ac:dyDescent="0.3">
      <c r="A275" s="17">
        <v>272</v>
      </c>
      <c r="B275" s="17"/>
      <c r="C275" s="63"/>
      <c r="D275" s="63"/>
      <c r="E275" s="63"/>
      <c r="F275" s="63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4" hidden="1" x14ac:dyDescent="0.3">
      <c r="A276" s="17">
        <v>273</v>
      </c>
      <c r="B276" s="17"/>
      <c r="C276" s="63"/>
      <c r="D276" s="63"/>
      <c r="E276" s="63"/>
      <c r="F276" s="63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4" hidden="1" x14ac:dyDescent="0.3">
      <c r="A277" s="17">
        <v>274</v>
      </c>
      <c r="B277" s="17"/>
      <c r="C277" s="63"/>
      <c r="D277" s="63"/>
      <c r="E277" s="63"/>
      <c r="F277" s="63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4" hidden="1" x14ac:dyDescent="0.3">
      <c r="A278" s="17">
        <v>275</v>
      </c>
      <c r="B278" s="17"/>
      <c r="C278" s="63"/>
      <c r="D278" s="63"/>
      <c r="E278" s="63"/>
      <c r="F278" s="63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4" hidden="1" x14ac:dyDescent="0.3">
      <c r="A279" s="17">
        <v>276</v>
      </c>
      <c r="B279" s="17"/>
      <c r="C279" s="63"/>
      <c r="D279" s="63"/>
      <c r="E279" s="63"/>
      <c r="F279" s="63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4" hidden="1" x14ac:dyDescent="0.3">
      <c r="A280" s="17">
        <v>277</v>
      </c>
      <c r="B280" s="17"/>
      <c r="C280" s="63"/>
      <c r="D280" s="63"/>
      <c r="E280" s="63"/>
      <c r="F280" s="63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4" hidden="1" x14ac:dyDescent="0.3">
      <c r="A281" s="17">
        <v>278</v>
      </c>
      <c r="B281" s="17"/>
      <c r="C281" s="63"/>
      <c r="D281" s="63"/>
      <c r="E281" s="63"/>
      <c r="F281" s="63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4" hidden="1" x14ac:dyDescent="0.3">
      <c r="A282" s="17">
        <v>279</v>
      </c>
      <c r="B282" s="17"/>
      <c r="C282" s="63"/>
      <c r="D282" s="63"/>
      <c r="E282" s="63"/>
      <c r="F282" s="63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4" hidden="1" x14ac:dyDescent="0.3">
      <c r="A283" s="17">
        <v>280</v>
      </c>
      <c r="B283" s="17"/>
      <c r="C283" s="63"/>
      <c r="D283" s="63"/>
      <c r="E283" s="63"/>
      <c r="F283" s="63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4" hidden="1" x14ac:dyDescent="0.3">
      <c r="A284" s="17">
        <v>281</v>
      </c>
      <c r="B284" s="17"/>
      <c r="C284" s="63"/>
      <c r="D284" s="63"/>
      <c r="E284" s="63"/>
      <c r="F284" s="63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4" hidden="1" x14ac:dyDescent="0.3">
      <c r="A285" s="17">
        <v>282</v>
      </c>
      <c r="B285" s="17"/>
      <c r="C285" s="63"/>
      <c r="D285" s="63"/>
      <c r="E285" s="63"/>
      <c r="F285" s="63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4" hidden="1" x14ac:dyDescent="0.3">
      <c r="A286" s="17">
        <v>283</v>
      </c>
      <c r="B286" s="17"/>
      <c r="C286" s="63"/>
      <c r="D286" s="63"/>
      <c r="E286" s="63"/>
      <c r="F286" s="63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4" hidden="1" x14ac:dyDescent="0.3">
      <c r="A287" s="17">
        <v>284</v>
      </c>
      <c r="B287" s="17"/>
      <c r="C287" s="63"/>
      <c r="D287" s="63"/>
      <c r="E287" s="63"/>
      <c r="F287" s="63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4" hidden="1" x14ac:dyDescent="0.3">
      <c r="A288" s="17">
        <v>285</v>
      </c>
      <c r="B288" s="17"/>
      <c r="C288" s="63"/>
      <c r="D288" s="63"/>
      <c r="E288" s="63"/>
      <c r="F288" s="63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4" hidden="1" x14ac:dyDescent="0.3">
      <c r="A289" s="17">
        <v>286</v>
      </c>
      <c r="B289" s="17"/>
      <c r="C289" s="63"/>
      <c r="D289" s="63"/>
      <c r="E289" s="63"/>
      <c r="F289" s="63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4" hidden="1" x14ac:dyDescent="0.3">
      <c r="A290" s="17">
        <v>287</v>
      </c>
      <c r="B290" s="17"/>
      <c r="C290" s="63"/>
      <c r="D290" s="63"/>
      <c r="E290" s="63"/>
      <c r="F290" s="63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4" hidden="1" x14ac:dyDescent="0.3">
      <c r="A291" s="17">
        <v>288</v>
      </c>
      <c r="B291" s="17"/>
      <c r="C291" s="63"/>
      <c r="D291" s="63"/>
      <c r="E291" s="63"/>
      <c r="F291" s="63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4" hidden="1" x14ac:dyDescent="0.3">
      <c r="A292" s="17">
        <v>289</v>
      </c>
      <c r="B292" s="17"/>
      <c r="C292" s="63"/>
      <c r="D292" s="63"/>
      <c r="E292" s="63"/>
      <c r="F292" s="63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4" hidden="1" x14ac:dyDescent="0.3">
      <c r="A293" s="17">
        <v>290</v>
      </c>
      <c r="B293" s="17"/>
      <c r="C293" s="63"/>
      <c r="D293" s="63"/>
      <c r="E293" s="63"/>
      <c r="F293" s="63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4" hidden="1" x14ac:dyDescent="0.3">
      <c r="A294" s="17">
        <v>291</v>
      </c>
      <c r="B294" s="17"/>
      <c r="C294" s="63"/>
      <c r="D294" s="63"/>
      <c r="E294" s="63"/>
      <c r="F294" s="63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4" hidden="1" x14ac:dyDescent="0.3">
      <c r="A295" s="17">
        <v>292</v>
      </c>
      <c r="B295" s="17"/>
      <c r="C295" s="63"/>
      <c r="D295" s="63"/>
      <c r="E295" s="63"/>
      <c r="F295" s="63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4" hidden="1" x14ac:dyDescent="0.3">
      <c r="A296" s="17">
        <v>293</v>
      </c>
      <c r="B296" s="17"/>
      <c r="C296" s="63"/>
      <c r="D296" s="63"/>
      <c r="E296" s="63"/>
      <c r="F296" s="63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4" hidden="1" x14ac:dyDescent="0.3">
      <c r="A297" s="17">
        <v>294</v>
      </c>
      <c r="B297" s="17"/>
      <c r="C297" s="63"/>
      <c r="D297" s="63"/>
      <c r="E297" s="63"/>
      <c r="F297" s="63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4" hidden="1" x14ac:dyDescent="0.3">
      <c r="A298" s="17">
        <v>295</v>
      </c>
      <c r="B298" s="17"/>
      <c r="C298" s="63"/>
      <c r="D298" s="63"/>
      <c r="E298" s="63"/>
      <c r="F298" s="63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4" hidden="1" x14ac:dyDescent="0.3">
      <c r="A299" s="17">
        <v>296</v>
      </c>
      <c r="B299" s="17"/>
      <c r="C299" s="63"/>
      <c r="D299" s="63"/>
      <c r="E299" s="63"/>
      <c r="F299" s="63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4" hidden="1" x14ac:dyDescent="0.3">
      <c r="A300" s="17">
        <v>297</v>
      </c>
      <c r="B300" s="17"/>
      <c r="C300" s="63"/>
      <c r="D300" s="63"/>
      <c r="E300" s="63"/>
      <c r="F300" s="63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4" hidden="1" x14ac:dyDescent="0.3">
      <c r="A301" s="17">
        <v>298</v>
      </c>
      <c r="B301" s="17"/>
      <c r="C301" s="63"/>
      <c r="D301" s="63"/>
      <c r="E301" s="63"/>
      <c r="F301" s="63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4" hidden="1" x14ac:dyDescent="0.3">
      <c r="A302" s="17">
        <v>299</v>
      </c>
      <c r="B302" s="17"/>
      <c r="C302" s="63"/>
      <c r="D302" s="63"/>
      <c r="E302" s="63"/>
      <c r="F302" s="63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4" hidden="1" x14ac:dyDescent="0.3">
      <c r="A303" s="17">
        <v>300</v>
      </c>
      <c r="B303" s="17"/>
      <c r="C303" s="63"/>
      <c r="D303" s="63"/>
      <c r="E303" s="63"/>
      <c r="F303" s="63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4" hidden="1" x14ac:dyDescent="0.3">
      <c r="A304" s="17">
        <v>301</v>
      </c>
      <c r="B304" s="17"/>
      <c r="C304" s="63"/>
      <c r="D304" s="63"/>
      <c r="E304" s="63"/>
      <c r="F304" s="63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4" hidden="1" x14ac:dyDescent="0.3">
      <c r="A305" s="17">
        <v>302</v>
      </c>
      <c r="B305" s="17"/>
      <c r="C305" s="63"/>
      <c r="D305" s="63"/>
      <c r="E305" s="63"/>
      <c r="F305" s="63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4" hidden="1" x14ac:dyDescent="0.3">
      <c r="A306" s="17">
        <v>303</v>
      </c>
      <c r="B306" s="17"/>
      <c r="C306" s="63"/>
      <c r="D306" s="63"/>
      <c r="E306" s="63"/>
      <c r="F306" s="63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4" hidden="1" x14ac:dyDescent="0.3">
      <c r="A307" s="17">
        <v>304</v>
      </c>
      <c r="B307" s="17"/>
      <c r="C307" s="63"/>
      <c r="D307" s="63"/>
      <c r="E307" s="63"/>
      <c r="F307" s="63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4" hidden="1" x14ac:dyDescent="0.3">
      <c r="A308" s="17">
        <v>305</v>
      </c>
      <c r="B308" s="17"/>
      <c r="C308" s="63"/>
      <c r="D308" s="63"/>
      <c r="E308" s="63"/>
      <c r="F308" s="63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4" hidden="1" x14ac:dyDescent="0.3">
      <c r="A309" s="17">
        <v>306</v>
      </c>
      <c r="B309" s="17"/>
      <c r="C309" s="63"/>
      <c r="D309" s="63"/>
      <c r="E309" s="63"/>
      <c r="F309" s="63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4" hidden="1" x14ac:dyDescent="0.3">
      <c r="A310" s="17">
        <v>307</v>
      </c>
      <c r="B310" s="17"/>
      <c r="C310" s="63"/>
      <c r="D310" s="63"/>
      <c r="E310" s="63"/>
      <c r="F310" s="63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4" hidden="1" x14ac:dyDescent="0.3">
      <c r="A311" s="17">
        <v>308</v>
      </c>
      <c r="B311" s="17"/>
      <c r="C311" s="63"/>
      <c r="D311" s="63"/>
      <c r="E311" s="63"/>
      <c r="F311" s="63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4" hidden="1" x14ac:dyDescent="0.3">
      <c r="A312" s="17">
        <v>309</v>
      </c>
      <c r="B312" s="17"/>
      <c r="C312" s="63"/>
      <c r="D312" s="63"/>
      <c r="E312" s="63"/>
      <c r="F312" s="63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4" hidden="1" x14ac:dyDescent="0.3">
      <c r="A313" s="17">
        <v>310</v>
      </c>
      <c r="B313" s="17"/>
      <c r="C313" s="63"/>
      <c r="D313" s="63"/>
      <c r="E313" s="63"/>
      <c r="F313" s="63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4" hidden="1" x14ac:dyDescent="0.3">
      <c r="A314" s="17">
        <v>311</v>
      </c>
      <c r="B314" s="17"/>
      <c r="C314" s="63"/>
      <c r="D314" s="63"/>
      <c r="E314" s="63"/>
      <c r="F314" s="63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4" hidden="1" x14ac:dyDescent="0.3">
      <c r="A315" s="17">
        <v>312</v>
      </c>
      <c r="B315" s="17"/>
      <c r="C315" s="63"/>
      <c r="D315" s="63"/>
      <c r="E315" s="63"/>
      <c r="F315" s="63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4" hidden="1" x14ac:dyDescent="0.3">
      <c r="A316" s="17">
        <v>313</v>
      </c>
      <c r="B316" s="17"/>
      <c r="C316" s="63"/>
      <c r="D316" s="63"/>
      <c r="E316" s="63"/>
      <c r="F316" s="63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4" hidden="1" x14ac:dyDescent="0.3">
      <c r="A317" s="17">
        <v>314</v>
      </c>
      <c r="B317" s="17"/>
      <c r="C317" s="63"/>
      <c r="D317" s="63"/>
      <c r="E317" s="63"/>
      <c r="F317" s="63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4" hidden="1" x14ac:dyDescent="0.3">
      <c r="A318" s="17">
        <v>315</v>
      </c>
      <c r="B318" s="17"/>
      <c r="C318" s="63"/>
      <c r="D318" s="63"/>
      <c r="E318" s="63"/>
      <c r="F318" s="63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4" hidden="1" x14ac:dyDescent="0.3">
      <c r="A319" s="17">
        <v>316</v>
      </c>
      <c r="B319" s="17"/>
      <c r="C319" s="63"/>
      <c r="D319" s="63"/>
      <c r="E319" s="63"/>
      <c r="F319" s="63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4" hidden="1" x14ac:dyDescent="0.3">
      <c r="A320" s="17">
        <v>317</v>
      </c>
      <c r="B320" s="17"/>
      <c r="C320" s="63"/>
      <c r="D320" s="63"/>
      <c r="E320" s="63"/>
      <c r="F320" s="63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4" hidden="1" x14ac:dyDescent="0.3">
      <c r="A321" s="17">
        <v>318</v>
      </c>
      <c r="B321" s="17"/>
      <c r="C321" s="63"/>
      <c r="D321" s="63"/>
      <c r="E321" s="63"/>
      <c r="F321" s="63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4" hidden="1" x14ac:dyDescent="0.3">
      <c r="A322" s="17">
        <v>319</v>
      </c>
      <c r="B322" s="17"/>
      <c r="C322" s="63"/>
      <c r="D322" s="63"/>
      <c r="E322" s="63"/>
      <c r="F322" s="63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4" hidden="1" x14ac:dyDescent="0.3">
      <c r="A323" s="17">
        <v>320</v>
      </c>
      <c r="B323" s="17"/>
      <c r="C323" s="63"/>
      <c r="D323" s="63"/>
      <c r="E323" s="63"/>
      <c r="F323" s="63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4" hidden="1" x14ac:dyDescent="0.3">
      <c r="A324" s="17">
        <v>321</v>
      </c>
      <c r="B324" s="17"/>
      <c r="C324" s="63"/>
      <c r="D324" s="63"/>
      <c r="E324" s="63"/>
      <c r="F324" s="63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4" hidden="1" x14ac:dyDescent="0.3">
      <c r="A325" s="17">
        <v>322</v>
      </c>
      <c r="B325" s="17"/>
      <c r="C325" s="63"/>
      <c r="D325" s="63"/>
      <c r="E325" s="63"/>
      <c r="F325" s="63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4" hidden="1" x14ac:dyDescent="0.3">
      <c r="A326" s="17">
        <v>323</v>
      </c>
      <c r="B326" s="17"/>
      <c r="C326" s="63"/>
      <c r="D326" s="63"/>
      <c r="E326" s="63"/>
      <c r="F326" s="63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4" hidden="1" x14ac:dyDescent="0.3">
      <c r="A327" s="17">
        <v>324</v>
      </c>
      <c r="B327" s="17"/>
      <c r="C327" s="63"/>
      <c r="D327" s="63"/>
      <c r="E327" s="63"/>
      <c r="F327" s="63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4" hidden="1" x14ac:dyDescent="0.3">
      <c r="A328" s="17">
        <v>325</v>
      </c>
      <c r="B328" s="17"/>
      <c r="C328" s="63"/>
      <c r="D328" s="63"/>
      <c r="E328" s="63"/>
      <c r="F328" s="63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4" hidden="1" x14ac:dyDescent="0.3">
      <c r="A329" s="17">
        <v>326</v>
      </c>
      <c r="B329" s="17"/>
      <c r="C329" s="63"/>
      <c r="D329" s="63"/>
      <c r="E329" s="63"/>
      <c r="F329" s="63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4" hidden="1" x14ac:dyDescent="0.3">
      <c r="A330" s="17">
        <v>327</v>
      </c>
      <c r="B330" s="17"/>
      <c r="C330" s="63"/>
      <c r="D330" s="63"/>
      <c r="E330" s="63"/>
      <c r="F330" s="63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4" hidden="1" x14ac:dyDescent="0.3">
      <c r="A331" s="17">
        <v>328</v>
      </c>
      <c r="B331" s="17"/>
      <c r="C331" s="63"/>
      <c r="D331" s="63"/>
      <c r="E331" s="63"/>
      <c r="F331" s="63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4" hidden="1" x14ac:dyDescent="0.3">
      <c r="A332" s="17">
        <v>329</v>
      </c>
      <c r="B332" s="17"/>
      <c r="C332" s="63"/>
      <c r="D332" s="63"/>
      <c r="E332" s="63"/>
      <c r="F332" s="63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4" hidden="1" x14ac:dyDescent="0.3">
      <c r="A333" s="17">
        <v>330</v>
      </c>
      <c r="B333" s="17"/>
      <c r="C333" s="63"/>
      <c r="D333" s="63"/>
      <c r="E333" s="63"/>
      <c r="F333" s="63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4" hidden="1" x14ac:dyDescent="0.3">
      <c r="A334" s="17">
        <v>331</v>
      </c>
      <c r="B334" s="17"/>
      <c r="C334" s="63"/>
      <c r="D334" s="63"/>
      <c r="E334" s="63"/>
      <c r="F334" s="63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4" hidden="1" x14ac:dyDescent="0.3">
      <c r="A335" s="17">
        <v>332</v>
      </c>
      <c r="B335" s="17"/>
      <c r="C335" s="63"/>
      <c r="D335" s="63"/>
      <c r="E335" s="63"/>
      <c r="F335" s="63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4" hidden="1" x14ac:dyDescent="0.3">
      <c r="A336" s="17">
        <v>333</v>
      </c>
      <c r="B336" s="17"/>
      <c r="C336" s="63"/>
      <c r="D336" s="63"/>
      <c r="E336" s="63"/>
      <c r="F336" s="63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4" hidden="1" x14ac:dyDescent="0.3">
      <c r="A337" s="17">
        <v>334</v>
      </c>
      <c r="B337" s="17"/>
      <c r="C337" s="63"/>
      <c r="D337" s="63"/>
      <c r="E337" s="63"/>
      <c r="F337" s="63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4" hidden="1" x14ac:dyDescent="0.3">
      <c r="A338" s="17">
        <v>335</v>
      </c>
      <c r="B338" s="17"/>
      <c r="C338" s="63"/>
      <c r="D338" s="63"/>
      <c r="E338" s="63"/>
      <c r="F338" s="63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4" hidden="1" x14ac:dyDescent="0.3">
      <c r="A339" s="17">
        <v>336</v>
      </c>
      <c r="B339" s="17"/>
      <c r="C339" s="63"/>
      <c r="D339" s="63"/>
      <c r="E339" s="63"/>
      <c r="F339" s="63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4" hidden="1" x14ac:dyDescent="0.3">
      <c r="A340" s="17">
        <v>337</v>
      </c>
      <c r="B340" s="17"/>
      <c r="C340" s="63"/>
      <c r="D340" s="63"/>
      <c r="E340" s="63"/>
      <c r="F340" s="63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4" hidden="1" x14ac:dyDescent="0.3">
      <c r="A341" s="17">
        <v>338</v>
      </c>
      <c r="B341" s="17"/>
      <c r="C341" s="63"/>
      <c r="D341" s="63"/>
      <c r="E341" s="63"/>
      <c r="F341" s="63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4" hidden="1" x14ac:dyDescent="0.3">
      <c r="A342" s="17">
        <v>339</v>
      </c>
      <c r="B342" s="17"/>
      <c r="C342" s="63"/>
      <c r="D342" s="63"/>
      <c r="E342" s="63"/>
      <c r="F342" s="63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4" hidden="1" x14ac:dyDescent="0.3">
      <c r="A343" s="17">
        <v>340</v>
      </c>
      <c r="B343" s="17"/>
      <c r="C343" s="63"/>
      <c r="D343" s="63"/>
      <c r="E343" s="63"/>
      <c r="F343" s="63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4" hidden="1" x14ac:dyDescent="0.3">
      <c r="A344" s="17">
        <v>341</v>
      </c>
      <c r="B344" s="17"/>
      <c r="C344" s="63"/>
      <c r="D344" s="63"/>
      <c r="E344" s="63"/>
      <c r="F344" s="63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4" hidden="1" x14ac:dyDescent="0.3">
      <c r="A345" s="17">
        <v>342</v>
      </c>
      <c r="B345" s="17"/>
      <c r="C345" s="63"/>
      <c r="D345" s="63"/>
      <c r="E345" s="63"/>
      <c r="F345" s="63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4" hidden="1" x14ac:dyDescent="0.3">
      <c r="A346" s="17">
        <v>343</v>
      </c>
      <c r="B346" s="17"/>
      <c r="C346" s="63"/>
      <c r="D346" s="63"/>
      <c r="E346" s="63"/>
      <c r="F346" s="63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4" hidden="1" x14ac:dyDescent="0.3">
      <c r="A347" s="17">
        <v>344</v>
      </c>
      <c r="B347" s="17"/>
      <c r="C347" s="63"/>
      <c r="D347" s="63"/>
      <c r="E347" s="63"/>
      <c r="F347" s="63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4" hidden="1" x14ac:dyDescent="0.3">
      <c r="A348" s="17">
        <v>345</v>
      </c>
      <c r="B348" s="17"/>
      <c r="C348" s="63"/>
      <c r="D348" s="63"/>
      <c r="E348" s="63"/>
      <c r="F348" s="63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4" hidden="1" x14ac:dyDescent="0.3">
      <c r="A349" s="17">
        <v>346</v>
      </c>
      <c r="B349" s="17"/>
      <c r="C349" s="63"/>
      <c r="D349" s="63"/>
      <c r="E349" s="63"/>
      <c r="F349" s="63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4" hidden="1" x14ac:dyDescent="0.3">
      <c r="A350" s="17">
        <v>347</v>
      </c>
      <c r="B350" s="17"/>
      <c r="C350" s="63"/>
      <c r="D350" s="63"/>
      <c r="E350" s="63"/>
      <c r="F350" s="63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4" hidden="1" x14ac:dyDescent="0.3">
      <c r="A351" s="17">
        <v>348</v>
      </c>
      <c r="B351" s="17"/>
      <c r="C351" s="63"/>
      <c r="D351" s="63"/>
      <c r="E351" s="63"/>
      <c r="F351" s="63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4" hidden="1" x14ac:dyDescent="0.3">
      <c r="A352" s="17">
        <v>349</v>
      </c>
      <c r="B352" s="17"/>
      <c r="C352" s="63"/>
      <c r="D352" s="63"/>
      <c r="E352" s="63"/>
      <c r="F352" s="63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4" hidden="1" x14ac:dyDescent="0.3">
      <c r="A353" s="17">
        <v>350</v>
      </c>
      <c r="B353" s="17"/>
      <c r="C353" s="63"/>
      <c r="D353" s="63"/>
      <c r="E353" s="63"/>
      <c r="F353" s="63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4" hidden="1" x14ac:dyDescent="0.3">
      <c r="A354" s="17">
        <v>351</v>
      </c>
      <c r="B354" s="17"/>
      <c r="C354" s="63"/>
      <c r="D354" s="63"/>
      <c r="E354" s="63"/>
      <c r="F354" s="63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4" hidden="1" x14ac:dyDescent="0.3">
      <c r="A355" s="17">
        <v>352</v>
      </c>
      <c r="B355" s="17"/>
      <c r="C355" s="63"/>
      <c r="D355" s="63"/>
      <c r="E355" s="63"/>
      <c r="F355" s="63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4" hidden="1" x14ac:dyDescent="0.3">
      <c r="A356" s="17">
        <v>353</v>
      </c>
      <c r="B356" s="17"/>
      <c r="C356" s="63"/>
      <c r="D356" s="63"/>
      <c r="E356" s="63"/>
      <c r="F356" s="63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4" hidden="1" x14ac:dyDescent="0.3">
      <c r="A357" s="17">
        <v>354</v>
      </c>
      <c r="B357" s="17"/>
      <c r="C357" s="63"/>
      <c r="D357" s="63"/>
      <c r="E357" s="63"/>
      <c r="F357" s="63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4" hidden="1" x14ac:dyDescent="0.3">
      <c r="A358" s="17">
        <v>355</v>
      </c>
      <c r="B358" s="17"/>
      <c r="C358" s="63"/>
      <c r="D358" s="63"/>
      <c r="E358" s="63"/>
      <c r="F358" s="63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4" hidden="1" x14ac:dyDescent="0.3">
      <c r="A359" s="17">
        <v>356</v>
      </c>
      <c r="B359" s="17"/>
      <c r="C359" s="63"/>
      <c r="D359" s="63"/>
      <c r="E359" s="63"/>
      <c r="F359" s="63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4" hidden="1" x14ac:dyDescent="0.3">
      <c r="A360" s="17">
        <v>357</v>
      </c>
      <c r="B360" s="17"/>
      <c r="C360" s="63"/>
      <c r="D360" s="63"/>
      <c r="E360" s="63"/>
      <c r="F360" s="63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4" hidden="1" x14ac:dyDescent="0.3">
      <c r="A361" s="17">
        <v>358</v>
      </c>
      <c r="B361" s="17"/>
      <c r="C361" s="63"/>
      <c r="D361" s="63"/>
      <c r="E361" s="63"/>
      <c r="F361" s="63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4" hidden="1" x14ac:dyDescent="0.3">
      <c r="A362" s="17">
        <v>359</v>
      </c>
      <c r="B362" s="17"/>
      <c r="C362" s="63"/>
      <c r="D362" s="63"/>
      <c r="E362" s="63"/>
      <c r="F362" s="63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4" hidden="1" x14ac:dyDescent="0.3">
      <c r="A363" s="17">
        <v>360</v>
      </c>
      <c r="B363" s="17"/>
      <c r="C363" s="63"/>
      <c r="D363" s="63"/>
      <c r="E363" s="63"/>
      <c r="F363" s="63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4" hidden="1" x14ac:dyDescent="0.3">
      <c r="A364" s="17">
        <v>361</v>
      </c>
      <c r="B364" s="17"/>
      <c r="C364" s="63"/>
      <c r="D364" s="63"/>
      <c r="E364" s="63"/>
      <c r="F364" s="63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4" hidden="1" x14ac:dyDescent="0.3">
      <c r="A365" s="17">
        <v>362</v>
      </c>
      <c r="B365" s="17"/>
      <c r="C365" s="63"/>
      <c r="D365" s="63"/>
      <c r="E365" s="63"/>
      <c r="F365" s="63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4" hidden="1" x14ac:dyDescent="0.3">
      <c r="A366" s="17">
        <v>363</v>
      </c>
      <c r="B366" s="17"/>
      <c r="C366" s="63"/>
      <c r="D366" s="63"/>
      <c r="E366" s="63"/>
      <c r="F366" s="63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4" hidden="1" x14ac:dyDescent="0.3">
      <c r="A367" s="17">
        <v>364</v>
      </c>
      <c r="B367" s="17"/>
      <c r="C367" s="63"/>
      <c r="D367" s="63"/>
      <c r="E367" s="63"/>
      <c r="F367" s="63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4" hidden="1" x14ac:dyDescent="0.3">
      <c r="A368" s="17">
        <v>365</v>
      </c>
      <c r="B368" s="17"/>
      <c r="C368" s="63"/>
      <c r="D368" s="63"/>
      <c r="E368" s="63"/>
      <c r="F368" s="63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4" hidden="1" x14ac:dyDescent="0.3">
      <c r="A369" s="17">
        <v>366</v>
      </c>
      <c r="B369" s="17"/>
      <c r="C369" s="63"/>
      <c r="D369" s="63"/>
      <c r="E369" s="63"/>
      <c r="F369" s="63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4" hidden="1" x14ac:dyDescent="0.3">
      <c r="A370" s="17">
        <v>367</v>
      </c>
      <c r="B370" s="17"/>
      <c r="C370" s="63"/>
      <c r="D370" s="63"/>
      <c r="E370" s="63"/>
      <c r="F370" s="63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4" hidden="1" x14ac:dyDescent="0.3">
      <c r="A371" s="17">
        <v>368</v>
      </c>
      <c r="B371" s="17"/>
      <c r="C371" s="63"/>
      <c r="D371" s="63"/>
      <c r="E371" s="63"/>
      <c r="F371" s="63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4" hidden="1" x14ac:dyDescent="0.3">
      <c r="A372" s="17">
        <v>369</v>
      </c>
      <c r="B372" s="17"/>
      <c r="C372" s="63"/>
      <c r="D372" s="63"/>
      <c r="E372" s="63"/>
      <c r="F372" s="63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4" hidden="1" x14ac:dyDescent="0.3">
      <c r="A373" s="17">
        <v>370</v>
      </c>
      <c r="B373" s="17"/>
      <c r="C373" s="63"/>
      <c r="D373" s="63"/>
      <c r="E373" s="63"/>
      <c r="F373" s="63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4" hidden="1" x14ac:dyDescent="0.3">
      <c r="A374" s="17">
        <v>371</v>
      </c>
      <c r="B374" s="17"/>
      <c r="C374" s="63"/>
      <c r="D374" s="63"/>
      <c r="E374" s="63"/>
      <c r="F374" s="63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4" hidden="1" x14ac:dyDescent="0.3">
      <c r="A375" s="17">
        <v>372</v>
      </c>
      <c r="B375" s="17"/>
      <c r="C375" s="63"/>
      <c r="D375" s="63"/>
      <c r="E375" s="63"/>
      <c r="F375" s="63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4" hidden="1" x14ac:dyDescent="0.3">
      <c r="A376" s="17">
        <v>373</v>
      </c>
      <c r="B376" s="17"/>
      <c r="C376" s="63"/>
      <c r="D376" s="63"/>
      <c r="E376" s="63"/>
      <c r="F376" s="63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4" hidden="1" x14ac:dyDescent="0.3">
      <c r="A377" s="17">
        <v>374</v>
      </c>
      <c r="B377" s="17"/>
      <c r="C377" s="63"/>
      <c r="D377" s="63"/>
      <c r="E377" s="63"/>
      <c r="F377" s="63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4" hidden="1" x14ac:dyDescent="0.3">
      <c r="A378" s="17">
        <v>375</v>
      </c>
      <c r="B378" s="17"/>
      <c r="C378" s="63"/>
      <c r="D378" s="63"/>
      <c r="E378" s="63"/>
      <c r="F378" s="63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4" hidden="1" x14ac:dyDescent="0.3">
      <c r="A379" s="17">
        <v>376</v>
      </c>
      <c r="B379" s="17"/>
      <c r="C379" s="63"/>
      <c r="D379" s="63"/>
      <c r="E379" s="63"/>
      <c r="F379" s="63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4" hidden="1" x14ac:dyDescent="0.3">
      <c r="A380" s="17">
        <v>377</v>
      </c>
      <c r="B380" s="17"/>
      <c r="C380" s="63"/>
      <c r="D380" s="63"/>
      <c r="E380" s="63"/>
      <c r="F380" s="63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4" hidden="1" x14ac:dyDescent="0.3">
      <c r="A381" s="17">
        <v>378</v>
      </c>
      <c r="B381" s="17"/>
      <c r="C381" s="63"/>
      <c r="D381" s="63"/>
      <c r="E381" s="63"/>
      <c r="F381" s="63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4" hidden="1" x14ac:dyDescent="0.3">
      <c r="A382" s="17">
        <v>379</v>
      </c>
      <c r="B382" s="17"/>
      <c r="C382" s="63"/>
      <c r="D382" s="63"/>
      <c r="E382" s="63"/>
      <c r="F382" s="63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4" hidden="1" x14ac:dyDescent="0.3">
      <c r="A383" s="17">
        <v>380</v>
      </c>
      <c r="B383" s="17"/>
      <c r="C383" s="63"/>
      <c r="D383" s="63"/>
      <c r="E383" s="63"/>
      <c r="F383" s="63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4" hidden="1" x14ac:dyDescent="0.3">
      <c r="A384" s="17">
        <v>381</v>
      </c>
      <c r="B384" s="17"/>
      <c r="C384" s="63"/>
      <c r="D384" s="63"/>
      <c r="E384" s="63"/>
      <c r="F384" s="63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4" hidden="1" x14ac:dyDescent="0.3">
      <c r="A385" s="17">
        <v>382</v>
      </c>
      <c r="B385" s="17"/>
      <c r="C385" s="63"/>
      <c r="D385" s="63"/>
      <c r="E385" s="63"/>
      <c r="F385" s="63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4" hidden="1" x14ac:dyDescent="0.3">
      <c r="A386" s="17">
        <v>383</v>
      </c>
      <c r="B386" s="17"/>
      <c r="C386" s="63"/>
      <c r="D386" s="63"/>
      <c r="E386" s="63"/>
      <c r="F386" s="63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4" hidden="1" x14ac:dyDescent="0.3">
      <c r="A387" s="17">
        <v>384</v>
      </c>
      <c r="B387" s="17"/>
      <c r="C387" s="63"/>
      <c r="D387" s="63"/>
      <c r="E387" s="63"/>
      <c r="F387" s="63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4" hidden="1" x14ac:dyDescent="0.3">
      <c r="A388" s="17">
        <v>385</v>
      </c>
      <c r="B388" s="17"/>
      <c r="C388" s="63"/>
      <c r="D388" s="63"/>
      <c r="E388" s="63"/>
      <c r="F388" s="63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4" hidden="1" x14ac:dyDescent="0.3">
      <c r="A389" s="17">
        <v>386</v>
      </c>
      <c r="B389" s="17"/>
      <c r="C389" s="63"/>
      <c r="D389" s="63"/>
      <c r="E389" s="63"/>
      <c r="F389" s="63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4" hidden="1" x14ac:dyDescent="0.3">
      <c r="A390" s="17">
        <v>387</v>
      </c>
      <c r="B390" s="17"/>
      <c r="C390" s="63"/>
      <c r="D390" s="63"/>
      <c r="E390" s="63"/>
      <c r="F390" s="63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4" hidden="1" x14ac:dyDescent="0.3">
      <c r="A391" s="17">
        <v>388</v>
      </c>
      <c r="B391" s="17"/>
      <c r="C391" s="63"/>
      <c r="D391" s="63"/>
      <c r="E391" s="63"/>
      <c r="F391" s="63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4" hidden="1" x14ac:dyDescent="0.3">
      <c r="A392" s="17">
        <v>389</v>
      </c>
      <c r="B392" s="17"/>
      <c r="C392" s="63"/>
      <c r="D392" s="63"/>
      <c r="E392" s="63"/>
      <c r="F392" s="63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4" hidden="1" x14ac:dyDescent="0.3">
      <c r="A393" s="17">
        <v>390</v>
      </c>
      <c r="B393" s="17"/>
      <c r="C393" s="63"/>
      <c r="D393" s="63"/>
      <c r="E393" s="63"/>
      <c r="F393" s="63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4" hidden="1" x14ac:dyDescent="0.3">
      <c r="A394" s="17">
        <v>391</v>
      </c>
      <c r="B394" s="17"/>
      <c r="C394" s="63"/>
      <c r="D394" s="63"/>
      <c r="E394" s="63"/>
      <c r="F394" s="63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4" hidden="1" x14ac:dyDescent="0.3">
      <c r="A395" s="17">
        <v>392</v>
      </c>
      <c r="B395" s="17"/>
      <c r="C395" s="63"/>
      <c r="D395" s="63"/>
      <c r="E395" s="63"/>
      <c r="F395" s="63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4" hidden="1" x14ac:dyDescent="0.3">
      <c r="A396" s="17">
        <v>393</v>
      </c>
      <c r="B396" s="17"/>
      <c r="C396" s="63"/>
      <c r="D396" s="63"/>
      <c r="E396" s="63"/>
      <c r="F396" s="63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4" hidden="1" x14ac:dyDescent="0.3">
      <c r="A397" s="17">
        <v>394</v>
      </c>
      <c r="B397" s="17"/>
      <c r="C397" s="63"/>
      <c r="D397" s="63"/>
      <c r="E397" s="63"/>
      <c r="F397" s="63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4" hidden="1" x14ac:dyDescent="0.3">
      <c r="A398" s="17">
        <v>395</v>
      </c>
      <c r="B398" s="17"/>
      <c r="C398" s="63"/>
      <c r="D398" s="63"/>
      <c r="E398" s="63"/>
      <c r="F398" s="63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4" hidden="1" x14ac:dyDescent="0.3">
      <c r="A399" s="17">
        <v>396</v>
      </c>
      <c r="B399" s="17"/>
      <c r="C399" s="63"/>
      <c r="D399" s="63"/>
      <c r="E399" s="63"/>
      <c r="F399" s="63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4" hidden="1" x14ac:dyDescent="0.3">
      <c r="A400" s="17">
        <v>397</v>
      </c>
      <c r="B400" s="17"/>
      <c r="C400" s="63"/>
      <c r="D400" s="63"/>
      <c r="E400" s="63"/>
      <c r="F400" s="63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4" hidden="1" x14ac:dyDescent="0.3">
      <c r="A401" s="17">
        <v>398</v>
      </c>
      <c r="B401" s="17"/>
      <c r="C401" s="63"/>
      <c r="D401" s="63"/>
      <c r="E401" s="63"/>
      <c r="F401" s="63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4" hidden="1" x14ac:dyDescent="0.3">
      <c r="A402" s="17">
        <v>399</v>
      </c>
      <c r="B402" s="17"/>
      <c r="C402" s="63"/>
      <c r="D402" s="63"/>
      <c r="E402" s="63"/>
      <c r="F402" s="63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4" hidden="1" x14ac:dyDescent="0.3">
      <c r="A403" s="17">
        <v>400</v>
      </c>
      <c r="B403" s="17"/>
      <c r="C403" s="63"/>
      <c r="D403" s="63"/>
      <c r="E403" s="63"/>
      <c r="F403" s="63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4" hidden="1" x14ac:dyDescent="0.3">
      <c r="A404" s="17">
        <v>401</v>
      </c>
      <c r="B404" s="17"/>
      <c r="C404" s="63"/>
      <c r="D404" s="63"/>
      <c r="E404" s="63"/>
      <c r="F404" s="63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4" hidden="1" x14ac:dyDescent="0.3">
      <c r="A405" s="17">
        <v>402</v>
      </c>
      <c r="B405" s="17"/>
      <c r="C405" s="63"/>
      <c r="D405" s="63"/>
      <c r="E405" s="63"/>
      <c r="F405" s="63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4" hidden="1" x14ac:dyDescent="0.3">
      <c r="A406" s="17">
        <v>403</v>
      </c>
      <c r="B406" s="17"/>
      <c r="C406" s="63"/>
      <c r="D406" s="63"/>
      <c r="E406" s="63"/>
      <c r="F406" s="63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4" hidden="1" x14ac:dyDescent="0.3">
      <c r="A407" s="17">
        <v>404</v>
      </c>
      <c r="B407" s="17"/>
      <c r="C407" s="63"/>
      <c r="D407" s="63"/>
      <c r="E407" s="63"/>
      <c r="F407" s="63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4" hidden="1" x14ac:dyDescent="0.3">
      <c r="A408" s="17">
        <v>405</v>
      </c>
      <c r="B408" s="17"/>
      <c r="C408" s="63"/>
      <c r="D408" s="63"/>
      <c r="E408" s="63"/>
      <c r="F408" s="63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4" hidden="1" x14ac:dyDescent="0.3">
      <c r="A409" s="17">
        <v>406</v>
      </c>
      <c r="B409" s="17"/>
      <c r="C409" s="63"/>
      <c r="D409" s="63"/>
      <c r="E409" s="63"/>
      <c r="F409" s="63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4" hidden="1" x14ac:dyDescent="0.3">
      <c r="A410" s="17">
        <v>407</v>
      </c>
      <c r="B410" s="17"/>
      <c r="C410" s="63"/>
      <c r="D410" s="63"/>
      <c r="E410" s="63"/>
      <c r="F410" s="63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4" hidden="1" x14ac:dyDescent="0.3">
      <c r="A411" s="17">
        <v>408</v>
      </c>
      <c r="B411" s="17"/>
      <c r="C411" s="63"/>
      <c r="D411" s="63"/>
      <c r="E411" s="63"/>
      <c r="F411" s="63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4" hidden="1" x14ac:dyDescent="0.3">
      <c r="A412" s="17">
        <v>409</v>
      </c>
      <c r="B412" s="17"/>
      <c r="C412" s="63"/>
      <c r="D412" s="63"/>
      <c r="E412" s="63"/>
      <c r="F412" s="63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4" hidden="1" x14ac:dyDescent="0.3">
      <c r="A413" s="17">
        <v>410</v>
      </c>
      <c r="B413" s="17"/>
      <c r="C413" s="63"/>
      <c r="D413" s="63"/>
      <c r="E413" s="63"/>
      <c r="F413" s="63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4" hidden="1" x14ac:dyDescent="0.3">
      <c r="A414" s="17">
        <v>411</v>
      </c>
      <c r="B414" s="17"/>
      <c r="C414" s="63"/>
      <c r="D414" s="63"/>
      <c r="E414" s="63"/>
      <c r="F414" s="63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4" hidden="1" x14ac:dyDescent="0.3">
      <c r="A415" s="17">
        <v>412</v>
      </c>
      <c r="B415" s="17"/>
      <c r="C415" s="63"/>
      <c r="D415" s="63"/>
      <c r="E415" s="63"/>
      <c r="F415" s="63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4" hidden="1" x14ac:dyDescent="0.3">
      <c r="A416" s="17">
        <v>413</v>
      </c>
      <c r="B416" s="17"/>
      <c r="C416" s="63"/>
      <c r="D416" s="63"/>
      <c r="E416" s="63"/>
      <c r="F416" s="63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4" hidden="1" x14ac:dyDescent="0.3">
      <c r="A417" s="17">
        <v>414</v>
      </c>
      <c r="B417" s="17"/>
      <c r="C417" s="63"/>
      <c r="D417" s="63"/>
      <c r="E417" s="63"/>
      <c r="F417" s="63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4" hidden="1" x14ac:dyDescent="0.3">
      <c r="A418" s="17">
        <v>415</v>
      </c>
      <c r="B418" s="17"/>
      <c r="C418" s="63"/>
      <c r="D418" s="63"/>
      <c r="E418" s="63"/>
      <c r="F418" s="63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4" hidden="1" x14ac:dyDescent="0.3">
      <c r="A419" s="17">
        <v>416</v>
      </c>
      <c r="B419" s="17"/>
      <c r="C419" s="63"/>
      <c r="D419" s="63"/>
      <c r="E419" s="63"/>
      <c r="F419" s="63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4" hidden="1" x14ac:dyDescent="0.3">
      <c r="A420" s="17">
        <v>417</v>
      </c>
      <c r="B420" s="17"/>
      <c r="C420" s="63"/>
      <c r="D420" s="63"/>
      <c r="E420" s="63"/>
      <c r="F420" s="63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4" hidden="1" x14ac:dyDescent="0.3">
      <c r="A421" s="17">
        <v>418</v>
      </c>
      <c r="B421" s="17"/>
      <c r="C421" s="63"/>
      <c r="D421" s="63"/>
      <c r="E421" s="63"/>
      <c r="F421" s="63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4" hidden="1" x14ac:dyDescent="0.3">
      <c r="A422" s="17">
        <v>419</v>
      </c>
      <c r="B422" s="17"/>
      <c r="C422" s="63"/>
      <c r="D422" s="63"/>
      <c r="E422" s="63"/>
      <c r="F422" s="63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4" hidden="1" x14ac:dyDescent="0.3">
      <c r="A423" s="17">
        <v>420</v>
      </c>
      <c r="B423" s="17"/>
      <c r="C423" s="63"/>
      <c r="D423" s="63"/>
      <c r="E423" s="63"/>
      <c r="F423" s="63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4" hidden="1" x14ac:dyDescent="0.3">
      <c r="A424" s="17">
        <v>421</v>
      </c>
      <c r="B424" s="17"/>
      <c r="C424" s="63"/>
      <c r="D424" s="63"/>
      <c r="E424" s="63"/>
      <c r="F424" s="63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4" hidden="1" x14ac:dyDescent="0.3">
      <c r="A425" s="17">
        <v>422</v>
      </c>
      <c r="B425" s="17"/>
      <c r="C425" s="63"/>
      <c r="D425" s="63"/>
      <c r="E425" s="63"/>
      <c r="F425" s="63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4" hidden="1" x14ac:dyDescent="0.3">
      <c r="A426" s="17">
        <v>423</v>
      </c>
      <c r="B426" s="17"/>
      <c r="C426" s="63"/>
      <c r="D426" s="63"/>
      <c r="E426" s="63"/>
      <c r="F426" s="63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4" hidden="1" x14ac:dyDescent="0.3">
      <c r="A427" s="17">
        <v>424</v>
      </c>
      <c r="B427" s="17"/>
      <c r="C427" s="63"/>
      <c r="D427" s="63"/>
      <c r="E427" s="63"/>
      <c r="F427" s="63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4" hidden="1" x14ac:dyDescent="0.3">
      <c r="A428" s="17">
        <v>425</v>
      </c>
      <c r="B428" s="17"/>
      <c r="C428" s="63"/>
      <c r="D428" s="63"/>
      <c r="E428" s="63"/>
      <c r="F428" s="63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4" hidden="1" x14ac:dyDescent="0.3">
      <c r="A429" s="17">
        <v>426</v>
      </c>
      <c r="B429" s="17"/>
      <c r="C429" s="63"/>
      <c r="D429" s="63"/>
      <c r="E429" s="63"/>
      <c r="F429" s="63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4" hidden="1" x14ac:dyDescent="0.3">
      <c r="A430" s="17">
        <v>427</v>
      </c>
      <c r="B430" s="17"/>
      <c r="C430" s="63"/>
      <c r="D430" s="63"/>
      <c r="E430" s="63"/>
      <c r="F430" s="63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4" hidden="1" x14ac:dyDescent="0.3">
      <c r="A431" s="17">
        <v>428</v>
      </c>
      <c r="B431" s="17"/>
      <c r="C431" s="63"/>
      <c r="D431" s="63"/>
      <c r="E431" s="63"/>
      <c r="F431" s="63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4" hidden="1" x14ac:dyDescent="0.3">
      <c r="A432" s="17">
        <v>429</v>
      </c>
      <c r="B432" s="17"/>
      <c r="C432" s="63"/>
      <c r="D432" s="63"/>
      <c r="E432" s="63"/>
      <c r="F432" s="63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4" hidden="1" x14ac:dyDescent="0.3">
      <c r="A433" s="17">
        <v>430</v>
      </c>
      <c r="B433" s="17"/>
      <c r="C433" s="63"/>
      <c r="D433" s="63"/>
      <c r="E433" s="63"/>
      <c r="F433" s="63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4" hidden="1" x14ac:dyDescent="0.3">
      <c r="A434" s="17">
        <v>431</v>
      </c>
      <c r="B434" s="17"/>
      <c r="C434" s="63"/>
      <c r="D434" s="63"/>
      <c r="E434" s="63"/>
      <c r="F434" s="63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4" hidden="1" x14ac:dyDescent="0.3">
      <c r="A435" s="17">
        <v>432</v>
      </c>
      <c r="B435" s="17"/>
      <c r="C435" s="63"/>
      <c r="D435" s="63"/>
      <c r="E435" s="63"/>
      <c r="F435" s="63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4" hidden="1" x14ac:dyDescent="0.3">
      <c r="A436" s="17">
        <v>433</v>
      </c>
      <c r="B436" s="17"/>
      <c r="C436" s="63"/>
      <c r="D436" s="63"/>
      <c r="E436" s="63"/>
      <c r="F436" s="63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4" hidden="1" x14ac:dyDescent="0.3">
      <c r="A437" s="17">
        <v>434</v>
      </c>
      <c r="B437" s="17"/>
      <c r="C437" s="63"/>
      <c r="D437" s="63"/>
      <c r="E437" s="63"/>
      <c r="F437" s="63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4" hidden="1" x14ac:dyDescent="0.3">
      <c r="A438" s="17">
        <v>435</v>
      </c>
      <c r="B438" s="17"/>
      <c r="C438" s="63"/>
      <c r="D438" s="63"/>
      <c r="E438" s="63"/>
      <c r="F438" s="63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4" hidden="1" x14ac:dyDescent="0.3">
      <c r="A439" s="17">
        <v>436</v>
      </c>
      <c r="B439" s="17"/>
      <c r="C439" s="63"/>
      <c r="D439" s="63"/>
      <c r="E439" s="63"/>
      <c r="F439" s="63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4" hidden="1" x14ac:dyDescent="0.3">
      <c r="A440" s="17">
        <v>437</v>
      </c>
      <c r="B440" s="17"/>
      <c r="C440" s="63"/>
      <c r="D440" s="63"/>
      <c r="E440" s="63"/>
      <c r="F440" s="63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4" hidden="1" x14ac:dyDescent="0.3">
      <c r="A441" s="17">
        <v>438</v>
      </c>
      <c r="B441" s="17"/>
      <c r="C441" s="63"/>
      <c r="D441" s="63"/>
      <c r="E441" s="63"/>
      <c r="F441" s="63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4" hidden="1" x14ac:dyDescent="0.3">
      <c r="A442" s="17">
        <v>439</v>
      </c>
      <c r="B442" s="17"/>
      <c r="C442" s="63"/>
      <c r="D442" s="63"/>
      <c r="E442" s="63"/>
      <c r="F442" s="63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4" hidden="1" x14ac:dyDescent="0.3">
      <c r="A443" s="17">
        <v>440</v>
      </c>
      <c r="B443" s="17"/>
      <c r="C443" s="63"/>
      <c r="D443" s="63"/>
      <c r="E443" s="63"/>
      <c r="F443" s="63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4" hidden="1" x14ac:dyDescent="0.3">
      <c r="A444" s="17">
        <v>441</v>
      </c>
      <c r="B444" s="17"/>
      <c r="C444" s="63"/>
      <c r="D444" s="63"/>
      <c r="E444" s="63"/>
      <c r="F444" s="63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4" hidden="1" x14ac:dyDescent="0.3">
      <c r="A445" s="17">
        <v>442</v>
      </c>
      <c r="B445" s="17"/>
      <c r="C445" s="63"/>
      <c r="D445" s="63"/>
      <c r="E445" s="63"/>
      <c r="F445" s="63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4" hidden="1" x14ac:dyDescent="0.3">
      <c r="A446" s="17">
        <v>443</v>
      </c>
      <c r="B446" s="17"/>
      <c r="C446" s="63"/>
      <c r="D446" s="63"/>
      <c r="E446" s="63"/>
      <c r="F446" s="63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4" hidden="1" x14ac:dyDescent="0.3">
      <c r="A447" s="17">
        <v>444</v>
      </c>
      <c r="B447" s="17"/>
      <c r="C447" s="63"/>
      <c r="D447" s="63"/>
      <c r="E447" s="63"/>
      <c r="F447" s="63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4" hidden="1" x14ac:dyDescent="0.3">
      <c r="A448" s="17">
        <v>445</v>
      </c>
      <c r="B448" s="17"/>
      <c r="C448" s="63"/>
      <c r="D448" s="63"/>
      <c r="E448" s="63"/>
      <c r="F448" s="63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4" hidden="1" x14ac:dyDescent="0.3">
      <c r="A449" s="17">
        <v>446</v>
      </c>
      <c r="B449" s="17"/>
      <c r="C449" s="63"/>
      <c r="D449" s="63"/>
      <c r="E449" s="63"/>
      <c r="F449" s="63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4" hidden="1" x14ac:dyDescent="0.3">
      <c r="A450" s="17">
        <v>447</v>
      </c>
      <c r="B450" s="17"/>
      <c r="C450" s="63"/>
      <c r="D450" s="63"/>
      <c r="E450" s="63"/>
      <c r="F450" s="63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4" hidden="1" x14ac:dyDescent="0.3">
      <c r="A451" s="17">
        <v>448</v>
      </c>
      <c r="B451" s="17"/>
      <c r="C451" s="63"/>
      <c r="D451" s="63"/>
      <c r="E451" s="63"/>
      <c r="F451" s="63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4" hidden="1" x14ac:dyDescent="0.3">
      <c r="A452" s="17">
        <v>449</v>
      </c>
      <c r="B452" s="17"/>
      <c r="C452" s="63"/>
      <c r="D452" s="63"/>
      <c r="E452" s="63"/>
      <c r="F452" s="63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4" hidden="1" x14ac:dyDescent="0.3">
      <c r="A453" s="17">
        <v>450</v>
      </c>
      <c r="B453" s="17"/>
      <c r="C453" s="63"/>
      <c r="D453" s="63"/>
      <c r="E453" s="63"/>
      <c r="F453" s="63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4" hidden="1" x14ac:dyDescent="0.3">
      <c r="A454" s="17">
        <v>451</v>
      </c>
      <c r="B454" s="17"/>
      <c r="C454" s="63"/>
      <c r="D454" s="63"/>
      <c r="E454" s="63"/>
      <c r="F454" s="63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4" hidden="1" x14ac:dyDescent="0.3">
      <c r="A455" s="17">
        <v>452</v>
      </c>
      <c r="B455" s="17"/>
      <c r="C455" s="63"/>
      <c r="D455" s="63"/>
      <c r="E455" s="63"/>
      <c r="F455" s="63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4" hidden="1" x14ac:dyDescent="0.3">
      <c r="A456" s="17">
        <v>453</v>
      </c>
      <c r="B456" s="17"/>
      <c r="C456" s="63"/>
      <c r="D456" s="63"/>
      <c r="E456" s="63"/>
      <c r="F456" s="63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4" hidden="1" x14ac:dyDescent="0.3">
      <c r="A457" s="17">
        <v>454</v>
      </c>
      <c r="B457" s="17"/>
      <c r="C457" s="63"/>
      <c r="D457" s="63"/>
      <c r="E457" s="63"/>
      <c r="F457" s="63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4" hidden="1" x14ac:dyDescent="0.3">
      <c r="A458" s="17">
        <v>455</v>
      </c>
      <c r="B458" s="17"/>
      <c r="C458" s="63"/>
      <c r="D458" s="63"/>
      <c r="E458" s="63"/>
      <c r="F458" s="63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4" hidden="1" x14ac:dyDescent="0.3">
      <c r="A459" s="17">
        <v>456</v>
      </c>
      <c r="B459" s="17"/>
      <c r="C459" s="63"/>
      <c r="D459" s="63"/>
      <c r="E459" s="63"/>
      <c r="F459" s="63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4" hidden="1" x14ac:dyDescent="0.3">
      <c r="A460" s="17">
        <v>457</v>
      </c>
      <c r="B460" s="17"/>
      <c r="C460" s="63"/>
      <c r="D460" s="63"/>
      <c r="E460" s="63"/>
      <c r="F460" s="63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4" hidden="1" x14ac:dyDescent="0.3">
      <c r="A461" s="17">
        <v>458</v>
      </c>
      <c r="B461" s="17"/>
      <c r="C461" s="63"/>
      <c r="D461" s="63"/>
      <c r="E461" s="63"/>
      <c r="F461" s="63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4" hidden="1" x14ac:dyDescent="0.3">
      <c r="A462" s="17">
        <v>459</v>
      </c>
      <c r="B462" s="17"/>
      <c r="C462" s="63"/>
      <c r="D462" s="63"/>
      <c r="E462" s="63"/>
      <c r="F462" s="63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4" hidden="1" x14ac:dyDescent="0.3">
      <c r="A463" s="17">
        <v>460</v>
      </c>
      <c r="B463" s="17"/>
      <c r="C463" s="63"/>
      <c r="D463" s="63"/>
      <c r="E463" s="63"/>
      <c r="F463" s="63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4" hidden="1" x14ac:dyDescent="0.3">
      <c r="A464" s="17">
        <v>461</v>
      </c>
      <c r="B464" s="17"/>
      <c r="C464" s="63"/>
      <c r="D464" s="63"/>
      <c r="E464" s="63"/>
      <c r="F464" s="63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4" hidden="1" x14ac:dyDescent="0.3">
      <c r="A465" s="17">
        <v>462</v>
      </c>
      <c r="B465" s="17"/>
      <c r="C465" s="63"/>
      <c r="D465" s="63"/>
      <c r="E465" s="63"/>
      <c r="F465" s="63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4" hidden="1" x14ac:dyDescent="0.3">
      <c r="A466" s="17">
        <v>463</v>
      </c>
      <c r="B466" s="17"/>
      <c r="C466" s="63"/>
      <c r="D466" s="63"/>
      <c r="E466" s="63"/>
      <c r="F466" s="63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4" hidden="1" x14ac:dyDescent="0.3">
      <c r="A467" s="17">
        <v>464</v>
      </c>
      <c r="B467" s="17"/>
      <c r="C467" s="63"/>
      <c r="D467" s="63"/>
      <c r="E467" s="63"/>
      <c r="F467" s="63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4" hidden="1" x14ac:dyDescent="0.3">
      <c r="A468" s="17">
        <v>465</v>
      </c>
      <c r="B468" s="17"/>
      <c r="C468" s="63"/>
      <c r="D468" s="63"/>
      <c r="E468" s="63"/>
      <c r="F468" s="63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4" hidden="1" x14ac:dyDescent="0.3">
      <c r="A469" s="17">
        <v>466</v>
      </c>
      <c r="B469" s="17"/>
      <c r="C469" s="63"/>
      <c r="D469" s="63"/>
      <c r="E469" s="63"/>
      <c r="F469" s="63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4" hidden="1" x14ac:dyDescent="0.3">
      <c r="A470" s="17">
        <v>467</v>
      </c>
      <c r="B470" s="17"/>
      <c r="C470" s="63"/>
      <c r="D470" s="63"/>
      <c r="E470" s="63"/>
      <c r="F470" s="63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4" hidden="1" x14ac:dyDescent="0.3">
      <c r="A471" s="17">
        <v>468</v>
      </c>
      <c r="B471" s="17"/>
      <c r="C471" s="63"/>
      <c r="D471" s="63"/>
      <c r="E471" s="63"/>
      <c r="F471" s="63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4" hidden="1" x14ac:dyDescent="0.3">
      <c r="A472" s="17">
        <v>469</v>
      </c>
      <c r="B472" s="17"/>
      <c r="C472" s="63"/>
      <c r="D472" s="63"/>
      <c r="E472" s="63"/>
      <c r="F472" s="63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4" hidden="1" x14ac:dyDescent="0.3">
      <c r="A473" s="17">
        <v>470</v>
      </c>
      <c r="B473" s="17"/>
      <c r="C473" s="63"/>
      <c r="D473" s="63"/>
      <c r="E473" s="63"/>
      <c r="F473" s="63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4" hidden="1" x14ac:dyDescent="0.3">
      <c r="A474" s="17">
        <v>471</v>
      </c>
      <c r="B474" s="17"/>
      <c r="C474" s="63"/>
      <c r="D474" s="63"/>
      <c r="E474" s="63"/>
      <c r="F474" s="63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4" hidden="1" x14ac:dyDescent="0.3">
      <c r="A475" s="17">
        <v>472</v>
      </c>
      <c r="B475" s="17"/>
      <c r="C475" s="63"/>
      <c r="D475" s="63"/>
      <c r="E475" s="63"/>
      <c r="F475" s="63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4" hidden="1" x14ac:dyDescent="0.3">
      <c r="A476" s="17">
        <v>473</v>
      </c>
      <c r="B476" s="17"/>
      <c r="C476" s="63"/>
      <c r="D476" s="63"/>
      <c r="E476" s="63"/>
      <c r="F476" s="63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4" hidden="1" x14ac:dyDescent="0.3">
      <c r="A477" s="17">
        <v>474</v>
      </c>
      <c r="B477" s="17"/>
      <c r="C477" s="63"/>
      <c r="D477" s="63"/>
      <c r="E477" s="63"/>
      <c r="F477" s="63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4" hidden="1" x14ac:dyDescent="0.3">
      <c r="A478" s="17">
        <v>475</v>
      </c>
      <c r="B478" s="17"/>
      <c r="C478" s="63"/>
      <c r="D478" s="63"/>
      <c r="E478" s="63"/>
      <c r="F478" s="63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4" hidden="1" x14ac:dyDescent="0.3">
      <c r="A479" s="17">
        <v>476</v>
      </c>
      <c r="B479" s="17"/>
      <c r="C479" s="63"/>
      <c r="D479" s="63"/>
      <c r="E479" s="63"/>
      <c r="F479" s="63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4" hidden="1" x14ac:dyDescent="0.3">
      <c r="A480" s="17">
        <v>477</v>
      </c>
      <c r="B480" s="17"/>
      <c r="C480" s="63"/>
      <c r="D480" s="63"/>
      <c r="E480" s="63"/>
      <c r="F480" s="63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4" hidden="1" x14ac:dyDescent="0.3">
      <c r="A481" s="17">
        <v>478</v>
      </c>
      <c r="B481" s="17"/>
      <c r="C481" s="63"/>
      <c r="D481" s="63"/>
      <c r="E481" s="63"/>
      <c r="F481" s="63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4" hidden="1" x14ac:dyDescent="0.3">
      <c r="A482" s="17">
        <v>479</v>
      </c>
      <c r="B482" s="17"/>
      <c r="C482" s="63"/>
      <c r="D482" s="63"/>
      <c r="E482" s="63"/>
      <c r="F482" s="63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4" hidden="1" x14ac:dyDescent="0.3">
      <c r="A483" s="17">
        <v>480</v>
      </c>
      <c r="B483" s="17"/>
      <c r="C483" s="63"/>
      <c r="D483" s="63"/>
      <c r="E483" s="63"/>
      <c r="F483" s="63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4" hidden="1" x14ac:dyDescent="0.3">
      <c r="A484" s="17">
        <v>481</v>
      </c>
      <c r="B484" s="17"/>
      <c r="C484" s="63"/>
      <c r="D484" s="63"/>
      <c r="E484" s="63"/>
      <c r="F484" s="63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4" hidden="1" x14ac:dyDescent="0.3">
      <c r="A485" s="17">
        <v>482</v>
      </c>
      <c r="B485" s="17"/>
      <c r="C485" s="63"/>
      <c r="D485" s="63"/>
      <c r="E485" s="63"/>
      <c r="F485" s="63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4" hidden="1" x14ac:dyDescent="0.3">
      <c r="A486" s="17">
        <v>483</v>
      </c>
      <c r="B486" s="17"/>
      <c r="C486" s="63"/>
      <c r="D486" s="63"/>
      <c r="E486" s="63"/>
      <c r="F486" s="63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4" hidden="1" x14ac:dyDescent="0.3">
      <c r="A487" s="17">
        <v>484</v>
      </c>
      <c r="B487" s="17"/>
      <c r="C487" s="63"/>
      <c r="D487" s="63"/>
      <c r="E487" s="63"/>
      <c r="F487" s="63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4" hidden="1" x14ac:dyDescent="0.3">
      <c r="A488" s="17">
        <v>485</v>
      </c>
      <c r="B488" s="17"/>
      <c r="C488" s="63"/>
      <c r="D488" s="63"/>
      <c r="E488" s="63"/>
      <c r="F488" s="63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4" hidden="1" x14ac:dyDescent="0.3">
      <c r="A489" s="17">
        <v>486</v>
      </c>
      <c r="B489" s="17"/>
      <c r="C489" s="63"/>
      <c r="D489" s="63"/>
      <c r="E489" s="63"/>
      <c r="F489" s="63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4" hidden="1" x14ac:dyDescent="0.3">
      <c r="A490" s="17">
        <v>487</v>
      </c>
      <c r="B490" s="17"/>
      <c r="C490" s="63"/>
      <c r="D490" s="63"/>
      <c r="E490" s="63"/>
      <c r="F490" s="63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4" hidden="1" x14ac:dyDescent="0.3">
      <c r="A491" s="17">
        <v>488</v>
      </c>
      <c r="B491" s="17"/>
      <c r="C491" s="63"/>
      <c r="D491" s="63"/>
      <c r="E491" s="63"/>
      <c r="F491" s="63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4" hidden="1" x14ac:dyDescent="0.3">
      <c r="A492" s="17">
        <v>489</v>
      </c>
      <c r="B492" s="17"/>
      <c r="C492" s="63"/>
      <c r="D492" s="63"/>
      <c r="E492" s="63"/>
      <c r="F492" s="63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4" hidden="1" x14ac:dyDescent="0.3">
      <c r="A493" s="17">
        <v>490</v>
      </c>
      <c r="B493" s="17"/>
      <c r="C493" s="63"/>
      <c r="D493" s="63"/>
      <c r="E493" s="63"/>
      <c r="F493" s="63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4" hidden="1" x14ac:dyDescent="0.3">
      <c r="A494" s="17">
        <v>491</v>
      </c>
      <c r="B494" s="17"/>
      <c r="C494" s="63"/>
      <c r="D494" s="63"/>
      <c r="E494" s="63"/>
      <c r="F494" s="63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4" hidden="1" x14ac:dyDescent="0.3">
      <c r="A495" s="17">
        <v>492</v>
      </c>
      <c r="B495" s="17"/>
      <c r="C495" s="63"/>
      <c r="D495" s="63"/>
      <c r="E495" s="63"/>
      <c r="F495" s="63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4" hidden="1" x14ac:dyDescent="0.3">
      <c r="A496" s="17">
        <v>493</v>
      </c>
      <c r="B496" s="17"/>
      <c r="C496" s="63"/>
      <c r="D496" s="63"/>
      <c r="E496" s="63"/>
      <c r="F496" s="63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4" hidden="1" x14ac:dyDescent="0.3">
      <c r="A497" s="17">
        <v>494</v>
      </c>
      <c r="B497" s="17"/>
      <c r="C497" s="63"/>
      <c r="D497" s="63"/>
      <c r="E497" s="63"/>
      <c r="F497" s="63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4" hidden="1" x14ac:dyDescent="0.3">
      <c r="A498" s="17">
        <v>495</v>
      </c>
      <c r="B498" s="17"/>
      <c r="C498" s="63"/>
      <c r="D498" s="63"/>
      <c r="E498" s="63"/>
      <c r="F498" s="63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4" hidden="1" x14ac:dyDescent="0.3">
      <c r="A499" s="17">
        <v>496</v>
      </c>
      <c r="B499" s="17"/>
      <c r="C499" s="63"/>
      <c r="D499" s="63"/>
      <c r="E499" s="63"/>
      <c r="F499" s="63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4" hidden="1" x14ac:dyDescent="0.3">
      <c r="A500" s="17">
        <v>497</v>
      </c>
      <c r="B500" s="17"/>
      <c r="C500" s="63"/>
      <c r="D500" s="63"/>
      <c r="E500" s="63"/>
      <c r="F500" s="63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4" hidden="1" x14ac:dyDescent="0.3">
      <c r="A501" s="17">
        <v>498</v>
      </c>
      <c r="B501" s="17"/>
      <c r="C501" s="63"/>
      <c r="D501" s="63"/>
      <c r="E501" s="63"/>
      <c r="F501" s="63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4" hidden="1" x14ac:dyDescent="0.3">
      <c r="A502" s="17">
        <v>499</v>
      </c>
      <c r="B502" s="17"/>
      <c r="C502" s="63"/>
      <c r="D502" s="63"/>
      <c r="E502" s="63"/>
      <c r="F502" s="63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4" hidden="1" x14ac:dyDescent="0.3">
      <c r="A503" s="17">
        <v>500</v>
      </c>
      <c r="B503" s="17"/>
      <c r="C503" s="63"/>
      <c r="D503" s="63"/>
      <c r="E503" s="63"/>
      <c r="F503" s="63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4" hidden="1" x14ac:dyDescent="0.3">
      <c r="A504" s="17">
        <v>501</v>
      </c>
      <c r="B504" s="17"/>
      <c r="C504" s="63"/>
      <c r="D504" s="63"/>
      <c r="E504" s="63"/>
      <c r="F504" s="63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4" hidden="1" x14ac:dyDescent="0.3">
      <c r="A505" s="17">
        <v>502</v>
      </c>
      <c r="B505" s="17"/>
      <c r="C505" s="63"/>
      <c r="D505" s="63"/>
      <c r="E505" s="63"/>
      <c r="F505" s="63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4" hidden="1" x14ac:dyDescent="0.3">
      <c r="A506" s="17">
        <v>503</v>
      </c>
      <c r="B506" s="17"/>
      <c r="C506" s="63"/>
      <c r="D506" s="63"/>
      <c r="E506" s="63"/>
      <c r="F506" s="63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4" hidden="1" x14ac:dyDescent="0.3">
      <c r="A507" s="17">
        <v>504</v>
      </c>
      <c r="B507" s="17"/>
      <c r="C507" s="63"/>
      <c r="D507" s="63"/>
      <c r="E507" s="63"/>
      <c r="F507" s="63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4" hidden="1" x14ac:dyDescent="0.3">
      <c r="A508" s="17">
        <v>505</v>
      </c>
      <c r="B508" s="17"/>
      <c r="C508" s="63"/>
      <c r="D508" s="63"/>
      <c r="E508" s="63"/>
      <c r="F508" s="63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4" hidden="1" x14ac:dyDescent="0.3">
      <c r="A509" s="17">
        <v>506</v>
      </c>
      <c r="B509" s="17"/>
      <c r="C509" s="63"/>
      <c r="D509" s="63"/>
      <c r="E509" s="63"/>
      <c r="F509" s="63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4" hidden="1" x14ac:dyDescent="0.3">
      <c r="A510" s="17">
        <v>507</v>
      </c>
      <c r="B510" s="17"/>
      <c r="C510" s="63"/>
      <c r="D510" s="63"/>
      <c r="E510" s="63"/>
      <c r="F510" s="63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4" hidden="1" x14ac:dyDescent="0.3">
      <c r="A511" s="17">
        <v>508</v>
      </c>
      <c r="B511" s="17"/>
      <c r="C511" s="63"/>
      <c r="D511" s="63"/>
      <c r="E511" s="63"/>
      <c r="F511" s="63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4" hidden="1" x14ac:dyDescent="0.3">
      <c r="A512" s="17">
        <v>509</v>
      </c>
      <c r="B512" s="17"/>
      <c r="C512" s="63"/>
      <c r="D512" s="63"/>
      <c r="E512" s="63"/>
      <c r="F512" s="63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4" hidden="1" x14ac:dyDescent="0.3">
      <c r="A513" s="17">
        <v>510</v>
      </c>
      <c r="B513" s="17"/>
      <c r="C513" s="63"/>
      <c r="D513" s="63"/>
      <c r="E513" s="63"/>
      <c r="F513" s="63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4" hidden="1" x14ac:dyDescent="0.3">
      <c r="A514" s="17">
        <v>511</v>
      </c>
      <c r="B514" s="17"/>
      <c r="C514" s="63"/>
      <c r="D514" s="63"/>
      <c r="E514" s="63"/>
      <c r="F514" s="63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4" hidden="1" x14ac:dyDescent="0.3">
      <c r="A515" s="17">
        <v>512</v>
      </c>
      <c r="B515" s="17"/>
      <c r="C515" s="63"/>
      <c r="D515" s="63"/>
      <c r="E515" s="63"/>
      <c r="F515" s="63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4" hidden="1" x14ac:dyDescent="0.3">
      <c r="A516" s="17">
        <v>513</v>
      </c>
      <c r="B516" s="17"/>
      <c r="C516" s="63"/>
      <c r="D516" s="63"/>
      <c r="E516" s="63"/>
      <c r="F516" s="63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4" hidden="1" x14ac:dyDescent="0.3">
      <c r="A517" s="17">
        <v>514</v>
      </c>
      <c r="B517" s="17"/>
      <c r="C517" s="63"/>
      <c r="D517" s="63"/>
      <c r="E517" s="63"/>
      <c r="F517" s="63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4" hidden="1" x14ac:dyDescent="0.3">
      <c r="A518" s="17">
        <v>515</v>
      </c>
      <c r="B518" s="17"/>
      <c r="C518" s="63"/>
      <c r="D518" s="63"/>
      <c r="E518" s="63"/>
      <c r="F518" s="63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4" hidden="1" x14ac:dyDescent="0.3">
      <c r="A519" s="17">
        <v>516</v>
      </c>
      <c r="B519" s="17"/>
      <c r="C519" s="63"/>
      <c r="D519" s="63"/>
      <c r="E519" s="63"/>
      <c r="F519" s="63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4" hidden="1" x14ac:dyDescent="0.3">
      <c r="A520" s="17">
        <v>517</v>
      </c>
      <c r="B520" s="17"/>
      <c r="C520" s="63"/>
      <c r="D520" s="63"/>
      <c r="E520" s="63"/>
      <c r="F520" s="63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4" hidden="1" x14ac:dyDescent="0.3">
      <c r="A521" s="17">
        <v>518</v>
      </c>
      <c r="B521" s="17"/>
      <c r="C521" s="63"/>
      <c r="D521" s="63"/>
      <c r="E521" s="63"/>
      <c r="F521" s="63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4" hidden="1" x14ac:dyDescent="0.3">
      <c r="A522" s="17">
        <v>519</v>
      </c>
      <c r="B522" s="17"/>
      <c r="C522" s="63"/>
      <c r="D522" s="63"/>
      <c r="E522" s="63"/>
      <c r="F522" s="63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4" hidden="1" x14ac:dyDescent="0.3">
      <c r="A523" s="17">
        <v>520</v>
      </c>
      <c r="B523" s="17"/>
      <c r="C523" s="63"/>
      <c r="D523" s="63"/>
      <c r="E523" s="63"/>
      <c r="F523" s="63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4" hidden="1" x14ac:dyDescent="0.3">
      <c r="A524" s="17">
        <v>521</v>
      </c>
      <c r="B524" s="17"/>
      <c r="C524" s="63"/>
      <c r="D524" s="63"/>
      <c r="E524" s="63"/>
      <c r="F524" s="63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4" hidden="1" x14ac:dyDescent="0.3">
      <c r="A525" s="17">
        <v>522</v>
      </c>
      <c r="B525" s="17"/>
      <c r="C525" s="63"/>
      <c r="D525" s="63"/>
      <c r="E525" s="63"/>
      <c r="F525" s="63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4" hidden="1" x14ac:dyDescent="0.3">
      <c r="A526" s="17">
        <v>523</v>
      </c>
      <c r="B526" s="17"/>
      <c r="C526" s="63"/>
      <c r="D526" s="63"/>
      <c r="E526" s="63"/>
      <c r="F526" s="63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4" hidden="1" x14ac:dyDescent="0.3">
      <c r="A527" s="17">
        <v>524</v>
      </c>
      <c r="B527" s="17"/>
      <c r="C527" s="63"/>
      <c r="D527" s="63"/>
      <c r="E527" s="63"/>
      <c r="F527" s="63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4" hidden="1" x14ac:dyDescent="0.3">
      <c r="A528" s="17">
        <v>525</v>
      </c>
      <c r="B528" s="17"/>
      <c r="C528" s="63"/>
      <c r="D528" s="63"/>
      <c r="E528" s="63"/>
      <c r="F528" s="63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4" hidden="1" x14ac:dyDescent="0.3">
      <c r="A529" s="17">
        <v>526</v>
      </c>
      <c r="B529" s="17"/>
      <c r="C529" s="63"/>
      <c r="D529" s="63"/>
      <c r="E529" s="63"/>
      <c r="F529" s="63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4" hidden="1" x14ac:dyDescent="0.3">
      <c r="A530" s="17">
        <v>527</v>
      </c>
      <c r="B530" s="17"/>
      <c r="C530" s="63"/>
      <c r="D530" s="63"/>
      <c r="E530" s="63"/>
      <c r="F530" s="63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4" hidden="1" x14ac:dyDescent="0.3">
      <c r="A531" s="17">
        <v>528</v>
      </c>
      <c r="B531" s="17"/>
      <c r="C531" s="63"/>
      <c r="D531" s="63"/>
      <c r="E531" s="63"/>
      <c r="F531" s="63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4" hidden="1" x14ac:dyDescent="0.3">
      <c r="A532" s="17">
        <v>529</v>
      </c>
      <c r="B532" s="17"/>
      <c r="C532" s="63"/>
      <c r="D532" s="63"/>
      <c r="E532" s="63"/>
      <c r="F532" s="63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4" hidden="1" x14ac:dyDescent="0.3">
      <c r="A533" s="17">
        <v>530</v>
      </c>
      <c r="B533" s="17"/>
      <c r="C533" s="63"/>
      <c r="D533" s="63"/>
      <c r="E533" s="63"/>
      <c r="F533" s="63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4" hidden="1" x14ac:dyDescent="0.3">
      <c r="A534" s="17">
        <v>531</v>
      </c>
      <c r="B534" s="17"/>
      <c r="C534" s="63"/>
      <c r="D534" s="63"/>
      <c r="E534" s="63"/>
      <c r="F534" s="63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4" hidden="1" x14ac:dyDescent="0.3">
      <c r="A535" s="17">
        <v>532</v>
      </c>
      <c r="B535" s="17"/>
      <c r="C535" s="63"/>
      <c r="D535" s="63"/>
      <c r="E535" s="63"/>
      <c r="F535" s="63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4" hidden="1" x14ac:dyDescent="0.3">
      <c r="A536" s="17">
        <v>533</v>
      </c>
      <c r="B536" s="17"/>
      <c r="C536" s="63"/>
      <c r="D536" s="63"/>
      <c r="E536" s="63"/>
      <c r="F536" s="63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4" hidden="1" x14ac:dyDescent="0.3">
      <c r="A537" s="17">
        <v>534</v>
      </c>
      <c r="B537" s="17"/>
      <c r="C537" s="63"/>
      <c r="D537" s="63"/>
      <c r="E537" s="63"/>
      <c r="F537" s="63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4" hidden="1" x14ac:dyDescent="0.3">
      <c r="A538" s="17">
        <v>535</v>
      </c>
      <c r="B538" s="17"/>
      <c r="C538" s="63"/>
      <c r="D538" s="63"/>
      <c r="E538" s="63"/>
      <c r="F538" s="63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4" hidden="1" x14ac:dyDescent="0.3">
      <c r="A539" s="17">
        <v>536</v>
      </c>
      <c r="B539" s="17"/>
      <c r="C539" s="63"/>
      <c r="D539" s="63"/>
      <c r="E539" s="63"/>
      <c r="F539" s="63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4" hidden="1" x14ac:dyDescent="0.3">
      <c r="A540" s="17">
        <v>537</v>
      </c>
      <c r="B540" s="17"/>
      <c r="C540" s="63"/>
      <c r="D540" s="63"/>
      <c r="E540" s="63"/>
      <c r="F540" s="63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4" hidden="1" x14ac:dyDescent="0.3">
      <c r="A541" s="17">
        <v>538</v>
      </c>
      <c r="B541" s="17"/>
      <c r="C541" s="63"/>
      <c r="D541" s="63"/>
      <c r="E541" s="63"/>
      <c r="F541" s="63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4" hidden="1" x14ac:dyDescent="0.3">
      <c r="A542" s="17">
        <v>539</v>
      </c>
      <c r="B542" s="17"/>
      <c r="C542" s="63"/>
      <c r="D542" s="63"/>
      <c r="E542" s="63"/>
      <c r="F542" s="63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4" hidden="1" x14ac:dyDescent="0.3">
      <c r="A543" s="17">
        <v>540</v>
      </c>
      <c r="B543" s="17"/>
      <c r="C543" s="63"/>
      <c r="D543" s="63"/>
      <c r="E543" s="63"/>
      <c r="F543" s="63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4" hidden="1" x14ac:dyDescent="0.3">
      <c r="A544" s="17">
        <v>541</v>
      </c>
      <c r="B544" s="17"/>
      <c r="C544" s="63"/>
      <c r="D544" s="63"/>
      <c r="E544" s="63"/>
      <c r="F544" s="63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4" hidden="1" x14ac:dyDescent="0.3">
      <c r="A545" s="17">
        <v>542</v>
      </c>
      <c r="B545" s="17"/>
      <c r="C545" s="63"/>
      <c r="D545" s="63"/>
      <c r="E545" s="63"/>
      <c r="F545" s="63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4" hidden="1" x14ac:dyDescent="0.3">
      <c r="A546" s="17">
        <v>543</v>
      </c>
      <c r="B546" s="17"/>
      <c r="C546" s="63"/>
      <c r="D546" s="63"/>
      <c r="E546" s="63"/>
      <c r="F546" s="63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4" hidden="1" x14ac:dyDescent="0.3">
      <c r="A547" s="17">
        <v>544</v>
      </c>
      <c r="B547" s="17"/>
      <c r="C547" s="63"/>
      <c r="D547" s="63"/>
      <c r="E547" s="63"/>
      <c r="F547" s="63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4" hidden="1" x14ac:dyDescent="0.3">
      <c r="A548" s="17">
        <v>545</v>
      </c>
      <c r="B548" s="17"/>
      <c r="C548" s="63"/>
      <c r="D548" s="63"/>
      <c r="E548" s="63"/>
      <c r="F548" s="63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4" hidden="1" x14ac:dyDescent="0.3">
      <c r="A549" s="17">
        <v>546</v>
      </c>
      <c r="B549" s="17"/>
      <c r="C549" s="63"/>
      <c r="D549" s="63"/>
      <c r="E549" s="63"/>
      <c r="F549" s="63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4" hidden="1" x14ac:dyDescent="0.3">
      <c r="A550" s="17">
        <v>547</v>
      </c>
      <c r="B550" s="17"/>
      <c r="C550" s="63"/>
      <c r="D550" s="63"/>
      <c r="E550" s="63"/>
      <c r="F550" s="63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4" hidden="1" x14ac:dyDescent="0.3">
      <c r="A551" s="17">
        <v>548</v>
      </c>
      <c r="B551" s="17"/>
      <c r="C551" s="63"/>
      <c r="D551" s="63"/>
      <c r="E551" s="63"/>
      <c r="F551" s="63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4" hidden="1" x14ac:dyDescent="0.3">
      <c r="A552" s="17">
        <v>549</v>
      </c>
      <c r="B552" s="17"/>
      <c r="C552" s="63"/>
      <c r="D552" s="63"/>
      <c r="E552" s="63"/>
      <c r="F552" s="63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4" hidden="1" x14ac:dyDescent="0.3">
      <c r="A553" s="17">
        <v>550</v>
      </c>
      <c r="B553" s="17"/>
      <c r="C553" s="63"/>
      <c r="D553" s="63"/>
      <c r="E553" s="63"/>
      <c r="F553" s="63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4" hidden="1" x14ac:dyDescent="0.3">
      <c r="A554" s="17">
        <v>551</v>
      </c>
      <c r="B554" s="17"/>
      <c r="C554" s="63"/>
      <c r="D554" s="63"/>
      <c r="E554" s="63"/>
      <c r="F554" s="63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4" hidden="1" x14ac:dyDescent="0.3">
      <c r="A555" s="17">
        <v>552</v>
      </c>
      <c r="B555" s="17"/>
      <c r="C555" s="63"/>
      <c r="D555" s="63"/>
      <c r="E555" s="63"/>
      <c r="F555" s="63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4" hidden="1" x14ac:dyDescent="0.3">
      <c r="A556" s="17">
        <v>553</v>
      </c>
      <c r="B556" s="17"/>
      <c r="C556" s="63"/>
      <c r="D556" s="63"/>
      <c r="E556" s="63"/>
      <c r="F556" s="63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4" hidden="1" x14ac:dyDescent="0.3">
      <c r="A557" s="17">
        <v>554</v>
      </c>
      <c r="B557" s="17"/>
      <c r="C557" s="63"/>
      <c r="D557" s="63"/>
      <c r="E557" s="63"/>
      <c r="F557" s="63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4" hidden="1" x14ac:dyDescent="0.3">
      <c r="A558" s="17">
        <v>555</v>
      </c>
      <c r="B558" s="17"/>
      <c r="C558" s="63"/>
      <c r="D558" s="63"/>
      <c r="E558" s="63"/>
      <c r="F558" s="63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4" hidden="1" x14ac:dyDescent="0.3">
      <c r="A559" s="17">
        <v>556</v>
      </c>
      <c r="B559" s="17"/>
      <c r="C559" s="63"/>
      <c r="D559" s="63"/>
      <c r="E559" s="63"/>
      <c r="F559" s="63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4" hidden="1" x14ac:dyDescent="0.3">
      <c r="A560" s="17">
        <v>557</v>
      </c>
      <c r="B560" s="17"/>
      <c r="C560" s="63"/>
      <c r="D560" s="63"/>
      <c r="E560" s="63"/>
      <c r="F560" s="63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4" hidden="1" x14ac:dyDescent="0.3">
      <c r="A561" s="17">
        <v>558</v>
      </c>
      <c r="B561" s="17"/>
      <c r="C561" s="63"/>
      <c r="D561" s="63"/>
      <c r="E561" s="63"/>
      <c r="F561" s="63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4" hidden="1" x14ac:dyDescent="0.3">
      <c r="A562" s="17">
        <v>559</v>
      </c>
      <c r="B562" s="17"/>
      <c r="C562" s="63"/>
      <c r="D562" s="63"/>
      <c r="E562" s="63"/>
      <c r="F562" s="63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4" hidden="1" x14ac:dyDescent="0.3">
      <c r="A563" s="17">
        <v>560</v>
      </c>
      <c r="B563" s="17"/>
      <c r="C563" s="63"/>
      <c r="D563" s="63"/>
      <c r="E563" s="63"/>
      <c r="F563" s="63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4" hidden="1" x14ac:dyDescent="0.3">
      <c r="A564" s="17">
        <v>561</v>
      </c>
      <c r="B564" s="17"/>
      <c r="C564" s="63"/>
      <c r="D564" s="63"/>
      <c r="E564" s="63"/>
      <c r="F564" s="63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4" hidden="1" x14ac:dyDescent="0.3">
      <c r="A565" s="17">
        <v>562</v>
      </c>
      <c r="B565" s="17"/>
      <c r="C565" s="63"/>
      <c r="D565" s="63"/>
      <c r="E565" s="63"/>
      <c r="F565" s="63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4" hidden="1" x14ac:dyDescent="0.3">
      <c r="A566" s="17">
        <v>563</v>
      </c>
      <c r="B566" s="17"/>
      <c r="C566" s="63"/>
      <c r="D566" s="63"/>
      <c r="E566" s="63"/>
      <c r="F566" s="63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4" hidden="1" x14ac:dyDescent="0.3">
      <c r="A567" s="17">
        <v>564</v>
      </c>
      <c r="B567" s="17"/>
      <c r="C567" s="63"/>
      <c r="D567" s="63"/>
      <c r="E567" s="63"/>
      <c r="F567" s="63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4" hidden="1" x14ac:dyDescent="0.3">
      <c r="A568" s="17">
        <v>565</v>
      </c>
      <c r="B568" s="17"/>
      <c r="C568" s="63"/>
      <c r="D568" s="63"/>
      <c r="E568" s="63"/>
      <c r="F568" s="63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4" hidden="1" x14ac:dyDescent="0.3">
      <c r="A569" s="17">
        <v>566</v>
      </c>
      <c r="B569" s="17"/>
      <c r="C569" s="63"/>
      <c r="D569" s="63"/>
      <c r="E569" s="63"/>
      <c r="F569" s="63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4" hidden="1" x14ac:dyDescent="0.3">
      <c r="A570" s="17">
        <v>567</v>
      </c>
      <c r="B570" s="17"/>
      <c r="C570" s="63"/>
      <c r="D570" s="63"/>
      <c r="E570" s="63"/>
      <c r="F570" s="63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4" hidden="1" x14ac:dyDescent="0.3">
      <c r="A571" s="17">
        <v>568</v>
      </c>
      <c r="B571" s="17"/>
      <c r="C571" s="63"/>
      <c r="D571" s="63"/>
      <c r="E571" s="63"/>
      <c r="F571" s="63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4" hidden="1" x14ac:dyDescent="0.3">
      <c r="A572" s="17">
        <v>569</v>
      </c>
      <c r="B572" s="17"/>
      <c r="C572" s="63"/>
      <c r="D572" s="63"/>
      <c r="E572" s="63"/>
      <c r="F572" s="63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4" hidden="1" x14ac:dyDescent="0.3">
      <c r="A573" s="17">
        <v>570</v>
      </c>
      <c r="B573" s="17"/>
      <c r="C573" s="63"/>
      <c r="D573" s="63"/>
      <c r="E573" s="63"/>
      <c r="F573" s="63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4" hidden="1" x14ac:dyDescent="0.3">
      <c r="A574" s="17">
        <v>571</v>
      </c>
      <c r="B574" s="17"/>
      <c r="C574" s="63"/>
      <c r="D574" s="63"/>
      <c r="E574" s="63"/>
      <c r="F574" s="63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4" hidden="1" x14ac:dyDescent="0.3">
      <c r="A575" s="17">
        <v>572</v>
      </c>
      <c r="B575" s="17"/>
      <c r="C575" s="63"/>
      <c r="D575" s="63"/>
      <c r="E575" s="63"/>
      <c r="F575" s="63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4" hidden="1" x14ac:dyDescent="0.3">
      <c r="A576" s="17">
        <v>573</v>
      </c>
      <c r="B576" s="17"/>
      <c r="C576" s="63"/>
      <c r="D576" s="63"/>
      <c r="E576" s="63"/>
      <c r="F576" s="63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4" hidden="1" x14ac:dyDescent="0.3">
      <c r="A577" s="17">
        <v>574</v>
      </c>
      <c r="B577" s="17"/>
      <c r="C577" s="63"/>
      <c r="D577" s="63"/>
      <c r="E577" s="63"/>
      <c r="F577" s="63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4" hidden="1" x14ac:dyDescent="0.3">
      <c r="A578" s="17">
        <v>575</v>
      </c>
      <c r="B578" s="17"/>
      <c r="C578" s="63"/>
      <c r="D578" s="63"/>
      <c r="E578" s="63"/>
      <c r="F578" s="63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4" hidden="1" x14ac:dyDescent="0.3">
      <c r="A579" s="17">
        <v>576</v>
      </c>
      <c r="B579" s="17"/>
      <c r="C579" s="63"/>
      <c r="D579" s="63"/>
      <c r="E579" s="63"/>
      <c r="F579" s="63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4" hidden="1" x14ac:dyDescent="0.3">
      <c r="A580" s="17">
        <v>577</v>
      </c>
      <c r="B580" s="17"/>
      <c r="C580" s="63"/>
      <c r="D580" s="63"/>
      <c r="E580" s="63"/>
      <c r="F580" s="63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4" hidden="1" x14ac:dyDescent="0.3">
      <c r="A581" s="17">
        <v>578</v>
      </c>
      <c r="B581" s="17"/>
      <c r="C581" s="63"/>
      <c r="D581" s="63"/>
      <c r="E581" s="63"/>
      <c r="F581" s="63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4" hidden="1" x14ac:dyDescent="0.3">
      <c r="A582" s="17">
        <v>579</v>
      </c>
      <c r="B582" s="17"/>
      <c r="C582" s="63"/>
      <c r="D582" s="63"/>
      <c r="E582" s="63"/>
      <c r="F582" s="63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4" hidden="1" x14ac:dyDescent="0.3">
      <c r="A583" s="17">
        <v>580</v>
      </c>
      <c r="B583" s="17"/>
      <c r="C583" s="63"/>
      <c r="D583" s="63"/>
      <c r="E583" s="63"/>
      <c r="F583" s="63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4" hidden="1" x14ac:dyDescent="0.3">
      <c r="A584" s="17">
        <v>581</v>
      </c>
      <c r="B584" s="17"/>
      <c r="C584" s="63"/>
      <c r="D584" s="63"/>
      <c r="E584" s="63"/>
      <c r="F584" s="63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4" hidden="1" x14ac:dyDescent="0.3">
      <c r="A585" s="17">
        <v>582</v>
      </c>
      <c r="B585" s="17"/>
      <c r="C585" s="63"/>
      <c r="D585" s="63"/>
      <c r="E585" s="63"/>
      <c r="F585" s="63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4" hidden="1" x14ac:dyDescent="0.3">
      <c r="A586" s="17">
        <v>583</v>
      </c>
      <c r="B586" s="17"/>
      <c r="C586" s="63"/>
      <c r="D586" s="63"/>
      <c r="E586" s="63"/>
      <c r="F586" s="63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4" hidden="1" x14ac:dyDescent="0.3">
      <c r="A587" s="17">
        <v>584</v>
      </c>
      <c r="B587" s="17"/>
      <c r="C587" s="63"/>
      <c r="D587" s="63"/>
      <c r="E587" s="63"/>
      <c r="F587" s="63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4" hidden="1" x14ac:dyDescent="0.3">
      <c r="A588" s="17">
        <v>585</v>
      </c>
      <c r="B588" s="17"/>
      <c r="C588" s="63"/>
      <c r="D588" s="63"/>
      <c r="E588" s="63"/>
      <c r="F588" s="63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4" hidden="1" x14ac:dyDescent="0.3">
      <c r="A589" s="17">
        <v>586</v>
      </c>
      <c r="B589" s="17"/>
      <c r="C589" s="63"/>
      <c r="D589" s="63"/>
      <c r="E589" s="63"/>
      <c r="F589" s="63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4" hidden="1" x14ac:dyDescent="0.3">
      <c r="A590" s="17">
        <v>587</v>
      </c>
      <c r="B590" s="17"/>
      <c r="C590" s="63"/>
      <c r="D590" s="63"/>
      <c r="E590" s="63"/>
      <c r="F590" s="63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4" hidden="1" x14ac:dyDescent="0.3">
      <c r="A591" s="17">
        <v>588</v>
      </c>
      <c r="B591" s="17"/>
      <c r="C591" s="63"/>
      <c r="D591" s="63"/>
      <c r="E591" s="63"/>
      <c r="F591" s="63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4" hidden="1" x14ac:dyDescent="0.3">
      <c r="A592" s="17">
        <v>589</v>
      </c>
      <c r="B592" s="17"/>
      <c r="C592" s="63"/>
      <c r="D592" s="63"/>
      <c r="E592" s="63"/>
      <c r="F592" s="63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4" hidden="1" x14ac:dyDescent="0.3">
      <c r="A593" s="17">
        <v>590</v>
      </c>
      <c r="B593" s="17"/>
      <c r="C593" s="63"/>
      <c r="D593" s="63"/>
      <c r="E593" s="63"/>
      <c r="F593" s="63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4" hidden="1" x14ac:dyDescent="0.3">
      <c r="A594" s="17">
        <v>591</v>
      </c>
      <c r="B594" s="17"/>
      <c r="C594" s="63"/>
      <c r="D594" s="63"/>
      <c r="E594" s="63"/>
      <c r="F594" s="63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4" hidden="1" x14ac:dyDescent="0.3">
      <c r="A595" s="17">
        <v>592</v>
      </c>
      <c r="B595" s="17"/>
      <c r="C595" s="63"/>
      <c r="D595" s="63"/>
      <c r="E595" s="63"/>
      <c r="F595" s="63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4" hidden="1" x14ac:dyDescent="0.3">
      <c r="A596" s="17">
        <v>593</v>
      </c>
      <c r="B596" s="17"/>
      <c r="C596" s="63"/>
      <c r="D596" s="63"/>
      <c r="E596" s="63"/>
      <c r="F596" s="63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4" hidden="1" x14ac:dyDescent="0.3">
      <c r="A597" s="17">
        <v>594</v>
      </c>
      <c r="B597" s="17"/>
      <c r="C597" s="63"/>
      <c r="D597" s="63"/>
      <c r="E597" s="63"/>
      <c r="F597" s="63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4" hidden="1" x14ac:dyDescent="0.3">
      <c r="A598" s="17">
        <v>595</v>
      </c>
      <c r="B598" s="17"/>
      <c r="C598" s="63"/>
      <c r="D598" s="63"/>
      <c r="E598" s="63"/>
      <c r="F598" s="63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4" hidden="1" x14ac:dyDescent="0.3">
      <c r="A599" s="17">
        <v>596</v>
      </c>
      <c r="B599" s="17"/>
      <c r="C599" s="63"/>
      <c r="D599" s="63"/>
      <c r="E599" s="63"/>
      <c r="F599" s="63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4" hidden="1" x14ac:dyDescent="0.3">
      <c r="A600" s="17">
        <v>597</v>
      </c>
      <c r="B600" s="17"/>
      <c r="C600" s="63"/>
      <c r="D600" s="63"/>
      <c r="E600" s="63"/>
      <c r="F600" s="63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4" hidden="1" x14ac:dyDescent="0.3">
      <c r="A601" s="17">
        <v>598</v>
      </c>
      <c r="B601" s="17"/>
      <c r="C601" s="63"/>
      <c r="D601" s="63"/>
      <c r="E601" s="63"/>
      <c r="F601" s="63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4" hidden="1" x14ac:dyDescent="0.3">
      <c r="A602" s="17">
        <v>599</v>
      </c>
      <c r="B602" s="17"/>
      <c r="C602" s="63"/>
      <c r="D602" s="63"/>
      <c r="E602" s="63"/>
      <c r="F602" s="63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4" hidden="1" x14ac:dyDescent="0.3">
      <c r="A603" s="17">
        <v>600</v>
      </c>
      <c r="B603" s="17"/>
      <c r="C603" s="63"/>
      <c r="D603" s="63"/>
      <c r="E603" s="63"/>
      <c r="F603" s="63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4" hidden="1" x14ac:dyDescent="0.3">
      <c r="A604" s="17">
        <v>601</v>
      </c>
      <c r="B604" s="17"/>
      <c r="C604" s="63"/>
      <c r="D604" s="63"/>
      <c r="E604" s="63"/>
      <c r="F604" s="63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4" hidden="1" x14ac:dyDescent="0.3">
      <c r="A605" s="17">
        <v>602</v>
      </c>
      <c r="B605" s="17"/>
      <c r="C605" s="63"/>
      <c r="D605" s="63"/>
      <c r="E605" s="63"/>
      <c r="F605" s="63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4" hidden="1" x14ac:dyDescent="0.3">
      <c r="A606" s="17">
        <v>603</v>
      </c>
      <c r="B606" s="17"/>
      <c r="C606" s="63"/>
      <c r="D606" s="63"/>
      <c r="E606" s="63"/>
      <c r="F606" s="63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4" hidden="1" x14ac:dyDescent="0.3">
      <c r="A607" s="17">
        <v>604</v>
      </c>
      <c r="B607" s="17"/>
      <c r="C607" s="63"/>
      <c r="D607" s="63"/>
      <c r="E607" s="63"/>
      <c r="F607" s="63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4" hidden="1" x14ac:dyDescent="0.3">
      <c r="A608" s="17">
        <v>605</v>
      </c>
      <c r="B608" s="17"/>
      <c r="C608" s="63"/>
      <c r="D608" s="63"/>
      <c r="E608" s="63"/>
      <c r="F608" s="63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4" hidden="1" x14ac:dyDescent="0.3">
      <c r="A609" s="17">
        <v>606</v>
      </c>
      <c r="B609" s="17"/>
      <c r="C609" s="63"/>
      <c r="D609" s="63"/>
      <c r="E609" s="63"/>
      <c r="F609" s="63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4" hidden="1" x14ac:dyDescent="0.3">
      <c r="A610" s="17">
        <v>607</v>
      </c>
      <c r="B610" s="17"/>
      <c r="C610" s="63"/>
      <c r="D610" s="63"/>
      <c r="E610" s="63"/>
      <c r="F610" s="63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4" hidden="1" x14ac:dyDescent="0.3">
      <c r="A611" s="17">
        <v>608</v>
      </c>
      <c r="B611" s="17"/>
      <c r="C611" s="63"/>
      <c r="D611" s="63"/>
      <c r="E611" s="63"/>
      <c r="F611" s="63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4" hidden="1" x14ac:dyDescent="0.3">
      <c r="A612" s="17">
        <v>609</v>
      </c>
      <c r="B612" s="17"/>
      <c r="C612" s="63"/>
      <c r="D612" s="63"/>
      <c r="E612" s="63"/>
      <c r="F612" s="63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4" hidden="1" x14ac:dyDescent="0.3">
      <c r="A613" s="17">
        <v>610</v>
      </c>
      <c r="B613" s="17"/>
      <c r="C613" s="63"/>
      <c r="D613" s="63"/>
      <c r="E613" s="63"/>
      <c r="F613" s="63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4" hidden="1" x14ac:dyDescent="0.3">
      <c r="A614" s="17">
        <v>611</v>
      </c>
      <c r="B614" s="17"/>
      <c r="C614" s="63"/>
      <c r="D614" s="63"/>
      <c r="E614" s="63"/>
      <c r="F614" s="63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4" hidden="1" x14ac:dyDescent="0.3">
      <c r="A615" s="17">
        <v>612</v>
      </c>
      <c r="B615" s="17"/>
      <c r="C615" s="63"/>
      <c r="D615" s="63"/>
      <c r="E615" s="63"/>
      <c r="F615" s="63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4" hidden="1" x14ac:dyDescent="0.3">
      <c r="A616" s="17">
        <v>613</v>
      </c>
      <c r="B616" s="17"/>
      <c r="C616" s="63"/>
      <c r="D616" s="63"/>
      <c r="E616" s="63"/>
      <c r="F616" s="63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4" hidden="1" x14ac:dyDescent="0.3">
      <c r="A617" s="17">
        <v>614</v>
      </c>
      <c r="B617" s="17"/>
      <c r="C617" s="63"/>
      <c r="D617" s="63"/>
      <c r="E617" s="63"/>
      <c r="F617" s="63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4" hidden="1" x14ac:dyDescent="0.3">
      <c r="A618" s="17">
        <v>615</v>
      </c>
      <c r="B618" s="17"/>
      <c r="C618" s="63"/>
      <c r="D618" s="63"/>
      <c r="E618" s="63"/>
      <c r="F618" s="63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4" hidden="1" x14ac:dyDescent="0.3">
      <c r="A619" s="17">
        <v>616</v>
      </c>
      <c r="B619" s="17"/>
      <c r="C619" s="63"/>
      <c r="D619" s="63"/>
      <c r="E619" s="63"/>
      <c r="F619" s="63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4" hidden="1" x14ac:dyDescent="0.3">
      <c r="A620" s="17">
        <v>617</v>
      </c>
      <c r="B620" s="17"/>
      <c r="C620" s="63"/>
      <c r="D620" s="63"/>
      <c r="E620" s="63"/>
      <c r="F620" s="63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4" hidden="1" x14ac:dyDescent="0.3">
      <c r="A621" s="17">
        <v>618</v>
      </c>
      <c r="B621" s="17"/>
      <c r="C621" s="63"/>
      <c r="D621" s="63"/>
      <c r="E621" s="63"/>
      <c r="F621" s="63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4" hidden="1" x14ac:dyDescent="0.3">
      <c r="A622" s="17">
        <v>619</v>
      </c>
      <c r="B622" s="17"/>
      <c r="C622" s="63"/>
      <c r="D622" s="63"/>
      <c r="E622" s="63"/>
      <c r="F622" s="63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4" hidden="1" x14ac:dyDescent="0.3">
      <c r="A623" s="17">
        <v>620</v>
      </c>
      <c r="B623" s="17"/>
      <c r="C623" s="63"/>
      <c r="D623" s="63"/>
      <c r="E623" s="63"/>
      <c r="F623" s="63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4" hidden="1" x14ac:dyDescent="0.3">
      <c r="A624" s="17">
        <v>621</v>
      </c>
      <c r="B624" s="17"/>
      <c r="C624" s="63"/>
      <c r="D624" s="63"/>
      <c r="E624" s="63"/>
      <c r="F624" s="63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4" hidden="1" x14ac:dyDescent="0.3">
      <c r="A625" s="17">
        <v>622</v>
      </c>
      <c r="B625" s="17"/>
      <c r="C625" s="63"/>
      <c r="D625" s="63"/>
      <c r="E625" s="63"/>
      <c r="F625" s="63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4" hidden="1" x14ac:dyDescent="0.3">
      <c r="A626" s="17">
        <v>623</v>
      </c>
      <c r="B626" s="17"/>
      <c r="C626" s="63"/>
      <c r="D626" s="63"/>
      <c r="E626" s="63"/>
      <c r="F626" s="63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4" hidden="1" x14ac:dyDescent="0.3">
      <c r="A627" s="17">
        <v>624</v>
      </c>
      <c r="B627" s="17"/>
      <c r="C627" s="63"/>
      <c r="D627" s="63"/>
      <c r="E627" s="63"/>
      <c r="F627" s="63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4" hidden="1" x14ac:dyDescent="0.3">
      <c r="A628" s="17">
        <v>625</v>
      </c>
      <c r="B628" s="17"/>
      <c r="C628" s="63"/>
      <c r="D628" s="63"/>
      <c r="E628" s="63"/>
      <c r="F628" s="63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4" hidden="1" x14ac:dyDescent="0.3">
      <c r="A629" s="17">
        <v>626</v>
      </c>
      <c r="B629" s="17"/>
      <c r="C629" s="63"/>
      <c r="D629" s="63"/>
      <c r="E629" s="63"/>
      <c r="F629" s="63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4" hidden="1" x14ac:dyDescent="0.3">
      <c r="A630" s="17">
        <v>627</v>
      </c>
      <c r="B630" s="17"/>
      <c r="C630" s="63"/>
      <c r="D630" s="63"/>
      <c r="E630" s="63"/>
      <c r="F630" s="63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4" hidden="1" x14ac:dyDescent="0.3">
      <c r="A631" s="17">
        <v>628</v>
      </c>
      <c r="B631" s="17"/>
      <c r="C631" s="63"/>
      <c r="D631" s="63"/>
      <c r="E631" s="63"/>
      <c r="F631" s="63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4" hidden="1" x14ac:dyDescent="0.3">
      <c r="A632" s="17">
        <v>629</v>
      </c>
      <c r="B632" s="17"/>
      <c r="C632" s="63"/>
      <c r="D632" s="63"/>
      <c r="E632" s="63"/>
      <c r="F632" s="63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4" hidden="1" x14ac:dyDescent="0.3">
      <c r="A633" s="17">
        <v>630</v>
      </c>
      <c r="B633" s="17"/>
      <c r="C633" s="63"/>
      <c r="D633" s="63"/>
      <c r="E633" s="63"/>
      <c r="F633" s="63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4" hidden="1" x14ac:dyDescent="0.3">
      <c r="A634" s="17">
        <v>631</v>
      </c>
      <c r="B634" s="17"/>
      <c r="C634" s="63"/>
      <c r="D634" s="63"/>
      <c r="E634" s="63"/>
      <c r="F634" s="63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4" hidden="1" x14ac:dyDescent="0.3">
      <c r="A635" s="17">
        <v>632</v>
      </c>
      <c r="B635" s="17"/>
      <c r="C635" s="63"/>
      <c r="D635" s="63"/>
      <c r="E635" s="63"/>
      <c r="F635" s="63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4" hidden="1" x14ac:dyDescent="0.3">
      <c r="A636" s="17">
        <v>633</v>
      </c>
      <c r="B636" s="17"/>
      <c r="C636" s="63"/>
      <c r="D636" s="63"/>
      <c r="E636" s="63"/>
      <c r="F636" s="63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4" hidden="1" x14ac:dyDescent="0.3">
      <c r="A637" s="17">
        <v>634</v>
      </c>
      <c r="B637" s="17"/>
      <c r="C637" s="63"/>
      <c r="D637" s="63"/>
      <c r="E637" s="63"/>
      <c r="F637" s="63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4" hidden="1" x14ac:dyDescent="0.3">
      <c r="A638" s="17">
        <v>635</v>
      </c>
      <c r="B638" s="17"/>
      <c r="C638" s="63"/>
      <c r="D638" s="63"/>
      <c r="E638" s="63"/>
      <c r="F638" s="63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4" hidden="1" x14ac:dyDescent="0.3">
      <c r="A639" s="17">
        <v>636</v>
      </c>
      <c r="B639" s="17"/>
      <c r="C639" s="63"/>
      <c r="D639" s="63"/>
      <c r="E639" s="63"/>
      <c r="F639" s="63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4" hidden="1" x14ac:dyDescent="0.3">
      <c r="A640" s="17">
        <v>637</v>
      </c>
      <c r="B640" s="17"/>
      <c r="C640" s="63"/>
      <c r="D640" s="63"/>
      <c r="E640" s="63"/>
      <c r="F640" s="63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4" hidden="1" x14ac:dyDescent="0.3">
      <c r="A641" s="17">
        <v>638</v>
      </c>
      <c r="B641" s="17"/>
      <c r="C641" s="63"/>
      <c r="D641" s="63"/>
      <c r="E641" s="63"/>
      <c r="F641" s="63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4" hidden="1" x14ac:dyDescent="0.3">
      <c r="A642" s="17">
        <v>639</v>
      </c>
      <c r="B642" s="17"/>
      <c r="C642" s="63"/>
      <c r="D642" s="63"/>
      <c r="E642" s="63"/>
      <c r="F642" s="63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4" hidden="1" x14ac:dyDescent="0.3">
      <c r="A643" s="17">
        <v>640</v>
      </c>
      <c r="B643" s="17"/>
      <c r="C643" s="63"/>
      <c r="D643" s="63"/>
      <c r="E643" s="63"/>
      <c r="F643" s="63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4" hidden="1" x14ac:dyDescent="0.3">
      <c r="A644" s="17">
        <v>641</v>
      </c>
      <c r="B644" s="17"/>
      <c r="C644" s="63"/>
      <c r="D644" s="63"/>
      <c r="E644" s="63"/>
      <c r="F644" s="63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4" hidden="1" x14ac:dyDescent="0.3">
      <c r="A645" s="17">
        <v>642</v>
      </c>
      <c r="B645" s="17"/>
      <c r="C645" s="63"/>
      <c r="D645" s="63"/>
      <c r="E645" s="63"/>
      <c r="F645" s="63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4" hidden="1" x14ac:dyDescent="0.3">
      <c r="A646" s="17">
        <v>643</v>
      </c>
      <c r="B646" s="17"/>
      <c r="C646" s="63"/>
      <c r="D646" s="63"/>
      <c r="E646" s="63"/>
      <c r="F646" s="63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4" hidden="1" x14ac:dyDescent="0.3">
      <c r="A647" s="17">
        <v>644</v>
      </c>
      <c r="B647" s="17"/>
      <c r="C647" s="63"/>
      <c r="D647" s="63"/>
      <c r="E647" s="63"/>
      <c r="F647" s="63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4" hidden="1" x14ac:dyDescent="0.3">
      <c r="A648" s="17">
        <v>645</v>
      </c>
      <c r="B648" s="17"/>
      <c r="C648" s="63"/>
      <c r="D648" s="63"/>
      <c r="E648" s="63"/>
      <c r="F648" s="63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4" hidden="1" x14ac:dyDescent="0.3">
      <c r="A649" s="17">
        <v>646</v>
      </c>
      <c r="B649" s="17"/>
      <c r="C649" s="63"/>
      <c r="D649" s="63"/>
      <c r="E649" s="63"/>
      <c r="F649" s="63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4" hidden="1" x14ac:dyDescent="0.3">
      <c r="A650" s="17">
        <v>647</v>
      </c>
      <c r="B650" s="17"/>
      <c r="C650" s="63"/>
      <c r="D650" s="63"/>
      <c r="E650" s="63"/>
      <c r="F650" s="63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4" hidden="1" x14ac:dyDescent="0.3">
      <c r="A651" s="17">
        <v>648</v>
      </c>
      <c r="B651" s="17"/>
      <c r="C651" s="63"/>
      <c r="D651" s="63"/>
      <c r="E651" s="63"/>
      <c r="F651" s="63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4" hidden="1" x14ac:dyDescent="0.3">
      <c r="A652" s="17">
        <v>649</v>
      </c>
      <c r="B652" s="17"/>
      <c r="C652" s="63"/>
      <c r="D652" s="63"/>
      <c r="E652" s="63"/>
      <c r="F652" s="63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4" hidden="1" x14ac:dyDescent="0.3">
      <c r="A653" s="17">
        <v>650</v>
      </c>
      <c r="B653" s="17"/>
      <c r="C653" s="63"/>
      <c r="D653" s="63"/>
      <c r="E653" s="63"/>
      <c r="F653" s="63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4" hidden="1" x14ac:dyDescent="0.3">
      <c r="A654" s="17">
        <v>651</v>
      </c>
      <c r="B654" s="17"/>
      <c r="C654" s="63"/>
      <c r="D654" s="63"/>
      <c r="E654" s="63"/>
      <c r="F654" s="63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4" hidden="1" x14ac:dyDescent="0.3">
      <c r="A655" s="17">
        <v>652</v>
      </c>
      <c r="B655" s="17"/>
      <c r="C655" s="63"/>
      <c r="D655" s="63"/>
      <c r="E655" s="63"/>
      <c r="F655" s="63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4" hidden="1" x14ac:dyDescent="0.3">
      <c r="A656" s="17">
        <v>653</v>
      </c>
      <c r="B656" s="17"/>
      <c r="C656" s="63"/>
      <c r="D656" s="63"/>
      <c r="E656" s="63"/>
      <c r="F656" s="63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4" hidden="1" x14ac:dyDescent="0.3">
      <c r="A657" s="17">
        <v>654</v>
      </c>
      <c r="B657" s="17"/>
      <c r="C657" s="63"/>
      <c r="D657" s="63"/>
      <c r="E657" s="63"/>
      <c r="F657" s="63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4" hidden="1" x14ac:dyDescent="0.3">
      <c r="A658" s="17">
        <v>655</v>
      </c>
      <c r="B658" s="17"/>
      <c r="C658" s="63"/>
      <c r="D658" s="63"/>
      <c r="E658" s="63"/>
      <c r="F658" s="63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4" hidden="1" x14ac:dyDescent="0.3">
      <c r="A659" s="17">
        <v>656</v>
      </c>
      <c r="B659" s="17"/>
      <c r="C659" s="63"/>
      <c r="D659" s="63"/>
      <c r="E659" s="63"/>
      <c r="F659" s="63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4" hidden="1" x14ac:dyDescent="0.3">
      <c r="A660" s="17">
        <v>657</v>
      </c>
      <c r="B660" s="17"/>
      <c r="C660" s="63"/>
      <c r="D660" s="63"/>
      <c r="E660" s="63"/>
      <c r="F660" s="63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4" hidden="1" x14ac:dyDescent="0.3">
      <c r="A661" s="17">
        <v>658</v>
      </c>
      <c r="B661" s="17"/>
      <c r="C661" s="63"/>
      <c r="D661" s="63"/>
      <c r="E661" s="63"/>
      <c r="F661" s="63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4" hidden="1" x14ac:dyDescent="0.3">
      <c r="A662" s="17">
        <v>659</v>
      </c>
      <c r="B662" s="17"/>
      <c r="C662" s="63"/>
      <c r="D662" s="63"/>
      <c r="E662" s="63"/>
      <c r="F662" s="63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4" hidden="1" x14ac:dyDescent="0.3">
      <c r="A663" s="17">
        <v>660</v>
      </c>
      <c r="B663" s="17"/>
      <c r="C663" s="63"/>
      <c r="D663" s="63"/>
      <c r="E663" s="63"/>
      <c r="F663" s="63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4" hidden="1" x14ac:dyDescent="0.3">
      <c r="A664" s="17">
        <v>661</v>
      </c>
      <c r="B664" s="17"/>
      <c r="C664" s="63"/>
      <c r="D664" s="63"/>
      <c r="E664" s="63"/>
      <c r="F664" s="63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4" hidden="1" x14ac:dyDescent="0.3">
      <c r="A665" s="17">
        <v>662</v>
      </c>
      <c r="B665" s="17"/>
      <c r="C665" s="63"/>
      <c r="D665" s="63"/>
      <c r="E665" s="63"/>
      <c r="F665" s="63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4" hidden="1" x14ac:dyDescent="0.3">
      <c r="A666" s="17">
        <v>663</v>
      </c>
      <c r="B666" s="17"/>
      <c r="C666" s="63"/>
      <c r="D666" s="63"/>
      <c r="E666" s="63"/>
      <c r="F666" s="63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4" hidden="1" x14ac:dyDescent="0.3">
      <c r="A667" s="17">
        <v>664</v>
      </c>
      <c r="B667" s="17"/>
      <c r="C667" s="63"/>
      <c r="D667" s="63"/>
      <c r="E667" s="63"/>
      <c r="F667" s="63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4" hidden="1" x14ac:dyDescent="0.3">
      <c r="A668" s="17">
        <v>665</v>
      </c>
      <c r="B668" s="17"/>
      <c r="C668" s="63"/>
      <c r="D668" s="63"/>
      <c r="E668" s="63"/>
      <c r="F668" s="63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4" hidden="1" x14ac:dyDescent="0.3">
      <c r="A669" s="17">
        <v>666</v>
      </c>
      <c r="B669" s="17"/>
      <c r="C669" s="63"/>
      <c r="D669" s="63"/>
      <c r="E669" s="63"/>
      <c r="F669" s="63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4" hidden="1" x14ac:dyDescent="0.3">
      <c r="A670" s="17">
        <v>667</v>
      </c>
      <c r="B670" s="17"/>
      <c r="C670" s="63"/>
      <c r="D670" s="63"/>
      <c r="E670" s="63"/>
      <c r="F670" s="63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4" hidden="1" x14ac:dyDescent="0.3">
      <c r="A671" s="17">
        <v>668</v>
      </c>
      <c r="B671" s="17"/>
      <c r="C671" s="63"/>
      <c r="D671" s="63"/>
      <c r="E671" s="63"/>
      <c r="F671" s="63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4" hidden="1" x14ac:dyDescent="0.3">
      <c r="A672" s="17">
        <v>669</v>
      </c>
      <c r="B672" s="17"/>
      <c r="C672" s="63"/>
      <c r="D672" s="63"/>
      <c r="E672" s="63"/>
      <c r="F672" s="63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4" hidden="1" x14ac:dyDescent="0.3">
      <c r="A673" s="17">
        <v>670</v>
      </c>
      <c r="B673" s="17"/>
      <c r="C673" s="63"/>
      <c r="D673" s="63"/>
      <c r="E673" s="63"/>
      <c r="F673" s="63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4" hidden="1" x14ac:dyDescent="0.3">
      <c r="A674" s="17">
        <v>671</v>
      </c>
      <c r="B674" s="17"/>
      <c r="C674" s="63"/>
      <c r="D674" s="63"/>
      <c r="E674" s="63"/>
      <c r="F674" s="63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4" hidden="1" x14ac:dyDescent="0.3">
      <c r="A675" s="17">
        <v>672</v>
      </c>
      <c r="B675" s="17"/>
      <c r="C675" s="63"/>
      <c r="D675" s="63"/>
      <c r="E675" s="63"/>
      <c r="F675" s="63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4" hidden="1" x14ac:dyDescent="0.3">
      <c r="A676" s="17">
        <v>673</v>
      </c>
      <c r="B676" s="17"/>
      <c r="C676" s="63"/>
      <c r="D676" s="63"/>
      <c r="E676" s="63"/>
      <c r="F676" s="63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4" hidden="1" x14ac:dyDescent="0.3">
      <c r="A677" s="17">
        <v>674</v>
      </c>
      <c r="B677" s="17"/>
      <c r="C677" s="63"/>
      <c r="D677" s="63"/>
      <c r="E677" s="63"/>
      <c r="F677" s="63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4" hidden="1" x14ac:dyDescent="0.3">
      <c r="A678" s="17">
        <v>675</v>
      </c>
      <c r="B678" s="17"/>
      <c r="C678" s="63"/>
      <c r="D678" s="63"/>
      <c r="E678" s="63"/>
      <c r="F678" s="63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4" hidden="1" x14ac:dyDescent="0.3">
      <c r="A679" s="17">
        <v>676</v>
      </c>
      <c r="B679" s="17"/>
      <c r="C679" s="63"/>
      <c r="D679" s="63"/>
      <c r="E679" s="63"/>
      <c r="F679" s="63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4" hidden="1" x14ac:dyDescent="0.3">
      <c r="A680" s="17">
        <v>677</v>
      </c>
      <c r="B680" s="17"/>
      <c r="C680" s="63"/>
      <c r="D680" s="63"/>
      <c r="E680" s="63"/>
      <c r="F680" s="63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4" hidden="1" x14ac:dyDescent="0.3">
      <c r="A681" s="17">
        <v>678</v>
      </c>
      <c r="B681" s="17"/>
      <c r="C681" s="63"/>
      <c r="D681" s="63"/>
      <c r="E681" s="63"/>
      <c r="F681" s="63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4" hidden="1" x14ac:dyDescent="0.3">
      <c r="A682" s="17">
        <v>679</v>
      </c>
      <c r="B682" s="17"/>
      <c r="C682" s="63"/>
      <c r="D682" s="63"/>
      <c r="E682" s="63"/>
      <c r="F682" s="63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4" hidden="1" x14ac:dyDescent="0.3">
      <c r="A683" s="17">
        <v>680</v>
      </c>
      <c r="B683" s="17"/>
      <c r="C683" s="63"/>
      <c r="D683" s="63"/>
      <c r="E683" s="63"/>
      <c r="F683" s="63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4" hidden="1" x14ac:dyDescent="0.3">
      <c r="A684" s="17">
        <v>681</v>
      </c>
      <c r="B684" s="17"/>
      <c r="C684" s="63"/>
      <c r="D684" s="63"/>
      <c r="E684" s="63"/>
      <c r="F684" s="63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4" hidden="1" x14ac:dyDescent="0.3">
      <c r="A685" s="17">
        <v>682</v>
      </c>
      <c r="B685" s="17"/>
      <c r="C685" s="63"/>
      <c r="D685" s="63"/>
      <c r="E685" s="63"/>
      <c r="F685" s="63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4" hidden="1" x14ac:dyDescent="0.3">
      <c r="A686" s="17">
        <v>683</v>
      </c>
      <c r="B686" s="17"/>
      <c r="C686" s="63"/>
      <c r="D686" s="63"/>
      <c r="E686" s="63"/>
      <c r="F686" s="63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4" hidden="1" x14ac:dyDescent="0.3">
      <c r="A687" s="17">
        <v>684</v>
      </c>
      <c r="B687" s="17"/>
      <c r="C687" s="63"/>
      <c r="D687" s="63"/>
      <c r="E687" s="63"/>
      <c r="F687" s="63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4" hidden="1" x14ac:dyDescent="0.3">
      <c r="A688" s="17">
        <v>685</v>
      </c>
      <c r="B688" s="17"/>
      <c r="C688" s="63"/>
      <c r="D688" s="63"/>
      <c r="E688" s="63"/>
      <c r="F688" s="63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4" hidden="1" x14ac:dyDescent="0.3">
      <c r="A689" s="17">
        <v>686</v>
      </c>
      <c r="B689" s="17"/>
      <c r="C689" s="63"/>
      <c r="D689" s="63"/>
      <c r="E689" s="63"/>
      <c r="F689" s="63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4" hidden="1" x14ac:dyDescent="0.3">
      <c r="A690" s="17">
        <v>687</v>
      </c>
      <c r="B690" s="17"/>
      <c r="C690" s="63"/>
      <c r="D690" s="63"/>
      <c r="E690" s="63"/>
      <c r="F690" s="63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4" hidden="1" x14ac:dyDescent="0.3">
      <c r="A691" s="17">
        <v>688</v>
      </c>
      <c r="B691" s="17"/>
      <c r="C691" s="63"/>
      <c r="D691" s="63"/>
      <c r="E691" s="63"/>
      <c r="F691" s="63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4" hidden="1" x14ac:dyDescent="0.3">
      <c r="A692" s="17">
        <v>689</v>
      </c>
      <c r="B692" s="17"/>
      <c r="C692" s="63"/>
      <c r="D692" s="63"/>
      <c r="E692" s="63"/>
      <c r="F692" s="63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4" hidden="1" x14ac:dyDescent="0.3">
      <c r="A693" s="17">
        <v>690</v>
      </c>
      <c r="B693" s="17"/>
      <c r="C693" s="63"/>
      <c r="D693" s="63"/>
      <c r="E693" s="63"/>
      <c r="F693" s="63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4" hidden="1" x14ac:dyDescent="0.3">
      <c r="A694" s="17">
        <v>691</v>
      </c>
      <c r="B694" s="17"/>
      <c r="C694" s="63"/>
      <c r="D694" s="63"/>
      <c r="E694" s="63"/>
      <c r="F694" s="63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4" hidden="1" x14ac:dyDescent="0.3">
      <c r="A695" s="17">
        <v>692</v>
      </c>
      <c r="B695" s="17"/>
      <c r="C695" s="63"/>
      <c r="D695" s="63"/>
      <c r="E695" s="63"/>
      <c r="F695" s="63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4" hidden="1" x14ac:dyDescent="0.3">
      <c r="A696" s="17">
        <v>693</v>
      </c>
      <c r="B696" s="17"/>
      <c r="C696" s="63"/>
      <c r="D696" s="63"/>
      <c r="E696" s="63"/>
      <c r="F696" s="63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4" hidden="1" x14ac:dyDescent="0.3">
      <c r="A697" s="17">
        <v>694</v>
      </c>
      <c r="B697" s="17"/>
      <c r="C697" s="63"/>
      <c r="D697" s="63"/>
      <c r="E697" s="63"/>
      <c r="F697" s="63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4" hidden="1" x14ac:dyDescent="0.3">
      <c r="A698" s="17">
        <v>695</v>
      </c>
      <c r="B698" s="17"/>
      <c r="C698" s="63"/>
      <c r="D698" s="63"/>
      <c r="E698" s="63"/>
      <c r="F698" s="63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4" hidden="1" x14ac:dyDescent="0.3">
      <c r="A699" s="17">
        <v>696</v>
      </c>
      <c r="B699" s="17"/>
      <c r="C699" s="63"/>
      <c r="D699" s="63"/>
      <c r="E699" s="63"/>
      <c r="F699" s="63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4" hidden="1" x14ac:dyDescent="0.3">
      <c r="A700" s="17">
        <v>697</v>
      </c>
      <c r="B700" s="17"/>
      <c r="C700" s="63"/>
      <c r="D700" s="63"/>
      <c r="E700" s="63"/>
      <c r="F700" s="63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4" hidden="1" x14ac:dyDescent="0.3">
      <c r="A701" s="17">
        <v>698</v>
      </c>
      <c r="B701" s="17"/>
      <c r="C701" s="63"/>
      <c r="D701" s="63"/>
      <c r="E701" s="63"/>
      <c r="F701" s="63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4" hidden="1" x14ac:dyDescent="0.3">
      <c r="A702" s="17">
        <v>699</v>
      </c>
      <c r="B702" s="17"/>
      <c r="C702" s="63"/>
      <c r="D702" s="63"/>
      <c r="E702" s="63"/>
      <c r="F702" s="63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4" hidden="1" x14ac:dyDescent="0.3">
      <c r="A703" s="17">
        <v>700</v>
      </c>
      <c r="B703" s="17"/>
      <c r="C703" s="63"/>
      <c r="D703" s="63"/>
      <c r="E703" s="63"/>
      <c r="F703" s="63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4" hidden="1" x14ac:dyDescent="0.3">
      <c r="A704" s="17">
        <v>701</v>
      </c>
      <c r="B704" s="17"/>
      <c r="C704" s="63"/>
      <c r="D704" s="63"/>
      <c r="E704" s="63"/>
      <c r="F704" s="63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4" hidden="1" x14ac:dyDescent="0.3">
      <c r="A705" s="17">
        <v>702</v>
      </c>
      <c r="B705" s="17"/>
      <c r="C705" s="63"/>
      <c r="D705" s="63"/>
      <c r="E705" s="63"/>
      <c r="F705" s="63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4" hidden="1" x14ac:dyDescent="0.3">
      <c r="A706" s="17">
        <v>703</v>
      </c>
      <c r="B706" s="17"/>
      <c r="C706" s="63"/>
      <c r="D706" s="63"/>
      <c r="E706" s="63"/>
      <c r="F706" s="63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4" hidden="1" x14ac:dyDescent="0.3">
      <c r="A707" s="17">
        <v>704</v>
      </c>
      <c r="B707" s="17"/>
      <c r="C707" s="63"/>
      <c r="D707" s="63"/>
      <c r="E707" s="63"/>
      <c r="F707" s="63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4" hidden="1" x14ac:dyDescent="0.3">
      <c r="A708" s="17">
        <v>705</v>
      </c>
      <c r="B708" s="17"/>
      <c r="C708" s="63"/>
      <c r="D708" s="63"/>
      <c r="E708" s="63"/>
      <c r="F708" s="63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4" hidden="1" x14ac:dyDescent="0.3">
      <c r="A709" s="17">
        <v>706</v>
      </c>
      <c r="B709" s="17"/>
      <c r="C709" s="63"/>
      <c r="D709" s="63"/>
      <c r="E709" s="63"/>
      <c r="F709" s="63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4" hidden="1" x14ac:dyDescent="0.3">
      <c r="A710" s="17">
        <v>707</v>
      </c>
      <c r="B710" s="17"/>
      <c r="C710" s="63"/>
      <c r="D710" s="63"/>
      <c r="E710" s="63"/>
      <c r="F710" s="63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4" hidden="1" x14ac:dyDescent="0.3">
      <c r="A711" s="17">
        <v>708</v>
      </c>
      <c r="B711" s="17"/>
      <c r="C711" s="63"/>
      <c r="D711" s="63"/>
      <c r="E711" s="63"/>
      <c r="F711" s="63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4" hidden="1" x14ac:dyDescent="0.3">
      <c r="A712" s="17">
        <v>709</v>
      </c>
      <c r="B712" s="17"/>
      <c r="C712" s="63"/>
      <c r="D712" s="63"/>
      <c r="E712" s="63"/>
      <c r="F712" s="63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4" hidden="1" x14ac:dyDescent="0.3">
      <c r="A713" s="17">
        <v>710</v>
      </c>
      <c r="B713" s="17"/>
      <c r="C713" s="63"/>
      <c r="D713" s="63"/>
      <c r="E713" s="63"/>
      <c r="F713" s="63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4" hidden="1" x14ac:dyDescent="0.3">
      <c r="A714" s="17">
        <v>711</v>
      </c>
      <c r="B714" s="17"/>
      <c r="C714" s="63"/>
      <c r="D714" s="63"/>
      <c r="E714" s="63"/>
      <c r="F714" s="63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4" hidden="1" x14ac:dyDescent="0.3">
      <c r="A715" s="17">
        <v>712</v>
      </c>
      <c r="B715" s="17"/>
      <c r="C715" s="63"/>
      <c r="D715" s="63"/>
      <c r="E715" s="63"/>
      <c r="F715" s="63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4" hidden="1" x14ac:dyDescent="0.3">
      <c r="A716" s="17">
        <v>713</v>
      </c>
      <c r="B716" s="17"/>
      <c r="C716" s="63"/>
      <c r="D716" s="63"/>
      <c r="E716" s="63"/>
      <c r="F716" s="63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4" hidden="1" x14ac:dyDescent="0.3">
      <c r="A717" s="17">
        <v>714</v>
      </c>
      <c r="B717" s="17"/>
      <c r="C717" s="63"/>
      <c r="D717" s="63"/>
      <c r="E717" s="63"/>
      <c r="F717" s="63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4" hidden="1" x14ac:dyDescent="0.3">
      <c r="A718" s="17">
        <v>715</v>
      </c>
      <c r="B718" s="17"/>
      <c r="C718" s="63"/>
      <c r="D718" s="63"/>
      <c r="E718" s="63"/>
      <c r="F718" s="63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4" hidden="1" x14ac:dyDescent="0.3">
      <c r="A719" s="17">
        <v>716</v>
      </c>
      <c r="B719" s="17"/>
      <c r="C719" s="63"/>
      <c r="D719" s="63"/>
      <c r="E719" s="63"/>
      <c r="F719" s="63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4" hidden="1" x14ac:dyDescent="0.3">
      <c r="A720" s="17">
        <v>717</v>
      </c>
      <c r="B720" s="17"/>
      <c r="C720" s="63"/>
      <c r="D720" s="63"/>
      <c r="E720" s="63"/>
      <c r="F720" s="63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4" hidden="1" x14ac:dyDescent="0.3">
      <c r="A721" s="17">
        <v>718</v>
      </c>
      <c r="B721" s="17"/>
      <c r="C721" s="63"/>
      <c r="D721" s="63"/>
      <c r="E721" s="63"/>
      <c r="F721" s="63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4" hidden="1" x14ac:dyDescent="0.3">
      <c r="A722" s="17">
        <v>719</v>
      </c>
      <c r="B722" s="17"/>
      <c r="C722" s="63"/>
      <c r="D722" s="63"/>
      <c r="E722" s="63"/>
      <c r="F722" s="63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4" hidden="1" x14ac:dyDescent="0.3">
      <c r="A723" s="17">
        <v>720</v>
      </c>
      <c r="B723" s="17"/>
      <c r="C723" s="63"/>
      <c r="D723" s="63"/>
      <c r="E723" s="63"/>
      <c r="F723" s="63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4" hidden="1" x14ac:dyDescent="0.3">
      <c r="A724" s="17">
        <v>721</v>
      </c>
      <c r="B724" s="17"/>
      <c r="C724" s="63"/>
      <c r="D724" s="63"/>
      <c r="E724" s="63"/>
      <c r="F724" s="63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4" hidden="1" x14ac:dyDescent="0.3">
      <c r="A725" s="17">
        <v>722</v>
      </c>
      <c r="B725" s="17"/>
      <c r="C725" s="63"/>
      <c r="D725" s="63"/>
      <c r="E725" s="63"/>
      <c r="F725" s="63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4" hidden="1" x14ac:dyDescent="0.3">
      <c r="A726" s="17">
        <v>723</v>
      </c>
      <c r="B726" s="17"/>
      <c r="C726" s="63"/>
      <c r="D726" s="63"/>
      <c r="E726" s="63"/>
      <c r="F726" s="63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4" hidden="1" x14ac:dyDescent="0.3">
      <c r="A727" s="17">
        <v>724</v>
      </c>
      <c r="B727" s="17"/>
      <c r="C727" s="63"/>
      <c r="D727" s="63"/>
      <c r="E727" s="63"/>
      <c r="F727" s="63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4" hidden="1" x14ac:dyDescent="0.3">
      <c r="A728" s="17">
        <v>725</v>
      </c>
      <c r="B728" s="17"/>
      <c r="C728" s="63"/>
      <c r="D728" s="63"/>
      <c r="E728" s="63"/>
      <c r="F728" s="63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4" hidden="1" x14ac:dyDescent="0.3">
      <c r="A729" s="17">
        <v>726</v>
      </c>
      <c r="B729" s="17"/>
      <c r="C729" s="63"/>
      <c r="D729" s="63"/>
      <c r="E729" s="63"/>
      <c r="F729" s="63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4" hidden="1" x14ac:dyDescent="0.3">
      <c r="A730" s="17">
        <v>727</v>
      </c>
      <c r="B730" s="17"/>
      <c r="C730" s="63"/>
      <c r="D730" s="63"/>
      <c r="E730" s="63"/>
      <c r="F730" s="63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4" hidden="1" x14ac:dyDescent="0.3">
      <c r="A731" s="17">
        <v>728</v>
      </c>
      <c r="B731" s="17"/>
      <c r="C731" s="63"/>
      <c r="D731" s="63"/>
      <c r="E731" s="63"/>
      <c r="F731" s="63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4" hidden="1" x14ac:dyDescent="0.3">
      <c r="A732" s="17">
        <v>729</v>
      </c>
      <c r="B732" s="17"/>
      <c r="C732" s="63"/>
      <c r="D732" s="63"/>
      <c r="E732" s="63"/>
      <c r="F732" s="63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4" hidden="1" x14ac:dyDescent="0.3">
      <c r="A733" s="17">
        <v>730</v>
      </c>
      <c r="B733" s="17"/>
      <c r="C733" s="63"/>
      <c r="D733" s="63"/>
      <c r="E733" s="63"/>
      <c r="F733" s="63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4" hidden="1" x14ac:dyDescent="0.3">
      <c r="A734" s="17">
        <v>731</v>
      </c>
      <c r="B734" s="17"/>
      <c r="C734" s="63"/>
      <c r="D734" s="63"/>
      <c r="E734" s="63"/>
      <c r="F734" s="63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4" hidden="1" x14ac:dyDescent="0.3">
      <c r="A735" s="17">
        <v>732</v>
      </c>
      <c r="B735" s="17"/>
      <c r="C735" s="63"/>
      <c r="D735" s="63"/>
      <c r="E735" s="63"/>
      <c r="F735" s="63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4" hidden="1" x14ac:dyDescent="0.3">
      <c r="A736" s="17">
        <v>733</v>
      </c>
      <c r="B736" s="17"/>
      <c r="C736" s="63"/>
      <c r="D736" s="63"/>
      <c r="E736" s="63"/>
      <c r="F736" s="63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4" hidden="1" x14ac:dyDescent="0.3">
      <c r="A737" s="17">
        <v>734</v>
      </c>
      <c r="B737" s="17"/>
      <c r="C737" s="63"/>
      <c r="D737" s="63"/>
      <c r="E737" s="63"/>
      <c r="F737" s="63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4" hidden="1" x14ac:dyDescent="0.3">
      <c r="A738" s="17">
        <v>735</v>
      </c>
      <c r="B738" s="17"/>
      <c r="C738" s="63"/>
      <c r="D738" s="63"/>
      <c r="E738" s="63"/>
      <c r="F738" s="63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4" hidden="1" x14ac:dyDescent="0.3">
      <c r="A739" s="17">
        <v>736</v>
      </c>
      <c r="B739" s="17"/>
      <c r="C739" s="63"/>
      <c r="D739" s="63"/>
      <c r="E739" s="63"/>
      <c r="F739" s="63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4" hidden="1" x14ac:dyDescent="0.3">
      <c r="A740" s="17">
        <v>737</v>
      </c>
      <c r="B740" s="17"/>
      <c r="C740" s="63"/>
      <c r="D740" s="63"/>
      <c r="E740" s="63"/>
      <c r="F740" s="63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4" hidden="1" x14ac:dyDescent="0.3">
      <c r="A741" s="17">
        <v>738</v>
      </c>
      <c r="B741" s="17"/>
      <c r="C741" s="63"/>
      <c r="D741" s="63"/>
      <c r="E741" s="63"/>
      <c r="F741" s="63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4" hidden="1" x14ac:dyDescent="0.3">
      <c r="A742" s="17">
        <v>739</v>
      </c>
      <c r="B742" s="17"/>
      <c r="C742" s="63"/>
      <c r="D742" s="63"/>
      <c r="E742" s="63"/>
      <c r="F742" s="63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4" hidden="1" x14ac:dyDescent="0.3">
      <c r="A743" s="17">
        <v>740</v>
      </c>
      <c r="B743" s="17"/>
      <c r="C743" s="63"/>
      <c r="D743" s="63"/>
      <c r="E743" s="63"/>
      <c r="F743" s="63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4" hidden="1" x14ac:dyDescent="0.3">
      <c r="A744" s="17">
        <v>741</v>
      </c>
      <c r="B744" s="17"/>
      <c r="C744" s="63"/>
      <c r="D744" s="63"/>
      <c r="E744" s="63"/>
      <c r="F744" s="63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4" hidden="1" x14ac:dyDescent="0.3">
      <c r="A745" s="17">
        <v>742</v>
      </c>
      <c r="B745" s="17"/>
      <c r="C745" s="63"/>
      <c r="D745" s="63"/>
      <c r="E745" s="63"/>
      <c r="F745" s="63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4" hidden="1" x14ac:dyDescent="0.3">
      <c r="A746" s="17">
        <v>743</v>
      </c>
      <c r="B746" s="17"/>
      <c r="C746" s="63"/>
      <c r="D746" s="63"/>
      <c r="E746" s="63"/>
      <c r="F746" s="63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4" hidden="1" x14ac:dyDescent="0.3">
      <c r="A747" s="17">
        <v>744</v>
      </c>
      <c r="B747" s="17"/>
      <c r="C747" s="63"/>
      <c r="D747" s="63"/>
      <c r="E747" s="63"/>
      <c r="F747" s="63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4" hidden="1" x14ac:dyDescent="0.3">
      <c r="A748" s="17">
        <v>745</v>
      </c>
      <c r="B748" s="17"/>
      <c r="C748" s="63"/>
      <c r="D748" s="63"/>
      <c r="E748" s="63"/>
      <c r="F748" s="63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4" hidden="1" x14ac:dyDescent="0.3">
      <c r="A749" s="17">
        <v>746</v>
      </c>
      <c r="B749" s="17"/>
      <c r="C749" s="63"/>
      <c r="D749" s="63"/>
      <c r="E749" s="63"/>
      <c r="F749" s="63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4" hidden="1" x14ac:dyDescent="0.3">
      <c r="A750" s="17">
        <v>747</v>
      </c>
      <c r="B750" s="17"/>
      <c r="C750" s="63"/>
      <c r="D750" s="63"/>
      <c r="E750" s="63"/>
      <c r="F750" s="63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4" hidden="1" x14ac:dyDescent="0.3">
      <c r="A751" s="17">
        <v>748</v>
      </c>
      <c r="B751" s="17"/>
      <c r="C751" s="63"/>
      <c r="D751" s="63"/>
      <c r="E751" s="63"/>
      <c r="F751" s="63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4" hidden="1" x14ac:dyDescent="0.3">
      <c r="A752" s="17">
        <v>749</v>
      </c>
      <c r="B752" s="17"/>
      <c r="C752" s="63"/>
      <c r="D752" s="63"/>
      <c r="E752" s="63"/>
      <c r="F752" s="63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4" hidden="1" x14ac:dyDescent="0.3">
      <c r="A753" s="17">
        <v>750</v>
      </c>
      <c r="B753" s="17"/>
      <c r="C753" s="63"/>
      <c r="D753" s="63"/>
      <c r="E753" s="63"/>
      <c r="F753" s="63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4" hidden="1" x14ac:dyDescent="0.3">
      <c r="A754" s="17">
        <v>751</v>
      </c>
      <c r="B754" s="17"/>
      <c r="C754" s="63"/>
      <c r="D754" s="63"/>
      <c r="E754" s="63"/>
      <c r="F754" s="63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4" hidden="1" x14ac:dyDescent="0.3">
      <c r="A755" s="17">
        <v>752</v>
      </c>
      <c r="B755" s="17"/>
      <c r="C755" s="63"/>
      <c r="D755" s="63"/>
      <c r="E755" s="63"/>
      <c r="F755" s="63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4" hidden="1" x14ac:dyDescent="0.3">
      <c r="A756" s="17">
        <v>753</v>
      </c>
      <c r="B756" s="17"/>
      <c r="C756" s="63"/>
      <c r="D756" s="63"/>
      <c r="E756" s="63"/>
      <c r="F756" s="63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4" hidden="1" x14ac:dyDescent="0.3">
      <c r="A757" s="17">
        <v>754</v>
      </c>
      <c r="B757" s="17"/>
      <c r="C757" s="63"/>
      <c r="D757" s="63"/>
      <c r="E757" s="63"/>
      <c r="F757" s="63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4" hidden="1" x14ac:dyDescent="0.3">
      <c r="A758" s="17">
        <v>755</v>
      </c>
      <c r="B758" s="17"/>
      <c r="C758" s="63"/>
      <c r="D758" s="63"/>
      <c r="E758" s="63"/>
      <c r="F758" s="63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4" hidden="1" x14ac:dyDescent="0.3">
      <c r="A759" s="17">
        <v>756</v>
      </c>
      <c r="B759" s="17"/>
      <c r="C759" s="63"/>
      <c r="D759" s="63"/>
      <c r="E759" s="63"/>
      <c r="F759" s="63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4" hidden="1" x14ac:dyDescent="0.3">
      <c r="A760" s="17">
        <v>757</v>
      </c>
      <c r="B760" s="17"/>
      <c r="C760" s="63"/>
      <c r="D760" s="63"/>
      <c r="E760" s="63"/>
      <c r="F760" s="63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4" hidden="1" x14ac:dyDescent="0.3">
      <c r="A761" s="17">
        <v>758</v>
      </c>
      <c r="B761" s="17"/>
      <c r="C761" s="63"/>
      <c r="D761" s="63"/>
      <c r="E761" s="63"/>
      <c r="F761" s="63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4" hidden="1" x14ac:dyDescent="0.3">
      <c r="A762" s="17">
        <v>759</v>
      </c>
      <c r="B762" s="17"/>
      <c r="C762" s="63"/>
      <c r="D762" s="63"/>
      <c r="E762" s="63"/>
      <c r="F762" s="63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4" hidden="1" x14ac:dyDescent="0.3">
      <c r="A763" s="17">
        <v>760</v>
      </c>
      <c r="B763" s="17"/>
      <c r="C763" s="63"/>
      <c r="D763" s="63"/>
      <c r="E763" s="63"/>
      <c r="F763" s="63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4" hidden="1" x14ac:dyDescent="0.3">
      <c r="A764" s="17">
        <v>761</v>
      </c>
      <c r="B764" s="17"/>
      <c r="C764" s="63"/>
      <c r="D764" s="63"/>
      <c r="E764" s="63"/>
      <c r="F764" s="63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4" hidden="1" x14ac:dyDescent="0.3">
      <c r="A765" s="17">
        <v>762</v>
      </c>
      <c r="B765" s="17"/>
      <c r="C765" s="63"/>
      <c r="D765" s="63"/>
      <c r="E765" s="63"/>
      <c r="F765" s="63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4" hidden="1" x14ac:dyDescent="0.3">
      <c r="A766" s="17">
        <v>763</v>
      </c>
      <c r="B766" s="17"/>
      <c r="C766" s="63"/>
      <c r="D766" s="63"/>
      <c r="E766" s="63"/>
      <c r="F766" s="63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4" hidden="1" x14ac:dyDescent="0.3">
      <c r="A767" s="17">
        <v>764</v>
      </c>
      <c r="B767" s="17"/>
      <c r="C767" s="63"/>
      <c r="D767" s="63"/>
      <c r="E767" s="63"/>
      <c r="F767" s="63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4" hidden="1" x14ac:dyDescent="0.3">
      <c r="A768" s="17">
        <v>765</v>
      </c>
      <c r="B768" s="17"/>
      <c r="C768" s="63"/>
      <c r="D768" s="63"/>
      <c r="E768" s="63"/>
      <c r="F768" s="63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4" hidden="1" x14ac:dyDescent="0.3">
      <c r="A769" s="17">
        <v>766</v>
      </c>
      <c r="B769" s="17"/>
      <c r="C769" s="63"/>
      <c r="D769" s="63"/>
      <c r="E769" s="63"/>
      <c r="F769" s="63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4" hidden="1" x14ac:dyDescent="0.3">
      <c r="A770" s="17">
        <v>767</v>
      </c>
      <c r="B770" s="17"/>
      <c r="C770" s="63"/>
      <c r="D770" s="63"/>
      <c r="E770" s="63"/>
      <c r="F770" s="63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4" hidden="1" x14ac:dyDescent="0.3">
      <c r="A771" s="17">
        <v>768</v>
      </c>
      <c r="B771" s="17"/>
      <c r="C771" s="63"/>
      <c r="D771" s="63"/>
      <c r="E771" s="63"/>
      <c r="F771" s="63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4" hidden="1" x14ac:dyDescent="0.3">
      <c r="A772" s="17">
        <v>769</v>
      </c>
      <c r="B772" s="17"/>
      <c r="C772" s="63"/>
      <c r="D772" s="63"/>
      <c r="E772" s="63"/>
      <c r="F772" s="63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4" hidden="1" x14ac:dyDescent="0.3">
      <c r="A773" s="17">
        <v>770</v>
      </c>
      <c r="B773" s="17"/>
      <c r="C773" s="63"/>
      <c r="D773" s="63"/>
      <c r="E773" s="63"/>
      <c r="F773" s="63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4" hidden="1" x14ac:dyDescent="0.3">
      <c r="A774" s="17">
        <v>771</v>
      </c>
      <c r="B774" s="17"/>
      <c r="C774" s="63"/>
      <c r="D774" s="63"/>
      <c r="E774" s="63"/>
      <c r="F774" s="63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4" hidden="1" x14ac:dyDescent="0.3">
      <c r="A775" s="17">
        <v>772</v>
      </c>
      <c r="B775" s="17"/>
      <c r="C775" s="63"/>
      <c r="D775" s="63"/>
      <c r="E775" s="63"/>
      <c r="F775" s="63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4" hidden="1" x14ac:dyDescent="0.3">
      <c r="A776" s="17">
        <v>773</v>
      </c>
      <c r="B776" s="17"/>
      <c r="C776" s="63"/>
      <c r="D776" s="63"/>
      <c r="E776" s="63"/>
      <c r="F776" s="63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4" hidden="1" x14ac:dyDescent="0.3">
      <c r="A777" s="17">
        <v>774</v>
      </c>
      <c r="B777" s="17"/>
      <c r="C777" s="63"/>
      <c r="D777" s="63"/>
      <c r="E777" s="63"/>
      <c r="F777" s="63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4" hidden="1" x14ac:dyDescent="0.3">
      <c r="A778" s="17">
        <v>775</v>
      </c>
      <c r="B778" s="17"/>
      <c r="C778" s="63"/>
      <c r="D778" s="63"/>
      <c r="E778" s="63"/>
      <c r="F778" s="63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4" hidden="1" x14ac:dyDescent="0.3">
      <c r="A779" s="17">
        <v>776</v>
      </c>
      <c r="B779" s="17"/>
      <c r="C779" s="63"/>
      <c r="D779" s="63"/>
      <c r="E779" s="63"/>
      <c r="F779" s="63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4" hidden="1" x14ac:dyDescent="0.3">
      <c r="A780" s="17">
        <v>777</v>
      </c>
      <c r="B780" s="17"/>
      <c r="C780" s="63"/>
      <c r="D780" s="63"/>
      <c r="E780" s="63"/>
      <c r="F780" s="63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4" hidden="1" x14ac:dyDescent="0.3">
      <c r="A781" s="17">
        <v>778</v>
      </c>
      <c r="B781" s="17"/>
      <c r="C781" s="63"/>
      <c r="D781" s="63"/>
      <c r="E781" s="63"/>
      <c r="F781" s="63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4" hidden="1" x14ac:dyDescent="0.3">
      <c r="A782" s="17">
        <v>779</v>
      </c>
      <c r="B782" s="17"/>
      <c r="C782" s="63"/>
      <c r="D782" s="63"/>
      <c r="E782" s="63"/>
      <c r="F782" s="63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4" hidden="1" x14ac:dyDescent="0.3">
      <c r="A783" s="17">
        <v>780</v>
      </c>
      <c r="B783" s="17"/>
      <c r="C783" s="63"/>
      <c r="D783" s="63"/>
      <c r="E783" s="63"/>
      <c r="F783" s="63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4" hidden="1" x14ac:dyDescent="0.3">
      <c r="A784" s="17">
        <v>781</v>
      </c>
      <c r="B784" s="17"/>
      <c r="C784" s="63"/>
      <c r="D784" s="63"/>
      <c r="E784" s="63"/>
      <c r="F784" s="63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4" hidden="1" x14ac:dyDescent="0.3">
      <c r="A785" s="17">
        <v>782</v>
      </c>
      <c r="B785" s="17"/>
      <c r="C785" s="63"/>
      <c r="D785" s="63"/>
      <c r="E785" s="63"/>
      <c r="F785" s="63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4" hidden="1" x14ac:dyDescent="0.3">
      <c r="A786" s="17">
        <v>783</v>
      </c>
      <c r="B786" s="17"/>
      <c r="C786" s="63"/>
      <c r="D786" s="63"/>
      <c r="E786" s="63"/>
      <c r="F786" s="63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4" hidden="1" x14ac:dyDescent="0.3">
      <c r="A787" s="17">
        <v>784</v>
      </c>
      <c r="B787" s="17"/>
      <c r="C787" s="63"/>
      <c r="D787" s="63"/>
      <c r="E787" s="63"/>
      <c r="F787" s="63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4" hidden="1" x14ac:dyDescent="0.3">
      <c r="A788" s="17">
        <v>785</v>
      </c>
      <c r="B788" s="17"/>
      <c r="C788" s="63"/>
      <c r="D788" s="63"/>
      <c r="E788" s="63"/>
      <c r="F788" s="63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4" hidden="1" x14ac:dyDescent="0.3">
      <c r="A789" s="17">
        <v>786</v>
      </c>
      <c r="B789" s="17"/>
      <c r="C789" s="63"/>
      <c r="D789" s="63"/>
      <c r="E789" s="63"/>
      <c r="F789" s="63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4" hidden="1" x14ac:dyDescent="0.3">
      <c r="A790" s="17">
        <v>787</v>
      </c>
      <c r="B790" s="17"/>
      <c r="C790" s="63"/>
      <c r="D790" s="63"/>
      <c r="E790" s="63"/>
      <c r="F790" s="63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4" hidden="1" x14ac:dyDescent="0.3">
      <c r="A791" s="17">
        <v>788</v>
      </c>
      <c r="B791" s="17"/>
      <c r="C791" s="63"/>
      <c r="D791" s="63"/>
      <c r="E791" s="63"/>
      <c r="F791" s="63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4" hidden="1" x14ac:dyDescent="0.3">
      <c r="A792" s="17">
        <v>789</v>
      </c>
      <c r="B792" s="17"/>
      <c r="C792" s="63"/>
      <c r="D792" s="63"/>
      <c r="E792" s="63"/>
      <c r="F792" s="63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4" hidden="1" x14ac:dyDescent="0.3">
      <c r="A793" s="17">
        <v>790</v>
      </c>
      <c r="B793" s="17"/>
      <c r="C793" s="63"/>
      <c r="D793" s="63"/>
      <c r="E793" s="63"/>
      <c r="F793" s="63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4" hidden="1" x14ac:dyDescent="0.3">
      <c r="A794" s="17">
        <v>791</v>
      </c>
      <c r="B794" s="17"/>
      <c r="C794" s="63"/>
      <c r="D794" s="63"/>
      <c r="E794" s="63"/>
      <c r="F794" s="63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4" hidden="1" x14ac:dyDescent="0.3">
      <c r="A795" s="17">
        <v>792</v>
      </c>
      <c r="B795" s="17"/>
      <c r="C795" s="63"/>
      <c r="D795" s="63"/>
      <c r="E795" s="63"/>
      <c r="F795" s="63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4" hidden="1" x14ac:dyDescent="0.3">
      <c r="A796" s="17">
        <v>793</v>
      </c>
      <c r="B796" s="17"/>
      <c r="C796" s="63"/>
      <c r="D796" s="63"/>
      <c r="E796" s="63"/>
      <c r="F796" s="63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4" hidden="1" x14ac:dyDescent="0.3">
      <c r="A797" s="17">
        <v>794</v>
      </c>
      <c r="B797" s="17"/>
      <c r="C797" s="63"/>
      <c r="D797" s="63"/>
      <c r="E797" s="63"/>
      <c r="F797" s="63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4" hidden="1" x14ac:dyDescent="0.3">
      <c r="A798" s="17">
        <v>795</v>
      </c>
      <c r="B798" s="17"/>
      <c r="C798" s="63"/>
      <c r="D798" s="63"/>
      <c r="E798" s="63"/>
      <c r="F798" s="63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4" hidden="1" x14ac:dyDescent="0.3">
      <c r="A799" s="17">
        <v>796</v>
      </c>
      <c r="B799" s="17"/>
      <c r="C799" s="63"/>
      <c r="D799" s="63"/>
      <c r="E799" s="63"/>
      <c r="F799" s="63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4" hidden="1" x14ac:dyDescent="0.3">
      <c r="A800" s="17">
        <v>797</v>
      </c>
      <c r="B800" s="17"/>
      <c r="C800" s="63"/>
      <c r="D800" s="63"/>
      <c r="E800" s="63"/>
      <c r="F800" s="63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4" hidden="1" x14ac:dyDescent="0.3">
      <c r="A801" s="17">
        <v>798</v>
      </c>
      <c r="B801" s="17"/>
      <c r="C801" s="63"/>
      <c r="D801" s="63"/>
      <c r="E801" s="63"/>
      <c r="F801" s="63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4" hidden="1" x14ac:dyDescent="0.3">
      <c r="A802" s="17">
        <v>799</v>
      </c>
      <c r="B802" s="17"/>
      <c r="C802" s="63"/>
      <c r="D802" s="63"/>
      <c r="E802" s="63"/>
      <c r="F802" s="63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4" hidden="1" x14ac:dyDescent="0.3">
      <c r="A803" s="17">
        <v>800</v>
      </c>
      <c r="B803" s="17"/>
      <c r="C803" s="63"/>
      <c r="D803" s="63"/>
      <c r="E803" s="63"/>
      <c r="F803" s="63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4" hidden="1" x14ac:dyDescent="0.3">
      <c r="A804" s="17">
        <v>801</v>
      </c>
      <c r="B804" s="17"/>
      <c r="C804" s="63"/>
      <c r="D804" s="63"/>
      <c r="E804" s="63"/>
      <c r="F804" s="63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4" hidden="1" x14ac:dyDescent="0.3">
      <c r="A805" s="17">
        <v>802</v>
      </c>
      <c r="B805" s="17"/>
      <c r="C805" s="63"/>
      <c r="D805" s="63"/>
      <c r="E805" s="63"/>
      <c r="F805" s="63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4" hidden="1" x14ac:dyDescent="0.3">
      <c r="A806" s="17">
        <v>803</v>
      </c>
      <c r="B806" s="17"/>
      <c r="C806" s="63"/>
      <c r="D806" s="63"/>
      <c r="E806" s="63"/>
      <c r="F806" s="63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4" hidden="1" x14ac:dyDescent="0.3">
      <c r="A807" s="17">
        <v>804</v>
      </c>
      <c r="B807" s="17"/>
      <c r="C807" s="63"/>
      <c r="D807" s="63"/>
      <c r="E807" s="63"/>
      <c r="F807" s="63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4" hidden="1" x14ac:dyDescent="0.3">
      <c r="A808" s="17">
        <v>805</v>
      </c>
      <c r="B808" s="17"/>
      <c r="C808" s="63"/>
      <c r="D808" s="63"/>
      <c r="E808" s="63"/>
      <c r="F808" s="63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4" hidden="1" x14ac:dyDescent="0.3">
      <c r="A809" s="17">
        <v>806</v>
      </c>
      <c r="B809" s="17"/>
      <c r="C809" s="63"/>
      <c r="D809" s="63"/>
      <c r="E809" s="63"/>
      <c r="F809" s="63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4" hidden="1" x14ac:dyDescent="0.3">
      <c r="A810" s="17">
        <v>807</v>
      </c>
      <c r="B810" s="17"/>
      <c r="C810" s="63"/>
      <c r="D810" s="63"/>
      <c r="E810" s="63"/>
      <c r="F810" s="63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4" hidden="1" x14ac:dyDescent="0.3">
      <c r="A811" s="17">
        <v>808</v>
      </c>
      <c r="B811" s="17"/>
      <c r="C811" s="63"/>
      <c r="D811" s="63"/>
      <c r="E811" s="63"/>
      <c r="F811" s="63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4" hidden="1" x14ac:dyDescent="0.3">
      <c r="A812" s="17">
        <v>809</v>
      </c>
      <c r="B812" s="17"/>
      <c r="C812" s="63"/>
      <c r="D812" s="63"/>
      <c r="E812" s="63"/>
      <c r="F812" s="63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4" hidden="1" x14ac:dyDescent="0.3">
      <c r="A813" s="17">
        <v>810</v>
      </c>
      <c r="B813" s="17"/>
      <c r="C813" s="63"/>
      <c r="D813" s="63"/>
      <c r="E813" s="63"/>
      <c r="F813" s="63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4" hidden="1" x14ac:dyDescent="0.3">
      <c r="A814" s="17">
        <v>811</v>
      </c>
      <c r="B814" s="17"/>
      <c r="C814" s="63"/>
      <c r="D814" s="63"/>
      <c r="E814" s="63"/>
      <c r="F814" s="63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4" hidden="1" x14ac:dyDescent="0.3">
      <c r="A815" s="17">
        <v>812</v>
      </c>
      <c r="B815" s="17"/>
      <c r="C815" s="63"/>
      <c r="D815" s="63"/>
      <c r="E815" s="63"/>
      <c r="F815" s="63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4" hidden="1" x14ac:dyDescent="0.3">
      <c r="A816" s="17">
        <v>813</v>
      </c>
      <c r="B816" s="17"/>
      <c r="C816" s="63"/>
      <c r="D816" s="63"/>
      <c r="E816" s="63"/>
      <c r="F816" s="63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4" hidden="1" x14ac:dyDescent="0.3">
      <c r="A817" s="17">
        <v>814</v>
      </c>
      <c r="B817" s="17"/>
      <c r="C817" s="63"/>
      <c r="D817" s="63"/>
      <c r="E817" s="63"/>
      <c r="F817" s="63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4" hidden="1" x14ac:dyDescent="0.3">
      <c r="A818" s="17">
        <v>815</v>
      </c>
      <c r="B818" s="17"/>
      <c r="C818" s="63"/>
      <c r="D818" s="63"/>
      <c r="E818" s="63"/>
      <c r="F818" s="63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4" hidden="1" x14ac:dyDescent="0.3">
      <c r="A819" s="17">
        <v>816</v>
      </c>
      <c r="B819" s="17"/>
      <c r="C819" s="63"/>
      <c r="D819" s="63"/>
      <c r="E819" s="63"/>
      <c r="F819" s="63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4" hidden="1" x14ac:dyDescent="0.3">
      <c r="A820" s="17">
        <v>817</v>
      </c>
      <c r="B820" s="17"/>
      <c r="C820" s="63"/>
      <c r="D820" s="63"/>
      <c r="E820" s="63"/>
      <c r="F820" s="63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4" hidden="1" x14ac:dyDescent="0.3">
      <c r="A821" s="17">
        <v>818</v>
      </c>
      <c r="B821" s="17"/>
      <c r="C821" s="63"/>
      <c r="D821" s="63"/>
      <c r="E821" s="63"/>
      <c r="F821" s="63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4" hidden="1" x14ac:dyDescent="0.3">
      <c r="A822" s="17">
        <v>819</v>
      </c>
      <c r="B822" s="17"/>
      <c r="C822" s="63"/>
      <c r="D822" s="63"/>
      <c r="E822" s="63"/>
      <c r="F822" s="63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4" hidden="1" x14ac:dyDescent="0.3">
      <c r="A823" s="17">
        <v>820</v>
      </c>
      <c r="B823" s="17"/>
      <c r="C823" s="63"/>
      <c r="D823" s="63"/>
      <c r="E823" s="63"/>
      <c r="F823" s="63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4" hidden="1" x14ac:dyDescent="0.3">
      <c r="A824" s="17">
        <v>821</v>
      </c>
      <c r="B824" s="17"/>
      <c r="C824" s="63"/>
      <c r="D824" s="63"/>
      <c r="E824" s="63"/>
      <c r="F824" s="63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4" hidden="1" x14ac:dyDescent="0.3">
      <c r="A825" s="17">
        <v>822</v>
      </c>
      <c r="B825" s="17"/>
      <c r="C825" s="63"/>
      <c r="D825" s="63"/>
      <c r="E825" s="63"/>
      <c r="F825" s="63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4" hidden="1" x14ac:dyDescent="0.3">
      <c r="A826" s="17">
        <v>823</v>
      </c>
      <c r="B826" s="17"/>
      <c r="C826" s="63"/>
      <c r="D826" s="63"/>
      <c r="E826" s="63"/>
      <c r="F826" s="63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4" hidden="1" x14ac:dyDescent="0.3">
      <c r="A827" s="17">
        <v>824</v>
      </c>
      <c r="B827" s="17"/>
      <c r="C827" s="63"/>
      <c r="D827" s="63"/>
      <c r="E827" s="63"/>
      <c r="F827" s="63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4" hidden="1" x14ac:dyDescent="0.3">
      <c r="A828" s="17">
        <v>825</v>
      </c>
      <c r="B828" s="17"/>
      <c r="C828" s="63"/>
      <c r="D828" s="63"/>
      <c r="E828" s="63"/>
      <c r="F828" s="63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4" hidden="1" x14ac:dyDescent="0.3">
      <c r="A829" s="17">
        <v>826</v>
      </c>
      <c r="B829" s="17"/>
      <c r="C829" s="63"/>
      <c r="D829" s="63"/>
      <c r="E829" s="63"/>
      <c r="F829" s="63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4" hidden="1" x14ac:dyDescent="0.3">
      <c r="A830" s="17">
        <v>827</v>
      </c>
      <c r="B830" s="17"/>
      <c r="C830" s="63"/>
      <c r="D830" s="63"/>
      <c r="E830" s="63"/>
      <c r="F830" s="63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4" hidden="1" x14ac:dyDescent="0.3">
      <c r="A831" s="17">
        <v>828</v>
      </c>
      <c r="B831" s="17"/>
      <c r="C831" s="63"/>
      <c r="D831" s="63"/>
      <c r="E831" s="63"/>
      <c r="F831" s="63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4" hidden="1" x14ac:dyDescent="0.3">
      <c r="A832" s="17">
        <v>829</v>
      </c>
      <c r="B832" s="17"/>
      <c r="C832" s="63"/>
      <c r="D832" s="63"/>
      <c r="E832" s="63"/>
      <c r="F832" s="63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4" hidden="1" x14ac:dyDescent="0.3">
      <c r="A833" s="17">
        <v>830</v>
      </c>
      <c r="B833" s="17"/>
      <c r="C833" s="63"/>
      <c r="D833" s="63"/>
      <c r="E833" s="63"/>
      <c r="F833" s="63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4" hidden="1" x14ac:dyDescent="0.3">
      <c r="A834" s="17">
        <v>831</v>
      </c>
      <c r="B834" s="17"/>
      <c r="C834" s="63"/>
      <c r="D834" s="63"/>
      <c r="E834" s="63"/>
      <c r="F834" s="63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4" hidden="1" x14ac:dyDescent="0.3">
      <c r="A835" s="17">
        <v>832</v>
      </c>
      <c r="B835" s="17"/>
      <c r="C835" s="63"/>
      <c r="D835" s="63"/>
      <c r="E835" s="63"/>
      <c r="F835" s="63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4" hidden="1" x14ac:dyDescent="0.3">
      <c r="A836" s="17">
        <v>833</v>
      </c>
      <c r="B836" s="17"/>
      <c r="C836" s="63"/>
      <c r="D836" s="63"/>
      <c r="E836" s="63"/>
      <c r="F836" s="63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4" hidden="1" x14ac:dyDescent="0.3">
      <c r="A837" s="17">
        <v>834</v>
      </c>
      <c r="B837" s="17"/>
      <c r="C837" s="63"/>
      <c r="D837" s="63"/>
      <c r="E837" s="63"/>
      <c r="F837" s="63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4" hidden="1" x14ac:dyDescent="0.3">
      <c r="A838" s="17">
        <v>835</v>
      </c>
      <c r="B838" s="17"/>
      <c r="C838" s="63"/>
      <c r="D838" s="63"/>
      <c r="E838" s="63"/>
      <c r="F838" s="63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4" hidden="1" x14ac:dyDescent="0.3">
      <c r="A839" s="17">
        <v>836</v>
      </c>
      <c r="B839" s="17"/>
      <c r="C839" s="63"/>
      <c r="D839" s="63"/>
      <c r="E839" s="63"/>
      <c r="F839" s="63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4" hidden="1" x14ac:dyDescent="0.3">
      <c r="A840" s="17">
        <v>837</v>
      </c>
      <c r="B840" s="17"/>
      <c r="C840" s="63"/>
      <c r="D840" s="63"/>
      <c r="E840" s="63"/>
      <c r="F840" s="63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4" hidden="1" x14ac:dyDescent="0.3">
      <c r="A841" s="17">
        <v>838</v>
      </c>
      <c r="B841" s="17"/>
      <c r="C841" s="63"/>
      <c r="D841" s="63"/>
      <c r="E841" s="63"/>
      <c r="F841" s="63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4" hidden="1" x14ac:dyDescent="0.3">
      <c r="A842" s="17">
        <v>839</v>
      </c>
      <c r="B842" s="17"/>
      <c r="C842" s="63"/>
      <c r="D842" s="63"/>
      <c r="E842" s="63"/>
      <c r="F842" s="63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4" hidden="1" x14ac:dyDescent="0.3">
      <c r="A843" s="17">
        <v>840</v>
      </c>
      <c r="B843" s="17"/>
      <c r="C843" s="63"/>
      <c r="D843" s="63"/>
      <c r="E843" s="63"/>
      <c r="F843" s="63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4" hidden="1" x14ac:dyDescent="0.3">
      <c r="A844" s="17">
        <v>841</v>
      </c>
      <c r="B844" s="17"/>
      <c r="C844" s="63"/>
      <c r="D844" s="63"/>
      <c r="E844" s="63"/>
      <c r="F844" s="63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4" hidden="1" x14ac:dyDescent="0.3">
      <c r="A845" s="17">
        <v>842</v>
      </c>
      <c r="B845" s="17"/>
      <c r="C845" s="63"/>
      <c r="D845" s="63"/>
      <c r="E845" s="63"/>
      <c r="F845" s="63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4" hidden="1" x14ac:dyDescent="0.3">
      <c r="A846" s="17">
        <v>843</v>
      </c>
      <c r="B846" s="17"/>
      <c r="C846" s="63"/>
      <c r="D846" s="63"/>
      <c r="E846" s="63"/>
      <c r="F846" s="63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4" hidden="1" x14ac:dyDescent="0.3">
      <c r="A847" s="17">
        <v>844</v>
      </c>
      <c r="B847" s="17"/>
      <c r="C847" s="63"/>
      <c r="D847" s="63"/>
      <c r="E847" s="63"/>
      <c r="F847" s="63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4" hidden="1" x14ac:dyDescent="0.3">
      <c r="A848" s="17">
        <v>845</v>
      </c>
      <c r="B848" s="17"/>
      <c r="C848" s="63"/>
      <c r="D848" s="63"/>
      <c r="E848" s="63"/>
      <c r="F848" s="63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4" hidden="1" x14ac:dyDescent="0.3">
      <c r="A849" s="17">
        <v>846</v>
      </c>
      <c r="B849" s="17"/>
      <c r="C849" s="63"/>
      <c r="D849" s="63"/>
      <c r="E849" s="63"/>
      <c r="F849" s="63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4" hidden="1" x14ac:dyDescent="0.3">
      <c r="A850" s="17">
        <v>847</v>
      </c>
      <c r="B850" s="17"/>
      <c r="C850" s="63"/>
      <c r="D850" s="63"/>
      <c r="E850" s="63"/>
      <c r="F850" s="63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4" hidden="1" x14ac:dyDescent="0.3">
      <c r="A851" s="17">
        <v>848</v>
      </c>
      <c r="B851" s="17"/>
      <c r="C851" s="63"/>
      <c r="D851" s="63"/>
      <c r="E851" s="63"/>
      <c r="F851" s="63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4" hidden="1" x14ac:dyDescent="0.3">
      <c r="A852" s="17">
        <v>849</v>
      </c>
      <c r="B852" s="17"/>
      <c r="C852" s="63"/>
      <c r="D852" s="63"/>
      <c r="E852" s="63"/>
      <c r="F852" s="63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4" hidden="1" x14ac:dyDescent="0.3">
      <c r="A853" s="17">
        <v>850</v>
      </c>
      <c r="B853" s="17"/>
      <c r="C853" s="63"/>
      <c r="D853" s="63"/>
      <c r="E853" s="63"/>
      <c r="F853" s="63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4" hidden="1" x14ac:dyDescent="0.3">
      <c r="A854" s="17">
        <v>851</v>
      </c>
      <c r="B854" s="17"/>
      <c r="C854" s="63"/>
      <c r="D854" s="63"/>
      <c r="E854" s="63"/>
      <c r="F854" s="63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4" hidden="1" x14ac:dyDescent="0.3">
      <c r="A855" s="17">
        <v>852</v>
      </c>
      <c r="B855" s="17"/>
      <c r="C855" s="63"/>
      <c r="D855" s="63"/>
      <c r="E855" s="63"/>
      <c r="F855" s="63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4" hidden="1" x14ac:dyDescent="0.3">
      <c r="A856" s="17">
        <v>853</v>
      </c>
      <c r="B856" s="17"/>
      <c r="C856" s="63"/>
      <c r="D856" s="63"/>
      <c r="E856" s="63"/>
      <c r="F856" s="63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4" hidden="1" x14ac:dyDescent="0.3">
      <c r="A857" s="17">
        <v>854</v>
      </c>
      <c r="B857" s="17"/>
      <c r="C857" s="63"/>
      <c r="D857" s="63"/>
      <c r="E857" s="63"/>
      <c r="F857" s="63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4" hidden="1" x14ac:dyDescent="0.3">
      <c r="A858" s="17">
        <v>855</v>
      </c>
      <c r="B858" s="17"/>
      <c r="C858" s="63"/>
      <c r="D858" s="63"/>
      <c r="E858" s="63"/>
      <c r="F858" s="63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4" hidden="1" x14ac:dyDescent="0.3">
      <c r="A859" s="17">
        <v>856</v>
      </c>
      <c r="B859" s="17"/>
      <c r="C859" s="63"/>
      <c r="D859" s="63"/>
      <c r="E859" s="63"/>
      <c r="F859" s="63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4" hidden="1" x14ac:dyDescent="0.3">
      <c r="A860" s="17">
        <v>857</v>
      </c>
      <c r="B860" s="17"/>
      <c r="C860" s="63"/>
      <c r="D860" s="63"/>
      <c r="E860" s="63"/>
      <c r="F860" s="63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4" hidden="1" x14ac:dyDescent="0.3">
      <c r="A861" s="17">
        <v>858</v>
      </c>
      <c r="B861" s="17"/>
      <c r="C861" s="63"/>
      <c r="D861" s="63"/>
      <c r="E861" s="63"/>
      <c r="F861" s="63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4" hidden="1" x14ac:dyDescent="0.3">
      <c r="A862" s="17">
        <v>859</v>
      </c>
      <c r="B862" s="17"/>
      <c r="C862" s="63"/>
      <c r="D862" s="63"/>
      <c r="E862" s="63"/>
      <c r="F862" s="63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4" hidden="1" x14ac:dyDescent="0.3">
      <c r="A863" s="17">
        <v>860</v>
      </c>
      <c r="B863" s="17"/>
      <c r="C863" s="63"/>
      <c r="D863" s="63"/>
      <c r="E863" s="63"/>
      <c r="F863" s="63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4" hidden="1" x14ac:dyDescent="0.3">
      <c r="A864" s="17">
        <v>861</v>
      </c>
      <c r="B864" s="17"/>
      <c r="C864" s="63"/>
      <c r="D864" s="63"/>
      <c r="E864" s="63"/>
      <c r="F864" s="63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4" hidden="1" x14ac:dyDescent="0.3">
      <c r="A865" s="17">
        <v>862</v>
      </c>
      <c r="B865" s="17"/>
      <c r="C865" s="63"/>
      <c r="D865" s="63"/>
      <c r="E865" s="63"/>
      <c r="F865" s="63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4" hidden="1" x14ac:dyDescent="0.3">
      <c r="A866" s="17">
        <v>863</v>
      </c>
      <c r="B866" s="17"/>
      <c r="C866" s="63"/>
      <c r="D866" s="63"/>
      <c r="E866" s="63"/>
      <c r="F866" s="63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4" hidden="1" x14ac:dyDescent="0.3">
      <c r="A867" s="17">
        <v>864</v>
      </c>
      <c r="B867" s="17"/>
      <c r="C867" s="63"/>
      <c r="D867" s="63"/>
      <c r="E867" s="63"/>
      <c r="F867" s="63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4" hidden="1" x14ac:dyDescent="0.3">
      <c r="A868" s="17">
        <v>865</v>
      </c>
      <c r="B868" s="17"/>
      <c r="C868" s="63"/>
      <c r="D868" s="63"/>
      <c r="E868" s="63"/>
      <c r="F868" s="63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4" hidden="1" x14ac:dyDescent="0.3">
      <c r="A869" s="17">
        <v>866</v>
      </c>
      <c r="B869" s="17"/>
      <c r="C869" s="63"/>
      <c r="D869" s="63"/>
      <c r="E869" s="63"/>
      <c r="F869" s="63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4" hidden="1" x14ac:dyDescent="0.3">
      <c r="A870" s="17">
        <v>867</v>
      </c>
      <c r="B870" s="17"/>
      <c r="C870" s="63"/>
      <c r="D870" s="63"/>
      <c r="E870" s="63"/>
      <c r="F870" s="63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4" hidden="1" x14ac:dyDescent="0.3">
      <c r="A871" s="17">
        <v>868</v>
      </c>
      <c r="B871" s="17"/>
      <c r="C871" s="63"/>
      <c r="D871" s="63"/>
      <c r="E871" s="63"/>
      <c r="F871" s="63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4" hidden="1" x14ac:dyDescent="0.3">
      <c r="A872" s="17">
        <v>869</v>
      </c>
      <c r="B872" s="17"/>
      <c r="C872" s="63"/>
      <c r="D872" s="63"/>
      <c r="E872" s="63"/>
      <c r="F872" s="63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4" hidden="1" x14ac:dyDescent="0.3">
      <c r="A873" s="17">
        <v>870</v>
      </c>
      <c r="B873" s="17"/>
      <c r="C873" s="63"/>
      <c r="D873" s="63"/>
      <c r="E873" s="63"/>
      <c r="F873" s="63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4" hidden="1" x14ac:dyDescent="0.3">
      <c r="A874" s="17">
        <v>871</v>
      </c>
      <c r="B874" s="17"/>
      <c r="C874" s="63"/>
      <c r="D874" s="63"/>
      <c r="E874" s="63"/>
      <c r="F874" s="63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4" hidden="1" x14ac:dyDescent="0.3">
      <c r="A875" s="17">
        <v>872</v>
      </c>
      <c r="B875" s="17"/>
      <c r="C875" s="63"/>
      <c r="D875" s="63"/>
      <c r="E875" s="63"/>
      <c r="F875" s="63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4" hidden="1" x14ac:dyDescent="0.3">
      <c r="A876" s="17">
        <v>873</v>
      </c>
      <c r="B876" s="17"/>
      <c r="C876" s="63"/>
      <c r="D876" s="63"/>
      <c r="E876" s="63"/>
      <c r="F876" s="63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4" hidden="1" x14ac:dyDescent="0.3">
      <c r="A877" s="17">
        <v>874</v>
      </c>
      <c r="B877" s="17"/>
      <c r="C877" s="63"/>
      <c r="D877" s="63"/>
      <c r="E877" s="63"/>
      <c r="F877" s="63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4" hidden="1" x14ac:dyDescent="0.3">
      <c r="A878" s="17">
        <v>875</v>
      </c>
      <c r="B878" s="17"/>
      <c r="C878" s="63"/>
      <c r="D878" s="63"/>
      <c r="E878" s="63"/>
      <c r="F878" s="63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4" hidden="1" x14ac:dyDescent="0.3">
      <c r="A879" s="17">
        <v>876</v>
      </c>
      <c r="B879" s="17"/>
      <c r="C879" s="63"/>
      <c r="D879" s="63"/>
      <c r="E879" s="63"/>
      <c r="F879" s="63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4" hidden="1" x14ac:dyDescent="0.3">
      <c r="A880" s="17">
        <v>877</v>
      </c>
      <c r="B880" s="17"/>
      <c r="C880" s="63"/>
      <c r="D880" s="63"/>
      <c r="E880" s="63"/>
      <c r="F880" s="63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4" hidden="1" x14ac:dyDescent="0.3">
      <c r="A881" s="17">
        <v>878</v>
      </c>
      <c r="B881" s="17"/>
      <c r="C881" s="63"/>
      <c r="D881" s="63"/>
      <c r="E881" s="63"/>
      <c r="F881" s="63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4" hidden="1" x14ac:dyDescent="0.3">
      <c r="A882" s="17">
        <v>879</v>
      </c>
      <c r="B882" s="17"/>
      <c r="C882" s="63"/>
      <c r="D882" s="63"/>
      <c r="E882" s="63"/>
      <c r="F882" s="63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4" hidden="1" x14ac:dyDescent="0.3">
      <c r="A883" s="17">
        <v>880</v>
      </c>
      <c r="B883" s="17"/>
      <c r="C883" s="63"/>
      <c r="D883" s="63"/>
      <c r="E883" s="63"/>
      <c r="F883" s="63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4" hidden="1" x14ac:dyDescent="0.3">
      <c r="A884" s="17">
        <v>881</v>
      </c>
      <c r="B884" s="17"/>
      <c r="C884" s="63"/>
      <c r="D884" s="63"/>
      <c r="E884" s="63"/>
      <c r="F884" s="63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4" hidden="1" x14ac:dyDescent="0.3">
      <c r="A885" s="17">
        <v>882</v>
      </c>
      <c r="B885" s="17"/>
      <c r="C885" s="63"/>
      <c r="D885" s="63"/>
      <c r="E885" s="63"/>
      <c r="F885" s="63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4" hidden="1" x14ac:dyDescent="0.3">
      <c r="A886" s="17">
        <v>883</v>
      </c>
      <c r="B886" s="17"/>
      <c r="C886" s="63"/>
      <c r="D886" s="63"/>
      <c r="E886" s="63"/>
      <c r="F886" s="63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4" hidden="1" x14ac:dyDescent="0.3">
      <c r="A887" s="17">
        <v>884</v>
      </c>
      <c r="B887" s="17"/>
      <c r="C887" s="63"/>
      <c r="D887" s="63"/>
      <c r="E887" s="63"/>
      <c r="F887" s="63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4" hidden="1" x14ac:dyDescent="0.3">
      <c r="A888" s="17">
        <v>885</v>
      </c>
      <c r="B888" s="17"/>
      <c r="C888" s="63"/>
      <c r="D888" s="63"/>
      <c r="E888" s="63"/>
      <c r="F888" s="63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4" hidden="1" x14ac:dyDescent="0.3">
      <c r="A889" s="17">
        <v>886</v>
      </c>
      <c r="B889" s="17"/>
      <c r="C889" s="63"/>
      <c r="D889" s="63"/>
      <c r="E889" s="63"/>
      <c r="F889" s="63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4" hidden="1" x14ac:dyDescent="0.3">
      <c r="A890" s="17">
        <v>887</v>
      </c>
      <c r="B890" s="17"/>
      <c r="C890" s="63"/>
      <c r="D890" s="63"/>
      <c r="E890" s="63"/>
      <c r="F890" s="63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4" hidden="1" x14ac:dyDescent="0.3">
      <c r="A891" s="17">
        <v>888</v>
      </c>
      <c r="B891" s="17"/>
      <c r="C891" s="63"/>
      <c r="D891" s="63"/>
      <c r="E891" s="63"/>
      <c r="F891" s="63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4" hidden="1" x14ac:dyDescent="0.3">
      <c r="A892" s="17">
        <v>889</v>
      </c>
      <c r="B892" s="17"/>
      <c r="C892" s="63"/>
      <c r="D892" s="63"/>
      <c r="E892" s="63"/>
      <c r="F892" s="63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4" hidden="1" x14ac:dyDescent="0.3">
      <c r="A893" s="17">
        <v>890</v>
      </c>
      <c r="B893" s="17"/>
      <c r="C893" s="63"/>
      <c r="D893" s="63"/>
      <c r="E893" s="63"/>
      <c r="F893" s="63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4" hidden="1" x14ac:dyDescent="0.3">
      <c r="A894" s="17">
        <v>891</v>
      </c>
      <c r="B894" s="17"/>
      <c r="C894" s="63"/>
      <c r="D894" s="63"/>
      <c r="E894" s="63"/>
      <c r="F894" s="63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4" hidden="1" x14ac:dyDescent="0.3">
      <c r="A895" s="17">
        <v>892</v>
      </c>
      <c r="B895" s="17"/>
      <c r="C895" s="63"/>
      <c r="D895" s="63"/>
      <c r="E895" s="63"/>
      <c r="F895" s="63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4" hidden="1" x14ac:dyDescent="0.3">
      <c r="A896" s="17">
        <v>893</v>
      </c>
      <c r="B896" s="17"/>
      <c r="C896" s="63"/>
      <c r="D896" s="63"/>
      <c r="E896" s="63"/>
      <c r="F896" s="63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4" hidden="1" x14ac:dyDescent="0.3">
      <c r="A897" s="17">
        <v>894</v>
      </c>
      <c r="B897" s="17"/>
      <c r="C897" s="63"/>
      <c r="D897" s="63"/>
      <c r="E897" s="63"/>
      <c r="F897" s="63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4" hidden="1" x14ac:dyDescent="0.3">
      <c r="A898" s="17">
        <v>895</v>
      </c>
      <c r="B898" s="17"/>
      <c r="C898" s="63"/>
      <c r="D898" s="63"/>
      <c r="E898" s="63"/>
      <c r="F898" s="63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4" hidden="1" x14ac:dyDescent="0.3">
      <c r="A899" s="17">
        <v>896</v>
      </c>
      <c r="B899" s="17"/>
      <c r="C899" s="63"/>
      <c r="D899" s="63"/>
      <c r="E899" s="63"/>
      <c r="F899" s="63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4" hidden="1" x14ac:dyDescent="0.3">
      <c r="A900" s="17">
        <v>897</v>
      </c>
      <c r="B900" s="17"/>
      <c r="C900" s="63"/>
      <c r="D900" s="63"/>
      <c r="E900" s="63"/>
      <c r="F900" s="63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4" hidden="1" x14ac:dyDescent="0.3">
      <c r="A901" s="17">
        <v>898</v>
      </c>
      <c r="B901" s="17"/>
      <c r="C901" s="63"/>
      <c r="D901" s="63"/>
      <c r="E901" s="63"/>
      <c r="F901" s="63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4" hidden="1" x14ac:dyDescent="0.3">
      <c r="A902" s="17">
        <v>899</v>
      </c>
      <c r="B902" s="17"/>
      <c r="C902" s="63"/>
      <c r="D902" s="63"/>
      <c r="E902" s="63"/>
      <c r="F902" s="63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4" hidden="1" x14ac:dyDescent="0.3">
      <c r="A903" s="17">
        <v>900</v>
      </c>
      <c r="B903" s="17"/>
      <c r="C903" s="63"/>
      <c r="D903" s="63"/>
      <c r="E903" s="63"/>
      <c r="F903" s="63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4" hidden="1" x14ac:dyDescent="0.3">
      <c r="A904" s="17">
        <v>901</v>
      </c>
      <c r="B904" s="17"/>
      <c r="C904" s="63"/>
      <c r="D904" s="63"/>
      <c r="E904" s="63"/>
      <c r="F904" s="63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4" hidden="1" x14ac:dyDescent="0.3">
      <c r="A905" s="17">
        <v>902</v>
      </c>
      <c r="B905" s="17"/>
      <c r="C905" s="63"/>
      <c r="D905" s="63"/>
      <c r="E905" s="63"/>
      <c r="F905" s="63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4" hidden="1" x14ac:dyDescent="0.3">
      <c r="A906" s="17">
        <v>903</v>
      </c>
      <c r="B906" s="17"/>
      <c r="C906" s="63"/>
      <c r="D906" s="63"/>
      <c r="E906" s="63"/>
      <c r="F906" s="63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4" hidden="1" x14ac:dyDescent="0.3">
      <c r="A907" s="17">
        <v>904</v>
      </c>
      <c r="B907" s="17"/>
      <c r="C907" s="63"/>
      <c r="D907" s="63"/>
      <c r="E907" s="63"/>
      <c r="F907" s="63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4" hidden="1" x14ac:dyDescent="0.3">
      <c r="A908" s="17">
        <v>905</v>
      </c>
      <c r="B908" s="17"/>
      <c r="C908" s="63"/>
      <c r="D908" s="63"/>
      <c r="E908" s="63"/>
      <c r="F908" s="63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4" hidden="1" x14ac:dyDescent="0.3">
      <c r="A909" s="17">
        <v>906</v>
      </c>
      <c r="B909" s="17"/>
      <c r="C909" s="63"/>
      <c r="D909" s="63"/>
      <c r="E909" s="63"/>
      <c r="F909" s="63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4" hidden="1" x14ac:dyDescent="0.3">
      <c r="A910" s="17">
        <v>907</v>
      </c>
      <c r="B910" s="17"/>
      <c r="C910" s="63"/>
      <c r="D910" s="63"/>
      <c r="E910" s="63"/>
      <c r="F910" s="63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4" hidden="1" x14ac:dyDescent="0.3">
      <c r="A911" s="17">
        <v>908</v>
      </c>
      <c r="B911" s="17"/>
      <c r="C911" s="63"/>
      <c r="D911" s="63"/>
      <c r="E911" s="63"/>
      <c r="F911" s="63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4" hidden="1" x14ac:dyDescent="0.3">
      <c r="A912" s="17">
        <v>909</v>
      </c>
      <c r="B912" s="17"/>
      <c r="C912" s="63"/>
      <c r="D912" s="63"/>
      <c r="E912" s="63"/>
      <c r="F912" s="63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4" hidden="1" x14ac:dyDescent="0.3">
      <c r="A913" s="17">
        <v>910</v>
      </c>
      <c r="B913" s="17"/>
      <c r="C913" s="63"/>
      <c r="D913" s="63"/>
      <c r="E913" s="63"/>
      <c r="F913" s="63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4" hidden="1" x14ac:dyDescent="0.3">
      <c r="A914" s="17">
        <v>911</v>
      </c>
      <c r="B914" s="17"/>
      <c r="C914" s="63"/>
      <c r="D914" s="63"/>
      <c r="E914" s="63"/>
      <c r="F914" s="63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4" hidden="1" x14ac:dyDescent="0.3">
      <c r="A915" s="17">
        <v>912</v>
      </c>
      <c r="B915" s="17"/>
      <c r="C915" s="63"/>
      <c r="D915" s="63"/>
      <c r="E915" s="63"/>
      <c r="F915" s="63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4" hidden="1" x14ac:dyDescent="0.3">
      <c r="A916" s="17">
        <v>913</v>
      </c>
      <c r="B916" s="17"/>
      <c r="C916" s="63"/>
      <c r="D916" s="63"/>
      <c r="E916" s="63"/>
      <c r="F916" s="63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4" hidden="1" x14ac:dyDescent="0.3">
      <c r="A917" s="17">
        <v>914</v>
      </c>
      <c r="B917" s="17"/>
      <c r="C917" s="63"/>
      <c r="D917" s="63"/>
      <c r="E917" s="63"/>
      <c r="F917" s="63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4" hidden="1" x14ac:dyDescent="0.3">
      <c r="A918" s="17">
        <v>915</v>
      </c>
      <c r="B918" s="17"/>
      <c r="C918" s="63"/>
      <c r="D918" s="63"/>
      <c r="E918" s="63"/>
      <c r="F918" s="63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4" hidden="1" x14ac:dyDescent="0.3">
      <c r="A919" s="17">
        <v>916</v>
      </c>
      <c r="B919" s="17"/>
      <c r="C919" s="63"/>
      <c r="D919" s="63"/>
      <c r="E919" s="63"/>
      <c r="F919" s="63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4" hidden="1" x14ac:dyDescent="0.3">
      <c r="A920" s="17">
        <v>917</v>
      </c>
      <c r="B920" s="17"/>
      <c r="C920" s="63"/>
      <c r="D920" s="63"/>
      <c r="E920" s="63"/>
      <c r="F920" s="63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4" hidden="1" x14ac:dyDescent="0.3">
      <c r="A921" s="17">
        <v>918</v>
      </c>
      <c r="B921" s="17"/>
      <c r="C921" s="63"/>
      <c r="D921" s="63"/>
      <c r="E921" s="63"/>
      <c r="F921" s="63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4" hidden="1" x14ac:dyDescent="0.3">
      <c r="A922" s="17">
        <v>919</v>
      </c>
      <c r="B922" s="17"/>
      <c r="C922" s="63"/>
      <c r="D922" s="63"/>
      <c r="E922" s="63"/>
      <c r="F922" s="63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4" hidden="1" x14ac:dyDescent="0.3">
      <c r="A923" s="17">
        <v>920</v>
      </c>
      <c r="B923" s="17"/>
      <c r="C923" s="63"/>
      <c r="D923" s="63"/>
      <c r="E923" s="63"/>
      <c r="F923" s="63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4" hidden="1" x14ac:dyDescent="0.3">
      <c r="A924" s="17">
        <v>921</v>
      </c>
      <c r="B924" s="17"/>
      <c r="C924" s="63"/>
      <c r="D924" s="63"/>
      <c r="E924" s="63"/>
      <c r="F924" s="63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4" hidden="1" x14ac:dyDescent="0.3">
      <c r="A925" s="17">
        <v>922</v>
      </c>
      <c r="B925" s="17"/>
      <c r="C925" s="63"/>
      <c r="D925" s="63"/>
      <c r="E925" s="63"/>
      <c r="F925" s="63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4" hidden="1" x14ac:dyDescent="0.3">
      <c r="A926" s="17">
        <v>923</v>
      </c>
      <c r="B926" s="17"/>
      <c r="C926" s="63"/>
      <c r="D926" s="63"/>
      <c r="E926" s="63"/>
      <c r="F926" s="63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4" hidden="1" x14ac:dyDescent="0.3">
      <c r="A927" s="17">
        <v>924</v>
      </c>
      <c r="B927" s="17"/>
      <c r="C927" s="63"/>
      <c r="D927" s="63"/>
      <c r="E927" s="63"/>
      <c r="F927" s="63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4" hidden="1" x14ac:dyDescent="0.3">
      <c r="A928" s="17">
        <v>925</v>
      </c>
      <c r="B928" s="17"/>
      <c r="C928" s="63"/>
      <c r="D928" s="63"/>
      <c r="E928" s="63"/>
      <c r="F928" s="63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4" hidden="1" x14ac:dyDescent="0.3">
      <c r="A929" s="17">
        <v>926</v>
      </c>
      <c r="B929" s="17"/>
      <c r="C929" s="63"/>
      <c r="D929" s="63"/>
      <c r="E929" s="63"/>
      <c r="F929" s="63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4" hidden="1" x14ac:dyDescent="0.3">
      <c r="A930" s="17">
        <v>927</v>
      </c>
      <c r="B930" s="17"/>
      <c r="C930" s="63"/>
      <c r="D930" s="63"/>
      <c r="E930" s="63"/>
      <c r="F930" s="63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4" hidden="1" x14ac:dyDescent="0.3">
      <c r="A931" s="17">
        <v>928</v>
      </c>
      <c r="B931" s="17"/>
      <c r="C931" s="63"/>
      <c r="D931" s="63"/>
      <c r="E931" s="63"/>
      <c r="F931" s="63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4" hidden="1" x14ac:dyDescent="0.3">
      <c r="A932" s="17">
        <v>929</v>
      </c>
      <c r="B932" s="17"/>
      <c r="C932" s="63"/>
      <c r="D932" s="63"/>
      <c r="E932" s="63"/>
      <c r="F932" s="63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4" hidden="1" x14ac:dyDescent="0.3">
      <c r="A933" s="17">
        <v>930</v>
      </c>
      <c r="B933" s="17"/>
      <c r="C933" s="63"/>
      <c r="D933" s="63"/>
      <c r="E933" s="63"/>
      <c r="F933" s="63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4" hidden="1" x14ac:dyDescent="0.3">
      <c r="A934" s="17">
        <v>931</v>
      </c>
      <c r="B934" s="17"/>
      <c r="C934" s="63"/>
      <c r="D934" s="63"/>
      <c r="E934" s="63"/>
      <c r="F934" s="63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4" hidden="1" x14ac:dyDescent="0.3">
      <c r="A935" s="17">
        <v>932</v>
      </c>
      <c r="B935" s="17"/>
      <c r="C935" s="63"/>
      <c r="D935" s="63"/>
      <c r="E935" s="63"/>
      <c r="F935" s="63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4" hidden="1" x14ac:dyDescent="0.3">
      <c r="A936" s="17">
        <v>933</v>
      </c>
      <c r="B936" s="17"/>
      <c r="C936" s="63"/>
      <c r="D936" s="63"/>
      <c r="E936" s="63"/>
      <c r="F936" s="63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4" hidden="1" x14ac:dyDescent="0.3">
      <c r="A937" s="17">
        <v>934</v>
      </c>
      <c r="B937" s="17"/>
      <c r="C937" s="63"/>
      <c r="D937" s="63"/>
      <c r="E937" s="63"/>
      <c r="F937" s="63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4" hidden="1" x14ac:dyDescent="0.3">
      <c r="A938" s="17">
        <v>935</v>
      </c>
      <c r="B938" s="17"/>
      <c r="C938" s="63"/>
      <c r="D938" s="63"/>
      <c r="E938" s="63"/>
      <c r="F938" s="63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4" hidden="1" x14ac:dyDescent="0.3">
      <c r="A939" s="17">
        <v>936</v>
      </c>
      <c r="B939" s="17"/>
      <c r="C939" s="63"/>
      <c r="D939" s="63"/>
      <c r="E939" s="63"/>
      <c r="F939" s="63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4" hidden="1" x14ac:dyDescent="0.3">
      <c r="A940" s="17">
        <v>937</v>
      </c>
      <c r="B940" s="17"/>
      <c r="C940" s="63"/>
      <c r="D940" s="63"/>
      <c r="E940" s="63"/>
      <c r="F940" s="63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4" hidden="1" x14ac:dyDescent="0.3">
      <c r="A941" s="17">
        <v>938</v>
      </c>
      <c r="B941" s="17"/>
      <c r="C941" s="63"/>
      <c r="D941" s="63"/>
      <c r="E941" s="63"/>
      <c r="F941" s="63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4" hidden="1" x14ac:dyDescent="0.3">
      <c r="A942" s="17">
        <v>939</v>
      </c>
      <c r="B942" s="17"/>
      <c r="C942" s="63"/>
      <c r="D942" s="63"/>
      <c r="E942" s="63"/>
      <c r="F942" s="63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4" hidden="1" x14ac:dyDescent="0.3">
      <c r="A943" s="17">
        <v>940</v>
      </c>
      <c r="B943" s="17"/>
      <c r="C943" s="63"/>
      <c r="D943" s="63"/>
      <c r="E943" s="63"/>
      <c r="F943" s="63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4" hidden="1" x14ac:dyDescent="0.3">
      <c r="A944" s="17">
        <v>941</v>
      </c>
      <c r="B944" s="17"/>
      <c r="C944" s="63"/>
      <c r="D944" s="63"/>
      <c r="E944" s="63"/>
      <c r="F944" s="63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4" hidden="1" x14ac:dyDescent="0.3">
      <c r="A945" s="17">
        <v>942</v>
      </c>
      <c r="B945" s="17"/>
      <c r="C945" s="63"/>
      <c r="D945" s="63"/>
      <c r="E945" s="63"/>
      <c r="F945" s="63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4" hidden="1" x14ac:dyDescent="0.3">
      <c r="A946" s="17">
        <v>943</v>
      </c>
      <c r="B946" s="17"/>
      <c r="C946" s="63"/>
      <c r="D946" s="63"/>
      <c r="E946" s="63"/>
      <c r="F946" s="63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4" hidden="1" x14ac:dyDescent="0.3">
      <c r="A947" s="17">
        <v>944</v>
      </c>
      <c r="B947" s="17"/>
      <c r="C947" s="63"/>
      <c r="D947" s="63"/>
      <c r="E947" s="63"/>
      <c r="F947" s="63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4" hidden="1" x14ac:dyDescent="0.3">
      <c r="A948" s="17">
        <v>945</v>
      </c>
      <c r="B948" s="17"/>
      <c r="C948" s="63"/>
      <c r="D948" s="63"/>
      <c r="E948" s="63"/>
      <c r="F948" s="63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4" hidden="1" x14ac:dyDescent="0.3">
      <c r="A949" s="17">
        <v>946</v>
      </c>
      <c r="B949" s="17"/>
      <c r="C949" s="63"/>
      <c r="D949" s="63"/>
      <c r="E949" s="63"/>
      <c r="F949" s="63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4" hidden="1" x14ac:dyDescent="0.3">
      <c r="A950" s="17">
        <v>947</v>
      </c>
      <c r="B950" s="17"/>
      <c r="C950" s="63"/>
      <c r="D950" s="63"/>
      <c r="E950" s="63"/>
      <c r="F950" s="63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4" hidden="1" x14ac:dyDescent="0.3">
      <c r="A951" s="17">
        <v>948</v>
      </c>
      <c r="B951" s="17"/>
      <c r="C951" s="63"/>
      <c r="D951" s="63"/>
      <c r="E951" s="63"/>
      <c r="F951" s="63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4" hidden="1" x14ac:dyDescent="0.3">
      <c r="A952" s="17">
        <v>949</v>
      </c>
      <c r="B952" s="17"/>
      <c r="C952" s="63"/>
      <c r="D952" s="63"/>
      <c r="E952" s="63"/>
      <c r="F952" s="63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4" hidden="1" x14ac:dyDescent="0.3">
      <c r="A953" s="17">
        <v>950</v>
      </c>
      <c r="B953" s="17"/>
      <c r="C953" s="63"/>
      <c r="D953" s="63"/>
      <c r="E953" s="63"/>
      <c r="F953" s="63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4" hidden="1" x14ac:dyDescent="0.3">
      <c r="A954" s="17">
        <v>951</v>
      </c>
      <c r="B954" s="17"/>
      <c r="C954" s="63"/>
      <c r="D954" s="63"/>
      <c r="E954" s="63"/>
      <c r="F954" s="63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4" hidden="1" x14ac:dyDescent="0.3">
      <c r="A955" s="17">
        <v>952</v>
      </c>
      <c r="B955" s="17"/>
      <c r="C955" s="63"/>
      <c r="D955" s="63"/>
      <c r="E955" s="63"/>
      <c r="F955" s="63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4" hidden="1" x14ac:dyDescent="0.3">
      <c r="A956" s="17">
        <v>953</v>
      </c>
      <c r="B956" s="17"/>
      <c r="C956" s="63"/>
      <c r="D956" s="63"/>
      <c r="E956" s="63"/>
      <c r="F956" s="63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4" hidden="1" x14ac:dyDescent="0.3">
      <c r="A957" s="17">
        <v>954</v>
      </c>
      <c r="B957" s="17"/>
      <c r="C957" s="63"/>
      <c r="D957" s="63"/>
      <c r="E957" s="63"/>
      <c r="F957" s="63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4" hidden="1" x14ac:dyDescent="0.3">
      <c r="A958" s="17">
        <v>955</v>
      </c>
      <c r="B958" s="17"/>
      <c r="C958" s="63"/>
      <c r="D958" s="63"/>
      <c r="E958" s="63"/>
      <c r="F958" s="63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4" hidden="1" x14ac:dyDescent="0.3">
      <c r="A959" s="17">
        <v>956</v>
      </c>
      <c r="B959" s="17"/>
      <c r="C959" s="63"/>
      <c r="D959" s="63"/>
      <c r="E959" s="63"/>
      <c r="F959" s="63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4" hidden="1" x14ac:dyDescent="0.3">
      <c r="A960" s="17">
        <v>957</v>
      </c>
      <c r="B960" s="17"/>
      <c r="C960" s="63"/>
      <c r="D960" s="63"/>
      <c r="E960" s="63"/>
      <c r="F960" s="63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4" hidden="1" x14ac:dyDescent="0.3">
      <c r="A961" s="17">
        <v>958</v>
      </c>
      <c r="B961" s="17"/>
      <c r="C961" s="63"/>
      <c r="D961" s="63"/>
      <c r="E961" s="63"/>
      <c r="F961" s="63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4" hidden="1" x14ac:dyDescent="0.3">
      <c r="A962" s="17">
        <v>959</v>
      </c>
      <c r="B962" s="17"/>
      <c r="C962" s="63"/>
      <c r="D962" s="63"/>
      <c r="E962" s="63"/>
      <c r="F962" s="63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4" hidden="1" x14ac:dyDescent="0.3">
      <c r="A963" s="17">
        <v>960</v>
      </c>
      <c r="B963" s="17"/>
      <c r="C963" s="63"/>
      <c r="D963" s="63"/>
      <c r="E963" s="63"/>
      <c r="F963" s="63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4" hidden="1" x14ac:dyDescent="0.3">
      <c r="A964" s="17">
        <v>961</v>
      </c>
      <c r="B964" s="17"/>
      <c r="C964" s="63"/>
      <c r="D964" s="63"/>
      <c r="E964" s="63"/>
      <c r="F964" s="63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4" hidden="1" x14ac:dyDescent="0.3">
      <c r="A965" s="17">
        <v>962</v>
      </c>
      <c r="B965" s="17"/>
      <c r="C965" s="63"/>
      <c r="D965" s="63"/>
      <c r="E965" s="63"/>
      <c r="F965" s="63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4" hidden="1" x14ac:dyDescent="0.3">
      <c r="A966" s="17">
        <v>963</v>
      </c>
      <c r="B966" s="17"/>
      <c r="C966" s="63"/>
      <c r="D966" s="63"/>
      <c r="E966" s="63"/>
      <c r="F966" s="63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4" hidden="1" x14ac:dyDescent="0.3">
      <c r="A967" s="17">
        <v>964</v>
      </c>
      <c r="B967" s="17"/>
      <c r="C967" s="63"/>
      <c r="D967" s="63"/>
      <c r="E967" s="63"/>
      <c r="F967" s="63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4" hidden="1" x14ac:dyDescent="0.3">
      <c r="A968" s="17">
        <v>965</v>
      </c>
      <c r="B968" s="17"/>
      <c r="C968" s="63"/>
      <c r="D968" s="63"/>
      <c r="E968" s="63"/>
      <c r="F968" s="63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4" hidden="1" x14ac:dyDescent="0.3">
      <c r="A969" s="17">
        <v>966</v>
      </c>
      <c r="B969" s="17"/>
      <c r="C969" s="63"/>
      <c r="D969" s="63"/>
      <c r="E969" s="63"/>
      <c r="F969" s="63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4" hidden="1" x14ac:dyDescent="0.3">
      <c r="A970" s="17">
        <v>967</v>
      </c>
      <c r="B970" s="17"/>
      <c r="C970" s="63"/>
      <c r="D970" s="63"/>
      <c r="E970" s="63"/>
      <c r="F970" s="63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4" hidden="1" x14ac:dyDescent="0.3">
      <c r="A971" s="17">
        <v>968</v>
      </c>
      <c r="B971" s="17"/>
      <c r="C971" s="63"/>
      <c r="D971" s="63"/>
      <c r="E971" s="63"/>
      <c r="F971" s="63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4" hidden="1" x14ac:dyDescent="0.3">
      <c r="A972" s="17">
        <v>969</v>
      </c>
      <c r="B972" s="17"/>
      <c r="C972" s="63"/>
      <c r="D972" s="63"/>
      <c r="E972" s="63"/>
      <c r="F972" s="63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4" hidden="1" x14ac:dyDescent="0.3">
      <c r="A973" s="17">
        <v>970</v>
      </c>
      <c r="B973" s="17"/>
      <c r="C973" s="63"/>
      <c r="D973" s="63"/>
      <c r="E973" s="63"/>
      <c r="F973" s="63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4" hidden="1" x14ac:dyDescent="0.3">
      <c r="A974" s="17">
        <v>971</v>
      </c>
      <c r="B974" s="17"/>
      <c r="C974" s="63"/>
      <c r="D974" s="63"/>
      <c r="E974" s="63"/>
      <c r="F974" s="63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4" hidden="1" x14ac:dyDescent="0.3">
      <c r="A975" s="17">
        <v>972</v>
      </c>
      <c r="B975" s="17"/>
      <c r="C975" s="63"/>
      <c r="D975" s="63"/>
      <c r="E975" s="63"/>
      <c r="F975" s="63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4" hidden="1" x14ac:dyDescent="0.3">
      <c r="A976" s="17">
        <v>973</v>
      </c>
      <c r="B976" s="17"/>
      <c r="C976" s="63"/>
      <c r="D976" s="63"/>
      <c r="E976" s="63"/>
      <c r="F976" s="63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4" hidden="1" x14ac:dyDescent="0.3">
      <c r="A977" s="17">
        <v>974</v>
      </c>
      <c r="B977" s="17"/>
      <c r="C977" s="63"/>
      <c r="D977" s="63"/>
      <c r="E977" s="63"/>
      <c r="F977" s="63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4" hidden="1" x14ac:dyDescent="0.3">
      <c r="A978" s="17">
        <v>975</v>
      </c>
      <c r="B978" s="17"/>
      <c r="C978" s="63"/>
      <c r="D978" s="63"/>
      <c r="E978" s="63"/>
      <c r="F978" s="63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4" hidden="1" x14ac:dyDescent="0.3">
      <c r="A979" s="17">
        <v>976</v>
      </c>
      <c r="B979" s="17"/>
      <c r="C979" s="63"/>
      <c r="D979" s="63"/>
      <c r="E979" s="63"/>
      <c r="F979" s="63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4" hidden="1" x14ac:dyDescent="0.3">
      <c r="A980" s="17">
        <v>977</v>
      </c>
      <c r="B980" s="17"/>
      <c r="C980" s="63"/>
      <c r="D980" s="63"/>
      <c r="E980" s="63"/>
      <c r="F980" s="63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4" hidden="1" x14ac:dyDescent="0.3">
      <c r="A981" s="17">
        <v>978</v>
      </c>
      <c r="B981" s="17"/>
      <c r="C981" s="63"/>
      <c r="D981" s="63"/>
      <c r="E981" s="63"/>
      <c r="F981" s="63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4" hidden="1" x14ac:dyDescent="0.3">
      <c r="A982" s="17">
        <v>979</v>
      </c>
      <c r="B982" s="17"/>
      <c r="C982" s="63"/>
      <c r="D982" s="63"/>
      <c r="E982" s="63"/>
      <c r="F982" s="63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4" hidden="1" x14ac:dyDescent="0.3">
      <c r="A983" s="17">
        <v>980</v>
      </c>
      <c r="B983" s="17"/>
      <c r="C983" s="63"/>
      <c r="D983" s="63"/>
      <c r="E983" s="63"/>
      <c r="F983" s="63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4" hidden="1" x14ac:dyDescent="0.3">
      <c r="A984" s="17">
        <v>981</v>
      </c>
      <c r="B984" s="17"/>
      <c r="C984" s="63"/>
      <c r="D984" s="63"/>
      <c r="E984" s="63"/>
      <c r="F984" s="63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4" hidden="1" x14ac:dyDescent="0.3">
      <c r="A985" s="17">
        <v>982</v>
      </c>
      <c r="B985" s="17"/>
      <c r="C985" s="63"/>
      <c r="D985" s="63"/>
      <c r="E985" s="63"/>
      <c r="F985" s="63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4" hidden="1" x14ac:dyDescent="0.3">
      <c r="A986" s="17">
        <v>983</v>
      </c>
      <c r="B986" s="17"/>
      <c r="C986" s="63"/>
      <c r="D986" s="63"/>
      <c r="E986" s="63"/>
      <c r="F986" s="63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4" hidden="1" x14ac:dyDescent="0.3">
      <c r="A987" s="17">
        <v>984</v>
      </c>
      <c r="B987" s="17"/>
      <c r="C987" s="63"/>
      <c r="D987" s="63"/>
      <c r="E987" s="63"/>
      <c r="F987" s="63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4" hidden="1" x14ac:dyDescent="0.3">
      <c r="A988" s="17">
        <v>985</v>
      </c>
      <c r="B988" s="17"/>
      <c r="C988" s="63"/>
      <c r="D988" s="63"/>
      <c r="E988" s="63"/>
      <c r="F988" s="63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4" hidden="1" x14ac:dyDescent="0.3">
      <c r="A989" s="17">
        <v>986</v>
      </c>
      <c r="B989" s="17"/>
      <c r="C989" s="63"/>
      <c r="D989" s="63"/>
      <c r="E989" s="63"/>
      <c r="F989" s="63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4" hidden="1" x14ac:dyDescent="0.3">
      <c r="A990" s="17">
        <v>987</v>
      </c>
      <c r="B990" s="17"/>
      <c r="C990" s="63"/>
      <c r="D990" s="63"/>
      <c r="E990" s="63"/>
      <c r="F990" s="63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4" hidden="1" x14ac:dyDescent="0.3">
      <c r="A991" s="17">
        <v>988</v>
      </c>
      <c r="B991" s="17"/>
      <c r="C991" s="63"/>
      <c r="D991" s="63"/>
      <c r="E991" s="63"/>
      <c r="F991" s="63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4" hidden="1" x14ac:dyDescent="0.3">
      <c r="A992" s="17">
        <v>989</v>
      </c>
      <c r="B992" s="17"/>
      <c r="C992" s="63"/>
      <c r="D992" s="63"/>
      <c r="E992" s="63"/>
      <c r="F992" s="63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4" hidden="1" x14ac:dyDescent="0.3">
      <c r="A993" s="17">
        <v>990</v>
      </c>
      <c r="B993" s="17"/>
      <c r="C993" s="63"/>
      <c r="D993" s="63"/>
      <c r="E993" s="63"/>
      <c r="F993" s="63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4" hidden="1" x14ac:dyDescent="0.3">
      <c r="A994" s="17">
        <v>991</v>
      </c>
      <c r="B994" s="17"/>
      <c r="C994" s="63"/>
      <c r="D994" s="63"/>
      <c r="E994" s="63"/>
      <c r="F994" s="63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4" hidden="1" x14ac:dyDescent="0.3">
      <c r="A995" s="17">
        <v>992</v>
      </c>
      <c r="B995" s="17"/>
      <c r="C995" s="63"/>
      <c r="D995" s="63"/>
      <c r="E995" s="63"/>
      <c r="F995" s="63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4" hidden="1" x14ac:dyDescent="0.3">
      <c r="A996" s="17">
        <v>993</v>
      </c>
      <c r="B996" s="17"/>
      <c r="C996" s="63"/>
      <c r="D996" s="63"/>
      <c r="E996" s="63"/>
      <c r="F996" s="63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4" x14ac:dyDescent="0.3">
      <c r="A997" s="17"/>
      <c r="B997" s="17"/>
      <c r="C997" s="63"/>
      <c r="D997" s="63"/>
      <c r="E997" s="63"/>
      <c r="F997" s="63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4" x14ac:dyDescent="0.3">
      <c r="A998" s="17"/>
      <c r="B998" s="17"/>
      <c r="C998" s="63"/>
      <c r="D998" s="63"/>
      <c r="E998" s="63"/>
      <c r="F998" s="63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4" x14ac:dyDescent="0.3">
      <c r="A999" s="17"/>
      <c r="B999" s="17"/>
      <c r="C999" s="63"/>
      <c r="D999" s="63"/>
      <c r="E999" s="63"/>
      <c r="F999" s="63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4" x14ac:dyDescent="0.3">
      <c r="A1000" s="17"/>
      <c r="B1000" s="17"/>
      <c r="C1000" s="63"/>
      <c r="D1000" s="63"/>
      <c r="E1000" s="63"/>
      <c r="F1000" s="63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O996" xr:uid="{00000000-0009-0000-0000-000006000000}">
    <filterColumn colId="9">
      <filters>
        <filter val="ติดต่อไม่ได้ , ไม่รับโทรศัพท์"/>
      </filters>
    </filterColumn>
  </autoFilter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5">
    <dataValidation type="list" allowBlank="1" showErrorMessage="1" sqref="F1:F1000" xr:uid="{00000000-0002-0000-0600-000000000000}">
      <formula1>$N$4:$N$8</formula1>
    </dataValidation>
    <dataValidation type="list" allowBlank="1" showErrorMessage="1" sqref="J1" xr:uid="{00000000-0002-0000-0600-000001000000}">
      <formula1>$M$4:$M$46</formula1>
    </dataValidation>
    <dataValidation type="list" allowBlank="1" showErrorMessage="1" sqref="J2:J3 J216:J1000" xr:uid="{00000000-0002-0000-0600-000002000000}">
      <formula1>$M$4:$M$70</formula1>
    </dataValidation>
    <dataValidation type="list" allowBlank="1" showErrorMessage="1" sqref="J4:J16 J18:J31 J33:J50 J52:J215" xr:uid="{00000000-0002-0000-0600-000003000000}">
      <formula1>"ปฏิเสธ,ยกเลิก,ติดต่อไม่ได้,ไม่รับโทรศัพท์,ส่งของไปซ้ำ,ลูกค้าแจ้งว่าไม่ได้สั่ง,เกินเวลานัดรับพัสดุ,เบอร์ผิด,ไม่ต้องการแล้ว"</formula1>
    </dataValidation>
    <dataValidation type="list" allowBlank="1" showErrorMessage="1" sqref="E1:E1000" xr:uid="{00000000-0002-0000-0600-000004000000}">
      <formula1>$O$4:$O$8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FF99"/>
    <pageSetUpPr fitToPage="1"/>
  </sheetPr>
  <dimension ref="A1:Z1000"/>
  <sheetViews>
    <sheetView workbookViewId="0">
      <pane xSplit="4" ySplit="3" topLeftCell="E8" activePane="bottomRight" state="frozen"/>
      <selection activeCell="M4" sqref="M4"/>
      <selection pane="topRight" activeCell="M4" sqref="M4"/>
      <selection pane="bottomLeft" activeCell="M4" sqref="M4"/>
      <selection pane="bottomRight" activeCell="I8" sqref="I8"/>
    </sheetView>
  </sheetViews>
  <sheetFormatPr defaultColWidth="14.44140625" defaultRowHeight="14.4" x14ac:dyDescent="0.3"/>
  <cols>
    <col min="1" max="1" width="16.33203125" customWidth="1"/>
    <col min="2" max="2" width="10.5546875" bestFit="1" customWidth="1"/>
    <col min="3" max="3" width="12.21875" bestFit="1" customWidth="1"/>
    <col min="4" max="4" width="16.109375" bestFit="1" customWidth="1"/>
    <col min="5" max="5" width="15.77734375" bestFit="1" customWidth="1"/>
    <col min="6" max="6" width="8.77734375" bestFit="1" customWidth="1"/>
    <col min="7" max="7" width="17.33203125" bestFit="1" customWidth="1"/>
    <col min="8" max="8" width="13.33203125" bestFit="1" customWidth="1"/>
    <col min="9" max="9" width="12.44140625" bestFit="1" customWidth="1"/>
    <col min="10" max="10" width="23.88671875" bestFit="1" customWidth="1"/>
    <col min="11" max="11" width="9" bestFit="1" customWidth="1"/>
    <col min="12" max="12" width="12" customWidth="1"/>
    <col min="13" max="13" width="44.33203125" bestFit="1" customWidth="1"/>
    <col min="14" max="14" width="12.77734375" bestFit="1" customWidth="1"/>
    <col min="15" max="15" width="19.5546875" bestFit="1" customWidth="1"/>
    <col min="16" max="18" width="36.109375" customWidth="1"/>
    <col min="19" max="26" width="9.109375" customWidth="1"/>
  </cols>
  <sheetData>
    <row r="1" spans="1:26" ht="32.4" x14ac:dyDescent="0.3">
      <c r="A1" s="62" t="s">
        <v>294</v>
      </c>
      <c r="B1" s="17"/>
      <c r="C1" s="82"/>
      <c r="D1" s="63"/>
      <c r="E1" s="63"/>
      <c r="F1" s="63"/>
      <c r="G1" s="17"/>
      <c r="H1" s="64" t="s">
        <v>41</v>
      </c>
      <c r="I1" s="65">
        <f>SUBTOTAL(9,I4:I11953)</f>
        <v>179</v>
      </c>
      <c r="J1" s="66" t="s">
        <v>58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6.4" x14ac:dyDescent="0.3">
      <c r="A2" s="89" t="s">
        <v>60</v>
      </c>
      <c r="B2" s="89" t="s">
        <v>103</v>
      </c>
      <c r="C2" s="89" t="s">
        <v>104</v>
      </c>
      <c r="D2" s="89" t="s">
        <v>105</v>
      </c>
      <c r="E2" s="89" t="s">
        <v>106</v>
      </c>
      <c r="F2" s="89" t="s">
        <v>107</v>
      </c>
      <c r="G2" s="152" t="s">
        <v>108</v>
      </c>
      <c r="H2" s="111"/>
      <c r="I2" s="89" t="s">
        <v>109</v>
      </c>
      <c r="J2" s="89" t="s">
        <v>110</v>
      </c>
      <c r="K2" s="68" t="s">
        <v>4</v>
      </c>
      <c r="L2" s="40"/>
      <c r="M2" s="69" t="s">
        <v>111</v>
      </c>
      <c r="N2" s="69" t="s">
        <v>107</v>
      </c>
      <c r="O2" s="69" t="s">
        <v>113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6.4" x14ac:dyDescent="0.3">
      <c r="A3" s="90"/>
      <c r="B3" s="90"/>
      <c r="C3" s="90"/>
      <c r="D3" s="90"/>
      <c r="E3" s="90"/>
      <c r="F3" s="90"/>
      <c r="G3" s="89" t="s">
        <v>114</v>
      </c>
      <c r="H3" s="89" t="s">
        <v>115</v>
      </c>
      <c r="I3" s="90"/>
      <c r="J3" s="90"/>
      <c r="K3" s="91"/>
      <c r="L3" s="40"/>
      <c r="M3" s="87"/>
      <c r="N3" s="87"/>
      <c r="O3" s="87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4" hidden="1" x14ac:dyDescent="0.6">
      <c r="A4" s="17">
        <v>1</v>
      </c>
      <c r="B4" s="81">
        <v>244533</v>
      </c>
      <c r="C4" s="82" t="s">
        <v>295</v>
      </c>
      <c r="D4" s="82" t="s">
        <v>296</v>
      </c>
      <c r="E4" s="63" t="s">
        <v>297</v>
      </c>
      <c r="F4" s="76" t="s">
        <v>298</v>
      </c>
      <c r="G4" s="17" t="s">
        <v>299</v>
      </c>
      <c r="H4" s="17"/>
      <c r="I4" s="77">
        <v>150</v>
      </c>
      <c r="J4" s="17" t="s">
        <v>300</v>
      </c>
      <c r="K4" s="17"/>
      <c r="L4" s="17"/>
      <c r="M4" s="78" t="s">
        <v>46</v>
      </c>
      <c r="N4" s="78" t="s">
        <v>298</v>
      </c>
      <c r="O4" s="79" t="s">
        <v>118</v>
      </c>
      <c r="P4" s="40"/>
      <c r="Q4" s="40"/>
      <c r="R4" s="40"/>
      <c r="S4" s="17"/>
      <c r="T4" s="17"/>
      <c r="U4" s="17"/>
      <c r="V4" s="17"/>
      <c r="W4" s="17"/>
      <c r="X4" s="17"/>
      <c r="Y4" s="17"/>
      <c r="Z4" s="17"/>
    </row>
    <row r="5" spans="1:26" ht="23.4" hidden="1" x14ac:dyDescent="0.6">
      <c r="A5" s="17">
        <v>2</v>
      </c>
      <c r="B5" s="81">
        <v>244656</v>
      </c>
      <c r="C5" s="82" t="s">
        <v>301</v>
      </c>
      <c r="D5" s="82" t="s">
        <v>302</v>
      </c>
      <c r="E5" s="63" t="s">
        <v>297</v>
      </c>
      <c r="F5" s="76" t="s">
        <v>298</v>
      </c>
      <c r="G5" s="9" t="s">
        <v>303</v>
      </c>
      <c r="H5" s="77" t="s">
        <v>303</v>
      </c>
      <c r="I5" s="77">
        <v>215</v>
      </c>
      <c r="J5" s="17" t="s">
        <v>46</v>
      </c>
      <c r="K5" s="17"/>
      <c r="L5" s="17"/>
      <c r="M5" s="78" t="s">
        <v>47</v>
      </c>
      <c r="N5" s="78" t="s">
        <v>304</v>
      </c>
      <c r="O5" s="80" t="s">
        <v>127</v>
      </c>
      <c r="P5" s="40"/>
      <c r="Q5" s="40"/>
      <c r="R5" s="40"/>
      <c r="S5" s="17"/>
      <c r="T5" s="17"/>
      <c r="U5" s="17"/>
      <c r="V5" s="17"/>
      <c r="W5" s="17"/>
      <c r="X5" s="17"/>
      <c r="Y5" s="17"/>
      <c r="Z5" s="17"/>
    </row>
    <row r="6" spans="1:26" ht="23.4" hidden="1" x14ac:dyDescent="0.6">
      <c r="A6" s="17">
        <v>3</v>
      </c>
      <c r="B6" s="17" t="s">
        <v>144</v>
      </c>
      <c r="C6" s="82" t="s">
        <v>305</v>
      </c>
      <c r="D6" s="82" t="s">
        <v>306</v>
      </c>
      <c r="E6" s="63" t="s">
        <v>297</v>
      </c>
      <c r="F6" s="76" t="s">
        <v>298</v>
      </c>
      <c r="G6" s="17" t="s">
        <v>307</v>
      </c>
      <c r="H6" s="63"/>
      <c r="I6" s="77">
        <v>179</v>
      </c>
      <c r="J6" s="17" t="s">
        <v>46</v>
      </c>
      <c r="K6" s="17"/>
      <c r="L6" s="17"/>
      <c r="M6" s="78" t="s">
        <v>48</v>
      </c>
      <c r="N6" s="78" t="s">
        <v>308</v>
      </c>
      <c r="O6" s="79" t="s">
        <v>133</v>
      </c>
      <c r="P6" s="40"/>
      <c r="Q6" s="40"/>
      <c r="R6" s="40"/>
      <c r="S6" s="17"/>
      <c r="T6" s="17"/>
      <c r="U6" s="17"/>
      <c r="V6" s="17"/>
      <c r="W6" s="17"/>
      <c r="X6" s="17"/>
      <c r="Y6" s="17"/>
      <c r="Z6" s="17"/>
    </row>
    <row r="7" spans="1:26" ht="23.4" hidden="1" x14ac:dyDescent="0.6">
      <c r="A7" s="17">
        <v>4</v>
      </c>
      <c r="B7" s="17" t="s">
        <v>144</v>
      </c>
      <c r="C7" s="82" t="s">
        <v>309</v>
      </c>
      <c r="D7" s="82" t="s">
        <v>310</v>
      </c>
      <c r="E7" s="63" t="s">
        <v>297</v>
      </c>
      <c r="F7" s="76" t="s">
        <v>298</v>
      </c>
      <c r="G7" s="17" t="s">
        <v>311</v>
      </c>
      <c r="H7" s="77"/>
      <c r="I7" s="77">
        <v>100</v>
      </c>
      <c r="J7" s="17" t="s">
        <v>46</v>
      </c>
      <c r="K7" s="17"/>
      <c r="L7" s="17"/>
      <c r="M7" s="78" t="s">
        <v>137</v>
      </c>
      <c r="N7" s="78" t="s">
        <v>312</v>
      </c>
      <c r="O7" s="78" t="s">
        <v>183</v>
      </c>
      <c r="P7" s="40"/>
      <c r="Q7" s="40"/>
      <c r="R7" s="40"/>
      <c r="S7" s="17"/>
      <c r="T7" s="17"/>
      <c r="U7" s="17"/>
      <c r="V7" s="17"/>
      <c r="W7" s="17"/>
      <c r="X7" s="17"/>
      <c r="Y7" s="17"/>
      <c r="Z7" s="17"/>
    </row>
    <row r="8" spans="1:26" ht="23.4" x14ac:dyDescent="0.6">
      <c r="A8" s="17">
        <v>5</v>
      </c>
      <c r="B8" s="17" t="s">
        <v>313</v>
      </c>
      <c r="C8" s="82" t="s">
        <v>314</v>
      </c>
      <c r="D8" s="82" t="s">
        <v>315</v>
      </c>
      <c r="E8" s="63" t="s">
        <v>297</v>
      </c>
      <c r="F8" s="76" t="s">
        <v>298</v>
      </c>
      <c r="G8" s="17" t="s">
        <v>316</v>
      </c>
      <c r="H8" s="63" t="s">
        <v>317</v>
      </c>
      <c r="I8" s="77">
        <v>179</v>
      </c>
      <c r="J8" s="100" t="s">
        <v>47</v>
      </c>
      <c r="K8" s="17"/>
      <c r="L8" s="17"/>
      <c r="M8" s="78" t="s">
        <v>318</v>
      </c>
      <c r="N8" s="78" t="s">
        <v>319</v>
      </c>
      <c r="O8" s="78" t="s">
        <v>297</v>
      </c>
      <c r="P8" s="40"/>
      <c r="Q8" s="40"/>
      <c r="R8" s="40"/>
      <c r="S8" s="17"/>
      <c r="T8" s="17"/>
      <c r="U8" s="17"/>
      <c r="V8" s="17"/>
      <c r="W8" s="17"/>
      <c r="X8" s="17"/>
      <c r="Y8" s="17"/>
      <c r="Z8" s="17"/>
    </row>
    <row r="9" spans="1:26" ht="23.4" hidden="1" x14ac:dyDescent="0.6">
      <c r="A9" s="17">
        <v>6</v>
      </c>
      <c r="B9" s="17" t="s">
        <v>320</v>
      </c>
      <c r="C9" s="63" t="s">
        <v>321</v>
      </c>
      <c r="D9" s="63" t="s">
        <v>322</v>
      </c>
      <c r="E9" s="63" t="s">
        <v>297</v>
      </c>
      <c r="F9" s="76" t="s">
        <v>298</v>
      </c>
      <c r="G9" s="17" t="s">
        <v>323</v>
      </c>
      <c r="H9" s="63" t="s">
        <v>324</v>
      </c>
      <c r="I9" s="77">
        <v>215</v>
      </c>
      <c r="J9" s="100" t="s">
        <v>46</v>
      </c>
      <c r="K9" s="17"/>
      <c r="L9" s="17"/>
      <c r="M9" s="78" t="s">
        <v>50</v>
      </c>
      <c r="N9" s="17"/>
      <c r="O9" s="17"/>
      <c r="P9" s="40"/>
      <c r="Q9" s="40"/>
      <c r="R9" s="40"/>
      <c r="S9" s="17"/>
      <c r="T9" s="17"/>
      <c r="U9" s="17"/>
      <c r="V9" s="17"/>
      <c r="W9" s="17"/>
      <c r="X9" s="17"/>
      <c r="Y9" s="17"/>
      <c r="Z9" s="17"/>
    </row>
    <row r="10" spans="1:26" ht="23.4" hidden="1" x14ac:dyDescent="0.6">
      <c r="A10" s="17"/>
      <c r="B10" s="75"/>
      <c r="C10" s="63"/>
      <c r="D10" s="63"/>
      <c r="E10" s="63"/>
      <c r="F10" s="76"/>
      <c r="G10" s="43"/>
      <c r="H10" s="43"/>
      <c r="I10" s="77"/>
      <c r="J10" s="17"/>
      <c r="K10" s="17"/>
      <c r="L10" s="17"/>
      <c r="M10" s="17" t="s">
        <v>300</v>
      </c>
      <c r="N10" s="17"/>
      <c r="O10" s="17"/>
      <c r="P10" s="40"/>
      <c r="Q10" s="40"/>
      <c r="R10" s="40"/>
      <c r="S10" s="17"/>
      <c r="T10" s="17"/>
      <c r="U10" s="17"/>
      <c r="V10" s="17"/>
      <c r="W10" s="17"/>
      <c r="X10" s="17"/>
      <c r="Y10" s="17"/>
      <c r="Z10" s="17"/>
    </row>
    <row r="11" spans="1:26" ht="23.4" hidden="1" x14ac:dyDescent="0.6">
      <c r="A11" s="17"/>
      <c r="B11" s="63"/>
      <c r="C11" s="63"/>
      <c r="D11" s="63"/>
      <c r="E11" s="63"/>
      <c r="F11" s="76"/>
      <c r="G11" s="43"/>
      <c r="H11" s="77"/>
      <c r="I11" s="77"/>
      <c r="J11" s="17"/>
      <c r="K11" s="17"/>
      <c r="L11" s="17"/>
      <c r="M11" s="17"/>
      <c r="N11" s="17"/>
      <c r="O11" s="17"/>
      <c r="P11" s="40"/>
      <c r="Q11" s="40"/>
      <c r="R11" s="40"/>
      <c r="S11" s="17"/>
      <c r="T11" s="17"/>
      <c r="U11" s="17"/>
      <c r="V11" s="17"/>
      <c r="W11" s="17"/>
      <c r="X11" s="17"/>
      <c r="Y11" s="17"/>
      <c r="Z11" s="17"/>
    </row>
    <row r="12" spans="1:26" ht="23.4" hidden="1" x14ac:dyDescent="0.3">
      <c r="A12" s="17"/>
      <c r="B12" s="63"/>
      <c r="C12" s="63"/>
      <c r="D12" s="63"/>
      <c r="E12" s="63"/>
      <c r="F12" s="76"/>
      <c r="G12" s="17"/>
      <c r="H12" s="17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4" hidden="1" x14ac:dyDescent="0.3">
      <c r="A13" s="17"/>
      <c r="B13" s="63"/>
      <c r="C13" s="63"/>
      <c r="D13" s="63"/>
      <c r="E13" s="63"/>
      <c r="F13" s="76"/>
      <c r="G13" s="17"/>
      <c r="H13" s="17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4" hidden="1" x14ac:dyDescent="0.3">
      <c r="A14" s="17"/>
      <c r="B14" s="75"/>
      <c r="C14" s="63"/>
      <c r="D14" s="63"/>
      <c r="E14" s="63"/>
      <c r="F14" s="76"/>
      <c r="G14" s="17"/>
      <c r="H14" s="17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4" hidden="1" x14ac:dyDescent="0.3">
      <c r="A15" s="17"/>
      <c r="B15" s="75"/>
      <c r="C15" s="63"/>
      <c r="D15" s="63"/>
      <c r="E15" s="63"/>
      <c r="F15" s="76"/>
      <c r="G15" s="17"/>
      <c r="H15" s="17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4" hidden="1" x14ac:dyDescent="0.3">
      <c r="A16" s="17"/>
      <c r="B16" s="75"/>
      <c r="C16" s="82"/>
      <c r="D16" s="82"/>
      <c r="E16" s="63"/>
      <c r="F16" s="76"/>
      <c r="G16" s="17"/>
      <c r="H16" s="17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4" hidden="1" x14ac:dyDescent="0.3">
      <c r="A17" s="17"/>
      <c r="B17" s="75"/>
      <c r="C17" s="82"/>
      <c r="D17" s="63"/>
      <c r="E17" s="63"/>
      <c r="F17" s="76"/>
      <c r="G17" s="17"/>
      <c r="H17" s="17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4" hidden="1" x14ac:dyDescent="0.3">
      <c r="A18" s="17"/>
      <c r="B18" s="75"/>
      <c r="C18" s="82"/>
      <c r="D18" s="63"/>
      <c r="E18" s="63"/>
      <c r="F18" s="76"/>
      <c r="G18" s="17"/>
      <c r="H18" s="17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4" hidden="1" x14ac:dyDescent="0.3">
      <c r="A19" s="17"/>
      <c r="B19" s="75"/>
      <c r="C19" s="82"/>
      <c r="D19" s="63"/>
      <c r="E19" s="63"/>
      <c r="F19" s="76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4" hidden="1" x14ac:dyDescent="0.3">
      <c r="A20" s="17"/>
      <c r="B20" s="75"/>
      <c r="C20" s="82"/>
      <c r="D20" s="63"/>
      <c r="E20" s="63"/>
      <c r="F20" s="76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4" hidden="1" x14ac:dyDescent="0.3">
      <c r="A21" s="17"/>
      <c r="B21" s="75"/>
      <c r="C21" s="82"/>
      <c r="D21" s="63"/>
      <c r="E21" s="63"/>
      <c r="F21" s="76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4" hidden="1" x14ac:dyDescent="0.3">
      <c r="A22" s="17"/>
      <c r="B22" s="75"/>
      <c r="C22" s="82"/>
      <c r="D22" s="63"/>
      <c r="E22" s="63"/>
      <c r="F22" s="76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4" hidden="1" x14ac:dyDescent="0.3">
      <c r="A23" s="17"/>
      <c r="B23" s="75"/>
      <c r="C23" s="82"/>
      <c r="D23" s="63"/>
      <c r="E23" s="63"/>
      <c r="F23" s="76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4" hidden="1" x14ac:dyDescent="0.3">
      <c r="A24" s="17"/>
      <c r="B24" s="75"/>
      <c r="C24" s="82"/>
      <c r="D24" s="63"/>
      <c r="E24" s="63"/>
      <c r="F24" s="76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4" hidden="1" x14ac:dyDescent="0.3">
      <c r="A25" s="17"/>
      <c r="B25" s="75"/>
      <c r="C25" s="82"/>
      <c r="D25" s="63"/>
      <c r="E25" s="63"/>
      <c r="F25" s="76"/>
      <c r="G25" s="17"/>
      <c r="H25" s="16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4" hidden="1" x14ac:dyDescent="0.3">
      <c r="A26" s="17"/>
      <c r="B26" s="75"/>
      <c r="C26" s="82"/>
      <c r="D26" s="63"/>
      <c r="E26" s="63"/>
      <c r="F26" s="76"/>
      <c r="G26" s="17"/>
      <c r="H26" s="17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4" hidden="1" x14ac:dyDescent="0.3">
      <c r="A27" s="17"/>
      <c r="B27" s="75"/>
      <c r="C27" s="82"/>
      <c r="D27" s="63"/>
      <c r="E27" s="63"/>
      <c r="F27" s="76"/>
      <c r="G27" s="17"/>
      <c r="H27" s="17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4" hidden="1" x14ac:dyDescent="0.3">
      <c r="A28" s="17"/>
      <c r="B28" s="75"/>
      <c r="C28" s="82"/>
      <c r="D28" s="63"/>
      <c r="E28" s="63"/>
      <c r="F28" s="76"/>
      <c r="G28" s="17"/>
      <c r="H28" s="17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4" hidden="1" x14ac:dyDescent="0.3">
      <c r="A29" s="17"/>
      <c r="B29" s="75"/>
      <c r="C29" s="82"/>
      <c r="D29" s="63"/>
      <c r="E29" s="63"/>
      <c r="F29" s="76"/>
      <c r="G29" s="17"/>
      <c r="H29" s="17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4" hidden="1" x14ac:dyDescent="0.3">
      <c r="A30" s="17"/>
      <c r="B30" s="75"/>
      <c r="C30" s="82"/>
      <c r="D30" s="63"/>
      <c r="E30" s="63"/>
      <c r="F30" s="76"/>
      <c r="G30" s="17"/>
      <c r="H30" s="17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4" hidden="1" x14ac:dyDescent="0.3">
      <c r="A31" s="17"/>
      <c r="B31" s="75"/>
      <c r="C31" s="82"/>
      <c r="D31" s="63"/>
      <c r="E31" s="63"/>
      <c r="F31" s="76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4" hidden="1" x14ac:dyDescent="0.3">
      <c r="A32" s="17"/>
      <c r="B32" s="75"/>
      <c r="C32" s="82"/>
      <c r="D32" s="63"/>
      <c r="E32" s="63"/>
      <c r="F32" s="76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4" hidden="1" x14ac:dyDescent="0.3">
      <c r="A33" s="17"/>
      <c r="B33" s="75"/>
      <c r="C33" s="82"/>
      <c r="D33" s="63"/>
      <c r="E33" s="63"/>
      <c r="F33" s="76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4" hidden="1" x14ac:dyDescent="0.3">
      <c r="A34" s="17"/>
      <c r="B34" s="75"/>
      <c r="C34" s="82"/>
      <c r="D34" s="63"/>
      <c r="E34" s="63"/>
      <c r="F34" s="76"/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4" hidden="1" x14ac:dyDescent="0.3">
      <c r="A35" s="17"/>
      <c r="B35" s="75"/>
      <c r="C35" s="82"/>
      <c r="D35" s="63"/>
      <c r="E35" s="63"/>
      <c r="F35" s="76"/>
      <c r="G35" s="17"/>
      <c r="H35" s="17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4" x14ac:dyDescent="0.3">
      <c r="A36" s="17"/>
      <c r="B36" s="17"/>
      <c r="C36" s="82"/>
      <c r="D36" s="63"/>
      <c r="E36" s="63"/>
      <c r="F36" s="63"/>
      <c r="G36" s="17"/>
      <c r="H36" s="17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4" x14ac:dyDescent="0.3">
      <c r="A37" s="17"/>
      <c r="B37" s="17"/>
      <c r="C37" s="82"/>
      <c r="D37" s="63"/>
      <c r="E37" s="63"/>
      <c r="F37" s="63"/>
      <c r="G37" s="17"/>
      <c r="H37" s="17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4" x14ac:dyDescent="0.3">
      <c r="A38" s="17"/>
      <c r="B38" s="17"/>
      <c r="C38" s="82"/>
      <c r="D38" s="63"/>
      <c r="E38" s="63"/>
      <c r="F38" s="63"/>
      <c r="G38" s="17"/>
      <c r="H38" s="17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4" x14ac:dyDescent="0.3">
      <c r="A39" s="17"/>
      <c r="B39" s="17"/>
      <c r="C39" s="82"/>
      <c r="D39" s="63"/>
      <c r="E39" s="63"/>
      <c r="F39" s="63"/>
      <c r="G39" s="17"/>
      <c r="H39" s="17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4" x14ac:dyDescent="0.3">
      <c r="A40" s="17"/>
      <c r="B40" s="17"/>
      <c r="C40" s="82"/>
      <c r="D40" s="63"/>
      <c r="E40" s="63"/>
      <c r="F40" s="63"/>
      <c r="G40" s="17"/>
      <c r="H40" s="17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4" x14ac:dyDescent="0.3">
      <c r="A41" s="17"/>
      <c r="B41" s="17"/>
      <c r="C41" s="82"/>
      <c r="D41" s="63"/>
      <c r="E41" s="63"/>
      <c r="F41" s="63"/>
      <c r="G41" s="17"/>
      <c r="H41" s="17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4" x14ac:dyDescent="0.3">
      <c r="A42" s="17"/>
      <c r="B42" s="17"/>
      <c r="C42" s="82"/>
      <c r="D42" s="63"/>
      <c r="E42" s="63"/>
      <c r="F42" s="63"/>
      <c r="G42" s="17"/>
      <c r="H42" s="17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4" x14ac:dyDescent="0.3">
      <c r="A43" s="17"/>
      <c r="B43" s="17"/>
      <c r="C43" s="82"/>
      <c r="D43" s="63"/>
      <c r="E43" s="63"/>
      <c r="F43" s="63"/>
      <c r="G43" s="17"/>
      <c r="H43" s="17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4" x14ac:dyDescent="0.3">
      <c r="A44" s="17"/>
      <c r="B44" s="17"/>
      <c r="C44" s="82"/>
      <c r="D44" s="63"/>
      <c r="E44" s="63"/>
      <c r="F44" s="63"/>
      <c r="G44" s="17"/>
      <c r="H44" s="17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4" x14ac:dyDescent="0.3">
      <c r="A45" s="17"/>
      <c r="B45" s="17"/>
      <c r="C45" s="82"/>
      <c r="D45" s="63"/>
      <c r="E45" s="63"/>
      <c r="F45" s="63"/>
      <c r="G45" s="17"/>
      <c r="H45" s="17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4" x14ac:dyDescent="0.3">
      <c r="A46" s="17"/>
      <c r="B46" s="17"/>
      <c r="C46" s="82"/>
      <c r="D46" s="63"/>
      <c r="E46" s="63"/>
      <c r="F46" s="63"/>
      <c r="G46" s="17"/>
      <c r="H46" s="17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4" x14ac:dyDescent="0.3">
      <c r="A47" s="17"/>
      <c r="B47" s="17"/>
      <c r="C47" s="82"/>
      <c r="D47" s="63"/>
      <c r="E47" s="63"/>
      <c r="F47" s="63"/>
      <c r="G47" s="17"/>
      <c r="H47" s="17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4" x14ac:dyDescent="0.3">
      <c r="A48" s="17"/>
      <c r="B48" s="17"/>
      <c r="C48" s="82"/>
      <c r="D48" s="63"/>
      <c r="E48" s="63"/>
      <c r="F48" s="63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4" x14ac:dyDescent="0.3">
      <c r="A49" s="17"/>
      <c r="B49" s="17"/>
      <c r="C49" s="82"/>
      <c r="D49" s="63"/>
      <c r="E49" s="63"/>
      <c r="F49" s="63"/>
      <c r="G49" s="17"/>
      <c r="H49" s="17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4" x14ac:dyDescent="0.3">
      <c r="A50" s="17"/>
      <c r="B50" s="17"/>
      <c r="C50" s="82"/>
      <c r="D50" s="63"/>
      <c r="E50" s="63"/>
      <c r="F50" s="63"/>
      <c r="G50" s="17"/>
      <c r="H50" s="17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4" x14ac:dyDescent="0.3">
      <c r="A51" s="17"/>
      <c r="B51" s="17"/>
      <c r="C51" s="82"/>
      <c r="D51" s="63"/>
      <c r="E51" s="63"/>
      <c r="F51" s="63"/>
      <c r="G51" s="17"/>
      <c r="H51" s="17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4" x14ac:dyDescent="0.3">
      <c r="A52" s="17"/>
      <c r="B52" s="17"/>
      <c r="C52" s="82"/>
      <c r="D52" s="63"/>
      <c r="E52" s="63"/>
      <c r="F52" s="63"/>
      <c r="G52" s="17"/>
      <c r="H52" s="17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4" x14ac:dyDescent="0.3">
      <c r="A53" s="17"/>
      <c r="B53" s="17"/>
      <c r="C53" s="82"/>
      <c r="D53" s="63"/>
      <c r="E53" s="63"/>
      <c r="F53" s="63"/>
      <c r="G53" s="17"/>
      <c r="H53" s="17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4" x14ac:dyDescent="0.3">
      <c r="A54" s="17"/>
      <c r="B54" s="17"/>
      <c r="C54" s="82"/>
      <c r="D54" s="63"/>
      <c r="E54" s="63"/>
      <c r="F54" s="63"/>
      <c r="G54" s="17"/>
      <c r="H54" s="17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4" x14ac:dyDescent="0.3">
      <c r="A55" s="17"/>
      <c r="B55" s="17"/>
      <c r="C55" s="82"/>
      <c r="D55" s="63"/>
      <c r="E55" s="63"/>
      <c r="F55" s="63"/>
      <c r="G55" s="17"/>
      <c r="H55" s="17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4" x14ac:dyDescent="0.3">
      <c r="A56" s="17"/>
      <c r="B56" s="17"/>
      <c r="C56" s="82"/>
      <c r="D56" s="63"/>
      <c r="E56" s="63"/>
      <c r="F56" s="63"/>
      <c r="G56" s="17"/>
      <c r="H56" s="17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4" x14ac:dyDescent="0.3">
      <c r="A57" s="17"/>
      <c r="B57" s="17"/>
      <c r="C57" s="82"/>
      <c r="D57" s="63"/>
      <c r="E57" s="63"/>
      <c r="F57" s="63"/>
      <c r="G57" s="17"/>
      <c r="H57" s="17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4" x14ac:dyDescent="0.3">
      <c r="A58" s="17"/>
      <c r="B58" s="17"/>
      <c r="C58" s="82"/>
      <c r="D58" s="63"/>
      <c r="E58" s="63"/>
      <c r="F58" s="63"/>
      <c r="G58" s="17"/>
      <c r="H58" s="17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4" x14ac:dyDescent="0.3">
      <c r="A59" s="17"/>
      <c r="B59" s="17"/>
      <c r="C59" s="82"/>
      <c r="D59" s="63"/>
      <c r="E59" s="63"/>
      <c r="F59" s="63"/>
      <c r="G59" s="17"/>
      <c r="H59" s="17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4" x14ac:dyDescent="0.3">
      <c r="A60" s="17"/>
      <c r="B60" s="17"/>
      <c r="C60" s="82"/>
      <c r="D60" s="63"/>
      <c r="E60" s="63"/>
      <c r="F60" s="63"/>
      <c r="G60" s="17"/>
      <c r="H60" s="17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4" x14ac:dyDescent="0.3">
      <c r="A61" s="17"/>
      <c r="B61" s="17"/>
      <c r="C61" s="82"/>
      <c r="D61" s="63"/>
      <c r="E61" s="63"/>
      <c r="F61" s="63"/>
      <c r="G61" s="17"/>
      <c r="H61" s="17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4" x14ac:dyDescent="0.3">
      <c r="A62" s="17"/>
      <c r="B62" s="17"/>
      <c r="C62" s="82"/>
      <c r="D62" s="63"/>
      <c r="E62" s="63"/>
      <c r="F62" s="63"/>
      <c r="G62" s="17"/>
      <c r="H62" s="17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4" x14ac:dyDescent="0.3">
      <c r="A63" s="17"/>
      <c r="B63" s="17"/>
      <c r="C63" s="82"/>
      <c r="D63" s="63"/>
      <c r="E63" s="63"/>
      <c r="F63" s="63"/>
      <c r="G63" s="17"/>
      <c r="H63" s="17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4" x14ac:dyDescent="0.3">
      <c r="A64" s="17"/>
      <c r="B64" s="17"/>
      <c r="C64" s="82"/>
      <c r="D64" s="63"/>
      <c r="E64" s="63"/>
      <c r="F64" s="63"/>
      <c r="G64" s="17"/>
      <c r="H64" s="17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4" x14ac:dyDescent="0.3">
      <c r="A65" s="17"/>
      <c r="B65" s="17"/>
      <c r="C65" s="82"/>
      <c r="D65" s="63"/>
      <c r="E65" s="63"/>
      <c r="F65" s="63"/>
      <c r="G65" s="17"/>
      <c r="H65" s="17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4" x14ac:dyDescent="0.3">
      <c r="A66" s="17"/>
      <c r="B66" s="17"/>
      <c r="C66" s="82"/>
      <c r="D66" s="63"/>
      <c r="E66" s="63"/>
      <c r="F66" s="63"/>
      <c r="G66" s="17"/>
      <c r="H66" s="17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4" x14ac:dyDescent="0.3">
      <c r="A67" s="17"/>
      <c r="B67" s="17"/>
      <c r="C67" s="82"/>
      <c r="D67" s="63"/>
      <c r="E67" s="63"/>
      <c r="F67" s="63"/>
      <c r="G67" s="17"/>
      <c r="H67" s="17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4" x14ac:dyDescent="0.3">
      <c r="A68" s="17"/>
      <c r="B68" s="17"/>
      <c r="C68" s="82"/>
      <c r="D68" s="63"/>
      <c r="E68" s="63"/>
      <c r="F68" s="63"/>
      <c r="G68" s="17"/>
      <c r="H68" s="17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4" x14ac:dyDescent="0.3">
      <c r="A69" s="17"/>
      <c r="B69" s="17"/>
      <c r="C69" s="82"/>
      <c r="D69" s="63"/>
      <c r="E69" s="63"/>
      <c r="F69" s="63"/>
      <c r="G69" s="17"/>
      <c r="H69" s="17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4" x14ac:dyDescent="0.3">
      <c r="A70" s="17"/>
      <c r="B70" s="17"/>
      <c r="C70" s="82"/>
      <c r="D70" s="63"/>
      <c r="E70" s="63"/>
      <c r="F70" s="63"/>
      <c r="G70" s="17"/>
      <c r="H70" s="17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4" x14ac:dyDescent="0.3">
      <c r="A71" s="17"/>
      <c r="B71" s="17"/>
      <c r="C71" s="82"/>
      <c r="D71" s="63"/>
      <c r="E71" s="63"/>
      <c r="F71" s="63"/>
      <c r="G71" s="17"/>
      <c r="H71" s="17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4" x14ac:dyDescent="0.3">
      <c r="A72" s="17"/>
      <c r="B72" s="17"/>
      <c r="C72" s="82"/>
      <c r="D72" s="63"/>
      <c r="E72" s="63"/>
      <c r="F72" s="63"/>
      <c r="G72" s="17"/>
      <c r="H72" s="17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4" x14ac:dyDescent="0.3">
      <c r="A73" s="17"/>
      <c r="B73" s="17"/>
      <c r="C73" s="82"/>
      <c r="D73" s="63"/>
      <c r="E73" s="63"/>
      <c r="F73" s="63"/>
      <c r="G73" s="17"/>
      <c r="H73" s="17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4" x14ac:dyDescent="0.3">
      <c r="A74" s="17"/>
      <c r="B74" s="17"/>
      <c r="C74" s="82"/>
      <c r="D74" s="63"/>
      <c r="E74" s="63"/>
      <c r="F74" s="63"/>
      <c r="G74" s="17"/>
      <c r="H74" s="17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4" x14ac:dyDescent="0.3">
      <c r="A75" s="17"/>
      <c r="B75" s="17"/>
      <c r="C75" s="82"/>
      <c r="D75" s="63"/>
      <c r="E75" s="63"/>
      <c r="F75" s="63"/>
      <c r="G75" s="17"/>
      <c r="H75" s="17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4" x14ac:dyDescent="0.3">
      <c r="A76" s="17"/>
      <c r="B76" s="17"/>
      <c r="C76" s="82"/>
      <c r="D76" s="63"/>
      <c r="E76" s="63"/>
      <c r="F76" s="63"/>
      <c r="G76" s="17"/>
      <c r="H76" s="17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4" x14ac:dyDescent="0.3">
      <c r="A77" s="17"/>
      <c r="B77" s="17"/>
      <c r="C77" s="82"/>
      <c r="D77" s="63"/>
      <c r="E77" s="63"/>
      <c r="F77" s="63"/>
      <c r="G77" s="17"/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4" x14ac:dyDescent="0.3">
      <c r="A78" s="17"/>
      <c r="B78" s="17"/>
      <c r="C78" s="82"/>
      <c r="D78" s="63"/>
      <c r="E78" s="63"/>
      <c r="F78" s="63"/>
      <c r="G78" s="17"/>
      <c r="H78" s="17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4" x14ac:dyDescent="0.3">
      <c r="A79" s="17"/>
      <c r="B79" s="17"/>
      <c r="C79" s="82"/>
      <c r="D79" s="63"/>
      <c r="E79" s="63"/>
      <c r="F79" s="63"/>
      <c r="G79" s="17"/>
      <c r="H79" s="17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4" x14ac:dyDescent="0.3">
      <c r="A80" s="17"/>
      <c r="B80" s="17"/>
      <c r="C80" s="82"/>
      <c r="D80" s="63"/>
      <c r="E80" s="63"/>
      <c r="F80" s="63"/>
      <c r="G80" s="17"/>
      <c r="H80" s="17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4" x14ac:dyDescent="0.3">
      <c r="A81" s="17"/>
      <c r="B81" s="17"/>
      <c r="C81" s="82"/>
      <c r="D81" s="63"/>
      <c r="E81" s="63"/>
      <c r="F81" s="63"/>
      <c r="G81" s="17"/>
      <c r="H81" s="17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4" x14ac:dyDescent="0.3">
      <c r="A82" s="17"/>
      <c r="B82" s="17"/>
      <c r="C82" s="82"/>
      <c r="D82" s="63"/>
      <c r="E82" s="63"/>
      <c r="F82" s="63"/>
      <c r="G82" s="17"/>
      <c r="H82" s="17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4" x14ac:dyDescent="0.3">
      <c r="A83" s="17"/>
      <c r="B83" s="17"/>
      <c r="C83" s="82"/>
      <c r="D83" s="63"/>
      <c r="E83" s="63"/>
      <c r="F83" s="63"/>
      <c r="G83" s="17"/>
      <c r="H83" s="17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4" x14ac:dyDescent="0.3">
      <c r="A84" s="17"/>
      <c r="B84" s="17"/>
      <c r="C84" s="82"/>
      <c r="D84" s="63"/>
      <c r="E84" s="63"/>
      <c r="F84" s="63"/>
      <c r="G84" s="17"/>
      <c r="H84" s="17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4" x14ac:dyDescent="0.3">
      <c r="A85" s="17"/>
      <c r="B85" s="17"/>
      <c r="C85" s="82"/>
      <c r="D85" s="63"/>
      <c r="E85" s="63"/>
      <c r="F85" s="63"/>
      <c r="G85" s="17"/>
      <c r="H85" s="17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4" x14ac:dyDescent="0.3">
      <c r="A86" s="17"/>
      <c r="B86" s="17"/>
      <c r="C86" s="82"/>
      <c r="D86" s="63"/>
      <c r="E86" s="63"/>
      <c r="F86" s="63"/>
      <c r="G86" s="17"/>
      <c r="H86" s="17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4" x14ac:dyDescent="0.3">
      <c r="A87" s="17"/>
      <c r="B87" s="17"/>
      <c r="C87" s="82"/>
      <c r="D87" s="63"/>
      <c r="E87" s="63"/>
      <c r="F87" s="63"/>
      <c r="G87" s="17"/>
      <c r="H87" s="17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4" x14ac:dyDescent="0.3">
      <c r="A88" s="17"/>
      <c r="B88" s="17"/>
      <c r="C88" s="82"/>
      <c r="D88" s="63"/>
      <c r="E88" s="63"/>
      <c r="F88" s="63"/>
      <c r="G88" s="17"/>
      <c r="H88" s="17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4" x14ac:dyDescent="0.3">
      <c r="A89" s="17"/>
      <c r="B89" s="17"/>
      <c r="C89" s="82"/>
      <c r="D89" s="63"/>
      <c r="E89" s="63"/>
      <c r="F89" s="63"/>
      <c r="G89" s="17"/>
      <c r="H89" s="17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4" x14ac:dyDescent="0.3">
      <c r="A90" s="17"/>
      <c r="B90" s="17"/>
      <c r="C90" s="82"/>
      <c r="D90" s="63"/>
      <c r="E90" s="63"/>
      <c r="F90" s="63"/>
      <c r="G90" s="17"/>
      <c r="H90" s="17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4" x14ac:dyDescent="0.3">
      <c r="A91" s="17"/>
      <c r="B91" s="17"/>
      <c r="C91" s="82"/>
      <c r="D91" s="63"/>
      <c r="E91" s="63"/>
      <c r="F91" s="63"/>
      <c r="G91" s="17"/>
      <c r="H91" s="17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4" x14ac:dyDescent="0.3">
      <c r="A92" s="17"/>
      <c r="B92" s="17"/>
      <c r="C92" s="82"/>
      <c r="D92" s="63"/>
      <c r="E92" s="63"/>
      <c r="F92" s="63"/>
      <c r="G92" s="17"/>
      <c r="H92" s="17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4" x14ac:dyDescent="0.3">
      <c r="A93" s="17"/>
      <c r="B93" s="17"/>
      <c r="C93" s="82"/>
      <c r="D93" s="63"/>
      <c r="E93" s="63"/>
      <c r="F93" s="63"/>
      <c r="G93" s="17"/>
      <c r="H93" s="17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4" x14ac:dyDescent="0.3">
      <c r="A94" s="17"/>
      <c r="B94" s="17"/>
      <c r="C94" s="82"/>
      <c r="D94" s="63"/>
      <c r="E94" s="63"/>
      <c r="F94" s="63"/>
      <c r="G94" s="17"/>
      <c r="H94" s="17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4" x14ac:dyDescent="0.3">
      <c r="A95" s="17"/>
      <c r="B95" s="17"/>
      <c r="C95" s="82"/>
      <c r="D95" s="63"/>
      <c r="E95" s="63"/>
      <c r="F95" s="63"/>
      <c r="G95" s="17"/>
      <c r="H95" s="17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4" x14ac:dyDescent="0.3">
      <c r="A96" s="17"/>
      <c r="B96" s="17"/>
      <c r="C96" s="82"/>
      <c r="D96" s="63"/>
      <c r="E96" s="63"/>
      <c r="F96" s="63"/>
      <c r="G96" s="17"/>
      <c r="H96" s="17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4" x14ac:dyDescent="0.3">
      <c r="A97" s="17"/>
      <c r="B97" s="17"/>
      <c r="C97" s="82"/>
      <c r="D97" s="63"/>
      <c r="E97" s="63"/>
      <c r="F97" s="63"/>
      <c r="G97" s="17"/>
      <c r="H97" s="17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4" x14ac:dyDescent="0.3">
      <c r="A98" s="17"/>
      <c r="B98" s="17"/>
      <c r="C98" s="82"/>
      <c r="D98" s="63"/>
      <c r="E98" s="63"/>
      <c r="F98" s="63"/>
      <c r="G98" s="17"/>
      <c r="H98" s="17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4" x14ac:dyDescent="0.3">
      <c r="A99" s="17"/>
      <c r="B99" s="17"/>
      <c r="C99" s="82"/>
      <c r="D99" s="63"/>
      <c r="E99" s="63"/>
      <c r="F99" s="63"/>
      <c r="G99" s="17"/>
      <c r="H99" s="17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4" x14ac:dyDescent="0.3">
      <c r="A100" s="17"/>
      <c r="B100" s="17"/>
      <c r="C100" s="82"/>
      <c r="D100" s="63"/>
      <c r="E100" s="63"/>
      <c r="F100" s="63"/>
      <c r="G100" s="17"/>
      <c r="H100" s="17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4" x14ac:dyDescent="0.3">
      <c r="A101" s="17"/>
      <c r="B101" s="17"/>
      <c r="C101" s="82"/>
      <c r="D101" s="63"/>
      <c r="E101" s="63"/>
      <c r="F101" s="63"/>
      <c r="G101" s="17"/>
      <c r="H101" s="17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4" x14ac:dyDescent="0.3">
      <c r="A102" s="17"/>
      <c r="B102" s="17"/>
      <c r="C102" s="82"/>
      <c r="D102" s="63"/>
      <c r="E102" s="63"/>
      <c r="F102" s="63"/>
      <c r="G102" s="17"/>
      <c r="H102" s="17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4" x14ac:dyDescent="0.3">
      <c r="A103" s="17"/>
      <c r="B103" s="17"/>
      <c r="C103" s="82"/>
      <c r="D103" s="63"/>
      <c r="E103" s="63"/>
      <c r="F103" s="63"/>
      <c r="G103" s="17"/>
      <c r="H103" s="17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4" x14ac:dyDescent="0.3">
      <c r="A104" s="17"/>
      <c r="B104" s="17"/>
      <c r="C104" s="82"/>
      <c r="D104" s="63"/>
      <c r="E104" s="63"/>
      <c r="F104" s="63"/>
      <c r="G104" s="17"/>
      <c r="H104" s="17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4" x14ac:dyDescent="0.3">
      <c r="A105" s="17"/>
      <c r="B105" s="17"/>
      <c r="C105" s="82"/>
      <c r="D105" s="63"/>
      <c r="E105" s="63"/>
      <c r="F105" s="63"/>
      <c r="G105" s="17"/>
      <c r="H105" s="17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4" x14ac:dyDescent="0.3">
      <c r="A106" s="17"/>
      <c r="B106" s="17"/>
      <c r="C106" s="82"/>
      <c r="D106" s="63"/>
      <c r="E106" s="63"/>
      <c r="F106" s="63"/>
      <c r="G106" s="17"/>
      <c r="H106" s="17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4" x14ac:dyDescent="0.3">
      <c r="A107" s="17"/>
      <c r="B107" s="17"/>
      <c r="C107" s="82"/>
      <c r="D107" s="63"/>
      <c r="E107" s="63"/>
      <c r="F107" s="63"/>
      <c r="G107" s="17"/>
      <c r="H107" s="17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4" x14ac:dyDescent="0.3">
      <c r="A108" s="17"/>
      <c r="B108" s="17"/>
      <c r="C108" s="82"/>
      <c r="D108" s="63"/>
      <c r="E108" s="63"/>
      <c r="F108" s="63"/>
      <c r="G108" s="17"/>
      <c r="H108" s="17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4" x14ac:dyDescent="0.3">
      <c r="A109" s="17"/>
      <c r="B109" s="17"/>
      <c r="C109" s="82"/>
      <c r="D109" s="63"/>
      <c r="E109" s="63"/>
      <c r="F109" s="63"/>
      <c r="G109" s="17"/>
      <c r="H109" s="17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4" x14ac:dyDescent="0.3">
      <c r="A110" s="17"/>
      <c r="B110" s="17"/>
      <c r="C110" s="82"/>
      <c r="D110" s="63"/>
      <c r="E110" s="63"/>
      <c r="F110" s="63"/>
      <c r="G110" s="17"/>
      <c r="H110" s="17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4" x14ac:dyDescent="0.3">
      <c r="A111" s="17"/>
      <c r="B111" s="17"/>
      <c r="C111" s="82"/>
      <c r="D111" s="63"/>
      <c r="E111" s="63"/>
      <c r="F111" s="63"/>
      <c r="G111" s="17"/>
      <c r="H111" s="17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4" x14ac:dyDescent="0.3">
      <c r="A112" s="17"/>
      <c r="B112" s="17"/>
      <c r="C112" s="82"/>
      <c r="D112" s="63"/>
      <c r="E112" s="63"/>
      <c r="F112" s="63"/>
      <c r="G112" s="17"/>
      <c r="H112" s="17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4" x14ac:dyDescent="0.3">
      <c r="A113" s="17"/>
      <c r="B113" s="17"/>
      <c r="C113" s="82"/>
      <c r="D113" s="63"/>
      <c r="E113" s="63"/>
      <c r="F113" s="63"/>
      <c r="G113" s="17"/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4" x14ac:dyDescent="0.3">
      <c r="A114" s="17"/>
      <c r="B114" s="17"/>
      <c r="C114" s="82"/>
      <c r="D114" s="63"/>
      <c r="E114" s="63"/>
      <c r="F114" s="63"/>
      <c r="G114" s="17"/>
      <c r="H114" s="17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4" x14ac:dyDescent="0.3">
      <c r="A115" s="17"/>
      <c r="B115" s="17"/>
      <c r="C115" s="82"/>
      <c r="D115" s="63"/>
      <c r="E115" s="63"/>
      <c r="F115" s="63"/>
      <c r="G115" s="17"/>
      <c r="H115" s="17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4" x14ac:dyDescent="0.3">
      <c r="A116" s="17"/>
      <c r="B116" s="17"/>
      <c r="C116" s="82"/>
      <c r="D116" s="63"/>
      <c r="E116" s="63"/>
      <c r="F116" s="63"/>
      <c r="G116" s="17"/>
      <c r="H116" s="17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4" x14ac:dyDescent="0.3">
      <c r="A117" s="17"/>
      <c r="B117" s="17"/>
      <c r="C117" s="82"/>
      <c r="D117" s="63"/>
      <c r="E117" s="63"/>
      <c r="F117" s="63"/>
      <c r="G117" s="17"/>
      <c r="H117" s="17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4" x14ac:dyDescent="0.3">
      <c r="A118" s="17"/>
      <c r="B118" s="17"/>
      <c r="C118" s="82"/>
      <c r="D118" s="63"/>
      <c r="E118" s="63"/>
      <c r="F118" s="63"/>
      <c r="G118" s="17"/>
      <c r="H118" s="17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4" x14ac:dyDescent="0.3">
      <c r="A119" s="17"/>
      <c r="B119" s="17"/>
      <c r="C119" s="82"/>
      <c r="D119" s="63"/>
      <c r="E119" s="63"/>
      <c r="F119" s="63"/>
      <c r="G119" s="17"/>
      <c r="H119" s="17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4" x14ac:dyDescent="0.3">
      <c r="A120" s="17"/>
      <c r="B120" s="17"/>
      <c r="C120" s="82"/>
      <c r="D120" s="63"/>
      <c r="E120" s="63"/>
      <c r="F120" s="63"/>
      <c r="G120" s="17"/>
      <c r="H120" s="17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4" x14ac:dyDescent="0.3">
      <c r="A121" s="17"/>
      <c r="B121" s="17"/>
      <c r="C121" s="82"/>
      <c r="D121" s="63"/>
      <c r="E121" s="63"/>
      <c r="F121" s="63"/>
      <c r="G121" s="17"/>
      <c r="H121" s="17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4" x14ac:dyDescent="0.3">
      <c r="A122" s="17"/>
      <c r="B122" s="17"/>
      <c r="C122" s="82"/>
      <c r="D122" s="63"/>
      <c r="E122" s="63"/>
      <c r="F122" s="63"/>
      <c r="G122" s="17"/>
      <c r="H122" s="17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4" x14ac:dyDescent="0.3">
      <c r="A123" s="17"/>
      <c r="B123" s="17"/>
      <c r="C123" s="82"/>
      <c r="D123" s="63"/>
      <c r="E123" s="63"/>
      <c r="F123" s="63"/>
      <c r="G123" s="17"/>
      <c r="H123" s="17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4" x14ac:dyDescent="0.3">
      <c r="A124" s="17"/>
      <c r="B124" s="17"/>
      <c r="C124" s="82"/>
      <c r="D124" s="63"/>
      <c r="E124" s="63"/>
      <c r="F124" s="63"/>
      <c r="G124" s="17"/>
      <c r="H124" s="17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4" x14ac:dyDescent="0.3">
      <c r="A125" s="17"/>
      <c r="B125" s="17"/>
      <c r="C125" s="82"/>
      <c r="D125" s="63"/>
      <c r="E125" s="63"/>
      <c r="F125" s="63"/>
      <c r="G125" s="17"/>
      <c r="H125" s="17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4" x14ac:dyDescent="0.3">
      <c r="A126" s="17"/>
      <c r="B126" s="17"/>
      <c r="C126" s="82"/>
      <c r="D126" s="63"/>
      <c r="E126" s="63"/>
      <c r="F126" s="63"/>
      <c r="G126" s="17"/>
      <c r="H126" s="17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4" x14ac:dyDescent="0.3">
      <c r="A127" s="17"/>
      <c r="B127" s="17"/>
      <c r="C127" s="82"/>
      <c r="D127" s="63"/>
      <c r="E127" s="63"/>
      <c r="F127" s="63"/>
      <c r="G127" s="17"/>
      <c r="H127" s="17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4" x14ac:dyDescent="0.3">
      <c r="A128" s="17"/>
      <c r="B128" s="17"/>
      <c r="C128" s="82"/>
      <c r="D128" s="63"/>
      <c r="E128" s="63"/>
      <c r="F128" s="63"/>
      <c r="G128" s="17"/>
      <c r="H128" s="17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4" x14ac:dyDescent="0.3">
      <c r="A129" s="17"/>
      <c r="B129" s="17"/>
      <c r="C129" s="82"/>
      <c r="D129" s="63"/>
      <c r="E129" s="63"/>
      <c r="F129" s="63"/>
      <c r="G129" s="17"/>
      <c r="H129" s="17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4" x14ac:dyDescent="0.3">
      <c r="A130" s="17"/>
      <c r="B130" s="17"/>
      <c r="C130" s="82"/>
      <c r="D130" s="63"/>
      <c r="E130" s="63"/>
      <c r="F130" s="63"/>
      <c r="G130" s="17"/>
      <c r="H130" s="17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4" x14ac:dyDescent="0.3">
      <c r="A131" s="17"/>
      <c r="B131" s="17"/>
      <c r="C131" s="82"/>
      <c r="D131" s="63"/>
      <c r="E131" s="63"/>
      <c r="F131" s="63"/>
      <c r="G131" s="17"/>
      <c r="H131" s="17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4" x14ac:dyDescent="0.3">
      <c r="A132" s="17"/>
      <c r="B132" s="17"/>
      <c r="C132" s="82"/>
      <c r="D132" s="63"/>
      <c r="E132" s="63"/>
      <c r="F132" s="63"/>
      <c r="G132" s="17"/>
      <c r="H132" s="17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4" x14ac:dyDescent="0.3">
      <c r="A133" s="17"/>
      <c r="B133" s="17"/>
      <c r="C133" s="82"/>
      <c r="D133" s="63"/>
      <c r="E133" s="63"/>
      <c r="F133" s="63"/>
      <c r="G133" s="17"/>
      <c r="H133" s="17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4" x14ac:dyDescent="0.3">
      <c r="A134" s="17"/>
      <c r="B134" s="17"/>
      <c r="C134" s="82"/>
      <c r="D134" s="63"/>
      <c r="E134" s="63"/>
      <c r="F134" s="63"/>
      <c r="G134" s="17"/>
      <c r="H134" s="17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4" x14ac:dyDescent="0.3">
      <c r="A135" s="17"/>
      <c r="B135" s="17"/>
      <c r="C135" s="82"/>
      <c r="D135" s="63"/>
      <c r="E135" s="63"/>
      <c r="F135" s="63"/>
      <c r="G135" s="17"/>
      <c r="H135" s="17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4" x14ac:dyDescent="0.3">
      <c r="A136" s="17"/>
      <c r="B136" s="17"/>
      <c r="C136" s="82"/>
      <c r="D136" s="63"/>
      <c r="E136" s="63"/>
      <c r="F136" s="63"/>
      <c r="G136" s="17"/>
      <c r="H136" s="17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4" x14ac:dyDescent="0.3">
      <c r="A137" s="17"/>
      <c r="B137" s="17"/>
      <c r="C137" s="82"/>
      <c r="D137" s="63"/>
      <c r="E137" s="63"/>
      <c r="F137" s="63"/>
      <c r="G137" s="17"/>
      <c r="H137" s="17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4" x14ac:dyDescent="0.3">
      <c r="A138" s="17"/>
      <c r="B138" s="17"/>
      <c r="C138" s="82"/>
      <c r="D138" s="63"/>
      <c r="E138" s="63"/>
      <c r="F138" s="63"/>
      <c r="G138" s="17"/>
      <c r="H138" s="17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4" x14ac:dyDescent="0.3">
      <c r="A139" s="17"/>
      <c r="B139" s="17"/>
      <c r="C139" s="82"/>
      <c r="D139" s="63"/>
      <c r="E139" s="63"/>
      <c r="F139" s="63"/>
      <c r="G139" s="17"/>
      <c r="H139" s="17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4" x14ac:dyDescent="0.3">
      <c r="A140" s="17"/>
      <c r="B140" s="17"/>
      <c r="C140" s="82"/>
      <c r="D140" s="63"/>
      <c r="E140" s="63"/>
      <c r="F140" s="63"/>
      <c r="G140" s="17"/>
      <c r="H140" s="17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4" x14ac:dyDescent="0.3">
      <c r="A141" s="17"/>
      <c r="B141" s="17"/>
      <c r="C141" s="82"/>
      <c r="D141" s="63"/>
      <c r="E141" s="63"/>
      <c r="F141" s="63"/>
      <c r="G141" s="17"/>
      <c r="H141" s="17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4" x14ac:dyDescent="0.3">
      <c r="A142" s="17"/>
      <c r="B142" s="17"/>
      <c r="C142" s="82"/>
      <c r="D142" s="63"/>
      <c r="E142" s="63"/>
      <c r="F142" s="63"/>
      <c r="G142" s="17"/>
      <c r="H142" s="17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4" x14ac:dyDescent="0.3">
      <c r="A143" s="17"/>
      <c r="B143" s="17"/>
      <c r="C143" s="82"/>
      <c r="D143" s="63"/>
      <c r="E143" s="63"/>
      <c r="F143" s="63"/>
      <c r="G143" s="17"/>
      <c r="H143" s="17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4" x14ac:dyDescent="0.3">
      <c r="A144" s="17"/>
      <c r="B144" s="17"/>
      <c r="C144" s="82"/>
      <c r="D144" s="63"/>
      <c r="E144" s="63"/>
      <c r="F144" s="63"/>
      <c r="G144" s="17"/>
      <c r="H144" s="17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4" x14ac:dyDescent="0.3">
      <c r="A145" s="17"/>
      <c r="B145" s="17"/>
      <c r="C145" s="82"/>
      <c r="D145" s="63"/>
      <c r="E145" s="63"/>
      <c r="F145" s="63"/>
      <c r="G145" s="17"/>
      <c r="H145" s="17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4" x14ac:dyDescent="0.3">
      <c r="A146" s="17"/>
      <c r="B146" s="17"/>
      <c r="C146" s="82"/>
      <c r="D146" s="63"/>
      <c r="E146" s="63"/>
      <c r="F146" s="63"/>
      <c r="G146" s="17"/>
      <c r="H146" s="17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4" x14ac:dyDescent="0.3">
      <c r="A147" s="17"/>
      <c r="B147" s="17"/>
      <c r="C147" s="82"/>
      <c r="D147" s="63"/>
      <c r="E147" s="63"/>
      <c r="F147" s="63"/>
      <c r="G147" s="17"/>
      <c r="H147" s="17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4" x14ac:dyDescent="0.3">
      <c r="A148" s="17"/>
      <c r="B148" s="17"/>
      <c r="C148" s="82"/>
      <c r="D148" s="63"/>
      <c r="E148" s="63"/>
      <c r="F148" s="63"/>
      <c r="G148" s="17"/>
      <c r="H148" s="17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4" x14ac:dyDescent="0.3">
      <c r="A149" s="17"/>
      <c r="B149" s="17"/>
      <c r="C149" s="82"/>
      <c r="D149" s="63"/>
      <c r="E149" s="63"/>
      <c r="F149" s="63"/>
      <c r="G149" s="17"/>
      <c r="H149" s="17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4" x14ac:dyDescent="0.3">
      <c r="A150" s="17"/>
      <c r="B150" s="17"/>
      <c r="C150" s="82"/>
      <c r="D150" s="63"/>
      <c r="E150" s="63"/>
      <c r="F150" s="63"/>
      <c r="G150" s="17"/>
      <c r="H150" s="17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4" x14ac:dyDescent="0.3">
      <c r="A151" s="17"/>
      <c r="B151" s="17"/>
      <c r="C151" s="82"/>
      <c r="D151" s="63"/>
      <c r="E151" s="63"/>
      <c r="F151" s="63"/>
      <c r="G151" s="17"/>
      <c r="H151" s="17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4" x14ac:dyDescent="0.3">
      <c r="A152" s="17"/>
      <c r="B152" s="17"/>
      <c r="C152" s="82"/>
      <c r="D152" s="63"/>
      <c r="E152" s="63"/>
      <c r="F152" s="63"/>
      <c r="G152" s="17"/>
      <c r="H152" s="17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4" x14ac:dyDescent="0.3">
      <c r="A153" s="17"/>
      <c r="B153" s="17"/>
      <c r="C153" s="82"/>
      <c r="D153" s="63"/>
      <c r="E153" s="63"/>
      <c r="F153" s="63"/>
      <c r="G153" s="17"/>
      <c r="H153" s="17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4" x14ac:dyDescent="0.3">
      <c r="A154" s="17"/>
      <c r="B154" s="17"/>
      <c r="C154" s="82"/>
      <c r="D154" s="63"/>
      <c r="E154" s="63"/>
      <c r="F154" s="63"/>
      <c r="G154" s="17"/>
      <c r="H154" s="17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4" x14ac:dyDescent="0.3">
      <c r="A155" s="17"/>
      <c r="B155" s="17"/>
      <c r="C155" s="82"/>
      <c r="D155" s="63"/>
      <c r="E155" s="63"/>
      <c r="F155" s="63"/>
      <c r="G155" s="17"/>
      <c r="H155" s="17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4" x14ac:dyDescent="0.3">
      <c r="A156" s="17"/>
      <c r="B156" s="17"/>
      <c r="C156" s="82"/>
      <c r="D156" s="63"/>
      <c r="E156" s="63"/>
      <c r="F156" s="63"/>
      <c r="G156" s="17"/>
      <c r="H156" s="17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4" x14ac:dyDescent="0.3">
      <c r="A157" s="17"/>
      <c r="B157" s="17"/>
      <c r="C157" s="82"/>
      <c r="D157" s="63"/>
      <c r="E157" s="63"/>
      <c r="F157" s="63"/>
      <c r="G157" s="17"/>
      <c r="H157" s="17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4" x14ac:dyDescent="0.3">
      <c r="A158" s="17"/>
      <c r="B158" s="17"/>
      <c r="C158" s="82"/>
      <c r="D158" s="63"/>
      <c r="E158" s="63"/>
      <c r="F158" s="63"/>
      <c r="G158" s="17"/>
      <c r="H158" s="17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4" x14ac:dyDescent="0.3">
      <c r="A159" s="17"/>
      <c r="B159" s="17"/>
      <c r="C159" s="82"/>
      <c r="D159" s="63"/>
      <c r="E159" s="63"/>
      <c r="F159" s="63"/>
      <c r="G159" s="17"/>
      <c r="H159" s="17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4" x14ac:dyDescent="0.3">
      <c r="A160" s="17"/>
      <c r="B160" s="17"/>
      <c r="C160" s="82"/>
      <c r="D160" s="63"/>
      <c r="E160" s="63"/>
      <c r="F160" s="63"/>
      <c r="G160" s="17"/>
      <c r="H160" s="17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4" x14ac:dyDescent="0.3">
      <c r="A161" s="17"/>
      <c r="B161" s="17"/>
      <c r="C161" s="82"/>
      <c r="D161" s="63"/>
      <c r="E161" s="63"/>
      <c r="F161" s="63"/>
      <c r="G161" s="17"/>
      <c r="H161" s="17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4" x14ac:dyDescent="0.3">
      <c r="A162" s="17"/>
      <c r="B162" s="17"/>
      <c r="C162" s="82"/>
      <c r="D162" s="63"/>
      <c r="E162" s="63"/>
      <c r="F162" s="63"/>
      <c r="G162" s="17"/>
      <c r="H162" s="17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4" x14ac:dyDescent="0.3">
      <c r="A163" s="17"/>
      <c r="B163" s="17"/>
      <c r="C163" s="82"/>
      <c r="D163" s="63"/>
      <c r="E163" s="63"/>
      <c r="F163" s="63"/>
      <c r="G163" s="17"/>
      <c r="H163" s="17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4" x14ac:dyDescent="0.3">
      <c r="A164" s="17"/>
      <c r="B164" s="17"/>
      <c r="C164" s="82"/>
      <c r="D164" s="63"/>
      <c r="E164" s="63"/>
      <c r="F164" s="63"/>
      <c r="G164" s="17"/>
      <c r="H164" s="17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4" x14ac:dyDescent="0.3">
      <c r="A165" s="17"/>
      <c r="B165" s="17"/>
      <c r="C165" s="82"/>
      <c r="D165" s="63"/>
      <c r="E165" s="63"/>
      <c r="F165" s="63"/>
      <c r="G165" s="17"/>
      <c r="H165" s="17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4" x14ac:dyDescent="0.3">
      <c r="A166" s="17"/>
      <c r="B166" s="17"/>
      <c r="C166" s="82"/>
      <c r="D166" s="63"/>
      <c r="E166" s="63"/>
      <c r="F166" s="63"/>
      <c r="G166" s="17"/>
      <c r="H166" s="17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4" x14ac:dyDescent="0.3">
      <c r="A167" s="17"/>
      <c r="B167" s="17"/>
      <c r="C167" s="82"/>
      <c r="D167" s="63"/>
      <c r="E167" s="63"/>
      <c r="F167" s="63"/>
      <c r="G167" s="17"/>
      <c r="H167" s="17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4" x14ac:dyDescent="0.3">
      <c r="A168" s="17"/>
      <c r="B168" s="17"/>
      <c r="C168" s="82"/>
      <c r="D168" s="63"/>
      <c r="E168" s="63"/>
      <c r="F168" s="63"/>
      <c r="G168" s="17"/>
      <c r="H168" s="17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4" x14ac:dyDescent="0.3">
      <c r="A169" s="17"/>
      <c r="B169" s="17"/>
      <c r="C169" s="82"/>
      <c r="D169" s="63"/>
      <c r="E169" s="63"/>
      <c r="F169" s="63"/>
      <c r="G169" s="17"/>
      <c r="H169" s="17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4" x14ac:dyDescent="0.3">
      <c r="A170" s="17"/>
      <c r="B170" s="17"/>
      <c r="C170" s="82"/>
      <c r="D170" s="63"/>
      <c r="E170" s="63"/>
      <c r="F170" s="63"/>
      <c r="G170" s="17"/>
      <c r="H170" s="17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4" x14ac:dyDescent="0.3">
      <c r="A171" s="17"/>
      <c r="B171" s="17"/>
      <c r="C171" s="82"/>
      <c r="D171" s="63"/>
      <c r="E171" s="63"/>
      <c r="F171" s="63"/>
      <c r="G171" s="17"/>
      <c r="H171" s="17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4" x14ac:dyDescent="0.3">
      <c r="A172" s="17"/>
      <c r="B172" s="17"/>
      <c r="C172" s="82"/>
      <c r="D172" s="63"/>
      <c r="E172" s="63"/>
      <c r="F172" s="63"/>
      <c r="G172" s="17"/>
      <c r="H172" s="17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4" x14ac:dyDescent="0.3">
      <c r="A173" s="17"/>
      <c r="B173" s="17"/>
      <c r="C173" s="82"/>
      <c r="D173" s="63"/>
      <c r="E173" s="63"/>
      <c r="F173" s="63"/>
      <c r="G173" s="17"/>
      <c r="H173" s="17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4" x14ac:dyDescent="0.3">
      <c r="A174" s="17"/>
      <c r="B174" s="17"/>
      <c r="C174" s="82"/>
      <c r="D174" s="63"/>
      <c r="E174" s="63"/>
      <c r="F174" s="63"/>
      <c r="G174" s="17"/>
      <c r="H174" s="17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4" x14ac:dyDescent="0.3">
      <c r="A175" s="17"/>
      <c r="B175" s="17"/>
      <c r="C175" s="82"/>
      <c r="D175" s="63"/>
      <c r="E175" s="63"/>
      <c r="F175" s="63"/>
      <c r="G175" s="17"/>
      <c r="H175" s="17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4" x14ac:dyDescent="0.3">
      <c r="A176" s="17"/>
      <c r="B176" s="17"/>
      <c r="C176" s="82"/>
      <c r="D176" s="63"/>
      <c r="E176" s="63"/>
      <c r="F176" s="63"/>
      <c r="G176" s="17"/>
      <c r="H176" s="17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4" x14ac:dyDescent="0.3">
      <c r="A177" s="17"/>
      <c r="B177" s="17"/>
      <c r="C177" s="82"/>
      <c r="D177" s="63"/>
      <c r="E177" s="63"/>
      <c r="F177" s="63"/>
      <c r="G177" s="17"/>
      <c r="H177" s="17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4" x14ac:dyDescent="0.3">
      <c r="A178" s="17"/>
      <c r="B178" s="17"/>
      <c r="C178" s="82"/>
      <c r="D178" s="63"/>
      <c r="E178" s="63"/>
      <c r="F178" s="63"/>
      <c r="G178" s="17"/>
      <c r="H178" s="17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4" x14ac:dyDescent="0.3">
      <c r="A179" s="17"/>
      <c r="B179" s="17"/>
      <c r="C179" s="82"/>
      <c r="D179" s="63"/>
      <c r="E179" s="63"/>
      <c r="F179" s="63"/>
      <c r="G179" s="17"/>
      <c r="H179" s="17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4" x14ac:dyDescent="0.3">
      <c r="A180" s="17"/>
      <c r="B180" s="17"/>
      <c r="C180" s="82"/>
      <c r="D180" s="63"/>
      <c r="E180" s="63"/>
      <c r="F180" s="63"/>
      <c r="G180" s="17"/>
      <c r="H180" s="17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4" x14ac:dyDescent="0.3">
      <c r="A181" s="17"/>
      <c r="B181" s="17"/>
      <c r="C181" s="82"/>
      <c r="D181" s="63"/>
      <c r="E181" s="63"/>
      <c r="F181" s="63"/>
      <c r="G181" s="17"/>
      <c r="H181" s="17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4" x14ac:dyDescent="0.3">
      <c r="A182" s="17"/>
      <c r="B182" s="17"/>
      <c r="C182" s="82"/>
      <c r="D182" s="63"/>
      <c r="E182" s="63"/>
      <c r="F182" s="63"/>
      <c r="G182" s="17"/>
      <c r="H182" s="17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4" x14ac:dyDescent="0.3">
      <c r="A183" s="17"/>
      <c r="B183" s="17"/>
      <c r="C183" s="82"/>
      <c r="D183" s="63"/>
      <c r="E183" s="63"/>
      <c r="F183" s="63"/>
      <c r="G183" s="17"/>
      <c r="H183" s="17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4" x14ac:dyDescent="0.3">
      <c r="A184" s="17"/>
      <c r="B184" s="17"/>
      <c r="C184" s="82"/>
      <c r="D184" s="63"/>
      <c r="E184" s="63"/>
      <c r="F184" s="63"/>
      <c r="G184" s="17"/>
      <c r="H184" s="17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4" x14ac:dyDescent="0.3">
      <c r="A185" s="17"/>
      <c r="B185" s="17"/>
      <c r="C185" s="82"/>
      <c r="D185" s="63"/>
      <c r="E185" s="63"/>
      <c r="F185" s="63"/>
      <c r="G185" s="17"/>
      <c r="H185" s="17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4" x14ac:dyDescent="0.3">
      <c r="A186" s="17"/>
      <c r="B186" s="17"/>
      <c r="C186" s="82"/>
      <c r="D186" s="63"/>
      <c r="E186" s="63"/>
      <c r="F186" s="63"/>
      <c r="G186" s="17"/>
      <c r="H186" s="17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4" x14ac:dyDescent="0.3">
      <c r="A187" s="17"/>
      <c r="B187" s="17"/>
      <c r="C187" s="82"/>
      <c r="D187" s="63"/>
      <c r="E187" s="63"/>
      <c r="F187" s="63"/>
      <c r="G187" s="17"/>
      <c r="H187" s="17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4" x14ac:dyDescent="0.3">
      <c r="A188" s="17"/>
      <c r="B188" s="17"/>
      <c r="C188" s="82"/>
      <c r="D188" s="63"/>
      <c r="E188" s="63"/>
      <c r="F188" s="63"/>
      <c r="G188" s="17"/>
      <c r="H188" s="17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4" x14ac:dyDescent="0.3">
      <c r="A189" s="17"/>
      <c r="B189" s="17"/>
      <c r="C189" s="82"/>
      <c r="D189" s="63"/>
      <c r="E189" s="63"/>
      <c r="F189" s="63"/>
      <c r="G189" s="17"/>
      <c r="H189" s="17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4" x14ac:dyDescent="0.3">
      <c r="A190" s="17"/>
      <c r="B190" s="17"/>
      <c r="C190" s="82"/>
      <c r="D190" s="63"/>
      <c r="E190" s="63"/>
      <c r="F190" s="63"/>
      <c r="G190" s="17"/>
      <c r="H190" s="17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4" x14ac:dyDescent="0.3">
      <c r="A191" s="17"/>
      <c r="B191" s="17"/>
      <c r="C191" s="82"/>
      <c r="D191" s="63"/>
      <c r="E191" s="63"/>
      <c r="F191" s="63"/>
      <c r="G191" s="17"/>
      <c r="H191" s="17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4" x14ac:dyDescent="0.3">
      <c r="A192" s="17"/>
      <c r="B192" s="17"/>
      <c r="C192" s="82"/>
      <c r="D192" s="63"/>
      <c r="E192" s="63"/>
      <c r="F192" s="63"/>
      <c r="G192" s="17"/>
      <c r="H192" s="17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4" x14ac:dyDescent="0.3">
      <c r="A193" s="17"/>
      <c r="B193" s="17"/>
      <c r="C193" s="82"/>
      <c r="D193" s="63"/>
      <c r="E193" s="63"/>
      <c r="F193" s="63"/>
      <c r="G193" s="17"/>
      <c r="H193" s="17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4" x14ac:dyDescent="0.3">
      <c r="A194" s="17"/>
      <c r="B194" s="17"/>
      <c r="C194" s="82"/>
      <c r="D194" s="63"/>
      <c r="E194" s="63"/>
      <c r="F194" s="63"/>
      <c r="G194" s="17"/>
      <c r="H194" s="17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4" x14ac:dyDescent="0.3">
      <c r="A195" s="17"/>
      <c r="B195" s="17"/>
      <c r="C195" s="82"/>
      <c r="D195" s="63"/>
      <c r="E195" s="63"/>
      <c r="F195" s="63"/>
      <c r="G195" s="17"/>
      <c r="H195" s="17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4" x14ac:dyDescent="0.3">
      <c r="A196" s="17"/>
      <c r="B196" s="17"/>
      <c r="C196" s="82"/>
      <c r="D196" s="63"/>
      <c r="E196" s="63"/>
      <c r="F196" s="63"/>
      <c r="G196" s="17"/>
      <c r="H196" s="17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4" x14ac:dyDescent="0.3">
      <c r="A197" s="17"/>
      <c r="B197" s="17"/>
      <c r="C197" s="82"/>
      <c r="D197" s="63"/>
      <c r="E197" s="63"/>
      <c r="F197" s="63"/>
      <c r="G197" s="17"/>
      <c r="H197" s="17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4" x14ac:dyDescent="0.3">
      <c r="A198" s="17"/>
      <c r="B198" s="17"/>
      <c r="C198" s="82"/>
      <c r="D198" s="63"/>
      <c r="E198" s="63"/>
      <c r="F198" s="63"/>
      <c r="G198" s="17"/>
      <c r="H198" s="17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4" x14ac:dyDescent="0.3">
      <c r="A199" s="17"/>
      <c r="B199" s="17"/>
      <c r="C199" s="82"/>
      <c r="D199" s="63"/>
      <c r="E199" s="63"/>
      <c r="F199" s="63"/>
      <c r="G199" s="17"/>
      <c r="H199" s="17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4" x14ac:dyDescent="0.3">
      <c r="A200" s="17"/>
      <c r="B200" s="17"/>
      <c r="C200" s="82"/>
      <c r="D200" s="63"/>
      <c r="E200" s="63"/>
      <c r="F200" s="63"/>
      <c r="G200" s="17"/>
      <c r="H200" s="17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4" x14ac:dyDescent="0.3">
      <c r="A201" s="17"/>
      <c r="B201" s="17"/>
      <c r="C201" s="82"/>
      <c r="D201" s="63"/>
      <c r="E201" s="63"/>
      <c r="F201" s="63"/>
      <c r="G201" s="17"/>
      <c r="H201" s="17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4" x14ac:dyDescent="0.3">
      <c r="A202" s="17"/>
      <c r="B202" s="17"/>
      <c r="C202" s="82"/>
      <c r="D202" s="63"/>
      <c r="E202" s="63"/>
      <c r="F202" s="63"/>
      <c r="G202" s="17"/>
      <c r="H202" s="17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4" x14ac:dyDescent="0.3">
      <c r="A203" s="17"/>
      <c r="B203" s="17"/>
      <c r="C203" s="82"/>
      <c r="D203" s="63"/>
      <c r="E203" s="63"/>
      <c r="F203" s="63"/>
      <c r="G203" s="17"/>
      <c r="H203" s="17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4" x14ac:dyDescent="0.3">
      <c r="A204" s="17"/>
      <c r="B204" s="17"/>
      <c r="C204" s="82"/>
      <c r="D204" s="63"/>
      <c r="E204" s="63"/>
      <c r="F204" s="63"/>
      <c r="G204" s="17"/>
      <c r="H204" s="17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4" x14ac:dyDescent="0.3">
      <c r="A205" s="17"/>
      <c r="B205" s="17"/>
      <c r="C205" s="82"/>
      <c r="D205" s="63"/>
      <c r="E205" s="63"/>
      <c r="F205" s="63"/>
      <c r="G205" s="17"/>
      <c r="H205" s="17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4" x14ac:dyDescent="0.3">
      <c r="A206" s="17"/>
      <c r="B206" s="17"/>
      <c r="C206" s="82"/>
      <c r="D206" s="63"/>
      <c r="E206" s="63"/>
      <c r="F206" s="63"/>
      <c r="G206" s="17"/>
      <c r="H206" s="17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4" x14ac:dyDescent="0.3">
      <c r="A207" s="17"/>
      <c r="B207" s="17"/>
      <c r="C207" s="82"/>
      <c r="D207" s="63"/>
      <c r="E207" s="63"/>
      <c r="F207" s="63"/>
      <c r="G207" s="17"/>
      <c r="H207" s="17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4" x14ac:dyDescent="0.3">
      <c r="A208" s="17"/>
      <c r="B208" s="17"/>
      <c r="C208" s="82"/>
      <c r="D208" s="63"/>
      <c r="E208" s="63"/>
      <c r="F208" s="63"/>
      <c r="G208" s="17"/>
      <c r="H208" s="17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4" x14ac:dyDescent="0.3">
      <c r="A209" s="17"/>
      <c r="B209" s="17"/>
      <c r="C209" s="82"/>
      <c r="D209" s="63"/>
      <c r="E209" s="63"/>
      <c r="F209" s="63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4" x14ac:dyDescent="0.3">
      <c r="A210" s="17"/>
      <c r="B210" s="17"/>
      <c r="C210" s="82"/>
      <c r="D210" s="63"/>
      <c r="E210" s="63"/>
      <c r="F210" s="63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4" x14ac:dyDescent="0.3">
      <c r="A211" s="17"/>
      <c r="B211" s="17"/>
      <c r="C211" s="82"/>
      <c r="D211" s="63"/>
      <c r="E211" s="63"/>
      <c r="F211" s="63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4" x14ac:dyDescent="0.3">
      <c r="A212" s="17"/>
      <c r="B212" s="17"/>
      <c r="C212" s="82"/>
      <c r="D212" s="63"/>
      <c r="E212" s="63"/>
      <c r="F212" s="63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4" x14ac:dyDescent="0.3">
      <c r="A213" s="17"/>
      <c r="B213" s="17"/>
      <c r="C213" s="82"/>
      <c r="D213" s="63"/>
      <c r="E213" s="63"/>
      <c r="F213" s="63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4" x14ac:dyDescent="0.3">
      <c r="A214" s="17"/>
      <c r="B214" s="17"/>
      <c r="C214" s="82"/>
      <c r="D214" s="63"/>
      <c r="E214" s="63"/>
      <c r="F214" s="63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4" x14ac:dyDescent="0.3">
      <c r="A215" s="17"/>
      <c r="B215" s="17"/>
      <c r="C215" s="82"/>
      <c r="D215" s="63"/>
      <c r="E215" s="63"/>
      <c r="F215" s="63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4" x14ac:dyDescent="0.3">
      <c r="A216" s="17"/>
      <c r="B216" s="17"/>
      <c r="C216" s="82"/>
      <c r="D216" s="63"/>
      <c r="E216" s="63"/>
      <c r="F216" s="63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4" x14ac:dyDescent="0.3">
      <c r="A217" s="17"/>
      <c r="B217" s="17"/>
      <c r="C217" s="82"/>
      <c r="D217" s="63"/>
      <c r="E217" s="63"/>
      <c r="F217" s="63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4" x14ac:dyDescent="0.3">
      <c r="A218" s="17"/>
      <c r="B218" s="17"/>
      <c r="C218" s="82"/>
      <c r="D218" s="63"/>
      <c r="E218" s="63"/>
      <c r="F218" s="63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4" x14ac:dyDescent="0.3">
      <c r="A219" s="17"/>
      <c r="B219" s="17"/>
      <c r="C219" s="82"/>
      <c r="D219" s="63"/>
      <c r="E219" s="63"/>
      <c r="F219" s="63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4" x14ac:dyDescent="0.3">
      <c r="A220" s="17"/>
      <c r="B220" s="17"/>
      <c r="C220" s="82"/>
      <c r="D220" s="63"/>
      <c r="E220" s="63"/>
      <c r="F220" s="63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4" x14ac:dyDescent="0.3">
      <c r="A221" s="17"/>
      <c r="B221" s="17"/>
      <c r="C221" s="82"/>
      <c r="D221" s="63"/>
      <c r="E221" s="63"/>
      <c r="F221" s="63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4" x14ac:dyDescent="0.3">
      <c r="A222" s="17"/>
      <c r="B222" s="17"/>
      <c r="C222" s="82"/>
      <c r="D222" s="63"/>
      <c r="E222" s="63"/>
      <c r="F222" s="63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4" x14ac:dyDescent="0.3">
      <c r="A223" s="17"/>
      <c r="B223" s="17"/>
      <c r="C223" s="82"/>
      <c r="D223" s="63"/>
      <c r="E223" s="63"/>
      <c r="F223" s="63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4" x14ac:dyDescent="0.3">
      <c r="A224" s="17"/>
      <c r="B224" s="17"/>
      <c r="C224" s="82"/>
      <c r="D224" s="63"/>
      <c r="E224" s="63"/>
      <c r="F224" s="63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4" x14ac:dyDescent="0.3">
      <c r="A225" s="17"/>
      <c r="B225" s="17"/>
      <c r="C225" s="82"/>
      <c r="D225" s="63"/>
      <c r="E225" s="63"/>
      <c r="F225" s="63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4" x14ac:dyDescent="0.3">
      <c r="A226" s="17"/>
      <c r="B226" s="17"/>
      <c r="C226" s="82"/>
      <c r="D226" s="63"/>
      <c r="E226" s="63"/>
      <c r="F226" s="63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4" x14ac:dyDescent="0.3">
      <c r="A227" s="17"/>
      <c r="B227" s="17"/>
      <c r="C227" s="82"/>
      <c r="D227" s="63"/>
      <c r="E227" s="63"/>
      <c r="F227" s="63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4" x14ac:dyDescent="0.3">
      <c r="A228" s="17"/>
      <c r="B228" s="17"/>
      <c r="C228" s="82"/>
      <c r="D228" s="63"/>
      <c r="E228" s="63"/>
      <c r="F228" s="63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4" x14ac:dyDescent="0.3">
      <c r="A229" s="17"/>
      <c r="B229" s="17"/>
      <c r="C229" s="82"/>
      <c r="D229" s="63"/>
      <c r="E229" s="63"/>
      <c r="F229" s="63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4" x14ac:dyDescent="0.3">
      <c r="A230" s="17"/>
      <c r="B230" s="17"/>
      <c r="C230" s="82"/>
      <c r="D230" s="63"/>
      <c r="E230" s="63"/>
      <c r="F230" s="63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4" x14ac:dyDescent="0.3">
      <c r="A231" s="17"/>
      <c r="B231" s="17"/>
      <c r="C231" s="82"/>
      <c r="D231" s="63"/>
      <c r="E231" s="63"/>
      <c r="F231" s="63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4" x14ac:dyDescent="0.3">
      <c r="A232" s="17"/>
      <c r="B232" s="17"/>
      <c r="C232" s="82"/>
      <c r="D232" s="63"/>
      <c r="E232" s="63"/>
      <c r="F232" s="63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4" x14ac:dyDescent="0.3">
      <c r="A233" s="17"/>
      <c r="B233" s="17"/>
      <c r="C233" s="82"/>
      <c r="D233" s="63"/>
      <c r="E233" s="63"/>
      <c r="F233" s="63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4" x14ac:dyDescent="0.3">
      <c r="A234" s="17"/>
      <c r="B234" s="17"/>
      <c r="C234" s="82"/>
      <c r="D234" s="63"/>
      <c r="E234" s="63"/>
      <c r="F234" s="63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4" x14ac:dyDescent="0.3">
      <c r="A235" s="17"/>
      <c r="B235" s="17"/>
      <c r="C235" s="82"/>
      <c r="D235" s="63"/>
      <c r="E235" s="63"/>
      <c r="F235" s="63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4" x14ac:dyDescent="0.3">
      <c r="A236" s="17"/>
      <c r="B236" s="17"/>
      <c r="C236" s="82"/>
      <c r="D236" s="63"/>
      <c r="E236" s="63"/>
      <c r="F236" s="63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4" x14ac:dyDescent="0.3">
      <c r="A237" s="17"/>
      <c r="B237" s="17"/>
      <c r="C237" s="82"/>
      <c r="D237" s="63"/>
      <c r="E237" s="63"/>
      <c r="F237" s="63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4" x14ac:dyDescent="0.3">
      <c r="A238" s="17"/>
      <c r="B238" s="17"/>
      <c r="C238" s="82"/>
      <c r="D238" s="63"/>
      <c r="E238" s="63"/>
      <c r="F238" s="63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4" x14ac:dyDescent="0.3">
      <c r="A239" s="17"/>
      <c r="B239" s="17"/>
      <c r="C239" s="82"/>
      <c r="D239" s="63"/>
      <c r="E239" s="63"/>
      <c r="F239" s="63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4" x14ac:dyDescent="0.3">
      <c r="A240" s="17"/>
      <c r="B240" s="17"/>
      <c r="C240" s="82"/>
      <c r="D240" s="63"/>
      <c r="E240" s="63"/>
      <c r="F240" s="63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4" x14ac:dyDescent="0.3">
      <c r="A241" s="17"/>
      <c r="B241" s="17"/>
      <c r="C241" s="82"/>
      <c r="D241" s="63"/>
      <c r="E241" s="63"/>
      <c r="F241" s="63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4" x14ac:dyDescent="0.3">
      <c r="A242" s="17"/>
      <c r="B242" s="17"/>
      <c r="C242" s="82"/>
      <c r="D242" s="63"/>
      <c r="E242" s="63"/>
      <c r="F242" s="63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4" x14ac:dyDescent="0.3">
      <c r="A243" s="17"/>
      <c r="B243" s="17"/>
      <c r="C243" s="82"/>
      <c r="D243" s="63"/>
      <c r="E243" s="63"/>
      <c r="F243" s="63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4" x14ac:dyDescent="0.3">
      <c r="A244" s="17"/>
      <c r="B244" s="17"/>
      <c r="C244" s="82"/>
      <c r="D244" s="63"/>
      <c r="E244" s="63"/>
      <c r="F244" s="63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4" x14ac:dyDescent="0.3">
      <c r="A245" s="17"/>
      <c r="B245" s="17"/>
      <c r="C245" s="82"/>
      <c r="D245" s="63"/>
      <c r="E245" s="63"/>
      <c r="F245" s="63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4" x14ac:dyDescent="0.3">
      <c r="A246" s="17"/>
      <c r="B246" s="17"/>
      <c r="C246" s="82"/>
      <c r="D246" s="63"/>
      <c r="E246" s="63"/>
      <c r="F246" s="63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4" x14ac:dyDescent="0.3">
      <c r="A247" s="17"/>
      <c r="B247" s="17"/>
      <c r="C247" s="82"/>
      <c r="D247" s="63"/>
      <c r="E247" s="63"/>
      <c r="F247" s="63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4" x14ac:dyDescent="0.3">
      <c r="A248" s="17"/>
      <c r="B248" s="17"/>
      <c r="C248" s="82"/>
      <c r="D248" s="63"/>
      <c r="E248" s="63"/>
      <c r="F248" s="63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4" x14ac:dyDescent="0.3">
      <c r="A249" s="17"/>
      <c r="B249" s="17"/>
      <c r="C249" s="82"/>
      <c r="D249" s="63"/>
      <c r="E249" s="63"/>
      <c r="F249" s="63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4" x14ac:dyDescent="0.3">
      <c r="A250" s="17"/>
      <c r="B250" s="17"/>
      <c r="C250" s="82"/>
      <c r="D250" s="63"/>
      <c r="E250" s="63"/>
      <c r="F250" s="63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4" x14ac:dyDescent="0.3">
      <c r="A251" s="17"/>
      <c r="B251" s="17"/>
      <c r="C251" s="82"/>
      <c r="D251" s="63"/>
      <c r="E251" s="63"/>
      <c r="F251" s="63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4" x14ac:dyDescent="0.3">
      <c r="A252" s="17"/>
      <c r="B252" s="17"/>
      <c r="C252" s="82"/>
      <c r="D252" s="63"/>
      <c r="E252" s="63"/>
      <c r="F252" s="63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4" x14ac:dyDescent="0.3">
      <c r="A253" s="17"/>
      <c r="B253" s="17"/>
      <c r="C253" s="82"/>
      <c r="D253" s="63"/>
      <c r="E253" s="63"/>
      <c r="F253" s="63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4" x14ac:dyDescent="0.3">
      <c r="A254" s="17"/>
      <c r="B254" s="17"/>
      <c r="C254" s="82"/>
      <c r="D254" s="63"/>
      <c r="E254" s="63"/>
      <c r="F254" s="63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4" x14ac:dyDescent="0.3">
      <c r="A255" s="17"/>
      <c r="B255" s="17"/>
      <c r="C255" s="82"/>
      <c r="D255" s="63"/>
      <c r="E255" s="63"/>
      <c r="F255" s="63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4" x14ac:dyDescent="0.3">
      <c r="A256" s="17"/>
      <c r="B256" s="17"/>
      <c r="C256" s="82"/>
      <c r="D256" s="63"/>
      <c r="E256" s="63"/>
      <c r="F256" s="63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4" x14ac:dyDescent="0.3">
      <c r="A257" s="17"/>
      <c r="B257" s="17"/>
      <c r="C257" s="82"/>
      <c r="D257" s="63"/>
      <c r="E257" s="63"/>
      <c r="F257" s="63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4" x14ac:dyDescent="0.3">
      <c r="A258" s="17"/>
      <c r="B258" s="17"/>
      <c r="C258" s="82"/>
      <c r="D258" s="63"/>
      <c r="E258" s="63"/>
      <c r="F258" s="63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4" x14ac:dyDescent="0.3">
      <c r="A259" s="17"/>
      <c r="B259" s="17"/>
      <c r="C259" s="82"/>
      <c r="D259" s="63"/>
      <c r="E259" s="63"/>
      <c r="F259" s="63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4" x14ac:dyDescent="0.3">
      <c r="A260" s="17"/>
      <c r="B260" s="17"/>
      <c r="C260" s="82"/>
      <c r="D260" s="63"/>
      <c r="E260" s="63"/>
      <c r="F260" s="63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4" x14ac:dyDescent="0.3">
      <c r="A261" s="17"/>
      <c r="B261" s="17"/>
      <c r="C261" s="82"/>
      <c r="D261" s="63"/>
      <c r="E261" s="63"/>
      <c r="F261" s="63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4" x14ac:dyDescent="0.3">
      <c r="A262" s="17"/>
      <c r="B262" s="17"/>
      <c r="C262" s="82"/>
      <c r="D262" s="63"/>
      <c r="E262" s="63"/>
      <c r="F262" s="63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4" x14ac:dyDescent="0.3">
      <c r="A263" s="17"/>
      <c r="B263" s="17"/>
      <c r="C263" s="82"/>
      <c r="D263" s="63"/>
      <c r="E263" s="63"/>
      <c r="F263" s="63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4" x14ac:dyDescent="0.3">
      <c r="A264" s="17"/>
      <c r="B264" s="17"/>
      <c r="C264" s="82"/>
      <c r="D264" s="63"/>
      <c r="E264" s="63"/>
      <c r="F264" s="63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4" x14ac:dyDescent="0.3">
      <c r="A265" s="17"/>
      <c r="B265" s="17"/>
      <c r="C265" s="82"/>
      <c r="D265" s="63"/>
      <c r="E265" s="63"/>
      <c r="F265" s="63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4" x14ac:dyDescent="0.3">
      <c r="A266" s="17"/>
      <c r="B266" s="17"/>
      <c r="C266" s="82"/>
      <c r="D266" s="63"/>
      <c r="E266" s="63"/>
      <c r="F266" s="63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4" x14ac:dyDescent="0.3">
      <c r="A267" s="17"/>
      <c r="B267" s="17"/>
      <c r="C267" s="82"/>
      <c r="D267" s="63"/>
      <c r="E267" s="63"/>
      <c r="F267" s="63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4" x14ac:dyDescent="0.3">
      <c r="A268" s="17"/>
      <c r="B268" s="17"/>
      <c r="C268" s="82"/>
      <c r="D268" s="63"/>
      <c r="E268" s="63"/>
      <c r="F268" s="63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4" x14ac:dyDescent="0.3">
      <c r="A269" s="17"/>
      <c r="B269" s="17"/>
      <c r="C269" s="82"/>
      <c r="D269" s="63"/>
      <c r="E269" s="63"/>
      <c r="F269" s="63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4" x14ac:dyDescent="0.3">
      <c r="A270" s="17"/>
      <c r="B270" s="17"/>
      <c r="C270" s="82"/>
      <c r="D270" s="63"/>
      <c r="E270" s="63"/>
      <c r="F270" s="63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4" x14ac:dyDescent="0.3">
      <c r="A271" s="17"/>
      <c r="B271" s="17"/>
      <c r="C271" s="82"/>
      <c r="D271" s="63"/>
      <c r="E271" s="63"/>
      <c r="F271" s="63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4" x14ac:dyDescent="0.3">
      <c r="A272" s="17"/>
      <c r="B272" s="17"/>
      <c r="C272" s="82"/>
      <c r="D272" s="63"/>
      <c r="E272" s="63"/>
      <c r="F272" s="63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4" x14ac:dyDescent="0.3">
      <c r="A273" s="17"/>
      <c r="B273" s="17"/>
      <c r="C273" s="82"/>
      <c r="D273" s="63"/>
      <c r="E273" s="63"/>
      <c r="F273" s="63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4" x14ac:dyDescent="0.3">
      <c r="A274" s="17"/>
      <c r="B274" s="17"/>
      <c r="C274" s="82"/>
      <c r="D274" s="63"/>
      <c r="E274" s="63"/>
      <c r="F274" s="63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4" x14ac:dyDescent="0.3">
      <c r="A275" s="17"/>
      <c r="B275" s="17"/>
      <c r="C275" s="82"/>
      <c r="D275" s="63"/>
      <c r="E275" s="63"/>
      <c r="F275" s="63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4" x14ac:dyDescent="0.3">
      <c r="A276" s="17"/>
      <c r="B276" s="17"/>
      <c r="C276" s="82"/>
      <c r="D276" s="63"/>
      <c r="E276" s="63"/>
      <c r="F276" s="63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4" x14ac:dyDescent="0.3">
      <c r="A277" s="17"/>
      <c r="B277" s="17"/>
      <c r="C277" s="82"/>
      <c r="D277" s="63"/>
      <c r="E277" s="63"/>
      <c r="F277" s="63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4" x14ac:dyDescent="0.3">
      <c r="A278" s="17"/>
      <c r="B278" s="17"/>
      <c r="C278" s="82"/>
      <c r="D278" s="63"/>
      <c r="E278" s="63"/>
      <c r="F278" s="63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4" x14ac:dyDescent="0.3">
      <c r="A279" s="17"/>
      <c r="B279" s="17"/>
      <c r="C279" s="82"/>
      <c r="D279" s="63"/>
      <c r="E279" s="63"/>
      <c r="F279" s="63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4" x14ac:dyDescent="0.3">
      <c r="A280" s="17"/>
      <c r="B280" s="17"/>
      <c r="C280" s="82"/>
      <c r="D280" s="63"/>
      <c r="E280" s="63"/>
      <c r="F280" s="63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4" x14ac:dyDescent="0.3">
      <c r="A281" s="17"/>
      <c r="B281" s="17"/>
      <c r="C281" s="82"/>
      <c r="D281" s="63"/>
      <c r="E281" s="63"/>
      <c r="F281" s="63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4" x14ac:dyDescent="0.3">
      <c r="A282" s="17"/>
      <c r="B282" s="17"/>
      <c r="C282" s="82"/>
      <c r="D282" s="63"/>
      <c r="E282" s="63"/>
      <c r="F282" s="63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4" x14ac:dyDescent="0.3">
      <c r="A283" s="17"/>
      <c r="B283" s="17"/>
      <c r="C283" s="82"/>
      <c r="D283" s="63"/>
      <c r="E283" s="63"/>
      <c r="F283" s="63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4" x14ac:dyDescent="0.3">
      <c r="A284" s="17"/>
      <c r="B284" s="17"/>
      <c r="C284" s="82"/>
      <c r="D284" s="63"/>
      <c r="E284" s="63"/>
      <c r="F284" s="63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4" x14ac:dyDescent="0.3">
      <c r="A285" s="17"/>
      <c r="B285" s="17"/>
      <c r="C285" s="82"/>
      <c r="D285" s="63"/>
      <c r="E285" s="63"/>
      <c r="F285" s="63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4" x14ac:dyDescent="0.3">
      <c r="A286" s="17"/>
      <c r="B286" s="17"/>
      <c r="C286" s="82"/>
      <c r="D286" s="63"/>
      <c r="E286" s="63"/>
      <c r="F286" s="63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4" x14ac:dyDescent="0.3">
      <c r="A287" s="17"/>
      <c r="B287" s="17"/>
      <c r="C287" s="82"/>
      <c r="D287" s="63"/>
      <c r="E287" s="63"/>
      <c r="F287" s="63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4" x14ac:dyDescent="0.3">
      <c r="A288" s="17"/>
      <c r="B288" s="17"/>
      <c r="C288" s="82"/>
      <c r="D288" s="63"/>
      <c r="E288" s="63"/>
      <c r="F288" s="63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4" x14ac:dyDescent="0.3">
      <c r="A289" s="17"/>
      <c r="B289" s="17"/>
      <c r="C289" s="82"/>
      <c r="D289" s="63"/>
      <c r="E289" s="63"/>
      <c r="F289" s="63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4" x14ac:dyDescent="0.3">
      <c r="A290" s="17"/>
      <c r="B290" s="17"/>
      <c r="C290" s="82"/>
      <c r="D290" s="63"/>
      <c r="E290" s="63"/>
      <c r="F290" s="63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4" x14ac:dyDescent="0.3">
      <c r="A291" s="17"/>
      <c r="B291" s="17"/>
      <c r="C291" s="82"/>
      <c r="D291" s="63"/>
      <c r="E291" s="63"/>
      <c r="F291" s="63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4" x14ac:dyDescent="0.3">
      <c r="A292" s="17"/>
      <c r="B292" s="17"/>
      <c r="C292" s="82"/>
      <c r="D292" s="63"/>
      <c r="E292" s="63"/>
      <c r="F292" s="63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4" x14ac:dyDescent="0.3">
      <c r="A293" s="17"/>
      <c r="B293" s="17"/>
      <c r="C293" s="82"/>
      <c r="D293" s="63"/>
      <c r="E293" s="63"/>
      <c r="F293" s="63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4" x14ac:dyDescent="0.3">
      <c r="A294" s="17"/>
      <c r="B294" s="17"/>
      <c r="C294" s="82"/>
      <c r="D294" s="63"/>
      <c r="E294" s="63"/>
      <c r="F294" s="63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4" x14ac:dyDescent="0.3">
      <c r="A295" s="17"/>
      <c r="B295" s="17"/>
      <c r="C295" s="82"/>
      <c r="D295" s="63"/>
      <c r="E295" s="63"/>
      <c r="F295" s="63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4" x14ac:dyDescent="0.3">
      <c r="A296" s="17"/>
      <c r="B296" s="17"/>
      <c r="C296" s="82"/>
      <c r="D296" s="63"/>
      <c r="E296" s="63"/>
      <c r="F296" s="63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4" x14ac:dyDescent="0.3">
      <c r="A297" s="17"/>
      <c r="B297" s="17"/>
      <c r="C297" s="82"/>
      <c r="D297" s="63"/>
      <c r="E297" s="63"/>
      <c r="F297" s="63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4" x14ac:dyDescent="0.3">
      <c r="A298" s="17"/>
      <c r="B298" s="17"/>
      <c r="C298" s="82"/>
      <c r="D298" s="63"/>
      <c r="E298" s="63"/>
      <c r="F298" s="63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4" x14ac:dyDescent="0.3">
      <c r="A299" s="17"/>
      <c r="B299" s="17"/>
      <c r="C299" s="82"/>
      <c r="D299" s="63"/>
      <c r="E299" s="63"/>
      <c r="F299" s="63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4" x14ac:dyDescent="0.3">
      <c r="A300" s="17"/>
      <c r="B300" s="17"/>
      <c r="C300" s="82"/>
      <c r="D300" s="63"/>
      <c r="E300" s="63"/>
      <c r="F300" s="63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4" x14ac:dyDescent="0.3">
      <c r="A301" s="17"/>
      <c r="B301" s="17"/>
      <c r="C301" s="82"/>
      <c r="D301" s="63"/>
      <c r="E301" s="63"/>
      <c r="F301" s="63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4" x14ac:dyDescent="0.3">
      <c r="A302" s="17"/>
      <c r="B302" s="17"/>
      <c r="C302" s="82"/>
      <c r="D302" s="63"/>
      <c r="E302" s="63"/>
      <c r="F302" s="63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4" x14ac:dyDescent="0.3">
      <c r="A303" s="17"/>
      <c r="B303" s="17"/>
      <c r="C303" s="82"/>
      <c r="D303" s="63"/>
      <c r="E303" s="63"/>
      <c r="F303" s="63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4" x14ac:dyDescent="0.3">
      <c r="A304" s="17"/>
      <c r="B304" s="17"/>
      <c r="C304" s="82"/>
      <c r="D304" s="63"/>
      <c r="E304" s="63"/>
      <c r="F304" s="63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4" x14ac:dyDescent="0.3">
      <c r="A305" s="17"/>
      <c r="B305" s="17"/>
      <c r="C305" s="82"/>
      <c r="D305" s="63"/>
      <c r="E305" s="63"/>
      <c r="F305" s="63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4" x14ac:dyDescent="0.3">
      <c r="A306" s="17"/>
      <c r="B306" s="17"/>
      <c r="C306" s="82"/>
      <c r="D306" s="63"/>
      <c r="E306" s="63"/>
      <c r="F306" s="63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4" x14ac:dyDescent="0.3">
      <c r="A307" s="17"/>
      <c r="B307" s="17"/>
      <c r="C307" s="82"/>
      <c r="D307" s="63"/>
      <c r="E307" s="63"/>
      <c r="F307" s="63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4" x14ac:dyDescent="0.3">
      <c r="A308" s="17"/>
      <c r="B308" s="17"/>
      <c r="C308" s="82"/>
      <c r="D308" s="63"/>
      <c r="E308" s="63"/>
      <c r="F308" s="63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4" x14ac:dyDescent="0.3">
      <c r="A309" s="17"/>
      <c r="B309" s="17"/>
      <c r="C309" s="82"/>
      <c r="D309" s="63"/>
      <c r="E309" s="63"/>
      <c r="F309" s="63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4" x14ac:dyDescent="0.3">
      <c r="A310" s="17"/>
      <c r="B310" s="17"/>
      <c r="C310" s="82"/>
      <c r="D310" s="63"/>
      <c r="E310" s="63"/>
      <c r="F310" s="63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4" x14ac:dyDescent="0.3">
      <c r="A311" s="17"/>
      <c r="B311" s="17"/>
      <c r="C311" s="82"/>
      <c r="D311" s="63"/>
      <c r="E311" s="63"/>
      <c r="F311" s="63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4" x14ac:dyDescent="0.3">
      <c r="A312" s="17"/>
      <c r="B312" s="17"/>
      <c r="C312" s="82"/>
      <c r="D312" s="63"/>
      <c r="E312" s="63"/>
      <c r="F312" s="63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4" x14ac:dyDescent="0.3">
      <c r="A313" s="17"/>
      <c r="B313" s="17"/>
      <c r="C313" s="82"/>
      <c r="D313" s="63"/>
      <c r="E313" s="63"/>
      <c r="F313" s="63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4" x14ac:dyDescent="0.3">
      <c r="A314" s="17"/>
      <c r="B314" s="17"/>
      <c r="C314" s="82"/>
      <c r="D314" s="63"/>
      <c r="E314" s="63"/>
      <c r="F314" s="63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4" x14ac:dyDescent="0.3">
      <c r="A315" s="17"/>
      <c r="B315" s="17"/>
      <c r="C315" s="82"/>
      <c r="D315" s="63"/>
      <c r="E315" s="63"/>
      <c r="F315" s="63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4" x14ac:dyDescent="0.3">
      <c r="A316" s="17"/>
      <c r="B316" s="17"/>
      <c r="C316" s="82"/>
      <c r="D316" s="63"/>
      <c r="E316" s="63"/>
      <c r="F316" s="63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4" x14ac:dyDescent="0.3">
      <c r="A317" s="17"/>
      <c r="B317" s="17"/>
      <c r="C317" s="82"/>
      <c r="D317" s="63"/>
      <c r="E317" s="63"/>
      <c r="F317" s="63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4" x14ac:dyDescent="0.3">
      <c r="A318" s="17"/>
      <c r="B318" s="17"/>
      <c r="C318" s="82"/>
      <c r="D318" s="63"/>
      <c r="E318" s="63"/>
      <c r="F318" s="63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4" x14ac:dyDescent="0.3">
      <c r="A319" s="17"/>
      <c r="B319" s="17"/>
      <c r="C319" s="82"/>
      <c r="D319" s="63"/>
      <c r="E319" s="63"/>
      <c r="F319" s="63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4" x14ac:dyDescent="0.3">
      <c r="A320" s="17"/>
      <c r="B320" s="17"/>
      <c r="C320" s="82"/>
      <c r="D320" s="63"/>
      <c r="E320" s="63"/>
      <c r="F320" s="63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4" x14ac:dyDescent="0.3">
      <c r="A321" s="17"/>
      <c r="B321" s="17"/>
      <c r="C321" s="82"/>
      <c r="D321" s="63"/>
      <c r="E321" s="63"/>
      <c r="F321" s="63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4" x14ac:dyDescent="0.3">
      <c r="A322" s="17"/>
      <c r="B322" s="17"/>
      <c r="C322" s="82"/>
      <c r="D322" s="63"/>
      <c r="E322" s="63"/>
      <c r="F322" s="63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4" x14ac:dyDescent="0.3">
      <c r="A323" s="17"/>
      <c r="B323" s="17"/>
      <c r="C323" s="82"/>
      <c r="D323" s="63"/>
      <c r="E323" s="63"/>
      <c r="F323" s="63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4" x14ac:dyDescent="0.3">
      <c r="A324" s="17"/>
      <c r="B324" s="17"/>
      <c r="C324" s="82"/>
      <c r="D324" s="63"/>
      <c r="E324" s="63"/>
      <c r="F324" s="63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4" x14ac:dyDescent="0.3">
      <c r="A325" s="17"/>
      <c r="B325" s="17"/>
      <c r="C325" s="82"/>
      <c r="D325" s="63"/>
      <c r="E325" s="63"/>
      <c r="F325" s="63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4" x14ac:dyDescent="0.3">
      <c r="A326" s="17"/>
      <c r="B326" s="17"/>
      <c r="C326" s="82"/>
      <c r="D326" s="63"/>
      <c r="E326" s="63"/>
      <c r="F326" s="63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4" x14ac:dyDescent="0.3">
      <c r="A327" s="17"/>
      <c r="B327" s="17"/>
      <c r="C327" s="82"/>
      <c r="D327" s="63"/>
      <c r="E327" s="63"/>
      <c r="F327" s="63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4" x14ac:dyDescent="0.3">
      <c r="A328" s="17"/>
      <c r="B328" s="17"/>
      <c r="C328" s="82"/>
      <c r="D328" s="63"/>
      <c r="E328" s="63"/>
      <c r="F328" s="63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4" x14ac:dyDescent="0.3">
      <c r="A329" s="17"/>
      <c r="B329" s="17"/>
      <c r="C329" s="82"/>
      <c r="D329" s="63"/>
      <c r="E329" s="63"/>
      <c r="F329" s="63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4" x14ac:dyDescent="0.3">
      <c r="A330" s="17"/>
      <c r="B330" s="17"/>
      <c r="C330" s="82"/>
      <c r="D330" s="63"/>
      <c r="E330" s="63"/>
      <c r="F330" s="63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4" x14ac:dyDescent="0.3">
      <c r="A331" s="17"/>
      <c r="B331" s="17"/>
      <c r="C331" s="82"/>
      <c r="D331" s="63"/>
      <c r="E331" s="63"/>
      <c r="F331" s="63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4" x14ac:dyDescent="0.3">
      <c r="A332" s="17"/>
      <c r="B332" s="17"/>
      <c r="C332" s="82"/>
      <c r="D332" s="63"/>
      <c r="E332" s="63"/>
      <c r="F332" s="63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4" x14ac:dyDescent="0.3">
      <c r="A333" s="17"/>
      <c r="B333" s="17"/>
      <c r="C333" s="82"/>
      <c r="D333" s="63"/>
      <c r="E333" s="63"/>
      <c r="F333" s="63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4" x14ac:dyDescent="0.3">
      <c r="A334" s="17"/>
      <c r="B334" s="17"/>
      <c r="C334" s="82"/>
      <c r="D334" s="63"/>
      <c r="E334" s="63"/>
      <c r="F334" s="63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4" x14ac:dyDescent="0.3">
      <c r="A335" s="17"/>
      <c r="B335" s="17"/>
      <c r="C335" s="82"/>
      <c r="D335" s="63"/>
      <c r="E335" s="63"/>
      <c r="F335" s="63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4" x14ac:dyDescent="0.3">
      <c r="A336" s="17"/>
      <c r="B336" s="17"/>
      <c r="C336" s="82"/>
      <c r="D336" s="63"/>
      <c r="E336" s="63"/>
      <c r="F336" s="63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4" x14ac:dyDescent="0.3">
      <c r="A337" s="17"/>
      <c r="B337" s="17"/>
      <c r="C337" s="82"/>
      <c r="D337" s="63"/>
      <c r="E337" s="63"/>
      <c r="F337" s="63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4" x14ac:dyDescent="0.3">
      <c r="A338" s="17"/>
      <c r="B338" s="17"/>
      <c r="C338" s="82"/>
      <c r="D338" s="63"/>
      <c r="E338" s="63"/>
      <c r="F338" s="63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4" x14ac:dyDescent="0.3">
      <c r="A339" s="17"/>
      <c r="B339" s="17"/>
      <c r="C339" s="82"/>
      <c r="D339" s="63"/>
      <c r="E339" s="63"/>
      <c r="F339" s="63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4" x14ac:dyDescent="0.3">
      <c r="A340" s="17"/>
      <c r="B340" s="17"/>
      <c r="C340" s="82"/>
      <c r="D340" s="63"/>
      <c r="E340" s="63"/>
      <c r="F340" s="63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4" x14ac:dyDescent="0.3">
      <c r="A341" s="17"/>
      <c r="B341" s="17"/>
      <c r="C341" s="82"/>
      <c r="D341" s="63"/>
      <c r="E341" s="63"/>
      <c r="F341" s="63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4" x14ac:dyDescent="0.3">
      <c r="A342" s="17"/>
      <c r="B342" s="17"/>
      <c r="C342" s="82"/>
      <c r="D342" s="63"/>
      <c r="E342" s="63"/>
      <c r="F342" s="63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4" x14ac:dyDescent="0.3">
      <c r="A343" s="17"/>
      <c r="B343" s="17"/>
      <c r="C343" s="82"/>
      <c r="D343" s="63"/>
      <c r="E343" s="63"/>
      <c r="F343" s="63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4" x14ac:dyDescent="0.3">
      <c r="A344" s="17"/>
      <c r="B344" s="17"/>
      <c r="C344" s="82"/>
      <c r="D344" s="63"/>
      <c r="E344" s="63"/>
      <c r="F344" s="63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4" x14ac:dyDescent="0.3">
      <c r="A345" s="17"/>
      <c r="B345" s="17"/>
      <c r="C345" s="82"/>
      <c r="D345" s="63"/>
      <c r="E345" s="63"/>
      <c r="F345" s="63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4" x14ac:dyDescent="0.3">
      <c r="A346" s="17"/>
      <c r="B346" s="17"/>
      <c r="C346" s="82"/>
      <c r="D346" s="63"/>
      <c r="E346" s="63"/>
      <c r="F346" s="63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4" x14ac:dyDescent="0.3">
      <c r="A347" s="17"/>
      <c r="B347" s="17"/>
      <c r="C347" s="82"/>
      <c r="D347" s="63"/>
      <c r="E347" s="63"/>
      <c r="F347" s="63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4" x14ac:dyDescent="0.3">
      <c r="A348" s="17"/>
      <c r="B348" s="17"/>
      <c r="C348" s="82"/>
      <c r="D348" s="63"/>
      <c r="E348" s="63"/>
      <c r="F348" s="63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4" x14ac:dyDescent="0.3">
      <c r="A349" s="17"/>
      <c r="B349" s="17"/>
      <c r="C349" s="82"/>
      <c r="D349" s="63"/>
      <c r="E349" s="63"/>
      <c r="F349" s="63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4" x14ac:dyDescent="0.3">
      <c r="A350" s="17"/>
      <c r="B350" s="17"/>
      <c r="C350" s="82"/>
      <c r="D350" s="63"/>
      <c r="E350" s="63"/>
      <c r="F350" s="63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4" x14ac:dyDescent="0.3">
      <c r="A351" s="17"/>
      <c r="B351" s="17"/>
      <c r="C351" s="82"/>
      <c r="D351" s="63"/>
      <c r="E351" s="63"/>
      <c r="F351" s="63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4" x14ac:dyDescent="0.3">
      <c r="A352" s="17"/>
      <c r="B352" s="17"/>
      <c r="C352" s="82"/>
      <c r="D352" s="63"/>
      <c r="E352" s="63"/>
      <c r="F352" s="63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4" x14ac:dyDescent="0.3">
      <c r="A353" s="17"/>
      <c r="B353" s="17"/>
      <c r="C353" s="82"/>
      <c r="D353" s="63"/>
      <c r="E353" s="63"/>
      <c r="F353" s="63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4" x14ac:dyDescent="0.3">
      <c r="A354" s="17"/>
      <c r="B354" s="17"/>
      <c r="C354" s="82"/>
      <c r="D354" s="63"/>
      <c r="E354" s="63"/>
      <c r="F354" s="63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4" x14ac:dyDescent="0.3">
      <c r="A355" s="17"/>
      <c r="B355" s="17"/>
      <c r="C355" s="82"/>
      <c r="D355" s="63"/>
      <c r="E355" s="63"/>
      <c r="F355" s="63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4" x14ac:dyDescent="0.3">
      <c r="A356" s="17"/>
      <c r="B356" s="17"/>
      <c r="C356" s="82"/>
      <c r="D356" s="63"/>
      <c r="E356" s="63"/>
      <c r="F356" s="63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4" x14ac:dyDescent="0.3">
      <c r="A357" s="17"/>
      <c r="B357" s="17"/>
      <c r="C357" s="82"/>
      <c r="D357" s="63"/>
      <c r="E357" s="63"/>
      <c r="F357" s="63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4" x14ac:dyDescent="0.3">
      <c r="A358" s="17"/>
      <c r="B358" s="17"/>
      <c r="C358" s="82"/>
      <c r="D358" s="63"/>
      <c r="E358" s="63"/>
      <c r="F358" s="63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4" x14ac:dyDescent="0.3">
      <c r="A359" s="17"/>
      <c r="B359" s="17"/>
      <c r="C359" s="82"/>
      <c r="D359" s="63"/>
      <c r="E359" s="63"/>
      <c r="F359" s="63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4" x14ac:dyDescent="0.3">
      <c r="A360" s="17"/>
      <c r="B360" s="17"/>
      <c r="C360" s="82"/>
      <c r="D360" s="63"/>
      <c r="E360" s="63"/>
      <c r="F360" s="63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4" x14ac:dyDescent="0.3">
      <c r="A361" s="17"/>
      <c r="B361" s="17"/>
      <c r="C361" s="82"/>
      <c r="D361" s="63"/>
      <c r="E361" s="63"/>
      <c r="F361" s="63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4" x14ac:dyDescent="0.3">
      <c r="A362" s="17"/>
      <c r="B362" s="17"/>
      <c r="C362" s="82"/>
      <c r="D362" s="63"/>
      <c r="E362" s="63"/>
      <c r="F362" s="63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4" x14ac:dyDescent="0.3">
      <c r="A363" s="17"/>
      <c r="B363" s="17"/>
      <c r="C363" s="82"/>
      <c r="D363" s="63"/>
      <c r="E363" s="63"/>
      <c r="F363" s="63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4" x14ac:dyDescent="0.3">
      <c r="A364" s="17"/>
      <c r="B364" s="17"/>
      <c r="C364" s="82"/>
      <c r="D364" s="63"/>
      <c r="E364" s="63"/>
      <c r="F364" s="63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4" x14ac:dyDescent="0.3">
      <c r="A365" s="17"/>
      <c r="B365" s="17"/>
      <c r="C365" s="82"/>
      <c r="D365" s="63"/>
      <c r="E365" s="63"/>
      <c r="F365" s="63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4" x14ac:dyDescent="0.3">
      <c r="A366" s="17"/>
      <c r="B366" s="17"/>
      <c r="C366" s="82"/>
      <c r="D366" s="63"/>
      <c r="E366" s="63"/>
      <c r="F366" s="63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4" x14ac:dyDescent="0.3">
      <c r="A367" s="17"/>
      <c r="B367" s="17"/>
      <c r="C367" s="82"/>
      <c r="D367" s="63"/>
      <c r="E367" s="63"/>
      <c r="F367" s="63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4" x14ac:dyDescent="0.3">
      <c r="A368" s="17"/>
      <c r="B368" s="17"/>
      <c r="C368" s="82"/>
      <c r="D368" s="63"/>
      <c r="E368" s="63"/>
      <c r="F368" s="63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4" x14ac:dyDescent="0.3">
      <c r="A369" s="17"/>
      <c r="B369" s="17"/>
      <c r="C369" s="82"/>
      <c r="D369" s="63"/>
      <c r="E369" s="63"/>
      <c r="F369" s="63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4" x14ac:dyDescent="0.3">
      <c r="A370" s="17"/>
      <c r="B370" s="17"/>
      <c r="C370" s="82"/>
      <c r="D370" s="63"/>
      <c r="E370" s="63"/>
      <c r="F370" s="63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4" x14ac:dyDescent="0.3">
      <c r="A371" s="17"/>
      <c r="B371" s="17"/>
      <c r="C371" s="82"/>
      <c r="D371" s="63"/>
      <c r="E371" s="63"/>
      <c r="F371" s="63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4" x14ac:dyDescent="0.3">
      <c r="A372" s="17"/>
      <c r="B372" s="17"/>
      <c r="C372" s="82"/>
      <c r="D372" s="63"/>
      <c r="E372" s="63"/>
      <c r="F372" s="63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4" x14ac:dyDescent="0.3">
      <c r="A373" s="17"/>
      <c r="B373" s="17"/>
      <c r="C373" s="82"/>
      <c r="D373" s="63"/>
      <c r="E373" s="63"/>
      <c r="F373" s="63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4" x14ac:dyDescent="0.3">
      <c r="A374" s="17"/>
      <c r="B374" s="17"/>
      <c r="C374" s="82"/>
      <c r="D374" s="63"/>
      <c r="E374" s="63"/>
      <c r="F374" s="63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4" x14ac:dyDescent="0.3">
      <c r="A375" s="17"/>
      <c r="B375" s="17"/>
      <c r="C375" s="82"/>
      <c r="D375" s="63"/>
      <c r="E375" s="63"/>
      <c r="F375" s="63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4" x14ac:dyDescent="0.3">
      <c r="A376" s="17"/>
      <c r="B376" s="17"/>
      <c r="C376" s="82"/>
      <c r="D376" s="63"/>
      <c r="E376" s="63"/>
      <c r="F376" s="63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4" x14ac:dyDescent="0.3">
      <c r="A377" s="17"/>
      <c r="B377" s="17"/>
      <c r="C377" s="82"/>
      <c r="D377" s="63"/>
      <c r="E377" s="63"/>
      <c r="F377" s="63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4" x14ac:dyDescent="0.3">
      <c r="A378" s="17"/>
      <c r="B378" s="17"/>
      <c r="C378" s="82"/>
      <c r="D378" s="63"/>
      <c r="E378" s="63"/>
      <c r="F378" s="63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4" x14ac:dyDescent="0.3">
      <c r="A379" s="17"/>
      <c r="B379" s="17"/>
      <c r="C379" s="82"/>
      <c r="D379" s="63"/>
      <c r="E379" s="63"/>
      <c r="F379" s="63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4" x14ac:dyDescent="0.3">
      <c r="A380" s="17"/>
      <c r="B380" s="17"/>
      <c r="C380" s="82"/>
      <c r="D380" s="63"/>
      <c r="E380" s="63"/>
      <c r="F380" s="63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4" x14ac:dyDescent="0.3">
      <c r="A381" s="17"/>
      <c r="B381" s="17"/>
      <c r="C381" s="82"/>
      <c r="D381" s="63"/>
      <c r="E381" s="63"/>
      <c r="F381" s="63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4" x14ac:dyDescent="0.3">
      <c r="A382" s="17"/>
      <c r="B382" s="17"/>
      <c r="C382" s="82"/>
      <c r="D382" s="63"/>
      <c r="E382" s="63"/>
      <c r="F382" s="63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4" x14ac:dyDescent="0.3">
      <c r="A383" s="17"/>
      <c r="B383" s="17"/>
      <c r="C383" s="82"/>
      <c r="D383" s="63"/>
      <c r="E383" s="63"/>
      <c r="F383" s="63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4" x14ac:dyDescent="0.3">
      <c r="A384" s="17"/>
      <c r="B384" s="17"/>
      <c r="C384" s="82"/>
      <c r="D384" s="63"/>
      <c r="E384" s="63"/>
      <c r="F384" s="63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4" x14ac:dyDescent="0.3">
      <c r="A385" s="17"/>
      <c r="B385" s="17"/>
      <c r="C385" s="82"/>
      <c r="D385" s="63"/>
      <c r="E385" s="63"/>
      <c r="F385" s="63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4" x14ac:dyDescent="0.3">
      <c r="A386" s="17"/>
      <c r="B386" s="17"/>
      <c r="C386" s="82"/>
      <c r="D386" s="63"/>
      <c r="E386" s="63"/>
      <c r="F386" s="63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4" x14ac:dyDescent="0.3">
      <c r="A387" s="17"/>
      <c r="B387" s="17"/>
      <c r="C387" s="82"/>
      <c r="D387" s="63"/>
      <c r="E387" s="63"/>
      <c r="F387" s="63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4" x14ac:dyDescent="0.3">
      <c r="A388" s="17"/>
      <c r="B388" s="17"/>
      <c r="C388" s="82"/>
      <c r="D388" s="63"/>
      <c r="E388" s="63"/>
      <c r="F388" s="63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4" x14ac:dyDescent="0.3">
      <c r="A389" s="17"/>
      <c r="B389" s="17"/>
      <c r="C389" s="82"/>
      <c r="D389" s="63"/>
      <c r="E389" s="63"/>
      <c r="F389" s="63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4" x14ac:dyDescent="0.3">
      <c r="A390" s="17"/>
      <c r="B390" s="17"/>
      <c r="C390" s="82"/>
      <c r="D390" s="63"/>
      <c r="E390" s="63"/>
      <c r="F390" s="63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4" x14ac:dyDescent="0.3">
      <c r="A391" s="17"/>
      <c r="B391" s="17"/>
      <c r="C391" s="82"/>
      <c r="D391" s="63"/>
      <c r="E391" s="63"/>
      <c r="F391" s="63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4" x14ac:dyDescent="0.3">
      <c r="A392" s="17"/>
      <c r="B392" s="17"/>
      <c r="C392" s="82"/>
      <c r="D392" s="63"/>
      <c r="E392" s="63"/>
      <c r="F392" s="63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4" x14ac:dyDescent="0.3">
      <c r="A393" s="17"/>
      <c r="B393" s="17"/>
      <c r="C393" s="82"/>
      <c r="D393" s="63"/>
      <c r="E393" s="63"/>
      <c r="F393" s="63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4" x14ac:dyDescent="0.3">
      <c r="A394" s="17"/>
      <c r="B394" s="17"/>
      <c r="C394" s="82"/>
      <c r="D394" s="63"/>
      <c r="E394" s="63"/>
      <c r="F394" s="63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4" x14ac:dyDescent="0.3">
      <c r="A395" s="17"/>
      <c r="B395" s="17"/>
      <c r="C395" s="82"/>
      <c r="D395" s="63"/>
      <c r="E395" s="63"/>
      <c r="F395" s="63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4" x14ac:dyDescent="0.3">
      <c r="A396" s="17"/>
      <c r="B396" s="17"/>
      <c r="C396" s="82"/>
      <c r="D396" s="63"/>
      <c r="E396" s="63"/>
      <c r="F396" s="63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4" x14ac:dyDescent="0.3">
      <c r="A397" s="17"/>
      <c r="B397" s="17"/>
      <c r="C397" s="82"/>
      <c r="D397" s="63"/>
      <c r="E397" s="63"/>
      <c r="F397" s="63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4" x14ac:dyDescent="0.3">
      <c r="A398" s="17"/>
      <c r="B398" s="17"/>
      <c r="C398" s="82"/>
      <c r="D398" s="63"/>
      <c r="E398" s="63"/>
      <c r="F398" s="63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4" x14ac:dyDescent="0.3">
      <c r="A399" s="17"/>
      <c r="B399" s="17"/>
      <c r="C399" s="82"/>
      <c r="D399" s="63"/>
      <c r="E399" s="63"/>
      <c r="F399" s="63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4" x14ac:dyDescent="0.3">
      <c r="A400" s="17"/>
      <c r="B400" s="17"/>
      <c r="C400" s="82"/>
      <c r="D400" s="63"/>
      <c r="E400" s="63"/>
      <c r="F400" s="63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4" x14ac:dyDescent="0.3">
      <c r="A401" s="17"/>
      <c r="B401" s="17"/>
      <c r="C401" s="82"/>
      <c r="D401" s="63"/>
      <c r="E401" s="63"/>
      <c r="F401" s="63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4" x14ac:dyDescent="0.3">
      <c r="A402" s="17"/>
      <c r="B402" s="17"/>
      <c r="C402" s="82"/>
      <c r="D402" s="63"/>
      <c r="E402" s="63"/>
      <c r="F402" s="63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4" x14ac:dyDescent="0.3">
      <c r="A403" s="17"/>
      <c r="B403" s="17"/>
      <c r="C403" s="82"/>
      <c r="D403" s="63"/>
      <c r="E403" s="63"/>
      <c r="F403" s="63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4" x14ac:dyDescent="0.3">
      <c r="A404" s="17"/>
      <c r="B404" s="17"/>
      <c r="C404" s="82"/>
      <c r="D404" s="63"/>
      <c r="E404" s="63"/>
      <c r="F404" s="63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4" x14ac:dyDescent="0.3">
      <c r="A405" s="17"/>
      <c r="B405" s="17"/>
      <c r="C405" s="82"/>
      <c r="D405" s="63"/>
      <c r="E405" s="63"/>
      <c r="F405" s="63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4" x14ac:dyDescent="0.3">
      <c r="A406" s="17"/>
      <c r="B406" s="17"/>
      <c r="C406" s="82"/>
      <c r="D406" s="63"/>
      <c r="E406" s="63"/>
      <c r="F406" s="63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4" x14ac:dyDescent="0.3">
      <c r="A407" s="17"/>
      <c r="B407" s="17"/>
      <c r="C407" s="82"/>
      <c r="D407" s="63"/>
      <c r="E407" s="63"/>
      <c r="F407" s="63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4" x14ac:dyDescent="0.3">
      <c r="A408" s="17"/>
      <c r="B408" s="17"/>
      <c r="C408" s="82"/>
      <c r="D408" s="63"/>
      <c r="E408" s="63"/>
      <c r="F408" s="63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4" x14ac:dyDescent="0.3">
      <c r="A409" s="17"/>
      <c r="B409" s="17"/>
      <c r="C409" s="82"/>
      <c r="D409" s="63"/>
      <c r="E409" s="63"/>
      <c r="F409" s="63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4" x14ac:dyDescent="0.3">
      <c r="A410" s="17"/>
      <c r="B410" s="17"/>
      <c r="C410" s="82"/>
      <c r="D410" s="63"/>
      <c r="E410" s="63"/>
      <c r="F410" s="63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4" x14ac:dyDescent="0.3">
      <c r="A411" s="17"/>
      <c r="B411" s="17"/>
      <c r="C411" s="82"/>
      <c r="D411" s="63"/>
      <c r="E411" s="63"/>
      <c r="F411" s="63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4" x14ac:dyDescent="0.3">
      <c r="A412" s="17"/>
      <c r="B412" s="17"/>
      <c r="C412" s="82"/>
      <c r="D412" s="63"/>
      <c r="E412" s="63"/>
      <c r="F412" s="63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4" x14ac:dyDescent="0.3">
      <c r="A413" s="17"/>
      <c r="B413" s="17"/>
      <c r="C413" s="82"/>
      <c r="D413" s="63"/>
      <c r="E413" s="63"/>
      <c r="F413" s="63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4" x14ac:dyDescent="0.3">
      <c r="A414" s="17"/>
      <c r="B414" s="17"/>
      <c r="C414" s="82"/>
      <c r="D414" s="63"/>
      <c r="E414" s="63"/>
      <c r="F414" s="63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4" x14ac:dyDescent="0.3">
      <c r="A415" s="17"/>
      <c r="B415" s="17"/>
      <c r="C415" s="82"/>
      <c r="D415" s="63"/>
      <c r="E415" s="63"/>
      <c r="F415" s="63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4" x14ac:dyDescent="0.3">
      <c r="A416" s="17"/>
      <c r="B416" s="17"/>
      <c r="C416" s="82"/>
      <c r="D416" s="63"/>
      <c r="E416" s="63"/>
      <c r="F416" s="63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4" x14ac:dyDescent="0.3">
      <c r="A417" s="17"/>
      <c r="B417" s="17"/>
      <c r="C417" s="82"/>
      <c r="D417" s="63"/>
      <c r="E417" s="63"/>
      <c r="F417" s="63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4" x14ac:dyDescent="0.3">
      <c r="A418" s="17"/>
      <c r="B418" s="17"/>
      <c r="C418" s="82"/>
      <c r="D418" s="63"/>
      <c r="E418" s="63"/>
      <c r="F418" s="63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4" x14ac:dyDescent="0.3">
      <c r="A419" s="17"/>
      <c r="B419" s="17"/>
      <c r="C419" s="82"/>
      <c r="D419" s="63"/>
      <c r="E419" s="63"/>
      <c r="F419" s="63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4" x14ac:dyDescent="0.3">
      <c r="A420" s="17"/>
      <c r="B420" s="17"/>
      <c r="C420" s="82"/>
      <c r="D420" s="63"/>
      <c r="E420" s="63"/>
      <c r="F420" s="63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4" x14ac:dyDescent="0.3">
      <c r="A421" s="17"/>
      <c r="B421" s="17"/>
      <c r="C421" s="82"/>
      <c r="D421" s="63"/>
      <c r="E421" s="63"/>
      <c r="F421" s="63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4" x14ac:dyDescent="0.3">
      <c r="A422" s="17"/>
      <c r="B422" s="17"/>
      <c r="C422" s="82"/>
      <c r="D422" s="63"/>
      <c r="E422" s="63"/>
      <c r="F422" s="63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4" x14ac:dyDescent="0.3">
      <c r="A423" s="17"/>
      <c r="B423" s="17"/>
      <c r="C423" s="82"/>
      <c r="D423" s="63"/>
      <c r="E423" s="63"/>
      <c r="F423" s="63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4" x14ac:dyDescent="0.3">
      <c r="A424" s="17"/>
      <c r="B424" s="17"/>
      <c r="C424" s="82"/>
      <c r="D424" s="63"/>
      <c r="E424" s="63"/>
      <c r="F424" s="63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4" x14ac:dyDescent="0.3">
      <c r="A425" s="17"/>
      <c r="B425" s="17"/>
      <c r="C425" s="82"/>
      <c r="D425" s="63"/>
      <c r="E425" s="63"/>
      <c r="F425" s="63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4" x14ac:dyDescent="0.3">
      <c r="A426" s="17"/>
      <c r="B426" s="17"/>
      <c r="C426" s="82"/>
      <c r="D426" s="63"/>
      <c r="E426" s="63"/>
      <c r="F426" s="63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4" x14ac:dyDescent="0.3">
      <c r="A427" s="17"/>
      <c r="B427" s="17"/>
      <c r="C427" s="82"/>
      <c r="D427" s="63"/>
      <c r="E427" s="63"/>
      <c r="F427" s="63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4" x14ac:dyDescent="0.3">
      <c r="A428" s="17"/>
      <c r="B428" s="17"/>
      <c r="C428" s="82"/>
      <c r="D428" s="63"/>
      <c r="E428" s="63"/>
      <c r="F428" s="63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4" x14ac:dyDescent="0.3">
      <c r="A429" s="17"/>
      <c r="B429" s="17"/>
      <c r="C429" s="82"/>
      <c r="D429" s="63"/>
      <c r="E429" s="63"/>
      <c r="F429" s="63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4" x14ac:dyDescent="0.3">
      <c r="A430" s="17"/>
      <c r="B430" s="17"/>
      <c r="C430" s="82"/>
      <c r="D430" s="63"/>
      <c r="E430" s="63"/>
      <c r="F430" s="63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4" x14ac:dyDescent="0.3">
      <c r="A431" s="17"/>
      <c r="B431" s="17"/>
      <c r="C431" s="82"/>
      <c r="D431" s="63"/>
      <c r="E431" s="63"/>
      <c r="F431" s="63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4" x14ac:dyDescent="0.3">
      <c r="A432" s="17"/>
      <c r="B432" s="17"/>
      <c r="C432" s="82"/>
      <c r="D432" s="63"/>
      <c r="E432" s="63"/>
      <c r="F432" s="63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4" x14ac:dyDescent="0.3">
      <c r="A433" s="17"/>
      <c r="B433" s="17"/>
      <c r="C433" s="82"/>
      <c r="D433" s="63"/>
      <c r="E433" s="63"/>
      <c r="F433" s="63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4" x14ac:dyDescent="0.3">
      <c r="A434" s="17"/>
      <c r="B434" s="17"/>
      <c r="C434" s="82"/>
      <c r="D434" s="63"/>
      <c r="E434" s="63"/>
      <c r="F434" s="63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4" x14ac:dyDescent="0.3">
      <c r="A435" s="17"/>
      <c r="B435" s="17"/>
      <c r="C435" s="82"/>
      <c r="D435" s="63"/>
      <c r="E435" s="63"/>
      <c r="F435" s="63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4" x14ac:dyDescent="0.3">
      <c r="A436" s="17"/>
      <c r="B436" s="17"/>
      <c r="C436" s="82"/>
      <c r="D436" s="63"/>
      <c r="E436" s="63"/>
      <c r="F436" s="63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4" x14ac:dyDescent="0.3">
      <c r="A437" s="17"/>
      <c r="B437" s="17"/>
      <c r="C437" s="82"/>
      <c r="D437" s="63"/>
      <c r="E437" s="63"/>
      <c r="F437" s="63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4" x14ac:dyDescent="0.3">
      <c r="A438" s="17"/>
      <c r="B438" s="17"/>
      <c r="C438" s="82"/>
      <c r="D438" s="63"/>
      <c r="E438" s="63"/>
      <c r="F438" s="63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4" x14ac:dyDescent="0.3">
      <c r="A439" s="17"/>
      <c r="B439" s="17"/>
      <c r="C439" s="82"/>
      <c r="D439" s="63"/>
      <c r="E439" s="63"/>
      <c r="F439" s="63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4" x14ac:dyDescent="0.3">
      <c r="A440" s="17"/>
      <c r="B440" s="17"/>
      <c r="C440" s="82"/>
      <c r="D440" s="63"/>
      <c r="E440" s="63"/>
      <c r="F440" s="63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4" x14ac:dyDescent="0.3">
      <c r="A441" s="17"/>
      <c r="B441" s="17"/>
      <c r="C441" s="82"/>
      <c r="D441" s="63"/>
      <c r="E441" s="63"/>
      <c r="F441" s="63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4" x14ac:dyDescent="0.3">
      <c r="A442" s="17"/>
      <c r="B442" s="17"/>
      <c r="C442" s="82"/>
      <c r="D442" s="63"/>
      <c r="E442" s="63"/>
      <c r="F442" s="63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4" x14ac:dyDescent="0.3">
      <c r="A443" s="17"/>
      <c r="B443" s="17"/>
      <c r="C443" s="82"/>
      <c r="D443" s="63"/>
      <c r="E443" s="63"/>
      <c r="F443" s="63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4" x14ac:dyDescent="0.3">
      <c r="A444" s="17"/>
      <c r="B444" s="17"/>
      <c r="C444" s="82"/>
      <c r="D444" s="63"/>
      <c r="E444" s="63"/>
      <c r="F444" s="63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4" x14ac:dyDescent="0.3">
      <c r="A445" s="17"/>
      <c r="B445" s="17"/>
      <c r="C445" s="82"/>
      <c r="D445" s="63"/>
      <c r="E445" s="63"/>
      <c r="F445" s="63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4" x14ac:dyDescent="0.3">
      <c r="A446" s="17"/>
      <c r="B446" s="17"/>
      <c r="C446" s="82"/>
      <c r="D446" s="63"/>
      <c r="E446" s="63"/>
      <c r="F446" s="63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4" x14ac:dyDescent="0.3">
      <c r="A447" s="17"/>
      <c r="B447" s="17"/>
      <c r="C447" s="82"/>
      <c r="D447" s="63"/>
      <c r="E447" s="63"/>
      <c r="F447" s="63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4" x14ac:dyDescent="0.3">
      <c r="A448" s="17"/>
      <c r="B448" s="17"/>
      <c r="C448" s="82"/>
      <c r="D448" s="63"/>
      <c r="E448" s="63"/>
      <c r="F448" s="63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4" x14ac:dyDescent="0.3">
      <c r="A449" s="17"/>
      <c r="B449" s="17"/>
      <c r="C449" s="82"/>
      <c r="D449" s="63"/>
      <c r="E449" s="63"/>
      <c r="F449" s="63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4" x14ac:dyDescent="0.3">
      <c r="A450" s="17"/>
      <c r="B450" s="17"/>
      <c r="C450" s="82"/>
      <c r="D450" s="63"/>
      <c r="E450" s="63"/>
      <c r="F450" s="63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4" x14ac:dyDescent="0.3">
      <c r="A451" s="17"/>
      <c r="B451" s="17"/>
      <c r="C451" s="82"/>
      <c r="D451" s="63"/>
      <c r="E451" s="63"/>
      <c r="F451" s="63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4" x14ac:dyDescent="0.3">
      <c r="A452" s="17"/>
      <c r="B452" s="17"/>
      <c r="C452" s="82"/>
      <c r="D452" s="63"/>
      <c r="E452" s="63"/>
      <c r="F452" s="63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4" x14ac:dyDescent="0.3">
      <c r="A453" s="17"/>
      <c r="B453" s="17"/>
      <c r="C453" s="82"/>
      <c r="D453" s="63"/>
      <c r="E453" s="63"/>
      <c r="F453" s="63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4" x14ac:dyDescent="0.3">
      <c r="A454" s="17"/>
      <c r="B454" s="17"/>
      <c r="C454" s="82"/>
      <c r="D454" s="63"/>
      <c r="E454" s="63"/>
      <c r="F454" s="63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4" x14ac:dyDescent="0.3">
      <c r="A455" s="17"/>
      <c r="B455" s="17"/>
      <c r="C455" s="82"/>
      <c r="D455" s="63"/>
      <c r="E455" s="63"/>
      <c r="F455" s="63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4" x14ac:dyDescent="0.3">
      <c r="A456" s="17"/>
      <c r="B456" s="17"/>
      <c r="C456" s="82"/>
      <c r="D456" s="63"/>
      <c r="E456" s="63"/>
      <c r="F456" s="63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4" x14ac:dyDescent="0.3">
      <c r="A457" s="17"/>
      <c r="B457" s="17"/>
      <c r="C457" s="82"/>
      <c r="D457" s="63"/>
      <c r="E457" s="63"/>
      <c r="F457" s="63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4" x14ac:dyDescent="0.3">
      <c r="A458" s="17"/>
      <c r="B458" s="17"/>
      <c r="C458" s="82"/>
      <c r="D458" s="63"/>
      <c r="E458" s="63"/>
      <c r="F458" s="63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4" x14ac:dyDescent="0.3">
      <c r="A459" s="17"/>
      <c r="B459" s="17"/>
      <c r="C459" s="82"/>
      <c r="D459" s="63"/>
      <c r="E459" s="63"/>
      <c r="F459" s="63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4" x14ac:dyDescent="0.3">
      <c r="A460" s="17"/>
      <c r="B460" s="17"/>
      <c r="C460" s="82"/>
      <c r="D460" s="63"/>
      <c r="E460" s="63"/>
      <c r="F460" s="63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4" x14ac:dyDescent="0.3">
      <c r="A461" s="17"/>
      <c r="B461" s="17"/>
      <c r="C461" s="82"/>
      <c r="D461" s="63"/>
      <c r="E461" s="63"/>
      <c r="F461" s="63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4" x14ac:dyDescent="0.3">
      <c r="A462" s="17"/>
      <c r="B462" s="17"/>
      <c r="C462" s="82"/>
      <c r="D462" s="63"/>
      <c r="E462" s="63"/>
      <c r="F462" s="63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4" x14ac:dyDescent="0.3">
      <c r="A463" s="17"/>
      <c r="B463" s="17"/>
      <c r="C463" s="82"/>
      <c r="D463" s="63"/>
      <c r="E463" s="63"/>
      <c r="F463" s="63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4" x14ac:dyDescent="0.3">
      <c r="A464" s="17"/>
      <c r="B464" s="17"/>
      <c r="C464" s="82"/>
      <c r="D464" s="63"/>
      <c r="E464" s="63"/>
      <c r="F464" s="63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4" x14ac:dyDescent="0.3">
      <c r="A465" s="17"/>
      <c r="B465" s="17"/>
      <c r="C465" s="82"/>
      <c r="D465" s="63"/>
      <c r="E465" s="63"/>
      <c r="F465" s="63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4" x14ac:dyDescent="0.3">
      <c r="A466" s="17"/>
      <c r="B466" s="17"/>
      <c r="C466" s="82"/>
      <c r="D466" s="63"/>
      <c r="E466" s="63"/>
      <c r="F466" s="63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4" x14ac:dyDescent="0.3">
      <c r="A467" s="17"/>
      <c r="B467" s="17"/>
      <c r="C467" s="82"/>
      <c r="D467" s="63"/>
      <c r="E467" s="63"/>
      <c r="F467" s="63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4" x14ac:dyDescent="0.3">
      <c r="A468" s="17"/>
      <c r="B468" s="17"/>
      <c r="C468" s="82"/>
      <c r="D468" s="63"/>
      <c r="E468" s="63"/>
      <c r="F468" s="63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4" x14ac:dyDescent="0.3">
      <c r="A469" s="17"/>
      <c r="B469" s="17"/>
      <c r="C469" s="82"/>
      <c r="D469" s="63"/>
      <c r="E469" s="63"/>
      <c r="F469" s="63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4" x14ac:dyDescent="0.3">
      <c r="A470" s="17"/>
      <c r="B470" s="17"/>
      <c r="C470" s="82"/>
      <c r="D470" s="63"/>
      <c r="E470" s="63"/>
      <c r="F470" s="63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4" x14ac:dyDescent="0.3">
      <c r="A471" s="17"/>
      <c r="B471" s="17"/>
      <c r="C471" s="82"/>
      <c r="D471" s="63"/>
      <c r="E471" s="63"/>
      <c r="F471" s="63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4" x14ac:dyDescent="0.3">
      <c r="A472" s="17"/>
      <c r="B472" s="17"/>
      <c r="C472" s="82"/>
      <c r="D472" s="63"/>
      <c r="E472" s="63"/>
      <c r="F472" s="63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4" x14ac:dyDescent="0.3">
      <c r="A473" s="17"/>
      <c r="B473" s="17"/>
      <c r="C473" s="82"/>
      <c r="D473" s="63"/>
      <c r="E473" s="63"/>
      <c r="F473" s="63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4" x14ac:dyDescent="0.3">
      <c r="A474" s="17"/>
      <c r="B474" s="17"/>
      <c r="C474" s="82"/>
      <c r="D474" s="63"/>
      <c r="E474" s="63"/>
      <c r="F474" s="63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4" x14ac:dyDescent="0.3">
      <c r="A475" s="17"/>
      <c r="B475" s="17"/>
      <c r="C475" s="82"/>
      <c r="D475" s="63"/>
      <c r="E475" s="63"/>
      <c r="F475" s="63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4" x14ac:dyDescent="0.3">
      <c r="A476" s="17"/>
      <c r="B476" s="17"/>
      <c r="C476" s="82"/>
      <c r="D476" s="63"/>
      <c r="E476" s="63"/>
      <c r="F476" s="63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4" x14ac:dyDescent="0.3">
      <c r="A477" s="17"/>
      <c r="B477" s="17"/>
      <c r="C477" s="82"/>
      <c r="D477" s="63"/>
      <c r="E477" s="63"/>
      <c r="F477" s="63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4" x14ac:dyDescent="0.3">
      <c r="A478" s="17"/>
      <c r="B478" s="17"/>
      <c r="C478" s="82"/>
      <c r="D478" s="63"/>
      <c r="E478" s="63"/>
      <c r="F478" s="63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4" x14ac:dyDescent="0.3">
      <c r="A479" s="17"/>
      <c r="B479" s="17"/>
      <c r="C479" s="82"/>
      <c r="D479" s="63"/>
      <c r="E479" s="63"/>
      <c r="F479" s="63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4" x14ac:dyDescent="0.3">
      <c r="A480" s="17"/>
      <c r="B480" s="17"/>
      <c r="C480" s="82"/>
      <c r="D480" s="63"/>
      <c r="E480" s="63"/>
      <c r="F480" s="63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4" x14ac:dyDescent="0.3">
      <c r="A481" s="17"/>
      <c r="B481" s="17"/>
      <c r="C481" s="82"/>
      <c r="D481" s="63"/>
      <c r="E481" s="63"/>
      <c r="F481" s="63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4" x14ac:dyDescent="0.3">
      <c r="A482" s="17"/>
      <c r="B482" s="17"/>
      <c r="C482" s="82"/>
      <c r="D482" s="63"/>
      <c r="E482" s="63"/>
      <c r="F482" s="63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4" x14ac:dyDescent="0.3">
      <c r="A483" s="17"/>
      <c r="B483" s="17"/>
      <c r="C483" s="82"/>
      <c r="D483" s="63"/>
      <c r="E483" s="63"/>
      <c r="F483" s="63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4" x14ac:dyDescent="0.3">
      <c r="A484" s="17"/>
      <c r="B484" s="17"/>
      <c r="C484" s="82"/>
      <c r="D484" s="63"/>
      <c r="E484" s="63"/>
      <c r="F484" s="63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4" x14ac:dyDescent="0.3">
      <c r="A485" s="17"/>
      <c r="B485" s="17"/>
      <c r="C485" s="82"/>
      <c r="D485" s="63"/>
      <c r="E485" s="63"/>
      <c r="F485" s="63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4" x14ac:dyDescent="0.3">
      <c r="A486" s="17"/>
      <c r="B486" s="17"/>
      <c r="C486" s="82"/>
      <c r="D486" s="63"/>
      <c r="E486" s="63"/>
      <c r="F486" s="63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4" x14ac:dyDescent="0.3">
      <c r="A487" s="17"/>
      <c r="B487" s="17"/>
      <c r="C487" s="82"/>
      <c r="D487" s="63"/>
      <c r="E487" s="63"/>
      <c r="F487" s="63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4" x14ac:dyDescent="0.3">
      <c r="A488" s="17"/>
      <c r="B488" s="17"/>
      <c r="C488" s="82"/>
      <c r="D488" s="63"/>
      <c r="E488" s="63"/>
      <c r="F488" s="63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4" x14ac:dyDescent="0.3">
      <c r="A489" s="17"/>
      <c r="B489" s="17"/>
      <c r="C489" s="82"/>
      <c r="D489" s="63"/>
      <c r="E489" s="63"/>
      <c r="F489" s="63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4" x14ac:dyDescent="0.3">
      <c r="A490" s="17"/>
      <c r="B490" s="17"/>
      <c r="C490" s="82"/>
      <c r="D490" s="63"/>
      <c r="E490" s="63"/>
      <c r="F490" s="63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4" x14ac:dyDescent="0.3">
      <c r="A491" s="17"/>
      <c r="B491" s="17"/>
      <c r="C491" s="82"/>
      <c r="D491" s="63"/>
      <c r="E491" s="63"/>
      <c r="F491" s="63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4" x14ac:dyDescent="0.3">
      <c r="A492" s="17"/>
      <c r="B492" s="17"/>
      <c r="C492" s="82"/>
      <c r="D492" s="63"/>
      <c r="E492" s="63"/>
      <c r="F492" s="63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4" x14ac:dyDescent="0.3">
      <c r="A493" s="17"/>
      <c r="B493" s="17"/>
      <c r="C493" s="82"/>
      <c r="D493" s="63"/>
      <c r="E493" s="63"/>
      <c r="F493" s="63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4" x14ac:dyDescent="0.3">
      <c r="A494" s="17"/>
      <c r="B494" s="17"/>
      <c r="C494" s="82"/>
      <c r="D494" s="63"/>
      <c r="E494" s="63"/>
      <c r="F494" s="63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4" x14ac:dyDescent="0.3">
      <c r="A495" s="17"/>
      <c r="B495" s="17"/>
      <c r="C495" s="82"/>
      <c r="D495" s="63"/>
      <c r="E495" s="63"/>
      <c r="F495" s="63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4" x14ac:dyDescent="0.3">
      <c r="A496" s="17"/>
      <c r="B496" s="17"/>
      <c r="C496" s="82"/>
      <c r="D496" s="63"/>
      <c r="E496" s="63"/>
      <c r="F496" s="63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4" x14ac:dyDescent="0.3">
      <c r="A497" s="17"/>
      <c r="B497" s="17"/>
      <c r="C497" s="82"/>
      <c r="D497" s="63"/>
      <c r="E497" s="63"/>
      <c r="F497" s="63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4" x14ac:dyDescent="0.3">
      <c r="A498" s="17"/>
      <c r="B498" s="17"/>
      <c r="C498" s="82"/>
      <c r="D498" s="63"/>
      <c r="E498" s="63"/>
      <c r="F498" s="63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4" x14ac:dyDescent="0.3">
      <c r="A499" s="17"/>
      <c r="B499" s="17"/>
      <c r="C499" s="82"/>
      <c r="D499" s="63"/>
      <c r="E499" s="63"/>
      <c r="F499" s="63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4" x14ac:dyDescent="0.3">
      <c r="A500" s="17"/>
      <c r="B500" s="17"/>
      <c r="C500" s="82"/>
      <c r="D500" s="63"/>
      <c r="E500" s="63"/>
      <c r="F500" s="63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4" x14ac:dyDescent="0.3">
      <c r="A501" s="17"/>
      <c r="B501" s="17"/>
      <c r="C501" s="82"/>
      <c r="D501" s="63"/>
      <c r="E501" s="63"/>
      <c r="F501" s="63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4" x14ac:dyDescent="0.3">
      <c r="A502" s="17"/>
      <c r="B502" s="17"/>
      <c r="C502" s="82"/>
      <c r="D502" s="63"/>
      <c r="E502" s="63"/>
      <c r="F502" s="63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4" x14ac:dyDescent="0.3">
      <c r="A503" s="17"/>
      <c r="B503" s="17"/>
      <c r="C503" s="82"/>
      <c r="D503" s="63"/>
      <c r="E503" s="63"/>
      <c r="F503" s="63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4" x14ac:dyDescent="0.3">
      <c r="A504" s="17"/>
      <c r="B504" s="17"/>
      <c r="C504" s="82"/>
      <c r="D504" s="63"/>
      <c r="E504" s="63"/>
      <c r="F504" s="63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4" x14ac:dyDescent="0.3">
      <c r="A505" s="17"/>
      <c r="B505" s="17"/>
      <c r="C505" s="82"/>
      <c r="D505" s="63"/>
      <c r="E505" s="63"/>
      <c r="F505" s="63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4" x14ac:dyDescent="0.3">
      <c r="A506" s="17"/>
      <c r="B506" s="17"/>
      <c r="C506" s="82"/>
      <c r="D506" s="63"/>
      <c r="E506" s="63"/>
      <c r="F506" s="63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4" x14ac:dyDescent="0.3">
      <c r="A507" s="17"/>
      <c r="B507" s="17"/>
      <c r="C507" s="82"/>
      <c r="D507" s="63"/>
      <c r="E507" s="63"/>
      <c r="F507" s="63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4" x14ac:dyDescent="0.3">
      <c r="A508" s="17"/>
      <c r="B508" s="17"/>
      <c r="C508" s="82"/>
      <c r="D508" s="63"/>
      <c r="E508" s="63"/>
      <c r="F508" s="63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4" x14ac:dyDescent="0.3">
      <c r="A509" s="17"/>
      <c r="B509" s="17"/>
      <c r="C509" s="82"/>
      <c r="D509" s="63"/>
      <c r="E509" s="63"/>
      <c r="F509" s="63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4" x14ac:dyDescent="0.3">
      <c r="A510" s="17"/>
      <c r="B510" s="17"/>
      <c r="C510" s="82"/>
      <c r="D510" s="63"/>
      <c r="E510" s="63"/>
      <c r="F510" s="63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4" x14ac:dyDescent="0.3">
      <c r="A511" s="17"/>
      <c r="B511" s="17"/>
      <c r="C511" s="82"/>
      <c r="D511" s="63"/>
      <c r="E511" s="63"/>
      <c r="F511" s="63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4" x14ac:dyDescent="0.3">
      <c r="A512" s="17"/>
      <c r="B512" s="17"/>
      <c r="C512" s="82"/>
      <c r="D512" s="63"/>
      <c r="E512" s="63"/>
      <c r="F512" s="63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4" x14ac:dyDescent="0.3">
      <c r="A513" s="17"/>
      <c r="B513" s="17"/>
      <c r="C513" s="82"/>
      <c r="D513" s="63"/>
      <c r="E513" s="63"/>
      <c r="F513" s="63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4" x14ac:dyDescent="0.3">
      <c r="A514" s="17"/>
      <c r="B514" s="17"/>
      <c r="C514" s="82"/>
      <c r="D514" s="63"/>
      <c r="E514" s="63"/>
      <c r="F514" s="63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4" x14ac:dyDescent="0.3">
      <c r="A515" s="17"/>
      <c r="B515" s="17"/>
      <c r="C515" s="82"/>
      <c r="D515" s="63"/>
      <c r="E515" s="63"/>
      <c r="F515" s="63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4" x14ac:dyDescent="0.3">
      <c r="A516" s="17"/>
      <c r="B516" s="17"/>
      <c r="C516" s="82"/>
      <c r="D516" s="63"/>
      <c r="E516" s="63"/>
      <c r="F516" s="63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4" x14ac:dyDescent="0.3">
      <c r="A517" s="17"/>
      <c r="B517" s="17"/>
      <c r="C517" s="82"/>
      <c r="D517" s="63"/>
      <c r="E517" s="63"/>
      <c r="F517" s="63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4" x14ac:dyDescent="0.3">
      <c r="A518" s="17"/>
      <c r="B518" s="17"/>
      <c r="C518" s="82"/>
      <c r="D518" s="63"/>
      <c r="E518" s="63"/>
      <c r="F518" s="63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4" x14ac:dyDescent="0.3">
      <c r="A519" s="17"/>
      <c r="B519" s="17"/>
      <c r="C519" s="82"/>
      <c r="D519" s="63"/>
      <c r="E519" s="63"/>
      <c r="F519" s="63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4" x14ac:dyDescent="0.3">
      <c r="A520" s="17"/>
      <c r="B520" s="17"/>
      <c r="C520" s="82"/>
      <c r="D520" s="63"/>
      <c r="E520" s="63"/>
      <c r="F520" s="63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4" x14ac:dyDescent="0.3">
      <c r="A521" s="17"/>
      <c r="B521" s="17"/>
      <c r="C521" s="82"/>
      <c r="D521" s="63"/>
      <c r="E521" s="63"/>
      <c r="F521" s="63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4" x14ac:dyDescent="0.3">
      <c r="A522" s="17"/>
      <c r="B522" s="17"/>
      <c r="C522" s="82"/>
      <c r="D522" s="63"/>
      <c r="E522" s="63"/>
      <c r="F522" s="63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4" x14ac:dyDescent="0.3">
      <c r="A523" s="17"/>
      <c r="B523" s="17"/>
      <c r="C523" s="82"/>
      <c r="D523" s="63"/>
      <c r="E523" s="63"/>
      <c r="F523" s="63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4" x14ac:dyDescent="0.3">
      <c r="A524" s="17"/>
      <c r="B524" s="17"/>
      <c r="C524" s="82"/>
      <c r="D524" s="63"/>
      <c r="E524" s="63"/>
      <c r="F524" s="63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4" x14ac:dyDescent="0.3">
      <c r="A525" s="17"/>
      <c r="B525" s="17"/>
      <c r="C525" s="82"/>
      <c r="D525" s="63"/>
      <c r="E525" s="63"/>
      <c r="F525" s="63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4" x14ac:dyDescent="0.3">
      <c r="A526" s="17"/>
      <c r="B526" s="17"/>
      <c r="C526" s="82"/>
      <c r="D526" s="63"/>
      <c r="E526" s="63"/>
      <c r="F526" s="63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4" x14ac:dyDescent="0.3">
      <c r="A527" s="17"/>
      <c r="B527" s="17"/>
      <c r="C527" s="82"/>
      <c r="D527" s="63"/>
      <c r="E527" s="63"/>
      <c r="F527" s="63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4" x14ac:dyDescent="0.3">
      <c r="A528" s="17"/>
      <c r="B528" s="17"/>
      <c r="C528" s="82"/>
      <c r="D528" s="63"/>
      <c r="E528" s="63"/>
      <c r="F528" s="63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4" x14ac:dyDescent="0.3">
      <c r="A529" s="17"/>
      <c r="B529" s="17"/>
      <c r="C529" s="82"/>
      <c r="D529" s="63"/>
      <c r="E529" s="63"/>
      <c r="F529" s="63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4" x14ac:dyDescent="0.3">
      <c r="A530" s="17"/>
      <c r="B530" s="17"/>
      <c r="C530" s="82"/>
      <c r="D530" s="63"/>
      <c r="E530" s="63"/>
      <c r="F530" s="63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4" x14ac:dyDescent="0.3">
      <c r="A531" s="17"/>
      <c r="B531" s="17"/>
      <c r="C531" s="82"/>
      <c r="D531" s="63"/>
      <c r="E531" s="63"/>
      <c r="F531" s="63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4" x14ac:dyDescent="0.3">
      <c r="A532" s="17"/>
      <c r="B532" s="17"/>
      <c r="C532" s="82"/>
      <c r="D532" s="63"/>
      <c r="E532" s="63"/>
      <c r="F532" s="63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4" x14ac:dyDescent="0.3">
      <c r="A533" s="17"/>
      <c r="B533" s="17"/>
      <c r="C533" s="82"/>
      <c r="D533" s="63"/>
      <c r="E533" s="63"/>
      <c r="F533" s="63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4" x14ac:dyDescent="0.3">
      <c r="A534" s="17"/>
      <c r="B534" s="17"/>
      <c r="C534" s="82"/>
      <c r="D534" s="63"/>
      <c r="E534" s="63"/>
      <c r="F534" s="63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4" x14ac:dyDescent="0.3">
      <c r="A535" s="17"/>
      <c r="B535" s="17"/>
      <c r="C535" s="82"/>
      <c r="D535" s="63"/>
      <c r="E535" s="63"/>
      <c r="F535" s="63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4" x14ac:dyDescent="0.3">
      <c r="A536" s="17"/>
      <c r="B536" s="17"/>
      <c r="C536" s="82"/>
      <c r="D536" s="63"/>
      <c r="E536" s="63"/>
      <c r="F536" s="63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4" x14ac:dyDescent="0.3">
      <c r="A537" s="17"/>
      <c r="B537" s="17"/>
      <c r="C537" s="82"/>
      <c r="D537" s="63"/>
      <c r="E537" s="63"/>
      <c r="F537" s="63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4" x14ac:dyDescent="0.3">
      <c r="A538" s="17"/>
      <c r="B538" s="17"/>
      <c r="C538" s="82"/>
      <c r="D538" s="63"/>
      <c r="E538" s="63"/>
      <c r="F538" s="63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4" x14ac:dyDescent="0.3">
      <c r="A539" s="17"/>
      <c r="B539" s="17"/>
      <c r="C539" s="82"/>
      <c r="D539" s="63"/>
      <c r="E539" s="63"/>
      <c r="F539" s="63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4" x14ac:dyDescent="0.3">
      <c r="A540" s="17"/>
      <c r="B540" s="17"/>
      <c r="C540" s="82"/>
      <c r="D540" s="63"/>
      <c r="E540" s="63"/>
      <c r="F540" s="63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4" x14ac:dyDescent="0.3">
      <c r="A541" s="17"/>
      <c r="B541" s="17"/>
      <c r="C541" s="82"/>
      <c r="D541" s="63"/>
      <c r="E541" s="63"/>
      <c r="F541" s="63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4" x14ac:dyDescent="0.3">
      <c r="A542" s="17"/>
      <c r="B542" s="17"/>
      <c r="C542" s="82"/>
      <c r="D542" s="63"/>
      <c r="E542" s="63"/>
      <c r="F542" s="63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4" x14ac:dyDescent="0.3">
      <c r="A543" s="17"/>
      <c r="B543" s="17"/>
      <c r="C543" s="82"/>
      <c r="D543" s="63"/>
      <c r="E543" s="63"/>
      <c r="F543" s="63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4" x14ac:dyDescent="0.3">
      <c r="A544" s="17"/>
      <c r="B544" s="17"/>
      <c r="C544" s="82"/>
      <c r="D544" s="63"/>
      <c r="E544" s="63"/>
      <c r="F544" s="63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4" x14ac:dyDescent="0.3">
      <c r="A545" s="17"/>
      <c r="B545" s="17"/>
      <c r="C545" s="82"/>
      <c r="D545" s="63"/>
      <c r="E545" s="63"/>
      <c r="F545" s="63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4" x14ac:dyDescent="0.3">
      <c r="A546" s="17"/>
      <c r="B546" s="17"/>
      <c r="C546" s="82"/>
      <c r="D546" s="63"/>
      <c r="E546" s="63"/>
      <c r="F546" s="63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4" x14ac:dyDescent="0.3">
      <c r="A547" s="17"/>
      <c r="B547" s="17"/>
      <c r="C547" s="82"/>
      <c r="D547" s="63"/>
      <c r="E547" s="63"/>
      <c r="F547" s="63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4" x14ac:dyDescent="0.3">
      <c r="A548" s="17"/>
      <c r="B548" s="17"/>
      <c r="C548" s="82"/>
      <c r="D548" s="63"/>
      <c r="E548" s="63"/>
      <c r="F548" s="63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4" x14ac:dyDescent="0.3">
      <c r="A549" s="17"/>
      <c r="B549" s="17"/>
      <c r="C549" s="82"/>
      <c r="D549" s="63"/>
      <c r="E549" s="63"/>
      <c r="F549" s="63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4" x14ac:dyDescent="0.3">
      <c r="A550" s="17"/>
      <c r="B550" s="17"/>
      <c r="C550" s="82"/>
      <c r="D550" s="63"/>
      <c r="E550" s="63"/>
      <c r="F550" s="63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4" x14ac:dyDescent="0.3">
      <c r="A551" s="17"/>
      <c r="B551" s="17"/>
      <c r="C551" s="82"/>
      <c r="D551" s="63"/>
      <c r="E551" s="63"/>
      <c r="F551" s="63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4" x14ac:dyDescent="0.3">
      <c r="A552" s="17"/>
      <c r="B552" s="17"/>
      <c r="C552" s="82"/>
      <c r="D552" s="63"/>
      <c r="E552" s="63"/>
      <c r="F552" s="63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4" x14ac:dyDescent="0.3">
      <c r="A553" s="17"/>
      <c r="B553" s="17"/>
      <c r="C553" s="82"/>
      <c r="D553" s="63"/>
      <c r="E553" s="63"/>
      <c r="F553" s="63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4" x14ac:dyDescent="0.3">
      <c r="A554" s="17"/>
      <c r="B554" s="17"/>
      <c r="C554" s="82"/>
      <c r="D554" s="63"/>
      <c r="E554" s="63"/>
      <c r="F554" s="63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4" x14ac:dyDescent="0.3">
      <c r="A555" s="17"/>
      <c r="B555" s="17"/>
      <c r="C555" s="82"/>
      <c r="D555" s="63"/>
      <c r="E555" s="63"/>
      <c r="F555" s="63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4" x14ac:dyDescent="0.3">
      <c r="A556" s="17"/>
      <c r="B556" s="17"/>
      <c r="C556" s="82"/>
      <c r="D556" s="63"/>
      <c r="E556" s="63"/>
      <c r="F556" s="63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4" x14ac:dyDescent="0.3">
      <c r="A557" s="17"/>
      <c r="B557" s="17"/>
      <c r="C557" s="82"/>
      <c r="D557" s="63"/>
      <c r="E557" s="63"/>
      <c r="F557" s="63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4" x14ac:dyDescent="0.3">
      <c r="A558" s="17"/>
      <c r="B558" s="17"/>
      <c r="C558" s="82"/>
      <c r="D558" s="63"/>
      <c r="E558" s="63"/>
      <c r="F558" s="63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4" x14ac:dyDescent="0.3">
      <c r="A559" s="17"/>
      <c r="B559" s="17"/>
      <c r="C559" s="82"/>
      <c r="D559" s="63"/>
      <c r="E559" s="63"/>
      <c r="F559" s="63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4" x14ac:dyDescent="0.3">
      <c r="A560" s="17"/>
      <c r="B560" s="17"/>
      <c r="C560" s="82"/>
      <c r="D560" s="63"/>
      <c r="E560" s="63"/>
      <c r="F560" s="63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4" x14ac:dyDescent="0.3">
      <c r="A561" s="17"/>
      <c r="B561" s="17"/>
      <c r="C561" s="82"/>
      <c r="D561" s="63"/>
      <c r="E561" s="63"/>
      <c r="F561" s="63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4" x14ac:dyDescent="0.3">
      <c r="A562" s="17"/>
      <c r="B562" s="17"/>
      <c r="C562" s="82"/>
      <c r="D562" s="63"/>
      <c r="E562" s="63"/>
      <c r="F562" s="63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4" x14ac:dyDescent="0.3">
      <c r="A563" s="17"/>
      <c r="B563" s="17"/>
      <c r="C563" s="82"/>
      <c r="D563" s="63"/>
      <c r="E563" s="63"/>
      <c r="F563" s="63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4" x14ac:dyDescent="0.3">
      <c r="A564" s="17"/>
      <c r="B564" s="17"/>
      <c r="C564" s="82"/>
      <c r="D564" s="63"/>
      <c r="E564" s="63"/>
      <c r="F564" s="63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4" x14ac:dyDescent="0.3">
      <c r="A565" s="17"/>
      <c r="B565" s="17"/>
      <c r="C565" s="82"/>
      <c r="D565" s="63"/>
      <c r="E565" s="63"/>
      <c r="F565" s="63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4" x14ac:dyDescent="0.3">
      <c r="A566" s="17"/>
      <c r="B566" s="17"/>
      <c r="C566" s="82"/>
      <c r="D566" s="63"/>
      <c r="E566" s="63"/>
      <c r="F566" s="63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4" x14ac:dyDescent="0.3">
      <c r="A567" s="17"/>
      <c r="B567" s="17"/>
      <c r="C567" s="82"/>
      <c r="D567" s="63"/>
      <c r="E567" s="63"/>
      <c r="F567" s="63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4" x14ac:dyDescent="0.3">
      <c r="A568" s="17"/>
      <c r="B568" s="17"/>
      <c r="C568" s="82"/>
      <c r="D568" s="63"/>
      <c r="E568" s="63"/>
      <c r="F568" s="63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4" x14ac:dyDescent="0.3">
      <c r="A569" s="17"/>
      <c r="B569" s="17"/>
      <c r="C569" s="82"/>
      <c r="D569" s="63"/>
      <c r="E569" s="63"/>
      <c r="F569" s="63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4" x14ac:dyDescent="0.3">
      <c r="A570" s="17"/>
      <c r="B570" s="17"/>
      <c r="C570" s="82"/>
      <c r="D570" s="63"/>
      <c r="E570" s="63"/>
      <c r="F570" s="63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4" x14ac:dyDescent="0.3">
      <c r="A571" s="17"/>
      <c r="B571" s="17"/>
      <c r="C571" s="82"/>
      <c r="D571" s="63"/>
      <c r="E571" s="63"/>
      <c r="F571" s="63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4" x14ac:dyDescent="0.3">
      <c r="A572" s="17"/>
      <c r="B572" s="17"/>
      <c r="C572" s="82"/>
      <c r="D572" s="63"/>
      <c r="E572" s="63"/>
      <c r="F572" s="63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4" x14ac:dyDescent="0.3">
      <c r="A573" s="17"/>
      <c r="B573" s="17"/>
      <c r="C573" s="82"/>
      <c r="D573" s="63"/>
      <c r="E573" s="63"/>
      <c r="F573" s="63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4" x14ac:dyDescent="0.3">
      <c r="A574" s="17"/>
      <c r="B574" s="17"/>
      <c r="C574" s="82"/>
      <c r="D574" s="63"/>
      <c r="E574" s="63"/>
      <c r="F574" s="63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4" x14ac:dyDescent="0.3">
      <c r="A575" s="17"/>
      <c r="B575" s="17"/>
      <c r="C575" s="82"/>
      <c r="D575" s="63"/>
      <c r="E575" s="63"/>
      <c r="F575" s="63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4" x14ac:dyDescent="0.3">
      <c r="A576" s="17"/>
      <c r="B576" s="17"/>
      <c r="C576" s="82"/>
      <c r="D576" s="63"/>
      <c r="E576" s="63"/>
      <c r="F576" s="63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4" x14ac:dyDescent="0.3">
      <c r="A577" s="17"/>
      <c r="B577" s="17"/>
      <c r="C577" s="82"/>
      <c r="D577" s="63"/>
      <c r="E577" s="63"/>
      <c r="F577" s="63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4" x14ac:dyDescent="0.3">
      <c r="A578" s="17"/>
      <c r="B578" s="17"/>
      <c r="C578" s="82"/>
      <c r="D578" s="63"/>
      <c r="E578" s="63"/>
      <c r="F578" s="63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4" x14ac:dyDescent="0.3">
      <c r="A579" s="17"/>
      <c r="B579" s="17"/>
      <c r="C579" s="82"/>
      <c r="D579" s="63"/>
      <c r="E579" s="63"/>
      <c r="F579" s="63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4" x14ac:dyDescent="0.3">
      <c r="A580" s="17"/>
      <c r="B580" s="17"/>
      <c r="C580" s="82"/>
      <c r="D580" s="63"/>
      <c r="E580" s="63"/>
      <c r="F580" s="63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4" x14ac:dyDescent="0.3">
      <c r="A581" s="17"/>
      <c r="B581" s="17"/>
      <c r="C581" s="82"/>
      <c r="D581" s="63"/>
      <c r="E581" s="63"/>
      <c r="F581" s="63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4" x14ac:dyDescent="0.3">
      <c r="A582" s="17"/>
      <c r="B582" s="17"/>
      <c r="C582" s="82"/>
      <c r="D582" s="63"/>
      <c r="E582" s="63"/>
      <c r="F582" s="63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4" x14ac:dyDescent="0.3">
      <c r="A583" s="17"/>
      <c r="B583" s="17"/>
      <c r="C583" s="82"/>
      <c r="D583" s="63"/>
      <c r="E583" s="63"/>
      <c r="F583" s="63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4" x14ac:dyDescent="0.3">
      <c r="A584" s="17"/>
      <c r="B584" s="17"/>
      <c r="C584" s="82"/>
      <c r="D584" s="63"/>
      <c r="E584" s="63"/>
      <c r="F584" s="63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4" x14ac:dyDescent="0.3">
      <c r="A585" s="17"/>
      <c r="B585" s="17"/>
      <c r="C585" s="82"/>
      <c r="D585" s="63"/>
      <c r="E585" s="63"/>
      <c r="F585" s="63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4" x14ac:dyDescent="0.3">
      <c r="A586" s="17"/>
      <c r="B586" s="17"/>
      <c r="C586" s="82"/>
      <c r="D586" s="63"/>
      <c r="E586" s="63"/>
      <c r="F586" s="63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4" x14ac:dyDescent="0.3">
      <c r="A587" s="17"/>
      <c r="B587" s="17"/>
      <c r="C587" s="82"/>
      <c r="D587" s="63"/>
      <c r="E587" s="63"/>
      <c r="F587" s="63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4" x14ac:dyDescent="0.3">
      <c r="A588" s="17"/>
      <c r="B588" s="17"/>
      <c r="C588" s="82"/>
      <c r="D588" s="63"/>
      <c r="E588" s="63"/>
      <c r="F588" s="63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4" x14ac:dyDescent="0.3">
      <c r="A589" s="17"/>
      <c r="B589" s="17"/>
      <c r="C589" s="82"/>
      <c r="D589" s="63"/>
      <c r="E589" s="63"/>
      <c r="F589" s="63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4" x14ac:dyDescent="0.3">
      <c r="A590" s="17"/>
      <c r="B590" s="17"/>
      <c r="C590" s="82"/>
      <c r="D590" s="63"/>
      <c r="E590" s="63"/>
      <c r="F590" s="63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4" x14ac:dyDescent="0.3">
      <c r="A591" s="17"/>
      <c r="B591" s="17"/>
      <c r="C591" s="82"/>
      <c r="D591" s="63"/>
      <c r="E591" s="63"/>
      <c r="F591" s="63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4" x14ac:dyDescent="0.3">
      <c r="A592" s="17"/>
      <c r="B592" s="17"/>
      <c r="C592" s="82"/>
      <c r="D592" s="63"/>
      <c r="E592" s="63"/>
      <c r="F592" s="63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4" x14ac:dyDescent="0.3">
      <c r="A593" s="17"/>
      <c r="B593" s="17"/>
      <c r="C593" s="82"/>
      <c r="D593" s="63"/>
      <c r="E593" s="63"/>
      <c r="F593" s="63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4" x14ac:dyDescent="0.3">
      <c r="A594" s="17"/>
      <c r="B594" s="17"/>
      <c r="C594" s="82"/>
      <c r="D594" s="63"/>
      <c r="E594" s="63"/>
      <c r="F594" s="63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4" x14ac:dyDescent="0.3">
      <c r="A595" s="17"/>
      <c r="B595" s="17"/>
      <c r="C595" s="82"/>
      <c r="D595" s="63"/>
      <c r="E595" s="63"/>
      <c r="F595" s="63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4" x14ac:dyDescent="0.3">
      <c r="A596" s="17"/>
      <c r="B596" s="17"/>
      <c r="C596" s="82"/>
      <c r="D596" s="63"/>
      <c r="E596" s="63"/>
      <c r="F596" s="63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4" x14ac:dyDescent="0.3">
      <c r="A597" s="17"/>
      <c r="B597" s="17"/>
      <c r="C597" s="82"/>
      <c r="D597" s="63"/>
      <c r="E597" s="63"/>
      <c r="F597" s="63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4" x14ac:dyDescent="0.3">
      <c r="A598" s="17"/>
      <c r="B598" s="17"/>
      <c r="C598" s="82"/>
      <c r="D598" s="63"/>
      <c r="E598" s="63"/>
      <c r="F598" s="63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4" x14ac:dyDescent="0.3">
      <c r="A599" s="17"/>
      <c r="B599" s="17"/>
      <c r="C599" s="82"/>
      <c r="D599" s="63"/>
      <c r="E599" s="63"/>
      <c r="F599" s="63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4" x14ac:dyDescent="0.3">
      <c r="A600" s="17"/>
      <c r="B600" s="17"/>
      <c r="C600" s="82"/>
      <c r="D600" s="63"/>
      <c r="E600" s="63"/>
      <c r="F600" s="63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4" x14ac:dyDescent="0.3">
      <c r="A601" s="17"/>
      <c r="B601" s="17"/>
      <c r="C601" s="82"/>
      <c r="D601" s="63"/>
      <c r="E601" s="63"/>
      <c r="F601" s="63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4" x14ac:dyDescent="0.3">
      <c r="A602" s="17"/>
      <c r="B602" s="17"/>
      <c r="C602" s="82"/>
      <c r="D602" s="63"/>
      <c r="E602" s="63"/>
      <c r="F602" s="63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4" x14ac:dyDescent="0.3">
      <c r="A603" s="17"/>
      <c r="B603" s="17"/>
      <c r="C603" s="82"/>
      <c r="D603" s="63"/>
      <c r="E603" s="63"/>
      <c r="F603" s="63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4" x14ac:dyDescent="0.3">
      <c r="A604" s="17"/>
      <c r="B604" s="17"/>
      <c r="C604" s="82"/>
      <c r="D604" s="63"/>
      <c r="E604" s="63"/>
      <c r="F604" s="63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4" x14ac:dyDescent="0.3">
      <c r="A605" s="17"/>
      <c r="B605" s="17"/>
      <c r="C605" s="82"/>
      <c r="D605" s="63"/>
      <c r="E605" s="63"/>
      <c r="F605" s="63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4" x14ac:dyDescent="0.3">
      <c r="A606" s="17"/>
      <c r="B606" s="17"/>
      <c r="C606" s="82"/>
      <c r="D606" s="63"/>
      <c r="E606" s="63"/>
      <c r="F606" s="63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4" x14ac:dyDescent="0.3">
      <c r="A607" s="17"/>
      <c r="B607" s="17"/>
      <c r="C607" s="82"/>
      <c r="D607" s="63"/>
      <c r="E607" s="63"/>
      <c r="F607" s="63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4" x14ac:dyDescent="0.3">
      <c r="A608" s="17"/>
      <c r="B608" s="17"/>
      <c r="C608" s="82"/>
      <c r="D608" s="63"/>
      <c r="E608" s="63"/>
      <c r="F608" s="63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4" x14ac:dyDescent="0.3">
      <c r="A609" s="17"/>
      <c r="B609" s="17"/>
      <c r="C609" s="82"/>
      <c r="D609" s="63"/>
      <c r="E609" s="63"/>
      <c r="F609" s="63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4" x14ac:dyDescent="0.3">
      <c r="A610" s="17"/>
      <c r="B610" s="17"/>
      <c r="C610" s="82"/>
      <c r="D610" s="63"/>
      <c r="E610" s="63"/>
      <c r="F610" s="63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4" x14ac:dyDescent="0.3">
      <c r="A611" s="17"/>
      <c r="B611" s="17"/>
      <c r="C611" s="82"/>
      <c r="D611" s="63"/>
      <c r="E611" s="63"/>
      <c r="F611" s="63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4" x14ac:dyDescent="0.3">
      <c r="A612" s="17"/>
      <c r="B612" s="17"/>
      <c r="C612" s="82"/>
      <c r="D612" s="63"/>
      <c r="E612" s="63"/>
      <c r="F612" s="63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4" x14ac:dyDescent="0.3">
      <c r="A613" s="17"/>
      <c r="B613" s="17"/>
      <c r="C613" s="82"/>
      <c r="D613" s="63"/>
      <c r="E613" s="63"/>
      <c r="F613" s="63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4" x14ac:dyDescent="0.3">
      <c r="A614" s="17"/>
      <c r="B614" s="17"/>
      <c r="C614" s="82"/>
      <c r="D614" s="63"/>
      <c r="E614" s="63"/>
      <c r="F614" s="63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4" x14ac:dyDescent="0.3">
      <c r="A615" s="17"/>
      <c r="B615" s="17"/>
      <c r="C615" s="82"/>
      <c r="D615" s="63"/>
      <c r="E615" s="63"/>
      <c r="F615" s="63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4" x14ac:dyDescent="0.3">
      <c r="A616" s="17"/>
      <c r="B616" s="17"/>
      <c r="C616" s="82"/>
      <c r="D616" s="63"/>
      <c r="E616" s="63"/>
      <c r="F616" s="63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4" x14ac:dyDescent="0.3">
      <c r="A617" s="17"/>
      <c r="B617" s="17"/>
      <c r="C617" s="82"/>
      <c r="D617" s="63"/>
      <c r="E617" s="63"/>
      <c r="F617" s="63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4" x14ac:dyDescent="0.3">
      <c r="A618" s="17"/>
      <c r="B618" s="17"/>
      <c r="C618" s="82"/>
      <c r="D618" s="63"/>
      <c r="E618" s="63"/>
      <c r="F618" s="63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4" x14ac:dyDescent="0.3">
      <c r="A619" s="17"/>
      <c r="B619" s="17"/>
      <c r="C619" s="82"/>
      <c r="D619" s="63"/>
      <c r="E619" s="63"/>
      <c r="F619" s="63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4" x14ac:dyDescent="0.3">
      <c r="A620" s="17"/>
      <c r="B620" s="17"/>
      <c r="C620" s="82"/>
      <c r="D620" s="63"/>
      <c r="E620" s="63"/>
      <c r="F620" s="63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4" x14ac:dyDescent="0.3">
      <c r="A621" s="17"/>
      <c r="B621" s="17"/>
      <c r="C621" s="82"/>
      <c r="D621" s="63"/>
      <c r="E621" s="63"/>
      <c r="F621" s="63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4" x14ac:dyDescent="0.3">
      <c r="A622" s="17"/>
      <c r="B622" s="17"/>
      <c r="C622" s="82"/>
      <c r="D622" s="63"/>
      <c r="E622" s="63"/>
      <c r="F622" s="63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4" x14ac:dyDescent="0.3">
      <c r="A623" s="17"/>
      <c r="B623" s="17"/>
      <c r="C623" s="82"/>
      <c r="D623" s="63"/>
      <c r="E623" s="63"/>
      <c r="F623" s="63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4" x14ac:dyDescent="0.3">
      <c r="A624" s="17"/>
      <c r="B624" s="17"/>
      <c r="C624" s="82"/>
      <c r="D624" s="63"/>
      <c r="E624" s="63"/>
      <c r="F624" s="63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4" x14ac:dyDescent="0.3">
      <c r="A625" s="17"/>
      <c r="B625" s="17"/>
      <c r="C625" s="82"/>
      <c r="D625" s="63"/>
      <c r="E625" s="63"/>
      <c r="F625" s="63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4" x14ac:dyDescent="0.3">
      <c r="A626" s="17"/>
      <c r="B626" s="17"/>
      <c r="C626" s="82"/>
      <c r="D626" s="63"/>
      <c r="E626" s="63"/>
      <c r="F626" s="63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4" x14ac:dyDescent="0.3">
      <c r="A627" s="17"/>
      <c r="B627" s="17"/>
      <c r="C627" s="82"/>
      <c r="D627" s="63"/>
      <c r="E627" s="63"/>
      <c r="F627" s="63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4" x14ac:dyDescent="0.3">
      <c r="A628" s="17"/>
      <c r="B628" s="17"/>
      <c r="C628" s="82"/>
      <c r="D628" s="63"/>
      <c r="E628" s="63"/>
      <c r="F628" s="63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4" x14ac:dyDescent="0.3">
      <c r="A629" s="17"/>
      <c r="B629" s="17"/>
      <c r="C629" s="82"/>
      <c r="D629" s="63"/>
      <c r="E629" s="63"/>
      <c r="F629" s="63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4" x14ac:dyDescent="0.3">
      <c r="A630" s="17"/>
      <c r="B630" s="17"/>
      <c r="C630" s="82"/>
      <c r="D630" s="63"/>
      <c r="E630" s="63"/>
      <c r="F630" s="63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4" x14ac:dyDescent="0.3">
      <c r="A631" s="17"/>
      <c r="B631" s="17"/>
      <c r="C631" s="82"/>
      <c r="D631" s="63"/>
      <c r="E631" s="63"/>
      <c r="F631" s="63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4" x14ac:dyDescent="0.3">
      <c r="A632" s="17"/>
      <c r="B632" s="17"/>
      <c r="C632" s="82"/>
      <c r="D632" s="63"/>
      <c r="E632" s="63"/>
      <c r="F632" s="63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4" x14ac:dyDescent="0.3">
      <c r="A633" s="17"/>
      <c r="B633" s="17"/>
      <c r="C633" s="82"/>
      <c r="D633" s="63"/>
      <c r="E633" s="63"/>
      <c r="F633" s="63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4" x14ac:dyDescent="0.3">
      <c r="A634" s="17"/>
      <c r="B634" s="17"/>
      <c r="C634" s="82"/>
      <c r="D634" s="63"/>
      <c r="E634" s="63"/>
      <c r="F634" s="63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4" x14ac:dyDescent="0.3">
      <c r="A635" s="17"/>
      <c r="B635" s="17"/>
      <c r="C635" s="82"/>
      <c r="D635" s="63"/>
      <c r="E635" s="63"/>
      <c r="F635" s="63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4" x14ac:dyDescent="0.3">
      <c r="A636" s="17"/>
      <c r="B636" s="17"/>
      <c r="C636" s="82"/>
      <c r="D636" s="63"/>
      <c r="E636" s="63"/>
      <c r="F636" s="63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4" x14ac:dyDescent="0.3">
      <c r="A637" s="17"/>
      <c r="B637" s="17"/>
      <c r="C637" s="82"/>
      <c r="D637" s="63"/>
      <c r="E637" s="63"/>
      <c r="F637" s="63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4" x14ac:dyDescent="0.3">
      <c r="A638" s="17"/>
      <c r="B638" s="17"/>
      <c r="C638" s="82"/>
      <c r="D638" s="63"/>
      <c r="E638" s="63"/>
      <c r="F638" s="63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4" x14ac:dyDescent="0.3">
      <c r="A639" s="17"/>
      <c r="B639" s="17"/>
      <c r="C639" s="82"/>
      <c r="D639" s="63"/>
      <c r="E639" s="63"/>
      <c r="F639" s="63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4" x14ac:dyDescent="0.3">
      <c r="A640" s="17"/>
      <c r="B640" s="17"/>
      <c r="C640" s="82"/>
      <c r="D640" s="63"/>
      <c r="E640" s="63"/>
      <c r="F640" s="63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4" x14ac:dyDescent="0.3">
      <c r="A641" s="17"/>
      <c r="B641" s="17"/>
      <c r="C641" s="82"/>
      <c r="D641" s="63"/>
      <c r="E641" s="63"/>
      <c r="F641" s="63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4" x14ac:dyDescent="0.3">
      <c r="A642" s="17"/>
      <c r="B642" s="17"/>
      <c r="C642" s="82"/>
      <c r="D642" s="63"/>
      <c r="E642" s="63"/>
      <c r="F642" s="63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4" x14ac:dyDescent="0.3">
      <c r="A643" s="17"/>
      <c r="B643" s="17"/>
      <c r="C643" s="82"/>
      <c r="D643" s="63"/>
      <c r="E643" s="63"/>
      <c r="F643" s="63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4" x14ac:dyDescent="0.3">
      <c r="A644" s="17"/>
      <c r="B644" s="17"/>
      <c r="C644" s="82"/>
      <c r="D644" s="63"/>
      <c r="E644" s="63"/>
      <c r="F644" s="63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4" x14ac:dyDescent="0.3">
      <c r="A645" s="17"/>
      <c r="B645" s="17"/>
      <c r="C645" s="82"/>
      <c r="D645" s="63"/>
      <c r="E645" s="63"/>
      <c r="F645" s="63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4" x14ac:dyDescent="0.3">
      <c r="A646" s="17"/>
      <c r="B646" s="17"/>
      <c r="C646" s="82"/>
      <c r="D646" s="63"/>
      <c r="E646" s="63"/>
      <c r="F646" s="63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4" x14ac:dyDescent="0.3">
      <c r="A647" s="17"/>
      <c r="B647" s="17"/>
      <c r="C647" s="82"/>
      <c r="D647" s="63"/>
      <c r="E647" s="63"/>
      <c r="F647" s="63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4" x14ac:dyDescent="0.3">
      <c r="A648" s="17"/>
      <c r="B648" s="17"/>
      <c r="C648" s="82"/>
      <c r="D648" s="63"/>
      <c r="E648" s="63"/>
      <c r="F648" s="63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4" x14ac:dyDescent="0.3">
      <c r="A649" s="17"/>
      <c r="B649" s="17"/>
      <c r="C649" s="82"/>
      <c r="D649" s="63"/>
      <c r="E649" s="63"/>
      <c r="F649" s="63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4" x14ac:dyDescent="0.3">
      <c r="A650" s="17"/>
      <c r="B650" s="17"/>
      <c r="C650" s="82"/>
      <c r="D650" s="63"/>
      <c r="E650" s="63"/>
      <c r="F650" s="63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4" x14ac:dyDescent="0.3">
      <c r="A651" s="17"/>
      <c r="B651" s="17"/>
      <c r="C651" s="82"/>
      <c r="D651" s="63"/>
      <c r="E651" s="63"/>
      <c r="F651" s="63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4" x14ac:dyDescent="0.3">
      <c r="A652" s="17"/>
      <c r="B652" s="17"/>
      <c r="C652" s="82"/>
      <c r="D652" s="63"/>
      <c r="E652" s="63"/>
      <c r="F652" s="63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4" x14ac:dyDescent="0.3">
      <c r="A653" s="17"/>
      <c r="B653" s="17"/>
      <c r="C653" s="82"/>
      <c r="D653" s="63"/>
      <c r="E653" s="63"/>
      <c r="F653" s="63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4" x14ac:dyDescent="0.3">
      <c r="A654" s="17"/>
      <c r="B654" s="17"/>
      <c r="C654" s="82"/>
      <c r="D654" s="63"/>
      <c r="E654" s="63"/>
      <c r="F654" s="63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4" x14ac:dyDescent="0.3">
      <c r="A655" s="17"/>
      <c r="B655" s="17"/>
      <c r="C655" s="82"/>
      <c r="D655" s="63"/>
      <c r="E655" s="63"/>
      <c r="F655" s="63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4" x14ac:dyDescent="0.3">
      <c r="A656" s="17"/>
      <c r="B656" s="17"/>
      <c r="C656" s="82"/>
      <c r="D656" s="63"/>
      <c r="E656" s="63"/>
      <c r="F656" s="63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4" x14ac:dyDescent="0.3">
      <c r="A657" s="17"/>
      <c r="B657" s="17"/>
      <c r="C657" s="82"/>
      <c r="D657" s="63"/>
      <c r="E657" s="63"/>
      <c r="F657" s="63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4" x14ac:dyDescent="0.3">
      <c r="A658" s="17"/>
      <c r="B658" s="17"/>
      <c r="C658" s="82"/>
      <c r="D658" s="63"/>
      <c r="E658" s="63"/>
      <c r="F658" s="63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4" x14ac:dyDescent="0.3">
      <c r="A659" s="17"/>
      <c r="B659" s="17"/>
      <c r="C659" s="82"/>
      <c r="D659" s="63"/>
      <c r="E659" s="63"/>
      <c r="F659" s="63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4" x14ac:dyDescent="0.3">
      <c r="A660" s="17"/>
      <c r="B660" s="17"/>
      <c r="C660" s="82"/>
      <c r="D660" s="63"/>
      <c r="E660" s="63"/>
      <c r="F660" s="63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4" x14ac:dyDescent="0.3">
      <c r="A661" s="17"/>
      <c r="B661" s="17"/>
      <c r="C661" s="82"/>
      <c r="D661" s="63"/>
      <c r="E661" s="63"/>
      <c r="F661" s="63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4" x14ac:dyDescent="0.3">
      <c r="A662" s="17"/>
      <c r="B662" s="17"/>
      <c r="C662" s="82"/>
      <c r="D662" s="63"/>
      <c r="E662" s="63"/>
      <c r="F662" s="63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4" x14ac:dyDescent="0.3">
      <c r="A663" s="17"/>
      <c r="B663" s="17"/>
      <c r="C663" s="82"/>
      <c r="D663" s="63"/>
      <c r="E663" s="63"/>
      <c r="F663" s="63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4" x14ac:dyDescent="0.3">
      <c r="A664" s="17"/>
      <c r="B664" s="17"/>
      <c r="C664" s="82"/>
      <c r="D664" s="63"/>
      <c r="E664" s="63"/>
      <c r="F664" s="63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4" x14ac:dyDescent="0.3">
      <c r="A665" s="17"/>
      <c r="B665" s="17"/>
      <c r="C665" s="82"/>
      <c r="D665" s="63"/>
      <c r="E665" s="63"/>
      <c r="F665" s="63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4" x14ac:dyDescent="0.3">
      <c r="A666" s="17"/>
      <c r="B666" s="17"/>
      <c r="C666" s="82"/>
      <c r="D666" s="63"/>
      <c r="E666" s="63"/>
      <c r="F666" s="63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4" x14ac:dyDescent="0.3">
      <c r="A667" s="17"/>
      <c r="B667" s="17"/>
      <c r="C667" s="82"/>
      <c r="D667" s="63"/>
      <c r="E667" s="63"/>
      <c r="F667" s="63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4" x14ac:dyDescent="0.3">
      <c r="A668" s="17"/>
      <c r="B668" s="17"/>
      <c r="C668" s="82"/>
      <c r="D668" s="63"/>
      <c r="E668" s="63"/>
      <c r="F668" s="63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4" x14ac:dyDescent="0.3">
      <c r="A669" s="17"/>
      <c r="B669" s="17"/>
      <c r="C669" s="82"/>
      <c r="D669" s="63"/>
      <c r="E669" s="63"/>
      <c r="F669" s="63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4" x14ac:dyDescent="0.3">
      <c r="A670" s="17"/>
      <c r="B670" s="17"/>
      <c r="C670" s="82"/>
      <c r="D670" s="63"/>
      <c r="E670" s="63"/>
      <c r="F670" s="63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4" x14ac:dyDescent="0.3">
      <c r="A671" s="17"/>
      <c r="B671" s="17"/>
      <c r="C671" s="82"/>
      <c r="D671" s="63"/>
      <c r="E671" s="63"/>
      <c r="F671" s="63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4" x14ac:dyDescent="0.3">
      <c r="A672" s="17"/>
      <c r="B672" s="17"/>
      <c r="C672" s="82"/>
      <c r="D672" s="63"/>
      <c r="E672" s="63"/>
      <c r="F672" s="63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4" x14ac:dyDescent="0.3">
      <c r="A673" s="17"/>
      <c r="B673" s="17"/>
      <c r="C673" s="82"/>
      <c r="D673" s="63"/>
      <c r="E673" s="63"/>
      <c r="F673" s="63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4" x14ac:dyDescent="0.3">
      <c r="A674" s="17"/>
      <c r="B674" s="17"/>
      <c r="C674" s="82"/>
      <c r="D674" s="63"/>
      <c r="E674" s="63"/>
      <c r="F674" s="63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4" x14ac:dyDescent="0.3">
      <c r="A675" s="17"/>
      <c r="B675" s="17"/>
      <c r="C675" s="82"/>
      <c r="D675" s="63"/>
      <c r="E675" s="63"/>
      <c r="F675" s="63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4" x14ac:dyDescent="0.3">
      <c r="A676" s="17"/>
      <c r="B676" s="17"/>
      <c r="C676" s="82"/>
      <c r="D676" s="63"/>
      <c r="E676" s="63"/>
      <c r="F676" s="63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4" x14ac:dyDescent="0.3">
      <c r="A677" s="17"/>
      <c r="B677" s="17"/>
      <c r="C677" s="82"/>
      <c r="D677" s="63"/>
      <c r="E677" s="63"/>
      <c r="F677" s="63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4" x14ac:dyDescent="0.3">
      <c r="A678" s="17"/>
      <c r="B678" s="17"/>
      <c r="C678" s="82"/>
      <c r="D678" s="63"/>
      <c r="E678" s="63"/>
      <c r="F678" s="63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4" x14ac:dyDescent="0.3">
      <c r="A679" s="17"/>
      <c r="B679" s="17"/>
      <c r="C679" s="82"/>
      <c r="D679" s="63"/>
      <c r="E679" s="63"/>
      <c r="F679" s="63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4" x14ac:dyDescent="0.3">
      <c r="A680" s="17"/>
      <c r="B680" s="17"/>
      <c r="C680" s="82"/>
      <c r="D680" s="63"/>
      <c r="E680" s="63"/>
      <c r="F680" s="63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4" x14ac:dyDescent="0.3">
      <c r="A681" s="17"/>
      <c r="B681" s="17"/>
      <c r="C681" s="82"/>
      <c r="D681" s="63"/>
      <c r="E681" s="63"/>
      <c r="F681" s="63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4" x14ac:dyDescent="0.3">
      <c r="A682" s="17"/>
      <c r="B682" s="17"/>
      <c r="C682" s="82"/>
      <c r="D682" s="63"/>
      <c r="E682" s="63"/>
      <c r="F682" s="63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4" x14ac:dyDescent="0.3">
      <c r="A683" s="17"/>
      <c r="B683" s="17"/>
      <c r="C683" s="82"/>
      <c r="D683" s="63"/>
      <c r="E683" s="63"/>
      <c r="F683" s="63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4" x14ac:dyDescent="0.3">
      <c r="A684" s="17"/>
      <c r="B684" s="17"/>
      <c r="C684" s="82"/>
      <c r="D684" s="63"/>
      <c r="E684" s="63"/>
      <c r="F684" s="63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4" x14ac:dyDescent="0.3">
      <c r="A685" s="17"/>
      <c r="B685" s="17"/>
      <c r="C685" s="82"/>
      <c r="D685" s="63"/>
      <c r="E685" s="63"/>
      <c r="F685" s="63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4" x14ac:dyDescent="0.3">
      <c r="A686" s="17"/>
      <c r="B686" s="17"/>
      <c r="C686" s="82"/>
      <c r="D686" s="63"/>
      <c r="E686" s="63"/>
      <c r="F686" s="63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4" x14ac:dyDescent="0.3">
      <c r="A687" s="17"/>
      <c r="B687" s="17"/>
      <c r="C687" s="82"/>
      <c r="D687" s="63"/>
      <c r="E687" s="63"/>
      <c r="F687" s="63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4" x14ac:dyDescent="0.3">
      <c r="A688" s="17"/>
      <c r="B688" s="17"/>
      <c r="C688" s="82"/>
      <c r="D688" s="63"/>
      <c r="E688" s="63"/>
      <c r="F688" s="63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4" x14ac:dyDescent="0.3">
      <c r="A689" s="17"/>
      <c r="B689" s="17"/>
      <c r="C689" s="82"/>
      <c r="D689" s="63"/>
      <c r="E689" s="63"/>
      <c r="F689" s="63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4" x14ac:dyDescent="0.3">
      <c r="A690" s="17"/>
      <c r="B690" s="17"/>
      <c r="C690" s="82"/>
      <c r="D690" s="63"/>
      <c r="E690" s="63"/>
      <c r="F690" s="63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4" x14ac:dyDescent="0.3">
      <c r="A691" s="17"/>
      <c r="B691" s="17"/>
      <c r="C691" s="82"/>
      <c r="D691" s="63"/>
      <c r="E691" s="63"/>
      <c r="F691" s="63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4" x14ac:dyDescent="0.3">
      <c r="A692" s="17"/>
      <c r="B692" s="17"/>
      <c r="C692" s="82"/>
      <c r="D692" s="63"/>
      <c r="E692" s="63"/>
      <c r="F692" s="63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4" x14ac:dyDescent="0.3">
      <c r="A693" s="17"/>
      <c r="B693" s="17"/>
      <c r="C693" s="82"/>
      <c r="D693" s="63"/>
      <c r="E693" s="63"/>
      <c r="F693" s="63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4" x14ac:dyDescent="0.3">
      <c r="A694" s="17"/>
      <c r="B694" s="17"/>
      <c r="C694" s="82"/>
      <c r="D694" s="63"/>
      <c r="E694" s="63"/>
      <c r="F694" s="63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4" x14ac:dyDescent="0.3">
      <c r="A695" s="17"/>
      <c r="B695" s="17"/>
      <c r="C695" s="82"/>
      <c r="D695" s="63"/>
      <c r="E695" s="63"/>
      <c r="F695" s="63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4" x14ac:dyDescent="0.3">
      <c r="A696" s="17"/>
      <c r="B696" s="17"/>
      <c r="C696" s="82"/>
      <c r="D696" s="63"/>
      <c r="E696" s="63"/>
      <c r="F696" s="63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4" x14ac:dyDescent="0.3">
      <c r="A697" s="17"/>
      <c r="B697" s="17"/>
      <c r="C697" s="82"/>
      <c r="D697" s="63"/>
      <c r="E697" s="63"/>
      <c r="F697" s="63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4" x14ac:dyDescent="0.3">
      <c r="A698" s="17"/>
      <c r="B698" s="17"/>
      <c r="C698" s="82"/>
      <c r="D698" s="63"/>
      <c r="E698" s="63"/>
      <c r="F698" s="63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4" x14ac:dyDescent="0.3">
      <c r="A699" s="17"/>
      <c r="B699" s="17"/>
      <c r="C699" s="82"/>
      <c r="D699" s="63"/>
      <c r="E699" s="63"/>
      <c r="F699" s="63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4" x14ac:dyDescent="0.3">
      <c r="A700" s="17"/>
      <c r="B700" s="17"/>
      <c r="C700" s="82"/>
      <c r="D700" s="63"/>
      <c r="E700" s="63"/>
      <c r="F700" s="63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4" x14ac:dyDescent="0.3">
      <c r="A701" s="17"/>
      <c r="B701" s="17"/>
      <c r="C701" s="82"/>
      <c r="D701" s="63"/>
      <c r="E701" s="63"/>
      <c r="F701" s="63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4" x14ac:dyDescent="0.3">
      <c r="A702" s="17"/>
      <c r="B702" s="17"/>
      <c r="C702" s="82"/>
      <c r="D702" s="63"/>
      <c r="E702" s="63"/>
      <c r="F702" s="63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4" x14ac:dyDescent="0.3">
      <c r="A703" s="17"/>
      <c r="B703" s="17"/>
      <c r="C703" s="82"/>
      <c r="D703" s="63"/>
      <c r="E703" s="63"/>
      <c r="F703" s="63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4" x14ac:dyDescent="0.3">
      <c r="A704" s="17"/>
      <c r="B704" s="17"/>
      <c r="C704" s="82"/>
      <c r="D704" s="63"/>
      <c r="E704" s="63"/>
      <c r="F704" s="63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4" x14ac:dyDescent="0.3">
      <c r="A705" s="17"/>
      <c r="B705" s="17"/>
      <c r="C705" s="82"/>
      <c r="D705" s="63"/>
      <c r="E705" s="63"/>
      <c r="F705" s="63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4" x14ac:dyDescent="0.3">
      <c r="A706" s="17"/>
      <c r="B706" s="17"/>
      <c r="C706" s="82"/>
      <c r="D706" s="63"/>
      <c r="E706" s="63"/>
      <c r="F706" s="63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4" x14ac:dyDescent="0.3">
      <c r="A707" s="17"/>
      <c r="B707" s="17"/>
      <c r="C707" s="82"/>
      <c r="D707" s="63"/>
      <c r="E707" s="63"/>
      <c r="F707" s="63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4" x14ac:dyDescent="0.3">
      <c r="A708" s="17"/>
      <c r="B708" s="17"/>
      <c r="C708" s="82"/>
      <c r="D708" s="63"/>
      <c r="E708" s="63"/>
      <c r="F708" s="63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4" x14ac:dyDescent="0.3">
      <c r="A709" s="17"/>
      <c r="B709" s="17"/>
      <c r="C709" s="82"/>
      <c r="D709" s="63"/>
      <c r="E709" s="63"/>
      <c r="F709" s="63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4" x14ac:dyDescent="0.3">
      <c r="A710" s="17"/>
      <c r="B710" s="17"/>
      <c r="C710" s="82"/>
      <c r="D710" s="63"/>
      <c r="E710" s="63"/>
      <c r="F710" s="63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4" x14ac:dyDescent="0.3">
      <c r="A711" s="17"/>
      <c r="B711" s="17"/>
      <c r="C711" s="82"/>
      <c r="D711" s="63"/>
      <c r="E711" s="63"/>
      <c r="F711" s="63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4" x14ac:dyDescent="0.3">
      <c r="A712" s="17"/>
      <c r="B712" s="17"/>
      <c r="C712" s="82"/>
      <c r="D712" s="63"/>
      <c r="E712" s="63"/>
      <c r="F712" s="63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4" x14ac:dyDescent="0.3">
      <c r="A713" s="17"/>
      <c r="B713" s="17"/>
      <c r="C713" s="82"/>
      <c r="D713" s="63"/>
      <c r="E713" s="63"/>
      <c r="F713" s="63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4" x14ac:dyDescent="0.3">
      <c r="A714" s="17"/>
      <c r="B714" s="17"/>
      <c r="C714" s="82"/>
      <c r="D714" s="63"/>
      <c r="E714" s="63"/>
      <c r="F714" s="63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4" x14ac:dyDescent="0.3">
      <c r="A715" s="17"/>
      <c r="B715" s="17"/>
      <c r="C715" s="82"/>
      <c r="D715" s="63"/>
      <c r="E715" s="63"/>
      <c r="F715" s="63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4" x14ac:dyDescent="0.3">
      <c r="A716" s="17"/>
      <c r="B716" s="17"/>
      <c r="C716" s="82"/>
      <c r="D716" s="63"/>
      <c r="E716" s="63"/>
      <c r="F716" s="63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4" x14ac:dyDescent="0.3">
      <c r="A717" s="17"/>
      <c r="B717" s="17"/>
      <c r="C717" s="82"/>
      <c r="D717" s="63"/>
      <c r="E717" s="63"/>
      <c r="F717" s="63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4" x14ac:dyDescent="0.3">
      <c r="A718" s="17"/>
      <c r="B718" s="17"/>
      <c r="C718" s="82"/>
      <c r="D718" s="63"/>
      <c r="E718" s="63"/>
      <c r="F718" s="63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4" x14ac:dyDescent="0.3">
      <c r="A719" s="17"/>
      <c r="B719" s="17"/>
      <c r="C719" s="82"/>
      <c r="D719" s="63"/>
      <c r="E719" s="63"/>
      <c r="F719" s="63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4" x14ac:dyDescent="0.3">
      <c r="A720" s="17"/>
      <c r="B720" s="17"/>
      <c r="C720" s="82"/>
      <c r="D720" s="63"/>
      <c r="E720" s="63"/>
      <c r="F720" s="63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4" x14ac:dyDescent="0.3">
      <c r="A721" s="17"/>
      <c r="B721" s="17"/>
      <c r="C721" s="82"/>
      <c r="D721" s="63"/>
      <c r="E721" s="63"/>
      <c r="F721" s="63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4" x14ac:dyDescent="0.3">
      <c r="A722" s="17"/>
      <c r="B722" s="17"/>
      <c r="C722" s="82"/>
      <c r="D722" s="63"/>
      <c r="E722" s="63"/>
      <c r="F722" s="63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4" x14ac:dyDescent="0.3">
      <c r="A723" s="17"/>
      <c r="B723" s="17"/>
      <c r="C723" s="82"/>
      <c r="D723" s="63"/>
      <c r="E723" s="63"/>
      <c r="F723" s="63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4" x14ac:dyDescent="0.3">
      <c r="A724" s="17"/>
      <c r="B724" s="17"/>
      <c r="C724" s="82"/>
      <c r="D724" s="63"/>
      <c r="E724" s="63"/>
      <c r="F724" s="63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4" x14ac:dyDescent="0.3">
      <c r="A725" s="17"/>
      <c r="B725" s="17"/>
      <c r="C725" s="82"/>
      <c r="D725" s="63"/>
      <c r="E725" s="63"/>
      <c r="F725" s="63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4" x14ac:dyDescent="0.3">
      <c r="A726" s="17"/>
      <c r="B726" s="17"/>
      <c r="C726" s="82"/>
      <c r="D726" s="63"/>
      <c r="E726" s="63"/>
      <c r="F726" s="63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4" x14ac:dyDescent="0.3">
      <c r="A727" s="17"/>
      <c r="B727" s="17"/>
      <c r="C727" s="82"/>
      <c r="D727" s="63"/>
      <c r="E727" s="63"/>
      <c r="F727" s="63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4" x14ac:dyDescent="0.3">
      <c r="A728" s="17"/>
      <c r="B728" s="17"/>
      <c r="C728" s="82"/>
      <c r="D728" s="63"/>
      <c r="E728" s="63"/>
      <c r="F728" s="63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4" x14ac:dyDescent="0.3">
      <c r="A729" s="17"/>
      <c r="B729" s="17"/>
      <c r="C729" s="82"/>
      <c r="D729" s="63"/>
      <c r="E729" s="63"/>
      <c r="F729" s="63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4" x14ac:dyDescent="0.3">
      <c r="A730" s="17"/>
      <c r="B730" s="17"/>
      <c r="C730" s="82"/>
      <c r="D730" s="63"/>
      <c r="E730" s="63"/>
      <c r="F730" s="63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4" x14ac:dyDescent="0.3">
      <c r="A731" s="17"/>
      <c r="B731" s="17"/>
      <c r="C731" s="82"/>
      <c r="D731" s="63"/>
      <c r="E731" s="63"/>
      <c r="F731" s="63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4" x14ac:dyDescent="0.3">
      <c r="A732" s="17"/>
      <c r="B732" s="17"/>
      <c r="C732" s="82"/>
      <c r="D732" s="63"/>
      <c r="E732" s="63"/>
      <c r="F732" s="63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4" x14ac:dyDescent="0.3">
      <c r="A733" s="17"/>
      <c r="B733" s="17"/>
      <c r="C733" s="82"/>
      <c r="D733" s="63"/>
      <c r="E733" s="63"/>
      <c r="F733" s="63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4" x14ac:dyDescent="0.3">
      <c r="A734" s="17"/>
      <c r="B734" s="17"/>
      <c r="C734" s="82"/>
      <c r="D734" s="63"/>
      <c r="E734" s="63"/>
      <c r="F734" s="63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4" x14ac:dyDescent="0.3">
      <c r="A735" s="17"/>
      <c r="B735" s="17"/>
      <c r="C735" s="82"/>
      <c r="D735" s="63"/>
      <c r="E735" s="63"/>
      <c r="F735" s="63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4" x14ac:dyDescent="0.3">
      <c r="A736" s="17"/>
      <c r="B736" s="17"/>
      <c r="C736" s="82"/>
      <c r="D736" s="63"/>
      <c r="E736" s="63"/>
      <c r="F736" s="63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4" x14ac:dyDescent="0.3">
      <c r="A737" s="17"/>
      <c r="B737" s="17"/>
      <c r="C737" s="82"/>
      <c r="D737" s="63"/>
      <c r="E737" s="63"/>
      <c r="F737" s="63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4" x14ac:dyDescent="0.3">
      <c r="A738" s="17"/>
      <c r="B738" s="17"/>
      <c r="C738" s="82"/>
      <c r="D738" s="63"/>
      <c r="E738" s="63"/>
      <c r="F738" s="63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4" x14ac:dyDescent="0.3">
      <c r="A739" s="17"/>
      <c r="B739" s="17"/>
      <c r="C739" s="82"/>
      <c r="D739" s="63"/>
      <c r="E739" s="63"/>
      <c r="F739" s="63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4" x14ac:dyDescent="0.3">
      <c r="A740" s="17"/>
      <c r="B740" s="17"/>
      <c r="C740" s="82"/>
      <c r="D740" s="63"/>
      <c r="E740" s="63"/>
      <c r="F740" s="63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4" x14ac:dyDescent="0.3">
      <c r="A741" s="17"/>
      <c r="B741" s="17"/>
      <c r="C741" s="82"/>
      <c r="D741" s="63"/>
      <c r="E741" s="63"/>
      <c r="F741" s="63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4" x14ac:dyDescent="0.3">
      <c r="A742" s="17"/>
      <c r="B742" s="17"/>
      <c r="C742" s="82"/>
      <c r="D742" s="63"/>
      <c r="E742" s="63"/>
      <c r="F742" s="63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4" x14ac:dyDescent="0.3">
      <c r="A743" s="17"/>
      <c r="B743" s="17"/>
      <c r="C743" s="82"/>
      <c r="D743" s="63"/>
      <c r="E743" s="63"/>
      <c r="F743" s="63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4" x14ac:dyDescent="0.3">
      <c r="A744" s="17"/>
      <c r="B744" s="17"/>
      <c r="C744" s="82"/>
      <c r="D744" s="63"/>
      <c r="E744" s="63"/>
      <c r="F744" s="63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4" x14ac:dyDescent="0.3">
      <c r="A745" s="17"/>
      <c r="B745" s="17"/>
      <c r="C745" s="82"/>
      <c r="D745" s="63"/>
      <c r="E745" s="63"/>
      <c r="F745" s="63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4" x14ac:dyDescent="0.3">
      <c r="A746" s="17"/>
      <c r="B746" s="17"/>
      <c r="C746" s="82"/>
      <c r="D746" s="63"/>
      <c r="E746" s="63"/>
      <c r="F746" s="63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4" x14ac:dyDescent="0.3">
      <c r="A747" s="17"/>
      <c r="B747" s="17"/>
      <c r="C747" s="82"/>
      <c r="D747" s="63"/>
      <c r="E747" s="63"/>
      <c r="F747" s="63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4" x14ac:dyDescent="0.3">
      <c r="A748" s="17"/>
      <c r="B748" s="17"/>
      <c r="C748" s="82"/>
      <c r="D748" s="63"/>
      <c r="E748" s="63"/>
      <c r="F748" s="63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4" x14ac:dyDescent="0.3">
      <c r="A749" s="17"/>
      <c r="B749" s="17"/>
      <c r="C749" s="82"/>
      <c r="D749" s="63"/>
      <c r="E749" s="63"/>
      <c r="F749" s="63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4" x14ac:dyDescent="0.3">
      <c r="A750" s="17"/>
      <c r="B750" s="17"/>
      <c r="C750" s="82"/>
      <c r="D750" s="63"/>
      <c r="E750" s="63"/>
      <c r="F750" s="63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4" x14ac:dyDescent="0.3">
      <c r="A751" s="17"/>
      <c r="B751" s="17"/>
      <c r="C751" s="82"/>
      <c r="D751" s="63"/>
      <c r="E751" s="63"/>
      <c r="F751" s="63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4" x14ac:dyDescent="0.3">
      <c r="A752" s="17"/>
      <c r="B752" s="17"/>
      <c r="C752" s="82"/>
      <c r="D752" s="63"/>
      <c r="E752" s="63"/>
      <c r="F752" s="63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4" x14ac:dyDescent="0.3">
      <c r="A753" s="17"/>
      <c r="B753" s="17"/>
      <c r="C753" s="82"/>
      <c r="D753" s="63"/>
      <c r="E753" s="63"/>
      <c r="F753" s="63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4" x14ac:dyDescent="0.3">
      <c r="A754" s="17"/>
      <c r="B754" s="17"/>
      <c r="C754" s="82"/>
      <c r="D754" s="63"/>
      <c r="E754" s="63"/>
      <c r="F754" s="63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4" x14ac:dyDescent="0.3">
      <c r="A755" s="17"/>
      <c r="B755" s="17"/>
      <c r="C755" s="82"/>
      <c r="D755" s="63"/>
      <c r="E755" s="63"/>
      <c r="F755" s="63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4" x14ac:dyDescent="0.3">
      <c r="A756" s="17"/>
      <c r="B756" s="17"/>
      <c r="C756" s="82"/>
      <c r="D756" s="63"/>
      <c r="E756" s="63"/>
      <c r="F756" s="63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4" x14ac:dyDescent="0.3">
      <c r="A757" s="17"/>
      <c r="B757" s="17"/>
      <c r="C757" s="82"/>
      <c r="D757" s="63"/>
      <c r="E757" s="63"/>
      <c r="F757" s="63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4" x14ac:dyDescent="0.3">
      <c r="A758" s="17"/>
      <c r="B758" s="17"/>
      <c r="C758" s="82"/>
      <c r="D758" s="63"/>
      <c r="E758" s="63"/>
      <c r="F758" s="63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4" x14ac:dyDescent="0.3">
      <c r="A759" s="17"/>
      <c r="B759" s="17"/>
      <c r="C759" s="82"/>
      <c r="D759" s="63"/>
      <c r="E759" s="63"/>
      <c r="F759" s="63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4" x14ac:dyDescent="0.3">
      <c r="A760" s="17"/>
      <c r="B760" s="17"/>
      <c r="C760" s="82"/>
      <c r="D760" s="63"/>
      <c r="E760" s="63"/>
      <c r="F760" s="63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4" x14ac:dyDescent="0.3">
      <c r="A761" s="17"/>
      <c r="B761" s="17"/>
      <c r="C761" s="82"/>
      <c r="D761" s="63"/>
      <c r="E761" s="63"/>
      <c r="F761" s="63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4" x14ac:dyDescent="0.3">
      <c r="A762" s="17"/>
      <c r="B762" s="17"/>
      <c r="C762" s="82"/>
      <c r="D762" s="63"/>
      <c r="E762" s="63"/>
      <c r="F762" s="63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4" x14ac:dyDescent="0.3">
      <c r="A763" s="17"/>
      <c r="B763" s="17"/>
      <c r="C763" s="82"/>
      <c r="D763" s="63"/>
      <c r="E763" s="63"/>
      <c r="F763" s="63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4" x14ac:dyDescent="0.3">
      <c r="A764" s="17"/>
      <c r="B764" s="17"/>
      <c r="C764" s="82"/>
      <c r="D764" s="63"/>
      <c r="E764" s="63"/>
      <c r="F764" s="63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4" x14ac:dyDescent="0.3">
      <c r="A765" s="17"/>
      <c r="B765" s="17"/>
      <c r="C765" s="82"/>
      <c r="D765" s="63"/>
      <c r="E765" s="63"/>
      <c r="F765" s="63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4" x14ac:dyDescent="0.3">
      <c r="A766" s="17"/>
      <c r="B766" s="17"/>
      <c r="C766" s="82"/>
      <c r="D766" s="63"/>
      <c r="E766" s="63"/>
      <c r="F766" s="63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4" x14ac:dyDescent="0.3">
      <c r="A767" s="17"/>
      <c r="B767" s="17"/>
      <c r="C767" s="82"/>
      <c r="D767" s="63"/>
      <c r="E767" s="63"/>
      <c r="F767" s="63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4" x14ac:dyDescent="0.3">
      <c r="A768" s="17"/>
      <c r="B768" s="17"/>
      <c r="C768" s="82"/>
      <c r="D768" s="63"/>
      <c r="E768" s="63"/>
      <c r="F768" s="63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4" x14ac:dyDescent="0.3">
      <c r="A769" s="17"/>
      <c r="B769" s="17"/>
      <c r="C769" s="82"/>
      <c r="D769" s="63"/>
      <c r="E769" s="63"/>
      <c r="F769" s="63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4" x14ac:dyDescent="0.3">
      <c r="A770" s="17"/>
      <c r="B770" s="17"/>
      <c r="C770" s="82"/>
      <c r="D770" s="63"/>
      <c r="E770" s="63"/>
      <c r="F770" s="63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4" x14ac:dyDescent="0.3">
      <c r="A771" s="17"/>
      <c r="B771" s="17"/>
      <c r="C771" s="82"/>
      <c r="D771" s="63"/>
      <c r="E771" s="63"/>
      <c r="F771" s="63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4" x14ac:dyDescent="0.3">
      <c r="A772" s="17"/>
      <c r="B772" s="17"/>
      <c r="C772" s="82"/>
      <c r="D772" s="63"/>
      <c r="E772" s="63"/>
      <c r="F772" s="63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4" x14ac:dyDescent="0.3">
      <c r="A773" s="17"/>
      <c r="B773" s="17"/>
      <c r="C773" s="82"/>
      <c r="D773" s="63"/>
      <c r="E773" s="63"/>
      <c r="F773" s="63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4" x14ac:dyDescent="0.3">
      <c r="A774" s="17"/>
      <c r="B774" s="17"/>
      <c r="C774" s="82"/>
      <c r="D774" s="63"/>
      <c r="E774" s="63"/>
      <c r="F774" s="63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4" x14ac:dyDescent="0.3">
      <c r="A775" s="17"/>
      <c r="B775" s="17"/>
      <c r="C775" s="82"/>
      <c r="D775" s="63"/>
      <c r="E775" s="63"/>
      <c r="F775" s="63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4" x14ac:dyDescent="0.3">
      <c r="A776" s="17"/>
      <c r="B776" s="17"/>
      <c r="C776" s="82"/>
      <c r="D776" s="63"/>
      <c r="E776" s="63"/>
      <c r="F776" s="63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4" x14ac:dyDescent="0.3">
      <c r="A777" s="17"/>
      <c r="B777" s="17"/>
      <c r="C777" s="82"/>
      <c r="D777" s="63"/>
      <c r="E777" s="63"/>
      <c r="F777" s="63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4" x14ac:dyDescent="0.3">
      <c r="A778" s="17"/>
      <c r="B778" s="17"/>
      <c r="C778" s="82"/>
      <c r="D778" s="63"/>
      <c r="E778" s="63"/>
      <c r="F778" s="63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4" x14ac:dyDescent="0.3">
      <c r="A779" s="17"/>
      <c r="B779" s="17"/>
      <c r="C779" s="82"/>
      <c r="D779" s="63"/>
      <c r="E779" s="63"/>
      <c r="F779" s="63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4" x14ac:dyDescent="0.3">
      <c r="A780" s="17"/>
      <c r="B780" s="17"/>
      <c r="C780" s="82"/>
      <c r="D780" s="63"/>
      <c r="E780" s="63"/>
      <c r="F780" s="63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4" x14ac:dyDescent="0.3">
      <c r="A781" s="17"/>
      <c r="B781" s="17"/>
      <c r="C781" s="82"/>
      <c r="D781" s="63"/>
      <c r="E781" s="63"/>
      <c r="F781" s="63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4" x14ac:dyDescent="0.3">
      <c r="A782" s="17"/>
      <c r="B782" s="17"/>
      <c r="C782" s="82"/>
      <c r="D782" s="63"/>
      <c r="E782" s="63"/>
      <c r="F782" s="63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4" x14ac:dyDescent="0.3">
      <c r="A783" s="17"/>
      <c r="B783" s="17"/>
      <c r="C783" s="82"/>
      <c r="D783" s="63"/>
      <c r="E783" s="63"/>
      <c r="F783" s="63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4" x14ac:dyDescent="0.3">
      <c r="A784" s="17"/>
      <c r="B784" s="17"/>
      <c r="C784" s="82"/>
      <c r="D784" s="63"/>
      <c r="E784" s="63"/>
      <c r="F784" s="63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4" x14ac:dyDescent="0.3">
      <c r="A785" s="17"/>
      <c r="B785" s="17"/>
      <c r="C785" s="82"/>
      <c r="D785" s="63"/>
      <c r="E785" s="63"/>
      <c r="F785" s="63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4" x14ac:dyDescent="0.3">
      <c r="A786" s="17"/>
      <c r="B786" s="17"/>
      <c r="C786" s="82"/>
      <c r="D786" s="63"/>
      <c r="E786" s="63"/>
      <c r="F786" s="63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4" x14ac:dyDescent="0.3">
      <c r="A787" s="17"/>
      <c r="B787" s="17"/>
      <c r="C787" s="82"/>
      <c r="D787" s="63"/>
      <c r="E787" s="63"/>
      <c r="F787" s="63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4" x14ac:dyDescent="0.3">
      <c r="A788" s="17"/>
      <c r="B788" s="17"/>
      <c r="C788" s="82"/>
      <c r="D788" s="63"/>
      <c r="E788" s="63"/>
      <c r="F788" s="63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4" x14ac:dyDescent="0.3">
      <c r="A789" s="17"/>
      <c r="B789" s="17"/>
      <c r="C789" s="82"/>
      <c r="D789" s="63"/>
      <c r="E789" s="63"/>
      <c r="F789" s="63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4" x14ac:dyDescent="0.3">
      <c r="A790" s="17"/>
      <c r="B790" s="17"/>
      <c r="C790" s="82"/>
      <c r="D790" s="63"/>
      <c r="E790" s="63"/>
      <c r="F790" s="63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4" x14ac:dyDescent="0.3">
      <c r="A791" s="17"/>
      <c r="B791" s="17"/>
      <c r="C791" s="82"/>
      <c r="D791" s="63"/>
      <c r="E791" s="63"/>
      <c r="F791" s="63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4" x14ac:dyDescent="0.3">
      <c r="A792" s="17"/>
      <c r="B792" s="17"/>
      <c r="C792" s="82"/>
      <c r="D792" s="63"/>
      <c r="E792" s="63"/>
      <c r="F792" s="63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4" x14ac:dyDescent="0.3">
      <c r="A793" s="17"/>
      <c r="B793" s="17"/>
      <c r="C793" s="82"/>
      <c r="D793" s="63"/>
      <c r="E793" s="63"/>
      <c r="F793" s="63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4" x14ac:dyDescent="0.3">
      <c r="A794" s="17"/>
      <c r="B794" s="17"/>
      <c r="C794" s="82"/>
      <c r="D794" s="63"/>
      <c r="E794" s="63"/>
      <c r="F794" s="63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4" x14ac:dyDescent="0.3">
      <c r="A795" s="17"/>
      <c r="B795" s="17"/>
      <c r="C795" s="82"/>
      <c r="D795" s="63"/>
      <c r="E795" s="63"/>
      <c r="F795" s="63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4" x14ac:dyDescent="0.3">
      <c r="A796" s="17"/>
      <c r="B796" s="17"/>
      <c r="C796" s="82"/>
      <c r="D796" s="63"/>
      <c r="E796" s="63"/>
      <c r="F796" s="63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4" x14ac:dyDescent="0.3">
      <c r="A797" s="17"/>
      <c r="B797" s="17"/>
      <c r="C797" s="82"/>
      <c r="D797" s="63"/>
      <c r="E797" s="63"/>
      <c r="F797" s="63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4" x14ac:dyDescent="0.3">
      <c r="A798" s="17"/>
      <c r="B798" s="17"/>
      <c r="C798" s="82"/>
      <c r="D798" s="63"/>
      <c r="E798" s="63"/>
      <c r="F798" s="63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4" x14ac:dyDescent="0.3">
      <c r="A799" s="17"/>
      <c r="B799" s="17"/>
      <c r="C799" s="82"/>
      <c r="D799" s="63"/>
      <c r="E799" s="63"/>
      <c r="F799" s="63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4" x14ac:dyDescent="0.3">
      <c r="A800" s="17"/>
      <c r="B800" s="17"/>
      <c r="C800" s="82"/>
      <c r="D800" s="63"/>
      <c r="E800" s="63"/>
      <c r="F800" s="63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4" x14ac:dyDescent="0.3">
      <c r="A801" s="17"/>
      <c r="B801" s="17"/>
      <c r="C801" s="82"/>
      <c r="D801" s="63"/>
      <c r="E801" s="63"/>
      <c r="F801" s="63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4" x14ac:dyDescent="0.3">
      <c r="A802" s="17"/>
      <c r="B802" s="17"/>
      <c r="C802" s="82"/>
      <c r="D802" s="63"/>
      <c r="E802" s="63"/>
      <c r="F802" s="63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4" x14ac:dyDescent="0.3">
      <c r="A803" s="17"/>
      <c r="B803" s="17"/>
      <c r="C803" s="82"/>
      <c r="D803" s="63"/>
      <c r="E803" s="63"/>
      <c r="F803" s="63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4" x14ac:dyDescent="0.3">
      <c r="A804" s="17"/>
      <c r="B804" s="17"/>
      <c r="C804" s="82"/>
      <c r="D804" s="63"/>
      <c r="E804" s="63"/>
      <c r="F804" s="63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4" x14ac:dyDescent="0.3">
      <c r="A805" s="17"/>
      <c r="B805" s="17"/>
      <c r="C805" s="82"/>
      <c r="D805" s="63"/>
      <c r="E805" s="63"/>
      <c r="F805" s="63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4" x14ac:dyDescent="0.3">
      <c r="A806" s="17"/>
      <c r="B806" s="17"/>
      <c r="C806" s="82"/>
      <c r="D806" s="63"/>
      <c r="E806" s="63"/>
      <c r="F806" s="63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4" x14ac:dyDescent="0.3">
      <c r="A807" s="17"/>
      <c r="B807" s="17"/>
      <c r="C807" s="82"/>
      <c r="D807" s="63"/>
      <c r="E807" s="63"/>
      <c r="F807" s="63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4" x14ac:dyDescent="0.3">
      <c r="A808" s="17"/>
      <c r="B808" s="17"/>
      <c r="C808" s="82"/>
      <c r="D808" s="63"/>
      <c r="E808" s="63"/>
      <c r="F808" s="63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4" x14ac:dyDescent="0.3">
      <c r="A809" s="17"/>
      <c r="B809" s="17"/>
      <c r="C809" s="82"/>
      <c r="D809" s="63"/>
      <c r="E809" s="63"/>
      <c r="F809" s="63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4" x14ac:dyDescent="0.3">
      <c r="A810" s="17"/>
      <c r="B810" s="17"/>
      <c r="C810" s="82"/>
      <c r="D810" s="63"/>
      <c r="E810" s="63"/>
      <c r="F810" s="63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4" x14ac:dyDescent="0.3">
      <c r="A811" s="17"/>
      <c r="B811" s="17"/>
      <c r="C811" s="82"/>
      <c r="D811" s="63"/>
      <c r="E811" s="63"/>
      <c r="F811" s="63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4" x14ac:dyDescent="0.3">
      <c r="A812" s="17"/>
      <c r="B812" s="17"/>
      <c r="C812" s="82"/>
      <c r="D812" s="63"/>
      <c r="E812" s="63"/>
      <c r="F812" s="63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4" x14ac:dyDescent="0.3">
      <c r="A813" s="17"/>
      <c r="B813" s="17"/>
      <c r="C813" s="82"/>
      <c r="D813" s="63"/>
      <c r="E813" s="63"/>
      <c r="F813" s="63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4" x14ac:dyDescent="0.3">
      <c r="A814" s="17"/>
      <c r="B814" s="17"/>
      <c r="C814" s="82"/>
      <c r="D814" s="63"/>
      <c r="E814" s="63"/>
      <c r="F814" s="63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4" x14ac:dyDescent="0.3">
      <c r="A815" s="17"/>
      <c r="B815" s="17"/>
      <c r="C815" s="82"/>
      <c r="D815" s="63"/>
      <c r="E815" s="63"/>
      <c r="F815" s="63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4" x14ac:dyDescent="0.3">
      <c r="A816" s="17"/>
      <c r="B816" s="17"/>
      <c r="C816" s="82"/>
      <c r="D816" s="63"/>
      <c r="E816" s="63"/>
      <c r="F816" s="63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4" x14ac:dyDescent="0.3">
      <c r="A817" s="17"/>
      <c r="B817" s="17"/>
      <c r="C817" s="82"/>
      <c r="D817" s="63"/>
      <c r="E817" s="63"/>
      <c r="F817" s="63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4" x14ac:dyDescent="0.3">
      <c r="A818" s="17"/>
      <c r="B818" s="17"/>
      <c r="C818" s="82"/>
      <c r="D818" s="63"/>
      <c r="E818" s="63"/>
      <c r="F818" s="63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4" x14ac:dyDescent="0.3">
      <c r="A819" s="17"/>
      <c r="B819" s="17"/>
      <c r="C819" s="82"/>
      <c r="D819" s="63"/>
      <c r="E819" s="63"/>
      <c r="F819" s="63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4" x14ac:dyDescent="0.3">
      <c r="A820" s="17"/>
      <c r="B820" s="17"/>
      <c r="C820" s="82"/>
      <c r="D820" s="63"/>
      <c r="E820" s="63"/>
      <c r="F820" s="63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4" x14ac:dyDescent="0.3">
      <c r="A821" s="17"/>
      <c r="B821" s="17"/>
      <c r="C821" s="82"/>
      <c r="D821" s="63"/>
      <c r="E821" s="63"/>
      <c r="F821" s="63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4" x14ac:dyDescent="0.3">
      <c r="A822" s="17"/>
      <c r="B822" s="17"/>
      <c r="C822" s="82"/>
      <c r="D822" s="63"/>
      <c r="E822" s="63"/>
      <c r="F822" s="63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4" x14ac:dyDescent="0.3">
      <c r="A823" s="17"/>
      <c r="B823" s="17"/>
      <c r="C823" s="82"/>
      <c r="D823" s="63"/>
      <c r="E823" s="63"/>
      <c r="F823" s="63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4" x14ac:dyDescent="0.3">
      <c r="A824" s="17"/>
      <c r="B824" s="17"/>
      <c r="C824" s="82"/>
      <c r="D824" s="63"/>
      <c r="E824" s="63"/>
      <c r="F824" s="63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4" x14ac:dyDescent="0.3">
      <c r="A825" s="17"/>
      <c r="B825" s="17"/>
      <c r="C825" s="82"/>
      <c r="D825" s="63"/>
      <c r="E825" s="63"/>
      <c r="F825" s="63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4" x14ac:dyDescent="0.3">
      <c r="A826" s="17"/>
      <c r="B826" s="17"/>
      <c r="C826" s="82"/>
      <c r="D826" s="63"/>
      <c r="E826" s="63"/>
      <c r="F826" s="63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4" x14ac:dyDescent="0.3">
      <c r="A827" s="17"/>
      <c r="B827" s="17"/>
      <c r="C827" s="82"/>
      <c r="D827" s="63"/>
      <c r="E827" s="63"/>
      <c r="F827" s="63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4" x14ac:dyDescent="0.3">
      <c r="A828" s="17"/>
      <c r="B828" s="17"/>
      <c r="C828" s="82"/>
      <c r="D828" s="63"/>
      <c r="E828" s="63"/>
      <c r="F828" s="63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4" x14ac:dyDescent="0.3">
      <c r="A829" s="17"/>
      <c r="B829" s="17"/>
      <c r="C829" s="82"/>
      <c r="D829" s="63"/>
      <c r="E829" s="63"/>
      <c r="F829" s="63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4" x14ac:dyDescent="0.3">
      <c r="A830" s="17"/>
      <c r="B830" s="17"/>
      <c r="C830" s="82"/>
      <c r="D830" s="63"/>
      <c r="E830" s="63"/>
      <c r="F830" s="63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4" x14ac:dyDescent="0.3">
      <c r="A831" s="17"/>
      <c r="B831" s="17"/>
      <c r="C831" s="82"/>
      <c r="D831" s="63"/>
      <c r="E831" s="63"/>
      <c r="F831" s="63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4" x14ac:dyDescent="0.3">
      <c r="A832" s="17"/>
      <c r="B832" s="17"/>
      <c r="C832" s="82"/>
      <c r="D832" s="63"/>
      <c r="E832" s="63"/>
      <c r="F832" s="63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4" x14ac:dyDescent="0.3">
      <c r="A833" s="17"/>
      <c r="B833" s="17"/>
      <c r="C833" s="82"/>
      <c r="D833" s="63"/>
      <c r="E833" s="63"/>
      <c r="F833" s="63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4" x14ac:dyDescent="0.3">
      <c r="A834" s="17"/>
      <c r="B834" s="17"/>
      <c r="C834" s="82"/>
      <c r="D834" s="63"/>
      <c r="E834" s="63"/>
      <c r="F834" s="63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4" x14ac:dyDescent="0.3">
      <c r="A835" s="17"/>
      <c r="B835" s="17"/>
      <c r="C835" s="82"/>
      <c r="D835" s="63"/>
      <c r="E835" s="63"/>
      <c r="F835" s="63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4" x14ac:dyDescent="0.3">
      <c r="A836" s="17"/>
      <c r="B836" s="17"/>
      <c r="C836" s="82"/>
      <c r="D836" s="63"/>
      <c r="E836" s="63"/>
      <c r="F836" s="63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4" x14ac:dyDescent="0.3">
      <c r="A837" s="17"/>
      <c r="B837" s="17"/>
      <c r="C837" s="82"/>
      <c r="D837" s="63"/>
      <c r="E837" s="63"/>
      <c r="F837" s="63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4" x14ac:dyDescent="0.3">
      <c r="A838" s="17"/>
      <c r="B838" s="17"/>
      <c r="C838" s="82"/>
      <c r="D838" s="63"/>
      <c r="E838" s="63"/>
      <c r="F838" s="63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4" x14ac:dyDescent="0.3">
      <c r="A839" s="17"/>
      <c r="B839" s="17"/>
      <c r="C839" s="82"/>
      <c r="D839" s="63"/>
      <c r="E839" s="63"/>
      <c r="F839" s="63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4" x14ac:dyDescent="0.3">
      <c r="A840" s="17"/>
      <c r="B840" s="17"/>
      <c r="C840" s="82"/>
      <c r="D840" s="63"/>
      <c r="E840" s="63"/>
      <c r="F840" s="63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4" x14ac:dyDescent="0.3">
      <c r="A841" s="17"/>
      <c r="B841" s="17"/>
      <c r="C841" s="82"/>
      <c r="D841" s="63"/>
      <c r="E841" s="63"/>
      <c r="F841" s="63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4" x14ac:dyDescent="0.3">
      <c r="A842" s="17"/>
      <c r="B842" s="17"/>
      <c r="C842" s="82"/>
      <c r="D842" s="63"/>
      <c r="E842" s="63"/>
      <c r="F842" s="63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4" x14ac:dyDescent="0.3">
      <c r="A843" s="17"/>
      <c r="B843" s="17"/>
      <c r="C843" s="82"/>
      <c r="D843" s="63"/>
      <c r="E843" s="63"/>
      <c r="F843" s="63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4" x14ac:dyDescent="0.3">
      <c r="A844" s="17"/>
      <c r="B844" s="17"/>
      <c r="C844" s="82"/>
      <c r="D844" s="63"/>
      <c r="E844" s="63"/>
      <c r="F844" s="63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4" x14ac:dyDescent="0.3">
      <c r="A845" s="17"/>
      <c r="B845" s="17"/>
      <c r="C845" s="82"/>
      <c r="D845" s="63"/>
      <c r="E845" s="63"/>
      <c r="F845" s="63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4" x14ac:dyDescent="0.3">
      <c r="A846" s="17"/>
      <c r="B846" s="17"/>
      <c r="C846" s="82"/>
      <c r="D846" s="63"/>
      <c r="E846" s="63"/>
      <c r="F846" s="63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4" x14ac:dyDescent="0.3">
      <c r="A847" s="17"/>
      <c r="B847" s="17"/>
      <c r="C847" s="82"/>
      <c r="D847" s="63"/>
      <c r="E847" s="63"/>
      <c r="F847" s="63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4" x14ac:dyDescent="0.3">
      <c r="A848" s="17"/>
      <c r="B848" s="17"/>
      <c r="C848" s="82"/>
      <c r="D848" s="63"/>
      <c r="E848" s="63"/>
      <c r="F848" s="63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4" x14ac:dyDescent="0.3">
      <c r="A849" s="17"/>
      <c r="B849" s="17"/>
      <c r="C849" s="82"/>
      <c r="D849" s="63"/>
      <c r="E849" s="63"/>
      <c r="F849" s="63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4" x14ac:dyDescent="0.3">
      <c r="A850" s="17"/>
      <c r="B850" s="17"/>
      <c r="C850" s="82"/>
      <c r="D850" s="63"/>
      <c r="E850" s="63"/>
      <c r="F850" s="63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4" x14ac:dyDescent="0.3">
      <c r="A851" s="17"/>
      <c r="B851" s="17"/>
      <c r="C851" s="82"/>
      <c r="D851" s="63"/>
      <c r="E851" s="63"/>
      <c r="F851" s="63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4" x14ac:dyDescent="0.3">
      <c r="A852" s="17"/>
      <c r="B852" s="17"/>
      <c r="C852" s="82"/>
      <c r="D852" s="63"/>
      <c r="E852" s="63"/>
      <c r="F852" s="63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4" x14ac:dyDescent="0.3">
      <c r="A853" s="17"/>
      <c r="B853" s="17"/>
      <c r="C853" s="82"/>
      <c r="D853" s="63"/>
      <c r="E853" s="63"/>
      <c r="F853" s="63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4" x14ac:dyDescent="0.3">
      <c r="A854" s="17"/>
      <c r="B854" s="17"/>
      <c r="C854" s="82"/>
      <c r="D854" s="63"/>
      <c r="E854" s="63"/>
      <c r="F854" s="63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4" x14ac:dyDescent="0.3">
      <c r="A855" s="17"/>
      <c r="B855" s="17"/>
      <c r="C855" s="82"/>
      <c r="D855" s="63"/>
      <c r="E855" s="63"/>
      <c r="F855" s="63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4" x14ac:dyDescent="0.3">
      <c r="A856" s="17"/>
      <c r="B856" s="17"/>
      <c r="C856" s="82"/>
      <c r="D856" s="63"/>
      <c r="E856" s="63"/>
      <c r="F856" s="63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4" x14ac:dyDescent="0.3">
      <c r="A857" s="17"/>
      <c r="B857" s="17"/>
      <c r="C857" s="82"/>
      <c r="D857" s="63"/>
      <c r="E857" s="63"/>
      <c r="F857" s="63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4" x14ac:dyDescent="0.3">
      <c r="A858" s="17"/>
      <c r="B858" s="17"/>
      <c r="C858" s="82"/>
      <c r="D858" s="63"/>
      <c r="E858" s="63"/>
      <c r="F858" s="63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4" x14ac:dyDescent="0.3">
      <c r="A859" s="17"/>
      <c r="B859" s="17"/>
      <c r="C859" s="82"/>
      <c r="D859" s="63"/>
      <c r="E859" s="63"/>
      <c r="F859" s="63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4" x14ac:dyDescent="0.3">
      <c r="A860" s="17"/>
      <c r="B860" s="17"/>
      <c r="C860" s="82"/>
      <c r="D860" s="63"/>
      <c r="E860" s="63"/>
      <c r="F860" s="63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4" x14ac:dyDescent="0.3">
      <c r="A861" s="17"/>
      <c r="B861" s="17"/>
      <c r="C861" s="82"/>
      <c r="D861" s="63"/>
      <c r="E861" s="63"/>
      <c r="F861" s="63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4" x14ac:dyDescent="0.3">
      <c r="A862" s="17"/>
      <c r="B862" s="17"/>
      <c r="C862" s="82"/>
      <c r="D862" s="63"/>
      <c r="E862" s="63"/>
      <c r="F862" s="63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4" x14ac:dyDescent="0.3">
      <c r="A863" s="17"/>
      <c r="B863" s="17"/>
      <c r="C863" s="82"/>
      <c r="D863" s="63"/>
      <c r="E863" s="63"/>
      <c r="F863" s="63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4" x14ac:dyDescent="0.3">
      <c r="A864" s="17"/>
      <c r="B864" s="17"/>
      <c r="C864" s="82"/>
      <c r="D864" s="63"/>
      <c r="E864" s="63"/>
      <c r="F864" s="63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4" x14ac:dyDescent="0.3">
      <c r="A865" s="17"/>
      <c r="B865" s="17"/>
      <c r="C865" s="82"/>
      <c r="D865" s="63"/>
      <c r="E865" s="63"/>
      <c r="F865" s="63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4" x14ac:dyDescent="0.3">
      <c r="A866" s="17"/>
      <c r="B866" s="17"/>
      <c r="C866" s="82"/>
      <c r="D866" s="63"/>
      <c r="E866" s="63"/>
      <c r="F866" s="63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4" x14ac:dyDescent="0.3">
      <c r="A867" s="17"/>
      <c r="B867" s="17"/>
      <c r="C867" s="82"/>
      <c r="D867" s="63"/>
      <c r="E867" s="63"/>
      <c r="F867" s="63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4" x14ac:dyDescent="0.3">
      <c r="A868" s="17"/>
      <c r="B868" s="17"/>
      <c r="C868" s="82"/>
      <c r="D868" s="63"/>
      <c r="E868" s="63"/>
      <c r="F868" s="63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4" x14ac:dyDescent="0.3">
      <c r="A869" s="17"/>
      <c r="B869" s="17"/>
      <c r="C869" s="82"/>
      <c r="D869" s="63"/>
      <c r="E869" s="63"/>
      <c r="F869" s="63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4" x14ac:dyDescent="0.3">
      <c r="A870" s="17"/>
      <c r="B870" s="17"/>
      <c r="C870" s="82"/>
      <c r="D870" s="63"/>
      <c r="E870" s="63"/>
      <c r="F870" s="63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4" x14ac:dyDescent="0.3">
      <c r="A871" s="17"/>
      <c r="B871" s="17"/>
      <c r="C871" s="82"/>
      <c r="D871" s="63"/>
      <c r="E871" s="63"/>
      <c r="F871" s="63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4" x14ac:dyDescent="0.3">
      <c r="A872" s="17"/>
      <c r="B872" s="17"/>
      <c r="C872" s="82"/>
      <c r="D872" s="63"/>
      <c r="E872" s="63"/>
      <c r="F872" s="63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4" x14ac:dyDescent="0.3">
      <c r="A873" s="17"/>
      <c r="B873" s="17"/>
      <c r="C873" s="82"/>
      <c r="D873" s="63"/>
      <c r="E873" s="63"/>
      <c r="F873" s="63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4" x14ac:dyDescent="0.3">
      <c r="A874" s="17"/>
      <c r="B874" s="17"/>
      <c r="C874" s="82"/>
      <c r="D874" s="63"/>
      <c r="E874" s="63"/>
      <c r="F874" s="63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4" x14ac:dyDescent="0.3">
      <c r="A875" s="17"/>
      <c r="B875" s="17"/>
      <c r="C875" s="82"/>
      <c r="D875" s="63"/>
      <c r="E875" s="63"/>
      <c r="F875" s="63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4" x14ac:dyDescent="0.3">
      <c r="A876" s="17"/>
      <c r="B876" s="17"/>
      <c r="C876" s="82"/>
      <c r="D876" s="63"/>
      <c r="E876" s="63"/>
      <c r="F876" s="63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4" x14ac:dyDescent="0.3">
      <c r="A877" s="17"/>
      <c r="B877" s="17"/>
      <c r="C877" s="82"/>
      <c r="D877" s="63"/>
      <c r="E877" s="63"/>
      <c r="F877" s="63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4" x14ac:dyDescent="0.3">
      <c r="A878" s="17"/>
      <c r="B878" s="17"/>
      <c r="C878" s="82"/>
      <c r="D878" s="63"/>
      <c r="E878" s="63"/>
      <c r="F878" s="63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4" x14ac:dyDescent="0.3">
      <c r="A879" s="17"/>
      <c r="B879" s="17"/>
      <c r="C879" s="82"/>
      <c r="D879" s="63"/>
      <c r="E879" s="63"/>
      <c r="F879" s="63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4" x14ac:dyDescent="0.3">
      <c r="A880" s="17"/>
      <c r="B880" s="17"/>
      <c r="C880" s="82"/>
      <c r="D880" s="63"/>
      <c r="E880" s="63"/>
      <c r="F880" s="63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4" x14ac:dyDescent="0.3">
      <c r="A881" s="17"/>
      <c r="B881" s="17"/>
      <c r="C881" s="82"/>
      <c r="D881" s="63"/>
      <c r="E881" s="63"/>
      <c r="F881" s="63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4" x14ac:dyDescent="0.3">
      <c r="A882" s="17"/>
      <c r="B882" s="17"/>
      <c r="C882" s="82"/>
      <c r="D882" s="63"/>
      <c r="E882" s="63"/>
      <c r="F882" s="63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4" x14ac:dyDescent="0.3">
      <c r="A883" s="17"/>
      <c r="B883" s="17"/>
      <c r="C883" s="82"/>
      <c r="D883" s="63"/>
      <c r="E883" s="63"/>
      <c r="F883" s="63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4" x14ac:dyDescent="0.3">
      <c r="A884" s="17"/>
      <c r="B884" s="17"/>
      <c r="C884" s="82"/>
      <c r="D884" s="63"/>
      <c r="E884" s="63"/>
      <c r="F884" s="63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4" x14ac:dyDescent="0.3">
      <c r="A885" s="17"/>
      <c r="B885" s="17"/>
      <c r="C885" s="82"/>
      <c r="D885" s="63"/>
      <c r="E885" s="63"/>
      <c r="F885" s="63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4" x14ac:dyDescent="0.3">
      <c r="A886" s="17"/>
      <c r="B886" s="17"/>
      <c r="C886" s="82"/>
      <c r="D886" s="63"/>
      <c r="E886" s="63"/>
      <c r="F886" s="63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4" x14ac:dyDescent="0.3">
      <c r="A887" s="17"/>
      <c r="B887" s="17"/>
      <c r="C887" s="82"/>
      <c r="D887" s="63"/>
      <c r="E887" s="63"/>
      <c r="F887" s="63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4" x14ac:dyDescent="0.3">
      <c r="A888" s="17"/>
      <c r="B888" s="17"/>
      <c r="C888" s="82"/>
      <c r="D888" s="63"/>
      <c r="E888" s="63"/>
      <c r="F888" s="63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4" x14ac:dyDescent="0.3">
      <c r="A889" s="17"/>
      <c r="B889" s="17"/>
      <c r="C889" s="82"/>
      <c r="D889" s="63"/>
      <c r="E889" s="63"/>
      <c r="F889" s="63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4" x14ac:dyDescent="0.3">
      <c r="A890" s="17"/>
      <c r="B890" s="17"/>
      <c r="C890" s="82"/>
      <c r="D890" s="63"/>
      <c r="E890" s="63"/>
      <c r="F890" s="63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4" x14ac:dyDescent="0.3">
      <c r="A891" s="17"/>
      <c r="B891" s="17"/>
      <c r="C891" s="82"/>
      <c r="D891" s="63"/>
      <c r="E891" s="63"/>
      <c r="F891" s="63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4" x14ac:dyDescent="0.3">
      <c r="A892" s="17"/>
      <c r="B892" s="17"/>
      <c r="C892" s="82"/>
      <c r="D892" s="63"/>
      <c r="E892" s="63"/>
      <c r="F892" s="63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4" x14ac:dyDescent="0.3">
      <c r="A893" s="17"/>
      <c r="B893" s="17"/>
      <c r="C893" s="82"/>
      <c r="D893" s="63"/>
      <c r="E893" s="63"/>
      <c r="F893" s="63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4" x14ac:dyDescent="0.3">
      <c r="A894" s="17"/>
      <c r="B894" s="17"/>
      <c r="C894" s="82"/>
      <c r="D894" s="63"/>
      <c r="E894" s="63"/>
      <c r="F894" s="63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4" x14ac:dyDescent="0.3">
      <c r="A895" s="17"/>
      <c r="B895" s="17"/>
      <c r="C895" s="82"/>
      <c r="D895" s="63"/>
      <c r="E895" s="63"/>
      <c r="F895" s="63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4" x14ac:dyDescent="0.3">
      <c r="A896" s="17"/>
      <c r="B896" s="17"/>
      <c r="C896" s="82"/>
      <c r="D896" s="63"/>
      <c r="E896" s="63"/>
      <c r="F896" s="63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4" x14ac:dyDescent="0.3">
      <c r="A897" s="17"/>
      <c r="B897" s="17"/>
      <c r="C897" s="82"/>
      <c r="D897" s="63"/>
      <c r="E897" s="63"/>
      <c r="F897" s="63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4" x14ac:dyDescent="0.3">
      <c r="A898" s="17"/>
      <c r="B898" s="17"/>
      <c r="C898" s="82"/>
      <c r="D898" s="63"/>
      <c r="E898" s="63"/>
      <c r="F898" s="63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4" x14ac:dyDescent="0.3">
      <c r="A899" s="17"/>
      <c r="B899" s="17"/>
      <c r="C899" s="82"/>
      <c r="D899" s="63"/>
      <c r="E899" s="63"/>
      <c r="F899" s="63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4" x14ac:dyDescent="0.3">
      <c r="A900" s="17"/>
      <c r="B900" s="17"/>
      <c r="C900" s="82"/>
      <c r="D900" s="63"/>
      <c r="E900" s="63"/>
      <c r="F900" s="63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4" x14ac:dyDescent="0.3">
      <c r="A901" s="17"/>
      <c r="B901" s="17"/>
      <c r="C901" s="82"/>
      <c r="D901" s="63"/>
      <c r="E901" s="63"/>
      <c r="F901" s="63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4" x14ac:dyDescent="0.3">
      <c r="A902" s="17"/>
      <c r="B902" s="17"/>
      <c r="C902" s="82"/>
      <c r="D902" s="63"/>
      <c r="E902" s="63"/>
      <c r="F902" s="63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4" x14ac:dyDescent="0.3">
      <c r="A903" s="17"/>
      <c r="B903" s="17"/>
      <c r="C903" s="82"/>
      <c r="D903" s="63"/>
      <c r="E903" s="63"/>
      <c r="F903" s="63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4" x14ac:dyDescent="0.3">
      <c r="A904" s="17"/>
      <c r="B904" s="17"/>
      <c r="C904" s="82"/>
      <c r="D904" s="63"/>
      <c r="E904" s="63"/>
      <c r="F904" s="63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4" x14ac:dyDescent="0.3">
      <c r="A905" s="17"/>
      <c r="B905" s="17"/>
      <c r="C905" s="82"/>
      <c r="D905" s="63"/>
      <c r="E905" s="63"/>
      <c r="F905" s="63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4" x14ac:dyDescent="0.3">
      <c r="A906" s="17"/>
      <c r="B906" s="17"/>
      <c r="C906" s="82"/>
      <c r="D906" s="63"/>
      <c r="E906" s="63"/>
      <c r="F906" s="63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4" x14ac:dyDescent="0.3">
      <c r="A907" s="17"/>
      <c r="B907" s="17"/>
      <c r="C907" s="82"/>
      <c r="D907" s="63"/>
      <c r="E907" s="63"/>
      <c r="F907" s="63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4" x14ac:dyDescent="0.3">
      <c r="A908" s="17"/>
      <c r="B908" s="17"/>
      <c r="C908" s="82"/>
      <c r="D908" s="63"/>
      <c r="E908" s="63"/>
      <c r="F908" s="63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4" x14ac:dyDescent="0.3">
      <c r="A909" s="17"/>
      <c r="B909" s="17"/>
      <c r="C909" s="82"/>
      <c r="D909" s="63"/>
      <c r="E909" s="63"/>
      <c r="F909" s="63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4" x14ac:dyDescent="0.3">
      <c r="A910" s="17"/>
      <c r="B910" s="17"/>
      <c r="C910" s="82"/>
      <c r="D910" s="63"/>
      <c r="E910" s="63"/>
      <c r="F910" s="63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4" x14ac:dyDescent="0.3">
      <c r="A911" s="17"/>
      <c r="B911" s="17"/>
      <c r="C911" s="82"/>
      <c r="D911" s="63"/>
      <c r="E911" s="63"/>
      <c r="F911" s="63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4" x14ac:dyDescent="0.3">
      <c r="A912" s="17"/>
      <c r="B912" s="17"/>
      <c r="C912" s="82"/>
      <c r="D912" s="63"/>
      <c r="E912" s="63"/>
      <c r="F912" s="63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4" x14ac:dyDescent="0.3">
      <c r="A913" s="17"/>
      <c r="B913" s="17"/>
      <c r="C913" s="82"/>
      <c r="D913" s="63"/>
      <c r="E913" s="63"/>
      <c r="F913" s="63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4" x14ac:dyDescent="0.3">
      <c r="A914" s="17"/>
      <c r="B914" s="17"/>
      <c r="C914" s="82"/>
      <c r="D914" s="63"/>
      <c r="E914" s="63"/>
      <c r="F914" s="63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4" x14ac:dyDescent="0.3">
      <c r="A915" s="17"/>
      <c r="B915" s="17"/>
      <c r="C915" s="82"/>
      <c r="D915" s="63"/>
      <c r="E915" s="63"/>
      <c r="F915" s="63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4" x14ac:dyDescent="0.3">
      <c r="A916" s="17"/>
      <c r="B916" s="17"/>
      <c r="C916" s="82"/>
      <c r="D916" s="63"/>
      <c r="E916" s="63"/>
      <c r="F916" s="63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4" x14ac:dyDescent="0.3">
      <c r="A917" s="17"/>
      <c r="B917" s="17"/>
      <c r="C917" s="82"/>
      <c r="D917" s="63"/>
      <c r="E917" s="63"/>
      <c r="F917" s="63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4" x14ac:dyDescent="0.3">
      <c r="A918" s="17"/>
      <c r="B918" s="17"/>
      <c r="C918" s="82"/>
      <c r="D918" s="63"/>
      <c r="E918" s="63"/>
      <c r="F918" s="63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4" x14ac:dyDescent="0.3">
      <c r="A919" s="17"/>
      <c r="B919" s="17"/>
      <c r="C919" s="82"/>
      <c r="D919" s="63"/>
      <c r="E919" s="63"/>
      <c r="F919" s="63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4" x14ac:dyDescent="0.3">
      <c r="A920" s="17"/>
      <c r="B920" s="17"/>
      <c r="C920" s="82"/>
      <c r="D920" s="63"/>
      <c r="E920" s="63"/>
      <c r="F920" s="63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4" x14ac:dyDescent="0.3">
      <c r="A921" s="17"/>
      <c r="B921" s="17"/>
      <c r="C921" s="82"/>
      <c r="D921" s="63"/>
      <c r="E921" s="63"/>
      <c r="F921" s="63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4" x14ac:dyDescent="0.3">
      <c r="A922" s="17"/>
      <c r="B922" s="17"/>
      <c r="C922" s="82"/>
      <c r="D922" s="63"/>
      <c r="E922" s="63"/>
      <c r="F922" s="63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4" x14ac:dyDescent="0.3">
      <c r="A923" s="17"/>
      <c r="B923" s="17"/>
      <c r="C923" s="82"/>
      <c r="D923" s="63"/>
      <c r="E923" s="63"/>
      <c r="F923" s="63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4" x14ac:dyDescent="0.3">
      <c r="A924" s="17"/>
      <c r="B924" s="17"/>
      <c r="C924" s="82"/>
      <c r="D924" s="63"/>
      <c r="E924" s="63"/>
      <c r="F924" s="63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4" x14ac:dyDescent="0.3">
      <c r="A925" s="17"/>
      <c r="B925" s="17"/>
      <c r="C925" s="82"/>
      <c r="D925" s="63"/>
      <c r="E925" s="63"/>
      <c r="F925" s="63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4" x14ac:dyDescent="0.3">
      <c r="A926" s="17"/>
      <c r="B926" s="17"/>
      <c r="C926" s="82"/>
      <c r="D926" s="63"/>
      <c r="E926" s="63"/>
      <c r="F926" s="63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4" x14ac:dyDescent="0.3">
      <c r="A927" s="17"/>
      <c r="B927" s="17"/>
      <c r="C927" s="82"/>
      <c r="D927" s="63"/>
      <c r="E927" s="63"/>
      <c r="F927" s="63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4" x14ac:dyDescent="0.3">
      <c r="A928" s="17"/>
      <c r="B928" s="17"/>
      <c r="C928" s="82"/>
      <c r="D928" s="63"/>
      <c r="E928" s="63"/>
      <c r="F928" s="63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4" x14ac:dyDescent="0.3">
      <c r="A929" s="17"/>
      <c r="B929" s="17"/>
      <c r="C929" s="82"/>
      <c r="D929" s="63"/>
      <c r="E929" s="63"/>
      <c r="F929" s="63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4" x14ac:dyDescent="0.3">
      <c r="A930" s="17"/>
      <c r="B930" s="17"/>
      <c r="C930" s="82"/>
      <c r="D930" s="63"/>
      <c r="E930" s="63"/>
      <c r="F930" s="63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4" x14ac:dyDescent="0.3">
      <c r="A931" s="17"/>
      <c r="B931" s="17"/>
      <c r="C931" s="82"/>
      <c r="D931" s="63"/>
      <c r="E931" s="63"/>
      <c r="F931" s="63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4" x14ac:dyDescent="0.3">
      <c r="A932" s="17"/>
      <c r="B932" s="17"/>
      <c r="C932" s="82"/>
      <c r="D932" s="63"/>
      <c r="E932" s="63"/>
      <c r="F932" s="63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4" x14ac:dyDescent="0.3">
      <c r="A933" s="17"/>
      <c r="B933" s="17"/>
      <c r="C933" s="82"/>
      <c r="D933" s="63"/>
      <c r="E933" s="63"/>
      <c r="F933" s="63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4" x14ac:dyDescent="0.3">
      <c r="A934" s="17"/>
      <c r="B934" s="17"/>
      <c r="C934" s="82"/>
      <c r="D934" s="63"/>
      <c r="E934" s="63"/>
      <c r="F934" s="63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4" x14ac:dyDescent="0.3">
      <c r="A935" s="17"/>
      <c r="B935" s="17"/>
      <c r="C935" s="82"/>
      <c r="D935" s="63"/>
      <c r="E935" s="63"/>
      <c r="F935" s="63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4" x14ac:dyDescent="0.3">
      <c r="A936" s="17"/>
      <c r="B936" s="17"/>
      <c r="C936" s="82"/>
      <c r="D936" s="63"/>
      <c r="E936" s="63"/>
      <c r="F936" s="63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4" x14ac:dyDescent="0.3">
      <c r="A937" s="17"/>
      <c r="B937" s="17"/>
      <c r="C937" s="82"/>
      <c r="D937" s="63"/>
      <c r="E937" s="63"/>
      <c r="F937" s="63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4" x14ac:dyDescent="0.3">
      <c r="A938" s="17"/>
      <c r="B938" s="17"/>
      <c r="C938" s="82"/>
      <c r="D938" s="63"/>
      <c r="E938" s="63"/>
      <c r="F938" s="63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4" x14ac:dyDescent="0.3">
      <c r="A939" s="17"/>
      <c r="B939" s="17"/>
      <c r="C939" s="82"/>
      <c r="D939" s="63"/>
      <c r="E939" s="63"/>
      <c r="F939" s="63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4" x14ac:dyDescent="0.3">
      <c r="A940" s="17"/>
      <c r="B940" s="17"/>
      <c r="C940" s="82"/>
      <c r="D940" s="63"/>
      <c r="E940" s="63"/>
      <c r="F940" s="63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4" x14ac:dyDescent="0.3">
      <c r="A941" s="17"/>
      <c r="B941" s="17"/>
      <c r="C941" s="82"/>
      <c r="D941" s="63"/>
      <c r="E941" s="63"/>
      <c r="F941" s="63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4" x14ac:dyDescent="0.3">
      <c r="A942" s="17"/>
      <c r="B942" s="17"/>
      <c r="C942" s="82"/>
      <c r="D942" s="63"/>
      <c r="E942" s="63"/>
      <c r="F942" s="63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4" x14ac:dyDescent="0.3">
      <c r="A943" s="17"/>
      <c r="B943" s="17"/>
      <c r="C943" s="82"/>
      <c r="D943" s="63"/>
      <c r="E943" s="63"/>
      <c r="F943" s="63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4" x14ac:dyDescent="0.3">
      <c r="A944" s="17"/>
      <c r="B944" s="17"/>
      <c r="C944" s="82"/>
      <c r="D944" s="63"/>
      <c r="E944" s="63"/>
      <c r="F944" s="63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4" x14ac:dyDescent="0.3">
      <c r="A945" s="17"/>
      <c r="B945" s="17"/>
      <c r="C945" s="82"/>
      <c r="D945" s="63"/>
      <c r="E945" s="63"/>
      <c r="F945" s="63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4" x14ac:dyDescent="0.3">
      <c r="A946" s="17"/>
      <c r="B946" s="17"/>
      <c r="C946" s="82"/>
      <c r="D946" s="63"/>
      <c r="E946" s="63"/>
      <c r="F946" s="63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4" x14ac:dyDescent="0.3">
      <c r="A947" s="17"/>
      <c r="B947" s="17"/>
      <c r="C947" s="82"/>
      <c r="D947" s="63"/>
      <c r="E947" s="63"/>
      <c r="F947" s="63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4" x14ac:dyDescent="0.3">
      <c r="A948" s="17"/>
      <c r="B948" s="17"/>
      <c r="C948" s="82"/>
      <c r="D948" s="63"/>
      <c r="E948" s="63"/>
      <c r="F948" s="63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4" x14ac:dyDescent="0.3">
      <c r="A949" s="17"/>
      <c r="B949" s="17"/>
      <c r="C949" s="82"/>
      <c r="D949" s="63"/>
      <c r="E949" s="63"/>
      <c r="F949" s="63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4" x14ac:dyDescent="0.3">
      <c r="A950" s="17"/>
      <c r="B950" s="17"/>
      <c r="C950" s="82"/>
      <c r="D950" s="63"/>
      <c r="E950" s="63"/>
      <c r="F950" s="63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4" x14ac:dyDescent="0.3">
      <c r="A951" s="17"/>
      <c r="B951" s="17"/>
      <c r="C951" s="82"/>
      <c r="D951" s="63"/>
      <c r="E951" s="63"/>
      <c r="F951" s="63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4" x14ac:dyDescent="0.3">
      <c r="A952" s="17"/>
      <c r="B952" s="17"/>
      <c r="C952" s="82"/>
      <c r="D952" s="63"/>
      <c r="E952" s="63"/>
      <c r="F952" s="63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4" x14ac:dyDescent="0.3">
      <c r="A953" s="17"/>
      <c r="B953" s="17"/>
      <c r="C953" s="82"/>
      <c r="D953" s="63"/>
      <c r="E953" s="63"/>
      <c r="F953" s="63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4" x14ac:dyDescent="0.3">
      <c r="A954" s="17"/>
      <c r="B954" s="17"/>
      <c r="C954" s="82"/>
      <c r="D954" s="63"/>
      <c r="E954" s="63"/>
      <c r="F954" s="63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4" x14ac:dyDescent="0.3">
      <c r="A955" s="17"/>
      <c r="B955" s="17"/>
      <c r="C955" s="82"/>
      <c r="D955" s="63"/>
      <c r="E955" s="63"/>
      <c r="F955" s="63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4" x14ac:dyDescent="0.3">
      <c r="A956" s="17"/>
      <c r="B956" s="17"/>
      <c r="C956" s="82"/>
      <c r="D956" s="63"/>
      <c r="E956" s="63"/>
      <c r="F956" s="63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4" x14ac:dyDescent="0.3">
      <c r="A957" s="17"/>
      <c r="B957" s="17"/>
      <c r="C957" s="82"/>
      <c r="D957" s="63"/>
      <c r="E957" s="63"/>
      <c r="F957" s="63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4" x14ac:dyDescent="0.3">
      <c r="A958" s="17"/>
      <c r="B958" s="17"/>
      <c r="C958" s="82"/>
      <c r="D958" s="63"/>
      <c r="E958" s="63"/>
      <c r="F958" s="63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4" x14ac:dyDescent="0.3">
      <c r="A959" s="17"/>
      <c r="B959" s="17"/>
      <c r="C959" s="82"/>
      <c r="D959" s="63"/>
      <c r="E959" s="63"/>
      <c r="F959" s="63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4" x14ac:dyDescent="0.3">
      <c r="A960" s="17"/>
      <c r="B960" s="17"/>
      <c r="C960" s="82"/>
      <c r="D960" s="63"/>
      <c r="E960" s="63"/>
      <c r="F960" s="63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4" x14ac:dyDescent="0.3">
      <c r="A961" s="17"/>
      <c r="B961" s="17"/>
      <c r="C961" s="82"/>
      <c r="D961" s="63"/>
      <c r="E961" s="63"/>
      <c r="F961" s="63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4" x14ac:dyDescent="0.3">
      <c r="A962" s="17"/>
      <c r="B962" s="17"/>
      <c r="C962" s="82"/>
      <c r="D962" s="63"/>
      <c r="E962" s="63"/>
      <c r="F962" s="63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4" x14ac:dyDescent="0.3">
      <c r="A963" s="17"/>
      <c r="B963" s="17"/>
      <c r="C963" s="82"/>
      <c r="D963" s="63"/>
      <c r="E963" s="63"/>
      <c r="F963" s="63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4" x14ac:dyDescent="0.3">
      <c r="A964" s="17"/>
      <c r="B964" s="17"/>
      <c r="C964" s="82"/>
      <c r="D964" s="63"/>
      <c r="E964" s="63"/>
      <c r="F964" s="63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4" x14ac:dyDescent="0.3">
      <c r="A965" s="17"/>
      <c r="B965" s="17"/>
      <c r="C965" s="82"/>
      <c r="D965" s="63"/>
      <c r="E965" s="63"/>
      <c r="F965" s="63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4" x14ac:dyDescent="0.3">
      <c r="A966" s="17"/>
      <c r="B966" s="17"/>
      <c r="C966" s="82"/>
      <c r="D966" s="63"/>
      <c r="E966" s="63"/>
      <c r="F966" s="63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4" x14ac:dyDescent="0.3">
      <c r="A967" s="17"/>
      <c r="B967" s="17"/>
      <c r="C967" s="82"/>
      <c r="D967" s="63"/>
      <c r="E967" s="63"/>
      <c r="F967" s="63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4" x14ac:dyDescent="0.3">
      <c r="A968" s="17"/>
      <c r="B968" s="17"/>
      <c r="C968" s="82"/>
      <c r="D968" s="63"/>
      <c r="E968" s="63"/>
      <c r="F968" s="63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4" x14ac:dyDescent="0.3">
      <c r="A969" s="17"/>
      <c r="B969" s="17"/>
      <c r="C969" s="82"/>
      <c r="D969" s="63"/>
      <c r="E969" s="63"/>
      <c r="F969" s="63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4" x14ac:dyDescent="0.3">
      <c r="A970" s="17"/>
      <c r="B970" s="17"/>
      <c r="C970" s="82"/>
      <c r="D970" s="63"/>
      <c r="E970" s="63"/>
      <c r="F970" s="63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4" x14ac:dyDescent="0.3">
      <c r="A971" s="17"/>
      <c r="B971" s="17"/>
      <c r="C971" s="82"/>
      <c r="D971" s="63"/>
      <c r="E971" s="63"/>
      <c r="F971" s="63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4" x14ac:dyDescent="0.3">
      <c r="A972" s="17"/>
      <c r="B972" s="17"/>
      <c r="C972" s="82"/>
      <c r="D972" s="63"/>
      <c r="E972" s="63"/>
      <c r="F972" s="63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4" x14ac:dyDescent="0.3">
      <c r="A973" s="17"/>
      <c r="B973" s="17"/>
      <c r="C973" s="82"/>
      <c r="D973" s="63"/>
      <c r="E973" s="63"/>
      <c r="F973" s="63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4" x14ac:dyDescent="0.3">
      <c r="A974" s="17"/>
      <c r="B974" s="17"/>
      <c r="C974" s="82"/>
      <c r="D974" s="63"/>
      <c r="E974" s="63"/>
      <c r="F974" s="63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4" x14ac:dyDescent="0.3">
      <c r="A975" s="17"/>
      <c r="B975" s="17"/>
      <c r="C975" s="82"/>
      <c r="D975" s="63"/>
      <c r="E975" s="63"/>
      <c r="F975" s="63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4" x14ac:dyDescent="0.3">
      <c r="A976" s="17"/>
      <c r="B976" s="17"/>
      <c r="C976" s="82"/>
      <c r="D976" s="63"/>
      <c r="E976" s="63"/>
      <c r="F976" s="63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4" x14ac:dyDescent="0.3">
      <c r="A977" s="17"/>
      <c r="B977" s="17"/>
      <c r="C977" s="82"/>
      <c r="D977" s="63"/>
      <c r="E977" s="63"/>
      <c r="F977" s="63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4" x14ac:dyDescent="0.3">
      <c r="A978" s="17"/>
      <c r="B978" s="17"/>
      <c r="C978" s="82"/>
      <c r="D978" s="63"/>
      <c r="E978" s="63"/>
      <c r="F978" s="63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4" x14ac:dyDescent="0.3">
      <c r="A979" s="17"/>
      <c r="B979" s="17"/>
      <c r="C979" s="82"/>
      <c r="D979" s="63"/>
      <c r="E979" s="63"/>
      <c r="F979" s="63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4" x14ac:dyDescent="0.3">
      <c r="A980" s="17"/>
      <c r="B980" s="17"/>
      <c r="C980" s="82"/>
      <c r="D980" s="63"/>
      <c r="E980" s="63"/>
      <c r="F980" s="63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4" x14ac:dyDescent="0.3">
      <c r="A981" s="17"/>
      <c r="B981" s="17"/>
      <c r="C981" s="82"/>
      <c r="D981" s="63"/>
      <c r="E981" s="63"/>
      <c r="F981" s="63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4" x14ac:dyDescent="0.3">
      <c r="A982" s="17"/>
      <c r="B982" s="17"/>
      <c r="C982" s="82"/>
      <c r="D982" s="63"/>
      <c r="E982" s="63"/>
      <c r="F982" s="63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4" x14ac:dyDescent="0.3">
      <c r="A983" s="17"/>
      <c r="B983" s="17"/>
      <c r="C983" s="82"/>
      <c r="D983" s="63"/>
      <c r="E983" s="63"/>
      <c r="F983" s="63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4" x14ac:dyDescent="0.3">
      <c r="A984" s="17"/>
      <c r="B984" s="17"/>
      <c r="C984" s="82"/>
      <c r="D984" s="63"/>
      <c r="E984" s="63"/>
      <c r="F984" s="63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4" x14ac:dyDescent="0.3">
      <c r="A985" s="17"/>
      <c r="B985" s="17"/>
      <c r="C985" s="82"/>
      <c r="D985" s="63"/>
      <c r="E985" s="63"/>
      <c r="F985" s="63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4" x14ac:dyDescent="0.3">
      <c r="A986" s="17"/>
      <c r="B986" s="17"/>
      <c r="C986" s="82"/>
      <c r="D986" s="63"/>
      <c r="E986" s="63"/>
      <c r="F986" s="63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4" x14ac:dyDescent="0.3">
      <c r="A987" s="17"/>
      <c r="B987" s="17"/>
      <c r="C987" s="82"/>
      <c r="D987" s="63"/>
      <c r="E987" s="63"/>
      <c r="F987" s="63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4" x14ac:dyDescent="0.3">
      <c r="A988" s="17"/>
      <c r="B988" s="17"/>
      <c r="C988" s="82"/>
      <c r="D988" s="63"/>
      <c r="E988" s="63"/>
      <c r="F988" s="63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4" x14ac:dyDescent="0.3">
      <c r="A989" s="17"/>
      <c r="B989" s="17"/>
      <c r="C989" s="82"/>
      <c r="D989" s="63"/>
      <c r="E989" s="63"/>
      <c r="F989" s="63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4" x14ac:dyDescent="0.3">
      <c r="A990" s="17"/>
      <c r="B990" s="17"/>
      <c r="C990" s="82"/>
      <c r="D990" s="63"/>
      <c r="E990" s="63"/>
      <c r="F990" s="63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4" x14ac:dyDescent="0.3">
      <c r="A991" s="17"/>
      <c r="B991" s="17"/>
      <c r="C991" s="82"/>
      <c r="D991" s="63"/>
      <c r="E991" s="63"/>
      <c r="F991" s="63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4" x14ac:dyDescent="0.3">
      <c r="A992" s="17"/>
      <c r="B992" s="17"/>
      <c r="C992" s="82"/>
      <c r="D992" s="63"/>
      <c r="E992" s="63"/>
      <c r="F992" s="63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4" x14ac:dyDescent="0.3">
      <c r="A993" s="17"/>
      <c r="B993" s="17"/>
      <c r="C993" s="82"/>
      <c r="D993" s="63"/>
      <c r="E993" s="63"/>
      <c r="F993" s="63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4" x14ac:dyDescent="0.3">
      <c r="A994" s="17"/>
      <c r="B994" s="17"/>
      <c r="C994" s="82"/>
      <c r="D994" s="63"/>
      <c r="E994" s="63"/>
      <c r="F994" s="63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4" x14ac:dyDescent="0.3">
      <c r="A995" s="17"/>
      <c r="B995" s="17"/>
      <c r="C995" s="82"/>
      <c r="D995" s="63"/>
      <c r="E995" s="63"/>
      <c r="F995" s="63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4" x14ac:dyDescent="0.3">
      <c r="A996" s="17"/>
      <c r="B996" s="17"/>
      <c r="C996" s="82"/>
      <c r="D996" s="63"/>
      <c r="E996" s="63"/>
      <c r="F996" s="63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4" x14ac:dyDescent="0.3">
      <c r="A997" s="17"/>
      <c r="B997" s="17"/>
      <c r="C997" s="82"/>
      <c r="D997" s="63"/>
      <c r="E997" s="63"/>
      <c r="F997" s="63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4" x14ac:dyDescent="0.3">
      <c r="A998" s="17"/>
      <c r="B998" s="17"/>
      <c r="C998" s="82"/>
      <c r="D998" s="63"/>
      <c r="E998" s="63"/>
      <c r="F998" s="63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4" x14ac:dyDescent="0.3">
      <c r="A999" s="17"/>
      <c r="B999" s="17"/>
      <c r="C999" s="82"/>
      <c r="D999" s="63"/>
      <c r="E999" s="63"/>
      <c r="F999" s="63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4" x14ac:dyDescent="0.3">
      <c r="A1000" s="17"/>
      <c r="B1000" s="17"/>
      <c r="C1000" s="82"/>
      <c r="D1000" s="63"/>
      <c r="E1000" s="63"/>
      <c r="F1000" s="63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X35" xr:uid="{00000000-0009-0000-0000-000007000000}">
    <filterColumn colId="9">
      <filters>
        <filter val="ติดต่อไม่ได้ , ไม่รับโทรศัพท์"/>
      </filters>
    </filterColumn>
  </autoFilter>
  <mergeCells count="1">
    <mergeCell ref="G2:H2"/>
  </mergeCells>
  <dataValidations count="6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5 F39:F1000" xr:uid="{00000000-0002-0000-0700-000001000000}">
      <formula1>$N$2:$N$11</formula1>
    </dataValidation>
    <dataValidation type="list" allowBlank="1" showErrorMessage="1" sqref="J11:J14" xr:uid="{00000000-0002-0000-0700-000002000000}">
      <formula1>$N$4:$N$16</formula1>
    </dataValidation>
    <dataValidation type="list" allowBlank="1" showErrorMessage="1" sqref="E1:E35 E39:E1000" xr:uid="{00000000-0002-0000-0700-000003000000}">
      <formula1>$O$4:$O$8</formula1>
    </dataValidation>
    <dataValidation type="list" allowBlank="1" showErrorMessage="1" sqref="J1" xr:uid="{00000000-0002-0000-0700-000004000000}">
      <formula1>$M$4:$M$23</formula1>
    </dataValidation>
    <dataValidation type="list" allowBlank="1" showErrorMessage="1" sqref="J17:J35" xr:uid="{00000000-0002-0000-07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E1000"/>
  <sheetViews>
    <sheetView workbookViewId="0">
      <pane xSplit="5" ySplit="3" topLeftCell="F31" activePane="bottomRight" state="frozen"/>
      <selection activeCell="M4" sqref="M4"/>
      <selection pane="topRight" activeCell="M4" sqref="M4"/>
      <selection pane="bottomLeft" activeCell="M4" sqref="M4"/>
      <selection pane="bottomRight" activeCell="D5" sqref="D5"/>
    </sheetView>
  </sheetViews>
  <sheetFormatPr defaultColWidth="14.44140625" defaultRowHeight="14.4" x14ac:dyDescent="0.3"/>
  <cols>
    <col min="1" max="1" width="11.21875" customWidth="1"/>
    <col min="2" max="2" width="20" bestFit="1" customWidth="1"/>
    <col min="3" max="3" width="17.77734375" bestFit="1" customWidth="1"/>
    <col min="4" max="4" width="18.109375" bestFit="1" customWidth="1"/>
    <col min="5" max="5" width="13.77734375" bestFit="1" customWidth="1"/>
    <col min="6" max="6" width="18.109375" bestFit="1" customWidth="1"/>
    <col min="7" max="7" width="12.109375" bestFit="1" customWidth="1"/>
    <col min="8" max="8" width="14.44140625" bestFit="1" customWidth="1"/>
    <col min="9" max="9" width="9.21875" bestFit="1" customWidth="1"/>
    <col min="10" max="10" width="9.5546875" bestFit="1" customWidth="1"/>
    <col min="11" max="11" width="12.44140625" bestFit="1" customWidth="1"/>
    <col min="12" max="12" width="10.88671875" bestFit="1" customWidth="1"/>
    <col min="13" max="13" width="6.88671875" bestFit="1" customWidth="1"/>
    <col min="14" max="14" width="10.21875" bestFit="1" customWidth="1"/>
    <col min="15" max="15" width="7.21875" bestFit="1" customWidth="1"/>
    <col min="16" max="16" width="10.5546875" bestFit="1" customWidth="1"/>
    <col min="17" max="17" width="7.44140625" bestFit="1" customWidth="1"/>
    <col min="18" max="18" width="17.33203125" bestFit="1" customWidth="1"/>
    <col min="19" max="19" width="12.109375" bestFit="1" customWidth="1"/>
    <col min="20" max="20" width="8.6640625" bestFit="1" customWidth="1"/>
    <col min="21" max="21" width="10.88671875" bestFit="1" customWidth="1"/>
    <col min="22" max="22" width="10.21875" bestFit="1" customWidth="1"/>
    <col min="23" max="23" width="7.109375" bestFit="1" customWidth="1"/>
    <col min="24" max="24" width="6.88671875" bestFit="1" customWidth="1"/>
    <col min="25" max="25" width="9.21875" bestFit="1" customWidth="1"/>
    <col min="26" max="26" width="14" bestFit="1" customWidth="1"/>
    <col min="27" max="27" width="7.33203125" bestFit="1" customWidth="1"/>
    <col min="28" max="28" width="14.33203125" bestFit="1" customWidth="1"/>
    <col min="29" max="30" width="9.33203125" bestFit="1" customWidth="1"/>
    <col min="31" max="31" width="23.77734375" bestFit="1" customWidth="1"/>
  </cols>
  <sheetData>
    <row r="1" spans="1:31" ht="32.4" x14ac:dyDescent="0.3">
      <c r="A1" s="62" t="s">
        <v>325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2"/>
    </row>
    <row r="2" spans="1:31" ht="26.4" x14ac:dyDescent="0.3">
      <c r="A2" s="153" t="s">
        <v>0</v>
      </c>
      <c r="B2" s="154" t="s">
        <v>326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11"/>
      <c r="AD2" s="94"/>
      <c r="AE2" s="156" t="s">
        <v>327</v>
      </c>
    </row>
    <row r="3" spans="1:31" ht="23.4" x14ac:dyDescent="0.6">
      <c r="A3" s="109"/>
      <c r="B3" s="95" t="s">
        <v>63</v>
      </c>
      <c r="C3" s="95" t="s">
        <v>64</v>
      </c>
      <c r="D3" s="95" t="s">
        <v>65</v>
      </c>
      <c r="E3" s="95" t="s">
        <v>66</v>
      </c>
      <c r="F3" s="95" t="s">
        <v>67</v>
      </c>
      <c r="G3" s="95" t="s">
        <v>68</v>
      </c>
      <c r="H3" s="95" t="s">
        <v>328</v>
      </c>
      <c r="I3" s="95" t="s">
        <v>70</v>
      </c>
      <c r="J3" s="95" t="s">
        <v>329</v>
      </c>
      <c r="K3" s="95" t="s">
        <v>71</v>
      </c>
      <c r="L3" s="95" t="s">
        <v>72</v>
      </c>
      <c r="M3" s="95" t="s">
        <v>73</v>
      </c>
      <c r="N3" s="95" t="s">
        <v>74</v>
      </c>
      <c r="O3" s="95" t="s">
        <v>75</v>
      </c>
      <c r="P3" s="95" t="s">
        <v>76</v>
      </c>
      <c r="Q3" s="96" t="s">
        <v>79</v>
      </c>
      <c r="R3" s="96" t="s">
        <v>80</v>
      </c>
      <c r="S3" s="95" t="s">
        <v>82</v>
      </c>
      <c r="T3" s="95" t="s">
        <v>330</v>
      </c>
      <c r="U3" s="95" t="s">
        <v>86</v>
      </c>
      <c r="V3" s="95" t="s">
        <v>87</v>
      </c>
      <c r="W3" s="95" t="s">
        <v>88</v>
      </c>
      <c r="X3" s="95" t="s">
        <v>89</v>
      </c>
      <c r="Y3" s="95" t="s">
        <v>90</v>
      </c>
      <c r="Z3" s="95" t="s">
        <v>331</v>
      </c>
      <c r="AA3" s="95" t="s">
        <v>93</v>
      </c>
      <c r="AB3" s="95" t="s">
        <v>95</v>
      </c>
      <c r="AC3" s="95" t="s">
        <v>96</v>
      </c>
      <c r="AD3" s="95" t="s">
        <v>96</v>
      </c>
      <c r="AE3" s="109"/>
    </row>
    <row r="4" spans="1:31" ht="23.4" x14ac:dyDescent="0.3">
      <c r="A4" s="97">
        <v>244409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98">
        <f t="shared" ref="AE4:AE34" si="0">SUM(B4:AD4)</f>
        <v>0</v>
      </c>
    </row>
    <row r="5" spans="1:31" ht="23.4" x14ac:dyDescent="0.3">
      <c r="A5" s="97">
        <v>244410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98">
        <f t="shared" si="0"/>
        <v>0</v>
      </c>
    </row>
    <row r="6" spans="1:31" ht="23.4" x14ac:dyDescent="0.3">
      <c r="A6" s="97">
        <v>244411</v>
      </c>
      <c r="B6" s="17"/>
      <c r="C6" s="17"/>
      <c r="D6" s="17"/>
      <c r="E6" s="17"/>
      <c r="F6" s="17"/>
      <c r="G6" s="17"/>
      <c r="H6" s="17"/>
      <c r="I6" s="17"/>
      <c r="J6" s="17"/>
      <c r="K6" s="17">
        <v>1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98">
        <f t="shared" si="0"/>
        <v>1</v>
      </c>
    </row>
    <row r="7" spans="1:31" ht="23.4" x14ac:dyDescent="0.3">
      <c r="A7" s="97">
        <v>244412</v>
      </c>
      <c r="B7" s="17"/>
      <c r="C7" s="17"/>
      <c r="D7" s="17">
        <v>2</v>
      </c>
      <c r="E7" s="17"/>
      <c r="F7" s="17"/>
      <c r="G7" s="17"/>
      <c r="H7" s="17"/>
      <c r="I7" s="17">
        <v>18</v>
      </c>
      <c r="J7" s="17"/>
      <c r="K7" s="17">
        <v>1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>
        <v>5</v>
      </c>
      <c r="AC7" s="17"/>
      <c r="AD7" s="17"/>
      <c r="AE7" s="98">
        <f t="shared" si="0"/>
        <v>26</v>
      </c>
    </row>
    <row r="8" spans="1:31" ht="23.4" x14ac:dyDescent="0.3">
      <c r="A8" s="97">
        <v>244413</v>
      </c>
      <c r="B8" s="17"/>
      <c r="C8" s="17"/>
      <c r="D8" s="17"/>
      <c r="E8" s="17"/>
      <c r="F8" s="17"/>
      <c r="G8" s="17"/>
      <c r="H8" s="17"/>
      <c r="I8" s="17">
        <v>24</v>
      </c>
      <c r="J8" s="17"/>
      <c r="K8" s="17">
        <v>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98">
        <f t="shared" si="0"/>
        <v>25</v>
      </c>
    </row>
    <row r="9" spans="1:31" ht="23.4" x14ac:dyDescent="0.3">
      <c r="A9" s="97">
        <v>244414</v>
      </c>
      <c r="B9" s="17"/>
      <c r="C9" s="17"/>
      <c r="D9" s="17">
        <v>6</v>
      </c>
      <c r="E9" s="17"/>
      <c r="F9" s="17"/>
      <c r="G9" s="17"/>
      <c r="H9" s="17">
        <v>3</v>
      </c>
      <c r="I9" s="17"/>
      <c r="J9" s="17"/>
      <c r="K9" s="17">
        <v>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98">
        <f t="shared" si="0"/>
        <v>10</v>
      </c>
    </row>
    <row r="10" spans="1:31" ht="23.4" x14ac:dyDescent="0.3">
      <c r="A10" s="97">
        <v>244415</v>
      </c>
      <c r="B10" s="17"/>
      <c r="C10" s="17"/>
      <c r="D10" s="17">
        <v>3</v>
      </c>
      <c r="E10" s="17"/>
      <c r="F10" s="17"/>
      <c r="G10" s="17"/>
      <c r="H10" s="17"/>
      <c r="I10" s="17">
        <v>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98">
        <f t="shared" si="0"/>
        <v>6</v>
      </c>
    </row>
    <row r="11" spans="1:31" ht="23.4" x14ac:dyDescent="0.3">
      <c r="A11" s="97">
        <v>244416</v>
      </c>
      <c r="B11" s="17"/>
      <c r="C11" s="17"/>
      <c r="D11" s="17">
        <v>6</v>
      </c>
      <c r="E11" s="17"/>
      <c r="F11" s="17"/>
      <c r="G11" s="17"/>
      <c r="H11" s="17"/>
      <c r="I11" s="17">
        <v>3</v>
      </c>
      <c r="J11" s="17"/>
      <c r="K11" s="17">
        <v>5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98">
        <f t="shared" si="0"/>
        <v>14</v>
      </c>
    </row>
    <row r="12" spans="1:31" ht="23.4" x14ac:dyDescent="0.3">
      <c r="A12" s="97">
        <v>244417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98">
        <f t="shared" si="0"/>
        <v>0</v>
      </c>
    </row>
    <row r="13" spans="1:31" ht="23.4" x14ac:dyDescent="0.3">
      <c r="A13" s="97">
        <v>244418</v>
      </c>
      <c r="B13" s="17"/>
      <c r="C13" s="17"/>
      <c r="D13" s="17"/>
      <c r="E13" s="17"/>
      <c r="F13" s="17"/>
      <c r="G13" s="17"/>
      <c r="H13" s="17"/>
      <c r="I13" s="17"/>
      <c r="J13" s="17"/>
      <c r="K13" s="17">
        <v>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98">
        <f t="shared" si="0"/>
        <v>1</v>
      </c>
    </row>
    <row r="14" spans="1:31" ht="23.4" x14ac:dyDescent="0.3">
      <c r="A14" s="97">
        <v>244419</v>
      </c>
      <c r="B14" s="17"/>
      <c r="C14" s="17"/>
      <c r="D14" s="17"/>
      <c r="E14" s="17"/>
      <c r="F14" s="17"/>
      <c r="G14" s="17"/>
      <c r="H14" s="17">
        <v>3</v>
      </c>
      <c r="I14" s="17">
        <v>15</v>
      </c>
      <c r="J14" s="17"/>
      <c r="K14" s="17">
        <v>3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98">
        <f t="shared" si="0"/>
        <v>21</v>
      </c>
    </row>
    <row r="15" spans="1:31" ht="23.4" x14ac:dyDescent="0.3">
      <c r="A15" s="97">
        <v>244420</v>
      </c>
      <c r="B15" s="17"/>
      <c r="C15" s="17"/>
      <c r="D15" s="17"/>
      <c r="E15" s="17">
        <v>1</v>
      </c>
      <c r="F15" s="17">
        <v>1</v>
      </c>
      <c r="G15" s="17"/>
      <c r="H15" s="17"/>
      <c r="I15" s="17">
        <v>6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98">
        <f t="shared" si="0"/>
        <v>8</v>
      </c>
    </row>
    <row r="16" spans="1:31" ht="23.4" x14ac:dyDescent="0.3">
      <c r="A16" s="97">
        <v>244421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98">
        <f t="shared" si="0"/>
        <v>0</v>
      </c>
    </row>
    <row r="17" spans="1:31" ht="23.4" x14ac:dyDescent="0.3">
      <c r="A17" s="97">
        <v>244422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98">
        <f t="shared" si="0"/>
        <v>0</v>
      </c>
    </row>
    <row r="18" spans="1:31" ht="23.4" x14ac:dyDescent="0.3">
      <c r="A18" s="97">
        <v>244423</v>
      </c>
      <c r="B18" s="17"/>
      <c r="C18" s="17"/>
      <c r="D18" s="17"/>
      <c r="E18" s="17"/>
      <c r="F18" s="17"/>
      <c r="G18" s="17"/>
      <c r="H18" s="17"/>
      <c r="I18" s="17">
        <v>3</v>
      </c>
      <c r="J18" s="17"/>
      <c r="K18" s="17">
        <v>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98">
        <f t="shared" si="0"/>
        <v>5</v>
      </c>
    </row>
    <row r="19" spans="1:31" ht="23.4" x14ac:dyDescent="0.3">
      <c r="A19" s="97">
        <v>244424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98">
        <f t="shared" si="0"/>
        <v>0</v>
      </c>
    </row>
    <row r="20" spans="1:31" ht="23.4" x14ac:dyDescent="0.3">
      <c r="A20" s="97">
        <v>244425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98">
        <f t="shared" si="0"/>
        <v>0</v>
      </c>
    </row>
    <row r="21" spans="1:31" ht="23.4" x14ac:dyDescent="0.3">
      <c r="A21" s="97">
        <v>244426</v>
      </c>
      <c r="B21" s="17"/>
      <c r="C21" s="17"/>
      <c r="D21" s="17"/>
      <c r="E21" s="17"/>
      <c r="F21" s="17"/>
      <c r="G21" s="17"/>
      <c r="H21" s="17"/>
      <c r="I21" s="17">
        <v>12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98">
        <f t="shared" si="0"/>
        <v>12</v>
      </c>
    </row>
    <row r="22" spans="1:31" ht="23.4" x14ac:dyDescent="0.3">
      <c r="A22" s="97">
        <v>244427</v>
      </c>
      <c r="B22" s="17"/>
      <c r="C22" s="17"/>
      <c r="D22" s="17">
        <v>1</v>
      </c>
      <c r="E22" s="17">
        <v>1</v>
      </c>
      <c r="F22" s="17">
        <v>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98">
        <f t="shared" si="0"/>
        <v>3</v>
      </c>
    </row>
    <row r="23" spans="1:31" ht="23.4" x14ac:dyDescent="0.3">
      <c r="A23" s="97">
        <v>244428</v>
      </c>
      <c r="B23" s="17"/>
      <c r="C23" s="17"/>
      <c r="D23" s="17"/>
      <c r="E23" s="17"/>
      <c r="F23" s="17"/>
      <c r="G23" s="17"/>
      <c r="H23" s="17"/>
      <c r="I23" s="17"/>
      <c r="J23" s="17"/>
      <c r="K23" s="17">
        <v>1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98">
        <f t="shared" si="0"/>
        <v>1</v>
      </c>
    </row>
    <row r="24" spans="1:31" ht="23.4" x14ac:dyDescent="0.3">
      <c r="A24" s="97">
        <v>244429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98">
        <f t="shared" si="0"/>
        <v>0</v>
      </c>
    </row>
    <row r="25" spans="1:31" ht="23.4" x14ac:dyDescent="0.3">
      <c r="A25" s="97">
        <v>244430</v>
      </c>
      <c r="B25" s="17"/>
      <c r="C25" s="17"/>
      <c r="D25" s="17"/>
      <c r="E25" s="17"/>
      <c r="F25" s="17"/>
      <c r="G25" s="17"/>
      <c r="H25" s="17"/>
      <c r="I25" s="17">
        <v>12</v>
      </c>
      <c r="J25" s="17"/>
      <c r="K25" s="17">
        <v>1</v>
      </c>
      <c r="L25" s="17"/>
      <c r="M25" s="17"/>
      <c r="N25" s="17"/>
      <c r="O25" s="17"/>
      <c r="P25" s="17"/>
      <c r="Q25" s="17"/>
      <c r="R25" s="17"/>
      <c r="S25" s="17"/>
      <c r="T25" s="17">
        <v>3</v>
      </c>
      <c r="U25" s="17"/>
      <c r="V25" s="17"/>
      <c r="W25" s="17"/>
      <c r="X25" s="17"/>
      <c r="Y25" s="17"/>
      <c r="Z25" s="17">
        <v>2</v>
      </c>
      <c r="AA25" s="17"/>
      <c r="AB25" s="17"/>
      <c r="AC25" s="17"/>
      <c r="AD25" s="17"/>
      <c r="AE25" s="98">
        <f t="shared" si="0"/>
        <v>18</v>
      </c>
    </row>
    <row r="26" spans="1:31" ht="23.4" x14ac:dyDescent="0.3">
      <c r="A26" s="97">
        <v>244431</v>
      </c>
      <c r="B26" s="17"/>
      <c r="C26" s="17"/>
      <c r="D26" s="17"/>
      <c r="E26" s="17"/>
      <c r="F26" s="17"/>
      <c r="G26" s="17"/>
      <c r="H26" s="17"/>
      <c r="I26" s="17"/>
      <c r="J26" s="17"/>
      <c r="K26" s="17">
        <v>3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>
        <v>2</v>
      </c>
      <c r="AA26" s="17"/>
      <c r="AB26" s="17"/>
      <c r="AC26" s="17"/>
      <c r="AD26" s="17"/>
      <c r="AE26" s="98">
        <f t="shared" si="0"/>
        <v>5</v>
      </c>
    </row>
    <row r="27" spans="1:31" ht="23.4" x14ac:dyDescent="0.3">
      <c r="A27" s="97">
        <v>244432</v>
      </c>
      <c r="B27" s="17"/>
      <c r="C27" s="17"/>
      <c r="D27" s="17"/>
      <c r="E27" s="17"/>
      <c r="F27" s="17"/>
      <c r="G27" s="17"/>
      <c r="H27" s="17"/>
      <c r="I27" s="17">
        <v>21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3</v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98">
        <f t="shared" si="0"/>
        <v>24</v>
      </c>
    </row>
    <row r="28" spans="1:31" ht="23.4" x14ac:dyDescent="0.3">
      <c r="A28" s="97">
        <v>244433</v>
      </c>
      <c r="B28" s="17"/>
      <c r="C28" s="17"/>
      <c r="D28" s="17"/>
      <c r="E28" s="17"/>
      <c r="F28" s="17"/>
      <c r="G28" s="17"/>
      <c r="H28" s="17"/>
      <c r="I28" s="17"/>
      <c r="J28" s="17"/>
      <c r="K28" s="17">
        <v>2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98">
        <f t="shared" si="0"/>
        <v>2</v>
      </c>
    </row>
    <row r="29" spans="1:31" ht="23.4" x14ac:dyDescent="0.3">
      <c r="A29" s="97">
        <v>244434</v>
      </c>
      <c r="B29" s="17"/>
      <c r="C29" s="17"/>
      <c r="D29" s="17"/>
      <c r="E29" s="17"/>
      <c r="F29" s="17"/>
      <c r="G29" s="17"/>
      <c r="H29" s="17"/>
      <c r="I29" s="17">
        <v>12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98">
        <f t="shared" si="0"/>
        <v>12</v>
      </c>
    </row>
    <row r="30" spans="1:31" ht="23.4" x14ac:dyDescent="0.3">
      <c r="A30" s="97">
        <v>244435</v>
      </c>
      <c r="B30" s="17"/>
      <c r="C30" s="17"/>
      <c r="D30" s="17"/>
      <c r="E30" s="17"/>
      <c r="F30" s="17"/>
      <c r="G30" s="17"/>
      <c r="H30" s="17"/>
      <c r="I30" s="17">
        <v>6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98">
        <f t="shared" si="0"/>
        <v>6</v>
      </c>
    </row>
    <row r="31" spans="1:31" ht="23.4" x14ac:dyDescent="0.3">
      <c r="A31" s="97">
        <v>244436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98">
        <f t="shared" si="0"/>
        <v>0</v>
      </c>
    </row>
    <row r="32" spans="1:31" ht="23.4" x14ac:dyDescent="0.3">
      <c r="A32" s="97">
        <v>244437</v>
      </c>
      <c r="B32" s="17"/>
      <c r="C32" s="17"/>
      <c r="D32" s="17"/>
      <c r="E32" s="17"/>
      <c r="F32" s="17">
        <v>3</v>
      </c>
      <c r="G32" s="17"/>
      <c r="H32" s="17"/>
      <c r="I32" s="17">
        <v>12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98">
        <f t="shared" si="0"/>
        <v>15</v>
      </c>
    </row>
    <row r="33" spans="1:31" ht="23.4" x14ac:dyDescent="0.3">
      <c r="A33" s="97">
        <v>244438</v>
      </c>
      <c r="B33" s="17"/>
      <c r="C33" s="17"/>
      <c r="D33" s="17"/>
      <c r="E33" s="17"/>
      <c r="F33" s="17"/>
      <c r="G33" s="17"/>
      <c r="H33" s="17"/>
      <c r="I33" s="17">
        <v>6</v>
      </c>
      <c r="J33" s="17"/>
      <c r="K33" s="17">
        <v>1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98">
        <f t="shared" si="0"/>
        <v>7</v>
      </c>
    </row>
    <row r="34" spans="1:31" ht="23.4" x14ac:dyDescent="0.3">
      <c r="A34" s="97">
        <v>244439</v>
      </c>
      <c r="B34" s="17"/>
      <c r="C34" s="17"/>
      <c r="D34" s="17"/>
      <c r="E34" s="17"/>
      <c r="F34" s="17"/>
      <c r="G34" s="17"/>
      <c r="H34" s="17"/>
      <c r="I34" s="17">
        <v>12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>
        <v>1</v>
      </c>
      <c r="AC34" s="17">
        <v>1</v>
      </c>
      <c r="AD34" s="17"/>
      <c r="AE34" s="98">
        <f t="shared" si="0"/>
        <v>14</v>
      </c>
    </row>
    <row r="35" spans="1:31" ht="23.4" x14ac:dyDescent="0.3">
      <c r="A35" s="97" t="s">
        <v>41</v>
      </c>
      <c r="B35" s="98">
        <f t="shared" ref="B35:N35" si="1">SUM(B4:B34)</f>
        <v>0</v>
      </c>
      <c r="C35" s="98">
        <f t="shared" si="1"/>
        <v>0</v>
      </c>
      <c r="D35" s="98">
        <f t="shared" si="1"/>
        <v>18</v>
      </c>
      <c r="E35" s="98">
        <f t="shared" si="1"/>
        <v>2</v>
      </c>
      <c r="F35" s="98">
        <f t="shared" si="1"/>
        <v>5</v>
      </c>
      <c r="G35" s="98">
        <f t="shared" si="1"/>
        <v>0</v>
      </c>
      <c r="H35" s="98">
        <f t="shared" si="1"/>
        <v>6</v>
      </c>
      <c r="I35" s="98">
        <f t="shared" si="1"/>
        <v>165</v>
      </c>
      <c r="J35" s="98">
        <f t="shared" si="1"/>
        <v>0</v>
      </c>
      <c r="K35" s="98">
        <f t="shared" si="1"/>
        <v>23</v>
      </c>
      <c r="L35" s="98">
        <f t="shared" si="1"/>
        <v>0</v>
      </c>
      <c r="M35" s="98">
        <f t="shared" si="1"/>
        <v>0</v>
      </c>
      <c r="N35" s="98">
        <f t="shared" si="1"/>
        <v>0</v>
      </c>
      <c r="O35" s="98">
        <f>SUM(P4:P25)</f>
        <v>0</v>
      </c>
      <c r="P35" s="98">
        <f t="shared" ref="P35:AC35" si="2">SUM(P4:P34)</f>
        <v>0</v>
      </c>
      <c r="Q35" s="98">
        <f t="shared" si="2"/>
        <v>0</v>
      </c>
      <c r="R35" s="98">
        <f t="shared" si="2"/>
        <v>0</v>
      </c>
      <c r="S35" s="98">
        <f t="shared" si="2"/>
        <v>0</v>
      </c>
      <c r="T35" s="98">
        <f t="shared" si="2"/>
        <v>6</v>
      </c>
      <c r="U35" s="98">
        <f t="shared" si="2"/>
        <v>0</v>
      </c>
      <c r="V35" s="98">
        <f t="shared" si="2"/>
        <v>0</v>
      </c>
      <c r="W35" s="98">
        <f t="shared" si="2"/>
        <v>0</v>
      </c>
      <c r="X35" s="98">
        <f t="shared" si="2"/>
        <v>0</v>
      </c>
      <c r="Y35" s="98">
        <f t="shared" si="2"/>
        <v>0</v>
      </c>
      <c r="Z35" s="98">
        <f t="shared" si="2"/>
        <v>4</v>
      </c>
      <c r="AA35" s="98">
        <f t="shared" si="2"/>
        <v>0</v>
      </c>
      <c r="AB35" s="98">
        <f t="shared" si="2"/>
        <v>6</v>
      </c>
      <c r="AC35" s="98">
        <f t="shared" si="2"/>
        <v>1</v>
      </c>
      <c r="AD35" s="98"/>
      <c r="AE35" s="99">
        <f>SUM(B35:AC35)</f>
        <v>236</v>
      </c>
    </row>
    <row r="36" spans="1:31" ht="23.4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23.4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ht="23.4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23.4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23.4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23.4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23.4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23.4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23.4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23.4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23.4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23.4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t="23.4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23.4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t="23.4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23.4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ht="23.4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23.4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ht="23.4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23.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ht="23.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ht="23.4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ht="23.4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ht="23.4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ht="23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ht="23.4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t="23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ht="23.4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ht="23.4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ht="23.4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23.4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ht="23.4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ht="23.4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t="23.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ht="23.4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t="23.4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23.4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23.4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23.4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23.4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23.4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23.4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23.4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23.4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23.4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23.4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23.4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23.4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23.4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23.4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23.4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23.4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23.4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23.4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23.4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23.4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23.4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23.4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23.4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23.4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23.4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23.4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23.4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23.4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23.4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23.4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23.4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23.4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23.4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23.4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23.4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23.4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23.4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23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 spans="1:31" ht="23.4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ht="23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 spans="1:31" ht="23.4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ht="23.4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 spans="1:31" ht="23.4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spans="1:31" ht="23.4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 spans="1:31" ht="23.4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spans="1:31" ht="23.4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 spans="1:31" ht="23.4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spans="1:31" ht="23.4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 spans="1:31" ht="23.4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ht="23.4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 spans="1:31" ht="23.4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spans="1:31" ht="23.4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 spans="1:31" ht="23.4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 spans="1:31" ht="23.4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 spans="1:31" ht="23.4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 spans="1:31" ht="23.4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 spans="1:31" ht="23.4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 spans="1:31" ht="23.4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spans="1:31" ht="23.4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 spans="1:31" ht="23.4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spans="1:31" ht="23.4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 spans="1:31" ht="23.4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spans="1:31" ht="23.4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spans="1:31" ht="23.4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ht="23.4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 spans="1:31" ht="23.4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 spans="1:31" ht="23.4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 spans="1:31" ht="23.4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 spans="1:31" ht="23.4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 spans="1:31" ht="23.4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spans="1:31" ht="23.4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spans="1:31" ht="23.4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 spans="1:31" ht="23.4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 spans="1:31" ht="23.4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spans="1:31" ht="23.4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 spans="1:31" ht="23.4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 spans="1:31" ht="23.4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 spans="1:31" ht="23.4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spans="1:31" ht="23.4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 spans="1:31" ht="23.4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 spans="1:31" ht="23.4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 spans="1:31" ht="23.4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 spans="1:31" ht="23.4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 spans="1:31" ht="23.4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 spans="1:31" ht="23.4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 spans="1:31" ht="23.4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 spans="1:31" ht="23.4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 spans="1:31" ht="23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 spans="1:31" ht="23.4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 spans="1:31" ht="23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 spans="1:31" ht="23.4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 spans="1:31" ht="23.4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 spans="1:31" ht="23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 spans="1:31" ht="23.4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 spans="1:31" ht="23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 spans="1:31" ht="23.4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 spans="1:31" ht="23.4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 spans="1:31" ht="23.4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 spans="1:31" ht="23.4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 spans="1:31" ht="23.4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 spans="1:31" ht="23.4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 spans="1:31" ht="23.4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 spans="1:31" ht="23.4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 spans="1:31" ht="23.4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 spans="1:31" ht="23.4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 spans="1:31" ht="23.4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 spans="1:31" ht="23.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 spans="1:31" ht="23.4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 spans="1:31" ht="23.4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 spans="1:31" ht="23.4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 spans="1:31" ht="23.4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 spans="1:31" ht="23.4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 spans="1:31" ht="23.4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 spans="1:31" ht="23.4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 spans="1:31" ht="23.4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 spans="1:31" ht="23.4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 spans="1:31" ht="23.4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 spans="1:31" ht="23.4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 spans="1:31" ht="23.4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 spans="1:31" ht="23.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ht="23.4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 spans="1:31" ht="23.4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 spans="1:31" ht="23.4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 spans="1:31" ht="23.4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 spans="1:31" ht="23.4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 spans="1:31" ht="23.4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 spans="1:31" ht="23.4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 spans="1:31" ht="23.4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 spans="1:31" ht="23.4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 spans="1:31" ht="23.4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 spans="1:31" ht="23.4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 spans="1:31" ht="23.4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 spans="1:31" ht="23.4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 spans="1:31" ht="23.4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 spans="1:31" ht="23.4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 spans="1:31" ht="23.4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 spans="1:31" ht="23.4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 spans="1:31" ht="23.4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 spans="1:31" ht="23.4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 spans="1:31" ht="23.4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 spans="1:31" ht="23.4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spans="1:31" ht="23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 spans="1:31" ht="23.4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 spans="1:31" ht="23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 spans="1:31" ht="23.4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 spans="1:31" ht="23.4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 spans="1:31" ht="23.4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 spans="1:31" ht="23.4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 spans="1:31" ht="23.4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 spans="1:31" ht="23.4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 spans="1:31" ht="23.4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 spans="1:31" ht="23.4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 spans="1:31" ht="23.4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 spans="1:31" ht="23.4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 spans="1:31" ht="23.4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 spans="1:31" ht="23.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 spans="1:31" ht="23.4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 spans="1:31" ht="23.4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 spans="1:31" ht="23.4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 spans="1:31" ht="23.4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 spans="1:31" ht="23.4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 spans="1:31" ht="23.4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 spans="1:31" ht="23.4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 spans="1:31" ht="23.4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 spans="1:31" ht="23.4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 spans="1:31" ht="23.4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 spans="1:31" ht="23.4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 spans="1:31" ht="23.4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 spans="1:31" ht="23.4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 spans="1:31" ht="23.4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 spans="1:31" ht="23.4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 spans="1:31" ht="23.4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 spans="1:31" ht="23.4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 spans="1:31" ht="23.4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 spans="1:31" ht="23.4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 spans="1:31" ht="23.4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 spans="1:31" ht="23.4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 spans="1:31" ht="23.4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 spans="1:31" ht="23.4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 spans="1:31" ht="23.4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 spans="1:31" ht="23.4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 spans="1:31" ht="23.4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spans="1:31" ht="23.4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 spans="1:31" ht="23.4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 spans="1:31" ht="23.4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 spans="1:31" ht="23.4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spans="1:31" ht="23.4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spans="1:31" ht="23.4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ht="23.4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spans="1:31" ht="23.4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 spans="1:31" ht="23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spans="1:31" ht="23.4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 spans="1:31" ht="23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 spans="1:31" ht="23.4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 spans="1:31" ht="23.4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spans="1:31" ht="23.4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 spans="1:31" ht="23.4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 spans="1:31" ht="23.4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 spans="1:31" ht="23.4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 spans="1:31" ht="23.4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 spans="1:31" ht="23.4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 spans="1:31" ht="23.4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 spans="1:31" ht="23.4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 spans="1:31" ht="23.4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 spans="1:31" ht="23.4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 spans="1:31" ht="23.4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 spans="1:31" ht="23.4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 spans="1:31" ht="23.4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 spans="1:31" ht="23.4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 spans="1:31" ht="23.4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 spans="1:31" ht="23.4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 spans="1:31" ht="23.4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 spans="1:31" ht="23.4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 spans="1:31" ht="23.4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 spans="1:31" ht="23.4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 spans="1:31" ht="23.4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 spans="1:31" ht="23.4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 spans="1:31" ht="23.4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 spans="1:31" ht="23.4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 spans="1:31" ht="23.4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 spans="1:31" ht="23.4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 spans="1:31" ht="23.4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 spans="1:31" ht="23.4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 spans="1:31" ht="23.4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 spans="1:31" ht="23.4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 spans="1:31" ht="23.4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 spans="1:31" ht="23.4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 spans="1:31" ht="23.4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 spans="1:31" ht="23.4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 spans="1:31" ht="23.4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 spans="1:31" ht="23.4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 spans="1:31" ht="23.4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 spans="1:31" ht="23.4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 spans="1:31" ht="23.4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 spans="1:31" ht="23.4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 spans="1:31" ht="23.4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 spans="1:31" ht="23.4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 spans="1:31" ht="23.4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 spans="1:31" ht="23.4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 spans="1:31" ht="23.4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 spans="1:31" ht="23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 spans="1:31" ht="23.4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 spans="1:31" ht="23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 spans="1:31" ht="23.4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 spans="1:31" ht="23.4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 spans="1:31" ht="23.4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 spans="1:31" ht="23.4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 spans="1:31" ht="23.4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 spans="1:31" ht="23.4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 spans="1:31" ht="23.4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 spans="1:31" ht="23.4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 spans="1:31" ht="23.4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 spans="1:31" ht="23.4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 spans="1:31" ht="23.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 spans="1:31" ht="23.4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 spans="1:31" ht="23.4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 spans="1:31" ht="23.4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 spans="1:31" ht="23.4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 spans="1:31" ht="23.4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 spans="1:31" ht="23.4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 spans="1:31" ht="23.4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 spans="1:31" ht="23.4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 spans="1:31" ht="23.4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 spans="1:31" ht="23.4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 spans="1:31" ht="23.4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 spans="1:31" ht="23.4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 spans="1:31" ht="23.4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 spans="1:31" ht="23.4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 spans="1:31" ht="23.4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 spans="1:31" ht="23.4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 spans="1:31" ht="23.4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 spans="1:31" ht="23.4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 spans="1:31" ht="23.4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 spans="1:31" ht="23.4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 spans="1:31" ht="23.4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 spans="1:31" ht="23.4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 spans="1:31" ht="23.4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 spans="1:31" ht="23.4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 spans="1:31" ht="23.4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 spans="1:31" ht="23.4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 spans="1:31" ht="23.4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 spans="1:31" ht="23.4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 spans="1:31" ht="23.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 spans="1:31" ht="23.4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 spans="1:31" ht="23.4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 spans="1:31" ht="23.4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 spans="1:31" ht="23.4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 spans="1:31" ht="23.4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 spans="1:31" ht="23.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 spans="1:31" ht="23.4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 spans="1:31" ht="23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 spans="1:31" ht="23.4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 spans="1:31" ht="23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 spans="1:31" ht="23.4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 spans="1:31" ht="23.4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 spans="1:31" ht="23.4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 spans="1:31" ht="23.4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 spans="1:31" ht="23.4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 spans="1:31" ht="23.4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 spans="1:31" ht="23.4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 spans="1:31" ht="23.4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 spans="1:31" ht="23.4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 spans="1:31" ht="23.4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 spans="1:31" ht="23.4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 spans="1:31" ht="23.4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 spans="1:31" ht="23.4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 spans="1:31" ht="23.4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 spans="1:31" ht="23.4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 spans="1:31" ht="23.4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 spans="1:31" ht="23.4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 spans="1:31" ht="23.4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 spans="1:31" ht="23.4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 spans="1:31" ht="23.4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 spans="1:31" ht="23.4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 spans="1:31" ht="23.4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 spans="1:31" ht="23.4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 spans="1:31" ht="23.4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 spans="1:31" ht="23.4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 spans="1:31" ht="23.4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 spans="1:31" ht="23.4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 spans="1:31" ht="23.4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 spans="1:31" ht="23.4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 spans="1:31" ht="23.4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 spans="1:31" ht="23.4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 spans="1:31" ht="23.4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 spans="1:31" ht="23.4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 spans="1:31" ht="23.4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 spans="1:31" ht="23.4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 spans="1:31" ht="23.4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 spans="1:31" ht="23.4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 spans="1:31" ht="23.4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 spans="1:31" ht="23.4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 spans="1:31" ht="23.4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 spans="1:31" ht="23.4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 spans="1:31" ht="23.4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 spans="1:31" ht="23.4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 spans="1:31" ht="23.4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 spans="1:31" ht="23.4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 spans="1:31" ht="23.4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 spans="1:31" ht="23.4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 spans="1:31" ht="23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 spans="1:31" ht="23.4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 spans="1:31" ht="23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 spans="1:31" ht="23.4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 spans="1:31" ht="23.4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 spans="1:31" ht="23.4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 spans="1:31" ht="23.4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 spans="1:31" ht="23.4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 spans="1:31" ht="23.4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 spans="1:31" ht="23.4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 spans="1:31" ht="23.4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 spans="1:31" ht="23.4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 spans="1:31" ht="23.4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 spans="1:31" ht="23.4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 spans="1:31" ht="23.4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 spans="1:31" ht="23.4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 spans="1:31" ht="23.4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 spans="1:31" ht="23.4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 spans="1:31" ht="23.4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 spans="1:31" ht="23.4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 spans="1:31" ht="23.4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 spans="1:31" ht="23.4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 spans="1:31" ht="23.4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 spans="1:31" ht="23.4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 spans="1:31" ht="23.4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 spans="1:31" ht="23.4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 spans="1:31" ht="23.4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 spans="1:31" ht="23.4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 spans="1:31" ht="23.4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 spans="1:31" ht="23.4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 spans="1:31" ht="23.4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 spans="1:31" ht="23.4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 spans="1:31" ht="23.4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 spans="1:31" ht="23.4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 spans="1:31" ht="23.4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 spans="1:31" ht="23.4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 spans="1:31" ht="23.4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 spans="1:31" ht="23.4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 spans="1:31" ht="23.4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 spans="1:31" ht="23.4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 spans="1:31" ht="23.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 spans="1:31" ht="23.4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 spans="1:31" ht="23.4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 spans="1:31" ht="23.4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 spans="1:31" ht="23.4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 spans="1:31" ht="23.4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 spans="1:31" ht="23.4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 spans="1:31" ht="23.4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 spans="1:31" ht="23.4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 spans="1:31" ht="23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 spans="1:31" ht="23.4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 spans="1:31" ht="23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 spans="1:31" ht="23.4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 spans="1:31" ht="23.4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 spans="1:31" ht="23.4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 spans="1:31" ht="23.4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 spans="1:31" ht="23.4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 spans="1:31" ht="23.4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 spans="1:31" ht="23.4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 spans="1:31" ht="23.4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 spans="1:31" ht="23.4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 spans="1:31" ht="23.4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 spans="1:31" ht="23.4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 spans="1:31" ht="23.4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 spans="1:31" ht="23.4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 spans="1:31" ht="23.4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 spans="1:31" ht="23.4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 spans="1:31" ht="23.4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 spans="1:31" ht="23.4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 spans="1:31" ht="23.4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 spans="1:31" ht="23.4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 spans="1:31" ht="23.4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 spans="1:31" ht="23.4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 spans="1:31" ht="23.4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 spans="1:31" ht="23.4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 spans="1:31" ht="23.4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 spans="1:31" ht="23.4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 spans="1:31" ht="23.4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 spans="1:31" ht="23.4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 spans="1:31" ht="23.4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 spans="1:31" ht="23.4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 spans="1:31" ht="23.4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 spans="1:31" ht="23.4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 spans="1:31" ht="23.4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 spans="1:31" ht="23.4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 spans="1:31" ht="23.4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 spans="1:31" ht="23.4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 spans="1:31" ht="23.4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 spans="1:31" ht="23.4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 spans="1:31" ht="23.4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 spans="1:31" ht="23.4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 spans="1:31" ht="23.4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 spans="1:31" ht="23.4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 spans="1:31" ht="23.4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 spans="1:31" ht="23.4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 spans="1:31" ht="23.4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 spans="1:31" ht="23.4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 spans="1:31" ht="23.4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 spans="1:31" ht="23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 spans="1:31" ht="23.4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 spans="1:31" ht="23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 spans="1:31" ht="23.4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 spans="1:31" ht="23.4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 spans="1:31" ht="23.4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 spans="1:31" ht="23.4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 spans="1:31" ht="23.4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 spans="1:31" ht="23.4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 spans="1:31" ht="23.4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 spans="1:31" ht="23.4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 spans="1:31" ht="23.4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 spans="1:31" ht="23.4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 spans="1:31" ht="23.4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 spans="1:31" ht="23.4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 spans="1:31" ht="23.4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 spans="1:31" ht="23.4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 spans="1:31" ht="23.4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 spans="1:31" ht="23.4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 spans="1:31" ht="23.4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 spans="1:31" ht="23.4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 spans="1:31" ht="23.4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 spans="1:31" ht="23.4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 spans="1:31" ht="23.4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 spans="1:31" ht="23.4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 spans="1:31" ht="23.4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 spans="1:31" ht="23.4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 spans="1:31" ht="23.4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 spans="1:31" ht="23.4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 spans="1:31" ht="23.4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 spans="1:31" ht="23.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 spans="1:31" ht="23.4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 spans="1:31" ht="23.4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 spans="1:31" ht="23.4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 spans="1:31" ht="23.4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 spans="1:31" ht="23.4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 spans="1:31" ht="23.4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 spans="1:31" ht="23.4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 spans="1:31" ht="23.4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 spans="1:31" ht="23.4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 spans="1:31" ht="23.4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 spans="1:31" ht="23.4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 spans="1:31" ht="23.4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 spans="1:31" ht="23.4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 spans="1:31" ht="23.4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 spans="1:31" ht="23.4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 spans="1:31" ht="23.4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 spans="1:31" ht="23.4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 spans="1:31" ht="23.4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 spans="1:31" ht="23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 spans="1:31" ht="23.4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 spans="1:31" ht="23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 spans="1:31" ht="23.4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 spans="1:31" ht="23.4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 spans="1:31" ht="23.4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 spans="1:31" ht="23.4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 spans="1:31" ht="23.4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 spans="1:31" ht="23.4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 spans="1:31" ht="23.4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 spans="1:31" ht="23.4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 spans="1:31" ht="23.4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 spans="1:31" ht="23.4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 spans="1:31" ht="23.4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 spans="1:31" ht="23.4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 spans="1:31" ht="23.4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 spans="1:31" ht="23.4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 spans="1:31" ht="23.4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 spans="1:31" ht="23.4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 spans="1:31" ht="23.4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 spans="1:31" ht="23.4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 spans="1:31" ht="23.4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 spans="1:31" ht="23.4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 spans="1:31" ht="23.4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 spans="1:31" ht="23.4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 spans="1:31" ht="23.4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 spans="1:31" ht="23.4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 spans="1:31" ht="23.4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 spans="1:31" ht="23.4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 spans="1:31" ht="23.4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 spans="1:31" ht="23.4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 spans="1:31" ht="23.4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 spans="1:31" ht="23.4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 spans="1:31" ht="23.4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 spans="1:31" ht="23.4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 spans="1:31" ht="23.4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 spans="1:31" ht="23.4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 spans="1:31" ht="23.4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 spans="1:31" ht="23.4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 spans="1:31" ht="23.4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 spans="1:31" ht="23.4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 spans="1:31" ht="23.4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 spans="1:31" ht="23.4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 spans="1:31" ht="23.4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 spans="1:31" ht="23.4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 spans="1:31" ht="23.4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 spans="1:31" ht="23.4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 spans="1:31" ht="23.4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 spans="1:31" ht="23.4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 spans="1:31" ht="23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 spans="1:31" ht="23.4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 spans="1:31" ht="23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 spans="1:31" ht="23.4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 spans="1:31" ht="23.4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 spans="1:31" ht="23.4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 spans="1:31" ht="23.4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 spans="1:31" ht="23.4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 spans="1:31" ht="23.4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 spans="1:31" ht="23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 spans="1:31" ht="23.4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 spans="1:31" ht="23.4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 spans="1:31" ht="23.4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 spans="1:31" ht="23.4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 spans="1:31" ht="23.4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 spans="1:31" ht="23.4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 spans="1:31" ht="23.4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 spans="1:31" ht="23.4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 spans="1:31" ht="23.4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 spans="1:31" ht="23.4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 spans="1:31" ht="23.4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 spans="1:31" ht="23.4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 spans="1:31" ht="23.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 spans="1:31" ht="23.4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 spans="1:31" ht="23.4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 spans="1:31" ht="23.4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 spans="1:31" ht="23.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 spans="1:31" ht="23.4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 spans="1:31" ht="23.4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 spans="1:31" ht="23.4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 spans="1:31" ht="23.4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 spans="1:31" ht="23.4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 spans="1:31" ht="23.4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 spans="1:31" ht="23.4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 spans="1:31" ht="23.4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 spans="1:31" ht="23.4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 spans="1:31" ht="23.4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 spans="1:31" ht="23.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 spans="1:31" ht="23.4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 spans="1:31" ht="23.4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 spans="1:31" ht="23.4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 spans="1:31" ht="23.4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 spans="1:31" ht="23.4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 spans="1:31" ht="23.4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 spans="1:31" ht="23.4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 spans="1:31" ht="23.4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 spans="1:31" ht="23.4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 spans="1:31" ht="23.4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 spans="1:31" ht="23.4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 spans="1:31" ht="23.4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 spans="1:31" ht="23.4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 spans="1:31" ht="23.4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 spans="1:31" ht="23.4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 spans="1:31" ht="23.4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 spans="1:31" ht="23.4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 spans="1:31" ht="23.4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 spans="1:31" ht="23.4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 spans="1:31" ht="23.4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 spans="1:31" ht="23.4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 spans="1:31" ht="23.4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 spans="1:31" ht="23.4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 spans="1:31" ht="23.4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 spans="1:31" ht="23.4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 spans="1:31" ht="23.4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 spans="1:31" ht="23.4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 spans="1:31" ht="23.4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 spans="1:31" ht="23.4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 spans="1:31" ht="23.4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 spans="1:31" ht="23.4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 spans="1:31" ht="23.4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 spans="1:31" ht="23.4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 spans="1:31" ht="23.4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 spans="1:31" ht="23.4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 spans="1:31" ht="23.4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 spans="1:31" ht="23.4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 spans="1:31" ht="23.4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 spans="1:31" ht="23.4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 spans="1:31" ht="23.4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 spans="1:31" ht="23.4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 spans="1:31" ht="23.4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 spans="1:31" ht="23.4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 spans="1:31" ht="23.4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 spans="1:31" ht="23.4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 spans="1:31" ht="23.4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 spans="1:31" ht="23.4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 spans="1:31" ht="23.4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 spans="1:31" ht="23.4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 spans="1:31" ht="23.4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 spans="1:31" ht="23.4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 spans="1:31" ht="23.4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 spans="1:31" ht="23.4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 spans="1:31" ht="23.4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 spans="1:31" ht="23.4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 spans="1:31" ht="23.4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 spans="1:31" ht="23.4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 spans="1:31" ht="23.4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 spans="1:31" ht="23.4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 spans="1:31" ht="23.4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 spans="1:31" ht="23.4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 spans="1:31" ht="23.4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 spans="1:31" ht="23.4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 spans="1:31" ht="23.4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 spans="1:31" ht="23.4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 spans="1:31" ht="23.4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 spans="1:31" ht="23.4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 spans="1:31" ht="23.4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 spans="1:31" ht="23.4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 spans="1:31" ht="23.4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 spans="1:31" ht="23.4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 spans="1:31" ht="23.4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 spans="1:31" ht="23.4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 spans="1:31" ht="23.4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 spans="1:31" ht="23.4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 spans="1:31" ht="23.4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 spans="1:31" ht="23.4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 spans="1:31" ht="23.4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 spans="1:31" ht="23.4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 spans="1:31" ht="23.4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 spans="1:31" ht="23.4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 spans="1:31" ht="23.4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 spans="1:31" ht="23.4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 spans="1:31" ht="23.4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 spans="1:31" ht="23.4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 spans="1:31" ht="23.4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 spans="1:31" ht="23.4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 spans="1:31" ht="23.4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 spans="1:31" ht="23.4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 spans="1:31" ht="23.4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 spans="1:31" ht="23.4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 spans="1:31" ht="23.4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 spans="1:31" ht="23.4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 spans="1:31" ht="23.4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 spans="1:31" ht="23.4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 spans="1:31" ht="23.4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 spans="1:31" ht="23.4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 spans="1:31" ht="23.4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 spans="1:31" ht="23.4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 spans="1:31" ht="23.4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 spans="1:31" ht="23.4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 spans="1:31" ht="23.4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 spans="1:31" ht="23.4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 spans="1:31" ht="23.4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 spans="1:31" ht="23.4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 spans="1:31" ht="23.4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 spans="1:31" ht="23.4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 spans="1:31" ht="23.4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 spans="1:31" ht="23.4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 spans="1:31" ht="23.4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 spans="1:31" ht="23.4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 spans="1:31" ht="23.4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 spans="1:31" ht="23.4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 spans="1:31" ht="23.4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 spans="1:31" ht="23.4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 spans="1:31" ht="23.4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 spans="1:31" ht="23.4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 spans="1:31" ht="23.4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 spans="1:31" ht="23.4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 spans="1:31" ht="23.4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 spans="1:31" ht="23.4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 spans="1:31" ht="23.4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 spans="1:31" ht="23.4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 spans="1:31" ht="23.4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 spans="1:31" ht="23.4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 spans="1:31" ht="23.4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 spans="1:31" ht="23.4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 spans="1:31" ht="23.4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 spans="1:31" ht="23.4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 spans="1:31" ht="23.4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 spans="1:31" ht="23.4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 spans="1:31" ht="23.4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 spans="1:31" ht="23.4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 spans="1:31" ht="23.4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 spans="1:31" ht="23.4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 spans="1:31" ht="23.4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 spans="1:31" ht="23.4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 spans="1:31" ht="23.4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 spans="1:31" ht="23.4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 spans="1:31" ht="23.4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 spans="1:31" ht="23.4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 spans="1:31" ht="23.4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 spans="1:31" ht="23.4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 spans="1:31" ht="23.4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 spans="1:31" ht="23.4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 spans="1:31" ht="23.4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 spans="1:31" ht="23.4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 spans="1:31" ht="23.4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 spans="1:31" ht="23.4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 spans="1:31" ht="23.4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 spans="1:31" ht="23.4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 spans="1:31" ht="23.4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 spans="1:31" ht="23.4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 spans="1:31" ht="23.4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 spans="1:31" ht="23.4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 spans="1:31" ht="23.4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 spans="1:31" ht="23.4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 spans="1:31" ht="23.4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 spans="1:31" ht="23.4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 spans="1:31" ht="23.4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 spans="1:31" ht="23.4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 spans="1:31" ht="23.4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 spans="1:31" ht="23.4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 spans="1:31" ht="23.4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 spans="1:31" ht="23.4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 spans="1:31" ht="23.4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 spans="1:31" ht="23.4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 spans="1:31" ht="23.4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 spans="1:31" ht="23.4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 spans="1:31" ht="23.4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 spans="1:31" ht="23.4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 spans="1:31" ht="23.4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 spans="1:31" ht="23.4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 spans="1:31" ht="23.4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 spans="1:31" ht="23.4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 spans="1:31" ht="23.4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 spans="1:31" ht="23.4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 spans="1:31" ht="23.4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 spans="1:31" ht="23.4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 spans="1:31" ht="23.4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 spans="1:31" ht="23.4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 spans="1:31" ht="23.4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 spans="1:31" ht="23.4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 spans="1:31" ht="23.4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 spans="1:31" ht="23.4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 spans="1:31" ht="23.4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 spans="1:31" ht="23.4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 spans="1:31" ht="23.4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 spans="1:31" ht="23.4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 spans="1:31" ht="23.4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 spans="1:31" ht="23.4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 spans="1:31" ht="23.4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 spans="1:31" ht="23.4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 spans="1:31" ht="23.4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 spans="1:31" ht="23.4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 spans="1:31" ht="23.4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 spans="1:31" ht="23.4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 spans="1:31" ht="23.4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 spans="1:31" ht="23.4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 spans="1:31" ht="23.4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 spans="1:31" ht="23.4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 spans="1:31" ht="23.4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 spans="1:31" ht="23.4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 spans="1:31" ht="23.4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 spans="1:31" ht="23.4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 spans="1:31" ht="23.4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 spans="1:31" ht="23.4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 spans="1:31" ht="23.4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 spans="1:31" ht="23.4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 spans="1:31" ht="23.4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 spans="1:31" ht="23.4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 spans="1:31" ht="23.4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 spans="1:31" ht="23.4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 spans="1:31" ht="23.4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 spans="1:31" ht="23.4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 spans="1:31" ht="23.4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 spans="1:31" ht="23.4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 spans="1:31" ht="23.4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 spans="1:31" ht="23.4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 spans="1:31" ht="23.4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 spans="1:31" ht="23.4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 spans="1:31" ht="23.4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 spans="1:31" ht="23.4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 spans="1:31" ht="23.4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 spans="1:31" ht="23.4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 spans="1:31" ht="23.4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 spans="1:31" ht="23.4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 spans="1:31" ht="23.4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 spans="1:31" ht="23.4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 spans="1:31" ht="23.4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 spans="1:31" ht="23.4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 spans="1:31" ht="23.4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 spans="1:31" ht="23.4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 spans="1:31" ht="23.4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 spans="1:31" ht="23.4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 spans="1:31" ht="23.4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 spans="1:31" ht="23.4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 spans="1:31" ht="23.4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 spans="1:31" ht="23.4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 spans="1:31" ht="23.4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 spans="1:31" ht="23.4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 spans="1:31" ht="23.4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 spans="1:31" ht="23.4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 spans="1:31" ht="23.4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 spans="1:31" ht="23.4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 spans="1:31" ht="23.4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 spans="1:31" ht="23.4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 spans="1:31" ht="23.4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 spans="1:31" ht="23.4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 spans="1:31" ht="23.4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 spans="1:31" ht="23.4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 spans="1:31" ht="23.4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 spans="1:31" ht="23.4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 spans="1:31" ht="23.4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 spans="1:31" ht="23.4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 spans="1:31" ht="23.4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 spans="1:31" ht="23.4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 spans="1:31" ht="23.4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 spans="1:31" ht="23.4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 spans="1:31" ht="23.4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 spans="1:31" ht="23.4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 spans="1:31" ht="23.4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 spans="1:31" ht="23.4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 spans="1:31" ht="23.4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 spans="1:31" ht="23.4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 spans="1:31" ht="23.4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 spans="1:31" ht="23.4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 spans="1:31" ht="23.4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 spans="1:31" ht="23.4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 spans="1:31" ht="23.4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 spans="1:31" ht="23.4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 spans="1:31" ht="23.4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 spans="1:31" ht="23.4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 spans="1:31" ht="23.4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 spans="1:31" ht="23.4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 spans="1:31" ht="23.4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 spans="1:31" ht="23.4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 spans="1:31" ht="23.4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 spans="1:31" ht="23.4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 spans="1:31" ht="23.4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 spans="1:31" ht="23.4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 spans="1:31" ht="23.4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 spans="1:31" ht="23.4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 spans="1:31" ht="23.4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 spans="1:31" ht="23.4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 spans="1:31" ht="23.4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 spans="1:31" ht="23.4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 spans="1:31" ht="23.4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 spans="1:31" ht="23.4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 spans="1:31" ht="23.4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 spans="1:31" ht="23.4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 spans="1:31" ht="23.4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 spans="1:31" ht="23.4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 spans="1:31" ht="23.4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 spans="1:31" ht="23.4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 spans="1:31" ht="23.4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 spans="1:31" ht="23.4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 spans="1:31" ht="23.4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 spans="1:31" ht="23.4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 spans="1:31" ht="23.4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 spans="1:31" ht="23.4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 spans="1:31" ht="23.4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 spans="1:31" ht="23.4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 spans="1:31" ht="23.4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 spans="1:31" ht="23.4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 spans="1:31" ht="23.4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 spans="1:31" ht="23.4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 spans="1:31" ht="23.4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 spans="1:31" ht="23.4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 spans="1:31" ht="23.4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 spans="1:31" ht="23.4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 spans="1:31" ht="23.4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 spans="1:31" ht="23.4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 spans="1:31" ht="23.4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 spans="1:31" ht="23.4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 spans="1:31" ht="23.4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 spans="1:31" ht="23.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 spans="1:31" ht="23.4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 spans="1:31" ht="23.4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 spans="1:31" ht="23.4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 spans="1:31" ht="23.4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 spans="1:31" ht="23.4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 spans="1:31" ht="23.4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 spans="1:31" ht="23.4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 spans="1:31" ht="23.4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 spans="1:31" ht="23.4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 spans="1:31" ht="23.4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 spans="1:31" ht="23.4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 spans="1:31" ht="23.4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 spans="1:31" ht="23.4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 spans="1:31" ht="23.4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 spans="1:31" ht="23.4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 spans="1:31" ht="23.4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 spans="1:31" ht="23.4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 spans="1:31" ht="23.4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 spans="1:31" ht="23.4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 spans="1:31" ht="23.4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 spans="1:31" ht="23.4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 spans="1:31" ht="23.4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 spans="1:31" ht="23.4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 spans="1:31" ht="23.4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 spans="1:31" ht="23.4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 spans="1:31" ht="23.4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 spans="1:31" ht="23.4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 spans="1:31" ht="23.4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 spans="1:31" ht="23.4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 spans="1:31" ht="23.4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 spans="1:31" ht="23.4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  <row r="994" spans="1:31" ht="23.4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</row>
    <row r="995" spans="1:31" ht="23.4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</row>
    <row r="996" spans="1:31" ht="23.4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</row>
    <row r="997" spans="1:31" ht="23.4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</row>
    <row r="998" spans="1:31" ht="23.4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</row>
    <row r="999" spans="1:31" ht="23.4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</row>
    <row r="1000" spans="1:31" ht="23.4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</row>
  </sheetData>
  <mergeCells count="3">
    <mergeCell ref="A2:A3"/>
    <mergeCell ref="B2:AC2"/>
    <mergeCell ref="AE2:AE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ออเดอร์จัดส่ง มี.ค. 69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dcterms:created xsi:type="dcterms:W3CDTF">2024-02-13T02:39:23Z</dcterms:created>
  <dcterms:modified xsi:type="dcterms:W3CDTF">2026-05-04T11:52:21Z</dcterms:modified>
</cp:coreProperties>
</file>