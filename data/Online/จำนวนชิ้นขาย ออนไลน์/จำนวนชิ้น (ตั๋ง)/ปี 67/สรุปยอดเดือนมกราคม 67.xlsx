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esktop\"/>
    </mc:Choice>
  </mc:AlternateContent>
  <xr:revisionPtr revIDLastSave="0" documentId="13_ncr:1_{7AF73761-D363-4829-A909-D7C44D5D9950}" xr6:coauthVersionLast="47" xr6:coauthVersionMax="47" xr10:uidLastSave="{00000000-0000-0000-0000-000000000000}"/>
  <bookViews>
    <workbookView xWindow="10890" yWindow="840" windowWidth="15660" windowHeight="12525" xr2:uid="{995AEACC-E732-46D8-902C-54E6CE0A4C5A}"/>
  </bookViews>
  <sheets>
    <sheet name="Sheet1" sheetId="1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114" i="15" l="1"/>
  <c r="AP115" i="15"/>
  <c r="AP116" i="15"/>
  <c r="AP117" i="15"/>
  <c r="AP118" i="15"/>
  <c r="AP119" i="15"/>
  <c r="AP120" i="15"/>
  <c r="AP121" i="15"/>
  <c r="AP122" i="15"/>
  <c r="AP113" i="15"/>
  <c r="AN92" i="15"/>
  <c r="AN93" i="15"/>
  <c r="AN94" i="15"/>
  <c r="AN95" i="15"/>
  <c r="AN96" i="15"/>
  <c r="AN97" i="15"/>
  <c r="AN98" i="15"/>
  <c r="AN99" i="15"/>
  <c r="AN100" i="15"/>
  <c r="AN91" i="15"/>
  <c r="AK217" i="15" l="1"/>
  <c r="AK216" i="15"/>
  <c r="AK215" i="15"/>
  <c r="AK214" i="15"/>
  <c r="AK213" i="15"/>
  <c r="AK212" i="15"/>
  <c r="AK211" i="15"/>
  <c r="AK210" i="15"/>
  <c r="AK209" i="15"/>
  <c r="AK208" i="15"/>
  <c r="AK207" i="15"/>
  <c r="AK206" i="15"/>
  <c r="AK205" i="15"/>
  <c r="AK204" i="15"/>
  <c r="AK203" i="15"/>
  <c r="AK202" i="15"/>
  <c r="AK201" i="15"/>
  <c r="AK200" i="15"/>
  <c r="AK199" i="15"/>
  <c r="AK198" i="15"/>
  <c r="AK197" i="15"/>
  <c r="AK196" i="15"/>
  <c r="AK195" i="15"/>
  <c r="AK194" i="15"/>
  <c r="AK193" i="15"/>
  <c r="AK192" i="15"/>
  <c r="AK191" i="15"/>
  <c r="AK190" i="15"/>
  <c r="AK189" i="15"/>
  <c r="AK188" i="15"/>
  <c r="AK187" i="15"/>
  <c r="AK186" i="15"/>
  <c r="AK185" i="15"/>
  <c r="AK184" i="15"/>
  <c r="AK183" i="15"/>
  <c r="AK182" i="15"/>
  <c r="AK181" i="15"/>
  <c r="AK180" i="15"/>
  <c r="AK179" i="15"/>
  <c r="AK178" i="15"/>
  <c r="AK177" i="15"/>
  <c r="AK176" i="15"/>
  <c r="AK175" i="15"/>
  <c r="AK174" i="15"/>
  <c r="AK173" i="15"/>
  <c r="AK172" i="15"/>
  <c r="AK171" i="15"/>
  <c r="AK170" i="15"/>
  <c r="AK169" i="15"/>
  <c r="AK168" i="15"/>
  <c r="AK167" i="15"/>
  <c r="AK166" i="15"/>
  <c r="AK165" i="15"/>
  <c r="AK164" i="15"/>
  <c r="AK163" i="15"/>
  <c r="AK162" i="15"/>
  <c r="AK161" i="15"/>
  <c r="AK160" i="15"/>
  <c r="AK159" i="15"/>
  <c r="AK158" i="15"/>
  <c r="AK157" i="15"/>
  <c r="AK156" i="15"/>
  <c r="AK155" i="15"/>
  <c r="AK154" i="15"/>
  <c r="AK153" i="15"/>
  <c r="AK152" i="15"/>
  <c r="AK151" i="15"/>
  <c r="AK150" i="15"/>
  <c r="AK148" i="15"/>
  <c r="AK147" i="15"/>
  <c r="AK146" i="15"/>
  <c r="AK145" i="15"/>
  <c r="AK143" i="15"/>
  <c r="AK142" i="15"/>
  <c r="AK141" i="15"/>
  <c r="AK140" i="15"/>
  <c r="AK139" i="15"/>
  <c r="AK138" i="15"/>
  <c r="AK137" i="15"/>
  <c r="AK136" i="15"/>
  <c r="AK135" i="15"/>
  <c r="AK133" i="15"/>
  <c r="AK132" i="15"/>
  <c r="AK131" i="15"/>
  <c r="AK130" i="15"/>
  <c r="AK129" i="15"/>
  <c r="AK128" i="15"/>
  <c r="AK127" i="15"/>
  <c r="AK126" i="15"/>
  <c r="AK125" i="15"/>
  <c r="AK124" i="15"/>
  <c r="AK122" i="15"/>
  <c r="AK121" i="15"/>
  <c r="AK120" i="15"/>
  <c r="AK119" i="15"/>
  <c r="AK118" i="15"/>
  <c r="AK117" i="15"/>
  <c r="AK116" i="15"/>
  <c r="AK115" i="15"/>
  <c r="AK114" i="15"/>
  <c r="AK113" i="15"/>
  <c r="AK111" i="15"/>
  <c r="AK110" i="15"/>
  <c r="AK109" i="15"/>
  <c r="AK108" i="15"/>
  <c r="AK107" i="15"/>
  <c r="AK106" i="15"/>
  <c r="AK105" i="15"/>
  <c r="AK104" i="15"/>
  <c r="AK103" i="15"/>
  <c r="AK102" i="15"/>
  <c r="AK100" i="15"/>
  <c r="AK99" i="15"/>
  <c r="AK98" i="15"/>
  <c r="AK97" i="15"/>
  <c r="AK96" i="15"/>
  <c r="AK95" i="15"/>
  <c r="AK94" i="15"/>
  <c r="AK93" i="15"/>
  <c r="AK92" i="15"/>
  <c r="AK91" i="15"/>
  <c r="AK89" i="15"/>
  <c r="AK88" i="15"/>
  <c r="AK87" i="15"/>
  <c r="AK86" i="15"/>
  <c r="AK85" i="15"/>
  <c r="AK84" i="15"/>
  <c r="AK83" i="15"/>
  <c r="AK82" i="15"/>
  <c r="AK81" i="15"/>
  <c r="AK79" i="15"/>
  <c r="AK78" i="15"/>
  <c r="AK77" i="15"/>
  <c r="AK76" i="15"/>
  <c r="AK75" i="15"/>
  <c r="AK74" i="15"/>
  <c r="AK73" i="15"/>
  <c r="AK72" i="15"/>
  <c r="AK70" i="15"/>
  <c r="AK69" i="15"/>
  <c r="AK68" i="15"/>
  <c r="AK67" i="15"/>
  <c r="AK66" i="15"/>
  <c r="AK65" i="15"/>
  <c r="AK64" i="15"/>
  <c r="AK63" i="15"/>
  <c r="AK62" i="15"/>
  <c r="AK61" i="15"/>
  <c r="AK60" i="15"/>
  <c r="AK59" i="15"/>
  <c r="AK58" i="15"/>
  <c r="AK57" i="15"/>
  <c r="AK56" i="15"/>
  <c r="AK55" i="15"/>
  <c r="AK54" i="15"/>
  <c r="AK53" i="15"/>
  <c r="AK52" i="15"/>
  <c r="AK51" i="15"/>
  <c r="AK50" i="15"/>
  <c r="AK49" i="15"/>
  <c r="AK48" i="15"/>
  <c r="AK47" i="15"/>
  <c r="AK46" i="15"/>
  <c r="AK45" i="15"/>
  <c r="AK44" i="15"/>
  <c r="AK43" i="15"/>
  <c r="AK42" i="15"/>
  <c r="AK41" i="15"/>
  <c r="AK40" i="15"/>
  <c r="AK39" i="15"/>
  <c r="AK38" i="15"/>
  <c r="AK37" i="15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K10" i="15"/>
  <c r="AK9" i="15"/>
  <c r="AK8" i="15"/>
  <c r="AK7" i="15"/>
  <c r="AK219" i="15" l="1"/>
</calcChain>
</file>

<file path=xl/sharedStrings.xml><?xml version="1.0" encoding="utf-8"?>
<sst xmlns="http://schemas.openxmlformats.org/spreadsheetml/2006/main" count="250" uniqueCount="176">
  <si>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</si>
  <si>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</si>
  <si>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</si>
  <si>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</si>
  <si>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</si>
  <si>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</si>
  <si>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</si>
  <si>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</si>
  <si>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</si>
  <si>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</si>
  <si>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สินค้า</t>
  </si>
  <si>
    <t>ชิฟฟอนรวมรส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</si>
  <si>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</si>
  <si>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</si>
  <si>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</si>
  <si>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</si>
  <si>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</si>
  <si>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</si>
  <si>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</si>
  <si>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</si>
  <si>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เบาหวิว ญ 300 กรัม</t>
  </si>
  <si>
    <t>ชิฟฟอนไส้แยม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</si>
  <si>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</si>
  <si>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</si>
  <si>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</si>
  <si>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</si>
  <si>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</si>
  <si>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</si>
  <si>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</si>
  <si>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</si>
  <si>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รหัสสินค้า</t>
  </si>
  <si>
    <t>อื่นๆ</t>
  </si>
  <si>
    <t xml:space="preserve">ชิฟฟอนรวมรส 8 ชิ้น  </t>
  </si>
  <si>
    <t>คอนเฟลค</t>
  </si>
  <si>
    <t xml:space="preserve">ชิฟฟอนรวมรส 4 ชิ้น  </t>
  </si>
  <si>
    <t>เมอแรงค์  กระปุก</t>
  </si>
  <si>
    <t>พายสับปรด 1  ชิ้น</t>
  </si>
  <si>
    <t>ท็อฟฟี่ถั่ว ครึ่งกิโล</t>
  </si>
  <si>
    <t>ท็อฟฟี่ถั่ว 1 กิโล</t>
  </si>
  <si>
    <t>(NP)ขนมเปี๊ยะอบเทียนไส้ถั่วไข่เค็ม (4 ลูก)</t>
  </si>
  <si>
    <t>ชิฟฟอน 8 ชิ้น มะลิ</t>
  </si>
  <si>
    <t>พายสับปรด 1  กล่อง</t>
  </si>
  <si>
    <t>ชิฟฟอนไส้แยม วนิลา/ใบเตย/เมล่อน</t>
  </si>
  <si>
    <t>ปังเนยนิ่มถุง</t>
  </si>
  <si>
    <t>ชิฟฟอนแยกชิ้น กาแฟ</t>
  </si>
  <si>
    <t>ชิฟฟอนแยกชิ้น ใบเตย</t>
  </si>
  <si>
    <t>ชิฟฟอนแยกชิ้น กล้วยหอม</t>
  </si>
  <si>
    <t>ชิฟฟอนแยกชิ้น เผือก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</si>
  <si>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</si>
  <si>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</si>
  <si>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</si>
  <si>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สับปะรด</t>
  </si>
  <si>
    <t>ชิฟฟอนแยกชิ้น สตอเบอรี่</t>
  </si>
  <si>
    <t>ชิฟฟอน 8 ชิ้น กาแฟล้วน</t>
  </si>
  <si>
    <t>ชิฟฟอนแยกชิ้น มะพร้าว</t>
  </si>
  <si>
    <t>ชิฟฟอนแยกชิ้น บลูเบอรี่</t>
  </si>
  <si>
    <t>ชิฟฟอนแยกชิ้น ชาเขียว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</si>
  <si>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</si>
  <si>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</si>
  <si>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</si>
  <si>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</si>
  <si>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</si>
  <si>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ใบเตยล้วน</t>
  </si>
  <si>
    <t>ชิฟฟอน 8 ชิ้น เผือกล้วน</t>
  </si>
  <si>
    <t>ชิฟฟอน 8 ชิ้น โกโก้ล้วน</t>
  </si>
  <si>
    <t>ชิฟฟอนแยกชิ้น เนย</t>
  </si>
  <si>
    <t>ชิฟฟอน 8 ชิ้น สับปะรดล้วน</t>
  </si>
  <si>
    <t>ชิฟฟอน 8 ชิ้น ชาไทยล้วน</t>
  </si>
  <si>
    <t>ชิฟฟอน 8 ชิ้น ชาเขียวล้วน</t>
  </si>
  <si>
    <t>ชิฟฟอน 8 ชิ้น กล้วยหอม</t>
  </si>
  <si>
    <t>ขนมเปี๊ยะฟักถั่วไข่เค็ม 350 กรัม</t>
  </si>
  <si>
    <t>ขนมเปี๊ยะเผือกฝอยทองไข่เค็ม 350 กรัม</t>
  </si>
  <si>
    <t>ขนมเปี๊ยะถั่วฝอยทองไข่เค็ม 350 กรัม</t>
  </si>
  <si>
    <t>ขนมเปี๊ยะงาดำฝอยทองไข่เค็ม 350 กรัม</t>
  </si>
  <si>
    <t>ขนมเปี๊ยะถั่วฝอยทองไข่เค็ม 700 กรัม</t>
  </si>
  <si>
    <t>ขนมเปี๊ยะฟักถั่วไข่เค็ม 700 กรัม</t>
  </si>
  <si>
    <t>ขนมเปี๊ยะเผือกฝอยทองไข่เค็ม 700 กรัม</t>
  </si>
  <si>
    <t>ขนมเปี๊ยะงาดำฝอยทองไข่เค็ม 700 กรัม</t>
  </si>
  <si>
    <t>ขนมเปี๊ยะโมจิถั่วฝอยทองไข่เค็ม 350 กรัม</t>
  </si>
  <si>
    <t>ขนมเปี๊ยะโมจิฟักถั่วไข่เค็ม 350 กรัม</t>
  </si>
  <si>
    <t>ขนมเปี๊ยะโมจิเผือกฝอยทองไข่เค็ม 350 กรัม</t>
  </si>
  <si>
    <t>ขนมเปี๊ยะโมจิถั่วฝอยทองไข่เค็ม 700 กรัม</t>
  </si>
  <si>
    <t>ขนมเปี๊ยะโมจิฟักถั่วไข่เค็ม 700 กรัม</t>
  </si>
  <si>
    <t>ขนมเปี๊ยะโมจิเผือกฝอยทองไข่เค็ม 700 กรัม</t>
  </si>
  <si>
    <t>ชิฟฟอนไส้แยมแยกชิ้น มะพร้าว</t>
  </si>
  <si>
    <t>คุกกี้เนยสด(กระปุก 9 ชิ้น)</t>
  </si>
  <si>
    <t>ชิฟฟอนแยกชิ้น ทุเรียน</t>
  </si>
  <si>
    <t>ชิฟฟอนแยกชิ้น ตาล</t>
  </si>
  <si>
    <t>ชิฟฟอน 8 ชิ้น ตาลล้วน</t>
  </si>
  <si>
    <t>ชิฟฟอน 8 ชิ้น ทุเรียนล้วน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</si>
  <si>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</si>
  <si>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</si>
  <si>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</si>
  <si>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</si>
  <si>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</si>
  <si>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</si>
  <si>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เมอแรงค์ ถุง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</si>
  <si>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</si>
  <si>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</si>
  <si>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</si>
  <si>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ชิฟฟอนแยกชิ้น เมล่อน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</si>
  <si>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</si>
  <si>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</si>
  <si>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</si>
  <si>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ปังไส้แยมสตอบลู</t>
  </si>
  <si>
    <t>ครีมฮอร์นไส้เนย ชอค</t>
  </si>
  <si>
    <t>ปังทวิสต์ชอคโกแลต</t>
  </si>
  <si>
    <t>ขนมปังหั่นสไลด์</t>
  </si>
  <si>
    <t>ปังหน้าเนยน้ำตาล</t>
  </si>
  <si>
    <t>ปังเนยนิ่ม กล่อง 3 ชิ้น</t>
  </si>
  <si>
    <t>ไดฟุกุไส้ชอกโกแลตนูเทลล่า</t>
  </si>
  <si>
    <t>ชิฟฟอน 8 ชิ้น รวมรสยอดฮิต</t>
  </si>
  <si>
    <t>ขนมปังไก่หยองน้ำสลัด</t>
  </si>
  <si>
    <t>เปี๊ยะลาวาไข่เค็ม</t>
  </si>
  <si>
    <t>ชิฟฟอนแยกชิ้น ฝอยทอง</t>
  </si>
  <si>
    <t>ชิฟฟอนไส้แยมรวมรส 3 ชิ้น</t>
  </si>
  <si>
    <t>ปังเนยนิ่ม กล่อง 2 ชิ้น</t>
  </si>
  <si>
    <t>กล่องเปล่าชิฟอน ญ</t>
  </si>
  <si>
    <t>ปังเลเยอร์</t>
  </si>
  <si>
    <t>ครีมฮอร์นฝอยทอง วนิลา</t>
  </si>
  <si>
    <t>เปี๊ยะสติ๊กไก่หยอง(กล่อง)</t>
  </si>
  <si>
    <t>ครีมฮอร์นฝอยทอง ใบเตย</t>
  </si>
  <si>
    <t>ครีมฮอร์นฝอยทอง ชอคโกแลต</t>
  </si>
  <si>
    <t>ปังไก่หยอง 5 ลูก (แบบกล่อง)</t>
  </si>
  <si>
    <t>ปังลูกเกด 5 ลูก (แบบกล่อง)</t>
  </si>
  <si>
    <t>ปังฝอยทอง 5 ลูก (แบบกล่อง)</t>
  </si>
  <si>
    <t>เปี๊ยะมินิ (แบบชิ้น)</t>
  </si>
  <si>
    <t>ทอฟฟี่ถั่ว กระปุก</t>
  </si>
  <si>
    <t>ทอฟฟี่ถั่ว กล่อง</t>
  </si>
  <si>
    <t>ทอฟฟี่ถั่ว กระเช้า</t>
  </si>
  <si>
    <t>ขนมDIY1กล่อง 6 ชิ้น</t>
  </si>
  <si>
    <t>ขนมDIY1กล่อง 12 ชิ้น</t>
  </si>
  <si>
    <t>ขนมDIY1กล่อง 2 ชิ้น แบบครึ่งปอนด์</t>
  </si>
  <si>
    <t>ครีมฮอร์นจัมโบ้ กล่อง 1 ชิ้น รสวนิลา</t>
  </si>
  <si>
    <t>ครีมฮอร์นจัมโบ้ กล่อง 1 ชิ้น รสใบเตย</t>
  </si>
  <si>
    <t>ครีมฮอร์นจัมโบ้ กล่อง 1 ชิ้น รสชอคโกแลต</t>
  </si>
  <si>
    <t>ครีมฮอร์นจัมโบ้ กล่อง 1 ชิ้น รสสตอเบอรี่</t>
  </si>
  <si>
    <t>ครีมฮอร์นจัมโบ้ กล่อง 1 ชิ้น รสโอรีโอ้</t>
  </si>
  <si>
    <t>ครีมฮอร์นจัมโบ้ กล่อง 1 ชิ้น รสมินท์</t>
  </si>
  <si>
    <t>ครีมฮอร์นจัมโบ้ กล่อง 1 ชิ้น รสบลูเบอรี่</t>
  </si>
  <si>
    <t>ครีมฮอร์นฝอยทองจัมโบ้ วนิลา</t>
  </si>
  <si>
    <t>ครีมฮอร์นฝอยทองจัมโบ้ ใบเตย</t>
  </si>
  <si>
    <t>ครีมฮอร์นฝอยทองจัมโบ้ ชอคโกแลต</t>
  </si>
  <si>
    <t>ครีมฮอร์นฝอยทองจัมโบ้ แป้งเหลือง</t>
  </si>
  <si>
    <t>ครีมฮอร์นฝอยทองจัมโบ้ คละรส</t>
  </si>
  <si>
    <t>ยอดรวมผลิต</t>
  </si>
  <si>
    <t>จำนวน</t>
  </si>
  <si>
    <t>(กล่อง)</t>
  </si>
  <si>
    <t>ชิฟฟอน 8 ชิ้น รวมรสยอดฮิต - เมล่อนล้วน</t>
  </si>
  <si>
    <t>ชิฟฟอน 8 ชิ้น รวมรสยอดฮิต - ชีสเค้กล้วน</t>
  </si>
  <si>
    <t>ชิฟฟอน 8 ชิ้น รวมรสยอดฮิต - มัลเบอรี่ล้วน</t>
  </si>
  <si>
    <t>ชิฟฟอน 8 ชิ้น รวมรสยอดฮิต - น้ำผึ้งล้วน</t>
  </si>
  <si>
    <t>ชิฟฟอน 4 ชิ้น  โกโก้ล้วน</t>
  </si>
  <si>
    <t>ชิฟฟอน 4 ชิ้น  มะพร้าวล้วน</t>
  </si>
  <si>
    <t>ชิฟฟอน 4 ชิ้น  เนยล้วน</t>
  </si>
  <si>
    <t>ชิฟฟอน 4 ชิ้น  กาแฟล้วน</t>
  </si>
  <si>
    <t>ชิฟฟอน 4 ชิ้น  ใบเตยล้วน</t>
  </si>
  <si>
    <t>ชิฟฟอน 4 ชิ้น  บลูเบอร์รี่ล้วน</t>
  </si>
  <si>
    <t>ชิฟฟอน 4 ชิ้น  ส้มล้วน</t>
  </si>
  <si>
    <t>ชิฟฟอน 4 ชิ้น มะพร้าวล้วน</t>
  </si>
  <si>
    <t>ชิฟฟอน 4 ชิ้น เผือกล้วน</t>
  </si>
  <si>
    <t>ชิฟฟอน 4 ชิ้น  สตอเบอรี่ล้วน</t>
  </si>
  <si>
    <t>ชิฟฟอน 4 ชิ้น  กล้วยหอมล้วน</t>
  </si>
  <si>
    <t>ชิฟฟอนแยกชิ้น คละรส</t>
  </si>
  <si>
    <t>ชิฟฟอนไส้แยมแยกชิ้น คละรส</t>
  </si>
  <si>
    <t>เบาหวิว คละรส</t>
  </si>
  <si>
    <t>โบราณ DIY.</t>
  </si>
  <si>
    <t>ขนมลายการ์ตูนกระทงปลา คละแบบ</t>
  </si>
  <si>
    <t>เบาหวิว ล 110 กรัม กล่องตรุษจีน</t>
  </si>
  <si>
    <t>เบาหวิว ญ 300 กรัม กล่องตรุษจีน</t>
  </si>
  <si>
    <t>เบาหวิว ญ 300 กรัม - ห่อกระดาษ</t>
  </si>
  <si>
    <t>เบาหวิว ญ กล่องอาหมวย 8 ชิ้น ห่อซีน</t>
  </si>
  <si>
    <t>เปี๊ยะ คละรส</t>
  </si>
  <si>
    <t xml:space="preserve">                                     ยอดออนไลน์ ปณ ชอปปี้ ลาซาด้า ติ๊กตอก  เดือน มกราคม 2567</t>
  </si>
  <si>
    <t>วันที่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</si>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</sst>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scheme val="minor"/>
    </font>
    <font>
      <sz val="18"/>
      <color rgb="FFFF0000"/>
      <name val="Tahoma"/>
      <family val="2"/>
      <scheme val="minor"/>
    </font>
    <font>
      <sz val="14"/>
      <color theme="1"/>
      <name val="Tahoma"/>
      <family val="2"/>
      <scheme val="minor"/>
    </font>
    <font>
      <sz val="20"/>
      <color theme="1"/>
      <name val="Tahoma"/>
      <family val="2"/>
      <scheme val="minor"/>
    </font>
    <font>
      <sz val="20"/>
      <name val="Tahoma"/>
      <family val="2"/>
      <scheme val="minor"/>
    </font>
    <font>
      <sz val="20"/>
      <color rgb="FFFF0000"/>
      <name val="Tahoma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3" fillId="0" borderId="2" xfId="0" applyNumberFormat="1" applyFont="1" applyBorder="1" applyAlignment="1">
      <alignment vertical="center"/>
    </xf>
    <xf numFmtId="14" fontId="3" fillId="0" borderId="3" xfId="0" applyNumberFormat="1" applyFont="1" applyBorder="1" applyAlignment="1">
      <alignment vertical="center"/>
    </xf>
    <xf numFmtId="14" fontId="3" fillId="0" borderId="4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66FFFF"/>
      <color rgb="FFCC99FF"/>
      <color rgb="FF9999FF"/>
      <color rgb="FF6600FF"/>
      <color rgb="FFFF5050"/>
      <color rgb="FFF6B5B0"/>
      <color rgb="FF66FF99"/>
      <color rgb="FF52AE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3BA6-CD76-4A81-8998-F856DBA8F68D}">
  <dimension ref="B1:AP849"/>
  <sheetViews>
    <sheetView tabSelected="1" topLeftCell="A181" zoomScale="70" zoomScaleNormal="70" workbookViewId="0">
      <selection activeCell="AK190" sqref="AK190:AK199"/>
    </sheetView>
  </sheetViews>
  <sheetFormatPr defaultRowHeight="22.5" x14ac:dyDescent="0.2"/>
  <cols>
    <col min="1" max="1" width="9" style="12"/>
    <col min="2" max="2" width="22.125" style="2" customWidth="1"/>
    <col min="3" max="3" width="66.125" style="2" customWidth="1"/>
    <col min="4" max="36" width="9.25" style="13" hidden="1" customWidth="1"/>
    <col min="37" max="37" width="28.25" style="7" customWidth="1"/>
    <col min="38" max="16384" width="9" style="12"/>
  </cols>
  <sheetData>
    <row r="1" spans="2:37" ht="69.75" customHeight="1" x14ac:dyDescent="0.2">
      <c r="B1" s="23" t="s">
        <v>173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5"/>
    </row>
    <row r="2" spans="2:37" x14ac:dyDescent="0.2">
      <c r="B2" s="29"/>
      <c r="C2" s="29"/>
      <c r="D2" s="14"/>
      <c r="E2" s="17"/>
      <c r="F2" s="17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6" t="s">
        <v>145</v>
      </c>
    </row>
    <row r="3" spans="2:37" x14ac:dyDescent="0.2">
      <c r="B3" s="29"/>
      <c r="C3" s="29"/>
      <c r="D3" s="14"/>
      <c r="E3" s="17"/>
      <c r="F3" s="17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6" t="s">
        <v>146</v>
      </c>
    </row>
    <row r="4" spans="2:37" x14ac:dyDescent="0.2">
      <c r="B4" s="1" t="s">
        <v>30</v>
      </c>
      <c r="C4" s="1" t="s">
        <v>10</v>
      </c>
      <c r="E4" s="13" t="s">
        <v>174</v>
      </c>
      <c r="F4" s="13" t="s">
        <v>174</v>
      </c>
      <c r="G4" s="13" t="s">
        <v>174</v>
      </c>
      <c r="H4" s="13" t="s">
        <v>174</v>
      </c>
      <c r="I4" s="13" t="s">
        <v>174</v>
      </c>
      <c r="J4" s="13" t="s">
        <v>174</v>
      </c>
      <c r="K4" s="13" t="s">
        <v>174</v>
      </c>
      <c r="L4" s="13" t="s">
        <v>174</v>
      </c>
      <c r="M4" s="13" t="s">
        <v>174</v>
      </c>
      <c r="N4" s="13" t="s">
        <v>174</v>
      </c>
      <c r="O4" s="13" t="s">
        <v>174</v>
      </c>
      <c r="P4" s="13" t="s">
        <v>174</v>
      </c>
      <c r="Q4" s="13" t="s">
        <v>174</v>
      </c>
      <c r="R4" s="13" t="s">
        <v>174</v>
      </c>
      <c r="S4" s="13" t="s">
        <v>174</v>
      </c>
      <c r="T4" s="13" t="s">
        <v>174</v>
      </c>
      <c r="U4" s="13" t="s">
        <v>174</v>
      </c>
      <c r="V4" s="13" t="s">
        <v>174</v>
      </c>
      <c r="W4" s="13" t="s">
        <v>174</v>
      </c>
      <c r="X4" s="13" t="s">
        <v>174</v>
      </c>
      <c r="Y4" s="13" t="s">
        <v>174</v>
      </c>
      <c r="Z4" s="13" t="s">
        <v>174</v>
      </c>
      <c r="AA4" s="13" t="s">
        <v>174</v>
      </c>
      <c r="AB4" s="13" t="s">
        <v>174</v>
      </c>
      <c r="AC4" s="13" t="s">
        <v>174</v>
      </c>
      <c r="AD4" s="13" t="s">
        <v>174</v>
      </c>
      <c r="AE4" s="13" t="s">
        <v>174</v>
      </c>
      <c r="AF4" s="13" t="s">
        <v>174</v>
      </c>
      <c r="AG4" s="13" t="s">
        <v>174</v>
      </c>
      <c r="AH4" s="13" t="s">
        <v>174</v>
      </c>
      <c r="AI4" s="13" t="s">
        <v>174</v>
      </c>
      <c r="AK4" s="16" t="s">
        <v>147</v>
      </c>
    </row>
    <row r="5" spans="2:37" x14ac:dyDescent="0.2">
      <c r="E5" s="13">
        <v>1</v>
      </c>
      <c r="F5" s="13">
        <v>2</v>
      </c>
      <c r="G5" s="13">
        <v>3</v>
      </c>
      <c r="H5" s="13">
        <v>4</v>
      </c>
      <c r="I5" s="13">
        <v>5</v>
      </c>
      <c r="J5" s="13">
        <v>6</v>
      </c>
      <c r="K5" s="13">
        <v>7</v>
      </c>
      <c r="L5" s="13">
        <v>8</v>
      </c>
      <c r="M5" s="13">
        <v>9</v>
      </c>
      <c r="N5" s="13">
        <v>10</v>
      </c>
      <c r="O5" s="13">
        <v>11</v>
      </c>
      <c r="P5" s="13">
        <v>12</v>
      </c>
      <c r="Q5" s="13">
        <v>13</v>
      </c>
      <c r="R5" s="13">
        <v>14</v>
      </c>
      <c r="S5" s="13">
        <v>15</v>
      </c>
      <c r="T5" s="13">
        <v>16</v>
      </c>
      <c r="U5" s="13">
        <v>17</v>
      </c>
      <c r="V5" s="13">
        <v>18</v>
      </c>
      <c r="W5" s="13">
        <v>19</v>
      </c>
      <c r="X5" s="13">
        <v>20</v>
      </c>
      <c r="Y5" s="13">
        <v>21</v>
      </c>
      <c r="Z5" s="13">
        <v>22</v>
      </c>
      <c r="AA5" s="13">
        <v>23</v>
      </c>
      <c r="AB5" s="13">
        <v>24</v>
      </c>
      <c r="AC5" s="13">
        <v>25</v>
      </c>
      <c r="AD5" s="13">
        <v>26</v>
      </c>
      <c r="AE5" s="13">
        <v>27</v>
      </c>
      <c r="AF5" s="13">
        <v>28</v>
      </c>
      <c r="AG5" s="13">
        <v>29</v>
      </c>
      <c r="AH5" s="13">
        <v>30</v>
      </c>
      <c r="AI5" s="13">
        <v>31</v>
      </c>
    </row>
    <row r="6" spans="2:37" ht="19.5" x14ac:dyDescent="0.2">
      <c r="B6" s="30" t="s">
        <v>11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</row>
    <row r="7" spans="2:37" x14ac:dyDescent="0.2">
      <c r="B7" s="2">
        <v>1111002</v>
      </c>
      <c r="C7" s="3" t="s">
        <v>32</v>
      </c>
      <c r="D7" s="9"/>
      <c r="E7" s="13">
        <v>560</v>
      </c>
      <c r="F7" s="13">
        <v>407</v>
      </c>
      <c r="G7" s="13">
        <v>640</v>
      </c>
      <c r="H7" s="13">
        <v>491</v>
      </c>
      <c r="I7" s="13">
        <v>757</v>
      </c>
      <c r="J7" s="13">
        <v>297</v>
      </c>
      <c r="K7" s="13">
        <v>416</v>
      </c>
      <c r="L7" s="13">
        <v>302</v>
      </c>
      <c r="M7" s="13">
        <v>393</v>
      </c>
      <c r="N7" s="13">
        <v>347</v>
      </c>
      <c r="O7" s="13">
        <v>294</v>
      </c>
      <c r="P7" s="13">
        <v>227</v>
      </c>
      <c r="Q7" s="13">
        <v>243</v>
      </c>
      <c r="R7" s="13">
        <v>147</v>
      </c>
      <c r="S7" s="13">
        <v>275</v>
      </c>
      <c r="T7" s="13">
        <v>183</v>
      </c>
      <c r="U7" s="13">
        <v>249</v>
      </c>
      <c r="V7" s="13">
        <v>156</v>
      </c>
      <c r="W7" s="13">
        <v>122</v>
      </c>
      <c r="X7" s="13">
        <v>156</v>
      </c>
      <c r="Y7" s="13">
        <v>175</v>
      </c>
      <c r="Z7" s="13">
        <v>141</v>
      </c>
      <c r="AA7" s="13">
        <v>147</v>
      </c>
      <c r="AB7" s="13">
        <v>463</v>
      </c>
      <c r="AD7" s="13">
        <v>458</v>
      </c>
      <c r="AE7" s="13">
        <v>202</v>
      </c>
      <c r="AF7" s="13">
        <v>189</v>
      </c>
      <c r="AG7" s="13">
        <v>103</v>
      </c>
      <c r="AH7" s="13">
        <v>151</v>
      </c>
      <c r="AI7" s="13">
        <v>142</v>
      </c>
      <c r="AK7" s="7">
        <f>SUM(D7:AJ7)</f>
        <v>8833</v>
      </c>
    </row>
    <row r="8" spans="2:37" x14ac:dyDescent="0.2">
      <c r="B8" s="2">
        <v>1111002</v>
      </c>
      <c r="C8" s="3" t="s">
        <v>53</v>
      </c>
      <c r="D8" s="9"/>
      <c r="E8" s="13">
        <v>0</v>
      </c>
      <c r="F8" s="13">
        <v>0</v>
      </c>
      <c r="G8" s="13">
        <v>0</v>
      </c>
      <c r="H8" s="13">
        <v>2</v>
      </c>
      <c r="I8" s="13">
        <v>1</v>
      </c>
      <c r="J8" s="13">
        <v>12</v>
      </c>
      <c r="K8" s="13">
        <v>2</v>
      </c>
      <c r="L8" s="13">
        <v>2</v>
      </c>
      <c r="M8" s="13">
        <v>0</v>
      </c>
      <c r="N8" s="13">
        <v>3</v>
      </c>
      <c r="O8" s="13">
        <v>4</v>
      </c>
      <c r="P8" s="13">
        <v>2</v>
      </c>
      <c r="Q8" s="13">
        <v>0</v>
      </c>
      <c r="R8" s="13">
        <v>0</v>
      </c>
      <c r="S8" s="13">
        <v>1</v>
      </c>
      <c r="T8" s="13">
        <v>3</v>
      </c>
      <c r="U8" s="13">
        <v>1</v>
      </c>
      <c r="V8" s="13">
        <v>2</v>
      </c>
      <c r="W8" s="13">
        <v>3</v>
      </c>
      <c r="X8" s="13">
        <v>0</v>
      </c>
      <c r="Y8" s="13">
        <v>4</v>
      </c>
      <c r="Z8" s="13">
        <v>0</v>
      </c>
      <c r="AA8" s="13">
        <v>0</v>
      </c>
      <c r="AB8" s="13">
        <v>0</v>
      </c>
      <c r="AD8" s="13">
        <v>5</v>
      </c>
      <c r="AE8" s="13">
        <v>1</v>
      </c>
      <c r="AF8" s="13">
        <v>0</v>
      </c>
      <c r="AG8" s="13">
        <v>1</v>
      </c>
      <c r="AH8" s="13">
        <v>1</v>
      </c>
      <c r="AI8" s="13">
        <v>1</v>
      </c>
      <c r="AK8" s="7">
        <f t="shared" ref="AK8:AK70" si="0">SUM(D8:AJ8)</f>
        <v>51</v>
      </c>
    </row>
    <row r="9" spans="2:37" x14ac:dyDescent="0.2">
      <c r="B9" s="2">
        <v>1111002</v>
      </c>
      <c r="C9" s="3" t="s">
        <v>57</v>
      </c>
      <c r="D9" s="9"/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1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1</v>
      </c>
      <c r="AK9" s="7">
        <f t="shared" si="0"/>
        <v>2</v>
      </c>
    </row>
    <row r="10" spans="2:37" x14ac:dyDescent="0.2">
      <c r="B10" s="2">
        <v>1111002</v>
      </c>
      <c r="C10" s="3" t="s">
        <v>58</v>
      </c>
      <c r="D10" s="9"/>
      <c r="E10" s="13">
        <v>1</v>
      </c>
      <c r="F10" s="13">
        <v>1</v>
      </c>
      <c r="G10" s="13">
        <v>0</v>
      </c>
      <c r="H10" s="13">
        <v>2</v>
      </c>
      <c r="I10" s="13">
        <v>0</v>
      </c>
      <c r="J10" s="13">
        <v>4</v>
      </c>
      <c r="K10" s="13">
        <v>3</v>
      </c>
      <c r="L10" s="13">
        <v>2</v>
      </c>
      <c r="M10" s="13">
        <v>2</v>
      </c>
      <c r="N10" s="13">
        <v>10</v>
      </c>
      <c r="O10" s="13">
        <v>0</v>
      </c>
      <c r="P10" s="13">
        <v>2</v>
      </c>
      <c r="Q10" s="13">
        <v>0</v>
      </c>
      <c r="R10" s="13">
        <v>0</v>
      </c>
      <c r="S10" s="13">
        <v>1</v>
      </c>
      <c r="T10" s="13">
        <v>1</v>
      </c>
      <c r="U10" s="13">
        <v>0</v>
      </c>
      <c r="V10" s="13">
        <v>0</v>
      </c>
      <c r="W10" s="13">
        <v>1</v>
      </c>
      <c r="X10" s="13">
        <v>0</v>
      </c>
      <c r="Y10" s="13">
        <v>0</v>
      </c>
      <c r="Z10" s="13">
        <v>0</v>
      </c>
      <c r="AA10" s="13">
        <v>1</v>
      </c>
      <c r="AB10" s="13">
        <v>2</v>
      </c>
      <c r="AD10" s="13">
        <v>2</v>
      </c>
      <c r="AE10" s="13">
        <v>3</v>
      </c>
      <c r="AF10" s="13">
        <v>1</v>
      </c>
      <c r="AG10" s="13">
        <v>0</v>
      </c>
      <c r="AH10" s="13">
        <v>0</v>
      </c>
      <c r="AI10" s="13">
        <v>0</v>
      </c>
      <c r="AK10" s="7">
        <f t="shared" si="0"/>
        <v>39</v>
      </c>
    </row>
    <row r="11" spans="2:37" x14ac:dyDescent="0.2">
      <c r="B11" s="2">
        <v>1111002</v>
      </c>
      <c r="C11" s="3" t="s">
        <v>59</v>
      </c>
      <c r="D11" s="9"/>
      <c r="E11" s="13">
        <v>0</v>
      </c>
      <c r="F11" s="13">
        <v>1</v>
      </c>
      <c r="G11" s="13">
        <v>0</v>
      </c>
      <c r="H11" s="13">
        <v>1</v>
      </c>
      <c r="I11" s="13">
        <v>0</v>
      </c>
      <c r="J11" s="13">
        <v>1</v>
      </c>
      <c r="K11" s="13">
        <v>1</v>
      </c>
      <c r="L11" s="13">
        <v>0</v>
      </c>
      <c r="M11" s="13">
        <v>1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1</v>
      </c>
      <c r="Y11" s="13">
        <v>0</v>
      </c>
      <c r="Z11" s="13">
        <v>0</v>
      </c>
      <c r="AA11" s="13">
        <v>0</v>
      </c>
      <c r="AB11" s="13">
        <v>0</v>
      </c>
      <c r="AD11" s="13">
        <v>2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K11" s="7">
        <f t="shared" si="0"/>
        <v>8</v>
      </c>
    </row>
    <row r="12" spans="2:37" x14ac:dyDescent="0.2">
      <c r="B12" s="2">
        <v>1111002</v>
      </c>
      <c r="C12" s="3" t="s">
        <v>60</v>
      </c>
      <c r="D12" s="9"/>
      <c r="E12" s="13">
        <v>0</v>
      </c>
      <c r="F12" s="13">
        <v>0</v>
      </c>
      <c r="G12" s="13">
        <v>0</v>
      </c>
      <c r="H12" s="13">
        <v>3</v>
      </c>
      <c r="I12" s="13">
        <v>0</v>
      </c>
      <c r="J12" s="13">
        <v>1</v>
      </c>
      <c r="K12" s="13">
        <v>3</v>
      </c>
      <c r="L12" s="13">
        <v>3</v>
      </c>
      <c r="M12" s="13">
        <v>0</v>
      </c>
      <c r="N12" s="13">
        <v>3</v>
      </c>
      <c r="O12" s="13">
        <v>2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1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D12" s="13">
        <v>2</v>
      </c>
      <c r="AE12" s="13">
        <v>0</v>
      </c>
      <c r="AF12" s="13">
        <v>0</v>
      </c>
      <c r="AG12" s="13">
        <v>1</v>
      </c>
      <c r="AH12" s="13">
        <v>1</v>
      </c>
      <c r="AI12" s="13">
        <v>0</v>
      </c>
      <c r="AK12" s="7">
        <f t="shared" si="0"/>
        <v>20</v>
      </c>
    </row>
    <row r="13" spans="2:37" x14ac:dyDescent="0.2">
      <c r="B13" s="2">
        <v>1111002</v>
      </c>
      <c r="C13" s="3" t="s">
        <v>61</v>
      </c>
      <c r="D13" s="9"/>
      <c r="E13" s="13">
        <v>1</v>
      </c>
      <c r="F13" s="13">
        <v>0</v>
      </c>
      <c r="G13" s="13">
        <v>1</v>
      </c>
      <c r="H13" s="13">
        <v>0</v>
      </c>
      <c r="I13" s="13">
        <v>0</v>
      </c>
      <c r="J13" s="13">
        <v>4</v>
      </c>
      <c r="K13" s="13">
        <v>0</v>
      </c>
      <c r="L13" s="13">
        <v>1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2</v>
      </c>
      <c r="S13" s="13">
        <v>0</v>
      </c>
      <c r="T13" s="13">
        <v>0</v>
      </c>
      <c r="U13" s="13">
        <v>0</v>
      </c>
      <c r="V13" s="13">
        <v>0</v>
      </c>
      <c r="W13" s="13">
        <v>1</v>
      </c>
      <c r="X13" s="13">
        <v>1</v>
      </c>
      <c r="Y13" s="13">
        <v>1</v>
      </c>
      <c r="Z13" s="13">
        <v>0</v>
      </c>
      <c r="AA13" s="13">
        <v>0</v>
      </c>
      <c r="AB13" s="13">
        <v>2</v>
      </c>
      <c r="AD13" s="13">
        <v>1</v>
      </c>
      <c r="AE13" s="13">
        <v>2</v>
      </c>
      <c r="AF13" s="13">
        <v>1</v>
      </c>
      <c r="AG13" s="13">
        <v>0</v>
      </c>
      <c r="AH13" s="13">
        <v>0</v>
      </c>
      <c r="AI13" s="13">
        <v>1</v>
      </c>
      <c r="AK13" s="7">
        <f t="shared" si="0"/>
        <v>20</v>
      </c>
    </row>
    <row r="14" spans="2:37" x14ac:dyDescent="0.2">
      <c r="B14" s="2">
        <v>1111002</v>
      </c>
      <c r="C14" s="3" t="s">
        <v>63</v>
      </c>
      <c r="D14" s="9"/>
      <c r="E14" s="13">
        <v>0</v>
      </c>
      <c r="F14" s="13">
        <v>0</v>
      </c>
      <c r="G14" s="13">
        <v>0</v>
      </c>
      <c r="H14" s="13">
        <v>2</v>
      </c>
      <c r="I14" s="13">
        <v>0</v>
      </c>
      <c r="J14" s="13">
        <v>2</v>
      </c>
      <c r="K14" s="13">
        <v>1</v>
      </c>
      <c r="L14" s="13">
        <v>1</v>
      </c>
      <c r="M14" s="13">
        <v>0</v>
      </c>
      <c r="N14" s="13">
        <v>7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1</v>
      </c>
      <c r="U14" s="13">
        <v>1</v>
      </c>
      <c r="V14" s="13">
        <v>0</v>
      </c>
      <c r="W14" s="13">
        <v>1</v>
      </c>
      <c r="X14" s="13">
        <v>1</v>
      </c>
      <c r="Y14" s="13">
        <v>0</v>
      </c>
      <c r="Z14" s="13">
        <v>0</v>
      </c>
      <c r="AA14" s="13">
        <v>0</v>
      </c>
      <c r="AB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1</v>
      </c>
      <c r="AK14" s="7">
        <f t="shared" si="0"/>
        <v>19</v>
      </c>
    </row>
    <row r="15" spans="2:37" x14ac:dyDescent="0.2">
      <c r="B15" s="2">
        <v>1111002</v>
      </c>
      <c r="C15" s="3" t="s">
        <v>62</v>
      </c>
      <c r="D15" s="9"/>
      <c r="E15" s="13">
        <v>2</v>
      </c>
      <c r="F15" s="13">
        <v>0</v>
      </c>
      <c r="G15" s="13">
        <v>0</v>
      </c>
      <c r="H15" s="13">
        <v>1</v>
      </c>
      <c r="I15" s="13">
        <v>0</v>
      </c>
      <c r="J15" s="13">
        <v>4</v>
      </c>
      <c r="K15" s="13">
        <v>4</v>
      </c>
      <c r="L15" s="13">
        <v>2</v>
      </c>
      <c r="M15" s="13">
        <v>0</v>
      </c>
      <c r="N15" s="13">
        <v>3</v>
      </c>
      <c r="O15" s="13">
        <v>0</v>
      </c>
      <c r="P15" s="13">
        <v>1</v>
      </c>
      <c r="Q15" s="13">
        <v>0</v>
      </c>
      <c r="R15" s="13">
        <v>0</v>
      </c>
      <c r="S15" s="13">
        <v>2</v>
      </c>
      <c r="T15" s="13">
        <v>1</v>
      </c>
      <c r="U15" s="13">
        <v>0</v>
      </c>
      <c r="V15" s="13">
        <v>0</v>
      </c>
      <c r="W15" s="13">
        <v>2</v>
      </c>
      <c r="X15" s="13">
        <v>0</v>
      </c>
      <c r="Y15" s="13">
        <v>0</v>
      </c>
      <c r="Z15" s="13">
        <v>0</v>
      </c>
      <c r="AA15" s="13">
        <v>0</v>
      </c>
      <c r="AB15" s="13">
        <v>4</v>
      </c>
      <c r="AD15" s="13">
        <v>1</v>
      </c>
      <c r="AE15" s="13">
        <v>2</v>
      </c>
      <c r="AF15" s="13">
        <v>0</v>
      </c>
      <c r="AG15" s="13">
        <v>1</v>
      </c>
      <c r="AH15" s="13">
        <v>0</v>
      </c>
      <c r="AI15" s="13">
        <v>0</v>
      </c>
      <c r="AK15" s="7">
        <f t="shared" si="0"/>
        <v>30</v>
      </c>
    </row>
    <row r="16" spans="2:37" x14ac:dyDescent="0.2">
      <c r="B16" s="2">
        <v>1111002</v>
      </c>
      <c r="C16" s="3" t="s">
        <v>69</v>
      </c>
      <c r="D16" s="9"/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0</v>
      </c>
      <c r="M16" s="13">
        <v>0</v>
      </c>
      <c r="N16" s="13">
        <v>3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1</v>
      </c>
      <c r="Y16" s="13">
        <v>0</v>
      </c>
      <c r="Z16" s="13">
        <v>0</v>
      </c>
      <c r="AA16" s="13">
        <v>0</v>
      </c>
      <c r="AB16" s="13">
        <v>0</v>
      </c>
      <c r="AD16" s="13">
        <v>1</v>
      </c>
      <c r="AE16" s="13">
        <v>0</v>
      </c>
      <c r="AF16" s="13">
        <v>2</v>
      </c>
      <c r="AG16" s="13">
        <v>0</v>
      </c>
      <c r="AH16" s="13">
        <v>0</v>
      </c>
      <c r="AI16" s="13">
        <v>0</v>
      </c>
      <c r="AK16" s="7">
        <f t="shared" si="0"/>
        <v>8</v>
      </c>
    </row>
    <row r="17" spans="2:37" x14ac:dyDescent="0.2">
      <c r="B17" s="2">
        <v>1111002</v>
      </c>
      <c r="C17" s="3" t="s">
        <v>64</v>
      </c>
      <c r="D17" s="9"/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2</v>
      </c>
      <c r="K17" s="13">
        <v>0</v>
      </c>
      <c r="L17" s="13">
        <v>1</v>
      </c>
      <c r="M17" s="13">
        <v>0</v>
      </c>
      <c r="N17" s="13">
        <v>0</v>
      </c>
      <c r="O17" s="13">
        <v>1</v>
      </c>
      <c r="P17" s="13">
        <v>0</v>
      </c>
      <c r="Q17" s="13">
        <v>0</v>
      </c>
      <c r="R17" s="13">
        <v>0</v>
      </c>
      <c r="S17" s="13">
        <v>1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D17" s="13">
        <v>1</v>
      </c>
      <c r="AE17" s="13">
        <v>0</v>
      </c>
      <c r="AF17" s="13">
        <v>0</v>
      </c>
      <c r="AG17" s="13">
        <v>0</v>
      </c>
      <c r="AH17" s="13">
        <v>1</v>
      </c>
      <c r="AI17" s="13">
        <v>0</v>
      </c>
      <c r="AK17" s="7">
        <f t="shared" si="0"/>
        <v>7</v>
      </c>
    </row>
    <row r="18" spans="2:37" x14ac:dyDescent="0.2">
      <c r="B18" s="2">
        <v>1111002</v>
      </c>
      <c r="C18" s="3" t="s">
        <v>67</v>
      </c>
      <c r="D18" s="9"/>
      <c r="E18" s="13">
        <v>1</v>
      </c>
      <c r="F18" s="13">
        <v>0</v>
      </c>
      <c r="G18" s="13">
        <v>0</v>
      </c>
      <c r="H18" s="13">
        <v>3</v>
      </c>
      <c r="I18" s="13">
        <v>0</v>
      </c>
      <c r="J18" s="13">
        <v>0</v>
      </c>
      <c r="K18" s="13">
        <v>0</v>
      </c>
      <c r="L18" s="13">
        <v>1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1</v>
      </c>
      <c r="Y18" s="13">
        <v>0</v>
      </c>
      <c r="Z18" s="13">
        <v>0</v>
      </c>
      <c r="AA18" s="13">
        <v>0</v>
      </c>
      <c r="AB18" s="13">
        <v>0</v>
      </c>
      <c r="AD18" s="13">
        <v>1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K18" s="7">
        <f t="shared" si="0"/>
        <v>7</v>
      </c>
    </row>
    <row r="19" spans="2:37" x14ac:dyDescent="0.2">
      <c r="B19" s="2">
        <v>1111002</v>
      </c>
      <c r="C19" s="3" t="s">
        <v>68</v>
      </c>
      <c r="D19" s="9"/>
      <c r="E19" s="13">
        <v>0</v>
      </c>
      <c r="F19" s="13">
        <v>0</v>
      </c>
      <c r="G19" s="13">
        <v>0</v>
      </c>
      <c r="H19" s="13">
        <v>3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1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K19" s="7">
        <f t="shared" si="0"/>
        <v>5</v>
      </c>
    </row>
    <row r="20" spans="2:37" x14ac:dyDescent="0.2">
      <c r="B20" s="2">
        <v>1111002</v>
      </c>
      <c r="C20" s="3" t="s">
        <v>66</v>
      </c>
      <c r="D20" s="9"/>
      <c r="E20" s="13">
        <v>0</v>
      </c>
      <c r="F20" s="13">
        <v>0</v>
      </c>
      <c r="G20" s="13">
        <v>0</v>
      </c>
      <c r="H20" s="13">
        <v>2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K20" s="7">
        <f t="shared" si="0"/>
        <v>2</v>
      </c>
    </row>
    <row r="21" spans="2:37" x14ac:dyDescent="0.2">
      <c r="B21" s="2">
        <v>1111002</v>
      </c>
      <c r="C21" s="3" t="s">
        <v>88</v>
      </c>
      <c r="D21" s="9"/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K21" s="7">
        <f t="shared" si="0"/>
        <v>0</v>
      </c>
    </row>
    <row r="22" spans="2:37" x14ac:dyDescent="0.2">
      <c r="B22" s="2">
        <v>1111002</v>
      </c>
      <c r="C22" s="3" t="s">
        <v>89</v>
      </c>
      <c r="D22" s="9"/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K22" s="7">
        <f t="shared" si="0"/>
        <v>0</v>
      </c>
    </row>
    <row r="23" spans="2:37" x14ac:dyDescent="0.2">
      <c r="B23" s="2">
        <v>1111043</v>
      </c>
      <c r="C23" s="3" t="s">
        <v>40</v>
      </c>
      <c r="D23" s="9"/>
      <c r="E23" s="13">
        <v>1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K23" s="7">
        <f t="shared" si="0"/>
        <v>2</v>
      </c>
    </row>
    <row r="24" spans="2:37" x14ac:dyDescent="0.2">
      <c r="B24" s="2">
        <v>1111056</v>
      </c>
      <c r="C24" s="3" t="s">
        <v>111</v>
      </c>
      <c r="D24" s="9"/>
      <c r="E24" s="13">
        <v>76</v>
      </c>
      <c r="F24" s="13">
        <v>42</v>
      </c>
      <c r="G24" s="13">
        <v>102</v>
      </c>
      <c r="H24" s="13">
        <v>51</v>
      </c>
      <c r="I24" s="13">
        <v>59</v>
      </c>
      <c r="J24" s="13">
        <v>49</v>
      </c>
      <c r="K24" s="13">
        <v>47</v>
      </c>
      <c r="L24" s="13">
        <v>49</v>
      </c>
      <c r="M24" s="13">
        <v>76</v>
      </c>
      <c r="N24" s="13">
        <v>82</v>
      </c>
      <c r="O24" s="13">
        <v>32</v>
      </c>
      <c r="P24" s="13">
        <v>35</v>
      </c>
      <c r="Q24" s="13">
        <v>21</v>
      </c>
      <c r="R24" s="13">
        <v>18</v>
      </c>
      <c r="S24" s="13">
        <v>27</v>
      </c>
      <c r="T24" s="13">
        <v>18</v>
      </c>
      <c r="U24" s="13">
        <v>20</v>
      </c>
      <c r="V24" s="13">
        <v>23</v>
      </c>
      <c r="W24" s="13">
        <v>37</v>
      </c>
      <c r="X24" s="13">
        <v>16</v>
      </c>
      <c r="Y24" s="13">
        <v>4</v>
      </c>
      <c r="Z24" s="13">
        <v>21</v>
      </c>
      <c r="AA24" s="13">
        <v>29</v>
      </c>
      <c r="AB24" s="13">
        <v>29</v>
      </c>
      <c r="AD24" s="13">
        <v>31</v>
      </c>
      <c r="AE24" s="13">
        <v>12</v>
      </c>
      <c r="AF24" s="13">
        <v>10</v>
      </c>
      <c r="AG24" s="13">
        <v>38</v>
      </c>
      <c r="AH24" s="13">
        <v>14</v>
      </c>
      <c r="AI24" s="13">
        <v>16</v>
      </c>
      <c r="AK24" s="7">
        <f t="shared" si="0"/>
        <v>1084</v>
      </c>
    </row>
    <row r="25" spans="2:37" x14ac:dyDescent="0.2">
      <c r="B25" s="2">
        <v>1111056</v>
      </c>
      <c r="C25" s="3" t="s">
        <v>148</v>
      </c>
      <c r="D25" s="9"/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Y25" s="13">
        <v>0</v>
      </c>
      <c r="Z25" s="13">
        <v>0</v>
      </c>
      <c r="AA25" s="13">
        <v>0</v>
      </c>
      <c r="AB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K25" s="7">
        <f t="shared" si="0"/>
        <v>0</v>
      </c>
    </row>
    <row r="26" spans="2:37" x14ac:dyDescent="0.2">
      <c r="B26" s="2">
        <v>1111056</v>
      </c>
      <c r="C26" s="3" t="s">
        <v>149</v>
      </c>
      <c r="D26" s="9"/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Y26" s="13">
        <v>0</v>
      </c>
      <c r="Z26" s="13">
        <v>0</v>
      </c>
      <c r="AA26" s="13">
        <v>0</v>
      </c>
      <c r="AB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K26" s="7">
        <f t="shared" si="0"/>
        <v>0</v>
      </c>
    </row>
    <row r="27" spans="2:37" x14ac:dyDescent="0.2">
      <c r="B27" s="2">
        <v>1111056</v>
      </c>
      <c r="C27" s="3" t="s">
        <v>150</v>
      </c>
      <c r="D27" s="9"/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Y27" s="13">
        <v>0</v>
      </c>
      <c r="Z27" s="13">
        <v>0</v>
      </c>
      <c r="AA27" s="13">
        <v>0</v>
      </c>
      <c r="AB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K27" s="7">
        <f t="shared" si="0"/>
        <v>0</v>
      </c>
    </row>
    <row r="28" spans="2:37" x14ac:dyDescent="0.2">
      <c r="B28" s="2">
        <v>1111056</v>
      </c>
      <c r="C28" s="3" t="s">
        <v>151</v>
      </c>
      <c r="D28" s="9"/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Y28" s="13">
        <v>0</v>
      </c>
      <c r="Z28" s="13">
        <v>0</v>
      </c>
      <c r="AA28" s="13">
        <v>0</v>
      </c>
      <c r="AB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K28" s="7">
        <f t="shared" si="0"/>
        <v>0</v>
      </c>
    </row>
    <row r="29" spans="2:37" x14ac:dyDescent="0.2">
      <c r="B29" s="2">
        <v>1004055</v>
      </c>
      <c r="C29" s="3" t="s">
        <v>34</v>
      </c>
      <c r="D29" s="9"/>
      <c r="E29" s="13">
        <v>151</v>
      </c>
      <c r="F29" s="13">
        <v>143</v>
      </c>
      <c r="G29" s="13">
        <v>182</v>
      </c>
      <c r="H29" s="13">
        <v>73</v>
      </c>
      <c r="I29" s="13">
        <v>61</v>
      </c>
      <c r="J29" s="13">
        <v>98</v>
      </c>
      <c r="K29" s="13">
        <v>57</v>
      </c>
      <c r="L29" s="13">
        <v>56</v>
      </c>
      <c r="M29" s="13">
        <v>21</v>
      </c>
      <c r="N29" s="13">
        <v>26</v>
      </c>
      <c r="O29" s="13">
        <v>16</v>
      </c>
      <c r="P29" s="13">
        <v>36</v>
      </c>
      <c r="Q29" s="13">
        <v>26</v>
      </c>
      <c r="R29" s="13">
        <v>8</v>
      </c>
      <c r="S29" s="13">
        <v>26</v>
      </c>
      <c r="T29" s="13">
        <v>10</v>
      </c>
      <c r="U29" s="13">
        <v>3</v>
      </c>
      <c r="V29" s="13">
        <v>33</v>
      </c>
      <c r="W29" s="13">
        <v>26</v>
      </c>
      <c r="X29" s="13">
        <v>21</v>
      </c>
      <c r="Y29" s="13">
        <v>5</v>
      </c>
      <c r="Z29" s="13">
        <v>19</v>
      </c>
      <c r="AA29" s="13">
        <v>13</v>
      </c>
      <c r="AB29" s="13">
        <v>4</v>
      </c>
      <c r="AD29" s="13">
        <v>32</v>
      </c>
      <c r="AE29" s="13">
        <v>36</v>
      </c>
      <c r="AF29" s="13">
        <v>1</v>
      </c>
      <c r="AG29" s="13">
        <v>28</v>
      </c>
      <c r="AH29" s="13">
        <v>23</v>
      </c>
      <c r="AI29" s="13">
        <v>9</v>
      </c>
      <c r="AK29" s="7">
        <f t="shared" si="0"/>
        <v>1243</v>
      </c>
    </row>
    <row r="30" spans="2:37" x14ac:dyDescent="0.2">
      <c r="B30" s="2">
        <v>1004055</v>
      </c>
      <c r="C30" s="3" t="s">
        <v>152</v>
      </c>
      <c r="D30" s="9"/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K30" s="7">
        <f t="shared" si="0"/>
        <v>0</v>
      </c>
    </row>
    <row r="31" spans="2:37" x14ac:dyDescent="0.2">
      <c r="B31" s="2">
        <v>1004055</v>
      </c>
      <c r="C31" s="3" t="s">
        <v>153</v>
      </c>
      <c r="D31" s="9"/>
      <c r="E31" s="13">
        <v>0</v>
      </c>
      <c r="F31" s="13">
        <v>0</v>
      </c>
      <c r="G31" s="13">
        <v>0</v>
      </c>
      <c r="H31" s="13">
        <v>1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1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K31" s="7">
        <f t="shared" si="0"/>
        <v>2</v>
      </c>
    </row>
    <row r="32" spans="2:37" x14ac:dyDescent="0.2">
      <c r="B32" s="2">
        <v>1004055</v>
      </c>
      <c r="C32" s="3" t="s">
        <v>154</v>
      </c>
      <c r="D32" s="9"/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K32" s="7">
        <f t="shared" si="0"/>
        <v>0</v>
      </c>
    </row>
    <row r="33" spans="2:37" x14ac:dyDescent="0.2">
      <c r="B33" s="2">
        <v>1004055</v>
      </c>
      <c r="C33" s="3" t="s">
        <v>155</v>
      </c>
      <c r="D33" s="9"/>
      <c r="E33" s="13">
        <v>0</v>
      </c>
      <c r="F33" s="13">
        <v>0</v>
      </c>
      <c r="G33" s="13">
        <v>0</v>
      </c>
      <c r="H33" s="13">
        <v>1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K33" s="7">
        <f t="shared" si="0"/>
        <v>1</v>
      </c>
    </row>
    <row r="34" spans="2:37" x14ac:dyDescent="0.2">
      <c r="B34" s="2">
        <v>1004055</v>
      </c>
      <c r="C34" s="3" t="s">
        <v>156</v>
      </c>
      <c r="D34" s="9"/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K34" s="7">
        <f t="shared" si="0"/>
        <v>0</v>
      </c>
    </row>
    <row r="35" spans="2:37" x14ac:dyDescent="0.2">
      <c r="B35" s="2">
        <v>1004055</v>
      </c>
      <c r="C35" s="3" t="s">
        <v>157</v>
      </c>
      <c r="D35" s="9"/>
      <c r="E35" s="13">
        <v>0</v>
      </c>
      <c r="F35" s="13">
        <v>0</v>
      </c>
      <c r="G35" s="13">
        <v>0</v>
      </c>
      <c r="H35" s="13">
        <v>1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K35" s="7">
        <f t="shared" si="0"/>
        <v>1</v>
      </c>
    </row>
    <row r="36" spans="2:37" x14ac:dyDescent="0.2">
      <c r="B36" s="2">
        <v>1004055</v>
      </c>
      <c r="C36" s="3" t="s">
        <v>158</v>
      </c>
      <c r="D36" s="9"/>
      <c r="E36" s="13">
        <v>0</v>
      </c>
      <c r="F36" s="13">
        <v>0</v>
      </c>
      <c r="G36" s="13">
        <v>0</v>
      </c>
      <c r="H36" s="13">
        <v>3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6</v>
      </c>
      <c r="AK36" s="7">
        <f t="shared" si="0"/>
        <v>9</v>
      </c>
    </row>
    <row r="37" spans="2:37" x14ac:dyDescent="0.2">
      <c r="B37" s="2">
        <v>1004055</v>
      </c>
      <c r="C37" s="3" t="s">
        <v>156</v>
      </c>
      <c r="D37" s="9"/>
      <c r="E37" s="13">
        <v>0</v>
      </c>
      <c r="F37" s="13">
        <v>0</v>
      </c>
      <c r="G37" s="13">
        <v>0</v>
      </c>
      <c r="H37" s="13">
        <v>1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K37" s="7">
        <f t="shared" si="0"/>
        <v>1</v>
      </c>
    </row>
    <row r="38" spans="2:37" x14ac:dyDescent="0.2">
      <c r="B38" s="2">
        <v>1004055</v>
      </c>
      <c r="C38" s="3" t="s">
        <v>159</v>
      </c>
      <c r="D38" s="9"/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K38" s="7">
        <f t="shared" si="0"/>
        <v>0</v>
      </c>
    </row>
    <row r="39" spans="2:37" x14ac:dyDescent="0.2">
      <c r="B39" s="2">
        <v>1004055</v>
      </c>
      <c r="C39" s="3" t="s">
        <v>160</v>
      </c>
      <c r="D39" s="9"/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K39" s="7">
        <f t="shared" si="0"/>
        <v>0</v>
      </c>
    </row>
    <row r="40" spans="2:37" x14ac:dyDescent="0.2">
      <c r="B40" s="2">
        <v>1004055</v>
      </c>
      <c r="C40" s="3" t="s">
        <v>161</v>
      </c>
      <c r="D40" s="9"/>
      <c r="E40" s="13">
        <v>0</v>
      </c>
      <c r="F40" s="13">
        <v>0</v>
      </c>
      <c r="G40" s="13">
        <v>0</v>
      </c>
      <c r="H40" s="13">
        <v>1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K40" s="7">
        <f t="shared" si="0"/>
        <v>1</v>
      </c>
    </row>
    <row r="41" spans="2:37" x14ac:dyDescent="0.2">
      <c r="B41" s="2">
        <v>1004055</v>
      </c>
      <c r="C41" s="3" t="s">
        <v>162</v>
      </c>
      <c r="D41" s="9"/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K41" s="7">
        <f t="shared" si="0"/>
        <v>0</v>
      </c>
    </row>
    <row r="42" spans="2:37" x14ac:dyDescent="0.2">
      <c r="B42" s="2">
        <v>1111057</v>
      </c>
      <c r="C42" s="3" t="s">
        <v>44</v>
      </c>
      <c r="D42" s="9"/>
      <c r="E42" s="13">
        <v>23</v>
      </c>
      <c r="F42" s="13">
        <v>5</v>
      </c>
      <c r="G42" s="13">
        <v>86</v>
      </c>
      <c r="H42" s="13">
        <v>14</v>
      </c>
      <c r="I42" s="13">
        <v>41</v>
      </c>
      <c r="J42" s="13">
        <v>195</v>
      </c>
      <c r="K42" s="13">
        <v>56</v>
      </c>
      <c r="L42" s="13">
        <v>45</v>
      </c>
      <c r="M42" s="13">
        <v>53</v>
      </c>
      <c r="N42" s="13">
        <v>32</v>
      </c>
      <c r="O42" s="13">
        <v>29</v>
      </c>
      <c r="P42" s="13">
        <v>9</v>
      </c>
      <c r="Q42" s="13">
        <v>10</v>
      </c>
      <c r="R42" s="13">
        <v>20</v>
      </c>
      <c r="S42" s="13">
        <v>5</v>
      </c>
      <c r="T42" s="13">
        <v>44</v>
      </c>
      <c r="U42" s="13">
        <v>210</v>
      </c>
      <c r="V42" s="13">
        <v>8</v>
      </c>
      <c r="W42" s="13">
        <v>4</v>
      </c>
      <c r="X42" s="13">
        <v>19</v>
      </c>
      <c r="Y42" s="13">
        <v>16</v>
      </c>
      <c r="Z42" s="13">
        <v>16</v>
      </c>
      <c r="AA42" s="13">
        <v>4</v>
      </c>
      <c r="AB42" s="13">
        <v>24</v>
      </c>
      <c r="AD42" s="13">
        <v>72</v>
      </c>
      <c r="AE42" s="13">
        <v>21</v>
      </c>
      <c r="AF42" s="13">
        <v>42</v>
      </c>
      <c r="AG42" s="13">
        <v>32</v>
      </c>
      <c r="AH42" s="13">
        <v>9</v>
      </c>
      <c r="AI42" s="13">
        <v>10</v>
      </c>
      <c r="AK42" s="7">
        <f t="shared" si="0"/>
        <v>1154</v>
      </c>
    </row>
    <row r="43" spans="2:37" x14ac:dyDescent="0.2">
      <c r="B43" s="2">
        <v>1111058</v>
      </c>
      <c r="C43" s="3" t="s">
        <v>56</v>
      </c>
      <c r="D43" s="9"/>
      <c r="E43" s="13">
        <v>12</v>
      </c>
      <c r="F43" s="13">
        <v>1</v>
      </c>
      <c r="G43" s="13">
        <v>62</v>
      </c>
      <c r="H43" s="13">
        <v>3</v>
      </c>
      <c r="I43" s="13">
        <v>38</v>
      </c>
      <c r="J43" s="13">
        <v>173</v>
      </c>
      <c r="K43" s="13">
        <v>57</v>
      </c>
      <c r="L43" s="13">
        <v>24</v>
      </c>
      <c r="M43" s="13">
        <v>26</v>
      </c>
      <c r="N43" s="13">
        <v>10</v>
      </c>
      <c r="O43" s="13">
        <v>12</v>
      </c>
      <c r="P43" s="13">
        <v>10</v>
      </c>
      <c r="Q43" s="13">
        <v>19</v>
      </c>
      <c r="R43" s="13">
        <v>0</v>
      </c>
      <c r="S43" s="13">
        <v>3</v>
      </c>
      <c r="T43" s="13">
        <v>29</v>
      </c>
      <c r="U43" s="13">
        <v>222</v>
      </c>
      <c r="V43" s="13">
        <v>8</v>
      </c>
      <c r="W43" s="13">
        <v>0</v>
      </c>
      <c r="X43" s="13">
        <v>19</v>
      </c>
      <c r="Y43" s="13">
        <v>5</v>
      </c>
      <c r="Z43" s="13">
        <v>7</v>
      </c>
      <c r="AA43" s="13">
        <v>2</v>
      </c>
      <c r="AB43" s="13">
        <v>15</v>
      </c>
      <c r="AD43" s="13">
        <v>27</v>
      </c>
      <c r="AE43" s="13">
        <v>1</v>
      </c>
      <c r="AF43" s="13">
        <v>21</v>
      </c>
      <c r="AG43" s="13">
        <v>12</v>
      </c>
      <c r="AH43" s="13">
        <v>1</v>
      </c>
      <c r="AI43" s="13">
        <v>0</v>
      </c>
      <c r="AK43" s="7">
        <f t="shared" si="0"/>
        <v>819</v>
      </c>
    </row>
    <row r="44" spans="2:37" x14ac:dyDescent="0.2">
      <c r="B44" s="2">
        <v>1111059</v>
      </c>
      <c r="C44" s="3" t="s">
        <v>45</v>
      </c>
      <c r="D44" s="9"/>
      <c r="E44" s="13">
        <v>32</v>
      </c>
      <c r="F44" s="13">
        <v>16</v>
      </c>
      <c r="G44" s="13">
        <v>83</v>
      </c>
      <c r="H44" s="13">
        <v>17</v>
      </c>
      <c r="I44" s="13">
        <v>48</v>
      </c>
      <c r="J44" s="13">
        <v>198</v>
      </c>
      <c r="K44" s="13">
        <v>71</v>
      </c>
      <c r="L44" s="13">
        <v>47</v>
      </c>
      <c r="M44" s="13">
        <v>62</v>
      </c>
      <c r="N44" s="13">
        <v>40</v>
      </c>
      <c r="O44" s="13">
        <v>28</v>
      </c>
      <c r="P44" s="13">
        <v>23</v>
      </c>
      <c r="Q44" s="13">
        <v>14</v>
      </c>
      <c r="R44" s="13">
        <v>20</v>
      </c>
      <c r="S44" s="13">
        <v>15</v>
      </c>
      <c r="T44" s="13">
        <v>53</v>
      </c>
      <c r="U44" s="13">
        <v>238</v>
      </c>
      <c r="V44" s="13">
        <v>13</v>
      </c>
      <c r="W44" s="13">
        <v>3</v>
      </c>
      <c r="X44" s="13">
        <v>16</v>
      </c>
      <c r="Y44" s="13">
        <v>18</v>
      </c>
      <c r="Z44" s="13">
        <v>7</v>
      </c>
      <c r="AA44" s="13">
        <v>4</v>
      </c>
      <c r="AB44" s="13">
        <v>52</v>
      </c>
      <c r="AD44" s="13">
        <v>79</v>
      </c>
      <c r="AE44" s="13">
        <v>8</v>
      </c>
      <c r="AF44" s="13">
        <v>40</v>
      </c>
      <c r="AG44" s="13">
        <v>29</v>
      </c>
      <c r="AH44" s="13">
        <v>13</v>
      </c>
      <c r="AI44" s="13">
        <v>15</v>
      </c>
      <c r="AK44" s="7">
        <f t="shared" si="0"/>
        <v>1302</v>
      </c>
    </row>
    <row r="45" spans="2:37" x14ac:dyDescent="0.2">
      <c r="B45" s="2">
        <v>1111060</v>
      </c>
      <c r="C45" s="3" t="s">
        <v>46</v>
      </c>
      <c r="D45" s="9"/>
      <c r="E45" s="13">
        <v>5</v>
      </c>
      <c r="F45" s="13">
        <v>0</v>
      </c>
      <c r="G45" s="13">
        <v>23</v>
      </c>
      <c r="H45" s="13">
        <v>13</v>
      </c>
      <c r="I45" s="13">
        <v>29</v>
      </c>
      <c r="J45" s="13">
        <v>175</v>
      </c>
      <c r="K45" s="13">
        <v>51</v>
      </c>
      <c r="L45" s="13">
        <v>38</v>
      </c>
      <c r="M45" s="13">
        <v>8</v>
      </c>
      <c r="N45" s="13">
        <v>12</v>
      </c>
      <c r="O45" s="13">
        <v>10</v>
      </c>
      <c r="P45" s="13">
        <v>9</v>
      </c>
      <c r="Q45" s="13">
        <v>3</v>
      </c>
      <c r="R45" s="13">
        <v>8</v>
      </c>
      <c r="S45" s="13">
        <v>3</v>
      </c>
      <c r="T45" s="13">
        <v>14</v>
      </c>
      <c r="U45" s="13">
        <v>196</v>
      </c>
      <c r="V45" s="13">
        <v>5</v>
      </c>
      <c r="W45" s="13">
        <v>0</v>
      </c>
      <c r="X45" s="13">
        <v>0</v>
      </c>
      <c r="Y45" s="13">
        <v>4</v>
      </c>
      <c r="Z45" s="13">
        <v>6</v>
      </c>
      <c r="AA45" s="13">
        <v>1</v>
      </c>
      <c r="AB45" s="13">
        <v>12</v>
      </c>
      <c r="AD45" s="13">
        <v>59</v>
      </c>
      <c r="AE45" s="13">
        <v>22</v>
      </c>
      <c r="AF45" s="13">
        <v>7</v>
      </c>
      <c r="AG45" s="13">
        <v>6</v>
      </c>
      <c r="AH45" s="13">
        <v>2</v>
      </c>
      <c r="AI45" s="13">
        <v>5</v>
      </c>
      <c r="AK45" s="7">
        <f t="shared" si="0"/>
        <v>726</v>
      </c>
    </row>
    <row r="46" spans="2:37" x14ac:dyDescent="0.2">
      <c r="B46" s="2">
        <v>1111061</v>
      </c>
      <c r="C46" s="3" t="s">
        <v>48</v>
      </c>
      <c r="D46" s="9"/>
      <c r="E46" s="13">
        <v>10</v>
      </c>
      <c r="F46" s="13">
        <v>0</v>
      </c>
      <c r="G46" s="13">
        <v>52</v>
      </c>
      <c r="H46" s="13">
        <v>15</v>
      </c>
      <c r="I46" s="13">
        <v>39</v>
      </c>
      <c r="J46" s="13">
        <v>180</v>
      </c>
      <c r="K46" s="13">
        <v>56</v>
      </c>
      <c r="L46" s="13">
        <v>29</v>
      </c>
      <c r="M46" s="13">
        <v>30</v>
      </c>
      <c r="N46" s="13">
        <v>20</v>
      </c>
      <c r="O46" s="13">
        <v>10</v>
      </c>
      <c r="P46" s="13">
        <v>4</v>
      </c>
      <c r="Q46" s="13">
        <v>10</v>
      </c>
      <c r="R46" s="13">
        <v>4</v>
      </c>
      <c r="S46" s="13">
        <v>11</v>
      </c>
      <c r="T46" s="13">
        <v>17</v>
      </c>
      <c r="U46" s="13">
        <v>217</v>
      </c>
      <c r="V46" s="13">
        <v>7</v>
      </c>
      <c r="W46" s="13">
        <v>1</v>
      </c>
      <c r="X46" s="13">
        <v>11</v>
      </c>
      <c r="Y46" s="13">
        <v>6</v>
      </c>
      <c r="Z46" s="13">
        <v>7</v>
      </c>
      <c r="AA46" s="13">
        <v>2</v>
      </c>
      <c r="AB46" s="13">
        <v>18</v>
      </c>
      <c r="AD46" s="13">
        <v>40</v>
      </c>
      <c r="AE46" s="13">
        <v>3</v>
      </c>
      <c r="AF46" s="13">
        <v>21</v>
      </c>
      <c r="AG46" s="13">
        <v>14</v>
      </c>
      <c r="AH46" s="13">
        <v>1</v>
      </c>
      <c r="AI46" s="13">
        <v>10</v>
      </c>
      <c r="AK46" s="7">
        <f t="shared" si="0"/>
        <v>845</v>
      </c>
    </row>
    <row r="47" spans="2:37" x14ac:dyDescent="0.2">
      <c r="B47" s="2">
        <v>1111062</v>
      </c>
      <c r="C47" s="3" t="s">
        <v>49</v>
      </c>
      <c r="D47" s="9"/>
      <c r="E47" s="13">
        <v>12</v>
      </c>
      <c r="F47" s="13">
        <v>20</v>
      </c>
      <c r="G47" s="13">
        <v>68</v>
      </c>
      <c r="H47" s="13">
        <v>12</v>
      </c>
      <c r="I47" s="13">
        <v>47</v>
      </c>
      <c r="J47" s="13">
        <v>178</v>
      </c>
      <c r="K47" s="13">
        <v>59</v>
      </c>
      <c r="L47" s="13">
        <v>65</v>
      </c>
      <c r="M47" s="13">
        <v>74</v>
      </c>
      <c r="N47" s="13">
        <v>27</v>
      </c>
      <c r="O47" s="13">
        <v>12</v>
      </c>
      <c r="P47" s="13">
        <v>25</v>
      </c>
      <c r="Q47" s="13">
        <v>19</v>
      </c>
      <c r="R47" s="13">
        <v>23</v>
      </c>
      <c r="S47" s="13">
        <v>6</v>
      </c>
      <c r="T47" s="13">
        <v>37</v>
      </c>
      <c r="U47" s="13">
        <v>210</v>
      </c>
      <c r="V47" s="13">
        <v>5</v>
      </c>
      <c r="W47" s="13">
        <v>0</v>
      </c>
      <c r="X47" s="13">
        <v>19</v>
      </c>
      <c r="Y47" s="13">
        <v>17</v>
      </c>
      <c r="Z47" s="13">
        <v>10</v>
      </c>
      <c r="AA47" s="13">
        <v>3</v>
      </c>
      <c r="AB47" s="13">
        <v>40</v>
      </c>
      <c r="AD47" s="13">
        <v>57</v>
      </c>
      <c r="AE47" s="13">
        <v>3</v>
      </c>
      <c r="AF47" s="13">
        <v>15</v>
      </c>
      <c r="AG47" s="13">
        <v>28</v>
      </c>
      <c r="AH47" s="13">
        <v>9</v>
      </c>
      <c r="AI47" s="13">
        <v>10</v>
      </c>
      <c r="AK47" s="7">
        <f t="shared" si="0"/>
        <v>1110</v>
      </c>
    </row>
    <row r="48" spans="2:37" x14ac:dyDescent="0.2">
      <c r="B48" s="2">
        <v>1111063</v>
      </c>
      <c r="C48" s="3" t="s">
        <v>50</v>
      </c>
      <c r="D48" s="9"/>
      <c r="E48" s="13">
        <v>13</v>
      </c>
      <c r="F48" s="13">
        <v>1</v>
      </c>
      <c r="G48" s="13">
        <v>52</v>
      </c>
      <c r="H48" s="13">
        <v>14</v>
      </c>
      <c r="I48" s="13">
        <v>63</v>
      </c>
      <c r="J48" s="13">
        <v>185</v>
      </c>
      <c r="K48" s="13">
        <v>59</v>
      </c>
      <c r="L48" s="13">
        <v>50</v>
      </c>
      <c r="M48" s="13">
        <v>55</v>
      </c>
      <c r="N48" s="13">
        <v>24</v>
      </c>
      <c r="O48" s="13">
        <v>10</v>
      </c>
      <c r="P48" s="13">
        <v>20</v>
      </c>
      <c r="Q48" s="13">
        <v>46</v>
      </c>
      <c r="R48" s="13">
        <v>15</v>
      </c>
      <c r="S48" s="13">
        <v>4</v>
      </c>
      <c r="T48" s="13">
        <v>48</v>
      </c>
      <c r="U48" s="13">
        <v>234</v>
      </c>
      <c r="V48" s="13">
        <v>5</v>
      </c>
      <c r="W48" s="13">
        <v>1</v>
      </c>
      <c r="X48" s="13">
        <v>10</v>
      </c>
      <c r="Y48" s="13">
        <v>18</v>
      </c>
      <c r="Z48" s="13">
        <v>15</v>
      </c>
      <c r="AA48" s="13">
        <v>2</v>
      </c>
      <c r="AB48" s="13">
        <v>44</v>
      </c>
      <c r="AD48" s="13">
        <v>74</v>
      </c>
      <c r="AE48" s="13">
        <v>8</v>
      </c>
      <c r="AF48" s="13">
        <v>29</v>
      </c>
      <c r="AG48" s="13">
        <v>11</v>
      </c>
      <c r="AH48" s="13">
        <v>11</v>
      </c>
      <c r="AI48" s="13">
        <v>10</v>
      </c>
      <c r="AK48" s="7">
        <f t="shared" si="0"/>
        <v>1131</v>
      </c>
    </row>
    <row r="49" spans="2:37" x14ac:dyDescent="0.2">
      <c r="B49" s="2">
        <v>1111064</v>
      </c>
      <c r="C49" s="3" t="s">
        <v>47</v>
      </c>
      <c r="D49" s="9"/>
      <c r="E49" s="13">
        <v>23</v>
      </c>
      <c r="F49" s="13">
        <v>16</v>
      </c>
      <c r="G49" s="13">
        <v>96</v>
      </c>
      <c r="H49" s="13">
        <v>9</v>
      </c>
      <c r="I49" s="13">
        <v>35</v>
      </c>
      <c r="J49" s="13">
        <v>190</v>
      </c>
      <c r="K49" s="13">
        <v>54</v>
      </c>
      <c r="L49" s="13">
        <v>47</v>
      </c>
      <c r="M49" s="13">
        <v>58</v>
      </c>
      <c r="N49" s="13">
        <v>15</v>
      </c>
      <c r="O49" s="13">
        <v>6</v>
      </c>
      <c r="P49" s="13">
        <v>20</v>
      </c>
      <c r="Q49" s="13">
        <v>45</v>
      </c>
      <c r="R49" s="13">
        <v>18</v>
      </c>
      <c r="S49" s="13">
        <v>13</v>
      </c>
      <c r="T49" s="13">
        <v>34</v>
      </c>
      <c r="U49" s="13">
        <v>222</v>
      </c>
      <c r="V49" s="13">
        <v>5</v>
      </c>
      <c r="W49" s="13">
        <v>2</v>
      </c>
      <c r="X49" s="13">
        <v>10</v>
      </c>
      <c r="Y49" s="13">
        <v>14</v>
      </c>
      <c r="Z49" s="13">
        <v>10</v>
      </c>
      <c r="AA49" s="13">
        <v>11</v>
      </c>
      <c r="AB49" s="13">
        <v>13</v>
      </c>
      <c r="AD49" s="13">
        <v>22</v>
      </c>
      <c r="AE49" s="13">
        <v>12</v>
      </c>
      <c r="AF49" s="13">
        <v>37</v>
      </c>
      <c r="AG49" s="13">
        <v>7</v>
      </c>
      <c r="AH49" s="13">
        <v>2</v>
      </c>
      <c r="AI49" s="13">
        <v>0</v>
      </c>
      <c r="AK49" s="7">
        <f t="shared" si="0"/>
        <v>1046</v>
      </c>
    </row>
    <row r="50" spans="2:37" x14ac:dyDescent="0.2">
      <c r="B50" s="2">
        <v>1111065</v>
      </c>
      <c r="C50" s="3" t="s">
        <v>51</v>
      </c>
      <c r="D50" s="9"/>
      <c r="E50" s="13">
        <v>9</v>
      </c>
      <c r="F50" s="13">
        <v>1</v>
      </c>
      <c r="G50" s="13">
        <v>20</v>
      </c>
      <c r="H50" s="13">
        <v>2</v>
      </c>
      <c r="I50" s="13">
        <v>0</v>
      </c>
      <c r="J50" s="13">
        <v>0</v>
      </c>
      <c r="K50" s="13">
        <v>1</v>
      </c>
      <c r="L50" s="13">
        <v>5</v>
      </c>
      <c r="M50" s="13">
        <v>3</v>
      </c>
      <c r="N50" s="13">
        <v>1</v>
      </c>
      <c r="O50" s="13">
        <v>8</v>
      </c>
      <c r="P50" s="13">
        <v>8</v>
      </c>
      <c r="Q50" s="13">
        <v>4</v>
      </c>
      <c r="R50" s="13">
        <v>9</v>
      </c>
      <c r="S50" s="13">
        <v>2</v>
      </c>
      <c r="T50" s="13">
        <v>12</v>
      </c>
      <c r="U50" s="13">
        <v>163</v>
      </c>
      <c r="V50" s="13">
        <v>7</v>
      </c>
      <c r="W50" s="13">
        <v>0</v>
      </c>
      <c r="X50" s="13">
        <v>0</v>
      </c>
      <c r="Y50" s="13">
        <v>0</v>
      </c>
      <c r="Z50" s="13">
        <v>0</v>
      </c>
      <c r="AA50" s="13">
        <v>1</v>
      </c>
      <c r="AB50" s="13">
        <v>11</v>
      </c>
      <c r="AD50" s="13">
        <v>4</v>
      </c>
      <c r="AE50" s="13">
        <v>1</v>
      </c>
      <c r="AF50" s="13">
        <v>2</v>
      </c>
      <c r="AG50" s="13">
        <v>0</v>
      </c>
      <c r="AH50" s="13">
        <v>0</v>
      </c>
      <c r="AI50" s="13">
        <v>0</v>
      </c>
      <c r="AK50" s="7">
        <f t="shared" si="0"/>
        <v>274</v>
      </c>
    </row>
    <row r="51" spans="2:37" x14ac:dyDescent="0.2">
      <c r="B51" s="2">
        <v>1111066</v>
      </c>
      <c r="C51" s="3" t="s">
        <v>52</v>
      </c>
      <c r="D51" s="9"/>
      <c r="E51" s="13">
        <v>17</v>
      </c>
      <c r="F51" s="13">
        <v>21</v>
      </c>
      <c r="G51" s="13">
        <v>64</v>
      </c>
      <c r="H51" s="13">
        <v>20</v>
      </c>
      <c r="I51" s="13">
        <v>64</v>
      </c>
      <c r="J51" s="13">
        <v>189</v>
      </c>
      <c r="K51" s="13">
        <v>73</v>
      </c>
      <c r="L51" s="13">
        <v>44</v>
      </c>
      <c r="M51" s="13">
        <v>65</v>
      </c>
      <c r="N51" s="13">
        <v>24</v>
      </c>
      <c r="O51" s="13">
        <v>14</v>
      </c>
      <c r="P51" s="13">
        <v>18</v>
      </c>
      <c r="Q51" s="13">
        <v>31</v>
      </c>
      <c r="R51" s="13">
        <v>6</v>
      </c>
      <c r="S51" s="13">
        <v>2</v>
      </c>
      <c r="T51" s="13">
        <v>48</v>
      </c>
      <c r="U51" s="13">
        <v>210</v>
      </c>
      <c r="V51" s="13">
        <v>6</v>
      </c>
      <c r="W51" s="13">
        <v>0</v>
      </c>
      <c r="X51" s="13">
        <v>19</v>
      </c>
      <c r="Y51" s="13">
        <v>9</v>
      </c>
      <c r="Z51" s="13">
        <v>12</v>
      </c>
      <c r="AA51" s="13">
        <v>4</v>
      </c>
      <c r="AB51" s="13">
        <v>30</v>
      </c>
      <c r="AD51" s="13">
        <v>69</v>
      </c>
      <c r="AE51" s="13">
        <v>2</v>
      </c>
      <c r="AF51" s="13">
        <v>37</v>
      </c>
      <c r="AG51" s="13">
        <v>31</v>
      </c>
      <c r="AH51" s="13">
        <v>8</v>
      </c>
      <c r="AI51" s="13">
        <v>5</v>
      </c>
      <c r="AK51" s="7">
        <f t="shared" si="0"/>
        <v>1142</v>
      </c>
    </row>
    <row r="52" spans="2:37" x14ac:dyDescent="0.2">
      <c r="B52" s="2">
        <v>1111067</v>
      </c>
      <c r="C52" s="3" t="s">
        <v>54</v>
      </c>
      <c r="D52" s="9"/>
      <c r="E52" s="13">
        <v>33</v>
      </c>
      <c r="F52" s="13">
        <v>27</v>
      </c>
      <c r="G52" s="13">
        <v>73</v>
      </c>
      <c r="H52" s="13">
        <v>23</v>
      </c>
      <c r="I52" s="13">
        <v>47</v>
      </c>
      <c r="J52" s="13">
        <v>204</v>
      </c>
      <c r="K52" s="13">
        <v>67</v>
      </c>
      <c r="L52" s="13">
        <v>58</v>
      </c>
      <c r="M52" s="13">
        <v>75</v>
      </c>
      <c r="N52" s="13">
        <v>37</v>
      </c>
      <c r="O52" s="13">
        <v>21</v>
      </c>
      <c r="P52" s="13">
        <v>20</v>
      </c>
      <c r="Q52" s="13">
        <v>23</v>
      </c>
      <c r="R52" s="13">
        <v>22</v>
      </c>
      <c r="S52" s="13">
        <v>13</v>
      </c>
      <c r="T52" s="13">
        <v>52</v>
      </c>
      <c r="U52" s="13">
        <v>234</v>
      </c>
      <c r="V52" s="13">
        <v>7</v>
      </c>
      <c r="W52" s="13">
        <v>0</v>
      </c>
      <c r="X52" s="13">
        <v>19</v>
      </c>
      <c r="Y52" s="13">
        <v>17</v>
      </c>
      <c r="Z52" s="13">
        <v>16</v>
      </c>
      <c r="AA52" s="13">
        <v>5</v>
      </c>
      <c r="AB52" s="13">
        <v>49</v>
      </c>
      <c r="AD52" s="13">
        <v>85</v>
      </c>
      <c r="AE52" s="13">
        <v>10</v>
      </c>
      <c r="AF52" s="13">
        <v>41</v>
      </c>
      <c r="AG52" s="13">
        <v>27</v>
      </c>
      <c r="AH52" s="13">
        <v>13</v>
      </c>
      <c r="AI52" s="13">
        <v>15</v>
      </c>
      <c r="AK52" s="7">
        <f t="shared" si="0"/>
        <v>1333</v>
      </c>
    </row>
    <row r="53" spans="2:37" x14ac:dyDescent="0.2">
      <c r="B53" s="2">
        <v>1111068</v>
      </c>
      <c r="C53" s="3" t="s">
        <v>65</v>
      </c>
      <c r="D53" s="9"/>
      <c r="E53" s="13">
        <v>26</v>
      </c>
      <c r="F53" s="13">
        <v>0</v>
      </c>
      <c r="G53" s="13">
        <v>79</v>
      </c>
      <c r="H53" s="13">
        <v>19</v>
      </c>
      <c r="I53" s="13">
        <v>57</v>
      </c>
      <c r="J53" s="13">
        <v>197</v>
      </c>
      <c r="K53" s="13">
        <v>16</v>
      </c>
      <c r="L53" s="13">
        <v>52</v>
      </c>
      <c r="M53" s="13">
        <v>66</v>
      </c>
      <c r="N53" s="13">
        <v>34</v>
      </c>
      <c r="O53" s="13">
        <v>22</v>
      </c>
      <c r="P53" s="13">
        <v>5</v>
      </c>
      <c r="Q53" s="13">
        <v>31</v>
      </c>
      <c r="R53" s="13">
        <v>15</v>
      </c>
      <c r="S53" s="13">
        <v>15</v>
      </c>
      <c r="T53" s="13">
        <v>46</v>
      </c>
      <c r="U53" s="13">
        <v>226</v>
      </c>
      <c r="V53" s="13">
        <v>6</v>
      </c>
      <c r="W53" s="13">
        <v>0</v>
      </c>
      <c r="X53" s="13">
        <v>19</v>
      </c>
      <c r="Y53" s="13">
        <v>16</v>
      </c>
      <c r="Z53" s="13">
        <v>10</v>
      </c>
      <c r="AA53" s="13">
        <v>3</v>
      </c>
      <c r="AB53" s="13">
        <v>46</v>
      </c>
      <c r="AD53" s="13">
        <v>81</v>
      </c>
      <c r="AE53" s="13">
        <v>8</v>
      </c>
      <c r="AF53" s="13">
        <v>26</v>
      </c>
      <c r="AG53" s="13">
        <v>25</v>
      </c>
      <c r="AH53" s="13">
        <v>15</v>
      </c>
      <c r="AI53" s="13">
        <v>20</v>
      </c>
      <c r="AK53" s="7">
        <f t="shared" si="0"/>
        <v>1181</v>
      </c>
    </row>
    <row r="54" spans="2:37" x14ac:dyDescent="0.2">
      <c r="B54" s="2">
        <v>1111069</v>
      </c>
      <c r="C54" s="3" t="s">
        <v>55</v>
      </c>
      <c r="D54" s="9"/>
      <c r="E54" s="13">
        <v>12</v>
      </c>
      <c r="F54" s="13">
        <v>1</v>
      </c>
      <c r="G54" s="13">
        <v>58</v>
      </c>
      <c r="H54" s="13">
        <v>10</v>
      </c>
      <c r="I54" s="13">
        <v>39</v>
      </c>
      <c r="J54" s="13">
        <v>190</v>
      </c>
      <c r="K54" s="13">
        <v>44</v>
      </c>
      <c r="L54" s="13">
        <v>36</v>
      </c>
      <c r="M54" s="13">
        <v>40</v>
      </c>
      <c r="N54" s="13">
        <v>26</v>
      </c>
      <c r="O54" s="13">
        <v>8</v>
      </c>
      <c r="P54" s="13">
        <v>15</v>
      </c>
      <c r="Q54" s="13">
        <v>16</v>
      </c>
      <c r="R54" s="13">
        <v>12</v>
      </c>
      <c r="S54" s="13">
        <v>0</v>
      </c>
      <c r="T54" s="13">
        <v>35</v>
      </c>
      <c r="U54" s="13">
        <v>227</v>
      </c>
      <c r="V54" s="13">
        <v>6</v>
      </c>
      <c r="W54" s="13">
        <v>0</v>
      </c>
      <c r="X54" s="13">
        <v>19</v>
      </c>
      <c r="Y54" s="13">
        <v>15</v>
      </c>
      <c r="Z54" s="13">
        <v>21</v>
      </c>
      <c r="AA54" s="13">
        <v>5</v>
      </c>
      <c r="AB54" s="13">
        <v>20</v>
      </c>
      <c r="AD54" s="13">
        <v>62</v>
      </c>
      <c r="AE54" s="13">
        <v>9</v>
      </c>
      <c r="AF54" s="13">
        <v>26</v>
      </c>
      <c r="AG54" s="13">
        <v>21</v>
      </c>
      <c r="AH54" s="13">
        <v>0</v>
      </c>
      <c r="AI54" s="13">
        <v>0</v>
      </c>
      <c r="AK54" s="7">
        <f t="shared" si="0"/>
        <v>973</v>
      </c>
    </row>
    <row r="55" spans="2:37" x14ac:dyDescent="0.2">
      <c r="B55" s="2">
        <v>1111070</v>
      </c>
      <c r="C55" s="3" t="s">
        <v>86</v>
      </c>
      <c r="D55" s="9"/>
      <c r="E55" s="13">
        <v>1</v>
      </c>
      <c r="F55" s="13">
        <v>0</v>
      </c>
      <c r="G55" s="13">
        <v>0</v>
      </c>
      <c r="H55" s="13">
        <v>2</v>
      </c>
      <c r="I55" s="13">
        <v>0</v>
      </c>
      <c r="J55" s="13">
        <v>0</v>
      </c>
      <c r="K55" s="13">
        <v>0</v>
      </c>
      <c r="L55" s="13">
        <v>2</v>
      </c>
      <c r="M55" s="13">
        <v>2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2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D55" s="13">
        <v>0</v>
      </c>
      <c r="AE55" s="13">
        <v>1</v>
      </c>
      <c r="AF55" s="13">
        <v>2</v>
      </c>
      <c r="AG55" s="13">
        <v>0</v>
      </c>
      <c r="AH55" s="13">
        <v>0</v>
      </c>
      <c r="AI55" s="13">
        <v>0</v>
      </c>
      <c r="AK55" s="7">
        <f t="shared" si="0"/>
        <v>12</v>
      </c>
    </row>
    <row r="56" spans="2:37" x14ac:dyDescent="0.2">
      <c r="B56" s="2">
        <v>1111071</v>
      </c>
      <c r="C56" s="3" t="s">
        <v>87</v>
      </c>
      <c r="D56" s="9"/>
      <c r="E56" s="13">
        <v>5</v>
      </c>
      <c r="F56" s="13">
        <v>0</v>
      </c>
      <c r="G56" s="13">
        <v>7</v>
      </c>
      <c r="H56" s="13">
        <v>2</v>
      </c>
      <c r="I56" s="13">
        <v>0</v>
      </c>
      <c r="J56" s="13">
        <v>0</v>
      </c>
      <c r="K56" s="13">
        <v>0</v>
      </c>
      <c r="L56" s="13">
        <v>3</v>
      </c>
      <c r="M56" s="13">
        <v>2</v>
      </c>
      <c r="N56" s="13">
        <v>1</v>
      </c>
      <c r="O56" s="13">
        <v>2</v>
      </c>
      <c r="P56" s="13">
        <v>5</v>
      </c>
      <c r="Q56" s="13">
        <v>9</v>
      </c>
      <c r="R56" s="13">
        <v>3</v>
      </c>
      <c r="S56" s="13">
        <v>0</v>
      </c>
      <c r="T56" s="13">
        <v>2</v>
      </c>
      <c r="U56" s="13">
        <v>205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D56" s="13">
        <v>2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K56" s="7">
        <f t="shared" si="0"/>
        <v>249</v>
      </c>
    </row>
    <row r="57" spans="2:37" x14ac:dyDescent="0.2">
      <c r="B57" s="2">
        <v>1111072</v>
      </c>
      <c r="C57" s="3" t="s">
        <v>100</v>
      </c>
      <c r="D57" s="9"/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K57" s="7">
        <f t="shared" si="0"/>
        <v>0</v>
      </c>
    </row>
    <row r="58" spans="2:37" x14ac:dyDescent="0.2">
      <c r="B58" s="2">
        <v>1111073</v>
      </c>
      <c r="C58" s="3" t="s">
        <v>114</v>
      </c>
      <c r="D58" s="9"/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K58" s="7">
        <f t="shared" si="0"/>
        <v>0</v>
      </c>
    </row>
    <row r="59" spans="2:37" x14ac:dyDescent="0.2">
      <c r="B59" s="2">
        <v>1111001</v>
      </c>
      <c r="C59" s="3" t="s">
        <v>163</v>
      </c>
      <c r="D59" s="9"/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2</v>
      </c>
      <c r="L59" s="13">
        <v>0</v>
      </c>
      <c r="M59" s="13">
        <v>24</v>
      </c>
      <c r="N59" s="13">
        <v>54</v>
      </c>
      <c r="O59" s="13">
        <v>0</v>
      </c>
      <c r="P59" s="13">
        <v>3</v>
      </c>
      <c r="Q59" s="13">
        <v>4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500</v>
      </c>
      <c r="X59" s="13">
        <v>5</v>
      </c>
      <c r="Y59" s="13">
        <v>0</v>
      </c>
      <c r="Z59" s="13">
        <v>0</v>
      </c>
      <c r="AA59" s="13">
        <v>14</v>
      </c>
      <c r="AB59" s="13">
        <v>0</v>
      </c>
      <c r="AD59" s="13">
        <v>0</v>
      </c>
      <c r="AE59" s="13">
        <v>0</v>
      </c>
      <c r="AF59" s="13">
        <v>8</v>
      </c>
      <c r="AG59" s="13">
        <v>0</v>
      </c>
      <c r="AH59" s="13">
        <v>0</v>
      </c>
      <c r="AI59" s="13">
        <v>0</v>
      </c>
      <c r="AK59" s="7">
        <f t="shared" si="0"/>
        <v>614</v>
      </c>
    </row>
    <row r="60" spans="2:37" x14ac:dyDescent="0.2">
      <c r="B60" s="2">
        <v>1111074</v>
      </c>
      <c r="C60" s="3" t="s">
        <v>84</v>
      </c>
      <c r="D60" s="9"/>
      <c r="E60" s="13">
        <v>26</v>
      </c>
      <c r="F60" s="13">
        <v>12</v>
      </c>
      <c r="G60" s="13">
        <v>18</v>
      </c>
      <c r="H60" s="13">
        <v>78</v>
      </c>
      <c r="I60" s="13">
        <v>62</v>
      </c>
      <c r="J60" s="13">
        <v>15</v>
      </c>
      <c r="K60" s="13">
        <v>11</v>
      </c>
      <c r="L60" s="13">
        <v>18</v>
      </c>
      <c r="M60" s="13">
        <v>46</v>
      </c>
      <c r="N60" s="13">
        <v>11</v>
      </c>
      <c r="O60" s="13">
        <v>24</v>
      </c>
      <c r="P60" s="13">
        <v>7</v>
      </c>
      <c r="Q60" s="13">
        <v>11</v>
      </c>
      <c r="R60" s="13">
        <v>16</v>
      </c>
      <c r="S60" s="13">
        <v>27</v>
      </c>
      <c r="T60" s="13">
        <v>13</v>
      </c>
      <c r="U60" s="13">
        <v>15</v>
      </c>
      <c r="V60" s="13">
        <v>7</v>
      </c>
      <c r="W60" s="13">
        <v>8</v>
      </c>
      <c r="X60" s="13">
        <v>5</v>
      </c>
      <c r="Y60" s="13">
        <v>157</v>
      </c>
      <c r="Z60" s="13">
        <v>69</v>
      </c>
      <c r="AA60" s="13">
        <v>4</v>
      </c>
      <c r="AB60" s="13">
        <v>17</v>
      </c>
      <c r="AD60" s="13">
        <v>25</v>
      </c>
      <c r="AE60" s="13">
        <v>10</v>
      </c>
      <c r="AF60" s="13">
        <v>19</v>
      </c>
      <c r="AG60" s="13">
        <v>17</v>
      </c>
      <c r="AH60" s="13">
        <v>5</v>
      </c>
      <c r="AI60" s="13">
        <v>9</v>
      </c>
      <c r="AK60" s="7">
        <f t="shared" si="0"/>
        <v>762</v>
      </c>
    </row>
    <row r="61" spans="2:37" x14ac:dyDescent="0.2">
      <c r="B61" s="2">
        <v>1111075</v>
      </c>
      <c r="C61" s="3" t="s">
        <v>90</v>
      </c>
      <c r="D61" s="9"/>
      <c r="E61" s="13">
        <v>30</v>
      </c>
      <c r="F61" s="13">
        <v>17</v>
      </c>
      <c r="G61" s="13">
        <v>15</v>
      </c>
      <c r="H61" s="13">
        <v>74</v>
      </c>
      <c r="I61" s="13">
        <v>58</v>
      </c>
      <c r="J61" s="13">
        <v>13</v>
      </c>
      <c r="K61" s="13">
        <v>11</v>
      </c>
      <c r="L61" s="13">
        <v>14</v>
      </c>
      <c r="M61" s="13">
        <v>45</v>
      </c>
      <c r="N61" s="13">
        <v>10</v>
      </c>
      <c r="O61" s="13">
        <v>24</v>
      </c>
      <c r="P61" s="13">
        <v>8</v>
      </c>
      <c r="Q61" s="13">
        <v>11</v>
      </c>
      <c r="R61" s="13">
        <v>17</v>
      </c>
      <c r="S61" s="13">
        <v>32</v>
      </c>
      <c r="T61" s="13">
        <v>13</v>
      </c>
      <c r="U61" s="13">
        <v>14</v>
      </c>
      <c r="V61" s="13">
        <v>3</v>
      </c>
      <c r="W61" s="13">
        <v>8</v>
      </c>
      <c r="X61" s="13">
        <v>6</v>
      </c>
      <c r="Y61" s="13">
        <v>147</v>
      </c>
      <c r="Z61" s="13">
        <v>69</v>
      </c>
      <c r="AA61" s="13">
        <v>3</v>
      </c>
      <c r="AB61" s="13">
        <v>12</v>
      </c>
      <c r="AD61" s="13">
        <v>20</v>
      </c>
      <c r="AE61" s="13">
        <v>6</v>
      </c>
      <c r="AF61" s="13">
        <v>23</v>
      </c>
      <c r="AG61" s="13">
        <v>19</v>
      </c>
      <c r="AH61" s="13">
        <v>5</v>
      </c>
      <c r="AI61" s="13">
        <v>13</v>
      </c>
      <c r="AK61" s="7">
        <f t="shared" si="0"/>
        <v>740</v>
      </c>
    </row>
    <row r="62" spans="2:37" x14ac:dyDescent="0.2">
      <c r="B62" s="2">
        <v>1111076</v>
      </c>
      <c r="C62" s="3" t="s">
        <v>91</v>
      </c>
      <c r="D62" s="9"/>
      <c r="E62" s="13">
        <v>22</v>
      </c>
      <c r="F62" s="13">
        <v>12</v>
      </c>
      <c r="G62" s="13">
        <v>19</v>
      </c>
      <c r="H62" s="13">
        <v>75</v>
      </c>
      <c r="I62" s="13">
        <v>58</v>
      </c>
      <c r="J62" s="13">
        <v>13</v>
      </c>
      <c r="K62" s="13">
        <v>21</v>
      </c>
      <c r="L62" s="13">
        <v>18</v>
      </c>
      <c r="M62" s="13">
        <v>47</v>
      </c>
      <c r="N62" s="13">
        <v>14</v>
      </c>
      <c r="O62" s="13">
        <v>23</v>
      </c>
      <c r="P62" s="13">
        <v>9</v>
      </c>
      <c r="Q62" s="13">
        <v>7</v>
      </c>
      <c r="R62" s="13">
        <v>13</v>
      </c>
      <c r="S62" s="13">
        <v>37</v>
      </c>
      <c r="T62" s="13">
        <v>13</v>
      </c>
      <c r="U62" s="13">
        <v>13</v>
      </c>
      <c r="V62" s="13">
        <v>5</v>
      </c>
      <c r="W62" s="13">
        <v>9</v>
      </c>
      <c r="X62" s="13">
        <v>9</v>
      </c>
      <c r="Y62" s="13">
        <v>149</v>
      </c>
      <c r="Z62" s="13">
        <v>71</v>
      </c>
      <c r="AA62" s="13">
        <v>2</v>
      </c>
      <c r="AB62" s="13">
        <v>21</v>
      </c>
      <c r="AD62" s="13">
        <v>20</v>
      </c>
      <c r="AE62" s="13">
        <v>8</v>
      </c>
      <c r="AF62" s="13">
        <v>20</v>
      </c>
      <c r="AG62" s="13">
        <v>12</v>
      </c>
      <c r="AH62" s="13">
        <v>5</v>
      </c>
      <c r="AI62" s="13">
        <v>11</v>
      </c>
      <c r="AK62" s="7">
        <f t="shared" si="0"/>
        <v>756</v>
      </c>
    </row>
    <row r="63" spans="2:37" x14ac:dyDescent="0.2">
      <c r="B63" s="2">
        <v>1111077</v>
      </c>
      <c r="C63" s="3" t="s">
        <v>92</v>
      </c>
      <c r="D63" s="9"/>
      <c r="E63" s="13">
        <v>30</v>
      </c>
      <c r="F63" s="13">
        <v>12</v>
      </c>
      <c r="G63" s="13">
        <v>16</v>
      </c>
      <c r="H63" s="13">
        <v>73</v>
      </c>
      <c r="I63" s="13">
        <v>49</v>
      </c>
      <c r="J63" s="13">
        <v>17</v>
      </c>
      <c r="K63" s="13">
        <v>11</v>
      </c>
      <c r="L63" s="13">
        <v>15</v>
      </c>
      <c r="M63" s="13">
        <v>46</v>
      </c>
      <c r="N63" s="13">
        <v>9</v>
      </c>
      <c r="O63" s="13">
        <v>25</v>
      </c>
      <c r="P63" s="13">
        <v>9</v>
      </c>
      <c r="Q63" s="13">
        <v>12</v>
      </c>
      <c r="R63" s="13">
        <v>15</v>
      </c>
      <c r="S63" s="13">
        <v>31</v>
      </c>
      <c r="T63" s="13">
        <v>12</v>
      </c>
      <c r="U63" s="13">
        <v>16</v>
      </c>
      <c r="V63" s="13">
        <v>5</v>
      </c>
      <c r="W63" s="13">
        <v>8</v>
      </c>
      <c r="X63" s="13">
        <v>4</v>
      </c>
      <c r="Y63" s="13">
        <v>145</v>
      </c>
      <c r="Z63" s="13">
        <v>66</v>
      </c>
      <c r="AA63" s="13">
        <v>4</v>
      </c>
      <c r="AB63" s="13">
        <v>14</v>
      </c>
      <c r="AD63" s="13">
        <v>17</v>
      </c>
      <c r="AE63" s="13">
        <v>6</v>
      </c>
      <c r="AF63" s="13">
        <v>24</v>
      </c>
      <c r="AG63" s="13">
        <v>17</v>
      </c>
      <c r="AH63" s="13">
        <v>8</v>
      </c>
      <c r="AI63" s="13">
        <v>14</v>
      </c>
      <c r="AK63" s="7">
        <f t="shared" si="0"/>
        <v>730</v>
      </c>
    </row>
    <row r="64" spans="2:37" x14ac:dyDescent="0.2">
      <c r="B64" s="2">
        <v>1111078</v>
      </c>
      <c r="C64" s="3" t="s">
        <v>93</v>
      </c>
      <c r="D64" s="9"/>
      <c r="E64" s="13">
        <v>23</v>
      </c>
      <c r="F64" s="13">
        <v>11</v>
      </c>
      <c r="G64" s="13">
        <v>14</v>
      </c>
      <c r="H64" s="13">
        <v>60</v>
      </c>
      <c r="I64" s="13">
        <v>54</v>
      </c>
      <c r="J64" s="13">
        <v>14</v>
      </c>
      <c r="K64" s="13">
        <v>11</v>
      </c>
      <c r="L64" s="13">
        <v>14</v>
      </c>
      <c r="M64" s="13">
        <v>37</v>
      </c>
      <c r="N64" s="13">
        <v>10</v>
      </c>
      <c r="O64" s="13">
        <v>22</v>
      </c>
      <c r="P64" s="13">
        <v>6</v>
      </c>
      <c r="Q64" s="13">
        <v>7</v>
      </c>
      <c r="R64" s="13">
        <v>16</v>
      </c>
      <c r="S64" s="13">
        <v>25</v>
      </c>
      <c r="T64" s="13">
        <v>10</v>
      </c>
      <c r="U64" s="13">
        <v>12</v>
      </c>
      <c r="V64" s="13">
        <v>4</v>
      </c>
      <c r="W64" s="13">
        <v>5</v>
      </c>
      <c r="X64" s="13">
        <v>3</v>
      </c>
      <c r="Y64" s="13">
        <v>129</v>
      </c>
      <c r="Z64" s="13">
        <v>58</v>
      </c>
      <c r="AA64" s="13">
        <v>2</v>
      </c>
      <c r="AB64" s="13">
        <v>9</v>
      </c>
      <c r="AD64" s="13">
        <v>9</v>
      </c>
      <c r="AE64" s="13">
        <v>8</v>
      </c>
      <c r="AF64" s="13">
        <v>17</v>
      </c>
      <c r="AG64" s="13">
        <v>8</v>
      </c>
      <c r="AH64" s="13">
        <v>6</v>
      </c>
      <c r="AI64" s="13">
        <v>9</v>
      </c>
      <c r="AK64" s="7">
        <f t="shared" si="0"/>
        <v>613</v>
      </c>
    </row>
    <row r="65" spans="2:37" x14ac:dyDescent="0.2">
      <c r="B65" s="2">
        <v>1111079</v>
      </c>
      <c r="C65" s="3" t="s">
        <v>94</v>
      </c>
      <c r="D65" s="9"/>
      <c r="E65" s="13">
        <v>26</v>
      </c>
      <c r="F65" s="13">
        <v>12</v>
      </c>
      <c r="G65" s="13">
        <v>21</v>
      </c>
      <c r="H65" s="13">
        <v>70</v>
      </c>
      <c r="I65" s="13">
        <v>71</v>
      </c>
      <c r="J65" s="13">
        <v>19</v>
      </c>
      <c r="K65" s="13">
        <v>13</v>
      </c>
      <c r="L65" s="13">
        <v>16</v>
      </c>
      <c r="M65" s="13">
        <v>51</v>
      </c>
      <c r="N65" s="13">
        <v>12</v>
      </c>
      <c r="O65" s="13">
        <v>25</v>
      </c>
      <c r="P65" s="13">
        <v>7</v>
      </c>
      <c r="Q65" s="13">
        <v>9</v>
      </c>
      <c r="R65" s="13">
        <v>16</v>
      </c>
      <c r="S65" s="13">
        <v>26</v>
      </c>
      <c r="T65" s="13">
        <v>13</v>
      </c>
      <c r="U65" s="13">
        <v>15</v>
      </c>
      <c r="V65" s="13">
        <v>7</v>
      </c>
      <c r="W65" s="13">
        <v>9</v>
      </c>
      <c r="X65" s="13">
        <v>6</v>
      </c>
      <c r="Y65" s="13">
        <v>150</v>
      </c>
      <c r="Z65" s="13">
        <v>64</v>
      </c>
      <c r="AA65" s="13">
        <v>5</v>
      </c>
      <c r="AB65" s="13">
        <v>11</v>
      </c>
      <c r="AD65" s="13">
        <v>22</v>
      </c>
      <c r="AE65" s="13">
        <v>13</v>
      </c>
      <c r="AF65" s="13">
        <v>25</v>
      </c>
      <c r="AG65" s="13">
        <v>9</v>
      </c>
      <c r="AH65" s="13">
        <v>7</v>
      </c>
      <c r="AI65" s="13">
        <v>9</v>
      </c>
      <c r="AK65" s="7">
        <f t="shared" si="0"/>
        <v>759</v>
      </c>
    </row>
    <row r="66" spans="2:37" x14ac:dyDescent="0.2">
      <c r="B66" s="2">
        <v>1111080</v>
      </c>
      <c r="C66" s="3" t="s">
        <v>95</v>
      </c>
      <c r="D66" s="9"/>
      <c r="E66" s="13">
        <v>33</v>
      </c>
      <c r="F66" s="13">
        <v>14</v>
      </c>
      <c r="G66" s="13">
        <v>29</v>
      </c>
      <c r="H66" s="13">
        <v>97</v>
      </c>
      <c r="I66" s="13">
        <v>82</v>
      </c>
      <c r="J66" s="13">
        <v>26</v>
      </c>
      <c r="K66" s="13">
        <v>22</v>
      </c>
      <c r="L66" s="13">
        <v>19</v>
      </c>
      <c r="M66" s="13">
        <v>51</v>
      </c>
      <c r="N66" s="13">
        <v>14</v>
      </c>
      <c r="O66" s="13">
        <v>32</v>
      </c>
      <c r="P66" s="13">
        <v>12</v>
      </c>
      <c r="Q66" s="13">
        <v>19</v>
      </c>
      <c r="R66" s="13">
        <v>20</v>
      </c>
      <c r="S66" s="13">
        <v>40</v>
      </c>
      <c r="T66" s="13">
        <v>13</v>
      </c>
      <c r="U66" s="13">
        <v>27</v>
      </c>
      <c r="V66" s="13">
        <v>4</v>
      </c>
      <c r="W66" s="13">
        <v>11</v>
      </c>
      <c r="X66" s="13">
        <v>8</v>
      </c>
      <c r="Y66" s="13">
        <v>163</v>
      </c>
      <c r="Z66" s="13">
        <v>72</v>
      </c>
      <c r="AA66" s="13">
        <v>12</v>
      </c>
      <c r="AB66" s="13">
        <v>24</v>
      </c>
      <c r="AD66" s="13">
        <v>23</v>
      </c>
      <c r="AE66" s="13">
        <v>16</v>
      </c>
      <c r="AF66" s="13">
        <v>21</v>
      </c>
      <c r="AG66" s="13">
        <v>27</v>
      </c>
      <c r="AH66" s="13">
        <v>7</v>
      </c>
      <c r="AI66" s="13">
        <v>34</v>
      </c>
      <c r="AK66" s="7">
        <f t="shared" si="0"/>
        <v>972</v>
      </c>
    </row>
    <row r="67" spans="2:37" x14ac:dyDescent="0.2">
      <c r="B67" s="2">
        <v>1111081</v>
      </c>
      <c r="C67" s="3" t="s">
        <v>97</v>
      </c>
      <c r="D67" s="9"/>
      <c r="E67" s="13">
        <v>15</v>
      </c>
      <c r="F67" s="13">
        <v>2</v>
      </c>
      <c r="G67" s="13">
        <v>4</v>
      </c>
      <c r="H67" s="13">
        <v>27</v>
      </c>
      <c r="I67" s="13">
        <v>48</v>
      </c>
      <c r="J67" s="13">
        <v>7</v>
      </c>
      <c r="K67" s="13">
        <v>8</v>
      </c>
      <c r="L67" s="13">
        <v>14</v>
      </c>
      <c r="M67" s="13">
        <v>36</v>
      </c>
      <c r="N67" s="13">
        <v>8</v>
      </c>
      <c r="O67" s="13">
        <v>14</v>
      </c>
      <c r="P67" s="13">
        <v>7</v>
      </c>
      <c r="Q67" s="13">
        <v>9</v>
      </c>
      <c r="R67" s="13">
        <v>1</v>
      </c>
      <c r="S67" s="13">
        <v>27</v>
      </c>
      <c r="T67" s="13">
        <v>6</v>
      </c>
      <c r="U67" s="13">
        <v>12</v>
      </c>
      <c r="V67" s="13">
        <v>5</v>
      </c>
      <c r="W67" s="13">
        <v>5</v>
      </c>
      <c r="X67" s="13">
        <v>1</v>
      </c>
      <c r="Y67" s="13">
        <v>146</v>
      </c>
      <c r="Z67" s="13">
        <v>58</v>
      </c>
      <c r="AA67" s="13">
        <v>5</v>
      </c>
      <c r="AB67" s="13">
        <v>8</v>
      </c>
      <c r="AD67" s="13">
        <v>19</v>
      </c>
      <c r="AE67" s="13">
        <v>4</v>
      </c>
      <c r="AF67" s="13">
        <v>14</v>
      </c>
      <c r="AG67" s="13">
        <v>10</v>
      </c>
      <c r="AH67" s="13">
        <v>4</v>
      </c>
      <c r="AI67" s="13">
        <v>2</v>
      </c>
      <c r="AK67" s="7">
        <f t="shared" si="0"/>
        <v>526</v>
      </c>
    </row>
    <row r="68" spans="2:37" x14ac:dyDescent="0.2">
      <c r="B68" s="2">
        <v>1111082</v>
      </c>
      <c r="C68" s="3" t="s">
        <v>98</v>
      </c>
      <c r="D68" s="9"/>
      <c r="E68" s="13">
        <v>22</v>
      </c>
      <c r="F68" s="13">
        <v>7</v>
      </c>
      <c r="G68" s="13">
        <v>6</v>
      </c>
      <c r="H68" s="13">
        <v>33</v>
      </c>
      <c r="I68" s="13">
        <v>46</v>
      </c>
      <c r="J68" s="13">
        <v>11</v>
      </c>
      <c r="K68" s="13">
        <v>8</v>
      </c>
      <c r="L68" s="13">
        <v>14</v>
      </c>
      <c r="M68" s="13">
        <v>37</v>
      </c>
      <c r="N68" s="13">
        <v>6</v>
      </c>
      <c r="O68" s="13">
        <v>15</v>
      </c>
      <c r="P68" s="13">
        <v>4</v>
      </c>
      <c r="Q68" s="13">
        <v>7</v>
      </c>
      <c r="R68" s="13">
        <v>1</v>
      </c>
      <c r="S68" s="13">
        <v>15</v>
      </c>
      <c r="T68" s="13">
        <v>4</v>
      </c>
      <c r="U68" s="13">
        <v>10</v>
      </c>
      <c r="V68" s="13">
        <v>4</v>
      </c>
      <c r="W68" s="13">
        <v>4</v>
      </c>
      <c r="X68" s="13">
        <v>6</v>
      </c>
      <c r="Y68" s="13">
        <v>151</v>
      </c>
      <c r="Z68" s="13">
        <v>66</v>
      </c>
      <c r="AA68" s="13">
        <v>5</v>
      </c>
      <c r="AB68" s="13">
        <v>6</v>
      </c>
      <c r="AD68" s="13">
        <v>21</v>
      </c>
      <c r="AE68" s="13">
        <v>4</v>
      </c>
      <c r="AF68" s="13">
        <v>18</v>
      </c>
      <c r="AG68" s="13">
        <v>16</v>
      </c>
      <c r="AH68" s="13">
        <v>5</v>
      </c>
      <c r="AI68" s="13">
        <v>4</v>
      </c>
      <c r="AK68" s="7">
        <f t="shared" si="0"/>
        <v>556</v>
      </c>
    </row>
    <row r="69" spans="2:37" x14ac:dyDescent="0.2">
      <c r="B69" s="2">
        <v>1111083</v>
      </c>
      <c r="C69" s="3" t="s">
        <v>99</v>
      </c>
      <c r="D69" s="9"/>
      <c r="E69" s="13">
        <v>11</v>
      </c>
      <c r="F69" s="13">
        <v>2</v>
      </c>
      <c r="G69" s="13">
        <v>2</v>
      </c>
      <c r="H69" s="13">
        <v>1</v>
      </c>
      <c r="I69" s="13">
        <v>2</v>
      </c>
      <c r="J69" s="13">
        <v>7</v>
      </c>
      <c r="K69" s="13">
        <v>8</v>
      </c>
      <c r="L69" s="13">
        <v>15</v>
      </c>
      <c r="M69" s="13">
        <v>23</v>
      </c>
      <c r="N69" s="13">
        <v>6</v>
      </c>
      <c r="O69" s="13">
        <v>13</v>
      </c>
      <c r="P69" s="13">
        <v>7</v>
      </c>
      <c r="Q69" s="13">
        <v>7</v>
      </c>
      <c r="R69" s="13">
        <v>1</v>
      </c>
      <c r="S69" s="13">
        <v>13</v>
      </c>
      <c r="T69" s="13">
        <v>4</v>
      </c>
      <c r="U69" s="13">
        <v>4</v>
      </c>
      <c r="V69" s="13">
        <v>0</v>
      </c>
      <c r="W69" s="13">
        <v>5</v>
      </c>
      <c r="X69" s="13">
        <v>2</v>
      </c>
      <c r="Y69" s="13">
        <v>126</v>
      </c>
      <c r="Z69" s="13">
        <v>56</v>
      </c>
      <c r="AA69" s="13">
        <v>2</v>
      </c>
      <c r="AB69" s="13">
        <v>1</v>
      </c>
      <c r="AD69" s="13">
        <v>6</v>
      </c>
      <c r="AE69" s="13">
        <v>5</v>
      </c>
      <c r="AF69" s="13">
        <v>12</v>
      </c>
      <c r="AG69" s="13">
        <v>4</v>
      </c>
      <c r="AH69" s="13">
        <v>2</v>
      </c>
      <c r="AI69" s="13">
        <v>0</v>
      </c>
      <c r="AK69" s="7">
        <f t="shared" si="0"/>
        <v>347</v>
      </c>
    </row>
    <row r="70" spans="2:37" x14ac:dyDescent="0.2">
      <c r="B70" s="2">
        <v>1111010</v>
      </c>
      <c r="C70" s="3" t="s">
        <v>164</v>
      </c>
      <c r="D70" s="9"/>
      <c r="E70" s="13">
        <v>0</v>
      </c>
      <c r="F70" s="13">
        <v>0</v>
      </c>
      <c r="G70" s="13">
        <v>0</v>
      </c>
      <c r="H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120</v>
      </c>
      <c r="Q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10</v>
      </c>
      <c r="Z70" s="13">
        <v>0</v>
      </c>
      <c r="AA70" s="13">
        <v>0</v>
      </c>
      <c r="AB70" s="13">
        <v>0</v>
      </c>
      <c r="AF70" s="13">
        <v>0</v>
      </c>
      <c r="AG70" s="13">
        <v>20</v>
      </c>
      <c r="AH70" s="13">
        <v>0</v>
      </c>
      <c r="AI70" s="13">
        <v>0</v>
      </c>
      <c r="AK70" s="7">
        <f t="shared" si="0"/>
        <v>150</v>
      </c>
    </row>
    <row r="71" spans="2:37" ht="19.5" x14ac:dyDescent="0.2">
      <c r="B71" s="30" t="s">
        <v>21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</row>
    <row r="72" spans="2:37" x14ac:dyDescent="0.2">
      <c r="B72" s="2">
        <v>1111009</v>
      </c>
      <c r="C72" s="4" t="s">
        <v>12</v>
      </c>
      <c r="E72" s="13">
        <v>80</v>
      </c>
      <c r="F72" s="13">
        <v>58</v>
      </c>
      <c r="G72" s="13">
        <v>76</v>
      </c>
      <c r="H72" s="13">
        <v>67</v>
      </c>
      <c r="I72" s="13">
        <v>93</v>
      </c>
      <c r="J72" s="13">
        <v>84</v>
      </c>
      <c r="K72" s="13">
        <v>68</v>
      </c>
      <c r="L72" s="13">
        <v>76</v>
      </c>
      <c r="M72" s="13">
        <v>50</v>
      </c>
      <c r="N72" s="13">
        <v>94</v>
      </c>
      <c r="O72" s="13">
        <v>64</v>
      </c>
      <c r="P72" s="13">
        <v>30</v>
      </c>
      <c r="Q72" s="13">
        <v>29</v>
      </c>
      <c r="R72" s="13">
        <v>16</v>
      </c>
      <c r="S72" s="13">
        <v>53</v>
      </c>
      <c r="T72" s="13">
        <v>47</v>
      </c>
      <c r="U72" s="13">
        <v>18</v>
      </c>
      <c r="V72" s="13">
        <v>15</v>
      </c>
      <c r="W72" s="13">
        <v>37</v>
      </c>
      <c r="X72" s="13">
        <v>20</v>
      </c>
      <c r="Y72" s="13">
        <v>20</v>
      </c>
      <c r="Z72" s="13">
        <v>19</v>
      </c>
      <c r="AA72" s="13">
        <v>55</v>
      </c>
      <c r="AB72" s="13">
        <v>33</v>
      </c>
      <c r="AD72" s="13">
        <v>23</v>
      </c>
      <c r="AE72" s="13">
        <v>32</v>
      </c>
      <c r="AF72" s="13">
        <v>22</v>
      </c>
      <c r="AG72" s="13">
        <v>37</v>
      </c>
      <c r="AH72" s="13">
        <v>114</v>
      </c>
      <c r="AI72" s="13">
        <v>15</v>
      </c>
      <c r="AK72" s="7">
        <f t="shared" ref="AK72:AK79" si="1">SUM(D72:AJ72)</f>
        <v>1445</v>
      </c>
    </row>
    <row r="73" spans="2:37" x14ac:dyDescent="0.2">
      <c r="B73" s="2">
        <v>1111023</v>
      </c>
      <c r="C73" s="4" t="s">
        <v>13</v>
      </c>
      <c r="E73" s="13">
        <v>0</v>
      </c>
      <c r="F73" s="13">
        <v>0</v>
      </c>
      <c r="G73" s="13">
        <v>0</v>
      </c>
      <c r="H73" s="13">
        <v>1</v>
      </c>
      <c r="I73" s="13">
        <v>0</v>
      </c>
      <c r="J73" s="13">
        <v>0</v>
      </c>
      <c r="K73" s="13">
        <v>0</v>
      </c>
      <c r="L73" s="13">
        <v>4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1</v>
      </c>
      <c r="U73" s="13">
        <v>0</v>
      </c>
      <c r="V73" s="13">
        <v>0</v>
      </c>
      <c r="W73" s="13">
        <v>0</v>
      </c>
      <c r="X73" s="13">
        <v>1</v>
      </c>
      <c r="Y73" s="13">
        <v>2</v>
      </c>
      <c r="Z73" s="13">
        <v>0</v>
      </c>
      <c r="AA73" s="13">
        <v>0</v>
      </c>
      <c r="AB73" s="13">
        <v>2</v>
      </c>
      <c r="AD73" s="13">
        <v>0</v>
      </c>
      <c r="AE73" s="13">
        <v>1</v>
      </c>
      <c r="AF73" s="13">
        <v>0</v>
      </c>
      <c r="AG73" s="13">
        <v>0</v>
      </c>
      <c r="AH73" s="13">
        <v>0</v>
      </c>
      <c r="AI73" s="13">
        <v>0</v>
      </c>
      <c r="AK73" s="7">
        <f t="shared" si="1"/>
        <v>12</v>
      </c>
    </row>
    <row r="74" spans="2:37" x14ac:dyDescent="0.2">
      <c r="B74" s="2">
        <v>1111016</v>
      </c>
      <c r="C74" s="4" t="s">
        <v>14</v>
      </c>
      <c r="E74" s="13">
        <v>3</v>
      </c>
      <c r="F74" s="13">
        <v>5</v>
      </c>
      <c r="G74" s="13">
        <v>5</v>
      </c>
      <c r="H74" s="13">
        <v>9</v>
      </c>
      <c r="I74" s="13">
        <v>4</v>
      </c>
      <c r="J74" s="13">
        <v>3</v>
      </c>
      <c r="K74" s="13">
        <v>1</v>
      </c>
      <c r="L74" s="13">
        <v>6</v>
      </c>
      <c r="M74" s="13">
        <v>1</v>
      </c>
      <c r="N74" s="13">
        <v>5</v>
      </c>
      <c r="O74" s="13">
        <v>8</v>
      </c>
      <c r="P74" s="13">
        <v>6</v>
      </c>
      <c r="Q74" s="13">
        <v>16</v>
      </c>
      <c r="R74" s="13">
        <v>5</v>
      </c>
      <c r="S74" s="13">
        <v>5</v>
      </c>
      <c r="T74" s="13">
        <v>5</v>
      </c>
      <c r="U74" s="13">
        <v>2</v>
      </c>
      <c r="V74" s="13">
        <v>2</v>
      </c>
      <c r="W74" s="13">
        <v>2</v>
      </c>
      <c r="X74" s="13">
        <v>5</v>
      </c>
      <c r="Y74" s="13">
        <v>6</v>
      </c>
      <c r="Z74" s="13">
        <v>0</v>
      </c>
      <c r="AA74" s="13">
        <v>2</v>
      </c>
      <c r="AB74" s="13">
        <v>5</v>
      </c>
      <c r="AD74" s="13">
        <v>9</v>
      </c>
      <c r="AE74" s="13">
        <v>4</v>
      </c>
      <c r="AF74" s="13">
        <v>1</v>
      </c>
      <c r="AG74" s="13">
        <v>4</v>
      </c>
      <c r="AH74" s="13">
        <v>0</v>
      </c>
      <c r="AI74" s="13">
        <v>3</v>
      </c>
      <c r="AK74" s="7">
        <f t="shared" si="1"/>
        <v>132</v>
      </c>
    </row>
    <row r="75" spans="2:37" x14ac:dyDescent="0.2">
      <c r="B75" s="2">
        <v>1111014</v>
      </c>
      <c r="C75" s="4" t="s">
        <v>15</v>
      </c>
      <c r="E75" s="13">
        <v>0</v>
      </c>
      <c r="F75" s="13">
        <v>0</v>
      </c>
      <c r="G75" s="13">
        <v>0</v>
      </c>
      <c r="H75" s="13">
        <v>1</v>
      </c>
      <c r="I75" s="13">
        <v>1</v>
      </c>
      <c r="J75" s="13">
        <v>3</v>
      </c>
      <c r="K75" s="13">
        <v>0</v>
      </c>
      <c r="L75" s="13">
        <v>1</v>
      </c>
      <c r="M75" s="13">
        <v>0</v>
      </c>
      <c r="N75" s="13">
        <v>0</v>
      </c>
      <c r="O75" s="13">
        <v>0</v>
      </c>
      <c r="P75" s="13">
        <v>1</v>
      </c>
      <c r="Q75" s="13">
        <v>5</v>
      </c>
      <c r="R75" s="13">
        <v>1</v>
      </c>
      <c r="S75" s="13">
        <v>1</v>
      </c>
      <c r="T75" s="13">
        <v>3</v>
      </c>
      <c r="U75" s="13">
        <v>1</v>
      </c>
      <c r="V75" s="13">
        <v>2</v>
      </c>
      <c r="W75" s="13">
        <v>0</v>
      </c>
      <c r="X75" s="13">
        <v>0</v>
      </c>
      <c r="Y75" s="13">
        <v>2</v>
      </c>
      <c r="Z75" s="13">
        <v>1</v>
      </c>
      <c r="AA75" s="13">
        <v>1</v>
      </c>
      <c r="AB75" s="13">
        <v>6</v>
      </c>
      <c r="AD75" s="13">
        <v>2</v>
      </c>
      <c r="AE75" s="13">
        <v>0</v>
      </c>
      <c r="AF75" s="13">
        <v>1</v>
      </c>
      <c r="AG75" s="13">
        <v>0</v>
      </c>
      <c r="AH75" s="13">
        <v>1</v>
      </c>
      <c r="AI75" s="13">
        <v>0</v>
      </c>
      <c r="AK75" s="7">
        <f t="shared" si="1"/>
        <v>34</v>
      </c>
    </row>
    <row r="76" spans="2:37" x14ac:dyDescent="0.2">
      <c r="B76" s="2">
        <v>1111025</v>
      </c>
      <c r="C76" s="4" t="s">
        <v>16</v>
      </c>
      <c r="E76" s="13">
        <v>0</v>
      </c>
      <c r="F76" s="13">
        <v>0</v>
      </c>
      <c r="G76" s="13">
        <v>0</v>
      </c>
      <c r="H76" s="13">
        <v>3</v>
      </c>
      <c r="I76" s="13">
        <v>0</v>
      </c>
      <c r="J76" s="13">
        <v>2</v>
      </c>
      <c r="K76" s="13">
        <v>0</v>
      </c>
      <c r="L76" s="13">
        <v>3</v>
      </c>
      <c r="M76" s="13">
        <v>0</v>
      </c>
      <c r="N76" s="13">
        <v>1</v>
      </c>
      <c r="O76" s="13">
        <v>1</v>
      </c>
      <c r="P76" s="13">
        <v>1</v>
      </c>
      <c r="Q76" s="13">
        <v>0</v>
      </c>
      <c r="R76" s="13">
        <v>4</v>
      </c>
      <c r="S76" s="13">
        <v>0</v>
      </c>
      <c r="T76" s="13">
        <v>1</v>
      </c>
      <c r="U76" s="13">
        <v>0</v>
      </c>
      <c r="V76" s="13">
        <v>0</v>
      </c>
      <c r="W76" s="13">
        <v>1</v>
      </c>
      <c r="X76" s="13">
        <v>1</v>
      </c>
      <c r="Y76" s="13">
        <v>0</v>
      </c>
      <c r="Z76" s="13">
        <v>0</v>
      </c>
      <c r="AA76" s="13">
        <v>0</v>
      </c>
      <c r="AB76" s="13">
        <v>2</v>
      </c>
      <c r="AD76" s="13">
        <v>2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K76" s="7">
        <f t="shared" si="1"/>
        <v>22</v>
      </c>
    </row>
    <row r="77" spans="2:37" x14ac:dyDescent="0.2">
      <c r="B77" s="2">
        <v>1111018</v>
      </c>
      <c r="C77" s="4" t="s">
        <v>17</v>
      </c>
      <c r="E77" s="13">
        <v>0</v>
      </c>
      <c r="F77" s="13">
        <v>0</v>
      </c>
      <c r="G77" s="13">
        <v>0</v>
      </c>
      <c r="H77" s="13">
        <v>2</v>
      </c>
      <c r="I77" s="13">
        <v>1</v>
      </c>
      <c r="K77" s="13">
        <v>0</v>
      </c>
      <c r="L77" s="13">
        <v>1</v>
      </c>
      <c r="M77" s="13">
        <v>0</v>
      </c>
      <c r="N77" s="13">
        <v>0</v>
      </c>
      <c r="O77" s="13">
        <v>1</v>
      </c>
      <c r="P77" s="13">
        <v>0</v>
      </c>
      <c r="Q77" s="13">
        <v>0</v>
      </c>
      <c r="R77" s="13">
        <v>1</v>
      </c>
      <c r="S77" s="13">
        <v>0</v>
      </c>
      <c r="T77" s="13">
        <v>1</v>
      </c>
      <c r="U77" s="13">
        <v>0</v>
      </c>
      <c r="V77" s="13">
        <v>0</v>
      </c>
      <c r="W77" s="13">
        <v>0</v>
      </c>
      <c r="X77" s="13">
        <v>0</v>
      </c>
      <c r="Y77" s="13">
        <v>2</v>
      </c>
      <c r="Z77" s="13">
        <v>2</v>
      </c>
      <c r="AA77" s="13">
        <v>0</v>
      </c>
      <c r="AB77" s="13">
        <v>2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K77" s="7">
        <f t="shared" si="1"/>
        <v>13</v>
      </c>
    </row>
    <row r="78" spans="2:37" x14ac:dyDescent="0.2">
      <c r="B78" s="2">
        <v>1111012</v>
      </c>
      <c r="C78" s="4" t="s">
        <v>18</v>
      </c>
      <c r="E78" s="13">
        <v>0</v>
      </c>
      <c r="F78" s="13">
        <v>0</v>
      </c>
      <c r="G78" s="13">
        <v>0</v>
      </c>
      <c r="H78" s="13">
        <v>2</v>
      </c>
      <c r="I78" s="13">
        <v>1</v>
      </c>
      <c r="K78" s="13">
        <v>0</v>
      </c>
      <c r="L78" s="13">
        <v>10</v>
      </c>
      <c r="M78" s="13">
        <v>0</v>
      </c>
      <c r="N78" s="13">
        <v>0</v>
      </c>
      <c r="O78" s="13">
        <v>0</v>
      </c>
      <c r="P78" s="13">
        <v>1</v>
      </c>
      <c r="Q78" s="13">
        <v>1</v>
      </c>
      <c r="R78" s="13">
        <v>2</v>
      </c>
      <c r="S78" s="13">
        <v>0</v>
      </c>
      <c r="T78" s="13">
        <v>0</v>
      </c>
      <c r="U78" s="13">
        <v>0</v>
      </c>
      <c r="V78" s="13">
        <v>1</v>
      </c>
      <c r="W78" s="13">
        <v>0</v>
      </c>
      <c r="X78" s="13">
        <v>1</v>
      </c>
      <c r="Y78" s="13">
        <v>0</v>
      </c>
      <c r="Z78" s="13">
        <v>0</v>
      </c>
      <c r="AA78" s="13">
        <v>0</v>
      </c>
      <c r="AB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3">
        <v>1</v>
      </c>
      <c r="AK78" s="7">
        <f t="shared" si="1"/>
        <v>20</v>
      </c>
    </row>
    <row r="79" spans="2:37" x14ac:dyDescent="0.2">
      <c r="B79" s="2">
        <v>1111020</v>
      </c>
      <c r="C79" s="4" t="s">
        <v>19</v>
      </c>
      <c r="E79" s="13">
        <v>1</v>
      </c>
      <c r="F79" s="13">
        <v>12</v>
      </c>
      <c r="G79" s="13">
        <v>6</v>
      </c>
      <c r="H79" s="13">
        <v>5</v>
      </c>
      <c r="I79" s="13">
        <v>3</v>
      </c>
      <c r="K79" s="13">
        <v>10</v>
      </c>
      <c r="L79" s="13">
        <v>3</v>
      </c>
      <c r="M79" s="13">
        <v>5</v>
      </c>
      <c r="N79" s="13">
        <v>4</v>
      </c>
      <c r="O79" s="13">
        <v>5</v>
      </c>
      <c r="P79" s="13">
        <v>1</v>
      </c>
      <c r="Q79" s="13">
        <v>0</v>
      </c>
      <c r="S79" s="13">
        <v>1</v>
      </c>
      <c r="T79" s="13">
        <v>1</v>
      </c>
      <c r="U79" s="13">
        <v>0</v>
      </c>
      <c r="V79" s="13">
        <v>0</v>
      </c>
      <c r="W79" s="13">
        <v>1</v>
      </c>
      <c r="X79" s="13">
        <v>1</v>
      </c>
      <c r="Y79" s="13">
        <v>2</v>
      </c>
      <c r="Z79" s="13">
        <v>0</v>
      </c>
      <c r="AA79" s="13">
        <v>5</v>
      </c>
      <c r="AB79" s="13">
        <v>0</v>
      </c>
      <c r="AD79" s="13">
        <v>8</v>
      </c>
      <c r="AE79" s="13">
        <v>2</v>
      </c>
      <c r="AF79" s="13">
        <v>0</v>
      </c>
      <c r="AG79" s="13">
        <v>1</v>
      </c>
      <c r="AH79" s="13">
        <v>1</v>
      </c>
      <c r="AI79" s="13">
        <v>1</v>
      </c>
      <c r="AK79" s="7">
        <f t="shared" si="1"/>
        <v>79</v>
      </c>
    </row>
    <row r="80" spans="2:37" ht="19.5" x14ac:dyDescent="0.2">
      <c r="B80" s="30" t="s">
        <v>22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</row>
    <row r="81" spans="2:40" x14ac:dyDescent="0.2">
      <c r="B81" s="2">
        <v>1111022</v>
      </c>
      <c r="C81" s="4" t="s">
        <v>23</v>
      </c>
      <c r="E81" s="13">
        <v>4</v>
      </c>
      <c r="F81" s="13">
        <v>3</v>
      </c>
      <c r="G81" s="13">
        <v>0</v>
      </c>
      <c r="H81" s="13">
        <v>2</v>
      </c>
      <c r="J81" s="13">
        <v>5</v>
      </c>
      <c r="K81" s="13">
        <v>10</v>
      </c>
      <c r="L81" s="13">
        <v>0</v>
      </c>
      <c r="M81" s="13">
        <v>3</v>
      </c>
      <c r="N81" s="13">
        <v>0</v>
      </c>
      <c r="O81" s="13">
        <v>1</v>
      </c>
      <c r="P81" s="13">
        <v>2</v>
      </c>
      <c r="Q81" s="13">
        <v>3</v>
      </c>
      <c r="R81" s="13">
        <v>2</v>
      </c>
      <c r="T81" s="13">
        <v>0</v>
      </c>
      <c r="U81" s="13">
        <v>0</v>
      </c>
      <c r="V81" s="13">
        <v>0</v>
      </c>
      <c r="W81" s="13">
        <v>1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D81" s="13">
        <v>2</v>
      </c>
      <c r="AE81" s="13">
        <v>2</v>
      </c>
      <c r="AF81" s="13">
        <v>0</v>
      </c>
      <c r="AG81" s="13">
        <v>0</v>
      </c>
      <c r="AH81" s="13">
        <v>0</v>
      </c>
      <c r="AI81" s="13">
        <v>1</v>
      </c>
      <c r="AK81" s="7">
        <f>SUM(D81:AJ81)</f>
        <v>41</v>
      </c>
    </row>
    <row r="82" spans="2:40" x14ac:dyDescent="0.2">
      <c r="B82" s="2">
        <v>1111015</v>
      </c>
      <c r="C82" s="4" t="s">
        <v>24</v>
      </c>
      <c r="E82" s="13">
        <v>13</v>
      </c>
      <c r="F82" s="13">
        <v>3</v>
      </c>
      <c r="G82" s="13">
        <v>3</v>
      </c>
      <c r="H82" s="13">
        <v>12</v>
      </c>
      <c r="I82" s="13">
        <v>6</v>
      </c>
      <c r="J82" s="13">
        <v>22</v>
      </c>
      <c r="K82" s="13">
        <v>10</v>
      </c>
      <c r="L82" s="13">
        <v>4</v>
      </c>
      <c r="M82" s="13">
        <v>7</v>
      </c>
      <c r="N82" s="13">
        <v>1</v>
      </c>
      <c r="O82" s="13">
        <v>0</v>
      </c>
      <c r="P82" s="13">
        <v>7</v>
      </c>
      <c r="Q82" s="13">
        <v>0</v>
      </c>
      <c r="R82" s="13">
        <v>1</v>
      </c>
      <c r="T82" s="13">
        <v>2</v>
      </c>
      <c r="U82" s="13">
        <v>0</v>
      </c>
      <c r="V82" s="13">
        <v>1</v>
      </c>
      <c r="W82" s="13">
        <v>0</v>
      </c>
      <c r="X82" s="13">
        <v>0</v>
      </c>
      <c r="Y82" s="13">
        <v>0</v>
      </c>
      <c r="Z82" s="13">
        <v>1</v>
      </c>
      <c r="AA82" s="13">
        <v>1</v>
      </c>
      <c r="AB82" s="13">
        <v>1</v>
      </c>
      <c r="AD82" s="13">
        <v>1</v>
      </c>
      <c r="AE82" s="13">
        <v>10</v>
      </c>
      <c r="AF82" s="13">
        <v>2</v>
      </c>
      <c r="AG82" s="13">
        <v>2</v>
      </c>
      <c r="AH82" s="13">
        <v>2</v>
      </c>
      <c r="AI82" s="13">
        <v>2</v>
      </c>
      <c r="AK82" s="7">
        <f t="shared" ref="AK82:AK89" si="2">SUM(D82:AJ82)</f>
        <v>114</v>
      </c>
    </row>
    <row r="83" spans="2:40" x14ac:dyDescent="0.2">
      <c r="B83" s="2">
        <v>1111013</v>
      </c>
      <c r="C83" s="4" t="s">
        <v>25</v>
      </c>
      <c r="E83" s="13">
        <v>7</v>
      </c>
      <c r="F83" s="13">
        <v>3</v>
      </c>
      <c r="G83" s="13">
        <v>2</v>
      </c>
      <c r="H83" s="13">
        <v>3</v>
      </c>
      <c r="I83" s="13">
        <v>1</v>
      </c>
      <c r="J83" s="13">
        <v>4</v>
      </c>
      <c r="K83" s="13">
        <v>10</v>
      </c>
      <c r="L83" s="13">
        <v>0</v>
      </c>
      <c r="M83" s="13">
        <v>3</v>
      </c>
      <c r="N83" s="13">
        <v>0</v>
      </c>
      <c r="O83" s="13">
        <v>0</v>
      </c>
      <c r="P83" s="13">
        <v>2</v>
      </c>
      <c r="Q83" s="13">
        <v>0</v>
      </c>
      <c r="R83" s="13">
        <v>1</v>
      </c>
      <c r="S83" s="13">
        <v>1</v>
      </c>
      <c r="T83" s="13">
        <v>0</v>
      </c>
      <c r="U83" s="13">
        <v>0</v>
      </c>
      <c r="V83" s="13">
        <v>6</v>
      </c>
      <c r="W83" s="13">
        <v>1</v>
      </c>
      <c r="X83" s="13">
        <v>0</v>
      </c>
      <c r="Y83" s="13">
        <v>0</v>
      </c>
      <c r="Z83" s="13">
        <v>1</v>
      </c>
      <c r="AA83" s="13">
        <v>0</v>
      </c>
      <c r="AB83" s="13">
        <v>1</v>
      </c>
      <c r="AD83" s="13">
        <v>3</v>
      </c>
      <c r="AE83" s="13">
        <v>3</v>
      </c>
      <c r="AF83" s="13">
        <v>0</v>
      </c>
      <c r="AG83" s="13">
        <v>0</v>
      </c>
      <c r="AH83" s="13">
        <v>1</v>
      </c>
      <c r="AI83" s="13">
        <v>0</v>
      </c>
      <c r="AK83" s="7">
        <f t="shared" si="2"/>
        <v>53</v>
      </c>
    </row>
    <row r="84" spans="2:40" x14ac:dyDescent="0.2">
      <c r="B84" s="2">
        <v>1111024</v>
      </c>
      <c r="C84" s="4" t="s">
        <v>26</v>
      </c>
      <c r="E84" s="13">
        <v>3</v>
      </c>
      <c r="F84" s="13">
        <v>4</v>
      </c>
      <c r="G84" s="13">
        <v>1</v>
      </c>
      <c r="H84" s="13">
        <v>1</v>
      </c>
      <c r="I84" s="13">
        <v>0</v>
      </c>
      <c r="J84" s="13">
        <v>2</v>
      </c>
      <c r="K84" s="13">
        <v>12</v>
      </c>
      <c r="L84" s="13">
        <v>2</v>
      </c>
      <c r="M84" s="13">
        <v>6</v>
      </c>
      <c r="N84" s="13">
        <v>0</v>
      </c>
      <c r="O84" s="13">
        <v>0</v>
      </c>
      <c r="P84" s="13">
        <v>1</v>
      </c>
      <c r="Q84" s="13">
        <v>0</v>
      </c>
      <c r="R84" s="13">
        <v>3</v>
      </c>
      <c r="S84" s="13">
        <v>2</v>
      </c>
      <c r="T84" s="13">
        <v>0</v>
      </c>
      <c r="U84" s="13">
        <v>1</v>
      </c>
      <c r="V84" s="13">
        <v>1</v>
      </c>
      <c r="W84" s="13">
        <v>0</v>
      </c>
      <c r="X84" s="13">
        <v>1</v>
      </c>
      <c r="Y84" s="13">
        <v>0</v>
      </c>
      <c r="Z84" s="13">
        <v>0</v>
      </c>
      <c r="AA84" s="13">
        <v>0</v>
      </c>
      <c r="AB84" s="13">
        <v>0</v>
      </c>
      <c r="AD84" s="13">
        <v>2</v>
      </c>
      <c r="AE84" s="13">
        <v>2</v>
      </c>
      <c r="AF84" s="13">
        <v>0</v>
      </c>
      <c r="AG84" s="13">
        <v>0</v>
      </c>
      <c r="AH84" s="13">
        <v>0</v>
      </c>
      <c r="AI84" s="13">
        <v>0</v>
      </c>
      <c r="AK84" s="7">
        <f t="shared" si="2"/>
        <v>44</v>
      </c>
    </row>
    <row r="85" spans="2:40" x14ac:dyDescent="0.2">
      <c r="B85" s="2">
        <v>1111017</v>
      </c>
      <c r="C85" s="4" t="s">
        <v>27</v>
      </c>
      <c r="E85" s="13">
        <v>4</v>
      </c>
      <c r="F85" s="13">
        <v>2</v>
      </c>
      <c r="G85" s="13">
        <v>2</v>
      </c>
      <c r="H85" s="13">
        <v>2</v>
      </c>
      <c r="I85" s="13">
        <v>1</v>
      </c>
      <c r="J85" s="13">
        <v>1</v>
      </c>
      <c r="K85" s="13">
        <v>1</v>
      </c>
      <c r="L85" s="13">
        <v>0</v>
      </c>
      <c r="M85" s="13">
        <v>3</v>
      </c>
      <c r="N85" s="13">
        <v>1</v>
      </c>
      <c r="O85" s="13">
        <v>0</v>
      </c>
      <c r="P85" s="13">
        <v>3</v>
      </c>
      <c r="Q85" s="13">
        <v>0</v>
      </c>
      <c r="R85" s="13">
        <v>1</v>
      </c>
      <c r="S85" s="13">
        <v>1</v>
      </c>
      <c r="T85" s="13">
        <v>0</v>
      </c>
      <c r="U85" s="13">
        <v>0</v>
      </c>
      <c r="V85" s="13">
        <v>6</v>
      </c>
      <c r="W85" s="13">
        <v>0</v>
      </c>
      <c r="X85" s="13">
        <v>1</v>
      </c>
      <c r="Y85" s="13">
        <v>0</v>
      </c>
      <c r="Z85" s="13">
        <v>0</v>
      </c>
      <c r="AA85" s="13">
        <v>1</v>
      </c>
      <c r="AB85" s="13">
        <v>0</v>
      </c>
      <c r="AD85" s="13">
        <v>0</v>
      </c>
      <c r="AE85" s="13">
        <v>7</v>
      </c>
      <c r="AF85" s="13">
        <v>1</v>
      </c>
      <c r="AG85" s="13">
        <v>0</v>
      </c>
      <c r="AH85" s="13">
        <v>0</v>
      </c>
      <c r="AI85" s="13">
        <v>0</v>
      </c>
      <c r="AK85" s="7">
        <f t="shared" si="2"/>
        <v>38</v>
      </c>
    </row>
    <row r="86" spans="2:40" x14ac:dyDescent="0.2">
      <c r="B86" s="2">
        <v>1111011</v>
      </c>
      <c r="C86" s="4" t="s">
        <v>28</v>
      </c>
      <c r="E86" s="13">
        <v>1</v>
      </c>
      <c r="F86" s="13">
        <v>1</v>
      </c>
      <c r="G86" s="13">
        <v>0</v>
      </c>
      <c r="H86" s="13">
        <v>4</v>
      </c>
      <c r="I86" s="13">
        <v>0</v>
      </c>
      <c r="J86" s="13">
        <v>25</v>
      </c>
      <c r="K86" s="13">
        <v>1</v>
      </c>
      <c r="L86" s="13">
        <v>0</v>
      </c>
      <c r="M86" s="13">
        <v>2</v>
      </c>
      <c r="N86" s="13">
        <v>0</v>
      </c>
      <c r="O86" s="13">
        <v>0</v>
      </c>
      <c r="P86" s="13">
        <v>2</v>
      </c>
      <c r="Q86" s="13">
        <v>0</v>
      </c>
      <c r="R86" s="13">
        <v>3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1</v>
      </c>
      <c r="Y86" s="13">
        <v>1</v>
      </c>
      <c r="Z86" s="13">
        <v>1</v>
      </c>
      <c r="AA86" s="13">
        <v>1</v>
      </c>
      <c r="AB86" s="13">
        <v>2</v>
      </c>
      <c r="AD86" s="13">
        <v>0</v>
      </c>
      <c r="AE86" s="13">
        <v>5</v>
      </c>
      <c r="AF86" s="13">
        <v>1</v>
      </c>
      <c r="AG86" s="13">
        <v>2</v>
      </c>
      <c r="AH86" s="13">
        <v>0</v>
      </c>
      <c r="AI86" s="13">
        <v>0</v>
      </c>
      <c r="AK86" s="7">
        <f>SUM(D86:AJ86)</f>
        <v>53</v>
      </c>
    </row>
    <row r="87" spans="2:40" x14ac:dyDescent="0.2">
      <c r="B87" s="2">
        <v>1111019</v>
      </c>
      <c r="C87" s="4" t="s">
        <v>29</v>
      </c>
      <c r="E87" s="13">
        <v>5</v>
      </c>
      <c r="F87" s="13">
        <v>6</v>
      </c>
      <c r="G87" s="13">
        <v>0</v>
      </c>
      <c r="H87" s="13">
        <v>8</v>
      </c>
      <c r="I87" s="13">
        <v>3</v>
      </c>
      <c r="J87" s="13">
        <v>2</v>
      </c>
      <c r="K87" s="13">
        <v>1</v>
      </c>
      <c r="L87" s="13">
        <v>1</v>
      </c>
      <c r="M87" s="13">
        <v>1</v>
      </c>
      <c r="N87" s="13">
        <v>0</v>
      </c>
      <c r="O87" s="13">
        <v>1</v>
      </c>
      <c r="P87" s="13">
        <v>7</v>
      </c>
      <c r="Q87" s="13">
        <v>0</v>
      </c>
      <c r="R87" s="13">
        <v>1</v>
      </c>
      <c r="S87" s="13">
        <v>5</v>
      </c>
      <c r="T87" s="13">
        <v>1</v>
      </c>
      <c r="U87" s="13">
        <v>1</v>
      </c>
      <c r="V87" s="13">
        <v>6</v>
      </c>
      <c r="W87" s="13">
        <v>1</v>
      </c>
      <c r="X87" s="13">
        <v>1</v>
      </c>
      <c r="Y87" s="13">
        <v>1</v>
      </c>
      <c r="Z87" s="13">
        <v>1</v>
      </c>
      <c r="AA87" s="13">
        <v>0</v>
      </c>
      <c r="AB87" s="13">
        <v>3</v>
      </c>
      <c r="AD87" s="13">
        <v>2</v>
      </c>
      <c r="AE87" s="13">
        <v>1</v>
      </c>
      <c r="AF87" s="13">
        <v>1</v>
      </c>
      <c r="AG87" s="13">
        <v>1</v>
      </c>
      <c r="AH87" s="13">
        <v>0</v>
      </c>
      <c r="AI87" s="13">
        <v>1</v>
      </c>
      <c r="AK87" s="7">
        <f t="shared" si="2"/>
        <v>62</v>
      </c>
    </row>
    <row r="88" spans="2:40" x14ac:dyDescent="0.2">
      <c r="B88" s="2">
        <v>1113081</v>
      </c>
      <c r="C88" s="4" t="s">
        <v>42</v>
      </c>
      <c r="E88" s="13">
        <v>3</v>
      </c>
      <c r="F88" s="13">
        <v>7</v>
      </c>
      <c r="G88" s="13">
        <v>0</v>
      </c>
      <c r="H88" s="13">
        <v>2</v>
      </c>
      <c r="I88" s="13">
        <v>4</v>
      </c>
      <c r="J88" s="13">
        <v>0</v>
      </c>
      <c r="K88" s="13">
        <v>1</v>
      </c>
      <c r="L88" s="13">
        <v>0</v>
      </c>
      <c r="M88" s="13">
        <v>4</v>
      </c>
      <c r="N88" s="13">
        <v>1</v>
      </c>
      <c r="O88" s="13">
        <v>1</v>
      </c>
      <c r="P88" s="13">
        <v>2</v>
      </c>
      <c r="Q88" s="13">
        <v>1</v>
      </c>
      <c r="R88" s="13">
        <v>11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1</v>
      </c>
      <c r="Z88" s="13">
        <v>1</v>
      </c>
      <c r="AA88" s="13">
        <v>0</v>
      </c>
      <c r="AB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0</v>
      </c>
      <c r="AK88" s="7">
        <f t="shared" si="2"/>
        <v>39</v>
      </c>
    </row>
    <row r="89" spans="2:40" x14ac:dyDescent="0.2">
      <c r="B89" s="2">
        <v>1111008</v>
      </c>
      <c r="C89" s="4" t="s">
        <v>115</v>
      </c>
      <c r="E89" s="13">
        <v>3</v>
      </c>
      <c r="F89" s="13">
        <v>69</v>
      </c>
      <c r="G89" s="13">
        <v>28</v>
      </c>
      <c r="H89" s="13">
        <v>14</v>
      </c>
      <c r="I89" s="13">
        <v>5</v>
      </c>
      <c r="J89" s="13">
        <v>28</v>
      </c>
      <c r="K89" s="13">
        <v>2</v>
      </c>
      <c r="L89" s="13">
        <v>7</v>
      </c>
      <c r="M89" s="13">
        <v>3</v>
      </c>
      <c r="N89" s="13">
        <v>12</v>
      </c>
      <c r="O89" s="13">
        <v>0</v>
      </c>
      <c r="P89" s="13">
        <v>2</v>
      </c>
      <c r="Q89" s="13">
        <v>2</v>
      </c>
      <c r="S89" s="13">
        <v>1</v>
      </c>
      <c r="T89" s="13">
        <v>1</v>
      </c>
      <c r="U89" s="13">
        <v>0</v>
      </c>
      <c r="V89" s="13">
        <v>0</v>
      </c>
      <c r="W89" s="13">
        <v>0</v>
      </c>
      <c r="X89" s="13">
        <v>1</v>
      </c>
      <c r="Y89" s="13">
        <v>1</v>
      </c>
      <c r="Z89" s="13">
        <v>2</v>
      </c>
      <c r="AA89" s="13">
        <v>0</v>
      </c>
      <c r="AB89" s="13">
        <v>1</v>
      </c>
      <c r="AD89" s="13">
        <v>1</v>
      </c>
      <c r="AE89" s="13">
        <v>2</v>
      </c>
      <c r="AF89" s="13">
        <v>6</v>
      </c>
      <c r="AG89" s="13">
        <v>1</v>
      </c>
      <c r="AH89" s="13">
        <v>0</v>
      </c>
      <c r="AI89" s="13">
        <v>4</v>
      </c>
      <c r="AK89" s="7">
        <f t="shared" si="2"/>
        <v>196</v>
      </c>
    </row>
    <row r="90" spans="2:40" ht="19.5" x14ac:dyDescent="0.2">
      <c r="B90" s="30" t="s">
        <v>0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</row>
    <row r="91" spans="2:40" x14ac:dyDescent="0.2">
      <c r="B91" s="2">
        <v>1112009</v>
      </c>
      <c r="C91" s="4" t="s">
        <v>1</v>
      </c>
      <c r="E91" s="13">
        <v>43</v>
      </c>
      <c r="F91" s="13">
        <v>32</v>
      </c>
      <c r="G91" s="13">
        <v>27</v>
      </c>
      <c r="H91" s="13">
        <v>16</v>
      </c>
      <c r="I91" s="13">
        <v>22</v>
      </c>
      <c r="J91" s="13">
        <v>34</v>
      </c>
      <c r="K91" s="13">
        <v>29</v>
      </c>
      <c r="L91" s="13">
        <v>25</v>
      </c>
      <c r="M91" s="13">
        <v>14</v>
      </c>
      <c r="N91" s="13">
        <v>5</v>
      </c>
      <c r="O91" s="13">
        <v>17</v>
      </c>
      <c r="P91" s="13">
        <v>36</v>
      </c>
      <c r="Q91" s="13">
        <v>6</v>
      </c>
      <c r="R91" s="13">
        <v>8</v>
      </c>
      <c r="S91" s="13">
        <v>17</v>
      </c>
      <c r="T91" s="13">
        <v>12</v>
      </c>
      <c r="U91" s="13">
        <v>13</v>
      </c>
      <c r="V91" s="13">
        <v>61</v>
      </c>
      <c r="W91" s="13">
        <v>18</v>
      </c>
      <c r="X91" s="13">
        <v>11</v>
      </c>
      <c r="Y91" s="13">
        <v>13</v>
      </c>
      <c r="Z91" s="13">
        <v>10</v>
      </c>
      <c r="AA91" s="13">
        <v>12</v>
      </c>
      <c r="AB91" s="13">
        <v>26</v>
      </c>
      <c r="AD91" s="13">
        <v>29</v>
      </c>
      <c r="AE91" s="13">
        <v>32</v>
      </c>
      <c r="AF91" s="13">
        <v>10</v>
      </c>
      <c r="AG91" s="13">
        <v>10</v>
      </c>
      <c r="AH91" s="13">
        <v>11</v>
      </c>
      <c r="AI91" s="13">
        <v>10</v>
      </c>
      <c r="AK91" s="7">
        <f t="shared" ref="AK91:AK100" si="3">SUM(D91:AJ91)</f>
        <v>609</v>
      </c>
      <c r="AM91" s="12">
        <v>0</v>
      </c>
      <c r="AN91" s="12">
        <f>SUM(AK91,AM91)</f>
        <v>609</v>
      </c>
    </row>
    <row r="92" spans="2:40" x14ac:dyDescent="0.2">
      <c r="B92" s="2">
        <v>1112011</v>
      </c>
      <c r="C92" s="4" t="s">
        <v>2</v>
      </c>
      <c r="E92" s="13">
        <v>60</v>
      </c>
      <c r="F92" s="13">
        <v>44</v>
      </c>
      <c r="G92" s="13">
        <v>52</v>
      </c>
      <c r="H92" s="13">
        <v>37</v>
      </c>
      <c r="I92" s="13">
        <v>47</v>
      </c>
      <c r="J92" s="13">
        <v>77</v>
      </c>
      <c r="K92" s="13">
        <v>67</v>
      </c>
      <c r="L92" s="13">
        <v>37</v>
      </c>
      <c r="M92" s="13">
        <v>25</v>
      </c>
      <c r="N92" s="13">
        <v>10</v>
      </c>
      <c r="O92" s="13">
        <v>15</v>
      </c>
      <c r="P92" s="13">
        <v>33</v>
      </c>
      <c r="Q92" s="13">
        <v>20</v>
      </c>
      <c r="R92" s="13">
        <v>8</v>
      </c>
      <c r="S92" s="13">
        <v>28</v>
      </c>
      <c r="T92" s="13">
        <v>16</v>
      </c>
      <c r="U92" s="13">
        <v>19</v>
      </c>
      <c r="V92" s="13">
        <v>77</v>
      </c>
      <c r="W92" s="13">
        <v>16</v>
      </c>
      <c r="X92" s="13">
        <v>12</v>
      </c>
      <c r="Y92" s="13">
        <v>13</v>
      </c>
      <c r="Z92" s="13">
        <v>9</v>
      </c>
      <c r="AA92" s="13">
        <v>11</v>
      </c>
      <c r="AB92" s="13">
        <v>30</v>
      </c>
      <c r="AD92" s="13">
        <v>39</v>
      </c>
      <c r="AE92" s="13">
        <v>57</v>
      </c>
      <c r="AF92" s="13">
        <v>24</v>
      </c>
      <c r="AG92" s="13">
        <v>13</v>
      </c>
      <c r="AH92" s="13">
        <v>12</v>
      </c>
      <c r="AI92" s="13">
        <v>6</v>
      </c>
      <c r="AK92" s="7">
        <f t="shared" si="3"/>
        <v>914</v>
      </c>
      <c r="AM92" s="12">
        <v>98</v>
      </c>
      <c r="AN92" s="12">
        <f t="shared" ref="AN92:AN100" si="4">SUM(AK92,AM92)</f>
        <v>1012</v>
      </c>
    </row>
    <row r="93" spans="2:40" x14ac:dyDescent="0.2">
      <c r="B93" s="2">
        <v>1112003</v>
      </c>
      <c r="C93" s="4" t="s">
        <v>3</v>
      </c>
      <c r="E93" s="13">
        <v>8</v>
      </c>
      <c r="F93" s="13">
        <v>5</v>
      </c>
      <c r="G93" s="13">
        <v>5</v>
      </c>
      <c r="H93" s="13">
        <v>14</v>
      </c>
      <c r="I93" s="13">
        <v>5</v>
      </c>
      <c r="J93" s="13">
        <v>2</v>
      </c>
      <c r="K93" s="13">
        <v>1</v>
      </c>
      <c r="L93" s="13">
        <v>3</v>
      </c>
      <c r="M93" s="13">
        <v>1</v>
      </c>
      <c r="N93" s="13">
        <v>1</v>
      </c>
      <c r="O93" s="13">
        <v>0</v>
      </c>
      <c r="P93" s="13">
        <v>20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1</v>
      </c>
      <c r="W93" s="13">
        <v>1</v>
      </c>
      <c r="X93" s="13">
        <v>1</v>
      </c>
      <c r="Y93" s="13">
        <v>1</v>
      </c>
      <c r="Z93" s="13">
        <v>0</v>
      </c>
      <c r="AA93" s="13">
        <v>1</v>
      </c>
      <c r="AB93" s="13">
        <v>23</v>
      </c>
      <c r="AD93" s="13">
        <v>2</v>
      </c>
      <c r="AE93" s="13">
        <v>0</v>
      </c>
      <c r="AF93" s="13">
        <v>1</v>
      </c>
      <c r="AG93" s="13">
        <v>1</v>
      </c>
      <c r="AH93" s="13">
        <v>0</v>
      </c>
      <c r="AI93" s="13">
        <v>1</v>
      </c>
      <c r="AK93" s="7">
        <f t="shared" si="3"/>
        <v>98</v>
      </c>
      <c r="AM93" s="12">
        <v>0</v>
      </c>
      <c r="AN93" s="12">
        <f t="shared" si="4"/>
        <v>98</v>
      </c>
    </row>
    <row r="94" spans="2:40" x14ac:dyDescent="0.2">
      <c r="B94" s="2">
        <v>1112005</v>
      </c>
      <c r="C94" s="4" t="s">
        <v>4</v>
      </c>
      <c r="E94" s="13">
        <v>16</v>
      </c>
      <c r="F94" s="13">
        <v>10</v>
      </c>
      <c r="G94" s="13">
        <v>3</v>
      </c>
      <c r="H94" s="13">
        <v>3</v>
      </c>
      <c r="I94" s="13">
        <v>10</v>
      </c>
      <c r="J94" s="13">
        <v>1</v>
      </c>
      <c r="K94" s="13">
        <v>6</v>
      </c>
      <c r="L94" s="13">
        <v>3</v>
      </c>
      <c r="M94" s="13">
        <v>1</v>
      </c>
      <c r="N94" s="13">
        <v>0</v>
      </c>
      <c r="O94" s="13">
        <v>0</v>
      </c>
      <c r="P94" s="13">
        <v>4</v>
      </c>
      <c r="Q94" s="13">
        <v>0</v>
      </c>
      <c r="R94" s="13">
        <v>0</v>
      </c>
      <c r="S94" s="13">
        <v>3</v>
      </c>
      <c r="T94" s="13">
        <v>0</v>
      </c>
      <c r="U94" s="13">
        <v>3</v>
      </c>
      <c r="V94" s="13">
        <v>3</v>
      </c>
      <c r="W94" s="13">
        <v>0</v>
      </c>
      <c r="X94" s="13">
        <v>0</v>
      </c>
      <c r="Y94" s="13">
        <v>0</v>
      </c>
      <c r="Z94" s="13">
        <v>0</v>
      </c>
      <c r="AA94" s="13">
        <v>1</v>
      </c>
      <c r="AB94" s="13">
        <v>2</v>
      </c>
      <c r="AD94" s="13">
        <v>2</v>
      </c>
      <c r="AE94" s="13">
        <v>0</v>
      </c>
      <c r="AF94" s="13">
        <v>0</v>
      </c>
      <c r="AG94" s="13">
        <v>1</v>
      </c>
      <c r="AH94" s="13">
        <v>3</v>
      </c>
      <c r="AI94" s="13">
        <v>1</v>
      </c>
      <c r="AK94" s="7">
        <f t="shared" si="3"/>
        <v>76</v>
      </c>
      <c r="AM94" s="12">
        <v>0</v>
      </c>
      <c r="AN94" s="12">
        <f t="shared" si="4"/>
        <v>76</v>
      </c>
    </row>
    <row r="95" spans="2:40" x14ac:dyDescent="0.2">
      <c r="B95" s="2">
        <v>1112007</v>
      </c>
      <c r="C95" s="4" t="s">
        <v>5</v>
      </c>
      <c r="E95" s="13">
        <v>8</v>
      </c>
      <c r="F95" s="13">
        <v>2</v>
      </c>
      <c r="G95" s="13">
        <v>8</v>
      </c>
      <c r="H95" s="13">
        <v>6</v>
      </c>
      <c r="I95" s="13">
        <v>12</v>
      </c>
      <c r="J95" s="13">
        <v>0</v>
      </c>
      <c r="K95" s="13">
        <v>3</v>
      </c>
      <c r="L95" s="13">
        <v>10</v>
      </c>
      <c r="M95" s="13">
        <v>0</v>
      </c>
      <c r="N95" s="13">
        <v>0</v>
      </c>
      <c r="O95" s="13">
        <v>0</v>
      </c>
      <c r="P95" s="13">
        <v>3</v>
      </c>
      <c r="Q95" s="13">
        <v>1</v>
      </c>
      <c r="R95" s="13">
        <v>0</v>
      </c>
      <c r="S95" s="13">
        <v>0</v>
      </c>
      <c r="T95" s="13">
        <v>1</v>
      </c>
      <c r="U95" s="13">
        <v>2</v>
      </c>
      <c r="V95" s="13">
        <v>2</v>
      </c>
      <c r="W95" s="13">
        <v>0</v>
      </c>
      <c r="X95" s="13">
        <v>0</v>
      </c>
      <c r="Y95" s="13">
        <v>0</v>
      </c>
      <c r="Z95" s="13">
        <v>1</v>
      </c>
      <c r="AA95" s="13">
        <v>1</v>
      </c>
      <c r="AB95" s="13">
        <v>20</v>
      </c>
      <c r="AD95" s="13">
        <v>2</v>
      </c>
      <c r="AE95" s="13">
        <v>0</v>
      </c>
      <c r="AF95" s="13">
        <v>2</v>
      </c>
      <c r="AG95" s="13">
        <v>0</v>
      </c>
      <c r="AH95" s="13">
        <v>0</v>
      </c>
      <c r="AI95" s="13">
        <v>1</v>
      </c>
      <c r="AK95" s="7">
        <f t="shared" si="3"/>
        <v>85</v>
      </c>
      <c r="AM95" s="12">
        <v>0</v>
      </c>
      <c r="AN95" s="12">
        <f t="shared" si="4"/>
        <v>85</v>
      </c>
    </row>
    <row r="96" spans="2:40" x14ac:dyDescent="0.2">
      <c r="B96" s="2">
        <v>1112019</v>
      </c>
      <c r="C96" s="4" t="s">
        <v>6</v>
      </c>
      <c r="E96" s="13">
        <v>5</v>
      </c>
      <c r="F96" s="13">
        <v>0</v>
      </c>
      <c r="G96" s="13">
        <v>2</v>
      </c>
      <c r="H96" s="13">
        <v>3</v>
      </c>
      <c r="I96" s="13">
        <v>1</v>
      </c>
      <c r="J96" s="13">
        <v>0</v>
      </c>
      <c r="K96" s="13">
        <v>0</v>
      </c>
      <c r="L96" s="13">
        <v>1</v>
      </c>
      <c r="M96" s="13">
        <v>0</v>
      </c>
      <c r="N96" s="13">
        <v>0</v>
      </c>
      <c r="O96" s="13">
        <v>1</v>
      </c>
      <c r="P96" s="13">
        <v>0</v>
      </c>
      <c r="Q96" s="13">
        <v>0</v>
      </c>
      <c r="R96" s="13">
        <v>0</v>
      </c>
      <c r="S96" s="13">
        <v>2</v>
      </c>
      <c r="T96" s="13">
        <v>1</v>
      </c>
      <c r="U96" s="13">
        <v>0</v>
      </c>
      <c r="V96" s="13">
        <v>0</v>
      </c>
      <c r="W96" s="13">
        <v>0</v>
      </c>
      <c r="X96" s="13">
        <v>1</v>
      </c>
      <c r="Y96" s="13">
        <v>3</v>
      </c>
      <c r="Z96" s="13">
        <v>3</v>
      </c>
      <c r="AA96" s="13">
        <v>1</v>
      </c>
      <c r="AB96" s="13">
        <v>0</v>
      </c>
      <c r="AD96" s="13">
        <v>3</v>
      </c>
      <c r="AE96" s="13">
        <v>0</v>
      </c>
      <c r="AF96" s="13">
        <v>0</v>
      </c>
      <c r="AG96" s="13">
        <v>0</v>
      </c>
      <c r="AH96" s="13">
        <v>2</v>
      </c>
      <c r="AI96" s="13">
        <v>0</v>
      </c>
      <c r="AK96" s="7">
        <f t="shared" si="3"/>
        <v>29</v>
      </c>
      <c r="AM96" s="12">
        <v>0</v>
      </c>
      <c r="AN96" s="12">
        <f t="shared" si="4"/>
        <v>29</v>
      </c>
    </row>
    <row r="97" spans="2:40" x14ac:dyDescent="0.2">
      <c r="B97" s="2">
        <v>1112017</v>
      </c>
      <c r="C97" s="4" t="s">
        <v>7</v>
      </c>
      <c r="E97" s="13">
        <v>7</v>
      </c>
      <c r="F97" s="13">
        <v>13</v>
      </c>
      <c r="G97" s="13">
        <v>9</v>
      </c>
      <c r="H97" s="13">
        <v>14</v>
      </c>
      <c r="I97" s="13">
        <v>7</v>
      </c>
      <c r="J97" s="13">
        <v>3</v>
      </c>
      <c r="K97" s="13">
        <v>2</v>
      </c>
      <c r="L97" s="13">
        <v>6</v>
      </c>
      <c r="M97" s="13">
        <v>2</v>
      </c>
      <c r="N97" s="13">
        <v>5</v>
      </c>
      <c r="O97" s="13">
        <v>0</v>
      </c>
      <c r="P97" s="13">
        <v>5</v>
      </c>
      <c r="Q97" s="13">
        <v>0</v>
      </c>
      <c r="R97" s="13">
        <v>1</v>
      </c>
      <c r="S97" s="13">
        <v>0</v>
      </c>
      <c r="T97" s="13">
        <v>1</v>
      </c>
      <c r="U97" s="13">
        <v>1</v>
      </c>
      <c r="V97" s="13">
        <v>1</v>
      </c>
      <c r="W97" s="13">
        <v>1</v>
      </c>
      <c r="X97" s="13">
        <v>2</v>
      </c>
      <c r="Y97" s="13">
        <v>1</v>
      </c>
      <c r="Z97" s="13">
        <v>0</v>
      </c>
      <c r="AA97" s="13">
        <v>1</v>
      </c>
      <c r="AB97" s="13">
        <v>21</v>
      </c>
      <c r="AD97" s="13">
        <v>5</v>
      </c>
      <c r="AE97" s="13">
        <v>1</v>
      </c>
      <c r="AF97" s="13">
        <v>2</v>
      </c>
      <c r="AG97" s="13">
        <v>1</v>
      </c>
      <c r="AH97" s="13">
        <v>1</v>
      </c>
      <c r="AI97" s="13">
        <v>3</v>
      </c>
      <c r="AK97" s="7">
        <f t="shared" si="3"/>
        <v>116</v>
      </c>
      <c r="AM97" s="12">
        <v>0</v>
      </c>
      <c r="AN97" s="12">
        <f t="shared" si="4"/>
        <v>116</v>
      </c>
    </row>
    <row r="98" spans="2:40" x14ac:dyDescent="0.2">
      <c r="B98" s="2">
        <v>1112015</v>
      </c>
      <c r="C98" s="4" t="s">
        <v>8</v>
      </c>
      <c r="E98" s="13">
        <v>12</v>
      </c>
      <c r="F98" s="13">
        <v>4</v>
      </c>
      <c r="G98" s="13">
        <v>5</v>
      </c>
      <c r="H98" s="13">
        <v>1</v>
      </c>
      <c r="I98" s="13">
        <v>6</v>
      </c>
      <c r="J98" s="13">
        <v>1</v>
      </c>
      <c r="K98" s="13">
        <v>0</v>
      </c>
      <c r="L98" s="13">
        <v>0</v>
      </c>
      <c r="M98" s="13">
        <v>1</v>
      </c>
      <c r="N98" s="13">
        <v>1</v>
      </c>
      <c r="O98" s="13">
        <v>2</v>
      </c>
      <c r="P98" s="13">
        <v>1</v>
      </c>
      <c r="Q98" s="13">
        <v>0</v>
      </c>
      <c r="R98" s="13">
        <v>1</v>
      </c>
      <c r="S98" s="13">
        <v>0</v>
      </c>
      <c r="T98" s="13">
        <v>0</v>
      </c>
      <c r="U98" s="13">
        <v>0</v>
      </c>
      <c r="V98" s="13">
        <v>1</v>
      </c>
      <c r="W98" s="13">
        <v>0</v>
      </c>
      <c r="X98" s="13">
        <v>1</v>
      </c>
      <c r="Y98" s="13">
        <v>0</v>
      </c>
      <c r="Z98" s="13">
        <v>1</v>
      </c>
      <c r="AA98" s="13">
        <v>1</v>
      </c>
      <c r="AB98" s="13">
        <v>1</v>
      </c>
      <c r="AD98" s="13">
        <v>3</v>
      </c>
      <c r="AE98" s="13">
        <v>5</v>
      </c>
      <c r="AF98" s="13">
        <v>0</v>
      </c>
      <c r="AG98" s="13">
        <v>2</v>
      </c>
      <c r="AH98" s="13">
        <v>1</v>
      </c>
      <c r="AI98" s="13">
        <v>0</v>
      </c>
      <c r="AK98" s="7">
        <f t="shared" si="3"/>
        <v>51</v>
      </c>
      <c r="AM98" s="12">
        <v>0</v>
      </c>
      <c r="AN98" s="12">
        <f t="shared" si="4"/>
        <v>51</v>
      </c>
    </row>
    <row r="99" spans="2:40" x14ac:dyDescent="0.2">
      <c r="B99" s="2">
        <v>1112013</v>
      </c>
      <c r="C99" s="4" t="s">
        <v>9</v>
      </c>
      <c r="E99" s="13">
        <v>29</v>
      </c>
      <c r="F99" s="13">
        <v>37</v>
      </c>
      <c r="G99" s="13">
        <v>65</v>
      </c>
      <c r="H99" s="13">
        <v>44</v>
      </c>
      <c r="I99" s="13">
        <v>31</v>
      </c>
      <c r="J99" s="13">
        <v>42</v>
      </c>
      <c r="K99" s="13">
        <v>49</v>
      </c>
      <c r="L99" s="13">
        <v>16</v>
      </c>
      <c r="M99" s="13">
        <v>21</v>
      </c>
      <c r="N99" s="13">
        <v>16</v>
      </c>
      <c r="O99" s="13">
        <v>10</v>
      </c>
      <c r="P99" s="13">
        <v>46</v>
      </c>
      <c r="Q99" s="13">
        <v>26</v>
      </c>
      <c r="R99" s="13">
        <v>60</v>
      </c>
      <c r="S99" s="13">
        <v>25</v>
      </c>
      <c r="T99" s="13">
        <v>20</v>
      </c>
      <c r="U99" s="13">
        <v>14</v>
      </c>
      <c r="V99" s="13">
        <v>45</v>
      </c>
      <c r="W99" s="13">
        <v>2</v>
      </c>
      <c r="X99" s="13">
        <v>14</v>
      </c>
      <c r="Y99" s="13">
        <v>32</v>
      </c>
      <c r="Z99" s="13">
        <v>19</v>
      </c>
      <c r="AA99" s="13">
        <v>14</v>
      </c>
      <c r="AB99" s="13">
        <v>37</v>
      </c>
      <c r="AD99" s="13">
        <v>45</v>
      </c>
      <c r="AE99" s="13">
        <v>33</v>
      </c>
      <c r="AF99" s="13">
        <v>10</v>
      </c>
      <c r="AG99" s="13">
        <v>24</v>
      </c>
      <c r="AH99" s="13">
        <v>20</v>
      </c>
      <c r="AI99" s="13">
        <v>5</v>
      </c>
      <c r="AK99" s="7">
        <f t="shared" si="3"/>
        <v>851</v>
      </c>
      <c r="AM99" s="12">
        <v>1</v>
      </c>
      <c r="AN99" s="12">
        <f t="shared" si="4"/>
        <v>852</v>
      </c>
    </row>
    <row r="100" spans="2:40" x14ac:dyDescent="0.2">
      <c r="B100" s="2">
        <v>1124043</v>
      </c>
      <c r="C100" s="4" t="s">
        <v>165</v>
      </c>
      <c r="E100" s="13">
        <v>60</v>
      </c>
      <c r="F100" s="13">
        <v>90</v>
      </c>
      <c r="G100" s="13">
        <v>50</v>
      </c>
      <c r="H100" s="13">
        <v>76</v>
      </c>
      <c r="I100" s="13">
        <v>42</v>
      </c>
      <c r="J100" s="13">
        <v>31</v>
      </c>
      <c r="K100" s="13">
        <v>26</v>
      </c>
      <c r="L100" s="13">
        <v>47</v>
      </c>
      <c r="M100" s="13">
        <v>26</v>
      </c>
      <c r="N100" s="13">
        <v>29</v>
      </c>
      <c r="O100" s="13">
        <v>60</v>
      </c>
      <c r="P100" s="13">
        <v>31</v>
      </c>
      <c r="Q100" s="13">
        <v>22</v>
      </c>
      <c r="R100" s="13">
        <v>10</v>
      </c>
      <c r="S100" s="13">
        <v>19</v>
      </c>
      <c r="T100" s="13">
        <v>10</v>
      </c>
      <c r="U100" s="13">
        <v>1</v>
      </c>
      <c r="V100" s="13">
        <v>5</v>
      </c>
      <c r="W100" s="13">
        <v>6</v>
      </c>
      <c r="X100" s="13">
        <v>21</v>
      </c>
      <c r="Y100" s="13">
        <v>26</v>
      </c>
      <c r="Z100" s="13">
        <v>9</v>
      </c>
      <c r="AA100" s="13">
        <v>8</v>
      </c>
      <c r="AB100" s="13">
        <v>19</v>
      </c>
      <c r="AD100" s="13">
        <v>14</v>
      </c>
      <c r="AE100" s="13">
        <v>8</v>
      </c>
      <c r="AF100" s="13">
        <v>8</v>
      </c>
      <c r="AG100" s="13">
        <v>3</v>
      </c>
      <c r="AH100" s="13">
        <v>112</v>
      </c>
      <c r="AI100" s="13">
        <v>4</v>
      </c>
      <c r="AK100" s="7">
        <f t="shared" si="3"/>
        <v>873</v>
      </c>
      <c r="AM100" s="12">
        <v>0</v>
      </c>
      <c r="AN100" s="12">
        <f t="shared" si="4"/>
        <v>873</v>
      </c>
    </row>
    <row r="101" spans="2:40" ht="19.5" x14ac:dyDescent="0.2">
      <c r="B101" s="30" t="s">
        <v>168</v>
      </c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</row>
    <row r="102" spans="2:40" x14ac:dyDescent="0.2">
      <c r="B102" s="2">
        <v>1112009</v>
      </c>
      <c r="C102" s="4" t="s">
        <v>1</v>
      </c>
      <c r="E102" s="13">
        <v>0</v>
      </c>
      <c r="F102" s="13">
        <v>0</v>
      </c>
      <c r="U102" s="13">
        <v>0</v>
      </c>
      <c r="V102" s="13">
        <v>0</v>
      </c>
      <c r="W102" s="13">
        <v>0</v>
      </c>
      <c r="Y102" s="13">
        <v>0</v>
      </c>
      <c r="Z102" s="13">
        <v>0</v>
      </c>
      <c r="AA102" s="13">
        <v>0</v>
      </c>
      <c r="AB102" s="13">
        <v>0</v>
      </c>
      <c r="AF102" s="13">
        <v>0</v>
      </c>
      <c r="AG102" s="13">
        <v>0</v>
      </c>
      <c r="AH102" s="13">
        <v>0</v>
      </c>
      <c r="AK102" s="7">
        <f t="shared" ref="AK102:AK111" si="5">SUM(D102:AJ102)</f>
        <v>0</v>
      </c>
    </row>
    <row r="103" spans="2:40" x14ac:dyDescent="0.2">
      <c r="B103" s="2">
        <v>1112011</v>
      </c>
      <c r="C103" s="4" t="s">
        <v>2</v>
      </c>
      <c r="E103" s="13">
        <v>0</v>
      </c>
      <c r="F103" s="13">
        <v>0</v>
      </c>
      <c r="U103" s="13">
        <v>8</v>
      </c>
      <c r="V103" s="13">
        <v>14</v>
      </c>
      <c r="W103" s="13">
        <v>12</v>
      </c>
      <c r="X103" s="13">
        <v>13</v>
      </c>
      <c r="Y103" s="13">
        <v>8</v>
      </c>
      <c r="Z103" s="13">
        <v>6</v>
      </c>
      <c r="AA103" s="13">
        <v>10</v>
      </c>
      <c r="AB103" s="13">
        <v>4</v>
      </c>
      <c r="AD103" s="13">
        <v>3</v>
      </c>
      <c r="AE103" s="13">
        <v>4</v>
      </c>
      <c r="AF103" s="13">
        <v>1</v>
      </c>
      <c r="AG103" s="13">
        <v>4</v>
      </c>
      <c r="AH103" s="13">
        <v>6</v>
      </c>
      <c r="AI103" s="13">
        <v>5</v>
      </c>
      <c r="AK103" s="7">
        <f t="shared" si="5"/>
        <v>98</v>
      </c>
    </row>
    <row r="104" spans="2:40" x14ac:dyDescent="0.2">
      <c r="B104" s="2">
        <v>1112003</v>
      </c>
      <c r="C104" s="4" t="s">
        <v>3</v>
      </c>
      <c r="E104" s="13">
        <v>0</v>
      </c>
      <c r="F104" s="13">
        <v>0</v>
      </c>
      <c r="U104" s="13">
        <v>0</v>
      </c>
      <c r="V104" s="13">
        <v>0</v>
      </c>
      <c r="W104" s="13">
        <v>0</v>
      </c>
      <c r="Y104" s="13">
        <v>0</v>
      </c>
      <c r="Z104" s="13">
        <v>0</v>
      </c>
      <c r="AA104" s="13">
        <v>0</v>
      </c>
      <c r="AB104" s="13">
        <v>0</v>
      </c>
      <c r="AF104" s="13">
        <v>0</v>
      </c>
      <c r="AG104" s="13">
        <v>0</v>
      </c>
      <c r="AH104" s="13">
        <v>0</v>
      </c>
      <c r="AK104" s="7">
        <f t="shared" si="5"/>
        <v>0</v>
      </c>
    </row>
    <row r="105" spans="2:40" x14ac:dyDescent="0.2">
      <c r="B105" s="2">
        <v>1112005</v>
      </c>
      <c r="C105" s="4" t="s">
        <v>4</v>
      </c>
      <c r="E105" s="13">
        <v>0</v>
      </c>
      <c r="F105" s="13">
        <v>0</v>
      </c>
      <c r="U105" s="13">
        <v>0</v>
      </c>
      <c r="V105" s="13">
        <v>0</v>
      </c>
      <c r="W105" s="13">
        <v>0</v>
      </c>
      <c r="Y105" s="13">
        <v>0</v>
      </c>
      <c r="Z105" s="13">
        <v>0</v>
      </c>
      <c r="AA105" s="13">
        <v>0</v>
      </c>
      <c r="AB105" s="13">
        <v>0</v>
      </c>
      <c r="AF105" s="13">
        <v>0</v>
      </c>
      <c r="AG105" s="13">
        <v>0</v>
      </c>
      <c r="AH105" s="13">
        <v>0</v>
      </c>
      <c r="AK105" s="7">
        <f t="shared" si="5"/>
        <v>0</v>
      </c>
    </row>
    <row r="106" spans="2:40" x14ac:dyDescent="0.2">
      <c r="B106" s="2">
        <v>1112007</v>
      </c>
      <c r="C106" s="4" t="s">
        <v>5</v>
      </c>
      <c r="E106" s="13">
        <v>0</v>
      </c>
      <c r="F106" s="13">
        <v>0</v>
      </c>
      <c r="U106" s="13">
        <v>0</v>
      </c>
      <c r="V106" s="13">
        <v>0</v>
      </c>
      <c r="W106" s="13">
        <v>0</v>
      </c>
      <c r="Y106" s="13">
        <v>0</v>
      </c>
      <c r="Z106" s="13">
        <v>0</v>
      </c>
      <c r="AA106" s="13">
        <v>0</v>
      </c>
      <c r="AB106" s="13">
        <v>0</v>
      </c>
      <c r="AF106" s="13">
        <v>0</v>
      </c>
      <c r="AG106" s="13">
        <v>0</v>
      </c>
      <c r="AH106" s="13">
        <v>0</v>
      </c>
      <c r="AK106" s="7">
        <f t="shared" si="5"/>
        <v>0</v>
      </c>
    </row>
    <row r="107" spans="2:40" x14ac:dyDescent="0.2">
      <c r="B107" s="2">
        <v>1112019</v>
      </c>
      <c r="C107" s="4" t="s">
        <v>6</v>
      </c>
      <c r="E107" s="13">
        <v>0</v>
      </c>
      <c r="F107" s="13">
        <v>0</v>
      </c>
      <c r="U107" s="13">
        <v>0</v>
      </c>
      <c r="V107" s="13">
        <v>0</v>
      </c>
      <c r="W107" s="13">
        <v>0</v>
      </c>
      <c r="Y107" s="13">
        <v>0</v>
      </c>
      <c r="Z107" s="13">
        <v>0</v>
      </c>
      <c r="AA107" s="13">
        <v>0</v>
      </c>
      <c r="AB107" s="13">
        <v>0</v>
      </c>
      <c r="AF107" s="13">
        <v>0</v>
      </c>
      <c r="AG107" s="13">
        <v>0</v>
      </c>
      <c r="AH107" s="13">
        <v>0</v>
      </c>
      <c r="AK107" s="7">
        <f t="shared" si="5"/>
        <v>0</v>
      </c>
    </row>
    <row r="108" spans="2:40" x14ac:dyDescent="0.2">
      <c r="B108" s="2">
        <v>1112017</v>
      </c>
      <c r="C108" s="4" t="s">
        <v>7</v>
      </c>
      <c r="E108" s="13">
        <v>0</v>
      </c>
      <c r="F108" s="13">
        <v>0</v>
      </c>
      <c r="U108" s="13">
        <v>0</v>
      </c>
      <c r="V108" s="13">
        <v>0</v>
      </c>
      <c r="W108" s="13">
        <v>0</v>
      </c>
      <c r="Y108" s="13">
        <v>0</v>
      </c>
      <c r="Z108" s="13">
        <v>0</v>
      </c>
      <c r="AA108" s="13">
        <v>0</v>
      </c>
      <c r="AB108" s="13">
        <v>0</v>
      </c>
      <c r="AF108" s="13">
        <v>0</v>
      </c>
      <c r="AG108" s="13">
        <v>0</v>
      </c>
      <c r="AH108" s="13">
        <v>0</v>
      </c>
      <c r="AK108" s="7">
        <f t="shared" si="5"/>
        <v>0</v>
      </c>
    </row>
    <row r="109" spans="2:40" x14ac:dyDescent="0.2">
      <c r="B109" s="2">
        <v>1112015</v>
      </c>
      <c r="C109" s="4" t="s">
        <v>8</v>
      </c>
      <c r="E109" s="13">
        <v>0</v>
      </c>
      <c r="F109" s="13">
        <v>0</v>
      </c>
      <c r="U109" s="13">
        <v>0</v>
      </c>
      <c r="V109" s="13">
        <v>0</v>
      </c>
      <c r="W109" s="13">
        <v>0</v>
      </c>
      <c r="Y109" s="13">
        <v>0</v>
      </c>
      <c r="Z109" s="13">
        <v>0</v>
      </c>
      <c r="AA109" s="13">
        <v>0</v>
      </c>
      <c r="AB109" s="13">
        <v>0</v>
      </c>
      <c r="AF109" s="13">
        <v>0</v>
      </c>
      <c r="AG109" s="13">
        <v>0</v>
      </c>
      <c r="AH109" s="13">
        <v>0</v>
      </c>
      <c r="AK109" s="7">
        <f t="shared" si="5"/>
        <v>0</v>
      </c>
    </row>
    <row r="110" spans="2:40" x14ac:dyDescent="0.2">
      <c r="B110" s="2">
        <v>1112013</v>
      </c>
      <c r="C110" s="4" t="s">
        <v>9</v>
      </c>
      <c r="E110" s="13">
        <v>0</v>
      </c>
      <c r="F110" s="13">
        <v>0</v>
      </c>
      <c r="U110" s="13">
        <v>0</v>
      </c>
      <c r="V110" s="13">
        <v>0</v>
      </c>
      <c r="W110" s="13">
        <v>0</v>
      </c>
      <c r="Y110" s="13">
        <v>1</v>
      </c>
      <c r="Z110" s="13">
        <v>0</v>
      </c>
      <c r="AA110" s="13">
        <v>0</v>
      </c>
      <c r="AB110" s="13">
        <v>0</v>
      </c>
      <c r="AF110" s="13">
        <v>0</v>
      </c>
      <c r="AG110" s="13">
        <v>0</v>
      </c>
      <c r="AH110" s="13">
        <v>0</v>
      </c>
      <c r="AK110" s="7">
        <f t="shared" si="5"/>
        <v>1</v>
      </c>
    </row>
    <row r="111" spans="2:40" x14ac:dyDescent="0.2">
      <c r="B111" s="2">
        <v>1124043</v>
      </c>
      <c r="C111" s="4" t="s">
        <v>165</v>
      </c>
      <c r="E111" s="13">
        <v>0</v>
      </c>
      <c r="F111" s="13">
        <v>0</v>
      </c>
      <c r="V111" s="13">
        <v>0</v>
      </c>
      <c r="W111" s="13">
        <v>0</v>
      </c>
      <c r="Y111" s="13">
        <v>0</v>
      </c>
      <c r="Z111" s="13">
        <v>0</v>
      </c>
      <c r="AA111" s="13">
        <v>0</v>
      </c>
      <c r="AB111" s="13">
        <v>0</v>
      </c>
      <c r="AF111" s="13">
        <v>0</v>
      </c>
      <c r="AG111" s="13">
        <v>0</v>
      </c>
      <c r="AH111" s="13">
        <v>0</v>
      </c>
      <c r="AK111" s="7">
        <f t="shared" si="5"/>
        <v>0</v>
      </c>
    </row>
    <row r="112" spans="2:40" ht="19.5" x14ac:dyDescent="0.2">
      <c r="B112" s="30" t="s">
        <v>20</v>
      </c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</row>
    <row r="113" spans="2:42" x14ac:dyDescent="0.2">
      <c r="B113" s="2">
        <v>1112008</v>
      </c>
      <c r="C113" s="4" t="s">
        <v>1</v>
      </c>
      <c r="E113" s="13">
        <v>7</v>
      </c>
      <c r="F113" s="13">
        <v>1</v>
      </c>
      <c r="G113" s="13">
        <v>3</v>
      </c>
      <c r="H113" s="13">
        <v>5</v>
      </c>
      <c r="I113" s="13">
        <v>5</v>
      </c>
      <c r="J113" s="13">
        <v>4</v>
      </c>
      <c r="K113" s="13">
        <v>1</v>
      </c>
      <c r="L113" s="13">
        <v>2</v>
      </c>
      <c r="M113" s="13">
        <v>2</v>
      </c>
      <c r="N113" s="13">
        <v>1</v>
      </c>
      <c r="O113" s="13">
        <v>1</v>
      </c>
      <c r="P113" s="13">
        <v>4</v>
      </c>
      <c r="Q113" s="13">
        <v>16</v>
      </c>
      <c r="R113" s="13">
        <v>1</v>
      </c>
      <c r="S113" s="13">
        <v>3</v>
      </c>
      <c r="T113" s="13">
        <v>1</v>
      </c>
      <c r="U113" s="13">
        <v>0</v>
      </c>
      <c r="V113" s="13">
        <v>0</v>
      </c>
      <c r="W113" s="13">
        <v>0</v>
      </c>
      <c r="X113" s="13">
        <v>2</v>
      </c>
      <c r="Y113" s="13">
        <v>0</v>
      </c>
      <c r="Z113" s="13">
        <v>0</v>
      </c>
      <c r="AA113" s="13">
        <v>2</v>
      </c>
      <c r="AB113" s="13">
        <v>0</v>
      </c>
      <c r="AD113" s="13">
        <v>4</v>
      </c>
      <c r="AE113" s="13">
        <v>4</v>
      </c>
      <c r="AF113" s="13">
        <v>0</v>
      </c>
      <c r="AG113" s="13">
        <v>0</v>
      </c>
      <c r="AH113" s="13">
        <v>0</v>
      </c>
      <c r="AI113" s="13">
        <v>2</v>
      </c>
      <c r="AK113" s="7">
        <f t="shared" ref="AK113:AK122" si="6">SUM(D113:AJ113)</f>
        <v>71</v>
      </c>
      <c r="AM113" s="12">
        <v>0</v>
      </c>
      <c r="AN113" s="12">
        <v>1</v>
      </c>
      <c r="AP113" s="12">
        <f>SUM(AK113:AO113)</f>
        <v>72</v>
      </c>
    </row>
    <row r="114" spans="2:42" x14ac:dyDescent="0.2">
      <c r="B114" s="2">
        <v>1112010</v>
      </c>
      <c r="C114" s="4" t="s">
        <v>2</v>
      </c>
      <c r="E114" s="13">
        <v>31</v>
      </c>
      <c r="F114" s="13">
        <v>8</v>
      </c>
      <c r="G114" s="13">
        <v>9</v>
      </c>
      <c r="H114" s="13">
        <v>14</v>
      </c>
      <c r="I114" s="13">
        <v>16</v>
      </c>
      <c r="J114" s="13">
        <v>13</v>
      </c>
      <c r="K114" s="13">
        <v>21</v>
      </c>
      <c r="L114" s="13">
        <v>7</v>
      </c>
      <c r="M114" s="13">
        <v>8</v>
      </c>
      <c r="N114" s="13">
        <v>6</v>
      </c>
      <c r="O114" s="13">
        <v>3</v>
      </c>
      <c r="P114" s="13">
        <v>4</v>
      </c>
      <c r="Q114" s="13">
        <v>18</v>
      </c>
      <c r="R114" s="13">
        <v>2</v>
      </c>
      <c r="S114" s="13">
        <v>6</v>
      </c>
      <c r="T114" s="13">
        <v>1</v>
      </c>
      <c r="U114" s="13">
        <v>3</v>
      </c>
      <c r="V114" s="13">
        <v>2</v>
      </c>
      <c r="W114" s="13">
        <v>1</v>
      </c>
      <c r="X114" s="13">
        <v>1</v>
      </c>
      <c r="Y114" s="13">
        <v>3</v>
      </c>
      <c r="Z114" s="13">
        <v>2</v>
      </c>
      <c r="AA114" s="13">
        <v>3</v>
      </c>
      <c r="AB114" s="13">
        <v>2</v>
      </c>
      <c r="AD114" s="13">
        <v>9</v>
      </c>
      <c r="AE114" s="13">
        <v>2</v>
      </c>
      <c r="AF114" s="13">
        <v>3</v>
      </c>
      <c r="AG114" s="13">
        <v>4</v>
      </c>
      <c r="AH114" s="13">
        <v>0</v>
      </c>
      <c r="AI114" s="13">
        <v>4</v>
      </c>
      <c r="AK114" s="7">
        <f t="shared" si="6"/>
        <v>206</v>
      </c>
      <c r="AM114" s="12">
        <v>14</v>
      </c>
      <c r="AN114" s="12">
        <v>0</v>
      </c>
      <c r="AP114" s="12">
        <f t="shared" ref="AP114:AP122" si="7">SUM(AK114:AO114)</f>
        <v>220</v>
      </c>
    </row>
    <row r="115" spans="2:42" x14ac:dyDescent="0.2">
      <c r="B115" s="2">
        <v>1112002</v>
      </c>
      <c r="C115" s="4" t="s">
        <v>3</v>
      </c>
      <c r="E115" s="13">
        <v>3</v>
      </c>
      <c r="F115" s="13">
        <v>0</v>
      </c>
      <c r="G115" s="13">
        <v>3</v>
      </c>
      <c r="H115" s="13">
        <v>4</v>
      </c>
      <c r="I115" s="13">
        <v>1</v>
      </c>
      <c r="J115" s="13">
        <v>2</v>
      </c>
      <c r="K115" s="13">
        <v>0</v>
      </c>
      <c r="L115" s="13">
        <v>2</v>
      </c>
      <c r="M115" s="13">
        <v>1</v>
      </c>
      <c r="N115" s="13">
        <v>2</v>
      </c>
      <c r="O115" s="13">
        <v>1</v>
      </c>
      <c r="P115" s="13">
        <v>0</v>
      </c>
      <c r="Q115" s="13">
        <v>1</v>
      </c>
      <c r="R115" s="13">
        <v>1</v>
      </c>
      <c r="S115" s="13">
        <v>1</v>
      </c>
      <c r="T115" s="13">
        <v>0</v>
      </c>
      <c r="U115" s="13">
        <v>0</v>
      </c>
      <c r="V115" s="13">
        <v>0</v>
      </c>
      <c r="W115" s="13">
        <v>0</v>
      </c>
      <c r="X115" s="13">
        <v>0</v>
      </c>
      <c r="Y115" s="13">
        <v>3</v>
      </c>
      <c r="Z115" s="13">
        <v>0</v>
      </c>
      <c r="AA115" s="13">
        <v>1</v>
      </c>
      <c r="AB115" s="13">
        <v>0</v>
      </c>
      <c r="AD115" s="13">
        <v>0</v>
      </c>
      <c r="AE115" s="13">
        <v>0</v>
      </c>
      <c r="AF115" s="13">
        <v>0</v>
      </c>
      <c r="AG115" s="13">
        <v>0</v>
      </c>
      <c r="AH115" s="13">
        <v>0</v>
      </c>
      <c r="AI115" s="13">
        <v>0</v>
      </c>
      <c r="AK115" s="7">
        <f t="shared" si="6"/>
        <v>26</v>
      </c>
      <c r="AM115" s="12">
        <v>0</v>
      </c>
      <c r="AN115" s="12">
        <v>0</v>
      </c>
      <c r="AP115" s="12">
        <f t="shared" si="7"/>
        <v>26</v>
      </c>
    </row>
    <row r="116" spans="2:42" x14ac:dyDescent="0.2">
      <c r="B116" s="2">
        <v>1112004</v>
      </c>
      <c r="C116" s="4" t="s">
        <v>4</v>
      </c>
      <c r="E116" s="13">
        <v>2</v>
      </c>
      <c r="F116" s="13">
        <v>2</v>
      </c>
      <c r="G116" s="13">
        <v>0</v>
      </c>
      <c r="H116" s="13">
        <v>3</v>
      </c>
      <c r="I116" s="13">
        <v>1</v>
      </c>
      <c r="J116" s="13">
        <v>0</v>
      </c>
      <c r="K116" s="13">
        <v>2</v>
      </c>
      <c r="L116" s="13">
        <v>0</v>
      </c>
      <c r="M116" s="13">
        <v>1</v>
      </c>
      <c r="N116" s="13">
        <v>2</v>
      </c>
      <c r="O116" s="13">
        <v>1</v>
      </c>
      <c r="P116" s="13">
        <v>0</v>
      </c>
      <c r="Q116" s="13">
        <v>1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D116" s="13">
        <v>1</v>
      </c>
      <c r="AE116" s="13">
        <v>0</v>
      </c>
      <c r="AF116" s="13">
        <v>0</v>
      </c>
      <c r="AG116" s="13">
        <v>0</v>
      </c>
      <c r="AH116" s="13">
        <v>0</v>
      </c>
      <c r="AI116" s="13">
        <v>0</v>
      </c>
      <c r="AK116" s="7">
        <f t="shared" si="6"/>
        <v>16</v>
      </c>
      <c r="AM116" s="12">
        <v>0</v>
      </c>
      <c r="AN116" s="12">
        <v>0</v>
      </c>
      <c r="AO116" s="12">
        <v>1</v>
      </c>
      <c r="AP116" s="12">
        <f t="shared" si="7"/>
        <v>17</v>
      </c>
    </row>
    <row r="117" spans="2:42" x14ac:dyDescent="0.2">
      <c r="B117" s="2">
        <v>1112006</v>
      </c>
      <c r="C117" s="4" t="s">
        <v>5</v>
      </c>
      <c r="E117" s="13">
        <v>0</v>
      </c>
      <c r="F117" s="13">
        <v>0</v>
      </c>
      <c r="G117" s="13">
        <v>1</v>
      </c>
      <c r="H117" s="13">
        <v>4</v>
      </c>
      <c r="I117" s="13">
        <v>2</v>
      </c>
      <c r="J117" s="13">
        <v>0</v>
      </c>
      <c r="K117" s="13">
        <v>2</v>
      </c>
      <c r="L117" s="13">
        <v>5</v>
      </c>
      <c r="M117" s="13">
        <v>1</v>
      </c>
      <c r="N117" s="13">
        <v>0</v>
      </c>
      <c r="O117" s="13">
        <v>2</v>
      </c>
      <c r="P117" s="13">
        <v>0</v>
      </c>
      <c r="Q117" s="13">
        <v>0</v>
      </c>
      <c r="R117" s="13">
        <v>0</v>
      </c>
      <c r="S117" s="13">
        <v>0</v>
      </c>
      <c r="T117" s="13">
        <v>0</v>
      </c>
      <c r="U117" s="13">
        <v>0</v>
      </c>
      <c r="V117" s="13">
        <v>0</v>
      </c>
      <c r="W117" s="13">
        <v>0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D117" s="13">
        <v>0</v>
      </c>
      <c r="AE117" s="13">
        <v>0</v>
      </c>
      <c r="AF117" s="13">
        <v>0</v>
      </c>
      <c r="AG117" s="13">
        <v>1</v>
      </c>
      <c r="AH117" s="13">
        <v>0</v>
      </c>
      <c r="AI117" s="13">
        <v>2</v>
      </c>
      <c r="AK117" s="7">
        <f t="shared" si="6"/>
        <v>20</v>
      </c>
      <c r="AM117" s="12">
        <v>0</v>
      </c>
      <c r="AN117" s="12">
        <v>0</v>
      </c>
      <c r="AO117" s="12">
        <v>2</v>
      </c>
      <c r="AP117" s="12">
        <f t="shared" si="7"/>
        <v>22</v>
      </c>
    </row>
    <row r="118" spans="2:42" x14ac:dyDescent="0.2">
      <c r="B118" s="2">
        <v>1112018</v>
      </c>
      <c r="C118" s="4" t="s">
        <v>6</v>
      </c>
      <c r="E118" s="13">
        <v>0</v>
      </c>
      <c r="F118" s="13">
        <v>1</v>
      </c>
      <c r="G118" s="13">
        <v>0</v>
      </c>
      <c r="H118" s="13">
        <v>1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0</v>
      </c>
      <c r="T118" s="13">
        <v>1</v>
      </c>
      <c r="U118" s="13">
        <v>0</v>
      </c>
      <c r="V118" s="13">
        <v>0</v>
      </c>
      <c r="W118" s="13">
        <v>0</v>
      </c>
      <c r="X118" s="13">
        <v>0</v>
      </c>
      <c r="Y118" s="13">
        <v>1</v>
      </c>
      <c r="Z118" s="13">
        <v>0</v>
      </c>
      <c r="AA118" s="13">
        <v>0</v>
      </c>
      <c r="AB118" s="13">
        <v>0</v>
      </c>
      <c r="AD118" s="13">
        <v>1</v>
      </c>
      <c r="AE118" s="13">
        <v>0</v>
      </c>
      <c r="AF118" s="13">
        <v>0</v>
      </c>
      <c r="AG118" s="13">
        <v>1</v>
      </c>
      <c r="AH118" s="13">
        <v>0</v>
      </c>
      <c r="AI118" s="13">
        <v>0</v>
      </c>
      <c r="AK118" s="7">
        <f t="shared" si="6"/>
        <v>6</v>
      </c>
      <c r="AM118" s="12">
        <v>0</v>
      </c>
      <c r="AN118" s="12">
        <v>0</v>
      </c>
      <c r="AP118" s="12">
        <f t="shared" si="7"/>
        <v>6</v>
      </c>
    </row>
    <row r="119" spans="2:42" x14ac:dyDescent="0.2">
      <c r="B119" s="2">
        <v>1112016</v>
      </c>
      <c r="C119" s="4" t="s">
        <v>7</v>
      </c>
      <c r="E119" s="13">
        <v>1</v>
      </c>
      <c r="F119" s="13">
        <v>4</v>
      </c>
      <c r="G119" s="13">
        <v>3</v>
      </c>
      <c r="H119" s="13">
        <v>1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3">
        <v>1</v>
      </c>
      <c r="O119" s="13">
        <v>0</v>
      </c>
      <c r="P119" s="13">
        <v>0</v>
      </c>
      <c r="Q119" s="13">
        <v>0</v>
      </c>
      <c r="R119" s="13">
        <v>0</v>
      </c>
      <c r="S119" s="13">
        <v>0</v>
      </c>
      <c r="T119" s="13">
        <v>0</v>
      </c>
      <c r="U119" s="13">
        <v>1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1</v>
      </c>
      <c r="AB119" s="13">
        <v>0</v>
      </c>
      <c r="AD119" s="13">
        <v>1</v>
      </c>
      <c r="AE119" s="13">
        <v>0</v>
      </c>
      <c r="AF119" s="13">
        <v>0</v>
      </c>
      <c r="AG119" s="13">
        <v>0</v>
      </c>
      <c r="AH119" s="13">
        <v>0</v>
      </c>
      <c r="AI119" s="13">
        <v>0</v>
      </c>
      <c r="AK119" s="7">
        <f t="shared" si="6"/>
        <v>13</v>
      </c>
      <c r="AM119" s="12">
        <v>0</v>
      </c>
      <c r="AN119" s="12">
        <v>1</v>
      </c>
      <c r="AP119" s="12">
        <f t="shared" si="7"/>
        <v>14</v>
      </c>
    </row>
    <row r="120" spans="2:42" x14ac:dyDescent="0.2">
      <c r="B120" s="2">
        <v>1112014</v>
      </c>
      <c r="C120" s="4" t="s">
        <v>8</v>
      </c>
      <c r="E120" s="13">
        <v>0</v>
      </c>
      <c r="F120" s="13">
        <v>1</v>
      </c>
      <c r="G120" s="13">
        <v>4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1</v>
      </c>
      <c r="P120" s="13">
        <v>0</v>
      </c>
      <c r="Q120" s="13">
        <v>0</v>
      </c>
      <c r="R120" s="13">
        <v>0</v>
      </c>
      <c r="S120" s="13">
        <v>0</v>
      </c>
      <c r="T120" s="13">
        <v>1</v>
      </c>
      <c r="U120" s="13">
        <v>2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1</v>
      </c>
      <c r="AB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K120" s="7">
        <f t="shared" si="6"/>
        <v>10</v>
      </c>
      <c r="AM120" s="12">
        <v>0</v>
      </c>
      <c r="AN120" s="12">
        <v>0</v>
      </c>
      <c r="AP120" s="12">
        <f t="shared" si="7"/>
        <v>10</v>
      </c>
    </row>
    <row r="121" spans="2:42" x14ac:dyDescent="0.2">
      <c r="B121" s="2">
        <v>1112012</v>
      </c>
      <c r="C121" s="4" t="s">
        <v>9</v>
      </c>
      <c r="E121" s="13">
        <v>12</v>
      </c>
      <c r="F121" s="13">
        <v>6</v>
      </c>
      <c r="G121" s="13">
        <v>5</v>
      </c>
      <c r="H121" s="13">
        <v>11</v>
      </c>
      <c r="I121" s="13">
        <v>14</v>
      </c>
      <c r="J121" s="13">
        <v>9</v>
      </c>
      <c r="K121" s="13">
        <v>2</v>
      </c>
      <c r="L121" s="13">
        <v>13</v>
      </c>
      <c r="M121" s="13">
        <v>6</v>
      </c>
      <c r="N121" s="13">
        <v>3</v>
      </c>
      <c r="O121" s="13">
        <v>8</v>
      </c>
      <c r="P121" s="13">
        <v>5</v>
      </c>
      <c r="Q121" s="13">
        <v>21</v>
      </c>
      <c r="R121" s="13">
        <v>13</v>
      </c>
      <c r="S121" s="13">
        <v>5</v>
      </c>
      <c r="T121" s="13">
        <v>8</v>
      </c>
      <c r="U121" s="13">
        <v>4</v>
      </c>
      <c r="V121" s="13">
        <v>2</v>
      </c>
      <c r="W121" s="13">
        <v>3</v>
      </c>
      <c r="X121" s="13">
        <v>2</v>
      </c>
      <c r="Y121" s="13">
        <v>3</v>
      </c>
      <c r="Z121" s="13">
        <v>1</v>
      </c>
      <c r="AA121" s="13">
        <v>1</v>
      </c>
      <c r="AB121" s="13">
        <v>6</v>
      </c>
      <c r="AD121" s="13">
        <v>14</v>
      </c>
      <c r="AE121" s="13">
        <v>8</v>
      </c>
      <c r="AF121" s="13">
        <v>1</v>
      </c>
      <c r="AG121" s="13">
        <v>1</v>
      </c>
      <c r="AH121" s="13">
        <v>2</v>
      </c>
      <c r="AI121" s="13">
        <v>7</v>
      </c>
      <c r="AK121" s="7">
        <f t="shared" si="6"/>
        <v>196</v>
      </c>
      <c r="AM121" s="12">
        <v>0</v>
      </c>
      <c r="AN121" s="12">
        <v>1</v>
      </c>
      <c r="AP121" s="12">
        <f t="shared" si="7"/>
        <v>197</v>
      </c>
    </row>
    <row r="122" spans="2:42" x14ac:dyDescent="0.2">
      <c r="C122" s="4" t="s">
        <v>165</v>
      </c>
      <c r="E122" s="13">
        <v>0</v>
      </c>
      <c r="F122" s="13">
        <v>0</v>
      </c>
      <c r="G122" s="13">
        <v>10</v>
      </c>
      <c r="H122" s="13">
        <v>0</v>
      </c>
      <c r="K122" s="13">
        <v>3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2</v>
      </c>
      <c r="AB122" s="13">
        <v>0</v>
      </c>
      <c r="AF122" s="13">
        <v>0</v>
      </c>
      <c r="AG122" s="13">
        <v>0</v>
      </c>
      <c r="AH122" s="13">
        <v>0</v>
      </c>
      <c r="AI122" s="13">
        <v>0</v>
      </c>
      <c r="AK122" s="7">
        <f t="shared" si="6"/>
        <v>15</v>
      </c>
      <c r="AM122" s="12">
        <v>0</v>
      </c>
      <c r="AP122" s="12">
        <f t="shared" si="7"/>
        <v>15</v>
      </c>
    </row>
    <row r="123" spans="2:42" ht="19.5" x14ac:dyDescent="0.2">
      <c r="B123" s="30" t="s">
        <v>169</v>
      </c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</row>
    <row r="124" spans="2:42" x14ac:dyDescent="0.2">
      <c r="B124" s="2">
        <v>1112008</v>
      </c>
      <c r="C124" s="4" t="s">
        <v>1</v>
      </c>
      <c r="E124" s="13">
        <v>0</v>
      </c>
      <c r="F124" s="13">
        <v>0</v>
      </c>
      <c r="G124" s="13">
        <v>0</v>
      </c>
      <c r="H124" s="13">
        <v>0</v>
      </c>
      <c r="U124" s="13">
        <v>0</v>
      </c>
      <c r="V124" s="13">
        <v>0</v>
      </c>
      <c r="Z124" s="13">
        <v>0</v>
      </c>
      <c r="AH124" s="13">
        <v>0</v>
      </c>
      <c r="AK124" s="7">
        <f t="shared" ref="AK124:AK133" si="8">SUM(D124:AJ124)</f>
        <v>0</v>
      </c>
    </row>
    <row r="125" spans="2:42" x14ac:dyDescent="0.2">
      <c r="B125" s="2">
        <v>1112010</v>
      </c>
      <c r="C125" s="4" t="s">
        <v>2</v>
      </c>
      <c r="E125" s="13">
        <v>0</v>
      </c>
      <c r="F125" s="13">
        <v>0</v>
      </c>
      <c r="G125" s="13">
        <v>0</v>
      </c>
      <c r="H125" s="13">
        <v>0</v>
      </c>
      <c r="U125" s="13">
        <v>8</v>
      </c>
      <c r="V125" s="13">
        <v>2</v>
      </c>
      <c r="Z125" s="13">
        <v>2</v>
      </c>
      <c r="AH125" s="13">
        <v>2</v>
      </c>
      <c r="AK125" s="7">
        <f t="shared" si="8"/>
        <v>14</v>
      </c>
    </row>
    <row r="126" spans="2:42" x14ac:dyDescent="0.2">
      <c r="B126" s="2">
        <v>1112002</v>
      </c>
      <c r="C126" s="4" t="s">
        <v>3</v>
      </c>
      <c r="E126" s="13">
        <v>0</v>
      </c>
      <c r="F126" s="13">
        <v>0</v>
      </c>
      <c r="G126" s="13">
        <v>0</v>
      </c>
      <c r="H126" s="13">
        <v>0</v>
      </c>
      <c r="U126" s="13">
        <v>0</v>
      </c>
      <c r="V126" s="13">
        <v>0</v>
      </c>
      <c r="Z126" s="13">
        <v>0</v>
      </c>
      <c r="AH126" s="13">
        <v>0</v>
      </c>
      <c r="AK126" s="7">
        <f t="shared" si="8"/>
        <v>0</v>
      </c>
    </row>
    <row r="127" spans="2:42" x14ac:dyDescent="0.2">
      <c r="B127" s="2">
        <v>1112004</v>
      </c>
      <c r="C127" s="4" t="s">
        <v>4</v>
      </c>
      <c r="E127" s="13">
        <v>0</v>
      </c>
      <c r="F127" s="13">
        <v>0</v>
      </c>
      <c r="G127" s="13">
        <v>0</v>
      </c>
      <c r="H127" s="13">
        <v>0</v>
      </c>
      <c r="U127" s="13">
        <v>0</v>
      </c>
      <c r="V127" s="13">
        <v>0</v>
      </c>
      <c r="Z127" s="13">
        <v>0</v>
      </c>
      <c r="AH127" s="13">
        <v>0</v>
      </c>
      <c r="AK127" s="7">
        <f t="shared" si="8"/>
        <v>0</v>
      </c>
    </row>
    <row r="128" spans="2:42" x14ac:dyDescent="0.2">
      <c r="B128" s="2">
        <v>1112006</v>
      </c>
      <c r="C128" s="4" t="s">
        <v>5</v>
      </c>
      <c r="E128" s="13">
        <v>0</v>
      </c>
      <c r="F128" s="13">
        <v>0</v>
      </c>
      <c r="G128" s="13">
        <v>0</v>
      </c>
      <c r="H128" s="13">
        <v>0</v>
      </c>
      <c r="U128" s="13">
        <v>0</v>
      </c>
      <c r="V128" s="13">
        <v>0</v>
      </c>
      <c r="Z128" s="13">
        <v>0</v>
      </c>
      <c r="AH128" s="13">
        <v>0</v>
      </c>
      <c r="AK128" s="7">
        <f t="shared" si="8"/>
        <v>0</v>
      </c>
    </row>
    <row r="129" spans="2:37" x14ac:dyDescent="0.2">
      <c r="B129" s="2">
        <v>1112018</v>
      </c>
      <c r="C129" s="4" t="s">
        <v>6</v>
      </c>
      <c r="E129" s="13">
        <v>0</v>
      </c>
      <c r="F129" s="13">
        <v>0</v>
      </c>
      <c r="G129" s="13">
        <v>0</v>
      </c>
      <c r="H129" s="13">
        <v>0</v>
      </c>
      <c r="U129" s="13">
        <v>0</v>
      </c>
      <c r="V129" s="13">
        <v>0</v>
      </c>
      <c r="Z129" s="13">
        <v>0</v>
      </c>
      <c r="AH129" s="13">
        <v>0</v>
      </c>
      <c r="AK129" s="7">
        <f t="shared" si="8"/>
        <v>0</v>
      </c>
    </row>
    <row r="130" spans="2:37" x14ac:dyDescent="0.2">
      <c r="B130" s="2">
        <v>1112016</v>
      </c>
      <c r="C130" s="4" t="s">
        <v>7</v>
      </c>
      <c r="E130" s="13">
        <v>0</v>
      </c>
      <c r="F130" s="13">
        <v>0</v>
      </c>
      <c r="G130" s="13">
        <v>0</v>
      </c>
      <c r="H130" s="13">
        <v>0</v>
      </c>
      <c r="U130" s="13">
        <v>0</v>
      </c>
      <c r="V130" s="13">
        <v>0</v>
      </c>
      <c r="Z130" s="13">
        <v>0</v>
      </c>
      <c r="AH130" s="13">
        <v>0</v>
      </c>
      <c r="AK130" s="7">
        <f t="shared" si="8"/>
        <v>0</v>
      </c>
    </row>
    <row r="131" spans="2:37" x14ac:dyDescent="0.2">
      <c r="B131" s="2">
        <v>1112014</v>
      </c>
      <c r="C131" s="4" t="s">
        <v>8</v>
      </c>
      <c r="E131" s="13">
        <v>0</v>
      </c>
      <c r="F131" s="13">
        <v>0</v>
      </c>
      <c r="G131" s="13">
        <v>0</v>
      </c>
      <c r="H131" s="13">
        <v>0</v>
      </c>
      <c r="U131" s="13">
        <v>0</v>
      </c>
      <c r="V131" s="13">
        <v>0</v>
      </c>
      <c r="Z131" s="13">
        <v>0</v>
      </c>
      <c r="AH131" s="13">
        <v>0</v>
      </c>
      <c r="AK131" s="7">
        <f t="shared" si="8"/>
        <v>0</v>
      </c>
    </row>
    <row r="132" spans="2:37" x14ac:dyDescent="0.2">
      <c r="B132" s="2">
        <v>1112012</v>
      </c>
      <c r="C132" s="4" t="s">
        <v>9</v>
      </c>
      <c r="E132" s="13">
        <v>0</v>
      </c>
      <c r="F132" s="13">
        <v>0</v>
      </c>
      <c r="G132" s="13">
        <v>0</v>
      </c>
      <c r="H132" s="13">
        <v>0</v>
      </c>
      <c r="U132" s="13">
        <v>0</v>
      </c>
      <c r="V132" s="13">
        <v>0</v>
      </c>
      <c r="Z132" s="13">
        <v>0</v>
      </c>
      <c r="AH132" s="13">
        <v>0</v>
      </c>
      <c r="AK132" s="7">
        <f t="shared" si="8"/>
        <v>0</v>
      </c>
    </row>
    <row r="133" spans="2:37" x14ac:dyDescent="0.2">
      <c r="C133" s="4" t="s">
        <v>165</v>
      </c>
      <c r="E133" s="13">
        <v>0</v>
      </c>
      <c r="F133" s="13">
        <v>0</v>
      </c>
      <c r="G133" s="13">
        <v>0</v>
      </c>
      <c r="V133" s="13">
        <v>0</v>
      </c>
      <c r="Z133" s="13">
        <v>0</v>
      </c>
      <c r="AH133" s="13">
        <v>0</v>
      </c>
      <c r="AK133" s="7">
        <f t="shared" si="8"/>
        <v>0</v>
      </c>
    </row>
    <row r="134" spans="2:37" ht="19.5" x14ac:dyDescent="0.2">
      <c r="B134" s="30" t="s">
        <v>170</v>
      </c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</row>
    <row r="135" spans="2:37" x14ac:dyDescent="0.2">
      <c r="B135" s="2">
        <v>1112008</v>
      </c>
      <c r="C135" s="4" t="s">
        <v>1</v>
      </c>
      <c r="E135" s="13">
        <v>0</v>
      </c>
      <c r="F135" s="13">
        <v>0</v>
      </c>
      <c r="G135" s="13">
        <v>1</v>
      </c>
      <c r="H135" s="13">
        <v>0</v>
      </c>
      <c r="AK135" s="7">
        <f t="shared" ref="AK135:AK143" si="9">SUM(D135:AJ135)</f>
        <v>1</v>
      </c>
    </row>
    <row r="136" spans="2:37" x14ac:dyDescent="0.2">
      <c r="B136" s="2">
        <v>1112010</v>
      </c>
      <c r="C136" s="4" t="s">
        <v>2</v>
      </c>
      <c r="E136" s="13">
        <v>0</v>
      </c>
      <c r="F136" s="13">
        <v>0</v>
      </c>
      <c r="G136" s="13">
        <v>0</v>
      </c>
      <c r="H136" s="13">
        <v>0</v>
      </c>
      <c r="AK136" s="7">
        <f t="shared" si="9"/>
        <v>0</v>
      </c>
    </row>
    <row r="137" spans="2:37" x14ac:dyDescent="0.2">
      <c r="B137" s="2">
        <v>1112002</v>
      </c>
      <c r="C137" s="4" t="s">
        <v>3</v>
      </c>
      <c r="E137" s="13">
        <v>0</v>
      </c>
      <c r="F137" s="13">
        <v>0</v>
      </c>
      <c r="G137" s="13">
        <v>0</v>
      </c>
      <c r="H137" s="13">
        <v>0</v>
      </c>
      <c r="AK137" s="7">
        <f t="shared" si="9"/>
        <v>0</v>
      </c>
    </row>
    <row r="138" spans="2:37" x14ac:dyDescent="0.2">
      <c r="B138" s="2">
        <v>1112004</v>
      </c>
      <c r="C138" s="4" t="s">
        <v>4</v>
      </c>
      <c r="E138" s="13">
        <v>0</v>
      </c>
      <c r="F138" s="13">
        <v>0</v>
      </c>
      <c r="G138" s="13">
        <v>0</v>
      </c>
      <c r="H138" s="13">
        <v>0</v>
      </c>
      <c r="AK138" s="7">
        <f t="shared" si="9"/>
        <v>0</v>
      </c>
    </row>
    <row r="139" spans="2:37" x14ac:dyDescent="0.2">
      <c r="B139" s="2">
        <v>1112006</v>
      </c>
      <c r="C139" s="4" t="s">
        <v>5</v>
      </c>
      <c r="E139" s="13">
        <v>0</v>
      </c>
      <c r="F139" s="13">
        <v>0</v>
      </c>
      <c r="G139" s="13">
        <v>0</v>
      </c>
      <c r="H139" s="13">
        <v>0</v>
      </c>
      <c r="AK139" s="7">
        <f t="shared" si="9"/>
        <v>0</v>
      </c>
    </row>
    <row r="140" spans="2:37" x14ac:dyDescent="0.2">
      <c r="B140" s="2">
        <v>1112018</v>
      </c>
      <c r="C140" s="4" t="s">
        <v>6</v>
      </c>
      <c r="E140" s="13">
        <v>0</v>
      </c>
      <c r="F140" s="13">
        <v>0</v>
      </c>
      <c r="G140" s="13">
        <v>0</v>
      </c>
      <c r="H140" s="13">
        <v>0</v>
      </c>
      <c r="AK140" s="7">
        <f t="shared" si="9"/>
        <v>0</v>
      </c>
    </row>
    <row r="141" spans="2:37" x14ac:dyDescent="0.2">
      <c r="B141" s="2">
        <v>1112016</v>
      </c>
      <c r="C141" s="4" t="s">
        <v>7</v>
      </c>
      <c r="E141" s="13">
        <v>0</v>
      </c>
      <c r="F141" s="13">
        <v>0</v>
      </c>
      <c r="G141" s="13">
        <v>1</v>
      </c>
      <c r="H141" s="13">
        <v>0</v>
      </c>
      <c r="AK141" s="7">
        <f t="shared" si="9"/>
        <v>1</v>
      </c>
    </row>
    <row r="142" spans="2:37" x14ac:dyDescent="0.2">
      <c r="B142" s="2">
        <v>1112014</v>
      </c>
      <c r="C142" s="4" t="s">
        <v>8</v>
      </c>
      <c r="E142" s="13">
        <v>0</v>
      </c>
      <c r="F142" s="13">
        <v>0</v>
      </c>
      <c r="G142" s="13">
        <v>0</v>
      </c>
      <c r="H142" s="13">
        <v>0</v>
      </c>
      <c r="AK142" s="7">
        <f t="shared" si="9"/>
        <v>0</v>
      </c>
    </row>
    <row r="143" spans="2:37" x14ac:dyDescent="0.2">
      <c r="B143" s="2">
        <v>1112012</v>
      </c>
      <c r="C143" s="4" t="s">
        <v>9</v>
      </c>
      <c r="E143" s="13">
        <v>0</v>
      </c>
      <c r="F143" s="13">
        <v>0</v>
      </c>
      <c r="G143" s="13">
        <v>1</v>
      </c>
      <c r="H143" s="13">
        <v>0</v>
      </c>
      <c r="AK143" s="7">
        <f t="shared" si="9"/>
        <v>1</v>
      </c>
    </row>
    <row r="144" spans="2:37" ht="19.5" x14ac:dyDescent="0.2">
      <c r="B144" s="31" t="s">
        <v>171</v>
      </c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</row>
    <row r="145" spans="2:37" x14ac:dyDescent="0.2">
      <c r="B145" s="9"/>
      <c r="C145" s="4" t="s">
        <v>3</v>
      </c>
      <c r="D145" s="9"/>
      <c r="E145" s="9">
        <v>0</v>
      </c>
      <c r="F145" s="9">
        <v>0</v>
      </c>
      <c r="G145" s="9">
        <v>0</v>
      </c>
      <c r="H145" s="9">
        <v>0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8">
        <f>SUM(D145:AJ145)</f>
        <v>0</v>
      </c>
    </row>
    <row r="146" spans="2:37" x14ac:dyDescent="0.2">
      <c r="B146" s="9"/>
      <c r="C146" s="4" t="s">
        <v>4</v>
      </c>
      <c r="D146" s="9"/>
      <c r="E146" s="9">
        <v>1</v>
      </c>
      <c r="F146" s="9">
        <v>0</v>
      </c>
      <c r="G146" s="9">
        <v>0</v>
      </c>
      <c r="H146" s="9">
        <v>0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8">
        <f t="shared" ref="AK146:AK148" si="10">SUM(D146:AJ146)</f>
        <v>1</v>
      </c>
    </row>
    <row r="147" spans="2:37" x14ac:dyDescent="0.2">
      <c r="B147" s="9"/>
      <c r="C147" s="10" t="s">
        <v>5</v>
      </c>
      <c r="D147" s="9"/>
      <c r="E147" s="9">
        <v>2</v>
      </c>
      <c r="F147" s="9">
        <v>0</v>
      </c>
      <c r="G147" s="9">
        <v>0</v>
      </c>
      <c r="H147" s="9">
        <v>0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8">
        <f t="shared" si="10"/>
        <v>2</v>
      </c>
    </row>
    <row r="148" spans="2:37" x14ac:dyDescent="0.2">
      <c r="B148" s="9"/>
      <c r="C148" s="10" t="s">
        <v>7</v>
      </c>
      <c r="D148" s="9"/>
      <c r="E148" s="9">
        <v>0</v>
      </c>
      <c r="F148" s="9">
        <v>0</v>
      </c>
      <c r="G148" s="9">
        <v>0</v>
      </c>
      <c r="H148" s="9">
        <v>0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8">
        <f t="shared" si="10"/>
        <v>0</v>
      </c>
    </row>
    <row r="149" spans="2:37" ht="19.5" x14ac:dyDescent="0.2">
      <c r="B149" s="30" t="s">
        <v>31</v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</row>
    <row r="150" spans="2:37" x14ac:dyDescent="0.2">
      <c r="B150" s="2">
        <v>1113121</v>
      </c>
      <c r="C150" s="5" t="s">
        <v>72</v>
      </c>
      <c r="E150" s="13">
        <v>110</v>
      </c>
      <c r="F150" s="13">
        <v>109</v>
      </c>
      <c r="G150" s="13">
        <v>92</v>
      </c>
      <c r="H150" s="13">
        <v>92</v>
      </c>
      <c r="I150" s="13">
        <v>104</v>
      </c>
      <c r="J150" s="13">
        <v>54</v>
      </c>
      <c r="K150" s="13">
        <v>55</v>
      </c>
      <c r="L150" s="13">
        <v>64</v>
      </c>
      <c r="M150" s="13">
        <v>60</v>
      </c>
      <c r="N150" s="13">
        <v>46</v>
      </c>
      <c r="O150" s="13">
        <v>48</v>
      </c>
      <c r="P150" s="13">
        <v>32</v>
      </c>
      <c r="Q150" s="13">
        <v>47</v>
      </c>
      <c r="R150" s="13">
        <v>27</v>
      </c>
      <c r="S150" s="13">
        <v>36</v>
      </c>
      <c r="T150" s="13">
        <v>49</v>
      </c>
      <c r="U150" s="13">
        <v>59</v>
      </c>
      <c r="V150" s="13">
        <v>41</v>
      </c>
      <c r="W150" s="13">
        <v>44</v>
      </c>
      <c r="X150" s="13">
        <v>27</v>
      </c>
      <c r="Y150" s="13">
        <v>36</v>
      </c>
      <c r="Z150" s="13">
        <v>28</v>
      </c>
      <c r="AA150" s="13">
        <v>20</v>
      </c>
      <c r="AB150" s="13">
        <v>84</v>
      </c>
      <c r="AD150" s="13">
        <v>67</v>
      </c>
      <c r="AE150" s="13">
        <v>55</v>
      </c>
      <c r="AF150" s="13">
        <v>63</v>
      </c>
      <c r="AG150" s="13">
        <v>35</v>
      </c>
      <c r="AH150" s="13">
        <v>52</v>
      </c>
      <c r="AI150" s="13">
        <v>82</v>
      </c>
      <c r="AK150" s="7">
        <f t="shared" ref="AK150:AK214" si="11">SUM(D150:AJ150)</f>
        <v>1718</v>
      </c>
    </row>
    <row r="151" spans="2:37" x14ac:dyDescent="0.2">
      <c r="B151" s="2">
        <v>1113122</v>
      </c>
      <c r="C151" s="5" t="s">
        <v>70</v>
      </c>
      <c r="E151" s="13">
        <v>51</v>
      </c>
      <c r="F151" s="13">
        <v>70</v>
      </c>
      <c r="G151" s="13">
        <v>66</v>
      </c>
      <c r="H151" s="13">
        <v>46</v>
      </c>
      <c r="I151" s="13">
        <v>42</v>
      </c>
      <c r="J151" s="13">
        <v>54</v>
      </c>
      <c r="K151" s="13">
        <v>33</v>
      </c>
      <c r="L151" s="13">
        <v>46</v>
      </c>
      <c r="M151" s="13">
        <v>42</v>
      </c>
      <c r="N151" s="13">
        <v>21</v>
      </c>
      <c r="O151" s="13">
        <v>22</v>
      </c>
      <c r="P151" s="13">
        <v>22</v>
      </c>
      <c r="Q151" s="13">
        <v>19</v>
      </c>
      <c r="R151" s="13">
        <v>18</v>
      </c>
      <c r="S151" s="13">
        <v>18</v>
      </c>
      <c r="T151" s="13">
        <v>31</v>
      </c>
      <c r="U151" s="13">
        <v>27</v>
      </c>
      <c r="V151" s="13">
        <v>21</v>
      </c>
      <c r="W151" s="13">
        <v>21</v>
      </c>
      <c r="X151" s="13">
        <v>15</v>
      </c>
      <c r="Y151" s="13">
        <v>22</v>
      </c>
      <c r="Z151" s="13">
        <v>22</v>
      </c>
      <c r="AA151" s="13">
        <v>18</v>
      </c>
      <c r="AB151" s="13">
        <v>64</v>
      </c>
      <c r="AD151" s="13">
        <v>53</v>
      </c>
      <c r="AE151" s="13">
        <v>39</v>
      </c>
      <c r="AF151" s="13">
        <v>23</v>
      </c>
      <c r="AG151" s="13">
        <v>27</v>
      </c>
      <c r="AH151" s="13">
        <v>39</v>
      </c>
      <c r="AI151" s="13">
        <v>68</v>
      </c>
      <c r="AK151" s="7">
        <f t="shared" si="11"/>
        <v>1060</v>
      </c>
    </row>
    <row r="152" spans="2:37" x14ac:dyDescent="0.2">
      <c r="B152" s="2">
        <v>1113123</v>
      </c>
      <c r="C152" s="5" t="s">
        <v>71</v>
      </c>
      <c r="E152" s="13">
        <v>60</v>
      </c>
      <c r="F152" s="13">
        <v>85</v>
      </c>
      <c r="G152" s="13">
        <v>92</v>
      </c>
      <c r="H152" s="13">
        <v>50</v>
      </c>
      <c r="I152" s="13">
        <v>58</v>
      </c>
      <c r="J152" s="13">
        <v>53</v>
      </c>
      <c r="K152" s="13">
        <v>32</v>
      </c>
      <c r="L152" s="13">
        <v>58</v>
      </c>
      <c r="M152" s="13">
        <v>70</v>
      </c>
      <c r="N152" s="13">
        <v>33</v>
      </c>
      <c r="O152" s="13">
        <v>35</v>
      </c>
      <c r="P152" s="13">
        <v>18</v>
      </c>
      <c r="Q152" s="13">
        <v>41</v>
      </c>
      <c r="R152" s="13">
        <v>17</v>
      </c>
      <c r="S152" s="13">
        <v>16</v>
      </c>
      <c r="T152" s="13">
        <v>38</v>
      </c>
      <c r="U152" s="13">
        <v>36</v>
      </c>
      <c r="V152" s="13">
        <v>23</v>
      </c>
      <c r="W152" s="13">
        <v>16</v>
      </c>
      <c r="X152" s="13">
        <v>21</v>
      </c>
      <c r="Y152" s="13">
        <v>22</v>
      </c>
      <c r="Z152" s="13">
        <v>17</v>
      </c>
      <c r="AA152" s="13">
        <v>20</v>
      </c>
      <c r="AB152" s="13">
        <v>52</v>
      </c>
      <c r="AD152" s="13">
        <v>53</v>
      </c>
      <c r="AE152" s="13">
        <v>46</v>
      </c>
      <c r="AF152" s="13">
        <v>23</v>
      </c>
      <c r="AG152" s="13">
        <v>28</v>
      </c>
      <c r="AH152" s="13">
        <v>44</v>
      </c>
      <c r="AI152" s="13">
        <v>63</v>
      </c>
      <c r="AK152" s="7">
        <f t="shared" si="11"/>
        <v>1220</v>
      </c>
    </row>
    <row r="153" spans="2:37" x14ac:dyDescent="0.2">
      <c r="B153" s="2">
        <v>1113124</v>
      </c>
      <c r="C153" s="5" t="s">
        <v>73</v>
      </c>
      <c r="E153" s="13">
        <v>7</v>
      </c>
      <c r="F153" s="13">
        <v>31</v>
      </c>
      <c r="G153" s="13">
        <v>26</v>
      </c>
      <c r="H153" s="13">
        <v>21</v>
      </c>
      <c r="I153" s="13">
        <v>27</v>
      </c>
      <c r="J153" s="13">
        <v>22</v>
      </c>
      <c r="K153" s="13">
        <v>12</v>
      </c>
      <c r="L153" s="13">
        <v>37</v>
      </c>
      <c r="M153" s="13">
        <v>29</v>
      </c>
      <c r="N153" s="13">
        <v>16</v>
      </c>
      <c r="O153" s="13">
        <v>20</v>
      </c>
      <c r="P153" s="13">
        <v>4</v>
      </c>
      <c r="Q153" s="13">
        <v>13</v>
      </c>
      <c r="R153" s="13">
        <v>16</v>
      </c>
      <c r="S153" s="13">
        <v>8</v>
      </c>
      <c r="T153" s="13">
        <v>24</v>
      </c>
      <c r="U153" s="13">
        <v>20</v>
      </c>
      <c r="V153" s="13">
        <v>17</v>
      </c>
      <c r="W153" s="13">
        <v>13</v>
      </c>
      <c r="X153" s="13">
        <v>15</v>
      </c>
      <c r="Y153" s="13">
        <v>18</v>
      </c>
      <c r="Z153" s="13">
        <v>1</v>
      </c>
      <c r="AA153" s="13">
        <v>3</v>
      </c>
      <c r="AB153" s="13">
        <v>21</v>
      </c>
      <c r="AD153" s="13">
        <v>26</v>
      </c>
      <c r="AE153" s="13">
        <v>23</v>
      </c>
      <c r="AF153" s="13">
        <v>13</v>
      </c>
      <c r="AG153" s="13">
        <v>13</v>
      </c>
      <c r="AH153" s="13">
        <v>23</v>
      </c>
      <c r="AI153" s="13">
        <v>20</v>
      </c>
      <c r="AK153" s="7">
        <f t="shared" si="11"/>
        <v>539</v>
      </c>
    </row>
    <row r="154" spans="2:37" x14ac:dyDescent="0.2">
      <c r="B154" s="2">
        <v>1124044</v>
      </c>
      <c r="C154" s="5" t="s">
        <v>172</v>
      </c>
      <c r="E154" s="13">
        <v>0</v>
      </c>
      <c r="F154" s="13">
        <v>10</v>
      </c>
      <c r="G154" s="13">
        <v>20</v>
      </c>
      <c r="H154" s="13">
        <v>0</v>
      </c>
      <c r="I154" s="13">
        <v>0</v>
      </c>
      <c r="J154" s="13">
        <v>0</v>
      </c>
      <c r="K154" s="13">
        <v>10</v>
      </c>
      <c r="L154" s="13">
        <v>21</v>
      </c>
      <c r="M154" s="13">
        <v>6</v>
      </c>
      <c r="N154" s="13">
        <v>12</v>
      </c>
      <c r="O154" s="13">
        <v>16</v>
      </c>
      <c r="P154" s="13">
        <v>6</v>
      </c>
      <c r="Q154" s="13">
        <v>0</v>
      </c>
      <c r="R154" s="13">
        <v>0</v>
      </c>
      <c r="S154" s="13">
        <v>1</v>
      </c>
      <c r="T154" s="13">
        <v>0</v>
      </c>
      <c r="U154" s="13">
        <v>0</v>
      </c>
      <c r="V154" s="13">
        <v>5</v>
      </c>
      <c r="W154" s="13">
        <v>7</v>
      </c>
      <c r="X154" s="13">
        <v>2</v>
      </c>
      <c r="Y154" s="13">
        <v>2</v>
      </c>
      <c r="Z154" s="13">
        <v>4</v>
      </c>
      <c r="AA154" s="13">
        <v>4</v>
      </c>
      <c r="AB154" s="13">
        <v>2</v>
      </c>
      <c r="AD154" s="13">
        <v>2</v>
      </c>
      <c r="AE154" s="13">
        <v>7</v>
      </c>
      <c r="AF154" s="13">
        <v>9</v>
      </c>
      <c r="AG154" s="13">
        <v>4</v>
      </c>
      <c r="AH154" s="13">
        <v>33</v>
      </c>
      <c r="AI154" s="13">
        <v>2</v>
      </c>
      <c r="AK154" s="7">
        <f t="shared" si="11"/>
        <v>185</v>
      </c>
    </row>
    <row r="155" spans="2:37" x14ac:dyDescent="0.2">
      <c r="B155" s="2">
        <v>1113126</v>
      </c>
      <c r="C155" s="5" t="s">
        <v>74</v>
      </c>
      <c r="E155" s="13">
        <v>5</v>
      </c>
      <c r="F155" s="13">
        <v>7</v>
      </c>
      <c r="G155" s="13">
        <v>2</v>
      </c>
      <c r="H155" s="13">
        <v>3</v>
      </c>
      <c r="I155" s="13">
        <v>1</v>
      </c>
      <c r="J155" s="13">
        <v>4</v>
      </c>
      <c r="K155" s="13">
        <v>0</v>
      </c>
      <c r="L155" s="13">
        <v>3</v>
      </c>
      <c r="M155" s="13">
        <v>0</v>
      </c>
      <c r="N155" s="13">
        <v>1</v>
      </c>
      <c r="O155" s="13">
        <v>0</v>
      </c>
      <c r="P155" s="13">
        <v>1</v>
      </c>
      <c r="Q155" s="13">
        <v>3</v>
      </c>
      <c r="R155" s="13">
        <v>0</v>
      </c>
      <c r="S155" s="13">
        <v>0</v>
      </c>
      <c r="T155" s="13">
        <v>0</v>
      </c>
      <c r="U155" s="13">
        <v>0</v>
      </c>
      <c r="V155" s="13">
        <v>1</v>
      </c>
      <c r="W155" s="13">
        <v>0</v>
      </c>
      <c r="X155" s="13">
        <v>2</v>
      </c>
      <c r="Y155" s="13">
        <v>2</v>
      </c>
      <c r="Z155" s="13">
        <v>0</v>
      </c>
      <c r="AA155" s="13">
        <v>0</v>
      </c>
      <c r="AB155" s="13">
        <v>6</v>
      </c>
      <c r="AD155" s="13">
        <v>0</v>
      </c>
      <c r="AE155" s="13">
        <v>1</v>
      </c>
      <c r="AF155" s="13">
        <v>1</v>
      </c>
      <c r="AG155" s="13">
        <v>1</v>
      </c>
      <c r="AH155" s="13">
        <v>7</v>
      </c>
      <c r="AI155" s="13">
        <v>0</v>
      </c>
      <c r="AK155" s="7">
        <f t="shared" si="11"/>
        <v>51</v>
      </c>
    </row>
    <row r="156" spans="2:37" x14ac:dyDescent="0.2">
      <c r="B156" s="2">
        <v>1113127</v>
      </c>
      <c r="C156" s="5" t="s">
        <v>75</v>
      </c>
      <c r="E156" s="13">
        <v>8</v>
      </c>
      <c r="F156" s="13">
        <v>0</v>
      </c>
      <c r="G156" s="13">
        <v>2</v>
      </c>
      <c r="H156" s="13">
        <v>9</v>
      </c>
      <c r="I156" s="13">
        <v>1</v>
      </c>
      <c r="J156" s="13">
        <v>1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1</v>
      </c>
      <c r="R156" s="13">
        <v>2</v>
      </c>
      <c r="S156" s="13">
        <v>0</v>
      </c>
      <c r="T156" s="13">
        <v>0</v>
      </c>
      <c r="U156" s="13">
        <v>0</v>
      </c>
      <c r="V156" s="13">
        <v>1</v>
      </c>
      <c r="W156" s="13">
        <v>0</v>
      </c>
      <c r="X156" s="13">
        <v>2</v>
      </c>
      <c r="Y156" s="13">
        <v>0</v>
      </c>
      <c r="Z156" s="13">
        <v>0</v>
      </c>
      <c r="AA156" s="13">
        <v>0</v>
      </c>
      <c r="AB156" s="13">
        <v>3</v>
      </c>
      <c r="AD156" s="13">
        <v>0</v>
      </c>
      <c r="AE156" s="13">
        <v>0</v>
      </c>
      <c r="AF156" s="13">
        <v>0</v>
      </c>
      <c r="AG156" s="13">
        <v>0</v>
      </c>
      <c r="AH156" s="13">
        <v>15</v>
      </c>
      <c r="AI156" s="13">
        <v>1</v>
      </c>
      <c r="AK156" s="7">
        <f t="shared" si="11"/>
        <v>46</v>
      </c>
    </row>
    <row r="157" spans="2:37" x14ac:dyDescent="0.2">
      <c r="B157" s="2">
        <v>1113128</v>
      </c>
      <c r="C157" s="5" t="s">
        <v>76</v>
      </c>
      <c r="E157" s="13">
        <v>3</v>
      </c>
      <c r="F157" s="13">
        <v>0</v>
      </c>
      <c r="G157" s="13">
        <v>1</v>
      </c>
      <c r="H157" s="13">
        <v>2</v>
      </c>
      <c r="I157" s="13">
        <v>2</v>
      </c>
      <c r="J157" s="13">
        <v>4</v>
      </c>
      <c r="K157" s="13">
        <v>0</v>
      </c>
      <c r="L157" s="13">
        <v>1</v>
      </c>
      <c r="M157" s="13">
        <v>0</v>
      </c>
      <c r="N157" s="13">
        <v>0</v>
      </c>
      <c r="O157" s="13">
        <v>0</v>
      </c>
      <c r="P157" s="13">
        <v>1</v>
      </c>
      <c r="Q157" s="13">
        <v>2</v>
      </c>
      <c r="R157" s="13">
        <v>0</v>
      </c>
      <c r="S157" s="13">
        <v>0</v>
      </c>
      <c r="T157" s="13">
        <v>1</v>
      </c>
      <c r="U157" s="13">
        <v>0</v>
      </c>
      <c r="V157" s="13">
        <v>0</v>
      </c>
      <c r="W157" s="13">
        <v>0</v>
      </c>
      <c r="X157" s="13">
        <v>1</v>
      </c>
      <c r="Y157" s="13">
        <v>1</v>
      </c>
      <c r="Z157" s="13">
        <v>0</v>
      </c>
      <c r="AA157" s="13">
        <v>0</v>
      </c>
      <c r="AB157" s="13">
        <v>5</v>
      </c>
      <c r="AD157" s="13">
        <v>0</v>
      </c>
      <c r="AE157" s="13">
        <v>0</v>
      </c>
      <c r="AF157" s="13">
        <v>0</v>
      </c>
      <c r="AG157" s="13">
        <v>0</v>
      </c>
      <c r="AH157" s="13">
        <v>1</v>
      </c>
      <c r="AI157" s="13">
        <v>0</v>
      </c>
      <c r="AK157" s="7">
        <f t="shared" si="11"/>
        <v>25</v>
      </c>
    </row>
    <row r="158" spans="2:37" x14ac:dyDescent="0.2">
      <c r="B158" s="2">
        <v>1113129</v>
      </c>
      <c r="C158" s="5" t="s">
        <v>77</v>
      </c>
      <c r="E158" s="13">
        <v>1</v>
      </c>
      <c r="F158" s="13">
        <v>2</v>
      </c>
      <c r="G158" s="13">
        <v>1</v>
      </c>
      <c r="H158" s="13">
        <v>1</v>
      </c>
      <c r="I158" s="13">
        <v>4</v>
      </c>
      <c r="J158" s="13">
        <v>1</v>
      </c>
      <c r="K158" s="13">
        <v>0</v>
      </c>
      <c r="L158" s="13">
        <v>0</v>
      </c>
      <c r="M158" s="13">
        <v>0</v>
      </c>
      <c r="N158" s="13">
        <v>0</v>
      </c>
      <c r="O158" s="13">
        <v>1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1</v>
      </c>
      <c r="AA158" s="13">
        <v>0</v>
      </c>
      <c r="AB158" s="13">
        <v>0</v>
      </c>
      <c r="AD158" s="13">
        <v>0</v>
      </c>
      <c r="AE158" s="13">
        <v>1</v>
      </c>
      <c r="AF158" s="13">
        <v>0</v>
      </c>
      <c r="AG158" s="13">
        <v>0</v>
      </c>
      <c r="AH158" s="13">
        <v>8</v>
      </c>
      <c r="AI158" s="13">
        <v>0</v>
      </c>
      <c r="AK158" s="7">
        <f t="shared" si="11"/>
        <v>21</v>
      </c>
    </row>
    <row r="159" spans="2:37" x14ac:dyDescent="0.2">
      <c r="B159" s="2">
        <v>1113130</v>
      </c>
      <c r="C159" s="5" t="s">
        <v>78</v>
      </c>
      <c r="E159" s="13">
        <v>2</v>
      </c>
      <c r="F159" s="13">
        <v>0</v>
      </c>
      <c r="G159" s="13">
        <v>2</v>
      </c>
      <c r="H159" s="13">
        <v>0</v>
      </c>
      <c r="I159" s="13">
        <v>0</v>
      </c>
      <c r="J159" s="13">
        <v>0</v>
      </c>
      <c r="K159" s="13">
        <v>0</v>
      </c>
      <c r="L159" s="13">
        <v>2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2</v>
      </c>
      <c r="W159" s="13">
        <v>0</v>
      </c>
      <c r="X159" s="13">
        <v>0</v>
      </c>
      <c r="Y159" s="13">
        <v>0</v>
      </c>
      <c r="Z159" s="13">
        <v>2</v>
      </c>
      <c r="AA159" s="13">
        <v>0</v>
      </c>
      <c r="AB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13">
        <v>0</v>
      </c>
      <c r="AI159" s="13">
        <v>0</v>
      </c>
      <c r="AK159" s="7">
        <f t="shared" si="11"/>
        <v>10</v>
      </c>
    </row>
    <row r="160" spans="2:37" x14ac:dyDescent="0.2">
      <c r="B160" s="2">
        <v>1113131</v>
      </c>
      <c r="C160" s="5" t="s">
        <v>79</v>
      </c>
      <c r="E160" s="13">
        <v>6</v>
      </c>
      <c r="F160" s="13">
        <v>1</v>
      </c>
      <c r="G160" s="13">
        <v>1</v>
      </c>
      <c r="H160" s="13">
        <v>0</v>
      </c>
      <c r="I160" s="13">
        <v>0</v>
      </c>
      <c r="J160" s="13">
        <v>0</v>
      </c>
      <c r="K160" s="13">
        <v>2</v>
      </c>
      <c r="L160" s="13">
        <v>3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13">
        <v>0</v>
      </c>
      <c r="AI160" s="13">
        <v>0</v>
      </c>
      <c r="AK160" s="7">
        <f t="shared" si="11"/>
        <v>13</v>
      </c>
    </row>
    <row r="161" spans="2:37" x14ac:dyDescent="0.2">
      <c r="B161" s="2">
        <v>1113132</v>
      </c>
      <c r="C161" s="5" t="s">
        <v>80</v>
      </c>
      <c r="E161" s="13">
        <v>0</v>
      </c>
      <c r="F161" s="13">
        <v>1</v>
      </c>
      <c r="G161" s="13">
        <v>0</v>
      </c>
      <c r="H161" s="13">
        <v>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1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13">
        <v>0</v>
      </c>
      <c r="AI161" s="13">
        <v>0</v>
      </c>
      <c r="AK161" s="7">
        <f t="shared" si="11"/>
        <v>2</v>
      </c>
    </row>
    <row r="162" spans="2:37" x14ac:dyDescent="0.2">
      <c r="B162" s="2">
        <v>1113134</v>
      </c>
      <c r="C162" s="5" t="s">
        <v>81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K162" s="7">
        <f t="shared" si="11"/>
        <v>0</v>
      </c>
    </row>
    <row r="163" spans="2:37" x14ac:dyDescent="0.2">
      <c r="B163" s="2">
        <v>1113135</v>
      </c>
      <c r="C163" s="5" t="s">
        <v>82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13">
        <v>0</v>
      </c>
      <c r="AI163" s="13">
        <v>0</v>
      </c>
      <c r="AK163" s="7">
        <f t="shared" si="11"/>
        <v>0</v>
      </c>
    </row>
    <row r="164" spans="2:37" x14ac:dyDescent="0.2">
      <c r="B164" s="2">
        <v>1113136</v>
      </c>
      <c r="C164" s="5" t="s">
        <v>83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13">
        <v>0</v>
      </c>
      <c r="AI164" s="13">
        <v>0</v>
      </c>
      <c r="AK164" s="7">
        <f t="shared" si="11"/>
        <v>0</v>
      </c>
    </row>
    <row r="165" spans="2:37" x14ac:dyDescent="0.2">
      <c r="B165" s="2">
        <v>1113005</v>
      </c>
      <c r="C165" s="4" t="s">
        <v>166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1</v>
      </c>
      <c r="Y165" s="13">
        <v>0</v>
      </c>
      <c r="Z165" s="13">
        <v>0</v>
      </c>
      <c r="AA165" s="13">
        <v>0</v>
      </c>
      <c r="AB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13">
        <v>0</v>
      </c>
      <c r="AI165" s="13">
        <v>0</v>
      </c>
      <c r="AK165" s="7">
        <f t="shared" si="11"/>
        <v>1</v>
      </c>
    </row>
    <row r="166" spans="2:37" x14ac:dyDescent="0.2">
      <c r="B166" s="2">
        <v>1200093</v>
      </c>
      <c r="C166" s="5" t="s">
        <v>37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5</v>
      </c>
      <c r="Y166" s="13">
        <v>0</v>
      </c>
      <c r="Z166" s="13">
        <v>0</v>
      </c>
      <c r="AA166" s="13">
        <v>0</v>
      </c>
      <c r="AB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K166" s="7">
        <f t="shared" si="11"/>
        <v>5</v>
      </c>
    </row>
    <row r="167" spans="2:37" x14ac:dyDescent="0.2">
      <c r="B167" s="2">
        <v>1200092</v>
      </c>
      <c r="C167" s="5" t="s">
        <v>38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2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13">
        <v>0</v>
      </c>
      <c r="AI167" s="13">
        <v>0</v>
      </c>
      <c r="AK167" s="7">
        <f t="shared" si="11"/>
        <v>2</v>
      </c>
    </row>
    <row r="168" spans="2:37" x14ac:dyDescent="0.2">
      <c r="B168" s="6">
        <v>1004079</v>
      </c>
      <c r="C168" s="5" t="s">
        <v>39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4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2</v>
      </c>
      <c r="Y168" s="13">
        <v>0</v>
      </c>
      <c r="Z168" s="13">
        <v>0</v>
      </c>
      <c r="AA168" s="13">
        <v>0</v>
      </c>
      <c r="AB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13">
        <v>0</v>
      </c>
      <c r="AI168" s="13">
        <v>0</v>
      </c>
      <c r="AK168" s="7">
        <f>SUM(D168:AJ168)</f>
        <v>6</v>
      </c>
    </row>
    <row r="169" spans="2:37" x14ac:dyDescent="0.2">
      <c r="B169" s="6">
        <v>1004046</v>
      </c>
      <c r="C169" s="5" t="s">
        <v>43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0</v>
      </c>
      <c r="K169" s="13">
        <v>0</v>
      </c>
      <c r="L169" s="13">
        <v>0</v>
      </c>
      <c r="M169" s="13">
        <v>1</v>
      </c>
      <c r="N169" s="13">
        <v>0</v>
      </c>
      <c r="O169" s="13">
        <v>1</v>
      </c>
      <c r="P169" s="13">
        <v>0</v>
      </c>
      <c r="Q169" s="13">
        <v>2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D169" s="13">
        <v>0</v>
      </c>
      <c r="AE169" s="13">
        <v>0</v>
      </c>
      <c r="AF169" s="13">
        <v>0</v>
      </c>
      <c r="AG169" s="13">
        <v>1</v>
      </c>
      <c r="AH169" s="13">
        <v>0</v>
      </c>
      <c r="AI169" s="13">
        <v>0</v>
      </c>
      <c r="AK169" s="7">
        <f>SUM(D169:AJ169)</f>
        <v>5</v>
      </c>
    </row>
    <row r="170" spans="2:37" x14ac:dyDescent="0.2">
      <c r="B170" s="6">
        <v>1100003</v>
      </c>
      <c r="C170" s="5" t="s">
        <v>35</v>
      </c>
      <c r="E170" s="13">
        <v>2</v>
      </c>
      <c r="F170" s="13">
        <v>0</v>
      </c>
      <c r="G170" s="13">
        <v>14</v>
      </c>
      <c r="H170" s="13">
        <v>14</v>
      </c>
      <c r="I170" s="13">
        <v>18</v>
      </c>
      <c r="J170" s="13">
        <v>6</v>
      </c>
      <c r="K170" s="13">
        <v>5</v>
      </c>
      <c r="L170" s="13">
        <v>12</v>
      </c>
      <c r="M170" s="13">
        <v>5</v>
      </c>
      <c r="N170" s="13">
        <v>8</v>
      </c>
      <c r="O170" s="13">
        <v>1</v>
      </c>
      <c r="P170" s="13">
        <v>3</v>
      </c>
      <c r="Q170" s="13">
        <v>0</v>
      </c>
      <c r="R170" s="13">
        <v>7</v>
      </c>
      <c r="S170" s="13">
        <v>5</v>
      </c>
      <c r="T170" s="13">
        <v>5</v>
      </c>
      <c r="U170" s="13">
        <v>7</v>
      </c>
      <c r="V170" s="13">
        <v>2</v>
      </c>
      <c r="W170" s="13">
        <v>1</v>
      </c>
      <c r="X170" s="13">
        <v>0</v>
      </c>
      <c r="Y170" s="13">
        <v>3</v>
      </c>
      <c r="Z170" s="13">
        <v>2</v>
      </c>
      <c r="AA170" s="13">
        <v>3</v>
      </c>
      <c r="AB170" s="13">
        <v>3</v>
      </c>
      <c r="AD170" s="13">
        <v>8</v>
      </c>
      <c r="AE170" s="13">
        <v>2</v>
      </c>
      <c r="AF170" s="13">
        <v>5</v>
      </c>
      <c r="AG170" s="13">
        <v>5</v>
      </c>
      <c r="AH170" s="13">
        <v>1</v>
      </c>
      <c r="AI170" s="13">
        <v>2</v>
      </c>
      <c r="AK170" s="7">
        <f>SUM(D170:AJ170)</f>
        <v>149</v>
      </c>
    </row>
    <row r="171" spans="2:37" x14ac:dyDescent="0.2">
      <c r="B171" s="6">
        <v>1100001</v>
      </c>
      <c r="C171" s="5" t="s">
        <v>36</v>
      </c>
      <c r="E171" s="13">
        <v>0</v>
      </c>
      <c r="F171" s="13">
        <v>0</v>
      </c>
      <c r="G171" s="13">
        <v>3</v>
      </c>
      <c r="H171" s="13">
        <v>3</v>
      </c>
      <c r="I171" s="13">
        <v>11</v>
      </c>
      <c r="J171" s="13">
        <v>15</v>
      </c>
      <c r="K171" s="13">
        <v>9</v>
      </c>
      <c r="L171" s="13">
        <v>2</v>
      </c>
      <c r="M171" s="13">
        <v>26</v>
      </c>
      <c r="N171" s="13">
        <v>2</v>
      </c>
      <c r="O171" s="13">
        <v>16</v>
      </c>
      <c r="P171" s="13">
        <v>5</v>
      </c>
      <c r="Q171" s="13">
        <v>0</v>
      </c>
      <c r="R171" s="13">
        <v>8</v>
      </c>
      <c r="S171" s="13">
        <v>13</v>
      </c>
      <c r="T171" s="13">
        <v>3</v>
      </c>
      <c r="U171" s="13">
        <v>2</v>
      </c>
      <c r="V171" s="13">
        <v>9</v>
      </c>
      <c r="W171" s="13">
        <v>30</v>
      </c>
      <c r="X171" s="13">
        <v>2</v>
      </c>
      <c r="Y171" s="13">
        <v>22</v>
      </c>
      <c r="Z171" s="13">
        <v>0</v>
      </c>
      <c r="AA171" s="13">
        <v>7</v>
      </c>
      <c r="AB171" s="13">
        <v>0</v>
      </c>
      <c r="AD171" s="13">
        <v>19</v>
      </c>
      <c r="AE171" s="13">
        <v>12</v>
      </c>
      <c r="AF171" s="13">
        <v>4</v>
      </c>
      <c r="AG171" s="13">
        <v>2</v>
      </c>
      <c r="AH171" s="13">
        <v>0</v>
      </c>
      <c r="AI171" s="13">
        <v>0</v>
      </c>
      <c r="AK171" s="7">
        <f>SUM(D171:AJ171)</f>
        <v>225</v>
      </c>
    </row>
    <row r="172" spans="2:37" x14ac:dyDescent="0.2">
      <c r="B172" s="6">
        <v>1100002</v>
      </c>
      <c r="C172" s="5" t="s">
        <v>41</v>
      </c>
      <c r="E172" s="13">
        <v>7</v>
      </c>
      <c r="F172" s="13">
        <v>6</v>
      </c>
      <c r="G172" s="13">
        <v>2</v>
      </c>
      <c r="H172" s="13">
        <v>8</v>
      </c>
      <c r="I172" s="13">
        <v>8</v>
      </c>
      <c r="J172" s="13">
        <v>7</v>
      </c>
      <c r="K172" s="13">
        <v>6</v>
      </c>
      <c r="L172" s="13">
        <v>11</v>
      </c>
      <c r="M172" s="13">
        <v>2</v>
      </c>
      <c r="N172" s="13">
        <v>16</v>
      </c>
      <c r="O172" s="13">
        <v>4</v>
      </c>
      <c r="P172" s="13">
        <v>6</v>
      </c>
      <c r="Q172" s="13">
        <v>17</v>
      </c>
      <c r="R172" s="13">
        <v>2</v>
      </c>
      <c r="S172" s="13">
        <v>2</v>
      </c>
      <c r="T172" s="13">
        <v>2</v>
      </c>
      <c r="U172" s="13">
        <v>0</v>
      </c>
      <c r="V172" s="13">
        <v>1</v>
      </c>
      <c r="W172" s="13">
        <v>2</v>
      </c>
      <c r="X172" s="13">
        <v>21</v>
      </c>
      <c r="Y172" s="13">
        <v>6</v>
      </c>
      <c r="Z172" s="13">
        <v>3</v>
      </c>
      <c r="AA172" s="13">
        <v>6</v>
      </c>
      <c r="AB172" s="13">
        <v>42</v>
      </c>
      <c r="AD172" s="13">
        <v>4</v>
      </c>
      <c r="AE172" s="13">
        <v>9</v>
      </c>
      <c r="AF172" s="13">
        <v>2</v>
      </c>
      <c r="AG172" s="13">
        <v>2</v>
      </c>
      <c r="AH172" s="13">
        <v>3</v>
      </c>
      <c r="AI172" s="13">
        <v>0</v>
      </c>
      <c r="AK172" s="7">
        <f>SUM(D172:AJ172)</f>
        <v>207</v>
      </c>
    </row>
    <row r="173" spans="2:37" x14ac:dyDescent="0.2">
      <c r="B173" s="6">
        <v>1200001</v>
      </c>
      <c r="C173" s="5" t="s">
        <v>33</v>
      </c>
      <c r="E173" s="13">
        <v>1</v>
      </c>
      <c r="F173" s="13">
        <v>1</v>
      </c>
      <c r="G173" s="13">
        <v>5</v>
      </c>
      <c r="H173" s="13">
        <v>5</v>
      </c>
      <c r="I173" s="13">
        <v>3</v>
      </c>
      <c r="J173" s="13">
        <v>4</v>
      </c>
      <c r="K173" s="13">
        <v>3</v>
      </c>
      <c r="L173" s="13">
        <v>5</v>
      </c>
      <c r="M173" s="13">
        <v>4</v>
      </c>
      <c r="N173" s="13">
        <v>1</v>
      </c>
      <c r="O173" s="13">
        <v>0</v>
      </c>
      <c r="P173" s="13">
        <v>1</v>
      </c>
      <c r="Q173" s="13">
        <v>26</v>
      </c>
      <c r="R173" s="13">
        <v>2</v>
      </c>
      <c r="S173" s="13">
        <v>9</v>
      </c>
      <c r="T173" s="13">
        <v>4</v>
      </c>
      <c r="U173" s="13">
        <v>1</v>
      </c>
      <c r="V173" s="13">
        <v>6</v>
      </c>
      <c r="W173" s="13">
        <v>13</v>
      </c>
      <c r="X173" s="13">
        <v>14</v>
      </c>
      <c r="Y173" s="13">
        <v>3</v>
      </c>
      <c r="Z173" s="13">
        <v>5</v>
      </c>
      <c r="AA173" s="13">
        <v>3</v>
      </c>
      <c r="AB173" s="13">
        <v>2</v>
      </c>
      <c r="AD173" s="13">
        <v>5</v>
      </c>
      <c r="AE173" s="13">
        <v>1</v>
      </c>
      <c r="AF173" s="13">
        <v>4</v>
      </c>
      <c r="AG173" s="13">
        <v>9</v>
      </c>
      <c r="AH173" s="13">
        <v>1</v>
      </c>
      <c r="AI173" s="13">
        <v>2</v>
      </c>
      <c r="AK173" s="7">
        <f t="shared" si="11"/>
        <v>143</v>
      </c>
    </row>
    <row r="174" spans="2:37" x14ac:dyDescent="0.2">
      <c r="B174" s="6">
        <v>1113150</v>
      </c>
      <c r="C174" s="4" t="s">
        <v>85</v>
      </c>
      <c r="E174" s="13">
        <v>0</v>
      </c>
      <c r="F174" s="13">
        <v>1</v>
      </c>
      <c r="G174" s="13">
        <v>0</v>
      </c>
      <c r="H174" s="13">
        <v>1</v>
      </c>
      <c r="I174" s="13">
        <v>0</v>
      </c>
      <c r="J174" s="13">
        <v>0</v>
      </c>
      <c r="K174" s="13">
        <v>0</v>
      </c>
      <c r="L174" s="13">
        <v>3</v>
      </c>
      <c r="M174" s="13">
        <v>0</v>
      </c>
      <c r="N174" s="13">
        <v>1</v>
      </c>
      <c r="O174" s="13">
        <v>0</v>
      </c>
      <c r="P174" s="13">
        <v>0</v>
      </c>
      <c r="Q174" s="13">
        <v>13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16</v>
      </c>
      <c r="Y174" s="13">
        <v>0</v>
      </c>
      <c r="Z174" s="13">
        <v>0</v>
      </c>
      <c r="AA174" s="13">
        <v>0</v>
      </c>
      <c r="AB174" s="13">
        <v>0</v>
      </c>
      <c r="AD174" s="13">
        <v>0</v>
      </c>
      <c r="AE174" s="13">
        <v>0</v>
      </c>
      <c r="AF174" s="13">
        <v>0</v>
      </c>
      <c r="AG174" s="13">
        <v>0</v>
      </c>
      <c r="AH174" s="13">
        <v>0</v>
      </c>
      <c r="AI174" s="13">
        <v>0</v>
      </c>
      <c r="AK174" s="7">
        <f t="shared" si="11"/>
        <v>35</v>
      </c>
    </row>
    <row r="175" spans="2:37" x14ac:dyDescent="0.2">
      <c r="B175" s="6">
        <v>1100004</v>
      </c>
      <c r="C175" s="4" t="s">
        <v>96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0</v>
      </c>
      <c r="K175" s="13">
        <v>0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14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K175" s="7">
        <f t="shared" si="11"/>
        <v>14</v>
      </c>
    </row>
    <row r="176" spans="2:37" x14ac:dyDescent="0.2">
      <c r="B176" s="6">
        <v>1005761</v>
      </c>
      <c r="C176" s="5" t="s">
        <v>101</v>
      </c>
      <c r="E176" s="13">
        <v>1</v>
      </c>
      <c r="F176" s="13">
        <v>22</v>
      </c>
      <c r="G176" s="13">
        <v>6</v>
      </c>
      <c r="H176" s="13">
        <v>9</v>
      </c>
      <c r="I176" s="13">
        <v>6</v>
      </c>
      <c r="J176" s="13">
        <v>7</v>
      </c>
      <c r="K176" s="13">
        <v>6</v>
      </c>
      <c r="L176" s="13">
        <v>0</v>
      </c>
      <c r="M176" s="13">
        <v>9</v>
      </c>
      <c r="N176" s="13">
        <v>6</v>
      </c>
      <c r="O176" s="13">
        <v>4</v>
      </c>
      <c r="P176" s="13">
        <v>9</v>
      </c>
      <c r="Q176" s="13">
        <v>0</v>
      </c>
      <c r="R176" s="13">
        <v>5</v>
      </c>
      <c r="S176" s="13">
        <v>5</v>
      </c>
      <c r="T176" s="13">
        <v>8</v>
      </c>
      <c r="U176" s="13">
        <v>0</v>
      </c>
      <c r="V176" s="13">
        <v>5</v>
      </c>
      <c r="W176" s="13">
        <v>13</v>
      </c>
      <c r="X176" s="13">
        <v>0</v>
      </c>
      <c r="Y176" s="13">
        <v>7</v>
      </c>
      <c r="Z176" s="13">
        <v>4</v>
      </c>
      <c r="AA176" s="13">
        <v>0</v>
      </c>
      <c r="AB176" s="13">
        <v>4</v>
      </c>
      <c r="AD176" s="13">
        <v>4</v>
      </c>
      <c r="AE176" s="13">
        <v>6</v>
      </c>
      <c r="AF176" s="13">
        <v>0</v>
      </c>
      <c r="AG176" s="13">
        <v>5</v>
      </c>
      <c r="AH176" s="13">
        <v>5</v>
      </c>
      <c r="AI176" s="13">
        <v>18</v>
      </c>
      <c r="AK176" s="7">
        <f t="shared" si="11"/>
        <v>174</v>
      </c>
    </row>
    <row r="177" spans="2:37" x14ac:dyDescent="0.2">
      <c r="B177" s="2">
        <v>1114501</v>
      </c>
      <c r="C177" s="4" t="s">
        <v>102</v>
      </c>
      <c r="E177" s="13">
        <v>50</v>
      </c>
      <c r="F177" s="13">
        <v>57</v>
      </c>
      <c r="G177" s="13">
        <v>88</v>
      </c>
      <c r="H177" s="13">
        <v>75</v>
      </c>
      <c r="I177" s="13">
        <v>72</v>
      </c>
      <c r="J177" s="13">
        <v>50</v>
      </c>
      <c r="K177" s="13">
        <v>68</v>
      </c>
      <c r="L177" s="13">
        <v>38</v>
      </c>
      <c r="M177" s="13">
        <v>53</v>
      </c>
      <c r="N177" s="13">
        <v>58</v>
      </c>
      <c r="O177" s="13">
        <v>26</v>
      </c>
      <c r="P177" s="13">
        <v>20</v>
      </c>
      <c r="Q177" s="13">
        <v>0</v>
      </c>
      <c r="R177" s="13">
        <v>21</v>
      </c>
      <c r="S177" s="13">
        <v>43</v>
      </c>
      <c r="T177" s="13">
        <v>33</v>
      </c>
      <c r="U177" s="13">
        <v>31</v>
      </c>
      <c r="V177" s="13">
        <v>100</v>
      </c>
      <c r="W177" s="13">
        <v>91</v>
      </c>
      <c r="X177" s="13">
        <v>0</v>
      </c>
      <c r="Y177" s="13">
        <v>62</v>
      </c>
      <c r="Z177" s="13">
        <v>33</v>
      </c>
      <c r="AA177" s="13">
        <v>36</v>
      </c>
      <c r="AB177" s="13">
        <v>61</v>
      </c>
      <c r="AD177" s="13">
        <v>92</v>
      </c>
      <c r="AE177" s="13">
        <v>59</v>
      </c>
      <c r="AF177" s="13">
        <v>64</v>
      </c>
      <c r="AG177" s="13">
        <v>44</v>
      </c>
      <c r="AH177" s="13">
        <v>33</v>
      </c>
      <c r="AI177" s="13">
        <v>31</v>
      </c>
      <c r="AK177" s="7">
        <f t="shared" si="11"/>
        <v>1489</v>
      </c>
    </row>
    <row r="178" spans="2:37" x14ac:dyDescent="0.2">
      <c r="B178" s="6">
        <v>1114502</v>
      </c>
      <c r="C178" s="5" t="s">
        <v>103</v>
      </c>
      <c r="E178" s="13">
        <v>36</v>
      </c>
      <c r="F178" s="13">
        <v>49</v>
      </c>
      <c r="G178" s="13">
        <v>66</v>
      </c>
      <c r="H178" s="13">
        <v>54</v>
      </c>
      <c r="I178" s="13">
        <v>67</v>
      </c>
      <c r="J178" s="13">
        <v>34</v>
      </c>
      <c r="K178" s="13">
        <v>30</v>
      </c>
      <c r="L178" s="13">
        <v>28</v>
      </c>
      <c r="M178" s="13">
        <v>21</v>
      </c>
      <c r="N178" s="13">
        <v>43</v>
      </c>
      <c r="O178" s="13">
        <v>15</v>
      </c>
      <c r="P178" s="13">
        <v>18</v>
      </c>
      <c r="Q178" s="13">
        <v>0</v>
      </c>
      <c r="R178" s="13">
        <v>22</v>
      </c>
      <c r="S178" s="13">
        <v>21</v>
      </c>
      <c r="T178" s="13">
        <v>25</v>
      </c>
      <c r="U178" s="13">
        <v>19</v>
      </c>
      <c r="V178" s="13">
        <v>73</v>
      </c>
      <c r="W178" s="13">
        <v>57</v>
      </c>
      <c r="X178" s="13">
        <v>0</v>
      </c>
      <c r="Y178" s="13">
        <v>27</v>
      </c>
      <c r="Z178" s="13">
        <v>19</v>
      </c>
      <c r="AA178" s="13">
        <v>28</v>
      </c>
      <c r="AB178" s="13">
        <v>22</v>
      </c>
      <c r="AD178" s="13">
        <v>60</v>
      </c>
      <c r="AE178" s="13">
        <v>20</v>
      </c>
      <c r="AF178" s="13">
        <v>38</v>
      </c>
      <c r="AG178" s="13">
        <v>30</v>
      </c>
      <c r="AH178" s="13">
        <v>19</v>
      </c>
      <c r="AI178" s="13">
        <v>18</v>
      </c>
      <c r="AK178" s="7">
        <f t="shared" si="11"/>
        <v>959</v>
      </c>
    </row>
    <row r="179" spans="2:37" x14ac:dyDescent="0.2">
      <c r="B179" s="6">
        <v>1114503</v>
      </c>
      <c r="C179" s="5" t="s">
        <v>105</v>
      </c>
      <c r="E179" s="13">
        <v>33</v>
      </c>
      <c r="F179" s="13">
        <v>46</v>
      </c>
      <c r="G179" s="13">
        <v>57</v>
      </c>
      <c r="H179" s="13">
        <v>37</v>
      </c>
      <c r="I179" s="13">
        <v>55</v>
      </c>
      <c r="J179" s="13">
        <v>25</v>
      </c>
      <c r="K179" s="13">
        <v>28</v>
      </c>
      <c r="L179" s="13">
        <v>22</v>
      </c>
      <c r="M179" s="13">
        <v>16</v>
      </c>
      <c r="N179" s="13">
        <v>46</v>
      </c>
      <c r="O179" s="13">
        <v>17</v>
      </c>
      <c r="P179" s="13">
        <v>17</v>
      </c>
      <c r="Q179" s="13">
        <v>0</v>
      </c>
      <c r="R179" s="13">
        <v>16</v>
      </c>
      <c r="S179" s="13">
        <v>23</v>
      </c>
      <c r="T179" s="13">
        <v>27</v>
      </c>
      <c r="U179" s="13">
        <v>14</v>
      </c>
      <c r="V179" s="13">
        <v>75</v>
      </c>
      <c r="W179" s="13">
        <v>55</v>
      </c>
      <c r="X179" s="13">
        <v>95</v>
      </c>
      <c r="Y179" s="13">
        <v>49</v>
      </c>
      <c r="Z179" s="13">
        <v>18</v>
      </c>
      <c r="AA179" s="13">
        <v>24</v>
      </c>
      <c r="AB179" s="13">
        <v>30</v>
      </c>
      <c r="AD179" s="13">
        <v>56</v>
      </c>
      <c r="AE179" s="13">
        <v>22</v>
      </c>
      <c r="AF179" s="13">
        <v>38</v>
      </c>
      <c r="AG179" s="13">
        <v>29</v>
      </c>
      <c r="AH179" s="13">
        <v>27</v>
      </c>
      <c r="AI179" s="13">
        <v>20</v>
      </c>
      <c r="AK179" s="7">
        <f t="shared" si="11"/>
        <v>1017</v>
      </c>
    </row>
    <row r="180" spans="2:37" x14ac:dyDescent="0.2">
      <c r="B180" s="6">
        <v>20045275</v>
      </c>
      <c r="C180" s="5" t="s">
        <v>108</v>
      </c>
      <c r="E180" s="13">
        <v>4</v>
      </c>
      <c r="F180" s="13">
        <v>1</v>
      </c>
      <c r="G180" s="13">
        <v>1</v>
      </c>
      <c r="H180" s="13">
        <v>2</v>
      </c>
      <c r="I180" s="13">
        <v>1</v>
      </c>
      <c r="J180" s="13">
        <v>2</v>
      </c>
      <c r="K180" s="13">
        <v>1</v>
      </c>
      <c r="L180" s="13">
        <v>4</v>
      </c>
      <c r="M180" s="13">
        <v>0</v>
      </c>
      <c r="N180" s="13">
        <v>1</v>
      </c>
      <c r="O180" s="13">
        <v>0</v>
      </c>
      <c r="P180" s="13">
        <v>0</v>
      </c>
      <c r="Q180" s="13">
        <v>93</v>
      </c>
      <c r="R180" s="13">
        <v>0</v>
      </c>
      <c r="S180" s="13">
        <v>0</v>
      </c>
      <c r="T180" s="13">
        <v>1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D180" s="13">
        <v>0</v>
      </c>
      <c r="AE180" s="13">
        <v>0</v>
      </c>
      <c r="AF180" s="13">
        <v>0</v>
      </c>
      <c r="AG180" s="13">
        <v>0</v>
      </c>
      <c r="AH180" s="13">
        <v>0</v>
      </c>
      <c r="AI180" s="13">
        <v>0</v>
      </c>
      <c r="AK180" s="7">
        <f t="shared" si="11"/>
        <v>111</v>
      </c>
    </row>
    <row r="181" spans="2:37" x14ac:dyDescent="0.2">
      <c r="B181" s="6">
        <v>20045273</v>
      </c>
      <c r="C181" s="5" t="s">
        <v>104</v>
      </c>
      <c r="E181" s="13">
        <v>5</v>
      </c>
      <c r="F181" s="13">
        <v>3</v>
      </c>
      <c r="G181" s="13">
        <v>5</v>
      </c>
      <c r="H181" s="13">
        <v>6</v>
      </c>
      <c r="I181" s="13">
        <v>3</v>
      </c>
      <c r="J181" s="13">
        <v>10</v>
      </c>
      <c r="K181" s="13">
        <v>3</v>
      </c>
      <c r="L181" s="13">
        <v>7</v>
      </c>
      <c r="M181" s="13">
        <v>3</v>
      </c>
      <c r="N181" s="13">
        <v>5</v>
      </c>
      <c r="O181" s="13">
        <v>4</v>
      </c>
      <c r="P181" s="13">
        <v>1</v>
      </c>
      <c r="Q181" s="13">
        <v>0</v>
      </c>
      <c r="R181" s="13">
        <v>0</v>
      </c>
      <c r="S181" s="13">
        <v>0</v>
      </c>
      <c r="T181" s="13">
        <v>3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D181" s="13">
        <v>0</v>
      </c>
      <c r="AE181" s="13">
        <v>0</v>
      </c>
      <c r="AF181" s="13">
        <v>0</v>
      </c>
      <c r="AG181" s="13">
        <v>1</v>
      </c>
      <c r="AH181" s="13">
        <v>0</v>
      </c>
      <c r="AI181" s="13">
        <v>0</v>
      </c>
      <c r="AK181" s="7">
        <f t="shared" si="11"/>
        <v>59</v>
      </c>
    </row>
    <row r="182" spans="2:37" x14ac:dyDescent="0.2">
      <c r="B182" s="2">
        <v>20045274</v>
      </c>
      <c r="C182" s="4" t="s">
        <v>112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D182" s="13">
        <v>0</v>
      </c>
      <c r="AE182" s="13">
        <v>0</v>
      </c>
      <c r="AF182" s="13">
        <v>0</v>
      </c>
      <c r="AG182" s="13">
        <v>1</v>
      </c>
      <c r="AH182" s="13">
        <v>0</v>
      </c>
      <c r="AI182" s="13">
        <v>0</v>
      </c>
      <c r="AK182" s="7">
        <f t="shared" si="11"/>
        <v>1</v>
      </c>
    </row>
    <row r="183" spans="2:37" x14ac:dyDescent="0.2">
      <c r="B183" s="2">
        <v>1113097</v>
      </c>
      <c r="C183" s="4" t="s">
        <v>106</v>
      </c>
      <c r="E183" s="13">
        <v>0</v>
      </c>
      <c r="F183" s="13">
        <v>0</v>
      </c>
      <c r="G183" s="13">
        <v>0</v>
      </c>
      <c r="H183" s="13">
        <v>0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2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13">
        <v>0</v>
      </c>
      <c r="AI183" s="13">
        <v>0</v>
      </c>
      <c r="AK183" s="7">
        <f t="shared" si="11"/>
        <v>2</v>
      </c>
    </row>
    <row r="184" spans="2:37" x14ac:dyDescent="0.2">
      <c r="B184" s="2">
        <v>1124021</v>
      </c>
      <c r="C184" s="4" t="s">
        <v>107</v>
      </c>
      <c r="E184" s="13">
        <v>8</v>
      </c>
      <c r="F184" s="13">
        <v>77</v>
      </c>
      <c r="G184" s="13">
        <v>110</v>
      </c>
      <c r="H184" s="13">
        <v>153</v>
      </c>
      <c r="I184" s="13">
        <v>134</v>
      </c>
      <c r="J184" s="13">
        <v>123</v>
      </c>
      <c r="K184" s="13">
        <v>63</v>
      </c>
      <c r="L184" s="13">
        <v>152</v>
      </c>
      <c r="M184" s="13">
        <v>90</v>
      </c>
      <c r="N184" s="13">
        <v>48</v>
      </c>
      <c r="O184" s="13">
        <v>48</v>
      </c>
      <c r="P184" s="13">
        <v>40</v>
      </c>
      <c r="Q184" s="13">
        <v>0</v>
      </c>
      <c r="R184" s="13">
        <v>50</v>
      </c>
      <c r="S184" s="13">
        <v>47</v>
      </c>
      <c r="T184" s="13">
        <v>134</v>
      </c>
      <c r="U184" s="13">
        <v>44</v>
      </c>
      <c r="V184" s="13">
        <v>46</v>
      </c>
      <c r="W184" s="13">
        <v>40</v>
      </c>
      <c r="X184" s="13">
        <v>0</v>
      </c>
      <c r="Y184" s="13">
        <v>63</v>
      </c>
      <c r="Z184" s="13">
        <v>68</v>
      </c>
      <c r="AA184" s="13">
        <v>24</v>
      </c>
      <c r="AB184" s="13">
        <v>95</v>
      </c>
      <c r="AD184" s="13">
        <v>173</v>
      </c>
      <c r="AE184" s="13">
        <v>55</v>
      </c>
      <c r="AF184" s="13">
        <v>100</v>
      </c>
      <c r="AG184" s="13">
        <v>138</v>
      </c>
      <c r="AH184" s="13">
        <v>83</v>
      </c>
      <c r="AI184" s="13">
        <v>60</v>
      </c>
      <c r="AK184" s="7">
        <f t="shared" si="11"/>
        <v>2266</v>
      </c>
    </row>
    <row r="185" spans="2:37" x14ac:dyDescent="0.2">
      <c r="B185" s="2">
        <v>1124022</v>
      </c>
      <c r="C185" s="4" t="s">
        <v>110</v>
      </c>
      <c r="E185" s="13">
        <v>0</v>
      </c>
      <c r="F185" s="13">
        <v>0</v>
      </c>
      <c r="G185" s="13">
        <v>2</v>
      </c>
      <c r="H185" s="13">
        <v>5</v>
      </c>
      <c r="I185" s="13">
        <v>7</v>
      </c>
      <c r="J185" s="13">
        <v>8</v>
      </c>
      <c r="K185" s="13">
        <v>7</v>
      </c>
      <c r="L185" s="13">
        <v>2</v>
      </c>
      <c r="M185" s="13">
        <v>2</v>
      </c>
      <c r="N185" s="13">
        <v>1</v>
      </c>
      <c r="O185" s="13">
        <v>5</v>
      </c>
      <c r="P185" s="13">
        <v>1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D185" s="13">
        <v>0</v>
      </c>
      <c r="AE185" s="13">
        <v>0</v>
      </c>
      <c r="AF185" s="13">
        <v>0</v>
      </c>
      <c r="AG185" s="13">
        <v>0</v>
      </c>
      <c r="AH185" s="13">
        <v>0</v>
      </c>
      <c r="AI185" s="13">
        <v>0</v>
      </c>
      <c r="AK185" s="7">
        <f t="shared" si="11"/>
        <v>40</v>
      </c>
    </row>
    <row r="186" spans="2:37" x14ac:dyDescent="0.2">
      <c r="B186" s="2">
        <v>1113084</v>
      </c>
      <c r="C186" s="4" t="s">
        <v>116</v>
      </c>
      <c r="E186" s="13">
        <v>0</v>
      </c>
      <c r="F186" s="13">
        <v>8</v>
      </c>
      <c r="G186" s="13">
        <v>3</v>
      </c>
      <c r="H186" s="13">
        <v>0</v>
      </c>
      <c r="I186" s="13">
        <v>3</v>
      </c>
      <c r="J186" s="13">
        <v>2</v>
      </c>
      <c r="K186" s="13">
        <v>2</v>
      </c>
      <c r="L186" s="13">
        <v>7</v>
      </c>
      <c r="M186" s="13">
        <v>2</v>
      </c>
      <c r="N186" s="13">
        <v>2</v>
      </c>
      <c r="O186" s="13">
        <v>0</v>
      </c>
      <c r="P186" s="13">
        <v>1</v>
      </c>
      <c r="Q186" s="13">
        <v>6</v>
      </c>
      <c r="R186" s="13">
        <v>0</v>
      </c>
      <c r="S186" s="13">
        <v>0</v>
      </c>
      <c r="T186" s="13">
        <v>3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2</v>
      </c>
      <c r="AB186" s="13">
        <v>1</v>
      </c>
      <c r="AD186" s="13">
        <v>1</v>
      </c>
      <c r="AE186" s="13">
        <v>0</v>
      </c>
      <c r="AF186" s="13">
        <v>0</v>
      </c>
      <c r="AG186" s="13">
        <v>0</v>
      </c>
      <c r="AH186" s="13">
        <v>0</v>
      </c>
      <c r="AI186" s="13">
        <v>0</v>
      </c>
      <c r="AK186" s="7">
        <f t="shared" si="11"/>
        <v>43</v>
      </c>
    </row>
    <row r="187" spans="2:37" x14ac:dyDescent="0.2">
      <c r="B187" s="2">
        <v>20039042</v>
      </c>
      <c r="C187" s="4" t="s">
        <v>109</v>
      </c>
      <c r="E187" s="13">
        <v>0</v>
      </c>
      <c r="F187" s="13">
        <v>0</v>
      </c>
      <c r="G187" s="13">
        <v>6</v>
      </c>
      <c r="H187" s="13">
        <v>0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1</v>
      </c>
      <c r="S187" s="13">
        <v>0</v>
      </c>
      <c r="T187" s="13">
        <v>0</v>
      </c>
      <c r="U187" s="13">
        <v>1</v>
      </c>
      <c r="V187" s="13">
        <v>12</v>
      </c>
      <c r="W187" s="13">
        <v>1</v>
      </c>
      <c r="X187" s="13">
        <v>0</v>
      </c>
      <c r="Y187" s="13">
        <v>2</v>
      </c>
      <c r="Z187" s="13">
        <v>0</v>
      </c>
      <c r="AA187" s="13">
        <v>0</v>
      </c>
      <c r="AB187" s="13">
        <v>0</v>
      </c>
      <c r="AD187" s="13">
        <v>2</v>
      </c>
      <c r="AE187" s="13">
        <v>1</v>
      </c>
      <c r="AF187" s="13">
        <v>2</v>
      </c>
      <c r="AG187" s="13">
        <v>4</v>
      </c>
      <c r="AH187" s="13">
        <v>0</v>
      </c>
      <c r="AI187" s="13">
        <v>0</v>
      </c>
      <c r="AK187" s="7">
        <f t="shared" si="11"/>
        <v>32</v>
      </c>
    </row>
    <row r="188" spans="2:37" x14ac:dyDescent="0.2">
      <c r="B188" s="2">
        <v>1124023</v>
      </c>
      <c r="C188" s="4" t="s">
        <v>113</v>
      </c>
      <c r="E188" s="13">
        <v>0</v>
      </c>
      <c r="F188" s="13">
        <v>0</v>
      </c>
      <c r="G188" s="13">
        <v>2</v>
      </c>
      <c r="H188" s="13">
        <v>0</v>
      </c>
      <c r="I188" s="13">
        <v>1</v>
      </c>
      <c r="J188" s="13">
        <v>0</v>
      </c>
      <c r="K188" s="13">
        <v>1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6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13">
        <v>0</v>
      </c>
      <c r="AI188" s="13">
        <v>0</v>
      </c>
      <c r="AK188" s="7">
        <f t="shared" si="11"/>
        <v>10</v>
      </c>
    </row>
    <row r="189" spans="2:37" x14ac:dyDescent="0.2">
      <c r="B189" s="2">
        <v>900004</v>
      </c>
      <c r="C189" s="4" t="s">
        <v>117</v>
      </c>
      <c r="E189" s="13">
        <v>1</v>
      </c>
      <c r="F189" s="13">
        <v>0</v>
      </c>
      <c r="G189" s="13">
        <v>0</v>
      </c>
      <c r="H189" s="13">
        <v>1</v>
      </c>
      <c r="I189" s="13">
        <v>0</v>
      </c>
      <c r="J189" s="13">
        <v>0</v>
      </c>
      <c r="K189" s="13">
        <v>1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6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D189" s="13">
        <v>0</v>
      </c>
      <c r="AE189" s="13">
        <v>0</v>
      </c>
      <c r="AF189" s="13">
        <v>0</v>
      </c>
      <c r="AG189" s="13">
        <v>0</v>
      </c>
      <c r="AH189" s="13">
        <v>0</v>
      </c>
      <c r="AI189" s="13">
        <v>0</v>
      </c>
      <c r="AK189" s="7">
        <f t="shared" si="11"/>
        <v>9</v>
      </c>
    </row>
    <row r="190" spans="2:37" x14ac:dyDescent="0.2">
      <c r="B190" s="2">
        <v>1114050</v>
      </c>
      <c r="C190" s="4" t="s">
        <v>118</v>
      </c>
      <c r="E190" s="13">
        <v>3</v>
      </c>
      <c r="F190" s="13">
        <v>8</v>
      </c>
      <c r="G190" s="13">
        <v>14</v>
      </c>
      <c r="H190" s="13">
        <v>26</v>
      </c>
      <c r="I190" s="13">
        <v>5</v>
      </c>
      <c r="J190" s="13">
        <v>13</v>
      </c>
      <c r="K190" s="13">
        <v>6</v>
      </c>
      <c r="L190" s="13">
        <v>8</v>
      </c>
      <c r="M190" s="13">
        <v>4</v>
      </c>
      <c r="N190" s="13">
        <v>2</v>
      </c>
      <c r="O190" s="13">
        <v>21</v>
      </c>
      <c r="P190" s="13">
        <v>3</v>
      </c>
      <c r="Q190" s="13">
        <v>6</v>
      </c>
      <c r="R190" s="13">
        <v>1</v>
      </c>
      <c r="S190" s="13">
        <v>0</v>
      </c>
      <c r="T190" s="13">
        <v>1</v>
      </c>
      <c r="U190" s="13">
        <v>0</v>
      </c>
      <c r="V190" s="13">
        <v>0</v>
      </c>
      <c r="W190" s="13">
        <v>0</v>
      </c>
      <c r="X190" s="13">
        <v>2</v>
      </c>
      <c r="Y190" s="13">
        <v>0</v>
      </c>
      <c r="Z190" s="13">
        <v>0</v>
      </c>
      <c r="AA190" s="13">
        <v>0</v>
      </c>
      <c r="AB190" s="13">
        <v>1</v>
      </c>
      <c r="AD190" s="13">
        <v>0</v>
      </c>
      <c r="AE190" s="13">
        <v>0</v>
      </c>
      <c r="AF190" s="13">
        <v>0</v>
      </c>
      <c r="AG190" s="13">
        <v>0</v>
      </c>
      <c r="AH190" s="13">
        <v>0</v>
      </c>
      <c r="AI190" s="13">
        <v>0</v>
      </c>
      <c r="AK190" s="7">
        <f t="shared" si="11"/>
        <v>124</v>
      </c>
    </row>
    <row r="191" spans="2:37" x14ac:dyDescent="0.2">
      <c r="B191" s="2">
        <v>1114020</v>
      </c>
      <c r="C191" s="4" t="s">
        <v>120</v>
      </c>
      <c r="E191" s="13">
        <v>0</v>
      </c>
      <c r="F191" s="13">
        <v>0</v>
      </c>
      <c r="G191" s="13">
        <v>0</v>
      </c>
      <c r="H191" s="13">
        <v>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13">
        <v>0</v>
      </c>
      <c r="AI191" s="13">
        <v>0</v>
      </c>
      <c r="AK191" s="7">
        <f t="shared" si="11"/>
        <v>0</v>
      </c>
    </row>
    <row r="192" spans="2:37" x14ac:dyDescent="0.2">
      <c r="B192" s="2">
        <v>1004093</v>
      </c>
      <c r="C192" s="4" t="s">
        <v>119</v>
      </c>
      <c r="E192" s="13">
        <v>7</v>
      </c>
      <c r="F192" s="13">
        <v>13</v>
      </c>
      <c r="G192" s="13">
        <v>8</v>
      </c>
      <c r="H192" s="13">
        <v>0</v>
      </c>
      <c r="I192" s="13">
        <v>1</v>
      </c>
      <c r="J192" s="13">
        <v>0</v>
      </c>
      <c r="K192" s="13">
        <v>2</v>
      </c>
      <c r="L192" s="13">
        <v>0</v>
      </c>
      <c r="M192" s="13">
        <v>0</v>
      </c>
      <c r="N192" s="13">
        <v>1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1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K192" s="7">
        <f t="shared" si="11"/>
        <v>33</v>
      </c>
    </row>
    <row r="193" spans="2:37" x14ac:dyDescent="0.2">
      <c r="B193" s="2">
        <v>1004092</v>
      </c>
      <c r="C193" s="4" t="s">
        <v>121</v>
      </c>
      <c r="E193" s="13">
        <v>3</v>
      </c>
      <c r="F193" s="13">
        <v>11</v>
      </c>
      <c r="G193" s="13">
        <v>4</v>
      </c>
      <c r="H193" s="13">
        <v>0</v>
      </c>
      <c r="I193" s="13">
        <v>2</v>
      </c>
      <c r="J193" s="13">
        <v>0</v>
      </c>
      <c r="K193" s="13">
        <v>0</v>
      </c>
      <c r="L193" s="13">
        <v>0</v>
      </c>
      <c r="M193" s="13">
        <v>2</v>
      </c>
      <c r="N193" s="13">
        <v>1</v>
      </c>
      <c r="O193" s="13">
        <v>0</v>
      </c>
      <c r="P193" s="13">
        <v>0</v>
      </c>
      <c r="Q193" s="13">
        <v>0</v>
      </c>
      <c r="R193" s="13">
        <v>1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D193" s="13">
        <v>0</v>
      </c>
      <c r="AE193" s="13">
        <v>0</v>
      </c>
      <c r="AF193" s="13">
        <v>0</v>
      </c>
      <c r="AG193" s="13">
        <v>0</v>
      </c>
      <c r="AH193" s="13">
        <v>0</v>
      </c>
      <c r="AI193" s="13">
        <v>0</v>
      </c>
      <c r="AK193" s="7">
        <f t="shared" si="11"/>
        <v>24</v>
      </c>
    </row>
    <row r="194" spans="2:37" x14ac:dyDescent="0.2">
      <c r="B194" s="2">
        <v>1004091</v>
      </c>
      <c r="C194" s="4" t="s">
        <v>122</v>
      </c>
      <c r="E194" s="13">
        <v>5</v>
      </c>
      <c r="F194" s="13">
        <v>9</v>
      </c>
      <c r="G194" s="13">
        <v>5</v>
      </c>
      <c r="H194" s="13">
        <v>0</v>
      </c>
      <c r="I194" s="13">
        <v>4</v>
      </c>
      <c r="J194" s="13">
        <v>3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D194" s="13">
        <v>0</v>
      </c>
      <c r="AE194" s="13">
        <v>0</v>
      </c>
      <c r="AF194" s="13">
        <v>0</v>
      </c>
      <c r="AG194" s="13">
        <v>0</v>
      </c>
      <c r="AH194" s="13">
        <v>0</v>
      </c>
      <c r="AI194" s="13">
        <v>0</v>
      </c>
      <c r="AK194" s="7">
        <f t="shared" si="11"/>
        <v>26</v>
      </c>
    </row>
    <row r="195" spans="2:37" x14ac:dyDescent="0.2">
      <c r="B195" s="2">
        <v>1004094</v>
      </c>
      <c r="C195" s="4" t="s">
        <v>123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2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13">
        <v>0</v>
      </c>
      <c r="AI195" s="13">
        <v>0</v>
      </c>
      <c r="AK195" s="7">
        <f t="shared" si="11"/>
        <v>2</v>
      </c>
    </row>
    <row r="196" spans="2:37" x14ac:dyDescent="0.2">
      <c r="B196" s="2">
        <v>1004095</v>
      </c>
      <c r="C196" s="4" t="s">
        <v>124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D196" s="13">
        <v>0</v>
      </c>
      <c r="AE196" s="13">
        <v>0</v>
      </c>
      <c r="AF196" s="13">
        <v>0</v>
      </c>
      <c r="AG196" s="13">
        <v>0</v>
      </c>
      <c r="AH196" s="13">
        <v>0</v>
      </c>
      <c r="AI196" s="13">
        <v>0</v>
      </c>
      <c r="AK196" s="7">
        <f t="shared" si="11"/>
        <v>0</v>
      </c>
    </row>
    <row r="197" spans="2:37" x14ac:dyDescent="0.2">
      <c r="B197" s="2">
        <v>1004096</v>
      </c>
      <c r="C197" s="4" t="s">
        <v>125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13">
        <v>0</v>
      </c>
      <c r="AI197" s="13">
        <v>0</v>
      </c>
      <c r="AK197" s="7">
        <f t="shared" si="11"/>
        <v>0</v>
      </c>
    </row>
    <row r="198" spans="2:37" x14ac:dyDescent="0.2">
      <c r="B198" s="2">
        <v>1004097</v>
      </c>
      <c r="C198" s="4" t="s">
        <v>126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D198" s="13">
        <v>0</v>
      </c>
      <c r="AE198" s="13">
        <v>0</v>
      </c>
      <c r="AF198" s="13">
        <v>0</v>
      </c>
      <c r="AG198" s="13">
        <v>0</v>
      </c>
      <c r="AH198" s="13">
        <v>0</v>
      </c>
      <c r="AI198" s="13">
        <v>0</v>
      </c>
      <c r="AK198" s="7">
        <f t="shared" si="11"/>
        <v>0</v>
      </c>
    </row>
    <row r="199" spans="2:37" x14ac:dyDescent="0.2">
      <c r="B199" s="2">
        <v>1200002</v>
      </c>
      <c r="C199" s="4" t="s">
        <v>128</v>
      </c>
      <c r="E199" s="13">
        <v>8</v>
      </c>
      <c r="F199" s="13">
        <v>2</v>
      </c>
      <c r="G199" s="13">
        <v>7</v>
      </c>
      <c r="H199" s="13">
        <v>6</v>
      </c>
      <c r="I199" s="13">
        <v>6</v>
      </c>
      <c r="J199" s="13">
        <v>1</v>
      </c>
      <c r="K199" s="13">
        <v>11</v>
      </c>
      <c r="L199" s="13">
        <v>9</v>
      </c>
      <c r="M199" s="13">
        <v>3</v>
      </c>
      <c r="N199" s="13">
        <v>2</v>
      </c>
      <c r="O199" s="13">
        <v>0</v>
      </c>
      <c r="P199" s="13">
        <v>14</v>
      </c>
      <c r="Q199" s="13">
        <v>0</v>
      </c>
      <c r="R199" s="13">
        <v>2</v>
      </c>
      <c r="S199" s="13">
        <v>12</v>
      </c>
      <c r="T199" s="13">
        <v>18</v>
      </c>
      <c r="U199" s="13">
        <v>8</v>
      </c>
      <c r="V199" s="13">
        <v>3</v>
      </c>
      <c r="W199" s="13">
        <v>2</v>
      </c>
      <c r="X199" s="13">
        <v>0</v>
      </c>
      <c r="Y199" s="13">
        <v>8</v>
      </c>
      <c r="Z199" s="13">
        <v>4</v>
      </c>
      <c r="AA199" s="13">
        <v>3</v>
      </c>
      <c r="AB199" s="13">
        <v>3</v>
      </c>
      <c r="AD199" s="13">
        <v>2</v>
      </c>
      <c r="AE199" s="13">
        <v>2</v>
      </c>
      <c r="AF199" s="13">
        <v>2</v>
      </c>
      <c r="AG199" s="13">
        <v>0</v>
      </c>
      <c r="AH199" s="13">
        <v>3</v>
      </c>
      <c r="AI199" s="13">
        <v>0</v>
      </c>
      <c r="AK199" s="7">
        <f t="shared" si="11"/>
        <v>141</v>
      </c>
    </row>
    <row r="200" spans="2:37" x14ac:dyDescent="0.2">
      <c r="B200" s="2">
        <v>1200003</v>
      </c>
      <c r="C200" s="4" t="s">
        <v>129</v>
      </c>
      <c r="E200" s="13">
        <v>0</v>
      </c>
      <c r="F200" s="13">
        <v>0</v>
      </c>
      <c r="G200" s="13">
        <v>0</v>
      </c>
      <c r="H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B200" s="13">
        <v>0</v>
      </c>
      <c r="AF200" s="13">
        <v>0</v>
      </c>
      <c r="AG200" s="13">
        <v>0</v>
      </c>
      <c r="AH200" s="13">
        <v>0</v>
      </c>
      <c r="AI200" s="13">
        <v>0</v>
      </c>
      <c r="AK200" s="7">
        <f t="shared" si="11"/>
        <v>0</v>
      </c>
    </row>
    <row r="201" spans="2:37" x14ac:dyDescent="0.2">
      <c r="B201" s="2">
        <v>1200004</v>
      </c>
      <c r="C201" s="4" t="s">
        <v>127</v>
      </c>
      <c r="E201" s="13">
        <v>0</v>
      </c>
      <c r="F201" s="13">
        <v>0</v>
      </c>
      <c r="G201" s="13">
        <v>0</v>
      </c>
      <c r="H201" s="13">
        <v>0</v>
      </c>
      <c r="K201" s="13">
        <v>0</v>
      </c>
      <c r="L201" s="13">
        <v>0</v>
      </c>
      <c r="M201" s="13">
        <v>0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B201" s="13">
        <v>0</v>
      </c>
      <c r="AF201" s="13">
        <v>0</v>
      </c>
      <c r="AG201" s="13">
        <v>0</v>
      </c>
      <c r="AH201" s="13">
        <v>0</v>
      </c>
      <c r="AI201" s="13">
        <v>0</v>
      </c>
      <c r="AK201" s="7">
        <f t="shared" si="11"/>
        <v>0</v>
      </c>
    </row>
    <row r="202" spans="2:37" x14ac:dyDescent="0.2">
      <c r="B202" s="2">
        <v>1111101</v>
      </c>
      <c r="C202" s="4" t="s">
        <v>130</v>
      </c>
      <c r="E202" s="13">
        <v>0</v>
      </c>
      <c r="F202" s="13">
        <v>0</v>
      </c>
      <c r="G202" s="13">
        <v>0</v>
      </c>
      <c r="H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F202" s="13">
        <v>0</v>
      </c>
      <c r="AG202" s="13">
        <v>0</v>
      </c>
      <c r="AH202" s="13">
        <v>0</v>
      </c>
      <c r="AI202" s="13">
        <v>0</v>
      </c>
      <c r="AK202" s="7">
        <f t="shared" si="11"/>
        <v>0</v>
      </c>
    </row>
    <row r="203" spans="2:37" x14ac:dyDescent="0.2">
      <c r="B203" s="2">
        <v>1111102</v>
      </c>
      <c r="C203" s="4" t="s">
        <v>131</v>
      </c>
      <c r="E203" s="13">
        <v>0</v>
      </c>
      <c r="F203" s="13">
        <v>0</v>
      </c>
      <c r="G203" s="13">
        <v>0</v>
      </c>
      <c r="H203" s="13">
        <v>0</v>
      </c>
      <c r="K203" s="13">
        <v>0</v>
      </c>
      <c r="L203" s="13">
        <v>0</v>
      </c>
      <c r="M203" s="13">
        <v>0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F203" s="13">
        <v>0</v>
      </c>
      <c r="AG203" s="13">
        <v>0</v>
      </c>
      <c r="AH203" s="13">
        <v>0</v>
      </c>
      <c r="AI203" s="13">
        <v>0</v>
      </c>
      <c r="AK203" s="7">
        <f t="shared" si="11"/>
        <v>0</v>
      </c>
    </row>
    <row r="204" spans="2:37" x14ac:dyDescent="0.2">
      <c r="B204" s="2">
        <v>1111103</v>
      </c>
      <c r="C204" s="4" t="s">
        <v>132</v>
      </c>
      <c r="E204" s="13">
        <v>0</v>
      </c>
      <c r="F204" s="13">
        <v>0</v>
      </c>
      <c r="G204" s="13">
        <v>0</v>
      </c>
      <c r="H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F204" s="13">
        <v>0</v>
      </c>
      <c r="AG204" s="13">
        <v>0</v>
      </c>
      <c r="AH204" s="13">
        <v>0</v>
      </c>
      <c r="AI204" s="13">
        <v>0</v>
      </c>
      <c r="AK204" s="7">
        <f t="shared" si="11"/>
        <v>0</v>
      </c>
    </row>
    <row r="205" spans="2:37" x14ac:dyDescent="0.2">
      <c r="B205" s="2">
        <v>1124025</v>
      </c>
      <c r="C205" s="4" t="s">
        <v>167</v>
      </c>
      <c r="E205" s="13">
        <v>0</v>
      </c>
      <c r="F205" s="13">
        <v>0</v>
      </c>
      <c r="G205" s="13">
        <v>0</v>
      </c>
      <c r="H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F205" s="13">
        <v>0</v>
      </c>
      <c r="AG205" s="13">
        <v>0</v>
      </c>
      <c r="AH205" s="13">
        <v>0</v>
      </c>
      <c r="AI205" s="13">
        <v>0</v>
      </c>
      <c r="AK205" s="7">
        <f t="shared" si="11"/>
        <v>0</v>
      </c>
    </row>
    <row r="206" spans="2:37" x14ac:dyDescent="0.2">
      <c r="B206" s="2">
        <v>1124026</v>
      </c>
      <c r="C206" s="4" t="s">
        <v>133</v>
      </c>
      <c r="E206" s="13">
        <v>0</v>
      </c>
      <c r="F206" s="13">
        <v>0</v>
      </c>
      <c r="G206" s="13">
        <v>0</v>
      </c>
      <c r="H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F206" s="13">
        <v>0</v>
      </c>
      <c r="AH206" s="13">
        <v>0</v>
      </c>
      <c r="AI206" s="13">
        <v>0</v>
      </c>
      <c r="AK206" s="7">
        <f t="shared" si="11"/>
        <v>0</v>
      </c>
    </row>
    <row r="207" spans="2:37" x14ac:dyDescent="0.2">
      <c r="B207" s="2">
        <v>1124027</v>
      </c>
      <c r="C207" s="4" t="s">
        <v>134</v>
      </c>
      <c r="E207" s="13">
        <v>0</v>
      </c>
      <c r="F207" s="13">
        <v>0</v>
      </c>
      <c r="G207" s="13">
        <v>0</v>
      </c>
      <c r="H207" s="13">
        <v>0</v>
      </c>
      <c r="K207" s="13">
        <v>0</v>
      </c>
      <c r="L207" s="13">
        <v>0</v>
      </c>
      <c r="M207" s="13">
        <v>0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F207" s="13">
        <v>0</v>
      </c>
      <c r="AH207" s="13">
        <v>0</v>
      </c>
      <c r="AI207" s="13">
        <v>0</v>
      </c>
      <c r="AK207" s="7">
        <f t="shared" si="11"/>
        <v>0</v>
      </c>
    </row>
    <row r="208" spans="2:37" x14ac:dyDescent="0.2">
      <c r="B208" s="2">
        <v>1124028</v>
      </c>
      <c r="C208" s="4" t="s">
        <v>135</v>
      </c>
      <c r="E208" s="13">
        <v>0</v>
      </c>
      <c r="F208" s="13">
        <v>0</v>
      </c>
      <c r="G208" s="13">
        <v>0</v>
      </c>
      <c r="H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F208" s="13">
        <v>0</v>
      </c>
      <c r="AH208" s="13">
        <v>0</v>
      </c>
      <c r="AI208" s="13">
        <v>0</v>
      </c>
      <c r="AK208" s="7">
        <f t="shared" si="11"/>
        <v>0</v>
      </c>
    </row>
    <row r="209" spans="2:37" x14ac:dyDescent="0.2">
      <c r="B209" s="2">
        <v>1124029</v>
      </c>
      <c r="C209" s="4" t="s">
        <v>136</v>
      </c>
      <c r="E209" s="13">
        <v>0</v>
      </c>
      <c r="F209" s="13">
        <v>0</v>
      </c>
      <c r="G209" s="13">
        <v>0</v>
      </c>
      <c r="H209" s="13">
        <v>0</v>
      </c>
      <c r="K209" s="13">
        <v>0</v>
      </c>
      <c r="L209" s="13">
        <v>0</v>
      </c>
      <c r="M209" s="13">
        <v>0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F209" s="13">
        <v>0</v>
      </c>
      <c r="AH209" s="13">
        <v>0</v>
      </c>
      <c r="AI209" s="13">
        <v>0</v>
      </c>
      <c r="AK209" s="7">
        <f t="shared" si="11"/>
        <v>0</v>
      </c>
    </row>
    <row r="210" spans="2:37" x14ac:dyDescent="0.2">
      <c r="B210" s="2">
        <v>1124030</v>
      </c>
      <c r="C210" s="4" t="s">
        <v>137</v>
      </c>
      <c r="E210" s="13">
        <v>0</v>
      </c>
      <c r="F210" s="13">
        <v>0</v>
      </c>
      <c r="H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F210" s="13">
        <v>0</v>
      </c>
      <c r="AH210" s="13">
        <v>0</v>
      </c>
      <c r="AI210" s="13">
        <v>0</v>
      </c>
      <c r="AK210" s="7">
        <f t="shared" si="11"/>
        <v>0</v>
      </c>
    </row>
    <row r="211" spans="2:37" x14ac:dyDescent="0.2">
      <c r="B211" s="2">
        <v>1124031</v>
      </c>
      <c r="C211" s="4" t="s">
        <v>138</v>
      </c>
      <c r="E211" s="13">
        <v>0</v>
      </c>
      <c r="F211" s="13">
        <v>0</v>
      </c>
      <c r="H211" s="13">
        <v>0</v>
      </c>
      <c r="K211" s="13">
        <v>0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Y211" s="13">
        <v>0</v>
      </c>
      <c r="Z211" s="13">
        <v>0</v>
      </c>
      <c r="AF211" s="13">
        <v>0</v>
      </c>
      <c r="AH211" s="13">
        <v>0</v>
      </c>
      <c r="AI211" s="13">
        <v>0</v>
      </c>
      <c r="AK211" s="7">
        <f t="shared" si="11"/>
        <v>0</v>
      </c>
    </row>
    <row r="212" spans="2:37" x14ac:dyDescent="0.2">
      <c r="B212" s="2">
        <v>1124032</v>
      </c>
      <c r="C212" s="4" t="s">
        <v>139</v>
      </c>
      <c r="E212" s="13">
        <v>0</v>
      </c>
      <c r="F212" s="13">
        <v>0</v>
      </c>
      <c r="H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Y212" s="13">
        <v>0</v>
      </c>
      <c r="Z212" s="13">
        <v>0</v>
      </c>
      <c r="AF212" s="13">
        <v>0</v>
      </c>
      <c r="AH212" s="13">
        <v>0</v>
      </c>
      <c r="AI212" s="13">
        <v>0</v>
      </c>
      <c r="AK212" s="7">
        <f t="shared" si="11"/>
        <v>0</v>
      </c>
    </row>
    <row r="213" spans="2:37" x14ac:dyDescent="0.2">
      <c r="B213" s="2">
        <v>1124033</v>
      </c>
      <c r="C213" s="4" t="s">
        <v>140</v>
      </c>
      <c r="E213" s="13">
        <v>0</v>
      </c>
      <c r="F213" s="13">
        <v>0</v>
      </c>
      <c r="H213" s="13">
        <v>0</v>
      </c>
      <c r="K213" s="13">
        <v>0</v>
      </c>
      <c r="L213" s="13">
        <v>0</v>
      </c>
      <c r="M213" s="13">
        <v>0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Y213" s="13">
        <v>0</v>
      </c>
      <c r="Z213" s="13">
        <v>0</v>
      </c>
      <c r="AF213" s="13">
        <v>0</v>
      </c>
      <c r="AH213" s="13">
        <v>0</v>
      </c>
      <c r="AI213" s="13">
        <v>0</v>
      </c>
      <c r="AK213" s="7">
        <f t="shared" si="11"/>
        <v>0</v>
      </c>
    </row>
    <row r="214" spans="2:37" x14ac:dyDescent="0.2">
      <c r="B214" s="2">
        <v>1124034</v>
      </c>
      <c r="C214" s="4" t="s">
        <v>141</v>
      </c>
      <c r="E214" s="13">
        <v>0</v>
      </c>
      <c r="F214" s="13">
        <v>0</v>
      </c>
      <c r="H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Y214" s="13">
        <v>0</v>
      </c>
      <c r="Z214" s="13">
        <v>0</v>
      </c>
      <c r="AF214" s="13">
        <v>0</v>
      </c>
      <c r="AH214" s="13">
        <v>0</v>
      </c>
      <c r="AI214" s="13">
        <v>0</v>
      </c>
      <c r="AK214" s="7">
        <f t="shared" si="11"/>
        <v>0</v>
      </c>
    </row>
    <row r="215" spans="2:37" x14ac:dyDescent="0.2">
      <c r="B215" s="2">
        <v>1124035</v>
      </c>
      <c r="C215" s="4" t="s">
        <v>142</v>
      </c>
      <c r="E215" s="13">
        <v>0</v>
      </c>
      <c r="F215" s="13">
        <v>0</v>
      </c>
      <c r="H215" s="13">
        <v>0</v>
      </c>
      <c r="K215" s="13">
        <v>0</v>
      </c>
      <c r="L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Y215" s="13">
        <v>0</v>
      </c>
      <c r="Z215" s="13">
        <v>0</v>
      </c>
      <c r="AF215" s="13">
        <v>0</v>
      </c>
      <c r="AH215" s="13">
        <v>0</v>
      </c>
      <c r="AI215" s="13">
        <v>0</v>
      </c>
      <c r="AK215" s="7">
        <f t="shared" ref="AK215:AK217" si="12">SUM(D215:AJ215)</f>
        <v>0</v>
      </c>
    </row>
    <row r="216" spans="2:37" x14ac:dyDescent="0.2">
      <c r="B216" s="2">
        <v>1124036</v>
      </c>
      <c r="C216" s="4" t="s">
        <v>143</v>
      </c>
      <c r="E216" s="13">
        <v>0</v>
      </c>
      <c r="F216" s="13">
        <v>0</v>
      </c>
      <c r="H216" s="13">
        <v>0</v>
      </c>
      <c r="K216" s="13">
        <v>0</v>
      </c>
      <c r="L216" s="13">
        <v>0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Y216" s="13">
        <v>0</v>
      </c>
      <c r="Z216" s="13">
        <v>0</v>
      </c>
      <c r="AF216" s="13">
        <v>0</v>
      </c>
      <c r="AH216" s="13">
        <v>0</v>
      </c>
      <c r="AI216" s="13">
        <v>0</v>
      </c>
      <c r="AK216" s="7">
        <f t="shared" si="12"/>
        <v>0</v>
      </c>
    </row>
    <row r="217" spans="2:37" x14ac:dyDescent="0.2">
      <c r="C217" s="4" t="s">
        <v>144</v>
      </c>
      <c r="E217" s="13">
        <v>0</v>
      </c>
      <c r="F217" s="13">
        <v>0</v>
      </c>
      <c r="L217" s="13">
        <v>0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Z217" s="13">
        <v>0</v>
      </c>
      <c r="AF217" s="13">
        <v>0</v>
      </c>
      <c r="AH217" s="13">
        <v>0</v>
      </c>
      <c r="AK217" s="7">
        <f t="shared" si="12"/>
        <v>0</v>
      </c>
    </row>
    <row r="219" spans="2:37" s="22" customFormat="1" ht="66" customHeight="1" x14ac:dyDescent="0.2">
      <c r="B219" s="20"/>
      <c r="C219" s="20" t="s">
        <v>175</v>
      </c>
      <c r="D219" s="26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8"/>
      <c r="AK219" s="21">
        <f>SUM(AK150:AK218,AK145:AK148,AK135:AK143,AK124:AK133,AK113:AK122,AK102:AK111,AK91:AK100,AK81:AK89,AK72:AK79,AK7:AK70)</f>
        <v>51258</v>
      </c>
    </row>
    <row r="220" spans="2:37" x14ac:dyDescent="0.2">
      <c r="B220" s="11"/>
      <c r="C220" s="11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9"/>
    </row>
    <row r="221" spans="2:37" x14ac:dyDescent="0.2">
      <c r="B221" s="11"/>
      <c r="C221" s="11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9"/>
    </row>
    <row r="222" spans="2:37" x14ac:dyDescent="0.2">
      <c r="B222" s="11"/>
      <c r="C222" s="11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9"/>
    </row>
    <row r="223" spans="2:37" x14ac:dyDescent="0.2">
      <c r="B223" s="11"/>
      <c r="C223" s="11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9"/>
    </row>
    <row r="224" spans="2:37" x14ac:dyDescent="0.2">
      <c r="B224" s="11"/>
      <c r="C224" s="11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9"/>
    </row>
    <row r="225" spans="2:37" x14ac:dyDescent="0.2">
      <c r="B225" s="11"/>
      <c r="C225" s="11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9"/>
    </row>
    <row r="226" spans="2:37" x14ac:dyDescent="0.2">
      <c r="B226" s="11"/>
      <c r="C226" s="11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9"/>
    </row>
    <row r="227" spans="2:37" x14ac:dyDescent="0.2">
      <c r="B227" s="11"/>
      <c r="C227" s="11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9"/>
    </row>
    <row r="228" spans="2:37" x14ac:dyDescent="0.2">
      <c r="B228" s="11"/>
      <c r="C228" s="11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9"/>
    </row>
    <row r="229" spans="2:37" x14ac:dyDescent="0.2">
      <c r="B229" s="11"/>
      <c r="C229" s="11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9"/>
    </row>
    <row r="230" spans="2:37" x14ac:dyDescent="0.2">
      <c r="B230" s="11"/>
      <c r="C230" s="11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9"/>
    </row>
    <row r="231" spans="2:37" x14ac:dyDescent="0.2">
      <c r="B231" s="11"/>
      <c r="C231" s="11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9"/>
    </row>
    <row r="232" spans="2:37" x14ac:dyDescent="0.2">
      <c r="B232" s="11"/>
      <c r="C232" s="11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9"/>
    </row>
    <row r="233" spans="2:37" x14ac:dyDescent="0.2">
      <c r="B233" s="11"/>
      <c r="C233" s="11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9"/>
    </row>
    <row r="234" spans="2:37" x14ac:dyDescent="0.2">
      <c r="B234" s="11"/>
      <c r="C234" s="11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9"/>
    </row>
    <row r="235" spans="2:37" x14ac:dyDescent="0.2">
      <c r="B235" s="11"/>
      <c r="C235" s="11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9"/>
    </row>
    <row r="236" spans="2:37" x14ac:dyDescent="0.2">
      <c r="B236" s="11"/>
      <c r="C236" s="11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9"/>
    </row>
    <row r="237" spans="2:37" x14ac:dyDescent="0.2">
      <c r="B237" s="11"/>
      <c r="C237" s="11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9"/>
    </row>
    <row r="238" spans="2:37" x14ac:dyDescent="0.2">
      <c r="B238" s="11"/>
      <c r="C238" s="11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9"/>
    </row>
    <row r="239" spans="2:37" x14ac:dyDescent="0.2">
      <c r="B239" s="11"/>
      <c r="C239" s="11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9"/>
    </row>
    <row r="240" spans="2:37" x14ac:dyDescent="0.2">
      <c r="B240" s="11"/>
      <c r="C240" s="11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9"/>
    </row>
    <row r="241" spans="2:37" x14ac:dyDescent="0.2">
      <c r="B241" s="11"/>
      <c r="C241" s="11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9"/>
    </row>
    <row r="242" spans="2:37" x14ac:dyDescent="0.2">
      <c r="B242" s="11"/>
      <c r="C242" s="11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9"/>
    </row>
    <row r="243" spans="2:37" x14ac:dyDescent="0.2">
      <c r="B243" s="11"/>
      <c r="C243" s="11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9"/>
    </row>
    <row r="244" spans="2:37" x14ac:dyDescent="0.2">
      <c r="B244" s="11"/>
      <c r="C244" s="11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9"/>
    </row>
    <row r="245" spans="2:37" x14ac:dyDescent="0.2">
      <c r="B245" s="11"/>
      <c r="C245" s="11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9"/>
    </row>
    <row r="246" spans="2:37" x14ac:dyDescent="0.2">
      <c r="B246" s="11"/>
      <c r="C246" s="11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9"/>
    </row>
    <row r="247" spans="2:37" x14ac:dyDescent="0.2">
      <c r="B247" s="11"/>
      <c r="C247" s="11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9"/>
    </row>
    <row r="248" spans="2:37" x14ac:dyDescent="0.2">
      <c r="B248" s="11"/>
      <c r="C248" s="11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9"/>
    </row>
    <row r="249" spans="2:37" x14ac:dyDescent="0.2">
      <c r="B249" s="11"/>
      <c r="C249" s="11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9"/>
    </row>
    <row r="250" spans="2:37" x14ac:dyDescent="0.2">
      <c r="B250" s="11"/>
      <c r="C250" s="11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9"/>
    </row>
    <row r="251" spans="2:37" x14ac:dyDescent="0.2">
      <c r="B251" s="11"/>
      <c r="C251" s="11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9"/>
    </row>
    <row r="252" spans="2:37" x14ac:dyDescent="0.2">
      <c r="B252" s="11"/>
      <c r="C252" s="11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9"/>
    </row>
    <row r="253" spans="2:37" x14ac:dyDescent="0.2">
      <c r="B253" s="11"/>
      <c r="C253" s="11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9"/>
    </row>
    <row r="254" spans="2:37" x14ac:dyDescent="0.2">
      <c r="B254" s="11"/>
      <c r="C254" s="11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9"/>
    </row>
    <row r="255" spans="2:37" x14ac:dyDescent="0.2">
      <c r="B255" s="11"/>
      <c r="C255" s="11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9"/>
    </row>
    <row r="256" spans="2:37" x14ac:dyDescent="0.2">
      <c r="B256" s="11"/>
      <c r="C256" s="11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9"/>
    </row>
    <row r="257" spans="2:37" x14ac:dyDescent="0.2">
      <c r="B257" s="11"/>
      <c r="C257" s="11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9"/>
    </row>
    <row r="258" spans="2:37" x14ac:dyDescent="0.2">
      <c r="B258" s="11"/>
      <c r="C258" s="11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9"/>
    </row>
    <row r="259" spans="2:37" x14ac:dyDescent="0.2">
      <c r="B259" s="11"/>
      <c r="C259" s="11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9"/>
    </row>
    <row r="260" spans="2:37" x14ac:dyDescent="0.2">
      <c r="B260" s="11"/>
      <c r="C260" s="11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9"/>
    </row>
    <row r="261" spans="2:37" x14ac:dyDescent="0.2">
      <c r="B261" s="11"/>
      <c r="C261" s="11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9"/>
    </row>
    <row r="262" spans="2:37" x14ac:dyDescent="0.2">
      <c r="B262" s="11"/>
      <c r="C262" s="11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9"/>
    </row>
    <row r="263" spans="2:37" x14ac:dyDescent="0.2">
      <c r="B263" s="11"/>
      <c r="C263" s="11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9"/>
    </row>
    <row r="264" spans="2:37" x14ac:dyDescent="0.2">
      <c r="B264" s="11"/>
      <c r="C264" s="11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9"/>
    </row>
    <row r="265" spans="2:37" x14ac:dyDescent="0.2">
      <c r="B265" s="11"/>
      <c r="C265" s="11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9"/>
    </row>
    <row r="266" spans="2:37" x14ac:dyDescent="0.2">
      <c r="B266" s="11"/>
      <c r="C266" s="11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9"/>
    </row>
    <row r="267" spans="2:37" x14ac:dyDescent="0.2">
      <c r="B267" s="11"/>
      <c r="C267" s="11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9"/>
    </row>
    <row r="268" spans="2:37" x14ac:dyDescent="0.2">
      <c r="B268" s="11"/>
      <c r="C268" s="11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9"/>
    </row>
    <row r="269" spans="2:37" x14ac:dyDescent="0.2">
      <c r="B269" s="11"/>
      <c r="C269" s="11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9"/>
    </row>
    <row r="270" spans="2:37" x14ac:dyDescent="0.2">
      <c r="B270" s="11"/>
      <c r="C270" s="11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9"/>
    </row>
    <row r="271" spans="2:37" x14ac:dyDescent="0.2">
      <c r="B271" s="11"/>
      <c r="C271" s="11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9"/>
    </row>
    <row r="272" spans="2:37" x14ac:dyDescent="0.2">
      <c r="B272" s="11"/>
      <c r="C272" s="11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9"/>
    </row>
    <row r="273" spans="2:37" x14ac:dyDescent="0.2">
      <c r="B273" s="11"/>
      <c r="C273" s="11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9"/>
    </row>
    <row r="274" spans="2:37" x14ac:dyDescent="0.2">
      <c r="B274" s="11"/>
      <c r="C274" s="11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9"/>
    </row>
    <row r="275" spans="2:37" x14ac:dyDescent="0.2">
      <c r="B275" s="11"/>
      <c r="C275" s="11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9"/>
    </row>
    <row r="276" spans="2:37" x14ac:dyDescent="0.2">
      <c r="B276" s="11"/>
      <c r="C276" s="11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9"/>
    </row>
    <row r="277" spans="2:37" x14ac:dyDescent="0.2">
      <c r="B277" s="11"/>
      <c r="C277" s="11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9"/>
    </row>
    <row r="278" spans="2:37" x14ac:dyDescent="0.2">
      <c r="B278" s="11"/>
      <c r="C278" s="11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9"/>
    </row>
    <row r="279" spans="2:37" x14ac:dyDescent="0.2">
      <c r="B279" s="11"/>
      <c r="C279" s="11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9"/>
    </row>
    <row r="280" spans="2:37" x14ac:dyDescent="0.2">
      <c r="B280" s="11"/>
      <c r="C280" s="11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9"/>
    </row>
    <row r="281" spans="2:37" x14ac:dyDescent="0.2">
      <c r="B281" s="11"/>
      <c r="C281" s="11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9"/>
    </row>
    <row r="282" spans="2:37" x14ac:dyDescent="0.2">
      <c r="B282" s="11"/>
      <c r="C282" s="11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9"/>
    </row>
    <row r="283" spans="2:37" x14ac:dyDescent="0.2">
      <c r="B283" s="11"/>
      <c r="C283" s="11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9"/>
    </row>
    <row r="284" spans="2:37" x14ac:dyDescent="0.2">
      <c r="B284" s="11"/>
      <c r="C284" s="11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9"/>
    </row>
    <row r="285" spans="2:37" x14ac:dyDescent="0.2">
      <c r="B285" s="11"/>
      <c r="C285" s="11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9"/>
    </row>
    <row r="286" spans="2:37" x14ac:dyDescent="0.2">
      <c r="B286" s="11"/>
      <c r="C286" s="11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9"/>
    </row>
    <row r="287" spans="2:37" x14ac:dyDescent="0.2">
      <c r="B287" s="11"/>
      <c r="C287" s="11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9"/>
    </row>
    <row r="288" spans="2:37" x14ac:dyDescent="0.2">
      <c r="B288" s="11"/>
      <c r="C288" s="11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9"/>
    </row>
    <row r="289" spans="2:37" x14ac:dyDescent="0.2">
      <c r="B289" s="11"/>
      <c r="C289" s="11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9"/>
    </row>
    <row r="290" spans="2:37" x14ac:dyDescent="0.2">
      <c r="B290" s="11"/>
      <c r="C290" s="11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9"/>
    </row>
    <row r="291" spans="2:37" x14ac:dyDescent="0.2">
      <c r="B291" s="11"/>
      <c r="C291" s="11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9"/>
    </row>
    <row r="292" spans="2:37" x14ac:dyDescent="0.2">
      <c r="B292" s="11"/>
      <c r="C292" s="11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9"/>
    </row>
    <row r="293" spans="2:37" x14ac:dyDescent="0.2">
      <c r="B293" s="11"/>
      <c r="C293" s="11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9"/>
    </row>
    <row r="294" spans="2:37" x14ac:dyDescent="0.2">
      <c r="B294" s="11"/>
      <c r="C294" s="11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9"/>
    </row>
    <row r="295" spans="2:37" x14ac:dyDescent="0.2">
      <c r="B295" s="11"/>
      <c r="C295" s="11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9"/>
    </row>
    <row r="296" spans="2:37" x14ac:dyDescent="0.2">
      <c r="B296" s="11"/>
      <c r="C296" s="11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9"/>
    </row>
    <row r="297" spans="2:37" x14ac:dyDescent="0.2">
      <c r="B297" s="11"/>
      <c r="C297" s="11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9"/>
    </row>
    <row r="298" spans="2:37" x14ac:dyDescent="0.2">
      <c r="B298" s="11"/>
      <c r="C298" s="11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9"/>
    </row>
    <row r="299" spans="2:37" x14ac:dyDescent="0.2">
      <c r="B299" s="11"/>
      <c r="C299" s="11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9"/>
    </row>
    <row r="300" spans="2:37" x14ac:dyDescent="0.2">
      <c r="B300" s="11"/>
      <c r="C300" s="11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9"/>
    </row>
    <row r="301" spans="2:37" x14ac:dyDescent="0.2">
      <c r="B301" s="11"/>
      <c r="C301" s="11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9"/>
    </row>
    <row r="302" spans="2:37" x14ac:dyDescent="0.2">
      <c r="B302" s="11"/>
      <c r="C302" s="11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9"/>
    </row>
    <row r="303" spans="2:37" x14ac:dyDescent="0.2">
      <c r="B303" s="11"/>
      <c r="C303" s="11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9"/>
    </row>
    <row r="304" spans="2:37" x14ac:dyDescent="0.2">
      <c r="B304" s="11"/>
      <c r="C304" s="11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9"/>
    </row>
    <row r="305" spans="2:37" x14ac:dyDescent="0.2">
      <c r="B305" s="11"/>
      <c r="C305" s="11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9"/>
    </row>
    <row r="306" spans="2:37" x14ac:dyDescent="0.2">
      <c r="B306" s="11"/>
      <c r="C306" s="11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9"/>
    </row>
    <row r="307" spans="2:37" x14ac:dyDescent="0.2">
      <c r="B307" s="11"/>
      <c r="C307" s="11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9"/>
    </row>
    <row r="308" spans="2:37" x14ac:dyDescent="0.2">
      <c r="B308" s="11"/>
      <c r="C308" s="11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9"/>
    </row>
    <row r="309" spans="2:37" x14ac:dyDescent="0.2">
      <c r="B309" s="11"/>
      <c r="C309" s="11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9"/>
    </row>
    <row r="310" spans="2:37" x14ac:dyDescent="0.2">
      <c r="B310" s="11"/>
      <c r="C310" s="11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9"/>
    </row>
    <row r="311" spans="2:37" x14ac:dyDescent="0.2">
      <c r="B311" s="11"/>
      <c r="C311" s="11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9"/>
    </row>
    <row r="312" spans="2:37" x14ac:dyDescent="0.2">
      <c r="B312" s="11"/>
      <c r="C312" s="11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9"/>
    </row>
    <row r="313" spans="2:37" x14ac:dyDescent="0.2">
      <c r="B313" s="11"/>
      <c r="C313" s="11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9"/>
    </row>
    <row r="314" spans="2:37" x14ac:dyDescent="0.2">
      <c r="B314" s="11"/>
      <c r="C314" s="11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9"/>
    </row>
    <row r="315" spans="2:37" x14ac:dyDescent="0.2">
      <c r="B315" s="11"/>
      <c r="C315" s="11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9"/>
    </row>
    <row r="316" spans="2:37" x14ac:dyDescent="0.2">
      <c r="B316" s="11"/>
      <c r="C316" s="11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9"/>
    </row>
    <row r="317" spans="2:37" x14ac:dyDescent="0.2">
      <c r="B317" s="11"/>
      <c r="C317" s="11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9"/>
    </row>
    <row r="318" spans="2:37" x14ac:dyDescent="0.2">
      <c r="B318" s="11"/>
      <c r="C318" s="11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9"/>
    </row>
    <row r="319" spans="2:37" x14ac:dyDescent="0.2">
      <c r="B319" s="11"/>
      <c r="C319" s="11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9"/>
    </row>
    <row r="320" spans="2:37" x14ac:dyDescent="0.2">
      <c r="B320" s="11"/>
      <c r="C320" s="11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9"/>
    </row>
    <row r="321" spans="2:37" x14ac:dyDescent="0.2">
      <c r="B321" s="11"/>
      <c r="C321" s="11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9"/>
    </row>
    <row r="322" spans="2:37" x14ac:dyDescent="0.2">
      <c r="B322" s="11"/>
      <c r="C322" s="11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9"/>
    </row>
    <row r="323" spans="2:37" x14ac:dyDescent="0.2">
      <c r="B323" s="11"/>
      <c r="C323" s="11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9"/>
    </row>
    <row r="324" spans="2:37" x14ac:dyDescent="0.2">
      <c r="B324" s="11"/>
      <c r="C324" s="11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9"/>
    </row>
    <row r="325" spans="2:37" x14ac:dyDescent="0.2">
      <c r="B325" s="11"/>
      <c r="C325" s="11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9"/>
    </row>
    <row r="326" spans="2:37" x14ac:dyDescent="0.2">
      <c r="B326" s="11"/>
      <c r="C326" s="11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9"/>
    </row>
    <row r="327" spans="2:37" x14ac:dyDescent="0.2">
      <c r="B327" s="11"/>
      <c r="C327" s="11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9"/>
    </row>
    <row r="328" spans="2:37" x14ac:dyDescent="0.2">
      <c r="B328" s="11"/>
      <c r="C328" s="11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9"/>
    </row>
    <row r="329" spans="2:37" x14ac:dyDescent="0.2">
      <c r="B329" s="11"/>
      <c r="C329" s="11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9"/>
    </row>
    <row r="330" spans="2:37" x14ac:dyDescent="0.2">
      <c r="B330" s="11"/>
      <c r="C330" s="11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9"/>
    </row>
    <row r="331" spans="2:37" x14ac:dyDescent="0.2">
      <c r="B331" s="11"/>
      <c r="C331" s="11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9"/>
    </row>
    <row r="332" spans="2:37" x14ac:dyDescent="0.2">
      <c r="B332" s="11"/>
      <c r="C332" s="11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9"/>
    </row>
    <row r="333" spans="2:37" x14ac:dyDescent="0.2">
      <c r="B333" s="11"/>
      <c r="C333" s="11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9"/>
    </row>
    <row r="334" spans="2:37" x14ac:dyDescent="0.2">
      <c r="B334" s="11"/>
      <c r="C334" s="11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9"/>
    </row>
    <row r="335" spans="2:37" x14ac:dyDescent="0.2">
      <c r="B335" s="11"/>
      <c r="C335" s="11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9"/>
    </row>
    <row r="336" spans="2:37" x14ac:dyDescent="0.2">
      <c r="B336" s="11"/>
      <c r="C336" s="11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9"/>
    </row>
    <row r="337" spans="2:37" x14ac:dyDescent="0.2">
      <c r="B337" s="11"/>
      <c r="C337" s="11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9"/>
    </row>
    <row r="338" spans="2:37" x14ac:dyDescent="0.2">
      <c r="B338" s="11"/>
      <c r="C338" s="11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9"/>
    </row>
    <row r="339" spans="2:37" x14ac:dyDescent="0.2">
      <c r="B339" s="11"/>
      <c r="C339" s="11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9"/>
    </row>
    <row r="340" spans="2:37" x14ac:dyDescent="0.2">
      <c r="B340" s="11"/>
      <c r="C340" s="11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9"/>
    </row>
    <row r="341" spans="2:37" x14ac:dyDescent="0.2">
      <c r="B341" s="11"/>
      <c r="C341" s="11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9"/>
    </row>
    <row r="342" spans="2:37" x14ac:dyDescent="0.2">
      <c r="B342" s="11"/>
      <c r="C342" s="11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9"/>
    </row>
    <row r="343" spans="2:37" x14ac:dyDescent="0.2">
      <c r="B343" s="11"/>
      <c r="C343" s="11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9"/>
    </row>
    <row r="344" spans="2:37" x14ac:dyDescent="0.2">
      <c r="B344" s="11"/>
      <c r="C344" s="11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9"/>
    </row>
    <row r="345" spans="2:37" x14ac:dyDescent="0.2">
      <c r="B345" s="11"/>
      <c r="C345" s="11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9"/>
    </row>
    <row r="346" spans="2:37" x14ac:dyDescent="0.2">
      <c r="B346" s="11"/>
      <c r="C346" s="11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9"/>
    </row>
    <row r="347" spans="2:37" x14ac:dyDescent="0.2">
      <c r="B347" s="11"/>
      <c r="C347" s="11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9"/>
    </row>
    <row r="348" spans="2:37" x14ac:dyDescent="0.2">
      <c r="B348" s="11"/>
      <c r="C348" s="11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9"/>
    </row>
    <row r="349" spans="2:37" x14ac:dyDescent="0.2">
      <c r="B349" s="11"/>
      <c r="C349" s="11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9"/>
    </row>
    <row r="350" spans="2:37" x14ac:dyDescent="0.2">
      <c r="B350" s="11"/>
      <c r="C350" s="11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9"/>
    </row>
    <row r="351" spans="2:37" x14ac:dyDescent="0.2">
      <c r="B351" s="11"/>
      <c r="C351" s="11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9"/>
    </row>
    <row r="352" spans="2:37" x14ac:dyDescent="0.2">
      <c r="B352" s="11"/>
      <c r="C352" s="11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9"/>
    </row>
    <row r="353" spans="2:37" x14ac:dyDescent="0.2">
      <c r="B353" s="11"/>
      <c r="C353" s="11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9"/>
    </row>
    <row r="354" spans="2:37" x14ac:dyDescent="0.2">
      <c r="B354" s="11"/>
      <c r="C354" s="11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9"/>
    </row>
    <row r="355" spans="2:37" x14ac:dyDescent="0.2">
      <c r="B355" s="11"/>
      <c r="C355" s="11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9"/>
    </row>
    <row r="356" spans="2:37" x14ac:dyDescent="0.2">
      <c r="B356" s="11"/>
      <c r="C356" s="11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9"/>
    </row>
    <row r="357" spans="2:37" x14ac:dyDescent="0.2">
      <c r="B357" s="11"/>
      <c r="C357" s="11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9"/>
    </row>
    <row r="358" spans="2:37" x14ac:dyDescent="0.2">
      <c r="B358" s="11"/>
      <c r="C358" s="11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9"/>
    </row>
    <row r="359" spans="2:37" x14ac:dyDescent="0.2">
      <c r="B359" s="11"/>
      <c r="C359" s="11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9"/>
    </row>
    <row r="360" spans="2:37" x14ac:dyDescent="0.2">
      <c r="B360" s="11"/>
      <c r="C360" s="11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9"/>
    </row>
    <row r="361" spans="2:37" x14ac:dyDescent="0.2">
      <c r="B361" s="11"/>
      <c r="C361" s="11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9"/>
    </row>
    <row r="362" spans="2:37" x14ac:dyDescent="0.2">
      <c r="B362" s="11"/>
      <c r="C362" s="11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9"/>
    </row>
    <row r="363" spans="2:37" x14ac:dyDescent="0.2">
      <c r="B363" s="11"/>
      <c r="C363" s="11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9"/>
    </row>
    <row r="364" spans="2:37" x14ac:dyDescent="0.2">
      <c r="B364" s="11"/>
      <c r="C364" s="11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9"/>
    </row>
    <row r="365" spans="2:37" x14ac:dyDescent="0.2">
      <c r="B365" s="11"/>
      <c r="C365" s="11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9"/>
    </row>
    <row r="366" spans="2:37" x14ac:dyDescent="0.2">
      <c r="B366" s="11"/>
      <c r="C366" s="11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9"/>
    </row>
    <row r="367" spans="2:37" x14ac:dyDescent="0.2">
      <c r="B367" s="11"/>
      <c r="C367" s="11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9"/>
    </row>
    <row r="368" spans="2:37" x14ac:dyDescent="0.2">
      <c r="B368" s="11"/>
      <c r="C368" s="11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9"/>
    </row>
    <row r="369" spans="2:37" x14ac:dyDescent="0.2">
      <c r="B369" s="11"/>
      <c r="C369" s="11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9"/>
    </row>
    <row r="370" spans="2:37" x14ac:dyDescent="0.2">
      <c r="B370" s="11"/>
      <c r="C370" s="11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9"/>
    </row>
    <row r="371" spans="2:37" x14ac:dyDescent="0.2">
      <c r="B371" s="11"/>
      <c r="C371" s="11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9"/>
    </row>
    <row r="372" spans="2:37" x14ac:dyDescent="0.2">
      <c r="B372" s="11"/>
      <c r="C372" s="11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9"/>
    </row>
    <row r="373" spans="2:37" x14ac:dyDescent="0.2">
      <c r="B373" s="11"/>
      <c r="C373" s="11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9"/>
    </row>
    <row r="374" spans="2:37" x14ac:dyDescent="0.2">
      <c r="B374" s="11"/>
      <c r="C374" s="11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9"/>
    </row>
    <row r="375" spans="2:37" x14ac:dyDescent="0.2">
      <c r="B375" s="11"/>
      <c r="C375" s="11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9"/>
    </row>
    <row r="376" spans="2:37" x14ac:dyDescent="0.2">
      <c r="B376" s="11"/>
      <c r="C376" s="11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9"/>
    </row>
    <row r="377" spans="2:37" x14ac:dyDescent="0.2">
      <c r="B377" s="11"/>
      <c r="C377" s="11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9"/>
    </row>
    <row r="378" spans="2:37" x14ac:dyDescent="0.2">
      <c r="B378" s="11"/>
      <c r="C378" s="11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9"/>
    </row>
    <row r="379" spans="2:37" x14ac:dyDescent="0.2">
      <c r="B379" s="11"/>
      <c r="C379" s="11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9"/>
    </row>
    <row r="380" spans="2:37" x14ac:dyDescent="0.2">
      <c r="B380" s="11"/>
      <c r="C380" s="11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9"/>
    </row>
    <row r="381" spans="2:37" x14ac:dyDescent="0.2">
      <c r="B381" s="11"/>
      <c r="C381" s="11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9"/>
    </row>
    <row r="382" spans="2:37" x14ac:dyDescent="0.2">
      <c r="B382" s="11"/>
      <c r="C382" s="11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9"/>
    </row>
    <row r="383" spans="2:37" x14ac:dyDescent="0.2">
      <c r="B383" s="11"/>
      <c r="C383" s="11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9"/>
    </row>
    <row r="384" spans="2:37" x14ac:dyDescent="0.2">
      <c r="B384" s="11"/>
      <c r="C384" s="11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9"/>
    </row>
    <row r="385" spans="2:37" x14ac:dyDescent="0.2">
      <c r="B385" s="11"/>
      <c r="C385" s="11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9"/>
    </row>
    <row r="386" spans="2:37" x14ac:dyDescent="0.2">
      <c r="B386" s="11"/>
      <c r="C386" s="11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9"/>
    </row>
    <row r="387" spans="2:37" x14ac:dyDescent="0.2">
      <c r="B387" s="11"/>
      <c r="C387" s="11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9"/>
    </row>
    <row r="388" spans="2:37" x14ac:dyDescent="0.2">
      <c r="B388" s="11"/>
      <c r="C388" s="11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9"/>
    </row>
    <row r="389" spans="2:37" x14ac:dyDescent="0.2">
      <c r="B389" s="11"/>
      <c r="C389" s="11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9"/>
    </row>
    <row r="390" spans="2:37" x14ac:dyDescent="0.2">
      <c r="B390" s="11"/>
      <c r="C390" s="11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9"/>
    </row>
    <row r="391" spans="2:37" x14ac:dyDescent="0.2">
      <c r="B391" s="11"/>
      <c r="C391" s="11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9"/>
    </row>
    <row r="392" spans="2:37" x14ac:dyDescent="0.2">
      <c r="B392" s="11"/>
      <c r="C392" s="11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9"/>
    </row>
    <row r="393" spans="2:37" x14ac:dyDescent="0.2">
      <c r="B393" s="11"/>
      <c r="C393" s="11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9"/>
    </row>
    <row r="394" spans="2:37" x14ac:dyDescent="0.2">
      <c r="B394" s="11"/>
      <c r="C394" s="11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9"/>
    </row>
    <row r="395" spans="2:37" x14ac:dyDescent="0.2">
      <c r="B395" s="11"/>
      <c r="C395" s="11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9"/>
    </row>
    <row r="396" spans="2:37" x14ac:dyDescent="0.2">
      <c r="B396" s="11"/>
      <c r="C396" s="11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9"/>
    </row>
    <row r="397" spans="2:37" x14ac:dyDescent="0.2">
      <c r="B397" s="11"/>
      <c r="C397" s="11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9"/>
    </row>
    <row r="398" spans="2:37" x14ac:dyDescent="0.2">
      <c r="B398" s="11"/>
      <c r="C398" s="11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9"/>
    </row>
    <row r="399" spans="2:37" x14ac:dyDescent="0.2">
      <c r="B399" s="11"/>
      <c r="C399" s="11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9"/>
    </row>
    <row r="400" spans="2:37" x14ac:dyDescent="0.2">
      <c r="B400" s="11"/>
      <c r="C400" s="11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9"/>
    </row>
    <row r="401" spans="2:37" x14ac:dyDescent="0.2">
      <c r="B401" s="11"/>
      <c r="C401" s="11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9"/>
    </row>
    <row r="402" spans="2:37" x14ac:dyDescent="0.2">
      <c r="B402" s="11"/>
      <c r="C402" s="11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9"/>
    </row>
    <row r="403" spans="2:37" x14ac:dyDescent="0.2">
      <c r="B403" s="11"/>
      <c r="C403" s="11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9"/>
    </row>
    <row r="404" spans="2:37" x14ac:dyDescent="0.2">
      <c r="B404" s="11"/>
      <c r="C404" s="11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9"/>
    </row>
    <row r="405" spans="2:37" x14ac:dyDescent="0.2">
      <c r="B405" s="11"/>
      <c r="C405" s="11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9"/>
    </row>
    <row r="406" spans="2:37" x14ac:dyDescent="0.2">
      <c r="B406" s="11"/>
      <c r="C406" s="11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9"/>
    </row>
    <row r="407" spans="2:37" x14ac:dyDescent="0.2">
      <c r="B407" s="11"/>
      <c r="C407" s="11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9"/>
    </row>
    <row r="408" spans="2:37" x14ac:dyDescent="0.2">
      <c r="B408" s="11"/>
      <c r="C408" s="11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9"/>
    </row>
    <row r="409" spans="2:37" x14ac:dyDescent="0.2">
      <c r="B409" s="11"/>
      <c r="C409" s="11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9"/>
    </row>
    <row r="410" spans="2:37" x14ac:dyDescent="0.2">
      <c r="B410" s="11"/>
      <c r="C410" s="11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9"/>
    </row>
    <row r="411" spans="2:37" x14ac:dyDescent="0.2">
      <c r="B411" s="11"/>
      <c r="C411" s="11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9"/>
    </row>
    <row r="412" spans="2:37" x14ac:dyDescent="0.2">
      <c r="B412" s="11"/>
      <c r="C412" s="11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9"/>
    </row>
    <row r="413" spans="2:37" x14ac:dyDescent="0.2">
      <c r="B413" s="11"/>
      <c r="C413" s="11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9"/>
    </row>
    <row r="414" spans="2:37" x14ac:dyDescent="0.2">
      <c r="B414" s="11"/>
      <c r="C414" s="11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9"/>
    </row>
    <row r="415" spans="2:37" x14ac:dyDescent="0.2">
      <c r="B415" s="11"/>
      <c r="C415" s="11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9"/>
    </row>
    <row r="416" spans="2:37" x14ac:dyDescent="0.2">
      <c r="B416" s="11"/>
      <c r="C416" s="11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9"/>
    </row>
    <row r="417" spans="2:37" x14ac:dyDescent="0.2">
      <c r="B417" s="11"/>
      <c r="C417" s="11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9"/>
    </row>
    <row r="418" spans="2:37" x14ac:dyDescent="0.2">
      <c r="B418" s="11"/>
      <c r="C418" s="11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9"/>
    </row>
    <row r="419" spans="2:37" x14ac:dyDescent="0.2">
      <c r="B419" s="11"/>
      <c r="C419" s="11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9"/>
    </row>
    <row r="420" spans="2:37" x14ac:dyDescent="0.2">
      <c r="B420" s="11"/>
      <c r="C420" s="11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9"/>
    </row>
    <row r="421" spans="2:37" x14ac:dyDescent="0.2">
      <c r="B421" s="11"/>
      <c r="C421" s="11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9"/>
    </row>
    <row r="422" spans="2:37" x14ac:dyDescent="0.2">
      <c r="B422" s="11"/>
      <c r="C422" s="11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9"/>
    </row>
    <row r="423" spans="2:37" x14ac:dyDescent="0.2">
      <c r="B423" s="11"/>
      <c r="C423" s="11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9"/>
    </row>
    <row r="424" spans="2:37" x14ac:dyDescent="0.2">
      <c r="B424" s="11"/>
      <c r="C424" s="11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9"/>
    </row>
    <row r="425" spans="2:37" x14ac:dyDescent="0.2">
      <c r="B425" s="11"/>
      <c r="C425" s="11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9"/>
    </row>
    <row r="426" spans="2:37" x14ac:dyDescent="0.2">
      <c r="B426" s="11"/>
      <c r="C426" s="11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9"/>
    </row>
    <row r="427" spans="2:37" x14ac:dyDescent="0.2">
      <c r="B427" s="11"/>
      <c r="C427" s="11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9"/>
    </row>
    <row r="428" spans="2:37" x14ac:dyDescent="0.2">
      <c r="B428" s="11"/>
      <c r="C428" s="11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9"/>
    </row>
    <row r="429" spans="2:37" x14ac:dyDescent="0.2">
      <c r="B429" s="11"/>
      <c r="C429" s="11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9"/>
    </row>
    <row r="430" spans="2:37" x14ac:dyDescent="0.2">
      <c r="B430" s="11"/>
      <c r="C430" s="11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9"/>
    </row>
    <row r="431" spans="2:37" x14ac:dyDescent="0.2">
      <c r="B431" s="11"/>
      <c r="C431" s="11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9"/>
    </row>
    <row r="432" spans="2:37" x14ac:dyDescent="0.2">
      <c r="B432" s="11"/>
      <c r="C432" s="11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9"/>
    </row>
    <row r="433" spans="2:37" x14ac:dyDescent="0.2">
      <c r="B433" s="11"/>
      <c r="C433" s="11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9"/>
    </row>
    <row r="434" spans="2:37" x14ac:dyDescent="0.2">
      <c r="B434" s="11"/>
      <c r="C434" s="11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9"/>
    </row>
    <row r="435" spans="2:37" x14ac:dyDescent="0.2">
      <c r="B435" s="11"/>
      <c r="C435" s="11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9"/>
    </row>
    <row r="436" spans="2:37" x14ac:dyDescent="0.2">
      <c r="B436" s="11"/>
      <c r="C436" s="11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9"/>
    </row>
    <row r="437" spans="2:37" x14ac:dyDescent="0.2">
      <c r="B437" s="11"/>
      <c r="C437" s="11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9"/>
    </row>
    <row r="438" spans="2:37" x14ac:dyDescent="0.2">
      <c r="B438" s="11"/>
      <c r="C438" s="11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9"/>
    </row>
    <row r="439" spans="2:37" x14ac:dyDescent="0.2">
      <c r="B439" s="11"/>
      <c r="C439" s="11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9"/>
    </row>
    <row r="440" spans="2:37" x14ac:dyDescent="0.2">
      <c r="B440" s="11"/>
      <c r="C440" s="11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9"/>
    </row>
    <row r="441" spans="2:37" x14ac:dyDescent="0.2">
      <c r="B441" s="11"/>
      <c r="C441" s="11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9"/>
    </row>
    <row r="442" spans="2:37" x14ac:dyDescent="0.2">
      <c r="B442" s="11"/>
      <c r="C442" s="11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9"/>
    </row>
    <row r="443" spans="2:37" x14ac:dyDescent="0.2">
      <c r="B443" s="11"/>
      <c r="C443" s="11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9"/>
    </row>
    <row r="444" spans="2:37" x14ac:dyDescent="0.2">
      <c r="B444" s="11"/>
      <c r="C444" s="11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9"/>
    </row>
    <row r="445" spans="2:37" x14ac:dyDescent="0.2">
      <c r="B445" s="11"/>
      <c r="C445" s="11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9"/>
    </row>
    <row r="446" spans="2:37" x14ac:dyDescent="0.2">
      <c r="B446" s="11"/>
      <c r="C446" s="11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9"/>
    </row>
    <row r="447" spans="2:37" x14ac:dyDescent="0.2">
      <c r="B447" s="11"/>
      <c r="C447" s="11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9"/>
    </row>
    <row r="448" spans="2:37" x14ac:dyDescent="0.2">
      <c r="B448" s="11"/>
      <c r="C448" s="11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9"/>
    </row>
    <row r="449" spans="2:37" x14ac:dyDescent="0.2">
      <c r="B449" s="11"/>
      <c r="C449" s="11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9"/>
    </row>
    <row r="450" spans="2:37" x14ac:dyDescent="0.2">
      <c r="B450" s="11"/>
      <c r="C450" s="11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9"/>
    </row>
    <row r="451" spans="2:37" x14ac:dyDescent="0.2">
      <c r="B451" s="11"/>
      <c r="C451" s="11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9"/>
    </row>
    <row r="452" spans="2:37" x14ac:dyDescent="0.2">
      <c r="B452" s="11"/>
      <c r="C452" s="11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9"/>
    </row>
    <row r="453" spans="2:37" x14ac:dyDescent="0.2">
      <c r="B453" s="11"/>
      <c r="C453" s="11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9"/>
    </row>
    <row r="454" spans="2:37" x14ac:dyDescent="0.2">
      <c r="B454" s="11"/>
      <c r="C454" s="11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9"/>
    </row>
    <row r="455" spans="2:37" x14ac:dyDescent="0.2">
      <c r="B455" s="11"/>
      <c r="C455" s="11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9"/>
    </row>
    <row r="456" spans="2:37" x14ac:dyDescent="0.2">
      <c r="B456" s="11"/>
      <c r="C456" s="11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9"/>
    </row>
    <row r="457" spans="2:37" x14ac:dyDescent="0.2">
      <c r="B457" s="11"/>
      <c r="C457" s="11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9"/>
    </row>
    <row r="458" spans="2:37" x14ac:dyDescent="0.2">
      <c r="B458" s="11"/>
      <c r="C458" s="11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9"/>
    </row>
    <row r="459" spans="2:37" x14ac:dyDescent="0.2">
      <c r="B459" s="11"/>
      <c r="C459" s="11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9"/>
    </row>
    <row r="460" spans="2:37" x14ac:dyDescent="0.2">
      <c r="B460" s="11"/>
      <c r="C460" s="11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9"/>
    </row>
    <row r="461" spans="2:37" x14ac:dyDescent="0.2">
      <c r="B461" s="11"/>
      <c r="C461" s="11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9"/>
    </row>
    <row r="462" spans="2:37" x14ac:dyDescent="0.2">
      <c r="B462" s="11"/>
      <c r="C462" s="11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9"/>
    </row>
    <row r="463" spans="2:37" x14ac:dyDescent="0.2">
      <c r="B463" s="11"/>
      <c r="C463" s="11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9"/>
    </row>
    <row r="464" spans="2:37" x14ac:dyDescent="0.2">
      <c r="B464" s="11"/>
      <c r="C464" s="11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9"/>
    </row>
    <row r="465" spans="2:37" x14ac:dyDescent="0.2">
      <c r="B465" s="11"/>
      <c r="C465" s="11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9"/>
    </row>
    <row r="466" spans="2:37" x14ac:dyDescent="0.2">
      <c r="B466" s="11"/>
      <c r="C466" s="11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9"/>
    </row>
    <row r="467" spans="2:37" x14ac:dyDescent="0.2">
      <c r="B467" s="11"/>
      <c r="C467" s="11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9"/>
    </row>
    <row r="468" spans="2:37" x14ac:dyDescent="0.2">
      <c r="B468" s="11"/>
      <c r="C468" s="11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9"/>
    </row>
    <row r="469" spans="2:37" x14ac:dyDescent="0.2">
      <c r="B469" s="11"/>
      <c r="C469" s="11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9"/>
    </row>
    <row r="470" spans="2:37" x14ac:dyDescent="0.2">
      <c r="B470" s="11"/>
      <c r="C470" s="11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9"/>
    </row>
    <row r="471" spans="2:37" x14ac:dyDescent="0.2">
      <c r="B471" s="11"/>
      <c r="C471" s="11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9"/>
    </row>
    <row r="472" spans="2:37" x14ac:dyDescent="0.2">
      <c r="B472" s="11"/>
      <c r="C472" s="11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9"/>
    </row>
    <row r="473" spans="2:37" x14ac:dyDescent="0.2">
      <c r="B473" s="11"/>
      <c r="C473" s="11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9"/>
    </row>
    <row r="474" spans="2:37" x14ac:dyDescent="0.2">
      <c r="B474" s="11"/>
      <c r="C474" s="11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9"/>
    </row>
    <row r="475" spans="2:37" x14ac:dyDescent="0.2">
      <c r="B475" s="11"/>
      <c r="C475" s="11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9"/>
    </row>
    <row r="476" spans="2:37" x14ac:dyDescent="0.2">
      <c r="B476" s="11"/>
      <c r="C476" s="11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9"/>
    </row>
    <row r="477" spans="2:37" x14ac:dyDescent="0.2">
      <c r="B477" s="11"/>
      <c r="C477" s="11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9"/>
    </row>
    <row r="478" spans="2:37" x14ac:dyDescent="0.2">
      <c r="B478" s="11"/>
      <c r="C478" s="11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9"/>
    </row>
    <row r="479" spans="2:37" x14ac:dyDescent="0.2">
      <c r="B479" s="11"/>
      <c r="C479" s="11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9"/>
    </row>
    <row r="480" spans="2:37" x14ac:dyDescent="0.2">
      <c r="B480" s="11"/>
      <c r="C480" s="11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9"/>
    </row>
    <row r="481" spans="2:37" x14ac:dyDescent="0.2">
      <c r="B481" s="11"/>
      <c r="C481" s="11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9"/>
    </row>
    <row r="482" spans="2:37" x14ac:dyDescent="0.2">
      <c r="B482" s="11"/>
      <c r="C482" s="11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9"/>
    </row>
    <row r="483" spans="2:37" x14ac:dyDescent="0.2">
      <c r="B483" s="11"/>
      <c r="C483" s="11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9"/>
    </row>
    <row r="484" spans="2:37" x14ac:dyDescent="0.2">
      <c r="B484" s="11"/>
      <c r="C484" s="11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9"/>
    </row>
    <row r="485" spans="2:37" x14ac:dyDescent="0.2">
      <c r="B485" s="11"/>
      <c r="C485" s="11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9"/>
    </row>
    <row r="486" spans="2:37" x14ac:dyDescent="0.2">
      <c r="B486" s="11"/>
      <c r="C486" s="11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9"/>
    </row>
    <row r="487" spans="2:37" x14ac:dyDescent="0.2">
      <c r="B487" s="11"/>
      <c r="C487" s="11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9"/>
    </row>
    <row r="488" spans="2:37" x14ac:dyDescent="0.2">
      <c r="B488" s="11"/>
      <c r="C488" s="11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9"/>
    </row>
    <row r="489" spans="2:37" x14ac:dyDescent="0.2">
      <c r="B489" s="11"/>
      <c r="C489" s="11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9"/>
    </row>
    <row r="490" spans="2:37" x14ac:dyDescent="0.2">
      <c r="B490" s="11"/>
      <c r="C490" s="11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9"/>
    </row>
    <row r="491" spans="2:37" x14ac:dyDescent="0.2">
      <c r="B491" s="11"/>
      <c r="C491" s="11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9"/>
    </row>
    <row r="492" spans="2:37" x14ac:dyDescent="0.2">
      <c r="B492" s="11"/>
      <c r="C492" s="11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9"/>
    </row>
    <row r="493" spans="2:37" x14ac:dyDescent="0.2">
      <c r="B493" s="11"/>
      <c r="C493" s="11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9"/>
    </row>
    <row r="494" spans="2:37" x14ac:dyDescent="0.2">
      <c r="B494" s="11"/>
      <c r="C494" s="11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9"/>
    </row>
    <row r="495" spans="2:37" x14ac:dyDescent="0.2">
      <c r="B495" s="11"/>
      <c r="C495" s="11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9"/>
    </row>
    <row r="496" spans="2:37" x14ac:dyDescent="0.2">
      <c r="B496" s="11"/>
      <c r="C496" s="11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9"/>
    </row>
    <row r="497" spans="2:37" x14ac:dyDescent="0.2">
      <c r="B497" s="11"/>
      <c r="C497" s="11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9"/>
    </row>
    <row r="498" spans="2:37" x14ac:dyDescent="0.2">
      <c r="B498" s="11"/>
      <c r="C498" s="11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9"/>
    </row>
    <row r="499" spans="2:37" x14ac:dyDescent="0.2">
      <c r="B499" s="11"/>
      <c r="C499" s="11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9"/>
    </row>
    <row r="500" spans="2:37" x14ac:dyDescent="0.2">
      <c r="B500" s="11"/>
      <c r="C500" s="11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9"/>
    </row>
    <row r="501" spans="2:37" x14ac:dyDescent="0.2">
      <c r="B501" s="11"/>
      <c r="C501" s="11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9"/>
    </row>
    <row r="502" spans="2:37" x14ac:dyDescent="0.2">
      <c r="B502" s="11"/>
      <c r="C502" s="11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9"/>
    </row>
    <row r="503" spans="2:37" x14ac:dyDescent="0.2">
      <c r="B503" s="11"/>
      <c r="C503" s="11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9"/>
    </row>
    <row r="504" spans="2:37" x14ac:dyDescent="0.2">
      <c r="B504" s="11"/>
      <c r="C504" s="11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9"/>
    </row>
    <row r="505" spans="2:37" x14ac:dyDescent="0.2">
      <c r="B505" s="11"/>
      <c r="C505" s="11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9"/>
    </row>
    <row r="506" spans="2:37" x14ac:dyDescent="0.2">
      <c r="B506" s="11"/>
      <c r="C506" s="11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9"/>
    </row>
    <row r="507" spans="2:37" x14ac:dyDescent="0.2">
      <c r="B507" s="11"/>
      <c r="C507" s="11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9"/>
    </row>
    <row r="508" spans="2:37" x14ac:dyDescent="0.2">
      <c r="B508" s="11"/>
      <c r="C508" s="11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9"/>
    </row>
    <row r="509" spans="2:37" x14ac:dyDescent="0.2">
      <c r="B509" s="11"/>
      <c r="C509" s="11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9"/>
    </row>
    <row r="510" spans="2:37" x14ac:dyDescent="0.2">
      <c r="B510" s="11"/>
      <c r="C510" s="11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9"/>
    </row>
    <row r="511" spans="2:37" x14ac:dyDescent="0.2">
      <c r="B511" s="11"/>
      <c r="C511" s="11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9"/>
    </row>
    <row r="512" spans="2:37" x14ac:dyDescent="0.2">
      <c r="B512" s="11"/>
      <c r="C512" s="11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9"/>
    </row>
    <row r="513" spans="2:37" x14ac:dyDescent="0.2">
      <c r="B513" s="11"/>
      <c r="C513" s="11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9"/>
    </row>
    <row r="514" spans="2:37" x14ac:dyDescent="0.2">
      <c r="B514" s="11"/>
      <c r="C514" s="11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9"/>
    </row>
    <row r="515" spans="2:37" x14ac:dyDescent="0.2">
      <c r="B515" s="11"/>
      <c r="C515" s="11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9"/>
    </row>
    <row r="516" spans="2:37" x14ac:dyDescent="0.2">
      <c r="B516" s="11"/>
      <c r="C516" s="11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9"/>
    </row>
    <row r="517" spans="2:37" x14ac:dyDescent="0.2">
      <c r="B517" s="11"/>
      <c r="C517" s="11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9"/>
    </row>
    <row r="518" spans="2:37" x14ac:dyDescent="0.2">
      <c r="B518" s="11"/>
      <c r="C518" s="11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9"/>
    </row>
    <row r="519" spans="2:37" x14ac:dyDescent="0.2">
      <c r="B519" s="11"/>
      <c r="C519" s="11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9"/>
    </row>
    <row r="520" spans="2:37" x14ac:dyDescent="0.2">
      <c r="B520" s="11"/>
      <c r="C520" s="11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9"/>
    </row>
    <row r="521" spans="2:37" x14ac:dyDescent="0.2">
      <c r="B521" s="11"/>
      <c r="C521" s="11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9"/>
    </row>
    <row r="522" spans="2:37" x14ac:dyDescent="0.2">
      <c r="B522" s="11"/>
      <c r="C522" s="11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9"/>
    </row>
    <row r="523" spans="2:37" x14ac:dyDescent="0.2">
      <c r="B523" s="11"/>
      <c r="C523" s="11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9"/>
    </row>
    <row r="524" spans="2:37" x14ac:dyDescent="0.2">
      <c r="B524" s="11"/>
      <c r="C524" s="11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9"/>
    </row>
    <row r="525" spans="2:37" x14ac:dyDescent="0.2">
      <c r="B525" s="11"/>
      <c r="C525" s="11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9"/>
    </row>
    <row r="526" spans="2:37" x14ac:dyDescent="0.2">
      <c r="B526" s="11"/>
      <c r="C526" s="11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9"/>
    </row>
    <row r="527" spans="2:37" x14ac:dyDescent="0.2">
      <c r="B527" s="11"/>
      <c r="C527" s="11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9"/>
    </row>
    <row r="528" spans="2:37" x14ac:dyDescent="0.2">
      <c r="B528" s="11"/>
      <c r="C528" s="11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9"/>
    </row>
    <row r="529" spans="2:37" x14ac:dyDescent="0.2">
      <c r="B529" s="11"/>
      <c r="C529" s="11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9"/>
    </row>
    <row r="530" spans="2:37" x14ac:dyDescent="0.2">
      <c r="B530" s="11"/>
      <c r="C530" s="11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9"/>
    </row>
    <row r="531" spans="2:37" x14ac:dyDescent="0.2">
      <c r="B531" s="11"/>
      <c r="C531" s="11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9"/>
    </row>
    <row r="532" spans="2:37" x14ac:dyDescent="0.2">
      <c r="B532" s="11"/>
      <c r="C532" s="11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9"/>
    </row>
    <row r="533" spans="2:37" x14ac:dyDescent="0.2">
      <c r="B533" s="11"/>
      <c r="C533" s="11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9"/>
    </row>
    <row r="534" spans="2:37" x14ac:dyDescent="0.2">
      <c r="B534" s="11"/>
      <c r="C534" s="11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9"/>
    </row>
    <row r="535" spans="2:37" x14ac:dyDescent="0.2">
      <c r="B535" s="11"/>
      <c r="C535" s="11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9"/>
    </row>
    <row r="536" spans="2:37" x14ac:dyDescent="0.2">
      <c r="B536" s="11"/>
      <c r="C536" s="11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9"/>
    </row>
    <row r="537" spans="2:37" x14ac:dyDescent="0.2">
      <c r="B537" s="11"/>
      <c r="C537" s="11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9"/>
    </row>
    <row r="538" spans="2:37" x14ac:dyDescent="0.2">
      <c r="B538" s="11"/>
      <c r="C538" s="11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9"/>
    </row>
    <row r="539" spans="2:37" x14ac:dyDescent="0.2">
      <c r="B539" s="11"/>
      <c r="C539" s="11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9"/>
    </row>
    <row r="540" spans="2:37" x14ac:dyDescent="0.2">
      <c r="B540" s="11"/>
      <c r="C540" s="11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9"/>
    </row>
    <row r="541" spans="2:37" x14ac:dyDescent="0.2">
      <c r="B541" s="11"/>
      <c r="C541" s="11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9"/>
    </row>
    <row r="542" spans="2:37" x14ac:dyDescent="0.2">
      <c r="B542" s="11"/>
      <c r="C542" s="11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9"/>
    </row>
    <row r="543" spans="2:37" x14ac:dyDescent="0.2">
      <c r="B543" s="11"/>
      <c r="C543" s="11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9"/>
    </row>
    <row r="544" spans="2:37" x14ac:dyDescent="0.2">
      <c r="B544" s="11"/>
      <c r="C544" s="11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9"/>
    </row>
    <row r="545" spans="2:37" x14ac:dyDescent="0.2">
      <c r="B545" s="11"/>
      <c r="C545" s="11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9"/>
    </row>
    <row r="546" spans="2:37" x14ac:dyDescent="0.2">
      <c r="B546" s="11"/>
      <c r="C546" s="11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9"/>
    </row>
    <row r="547" spans="2:37" x14ac:dyDescent="0.2">
      <c r="B547" s="11"/>
      <c r="C547" s="11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9"/>
    </row>
    <row r="548" spans="2:37" x14ac:dyDescent="0.2">
      <c r="B548" s="11"/>
      <c r="C548" s="11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9"/>
    </row>
    <row r="549" spans="2:37" x14ac:dyDescent="0.2">
      <c r="B549" s="11"/>
      <c r="C549" s="11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9"/>
    </row>
    <row r="550" spans="2:37" x14ac:dyDescent="0.2">
      <c r="B550" s="11"/>
      <c r="C550" s="11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9"/>
    </row>
    <row r="551" spans="2:37" x14ac:dyDescent="0.2">
      <c r="B551" s="11"/>
      <c r="C551" s="11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9"/>
    </row>
    <row r="552" spans="2:37" x14ac:dyDescent="0.2">
      <c r="B552" s="11"/>
      <c r="C552" s="11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9"/>
    </row>
    <row r="553" spans="2:37" x14ac:dyDescent="0.2">
      <c r="B553" s="11"/>
      <c r="C553" s="11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9"/>
    </row>
    <row r="554" spans="2:37" x14ac:dyDescent="0.2">
      <c r="B554" s="11"/>
      <c r="C554" s="11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9"/>
    </row>
    <row r="555" spans="2:37" x14ac:dyDescent="0.2">
      <c r="B555" s="11"/>
      <c r="C555" s="11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9"/>
    </row>
    <row r="556" spans="2:37" x14ac:dyDescent="0.2">
      <c r="B556" s="11"/>
      <c r="C556" s="11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9"/>
    </row>
    <row r="557" spans="2:37" x14ac:dyDescent="0.2">
      <c r="B557" s="11"/>
      <c r="C557" s="11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9"/>
    </row>
    <row r="558" spans="2:37" x14ac:dyDescent="0.2">
      <c r="B558" s="11"/>
      <c r="C558" s="11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9"/>
    </row>
    <row r="559" spans="2:37" x14ac:dyDescent="0.2">
      <c r="B559" s="11"/>
      <c r="C559" s="11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9"/>
    </row>
    <row r="560" spans="2:37" x14ac:dyDescent="0.2">
      <c r="B560" s="11"/>
      <c r="C560" s="11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9"/>
    </row>
    <row r="561" spans="2:37" x14ac:dyDescent="0.2">
      <c r="B561" s="11"/>
      <c r="C561" s="11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9"/>
    </row>
    <row r="562" spans="2:37" x14ac:dyDescent="0.2">
      <c r="B562" s="11"/>
      <c r="C562" s="11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9"/>
    </row>
    <row r="563" spans="2:37" x14ac:dyDescent="0.2">
      <c r="B563" s="11"/>
      <c r="C563" s="11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9"/>
    </row>
    <row r="564" spans="2:37" x14ac:dyDescent="0.2">
      <c r="B564" s="11"/>
      <c r="C564" s="11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9"/>
    </row>
    <row r="565" spans="2:37" x14ac:dyDescent="0.2">
      <c r="B565" s="11"/>
      <c r="C565" s="11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9"/>
    </row>
    <row r="566" spans="2:37" x14ac:dyDescent="0.2">
      <c r="B566" s="11"/>
      <c r="C566" s="11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9"/>
    </row>
    <row r="567" spans="2:37" x14ac:dyDescent="0.2">
      <c r="B567" s="11"/>
      <c r="C567" s="11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9"/>
    </row>
    <row r="568" spans="2:37" x14ac:dyDescent="0.2">
      <c r="B568" s="11"/>
      <c r="C568" s="11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9"/>
    </row>
    <row r="569" spans="2:37" x14ac:dyDescent="0.2">
      <c r="B569" s="11"/>
      <c r="C569" s="11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9"/>
    </row>
    <row r="570" spans="2:37" x14ac:dyDescent="0.2">
      <c r="B570" s="11"/>
      <c r="C570" s="11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9"/>
    </row>
    <row r="571" spans="2:37" x14ac:dyDescent="0.2">
      <c r="B571" s="11"/>
      <c r="C571" s="11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9"/>
    </row>
    <row r="572" spans="2:37" x14ac:dyDescent="0.2">
      <c r="B572" s="11"/>
      <c r="C572" s="11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9"/>
    </row>
    <row r="573" spans="2:37" x14ac:dyDescent="0.2">
      <c r="B573" s="11"/>
      <c r="C573" s="11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9"/>
    </row>
    <row r="574" spans="2:37" x14ac:dyDescent="0.2">
      <c r="B574" s="11"/>
      <c r="C574" s="11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9"/>
    </row>
    <row r="575" spans="2:37" x14ac:dyDescent="0.2">
      <c r="B575" s="11"/>
      <c r="C575" s="11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9"/>
    </row>
    <row r="576" spans="2:37" x14ac:dyDescent="0.2">
      <c r="B576" s="11"/>
      <c r="C576" s="11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9"/>
    </row>
    <row r="577" spans="2:37" x14ac:dyDescent="0.2">
      <c r="B577" s="11"/>
      <c r="C577" s="11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9"/>
    </row>
    <row r="578" spans="2:37" x14ac:dyDescent="0.2">
      <c r="B578" s="11"/>
      <c r="C578" s="11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9"/>
    </row>
    <row r="579" spans="2:37" x14ac:dyDescent="0.2">
      <c r="B579" s="11"/>
      <c r="C579" s="11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9"/>
    </row>
    <row r="580" spans="2:37" x14ac:dyDescent="0.2">
      <c r="B580" s="11"/>
      <c r="C580" s="11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9"/>
    </row>
    <row r="581" spans="2:37" x14ac:dyDescent="0.2">
      <c r="B581" s="11"/>
      <c r="C581" s="11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9"/>
    </row>
    <row r="582" spans="2:37" x14ac:dyDescent="0.2">
      <c r="B582" s="11"/>
      <c r="C582" s="11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9"/>
    </row>
    <row r="583" spans="2:37" x14ac:dyDescent="0.2">
      <c r="B583" s="11"/>
      <c r="C583" s="11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9"/>
    </row>
    <row r="584" spans="2:37" x14ac:dyDescent="0.2">
      <c r="B584" s="11"/>
      <c r="C584" s="11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9"/>
    </row>
    <row r="585" spans="2:37" x14ac:dyDescent="0.2">
      <c r="B585" s="11"/>
      <c r="C585" s="11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9"/>
    </row>
    <row r="586" spans="2:37" x14ac:dyDescent="0.2">
      <c r="B586" s="11"/>
      <c r="C586" s="11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9"/>
    </row>
    <row r="587" spans="2:37" x14ac:dyDescent="0.2">
      <c r="B587" s="11"/>
      <c r="C587" s="11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9"/>
    </row>
    <row r="588" spans="2:37" x14ac:dyDescent="0.2">
      <c r="B588" s="11"/>
      <c r="C588" s="11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9"/>
    </row>
    <row r="589" spans="2:37" x14ac:dyDescent="0.2">
      <c r="B589" s="11"/>
      <c r="C589" s="11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9"/>
    </row>
    <row r="590" spans="2:37" x14ac:dyDescent="0.2">
      <c r="B590" s="11"/>
      <c r="C590" s="11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9"/>
    </row>
    <row r="591" spans="2:37" x14ac:dyDescent="0.2">
      <c r="B591" s="11"/>
      <c r="C591" s="11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9"/>
    </row>
    <row r="592" spans="2:37" x14ac:dyDescent="0.2">
      <c r="B592" s="11"/>
      <c r="C592" s="11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9"/>
    </row>
    <row r="593" spans="2:37" x14ac:dyDescent="0.2">
      <c r="B593" s="11"/>
      <c r="C593" s="11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9"/>
    </row>
    <row r="594" spans="2:37" x14ac:dyDescent="0.2">
      <c r="B594" s="11"/>
      <c r="C594" s="11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9"/>
    </row>
    <row r="595" spans="2:37" x14ac:dyDescent="0.2">
      <c r="B595" s="11"/>
      <c r="C595" s="11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9"/>
    </row>
    <row r="596" spans="2:37" x14ac:dyDescent="0.2">
      <c r="B596" s="11"/>
      <c r="C596" s="11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9"/>
    </row>
    <row r="597" spans="2:37" x14ac:dyDescent="0.2">
      <c r="B597" s="11"/>
      <c r="C597" s="11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9"/>
    </row>
    <row r="598" spans="2:37" x14ac:dyDescent="0.2">
      <c r="B598" s="11"/>
      <c r="C598" s="11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9"/>
    </row>
    <row r="599" spans="2:37" x14ac:dyDescent="0.2">
      <c r="B599" s="11"/>
      <c r="C599" s="11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9"/>
    </row>
    <row r="600" spans="2:37" x14ac:dyDescent="0.2">
      <c r="B600" s="11"/>
      <c r="C600" s="11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9"/>
    </row>
    <row r="601" spans="2:37" x14ac:dyDescent="0.2">
      <c r="B601" s="11"/>
      <c r="C601" s="11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9"/>
    </row>
    <row r="602" spans="2:37" x14ac:dyDescent="0.2">
      <c r="B602" s="11"/>
      <c r="C602" s="11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9"/>
    </row>
    <row r="603" spans="2:37" x14ac:dyDescent="0.2">
      <c r="B603" s="11"/>
      <c r="C603" s="11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9"/>
    </row>
    <row r="604" spans="2:37" x14ac:dyDescent="0.2">
      <c r="B604" s="11"/>
      <c r="C604" s="11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9"/>
    </row>
    <row r="605" spans="2:37" x14ac:dyDescent="0.2">
      <c r="B605" s="11"/>
      <c r="C605" s="11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9"/>
    </row>
    <row r="606" spans="2:37" x14ac:dyDescent="0.2">
      <c r="B606" s="11"/>
      <c r="C606" s="11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9"/>
    </row>
    <row r="607" spans="2:37" x14ac:dyDescent="0.2">
      <c r="B607" s="11"/>
      <c r="C607" s="11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9"/>
    </row>
    <row r="608" spans="2:37" x14ac:dyDescent="0.2">
      <c r="B608" s="11"/>
      <c r="C608" s="11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9"/>
    </row>
    <row r="609" spans="2:37" x14ac:dyDescent="0.2">
      <c r="B609" s="11"/>
      <c r="C609" s="11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9"/>
    </row>
    <row r="610" spans="2:37" x14ac:dyDescent="0.2">
      <c r="B610" s="11"/>
      <c r="C610" s="11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9"/>
    </row>
    <row r="611" spans="2:37" x14ac:dyDescent="0.2">
      <c r="B611" s="11"/>
      <c r="C611" s="11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9"/>
    </row>
    <row r="612" spans="2:37" x14ac:dyDescent="0.2">
      <c r="B612" s="11"/>
      <c r="C612" s="11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9"/>
    </row>
    <row r="613" spans="2:37" x14ac:dyDescent="0.2">
      <c r="B613" s="11"/>
      <c r="C613" s="11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9"/>
    </row>
    <row r="614" spans="2:37" x14ac:dyDescent="0.2">
      <c r="B614" s="11"/>
      <c r="C614" s="11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9"/>
    </row>
    <row r="615" spans="2:37" x14ac:dyDescent="0.2">
      <c r="B615" s="11"/>
      <c r="C615" s="11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9"/>
    </row>
    <row r="616" spans="2:37" x14ac:dyDescent="0.2">
      <c r="B616" s="11"/>
      <c r="C616" s="11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9"/>
    </row>
    <row r="617" spans="2:37" x14ac:dyDescent="0.2">
      <c r="B617" s="11"/>
      <c r="C617" s="11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9"/>
    </row>
    <row r="618" spans="2:37" x14ac:dyDescent="0.2">
      <c r="B618" s="11"/>
      <c r="C618" s="11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9"/>
    </row>
    <row r="619" spans="2:37" x14ac:dyDescent="0.2">
      <c r="B619" s="11"/>
      <c r="C619" s="11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9"/>
    </row>
    <row r="620" spans="2:37" x14ac:dyDescent="0.2">
      <c r="B620" s="11"/>
      <c r="C620" s="11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9"/>
    </row>
    <row r="621" spans="2:37" x14ac:dyDescent="0.2">
      <c r="B621" s="11"/>
      <c r="C621" s="11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9"/>
    </row>
    <row r="622" spans="2:37" x14ac:dyDescent="0.2">
      <c r="B622" s="11"/>
      <c r="C622" s="11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9"/>
    </row>
    <row r="623" spans="2:37" x14ac:dyDescent="0.2">
      <c r="B623" s="11"/>
      <c r="C623" s="11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9"/>
    </row>
    <row r="624" spans="2:37" x14ac:dyDescent="0.2">
      <c r="B624" s="11"/>
      <c r="C624" s="11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9"/>
    </row>
    <row r="625" spans="2:37" x14ac:dyDescent="0.2">
      <c r="B625" s="11"/>
      <c r="C625" s="11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9"/>
    </row>
    <row r="626" spans="2:37" x14ac:dyDescent="0.2">
      <c r="B626" s="11"/>
      <c r="C626" s="11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9"/>
    </row>
    <row r="627" spans="2:37" x14ac:dyDescent="0.2">
      <c r="B627" s="11"/>
      <c r="C627" s="11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9"/>
    </row>
    <row r="628" spans="2:37" x14ac:dyDescent="0.2">
      <c r="B628" s="11"/>
      <c r="C628" s="11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9"/>
    </row>
    <row r="629" spans="2:37" x14ac:dyDescent="0.2">
      <c r="B629" s="11"/>
      <c r="C629" s="11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9"/>
    </row>
    <row r="630" spans="2:37" x14ac:dyDescent="0.2">
      <c r="B630" s="11"/>
      <c r="C630" s="11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9"/>
    </row>
    <row r="631" spans="2:37" x14ac:dyDescent="0.2">
      <c r="B631" s="11"/>
      <c r="C631" s="11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9"/>
    </row>
    <row r="632" spans="2:37" x14ac:dyDescent="0.2">
      <c r="B632" s="11"/>
      <c r="C632" s="11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9"/>
    </row>
    <row r="633" spans="2:37" x14ac:dyDescent="0.2">
      <c r="B633" s="11"/>
      <c r="C633" s="11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9"/>
    </row>
    <row r="634" spans="2:37" x14ac:dyDescent="0.2">
      <c r="B634" s="11"/>
      <c r="C634" s="11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9"/>
    </row>
    <row r="635" spans="2:37" x14ac:dyDescent="0.2">
      <c r="B635" s="11"/>
      <c r="C635" s="11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9"/>
    </row>
    <row r="636" spans="2:37" x14ac:dyDescent="0.2">
      <c r="B636" s="11"/>
      <c r="C636" s="11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9"/>
    </row>
    <row r="637" spans="2:37" x14ac:dyDescent="0.2">
      <c r="B637" s="11"/>
      <c r="C637" s="11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9"/>
    </row>
    <row r="638" spans="2:37" x14ac:dyDescent="0.2">
      <c r="B638" s="11"/>
      <c r="C638" s="11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9"/>
    </row>
    <row r="639" spans="2:37" x14ac:dyDescent="0.2">
      <c r="B639" s="11"/>
      <c r="C639" s="11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9"/>
    </row>
    <row r="640" spans="2:37" x14ac:dyDescent="0.2">
      <c r="B640" s="11"/>
      <c r="C640" s="11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9"/>
    </row>
    <row r="641" spans="2:37" x14ac:dyDescent="0.2">
      <c r="B641" s="11"/>
      <c r="C641" s="11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9"/>
    </row>
    <row r="642" spans="2:37" x14ac:dyDescent="0.2">
      <c r="B642" s="11"/>
      <c r="C642" s="11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9"/>
    </row>
    <row r="643" spans="2:37" x14ac:dyDescent="0.2">
      <c r="B643" s="11"/>
      <c r="C643" s="11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9"/>
    </row>
    <row r="644" spans="2:37" x14ac:dyDescent="0.2">
      <c r="B644" s="11"/>
      <c r="C644" s="11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9"/>
    </row>
    <row r="645" spans="2:37" x14ac:dyDescent="0.2">
      <c r="B645" s="11"/>
      <c r="C645" s="11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9"/>
    </row>
    <row r="646" spans="2:37" x14ac:dyDescent="0.2">
      <c r="B646" s="11"/>
      <c r="C646" s="11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9"/>
    </row>
    <row r="647" spans="2:37" x14ac:dyDescent="0.2">
      <c r="B647" s="11"/>
      <c r="C647" s="11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9"/>
    </row>
    <row r="648" spans="2:37" x14ac:dyDescent="0.2">
      <c r="B648" s="11"/>
      <c r="C648" s="11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9"/>
    </row>
    <row r="649" spans="2:37" x14ac:dyDescent="0.2">
      <c r="B649" s="11"/>
      <c r="C649" s="11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9"/>
    </row>
    <row r="650" spans="2:37" x14ac:dyDescent="0.2">
      <c r="B650" s="11"/>
      <c r="C650" s="11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9"/>
    </row>
    <row r="651" spans="2:37" x14ac:dyDescent="0.2">
      <c r="B651" s="11"/>
      <c r="C651" s="11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9"/>
    </row>
    <row r="652" spans="2:37" x14ac:dyDescent="0.2">
      <c r="B652" s="11"/>
      <c r="C652" s="11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9"/>
    </row>
    <row r="653" spans="2:37" x14ac:dyDescent="0.2">
      <c r="B653" s="11"/>
      <c r="C653" s="11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9"/>
    </row>
    <row r="654" spans="2:37" x14ac:dyDescent="0.2">
      <c r="B654" s="11"/>
      <c r="C654" s="11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9"/>
    </row>
    <row r="655" spans="2:37" x14ac:dyDescent="0.2">
      <c r="B655" s="11"/>
      <c r="C655" s="11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9"/>
    </row>
    <row r="656" spans="2:37" x14ac:dyDescent="0.2">
      <c r="B656" s="11"/>
      <c r="C656" s="11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9"/>
    </row>
    <row r="657" spans="2:37" x14ac:dyDescent="0.2">
      <c r="B657" s="11"/>
      <c r="C657" s="11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9"/>
    </row>
    <row r="658" spans="2:37" x14ac:dyDescent="0.2">
      <c r="B658" s="11"/>
      <c r="C658" s="11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9"/>
    </row>
    <row r="659" spans="2:37" x14ac:dyDescent="0.2">
      <c r="B659" s="11"/>
      <c r="C659" s="11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9"/>
    </row>
    <row r="660" spans="2:37" x14ac:dyDescent="0.2">
      <c r="B660" s="11"/>
      <c r="C660" s="11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9"/>
    </row>
    <row r="661" spans="2:37" x14ac:dyDescent="0.2">
      <c r="B661" s="11"/>
      <c r="C661" s="11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9"/>
    </row>
    <row r="662" spans="2:37" x14ac:dyDescent="0.2">
      <c r="B662" s="11"/>
      <c r="C662" s="11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9"/>
    </row>
    <row r="663" spans="2:37" x14ac:dyDescent="0.2">
      <c r="B663" s="11"/>
      <c r="C663" s="11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9"/>
    </row>
    <row r="664" spans="2:37" x14ac:dyDescent="0.2">
      <c r="B664" s="11"/>
      <c r="C664" s="11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9"/>
    </row>
    <row r="665" spans="2:37" x14ac:dyDescent="0.2">
      <c r="B665" s="11"/>
      <c r="C665" s="11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9"/>
    </row>
    <row r="666" spans="2:37" x14ac:dyDescent="0.2">
      <c r="B666" s="11"/>
      <c r="C666" s="11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9"/>
    </row>
    <row r="667" spans="2:37" x14ac:dyDescent="0.2">
      <c r="B667" s="11"/>
      <c r="C667" s="11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9"/>
    </row>
    <row r="668" spans="2:37" x14ac:dyDescent="0.2">
      <c r="B668" s="11"/>
      <c r="C668" s="11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9"/>
    </row>
    <row r="669" spans="2:37" x14ac:dyDescent="0.2">
      <c r="B669" s="11"/>
      <c r="C669" s="11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9"/>
    </row>
    <row r="670" spans="2:37" x14ac:dyDescent="0.2">
      <c r="B670" s="11"/>
      <c r="C670" s="11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9"/>
    </row>
    <row r="671" spans="2:37" x14ac:dyDescent="0.2">
      <c r="B671" s="11"/>
      <c r="C671" s="11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9"/>
    </row>
    <row r="672" spans="2:37" x14ac:dyDescent="0.2">
      <c r="B672" s="11"/>
      <c r="C672" s="11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9"/>
    </row>
    <row r="673" spans="2:37" x14ac:dyDescent="0.2">
      <c r="B673" s="11"/>
      <c r="C673" s="11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9"/>
    </row>
    <row r="674" spans="2:37" x14ac:dyDescent="0.2">
      <c r="B674" s="11"/>
      <c r="C674" s="11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9"/>
    </row>
    <row r="675" spans="2:37" x14ac:dyDescent="0.2">
      <c r="B675" s="11"/>
      <c r="C675" s="11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9"/>
    </row>
    <row r="676" spans="2:37" x14ac:dyDescent="0.2">
      <c r="B676" s="11"/>
      <c r="C676" s="11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9"/>
    </row>
    <row r="677" spans="2:37" x14ac:dyDescent="0.2">
      <c r="B677" s="11"/>
      <c r="C677" s="11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9"/>
    </row>
    <row r="678" spans="2:37" x14ac:dyDescent="0.2">
      <c r="B678" s="11"/>
      <c r="C678" s="11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9"/>
    </row>
    <row r="679" spans="2:37" x14ac:dyDescent="0.2">
      <c r="B679" s="11"/>
      <c r="C679" s="11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9"/>
    </row>
    <row r="680" spans="2:37" x14ac:dyDescent="0.2">
      <c r="B680" s="11"/>
      <c r="C680" s="11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9"/>
    </row>
    <row r="681" spans="2:37" x14ac:dyDescent="0.2">
      <c r="B681" s="11"/>
      <c r="C681" s="11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9"/>
    </row>
    <row r="682" spans="2:37" x14ac:dyDescent="0.2">
      <c r="B682" s="11"/>
      <c r="C682" s="11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9"/>
    </row>
    <row r="683" spans="2:37" x14ac:dyDescent="0.2">
      <c r="B683" s="11"/>
      <c r="C683" s="11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9"/>
    </row>
    <row r="684" spans="2:37" x14ac:dyDescent="0.2">
      <c r="B684" s="11"/>
      <c r="C684" s="11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9"/>
    </row>
    <row r="685" spans="2:37" x14ac:dyDescent="0.2">
      <c r="B685" s="11"/>
      <c r="C685" s="11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9"/>
    </row>
    <row r="686" spans="2:37" x14ac:dyDescent="0.2">
      <c r="B686" s="11"/>
      <c r="C686" s="11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9"/>
    </row>
    <row r="687" spans="2:37" x14ac:dyDescent="0.2">
      <c r="B687" s="11"/>
      <c r="C687" s="11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9"/>
    </row>
    <row r="688" spans="2:37" x14ac:dyDescent="0.2">
      <c r="B688" s="11"/>
      <c r="C688" s="11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9"/>
    </row>
    <row r="689" spans="2:37" x14ac:dyDescent="0.2">
      <c r="B689" s="11"/>
      <c r="C689" s="11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9"/>
    </row>
    <row r="690" spans="2:37" x14ac:dyDescent="0.2">
      <c r="B690" s="11"/>
      <c r="C690" s="11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9"/>
    </row>
    <row r="691" spans="2:37" x14ac:dyDescent="0.2">
      <c r="B691" s="11"/>
      <c r="C691" s="11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9"/>
    </row>
    <row r="692" spans="2:37" x14ac:dyDescent="0.2">
      <c r="B692" s="11"/>
      <c r="C692" s="11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9"/>
    </row>
    <row r="693" spans="2:37" x14ac:dyDescent="0.2">
      <c r="B693" s="11"/>
      <c r="C693" s="11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9"/>
    </row>
    <row r="694" spans="2:37" x14ac:dyDescent="0.2">
      <c r="B694" s="11"/>
      <c r="C694" s="11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9"/>
    </row>
    <row r="695" spans="2:37" x14ac:dyDescent="0.2">
      <c r="B695" s="11"/>
      <c r="C695" s="11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9"/>
    </row>
    <row r="696" spans="2:37" x14ac:dyDescent="0.2">
      <c r="B696" s="11"/>
      <c r="C696" s="11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9"/>
    </row>
    <row r="697" spans="2:37" x14ac:dyDescent="0.2">
      <c r="B697" s="11"/>
      <c r="C697" s="11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9"/>
    </row>
    <row r="698" spans="2:37" x14ac:dyDescent="0.2">
      <c r="B698" s="11"/>
      <c r="C698" s="11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9"/>
    </row>
    <row r="699" spans="2:37" x14ac:dyDescent="0.2">
      <c r="B699" s="11"/>
      <c r="C699" s="11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9"/>
    </row>
    <row r="700" spans="2:37" x14ac:dyDescent="0.2">
      <c r="B700" s="11"/>
      <c r="C700" s="11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9"/>
    </row>
    <row r="701" spans="2:37" x14ac:dyDescent="0.2">
      <c r="B701" s="11"/>
      <c r="C701" s="11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9"/>
    </row>
    <row r="702" spans="2:37" x14ac:dyDescent="0.2">
      <c r="B702" s="11"/>
      <c r="C702" s="11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9"/>
    </row>
    <row r="703" spans="2:37" x14ac:dyDescent="0.2">
      <c r="B703" s="11"/>
      <c r="C703" s="11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9"/>
    </row>
    <row r="704" spans="2:37" x14ac:dyDescent="0.2">
      <c r="B704" s="11"/>
      <c r="C704" s="11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9"/>
    </row>
    <row r="705" spans="2:37" x14ac:dyDescent="0.2">
      <c r="B705" s="11"/>
      <c r="C705" s="11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9"/>
    </row>
    <row r="706" spans="2:37" x14ac:dyDescent="0.2">
      <c r="B706" s="11"/>
      <c r="C706" s="11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9"/>
    </row>
    <row r="707" spans="2:37" x14ac:dyDescent="0.2">
      <c r="B707" s="11"/>
      <c r="C707" s="11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9"/>
    </row>
    <row r="708" spans="2:37" x14ac:dyDescent="0.2">
      <c r="B708" s="11"/>
      <c r="C708" s="11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9"/>
    </row>
    <row r="709" spans="2:37" x14ac:dyDescent="0.2">
      <c r="B709" s="11"/>
      <c r="C709" s="11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9"/>
    </row>
    <row r="710" spans="2:37" x14ac:dyDescent="0.2">
      <c r="B710" s="11"/>
      <c r="C710" s="11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9"/>
    </row>
    <row r="711" spans="2:37" x14ac:dyDescent="0.2">
      <c r="B711" s="11"/>
      <c r="C711" s="11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9"/>
    </row>
    <row r="712" spans="2:37" x14ac:dyDescent="0.2">
      <c r="B712" s="11"/>
      <c r="C712" s="11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9"/>
    </row>
    <row r="713" spans="2:37" x14ac:dyDescent="0.2">
      <c r="B713" s="11"/>
      <c r="C713" s="11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9"/>
    </row>
    <row r="714" spans="2:37" x14ac:dyDescent="0.2">
      <c r="B714" s="11"/>
      <c r="C714" s="11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9"/>
    </row>
    <row r="715" spans="2:37" x14ac:dyDescent="0.2">
      <c r="B715" s="11"/>
      <c r="C715" s="11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9"/>
    </row>
    <row r="716" spans="2:37" x14ac:dyDescent="0.2">
      <c r="B716" s="11"/>
      <c r="C716" s="11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9"/>
    </row>
    <row r="717" spans="2:37" x14ac:dyDescent="0.2">
      <c r="B717" s="11"/>
      <c r="C717" s="11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9"/>
    </row>
    <row r="718" spans="2:37" x14ac:dyDescent="0.2">
      <c r="B718" s="11"/>
      <c r="C718" s="11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9"/>
    </row>
    <row r="719" spans="2:37" x14ac:dyDescent="0.2">
      <c r="B719" s="11"/>
      <c r="C719" s="11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9"/>
    </row>
    <row r="720" spans="2:37" x14ac:dyDescent="0.2">
      <c r="B720" s="11"/>
      <c r="C720" s="11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9"/>
    </row>
    <row r="721" spans="2:37" x14ac:dyDescent="0.2">
      <c r="B721" s="11"/>
      <c r="C721" s="11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9"/>
    </row>
    <row r="722" spans="2:37" x14ac:dyDescent="0.2">
      <c r="B722" s="11"/>
      <c r="C722" s="11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9"/>
    </row>
    <row r="723" spans="2:37" x14ac:dyDescent="0.2">
      <c r="B723" s="11"/>
      <c r="C723" s="11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9"/>
    </row>
    <row r="724" spans="2:37" x14ac:dyDescent="0.2">
      <c r="B724" s="11"/>
      <c r="C724" s="11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9"/>
    </row>
    <row r="725" spans="2:37" x14ac:dyDescent="0.2">
      <c r="B725" s="11"/>
      <c r="C725" s="11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9"/>
    </row>
    <row r="726" spans="2:37" x14ac:dyDescent="0.2">
      <c r="B726" s="11"/>
      <c r="C726" s="11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9"/>
    </row>
    <row r="727" spans="2:37" x14ac:dyDescent="0.2">
      <c r="B727" s="11"/>
      <c r="C727" s="11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9"/>
    </row>
    <row r="728" spans="2:37" x14ac:dyDescent="0.2">
      <c r="B728" s="11"/>
      <c r="C728" s="11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9"/>
    </row>
    <row r="729" spans="2:37" x14ac:dyDescent="0.2">
      <c r="B729" s="11"/>
      <c r="C729" s="11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9"/>
    </row>
    <row r="730" spans="2:37" x14ac:dyDescent="0.2">
      <c r="B730" s="11"/>
      <c r="C730" s="11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9"/>
    </row>
    <row r="731" spans="2:37" x14ac:dyDescent="0.2">
      <c r="B731" s="11"/>
      <c r="C731" s="11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9"/>
    </row>
    <row r="732" spans="2:37" x14ac:dyDescent="0.2">
      <c r="B732" s="11"/>
      <c r="C732" s="11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9"/>
    </row>
    <row r="733" spans="2:37" x14ac:dyDescent="0.2">
      <c r="B733" s="11"/>
      <c r="C733" s="11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9"/>
    </row>
    <row r="734" spans="2:37" x14ac:dyDescent="0.2">
      <c r="B734" s="11"/>
      <c r="C734" s="11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9"/>
    </row>
    <row r="735" spans="2:37" x14ac:dyDescent="0.2">
      <c r="B735" s="11"/>
      <c r="C735" s="11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9"/>
    </row>
    <row r="736" spans="2:37" x14ac:dyDescent="0.2">
      <c r="B736" s="11"/>
      <c r="C736" s="11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9"/>
    </row>
    <row r="737" spans="2:37" x14ac:dyDescent="0.2">
      <c r="B737" s="11"/>
      <c r="C737" s="11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9"/>
    </row>
    <row r="738" spans="2:37" x14ac:dyDescent="0.2">
      <c r="B738" s="11"/>
      <c r="C738" s="11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9"/>
    </row>
    <row r="739" spans="2:37" x14ac:dyDescent="0.2">
      <c r="B739" s="11"/>
      <c r="C739" s="11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9"/>
    </row>
    <row r="740" spans="2:37" x14ac:dyDescent="0.2">
      <c r="B740" s="11"/>
      <c r="C740" s="11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9"/>
    </row>
    <row r="741" spans="2:37" x14ac:dyDescent="0.2">
      <c r="B741" s="11"/>
      <c r="C741" s="11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9"/>
    </row>
    <row r="742" spans="2:37" x14ac:dyDescent="0.2">
      <c r="B742" s="11"/>
      <c r="C742" s="11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9"/>
    </row>
    <row r="743" spans="2:37" x14ac:dyDescent="0.2">
      <c r="B743" s="11"/>
      <c r="C743" s="11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9"/>
    </row>
    <row r="744" spans="2:37" x14ac:dyDescent="0.2">
      <c r="B744" s="11"/>
      <c r="C744" s="11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9"/>
    </row>
    <row r="745" spans="2:37" x14ac:dyDescent="0.2">
      <c r="B745" s="11"/>
      <c r="C745" s="11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9"/>
    </row>
    <row r="746" spans="2:37" x14ac:dyDescent="0.2">
      <c r="B746" s="11"/>
      <c r="C746" s="11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9"/>
    </row>
    <row r="747" spans="2:37" x14ac:dyDescent="0.2">
      <c r="B747" s="11"/>
      <c r="C747" s="11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9"/>
    </row>
    <row r="748" spans="2:37" x14ac:dyDescent="0.2">
      <c r="B748" s="11"/>
      <c r="C748" s="11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9"/>
    </row>
    <row r="749" spans="2:37" x14ac:dyDescent="0.2">
      <c r="B749" s="11"/>
      <c r="C749" s="11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9"/>
    </row>
    <row r="750" spans="2:37" x14ac:dyDescent="0.2">
      <c r="B750" s="11"/>
      <c r="C750" s="11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9"/>
    </row>
    <row r="751" spans="2:37" x14ac:dyDescent="0.2">
      <c r="B751" s="11"/>
      <c r="C751" s="11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9"/>
    </row>
    <row r="752" spans="2:37" x14ac:dyDescent="0.2">
      <c r="B752" s="11"/>
      <c r="C752" s="11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9"/>
    </row>
    <row r="753" spans="2:37" x14ac:dyDescent="0.2">
      <c r="B753" s="11"/>
      <c r="C753" s="11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9"/>
    </row>
    <row r="754" spans="2:37" x14ac:dyDescent="0.2">
      <c r="B754" s="11"/>
      <c r="C754" s="11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9"/>
    </row>
    <row r="755" spans="2:37" x14ac:dyDescent="0.2">
      <c r="B755" s="11"/>
      <c r="C755" s="11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9"/>
    </row>
    <row r="756" spans="2:37" x14ac:dyDescent="0.2">
      <c r="B756" s="11"/>
      <c r="C756" s="11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9"/>
    </row>
    <row r="757" spans="2:37" x14ac:dyDescent="0.2">
      <c r="B757" s="11"/>
      <c r="C757" s="11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9"/>
    </row>
    <row r="758" spans="2:37" x14ac:dyDescent="0.2">
      <c r="B758" s="11"/>
      <c r="C758" s="11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9"/>
    </row>
    <row r="759" spans="2:37" x14ac:dyDescent="0.2">
      <c r="B759" s="11"/>
      <c r="C759" s="11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9"/>
    </row>
    <row r="760" spans="2:37" x14ac:dyDescent="0.2">
      <c r="B760" s="11"/>
      <c r="C760" s="11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9"/>
    </row>
    <row r="761" spans="2:37" x14ac:dyDescent="0.2">
      <c r="B761" s="11"/>
      <c r="C761" s="11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9"/>
    </row>
    <row r="762" spans="2:37" x14ac:dyDescent="0.2">
      <c r="B762" s="11"/>
      <c r="C762" s="11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9"/>
    </row>
    <row r="763" spans="2:37" x14ac:dyDescent="0.2">
      <c r="B763" s="11"/>
      <c r="C763" s="11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9"/>
    </row>
    <row r="764" spans="2:37" x14ac:dyDescent="0.2">
      <c r="B764" s="11"/>
      <c r="C764" s="11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9"/>
    </row>
    <row r="765" spans="2:37" x14ac:dyDescent="0.2">
      <c r="B765" s="11"/>
      <c r="C765" s="11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9"/>
    </row>
    <row r="766" spans="2:37" x14ac:dyDescent="0.2">
      <c r="B766" s="11"/>
      <c r="C766" s="11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9"/>
    </row>
    <row r="767" spans="2:37" x14ac:dyDescent="0.2">
      <c r="B767" s="11"/>
      <c r="C767" s="11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9"/>
    </row>
    <row r="768" spans="2:37" x14ac:dyDescent="0.2">
      <c r="B768" s="11"/>
      <c r="C768" s="11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9"/>
    </row>
    <row r="769" spans="2:37" x14ac:dyDescent="0.2">
      <c r="B769" s="11"/>
      <c r="C769" s="11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9"/>
    </row>
    <row r="770" spans="2:37" x14ac:dyDescent="0.2">
      <c r="B770" s="11"/>
      <c r="C770" s="11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9"/>
    </row>
    <row r="771" spans="2:37" x14ac:dyDescent="0.2">
      <c r="B771" s="11"/>
      <c r="C771" s="11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9"/>
    </row>
    <row r="772" spans="2:37" x14ac:dyDescent="0.2">
      <c r="B772" s="11"/>
      <c r="C772" s="11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9"/>
    </row>
    <row r="773" spans="2:37" x14ac:dyDescent="0.2">
      <c r="B773" s="11"/>
      <c r="C773" s="11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9"/>
    </row>
    <row r="774" spans="2:37" x14ac:dyDescent="0.2">
      <c r="B774" s="11"/>
      <c r="C774" s="11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9"/>
    </row>
    <row r="775" spans="2:37" x14ac:dyDescent="0.2">
      <c r="B775" s="11"/>
      <c r="C775" s="11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9"/>
    </row>
    <row r="776" spans="2:37" x14ac:dyDescent="0.2">
      <c r="B776" s="11"/>
      <c r="C776" s="11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9"/>
    </row>
    <row r="777" spans="2:37" x14ac:dyDescent="0.2">
      <c r="B777" s="11"/>
      <c r="C777" s="11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9"/>
    </row>
    <row r="778" spans="2:37" x14ac:dyDescent="0.2">
      <c r="B778" s="11"/>
      <c r="C778" s="11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9"/>
    </row>
    <row r="779" spans="2:37" x14ac:dyDescent="0.2">
      <c r="B779" s="11"/>
      <c r="C779" s="11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9"/>
    </row>
    <row r="780" spans="2:37" x14ac:dyDescent="0.2">
      <c r="B780" s="11"/>
      <c r="C780" s="11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9"/>
    </row>
    <row r="781" spans="2:37" x14ac:dyDescent="0.2">
      <c r="B781" s="11"/>
      <c r="C781" s="11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9"/>
    </row>
    <row r="782" spans="2:37" x14ac:dyDescent="0.2">
      <c r="B782" s="11"/>
      <c r="C782" s="11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9"/>
    </row>
    <row r="783" spans="2:37" x14ac:dyDescent="0.2">
      <c r="B783" s="11"/>
      <c r="C783" s="11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9"/>
    </row>
    <row r="784" spans="2:37" x14ac:dyDescent="0.2">
      <c r="B784" s="11"/>
      <c r="C784" s="11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9"/>
    </row>
    <row r="785" spans="2:37" x14ac:dyDescent="0.2">
      <c r="B785" s="11"/>
      <c r="C785" s="11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9"/>
    </row>
    <row r="786" spans="2:37" x14ac:dyDescent="0.2">
      <c r="B786" s="11"/>
      <c r="C786" s="11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9"/>
    </row>
    <row r="787" spans="2:37" x14ac:dyDescent="0.2">
      <c r="B787" s="11"/>
      <c r="C787" s="11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9"/>
    </row>
    <row r="788" spans="2:37" x14ac:dyDescent="0.2">
      <c r="B788" s="11"/>
      <c r="C788" s="11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9"/>
    </row>
    <row r="789" spans="2:37" x14ac:dyDescent="0.2">
      <c r="B789" s="11"/>
      <c r="C789" s="11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9"/>
    </row>
    <row r="790" spans="2:37" x14ac:dyDescent="0.2">
      <c r="B790" s="11"/>
      <c r="C790" s="11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9"/>
    </row>
    <row r="791" spans="2:37" x14ac:dyDescent="0.2">
      <c r="B791" s="11"/>
      <c r="C791" s="11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9"/>
    </row>
    <row r="792" spans="2:37" x14ac:dyDescent="0.2">
      <c r="B792" s="11"/>
      <c r="C792" s="11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9"/>
    </row>
    <row r="793" spans="2:37" x14ac:dyDescent="0.2">
      <c r="B793" s="11"/>
      <c r="C793" s="11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9"/>
    </row>
    <row r="794" spans="2:37" x14ac:dyDescent="0.2">
      <c r="B794" s="11"/>
      <c r="C794" s="11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9"/>
    </row>
    <row r="795" spans="2:37" x14ac:dyDescent="0.2">
      <c r="B795" s="11"/>
      <c r="C795" s="11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9"/>
    </row>
    <row r="796" spans="2:37" x14ac:dyDescent="0.2">
      <c r="B796" s="11"/>
      <c r="C796" s="11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9"/>
    </row>
    <row r="797" spans="2:37" x14ac:dyDescent="0.2">
      <c r="B797" s="11"/>
      <c r="C797" s="11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9"/>
    </row>
    <row r="798" spans="2:37" x14ac:dyDescent="0.2">
      <c r="B798" s="11"/>
      <c r="C798" s="11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9"/>
    </row>
    <row r="799" spans="2:37" x14ac:dyDescent="0.2">
      <c r="B799" s="11"/>
      <c r="C799" s="11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9"/>
    </row>
    <row r="800" spans="2:37" x14ac:dyDescent="0.2">
      <c r="B800" s="11"/>
      <c r="C800" s="11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9"/>
    </row>
    <row r="801" spans="2:37" x14ac:dyDescent="0.2">
      <c r="B801" s="11"/>
      <c r="C801" s="11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9"/>
    </row>
    <row r="802" spans="2:37" x14ac:dyDescent="0.2">
      <c r="B802" s="11"/>
      <c r="C802" s="11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9"/>
    </row>
    <row r="803" spans="2:37" x14ac:dyDescent="0.2">
      <c r="B803" s="11"/>
      <c r="C803" s="11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9"/>
    </row>
    <row r="804" spans="2:37" x14ac:dyDescent="0.2">
      <c r="B804" s="11"/>
      <c r="C804" s="11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9"/>
    </row>
    <row r="805" spans="2:37" x14ac:dyDescent="0.2">
      <c r="B805" s="11"/>
      <c r="C805" s="11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9"/>
    </row>
    <row r="806" spans="2:37" x14ac:dyDescent="0.2">
      <c r="B806" s="11"/>
      <c r="C806" s="11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9"/>
    </row>
    <row r="807" spans="2:37" x14ac:dyDescent="0.2">
      <c r="B807" s="11"/>
      <c r="C807" s="11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9"/>
    </row>
    <row r="808" spans="2:37" x14ac:dyDescent="0.2">
      <c r="B808" s="11"/>
      <c r="C808" s="11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9"/>
    </row>
    <row r="809" spans="2:37" x14ac:dyDescent="0.2">
      <c r="B809" s="11"/>
      <c r="C809" s="11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9"/>
    </row>
    <row r="810" spans="2:37" x14ac:dyDescent="0.2">
      <c r="B810" s="11"/>
      <c r="C810" s="11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9"/>
    </row>
    <row r="811" spans="2:37" x14ac:dyDescent="0.2">
      <c r="B811" s="11"/>
      <c r="C811" s="11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9"/>
    </row>
    <row r="812" spans="2:37" x14ac:dyDescent="0.2">
      <c r="B812" s="11"/>
      <c r="C812" s="11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9"/>
    </row>
    <row r="813" spans="2:37" x14ac:dyDescent="0.2">
      <c r="B813" s="11"/>
      <c r="C813" s="11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9"/>
    </row>
    <row r="814" spans="2:37" x14ac:dyDescent="0.2">
      <c r="B814" s="11"/>
      <c r="C814" s="11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9"/>
    </row>
    <row r="815" spans="2:37" x14ac:dyDescent="0.2">
      <c r="B815" s="11"/>
      <c r="C815" s="11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9"/>
    </row>
    <row r="816" spans="2:37" x14ac:dyDescent="0.2">
      <c r="B816" s="11"/>
      <c r="C816" s="11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9"/>
    </row>
    <row r="817" spans="2:37" x14ac:dyDescent="0.2">
      <c r="B817" s="11"/>
      <c r="C817" s="11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9"/>
    </row>
    <row r="818" spans="2:37" x14ac:dyDescent="0.2">
      <c r="B818" s="11"/>
      <c r="C818" s="11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9"/>
    </row>
    <row r="819" spans="2:37" x14ac:dyDescent="0.2">
      <c r="B819" s="11"/>
      <c r="C819" s="11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9"/>
    </row>
    <row r="820" spans="2:37" x14ac:dyDescent="0.2">
      <c r="B820" s="11"/>
      <c r="C820" s="11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9"/>
    </row>
    <row r="821" spans="2:37" x14ac:dyDescent="0.2">
      <c r="B821" s="11"/>
      <c r="C821" s="11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9"/>
    </row>
    <row r="822" spans="2:37" x14ac:dyDescent="0.2">
      <c r="B822" s="11"/>
      <c r="C822" s="11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9"/>
    </row>
    <row r="823" spans="2:37" x14ac:dyDescent="0.2">
      <c r="B823" s="11"/>
      <c r="C823" s="11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9"/>
    </row>
    <row r="824" spans="2:37" x14ac:dyDescent="0.2">
      <c r="B824" s="11"/>
      <c r="C824" s="11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9"/>
    </row>
    <row r="825" spans="2:37" x14ac:dyDescent="0.2">
      <c r="B825" s="11"/>
      <c r="C825" s="11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9"/>
    </row>
    <row r="826" spans="2:37" x14ac:dyDescent="0.2">
      <c r="B826" s="11"/>
      <c r="C826" s="11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9"/>
    </row>
    <row r="827" spans="2:37" x14ac:dyDescent="0.2">
      <c r="B827" s="11"/>
      <c r="C827" s="11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9"/>
    </row>
    <row r="828" spans="2:37" x14ac:dyDescent="0.2">
      <c r="B828" s="11"/>
      <c r="C828" s="11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9"/>
    </row>
    <row r="829" spans="2:37" x14ac:dyDescent="0.2">
      <c r="B829" s="11"/>
      <c r="C829" s="11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9"/>
    </row>
    <row r="830" spans="2:37" x14ac:dyDescent="0.2">
      <c r="B830" s="11"/>
      <c r="C830" s="11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9"/>
    </row>
    <row r="831" spans="2:37" x14ac:dyDescent="0.2">
      <c r="B831" s="11"/>
      <c r="C831" s="11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9"/>
    </row>
    <row r="832" spans="2:37" x14ac:dyDescent="0.2">
      <c r="B832" s="11"/>
      <c r="C832" s="11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9"/>
    </row>
    <row r="833" spans="2:37" x14ac:dyDescent="0.2">
      <c r="B833" s="11"/>
      <c r="C833" s="11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9"/>
    </row>
    <row r="834" spans="2:37" x14ac:dyDescent="0.2">
      <c r="B834" s="11"/>
      <c r="C834" s="11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9"/>
    </row>
    <row r="835" spans="2:37" x14ac:dyDescent="0.2">
      <c r="B835" s="11"/>
      <c r="C835" s="11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9"/>
    </row>
    <row r="836" spans="2:37" x14ac:dyDescent="0.2">
      <c r="B836" s="11"/>
      <c r="C836" s="11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9"/>
    </row>
    <row r="837" spans="2:37" x14ac:dyDescent="0.2">
      <c r="B837" s="11"/>
      <c r="C837" s="11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9"/>
    </row>
    <row r="838" spans="2:37" x14ac:dyDescent="0.2">
      <c r="B838" s="11"/>
      <c r="C838" s="11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9"/>
    </row>
    <row r="839" spans="2:37" x14ac:dyDescent="0.2">
      <c r="B839" s="11"/>
      <c r="C839" s="11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9"/>
    </row>
    <row r="840" spans="2:37" x14ac:dyDescent="0.2">
      <c r="B840" s="11"/>
      <c r="C840" s="11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9"/>
    </row>
    <row r="841" spans="2:37" x14ac:dyDescent="0.2">
      <c r="B841" s="11"/>
      <c r="C841" s="11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9"/>
    </row>
    <row r="842" spans="2:37" x14ac:dyDescent="0.2">
      <c r="B842" s="11"/>
      <c r="C842" s="11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9"/>
    </row>
    <row r="843" spans="2:37" x14ac:dyDescent="0.2">
      <c r="B843" s="11"/>
      <c r="C843" s="11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9"/>
    </row>
    <row r="844" spans="2:37" x14ac:dyDescent="0.2">
      <c r="B844" s="11"/>
      <c r="C844" s="11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9"/>
    </row>
    <row r="845" spans="2:37" x14ac:dyDescent="0.2">
      <c r="B845" s="11"/>
      <c r="C845" s="11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9"/>
    </row>
    <row r="846" spans="2:37" x14ac:dyDescent="0.2">
      <c r="B846" s="11"/>
      <c r="C846" s="11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9"/>
    </row>
    <row r="847" spans="2:37" x14ac:dyDescent="0.2">
      <c r="B847" s="11"/>
      <c r="C847" s="11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9"/>
    </row>
    <row r="848" spans="2:37" x14ac:dyDescent="0.2">
      <c r="B848" s="11"/>
      <c r="C848" s="11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9"/>
    </row>
    <row r="849" spans="2:37" x14ac:dyDescent="0.2">
      <c r="B849" s="11"/>
      <c r="C849" s="11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9"/>
    </row>
  </sheetData>
  <mergeCells count="12">
    <mergeCell ref="D219:AJ219"/>
    <mergeCell ref="B2:C3"/>
    <mergeCell ref="B6:AK6"/>
    <mergeCell ref="B134:AK134"/>
    <mergeCell ref="B144:AK144"/>
    <mergeCell ref="B149:AK149"/>
    <mergeCell ref="B71:AK71"/>
    <mergeCell ref="B80:AK80"/>
    <mergeCell ref="B90:AK90"/>
    <mergeCell ref="B101:AK101"/>
    <mergeCell ref="B112:AK112"/>
    <mergeCell ref="B123:AK1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NNDC</dc:creator>
  <cp:lastModifiedBy>Natchaya Sukjan</cp:lastModifiedBy>
  <cp:lastPrinted>2023-09-27T09:06:06Z</cp:lastPrinted>
  <dcterms:created xsi:type="dcterms:W3CDTF">2021-10-29T04:28:05Z</dcterms:created>
  <dcterms:modified xsi:type="dcterms:W3CDTF">2024-02-26T08:27:51Z</dcterms:modified>
</cp:coreProperties>
</file>