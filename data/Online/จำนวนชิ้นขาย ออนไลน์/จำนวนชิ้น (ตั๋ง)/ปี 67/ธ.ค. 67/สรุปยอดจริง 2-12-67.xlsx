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รวมโฟลเดอร์\ยอดจริง\67\"/>
    </mc:Choice>
  </mc:AlternateContent>
  <xr:revisionPtr revIDLastSave="0" documentId="13_ncr:1_{A05F00A2-96CC-4163-BEBB-075822209F4A}" xr6:coauthVersionLast="47" xr6:coauthVersionMax="47" xr10:uidLastSave="{00000000-0000-0000-0000-000000000000}"/>
  <bookViews>
    <workbookView minimized="1" xWindow="255" yWindow="120" windowWidth="18270" windowHeight="13905" firstSheet="3" activeTab="3" xr2:uid="{55C9AAA3-F459-48EC-A639-AACFFC6390F5}"/>
  </bookViews>
  <sheets>
    <sheet name="เย็น  " sheetId="8" state="hidden" r:id="rId1"/>
    <sheet name="เช้า" sheetId="3" state="hidden" r:id="rId2"/>
    <sheet name="บ่าย" sheetId="10" state="hidden" r:id="rId3"/>
    <sheet name="รวม" sheetId="5" r:id="rId4"/>
  </sheets>
  <definedNames>
    <definedName name="shtlist">#REF!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40" i="3" l="1"/>
  <c r="K41" i="3"/>
  <c r="K42" i="3"/>
  <c r="K43" i="3"/>
  <c r="E39" i="5"/>
  <c r="F39" i="5"/>
  <c r="G39" i="5"/>
  <c r="H39" i="5"/>
  <c r="I39" i="5"/>
  <c r="J39" i="5"/>
  <c r="E40" i="5"/>
  <c r="F40" i="5"/>
  <c r="G40" i="5"/>
  <c r="H40" i="5"/>
  <c r="I40" i="5"/>
  <c r="J40" i="5"/>
  <c r="E41" i="5"/>
  <c r="F41" i="5"/>
  <c r="G41" i="5"/>
  <c r="H41" i="5"/>
  <c r="I41" i="5"/>
  <c r="J41" i="5"/>
  <c r="E42" i="5"/>
  <c r="F42" i="5"/>
  <c r="G42" i="5"/>
  <c r="H42" i="5"/>
  <c r="I42" i="5"/>
  <c r="J42" i="5"/>
  <c r="E43" i="5"/>
  <c r="F43" i="5"/>
  <c r="G43" i="5"/>
  <c r="H43" i="5"/>
  <c r="I43" i="5"/>
  <c r="J43" i="5"/>
  <c r="D40" i="5"/>
  <c r="D41" i="5"/>
  <c r="D42" i="5"/>
  <c r="D43" i="5"/>
  <c r="K41" i="5" l="1"/>
  <c r="Q41" i="5" s="1"/>
  <c r="K42" i="5"/>
  <c r="Q42" i="5" s="1"/>
  <c r="K40" i="5"/>
  <c r="Q40" i="5" s="1"/>
  <c r="K43" i="5"/>
  <c r="Q43" i="5" s="1"/>
  <c r="D57" i="5"/>
  <c r="E57" i="5"/>
  <c r="F57" i="5"/>
  <c r="G57" i="5"/>
  <c r="H57" i="5"/>
  <c r="I57" i="5"/>
  <c r="J57" i="5"/>
  <c r="D58" i="5"/>
  <c r="E58" i="5"/>
  <c r="F58" i="5"/>
  <c r="G58" i="5"/>
  <c r="H58" i="5"/>
  <c r="I58" i="5"/>
  <c r="J58" i="5"/>
  <c r="D59" i="5"/>
  <c r="E59" i="5"/>
  <c r="F59" i="5"/>
  <c r="G59" i="5"/>
  <c r="H59" i="5"/>
  <c r="I59" i="5"/>
  <c r="J59" i="5"/>
  <c r="D60" i="5"/>
  <c r="E60" i="5"/>
  <c r="F60" i="5"/>
  <c r="G60" i="5"/>
  <c r="H60" i="5"/>
  <c r="I60" i="5"/>
  <c r="J60" i="5"/>
  <c r="D61" i="5"/>
  <c r="E61" i="5"/>
  <c r="F61" i="5"/>
  <c r="G61" i="5"/>
  <c r="H61" i="5"/>
  <c r="I61" i="5"/>
  <c r="J61" i="5"/>
  <c r="D62" i="5"/>
  <c r="E62" i="5"/>
  <c r="F62" i="5"/>
  <c r="G62" i="5"/>
  <c r="H62" i="5"/>
  <c r="I62" i="5"/>
  <c r="J62" i="5"/>
  <c r="D63" i="5"/>
  <c r="E63" i="5"/>
  <c r="F63" i="5"/>
  <c r="G63" i="5"/>
  <c r="H63" i="5"/>
  <c r="I63" i="5"/>
  <c r="J63" i="5"/>
  <c r="D64" i="5"/>
  <c r="E64" i="5"/>
  <c r="F64" i="5"/>
  <c r="G64" i="5"/>
  <c r="H64" i="5"/>
  <c r="I64" i="5"/>
  <c r="J64" i="5"/>
  <c r="D65" i="5"/>
  <c r="E65" i="5"/>
  <c r="F65" i="5"/>
  <c r="G65" i="5"/>
  <c r="H65" i="5"/>
  <c r="I65" i="5"/>
  <c r="J65" i="5"/>
  <c r="D66" i="5"/>
  <c r="E66" i="5"/>
  <c r="F66" i="5"/>
  <c r="G66" i="5"/>
  <c r="H66" i="5"/>
  <c r="I66" i="5"/>
  <c r="J66" i="5"/>
  <c r="D67" i="5"/>
  <c r="E67" i="5"/>
  <c r="F67" i="5"/>
  <c r="G67" i="5"/>
  <c r="H67" i="5"/>
  <c r="I67" i="5"/>
  <c r="J67" i="5"/>
  <c r="D68" i="5"/>
  <c r="E68" i="5"/>
  <c r="F68" i="5"/>
  <c r="G68" i="5"/>
  <c r="H68" i="5"/>
  <c r="I68" i="5"/>
  <c r="J68" i="5"/>
  <c r="D69" i="5"/>
  <c r="E69" i="5"/>
  <c r="F69" i="5"/>
  <c r="G69" i="5"/>
  <c r="H69" i="5"/>
  <c r="I69" i="5"/>
  <c r="J69" i="5"/>
  <c r="D70" i="5"/>
  <c r="E70" i="5"/>
  <c r="F70" i="5"/>
  <c r="G70" i="5"/>
  <c r="H70" i="5"/>
  <c r="I70" i="5"/>
  <c r="J70" i="5"/>
  <c r="D71" i="5"/>
  <c r="E71" i="5"/>
  <c r="F71" i="5"/>
  <c r="G71" i="5"/>
  <c r="H71" i="5"/>
  <c r="I71" i="5"/>
  <c r="J71" i="5"/>
  <c r="D72" i="5"/>
  <c r="E72" i="5"/>
  <c r="F72" i="5"/>
  <c r="G72" i="5"/>
  <c r="H72" i="5"/>
  <c r="I72" i="5"/>
  <c r="J72" i="5"/>
  <c r="D73" i="5"/>
  <c r="E73" i="5"/>
  <c r="F73" i="5"/>
  <c r="G73" i="5"/>
  <c r="H73" i="5"/>
  <c r="I73" i="5"/>
  <c r="J73" i="5"/>
  <c r="D74" i="5"/>
  <c r="E74" i="5"/>
  <c r="F74" i="5"/>
  <c r="G74" i="5"/>
  <c r="H74" i="5"/>
  <c r="I74" i="5"/>
  <c r="J74" i="5"/>
  <c r="D75" i="5"/>
  <c r="E75" i="5"/>
  <c r="F75" i="5"/>
  <c r="G75" i="5"/>
  <c r="H75" i="5"/>
  <c r="I75" i="5"/>
  <c r="J75" i="5"/>
  <c r="D76" i="5"/>
  <c r="E76" i="5"/>
  <c r="F76" i="5"/>
  <c r="G76" i="5"/>
  <c r="H76" i="5"/>
  <c r="I76" i="5"/>
  <c r="J76" i="5"/>
  <c r="D77" i="5"/>
  <c r="E77" i="5"/>
  <c r="F77" i="5"/>
  <c r="G77" i="5"/>
  <c r="H77" i="5"/>
  <c r="I77" i="5"/>
  <c r="J77" i="5"/>
  <c r="D78" i="5"/>
  <c r="E78" i="5"/>
  <c r="F78" i="5"/>
  <c r="G78" i="5"/>
  <c r="H78" i="5"/>
  <c r="I78" i="5"/>
  <c r="J78" i="5"/>
  <c r="E56" i="5"/>
  <c r="F56" i="5"/>
  <c r="G56" i="5"/>
  <c r="H56" i="5"/>
  <c r="I56" i="5"/>
  <c r="J56" i="5"/>
  <c r="D56" i="5"/>
  <c r="D46" i="5"/>
  <c r="E46" i="5"/>
  <c r="F46" i="5"/>
  <c r="G46" i="5"/>
  <c r="H46" i="5"/>
  <c r="I46" i="5"/>
  <c r="J46" i="5"/>
  <c r="D47" i="5"/>
  <c r="E47" i="5"/>
  <c r="F47" i="5"/>
  <c r="G47" i="5"/>
  <c r="H47" i="5"/>
  <c r="I47" i="5"/>
  <c r="J47" i="5"/>
  <c r="D48" i="5"/>
  <c r="E48" i="5"/>
  <c r="F48" i="5"/>
  <c r="G48" i="5"/>
  <c r="H48" i="5"/>
  <c r="I48" i="5"/>
  <c r="J48" i="5"/>
  <c r="D49" i="5"/>
  <c r="E49" i="5"/>
  <c r="F49" i="5"/>
  <c r="G49" i="5"/>
  <c r="H49" i="5"/>
  <c r="I49" i="5"/>
  <c r="J49" i="5"/>
  <c r="D50" i="5"/>
  <c r="E50" i="5"/>
  <c r="F50" i="5"/>
  <c r="G50" i="5"/>
  <c r="H50" i="5"/>
  <c r="I50" i="5"/>
  <c r="J50" i="5"/>
  <c r="D51" i="5"/>
  <c r="E51" i="5"/>
  <c r="F51" i="5"/>
  <c r="G51" i="5"/>
  <c r="H51" i="5"/>
  <c r="I51" i="5"/>
  <c r="J51" i="5"/>
  <c r="D52" i="5"/>
  <c r="E52" i="5"/>
  <c r="F52" i="5"/>
  <c r="G52" i="5"/>
  <c r="H52" i="5"/>
  <c r="I52" i="5"/>
  <c r="J52" i="5"/>
  <c r="D53" i="5"/>
  <c r="E53" i="5"/>
  <c r="F53" i="5"/>
  <c r="G53" i="5"/>
  <c r="H53" i="5"/>
  <c r="I53" i="5"/>
  <c r="J53" i="5"/>
  <c r="D54" i="5"/>
  <c r="E54" i="5"/>
  <c r="F54" i="5"/>
  <c r="G54" i="5"/>
  <c r="H54" i="5"/>
  <c r="I54" i="5"/>
  <c r="J54" i="5"/>
  <c r="E45" i="5"/>
  <c r="F45" i="5"/>
  <c r="G45" i="5"/>
  <c r="H45" i="5"/>
  <c r="I45" i="5"/>
  <c r="J45" i="5"/>
  <c r="D45" i="5"/>
  <c r="D39" i="5"/>
  <c r="E37" i="5"/>
  <c r="F37" i="5"/>
  <c r="G37" i="5"/>
  <c r="H37" i="5"/>
  <c r="I37" i="5"/>
  <c r="J37" i="5"/>
  <c r="D37" i="5"/>
  <c r="D8" i="5"/>
  <c r="K8" i="5" s="1"/>
  <c r="Q8" i="5" s="1"/>
  <c r="E8" i="5"/>
  <c r="F8" i="5"/>
  <c r="G8" i="5"/>
  <c r="H8" i="5"/>
  <c r="I8" i="5"/>
  <c r="J8" i="5"/>
  <c r="D9" i="5"/>
  <c r="E9" i="5"/>
  <c r="F9" i="5"/>
  <c r="G9" i="5"/>
  <c r="H9" i="5"/>
  <c r="I9" i="5"/>
  <c r="J9" i="5"/>
  <c r="D10" i="5"/>
  <c r="E10" i="5"/>
  <c r="F10" i="5"/>
  <c r="G10" i="5"/>
  <c r="H10" i="5"/>
  <c r="I10" i="5"/>
  <c r="J10" i="5"/>
  <c r="D11" i="5"/>
  <c r="E11" i="5"/>
  <c r="F11" i="5"/>
  <c r="G11" i="5"/>
  <c r="H11" i="5"/>
  <c r="I11" i="5"/>
  <c r="J11" i="5"/>
  <c r="D12" i="5"/>
  <c r="E12" i="5"/>
  <c r="F12" i="5"/>
  <c r="G12" i="5"/>
  <c r="H12" i="5"/>
  <c r="I12" i="5"/>
  <c r="J12" i="5"/>
  <c r="D13" i="5"/>
  <c r="E13" i="5"/>
  <c r="F13" i="5"/>
  <c r="G13" i="5"/>
  <c r="H13" i="5"/>
  <c r="I13" i="5"/>
  <c r="J13" i="5"/>
  <c r="D14" i="5"/>
  <c r="E14" i="5"/>
  <c r="F14" i="5"/>
  <c r="G14" i="5"/>
  <c r="H14" i="5"/>
  <c r="I14" i="5"/>
  <c r="J14" i="5"/>
  <c r="D15" i="5"/>
  <c r="E15" i="5"/>
  <c r="F15" i="5"/>
  <c r="G15" i="5"/>
  <c r="H15" i="5"/>
  <c r="I15" i="5"/>
  <c r="J15" i="5"/>
  <c r="D16" i="5"/>
  <c r="E16" i="5"/>
  <c r="F16" i="5"/>
  <c r="G16" i="5"/>
  <c r="H16" i="5"/>
  <c r="I16" i="5"/>
  <c r="J16" i="5"/>
  <c r="D17" i="5"/>
  <c r="E17" i="5"/>
  <c r="F17" i="5"/>
  <c r="G17" i="5"/>
  <c r="H17" i="5"/>
  <c r="I17" i="5"/>
  <c r="J17" i="5"/>
  <c r="D18" i="5"/>
  <c r="E18" i="5"/>
  <c r="F18" i="5"/>
  <c r="G18" i="5"/>
  <c r="H18" i="5"/>
  <c r="I18" i="5"/>
  <c r="J18" i="5"/>
  <c r="D19" i="5"/>
  <c r="E19" i="5"/>
  <c r="F19" i="5"/>
  <c r="G19" i="5"/>
  <c r="H19" i="5"/>
  <c r="I19" i="5"/>
  <c r="J19" i="5"/>
  <c r="D20" i="5"/>
  <c r="K20" i="5" s="1"/>
  <c r="Q20" i="5" s="1"/>
  <c r="E20" i="5"/>
  <c r="F20" i="5"/>
  <c r="G20" i="5"/>
  <c r="H20" i="5"/>
  <c r="I20" i="5"/>
  <c r="J20" i="5"/>
  <c r="D21" i="5"/>
  <c r="E21" i="5"/>
  <c r="F21" i="5"/>
  <c r="G21" i="5"/>
  <c r="H21" i="5"/>
  <c r="I21" i="5"/>
  <c r="J21" i="5"/>
  <c r="D22" i="5"/>
  <c r="E22" i="5"/>
  <c r="F22" i="5"/>
  <c r="G22" i="5"/>
  <c r="H22" i="5"/>
  <c r="I22" i="5"/>
  <c r="J22" i="5"/>
  <c r="D23" i="5"/>
  <c r="E23" i="5"/>
  <c r="F23" i="5"/>
  <c r="G23" i="5"/>
  <c r="H23" i="5"/>
  <c r="I23" i="5"/>
  <c r="J23" i="5"/>
  <c r="D24" i="5"/>
  <c r="K24" i="5" s="1"/>
  <c r="Q24" i="5" s="1"/>
  <c r="E24" i="5"/>
  <c r="F24" i="5"/>
  <c r="G24" i="5"/>
  <c r="H24" i="5"/>
  <c r="I24" i="5"/>
  <c r="J24" i="5"/>
  <c r="D25" i="5"/>
  <c r="E25" i="5"/>
  <c r="F25" i="5"/>
  <c r="G25" i="5"/>
  <c r="H25" i="5"/>
  <c r="I25" i="5"/>
  <c r="J25" i="5"/>
  <c r="D26" i="5"/>
  <c r="E26" i="5"/>
  <c r="F26" i="5"/>
  <c r="G26" i="5"/>
  <c r="H26" i="5"/>
  <c r="I26" i="5"/>
  <c r="J26" i="5"/>
  <c r="D27" i="5"/>
  <c r="E27" i="5"/>
  <c r="F27" i="5"/>
  <c r="G27" i="5"/>
  <c r="H27" i="5"/>
  <c r="I27" i="5"/>
  <c r="J27" i="5"/>
  <c r="D28" i="5"/>
  <c r="K28" i="5" s="1"/>
  <c r="Q28" i="5" s="1"/>
  <c r="E28" i="5"/>
  <c r="F28" i="5"/>
  <c r="G28" i="5"/>
  <c r="H28" i="5"/>
  <c r="I28" i="5"/>
  <c r="J28" i="5"/>
  <c r="D29" i="5"/>
  <c r="E29" i="5"/>
  <c r="F29" i="5"/>
  <c r="G29" i="5"/>
  <c r="H29" i="5"/>
  <c r="I29" i="5"/>
  <c r="J29" i="5"/>
  <c r="D30" i="5"/>
  <c r="E30" i="5"/>
  <c r="F30" i="5"/>
  <c r="G30" i="5"/>
  <c r="H30" i="5"/>
  <c r="I30" i="5"/>
  <c r="J30" i="5"/>
  <c r="D31" i="5"/>
  <c r="E31" i="5"/>
  <c r="F31" i="5"/>
  <c r="G31" i="5"/>
  <c r="H31" i="5"/>
  <c r="I31" i="5"/>
  <c r="J31" i="5"/>
  <c r="D32" i="5"/>
  <c r="E32" i="5"/>
  <c r="F32" i="5"/>
  <c r="G32" i="5"/>
  <c r="H32" i="5"/>
  <c r="I32" i="5"/>
  <c r="J32" i="5"/>
  <c r="D33" i="5"/>
  <c r="E33" i="5"/>
  <c r="F33" i="5"/>
  <c r="G33" i="5"/>
  <c r="H33" i="5"/>
  <c r="I33" i="5"/>
  <c r="J33" i="5"/>
  <c r="D34" i="5"/>
  <c r="E34" i="5"/>
  <c r="F34" i="5"/>
  <c r="G34" i="5"/>
  <c r="H34" i="5"/>
  <c r="I34" i="5"/>
  <c r="J34" i="5"/>
  <c r="D35" i="5"/>
  <c r="E35" i="5"/>
  <c r="F35" i="5"/>
  <c r="G35" i="5"/>
  <c r="H35" i="5"/>
  <c r="I35" i="5"/>
  <c r="J35" i="5"/>
  <c r="E7" i="5"/>
  <c r="F7" i="5"/>
  <c r="G7" i="5"/>
  <c r="H7" i="5"/>
  <c r="I7" i="5"/>
  <c r="J7" i="5"/>
  <c r="D7" i="5"/>
  <c r="K57" i="8"/>
  <c r="K58" i="8"/>
  <c r="K59" i="8"/>
  <c r="K60" i="8"/>
  <c r="K61" i="8"/>
  <c r="K62" i="8"/>
  <c r="K63" i="8"/>
  <c r="K64" i="8"/>
  <c r="K65" i="8"/>
  <c r="K66" i="8"/>
  <c r="K67" i="8"/>
  <c r="K68" i="8"/>
  <c r="K69" i="8"/>
  <c r="K70" i="8"/>
  <c r="K71" i="8"/>
  <c r="K72" i="8"/>
  <c r="K73" i="8"/>
  <c r="K74" i="8"/>
  <c r="K75" i="8"/>
  <c r="K76" i="8"/>
  <c r="K77" i="8"/>
  <c r="K78" i="8"/>
  <c r="K56" i="8"/>
  <c r="K46" i="8"/>
  <c r="K47" i="8"/>
  <c r="K48" i="8"/>
  <c r="K49" i="8"/>
  <c r="K50" i="8"/>
  <c r="K51" i="8"/>
  <c r="K52" i="8"/>
  <c r="K53" i="8"/>
  <c r="K54" i="8"/>
  <c r="K45" i="8"/>
  <c r="K39" i="8"/>
  <c r="K37" i="8"/>
  <c r="K8" i="8"/>
  <c r="K9" i="8"/>
  <c r="K10" i="8"/>
  <c r="K11" i="8"/>
  <c r="K12" i="8"/>
  <c r="K13" i="8"/>
  <c r="K14" i="8"/>
  <c r="K15" i="8"/>
  <c r="K16" i="8"/>
  <c r="K17" i="8"/>
  <c r="K18" i="8"/>
  <c r="K19" i="8"/>
  <c r="K20" i="8"/>
  <c r="K21" i="8"/>
  <c r="K22" i="8"/>
  <c r="K23" i="8"/>
  <c r="K24" i="8"/>
  <c r="K25" i="8"/>
  <c r="K26" i="8"/>
  <c r="K27" i="8"/>
  <c r="K28" i="8"/>
  <c r="K29" i="8"/>
  <c r="K30" i="8"/>
  <c r="K31" i="8"/>
  <c r="K32" i="8"/>
  <c r="K33" i="8"/>
  <c r="K34" i="8"/>
  <c r="K35" i="8"/>
  <c r="K7" i="8"/>
  <c r="K32" i="5" l="1"/>
  <c r="Q32" i="5" s="1"/>
  <c r="K16" i="5"/>
  <c r="Q16" i="5" s="1"/>
  <c r="K12" i="5"/>
  <c r="Q12" i="5" s="1"/>
  <c r="F79" i="5"/>
  <c r="K33" i="5"/>
  <c r="Q33" i="5" s="1"/>
  <c r="K29" i="5"/>
  <c r="Q29" i="5" s="1"/>
  <c r="K25" i="5"/>
  <c r="Q25" i="5" s="1"/>
  <c r="K21" i="5"/>
  <c r="Q21" i="5" s="1"/>
  <c r="K17" i="5"/>
  <c r="Q17" i="5" s="1"/>
  <c r="K13" i="5"/>
  <c r="Q13" i="5" s="1"/>
  <c r="K9" i="5"/>
  <c r="Q9" i="5" s="1"/>
  <c r="I79" i="5"/>
  <c r="E79" i="5"/>
  <c r="J79" i="5"/>
  <c r="K7" i="5"/>
  <c r="Q7" i="5" s="1"/>
  <c r="K34" i="5"/>
  <c r="Q34" i="5" s="1"/>
  <c r="K30" i="5"/>
  <c r="Q30" i="5" s="1"/>
  <c r="K26" i="5"/>
  <c r="Q26" i="5" s="1"/>
  <c r="K22" i="5"/>
  <c r="Q22" i="5" s="1"/>
  <c r="K18" i="5"/>
  <c r="Q18" i="5" s="1"/>
  <c r="K14" i="5"/>
  <c r="Q14" i="5" s="1"/>
  <c r="K10" i="5"/>
  <c r="Q10" i="5" s="1"/>
  <c r="H79" i="5"/>
  <c r="K35" i="5"/>
  <c r="Q35" i="5" s="1"/>
  <c r="K31" i="5"/>
  <c r="Q31" i="5" s="1"/>
  <c r="K27" i="5"/>
  <c r="Q27" i="5" s="1"/>
  <c r="K23" i="5"/>
  <c r="Q23" i="5" s="1"/>
  <c r="K19" i="5"/>
  <c r="Q19" i="5" s="1"/>
  <c r="K15" i="5"/>
  <c r="Q15" i="5" s="1"/>
  <c r="K11" i="5"/>
  <c r="Q11" i="5" s="1"/>
  <c r="D79" i="5"/>
  <c r="G79" i="5"/>
  <c r="K78" i="5"/>
  <c r="Q78" i="5" s="1"/>
  <c r="K54" i="5"/>
  <c r="Q54" i="5" s="1"/>
  <c r="K56" i="5"/>
  <c r="Q56" i="5" s="1"/>
  <c r="K69" i="5"/>
  <c r="Q69" i="5" s="1"/>
  <c r="K37" i="5"/>
  <c r="Q37" i="5" s="1"/>
  <c r="K70" i="5"/>
  <c r="Q70" i="5" s="1"/>
  <c r="K68" i="5"/>
  <c r="Q68" i="5" s="1"/>
  <c r="K66" i="5"/>
  <c r="Q66" i="5" s="1"/>
  <c r="K62" i="5"/>
  <c r="Q62" i="5" s="1"/>
  <c r="K60" i="5"/>
  <c r="Q60" i="5" s="1"/>
  <c r="K58" i="5"/>
  <c r="Q58" i="5" s="1"/>
  <c r="K75" i="5"/>
  <c r="Q75" i="5" s="1"/>
  <c r="K71" i="5"/>
  <c r="Q71" i="5" s="1"/>
  <c r="K67" i="5"/>
  <c r="Q67" i="5" s="1"/>
  <c r="K63" i="5"/>
  <c r="Q63" i="5" s="1"/>
  <c r="K59" i="5"/>
  <c r="Q59" i="5" s="1"/>
  <c r="K77" i="5"/>
  <c r="Q77" i="5" s="1"/>
  <c r="K73" i="5"/>
  <c r="Q73" i="5" s="1"/>
  <c r="K65" i="5"/>
  <c r="Q65" i="5" s="1"/>
  <c r="K61" i="5"/>
  <c r="Q61" i="5" s="1"/>
  <c r="K57" i="5"/>
  <c r="Q57" i="5" s="1"/>
  <c r="K76" i="5"/>
  <c r="Q76" i="5" s="1"/>
  <c r="K74" i="5"/>
  <c r="Q74" i="5" s="1"/>
  <c r="K72" i="5"/>
  <c r="Q72" i="5" s="1"/>
  <c r="K64" i="5"/>
  <c r="Q64" i="5" s="1"/>
  <c r="K51" i="5"/>
  <c r="Q51" i="5" s="1"/>
  <c r="K47" i="5"/>
  <c r="Q47" i="5" s="1"/>
  <c r="K53" i="5"/>
  <c r="Q53" i="5" s="1"/>
  <c r="K49" i="5"/>
  <c r="Q49" i="5" s="1"/>
  <c r="K45" i="5"/>
  <c r="Q45" i="5" s="1"/>
  <c r="K52" i="5"/>
  <c r="Q52" i="5" s="1"/>
  <c r="K48" i="5"/>
  <c r="Q48" i="5" s="1"/>
  <c r="K50" i="5"/>
  <c r="Q50" i="5" s="1"/>
  <c r="K46" i="5"/>
  <c r="Q46" i="5" s="1"/>
  <c r="K39" i="5"/>
  <c r="Q39" i="5" s="1"/>
  <c r="K57" i="3"/>
  <c r="K58" i="3"/>
  <c r="K59" i="3"/>
  <c r="K60" i="3"/>
  <c r="K61" i="3"/>
  <c r="K62" i="3"/>
  <c r="K63" i="3"/>
  <c r="K64" i="3"/>
  <c r="K65" i="3"/>
  <c r="K66" i="3"/>
  <c r="K67" i="3"/>
  <c r="K68" i="3"/>
  <c r="K69" i="3"/>
  <c r="K70" i="3"/>
  <c r="K71" i="3"/>
  <c r="K72" i="3"/>
  <c r="K73" i="3"/>
  <c r="K74" i="3"/>
  <c r="K75" i="3"/>
  <c r="K76" i="3"/>
  <c r="K77" i="3"/>
  <c r="K56" i="3"/>
  <c r="K46" i="3"/>
  <c r="K47" i="3"/>
  <c r="K48" i="3"/>
  <c r="K49" i="3"/>
  <c r="K50" i="3"/>
  <c r="K51" i="3"/>
  <c r="K52" i="3"/>
  <c r="K53" i="3"/>
  <c r="K54" i="3"/>
  <c r="K45" i="3"/>
  <c r="K39" i="3"/>
  <c r="K3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33" i="3"/>
  <c r="K34" i="3"/>
  <c r="K35" i="3"/>
  <c r="K7" i="3"/>
  <c r="K43" i="10"/>
  <c r="K44" i="10"/>
  <c r="K45" i="10"/>
  <c r="K46" i="10"/>
  <c r="K79" i="5" l="1"/>
  <c r="J81" i="10"/>
  <c r="I81" i="10"/>
  <c r="H81" i="10"/>
  <c r="G81" i="10"/>
  <c r="F81" i="10"/>
  <c r="E81" i="10"/>
  <c r="D81" i="10"/>
  <c r="K79" i="10"/>
  <c r="K78" i="10"/>
  <c r="K77" i="10"/>
  <c r="K76" i="10"/>
  <c r="K75" i="10"/>
  <c r="K74" i="10"/>
  <c r="K73" i="10"/>
  <c r="K72" i="10"/>
  <c r="K71" i="10"/>
  <c r="K70" i="10"/>
  <c r="K69" i="10"/>
  <c r="K68" i="10"/>
  <c r="K67" i="10"/>
  <c r="K66" i="10"/>
  <c r="K65" i="10"/>
  <c r="K64" i="10"/>
  <c r="K63" i="10"/>
  <c r="K62" i="10"/>
  <c r="K61" i="10"/>
  <c r="K60" i="10"/>
  <c r="K57" i="10"/>
  <c r="K56" i="10"/>
  <c r="K55" i="10"/>
  <c r="K54" i="10"/>
  <c r="K53" i="10"/>
  <c r="K52" i="10"/>
  <c r="K51" i="10"/>
  <c r="K50" i="10"/>
  <c r="K49" i="10"/>
  <c r="K48" i="10"/>
  <c r="K42" i="10"/>
  <c r="K40" i="10"/>
  <c r="K38" i="10"/>
  <c r="K37" i="10"/>
  <c r="K36" i="10"/>
  <c r="K35" i="10"/>
  <c r="K34" i="10"/>
  <c r="K33" i="10"/>
  <c r="K32" i="10"/>
  <c r="K31" i="10"/>
  <c r="K30" i="10"/>
  <c r="K29" i="10"/>
  <c r="K28" i="10"/>
  <c r="K27" i="10"/>
  <c r="K26" i="10"/>
  <c r="K25" i="10"/>
  <c r="K24" i="10"/>
  <c r="K23" i="10"/>
  <c r="K22" i="10"/>
  <c r="K21" i="10"/>
  <c r="K20" i="10"/>
  <c r="K19" i="10"/>
  <c r="K18" i="10"/>
  <c r="K17" i="10"/>
  <c r="K16" i="10"/>
  <c r="K15" i="10"/>
  <c r="K14" i="10"/>
  <c r="K13" i="10"/>
  <c r="K12" i="10"/>
  <c r="K11" i="10"/>
  <c r="K10" i="10"/>
  <c r="K9" i="10"/>
  <c r="K8" i="10"/>
  <c r="K7" i="10"/>
  <c r="K81" i="10" l="1"/>
  <c r="M79" i="5" l="1"/>
  <c r="N79" i="5"/>
  <c r="O79" i="5"/>
  <c r="K78" i="3" l="1"/>
  <c r="L79" i="5" l="1"/>
  <c r="Q79" i="5" l="1"/>
</calcChain>
</file>

<file path=xl/sharedStrings.xml><?xml version="1.0" encoding="utf-8"?>
<sst xmlns="http://schemas.openxmlformats.org/spreadsheetml/2006/main" count="355" uniqueCount="105">
  <si>
    <t>ยอดรวมผลิต</t>
  </si>
  <si>
    <t>รวม</t>
  </si>
  <si>
    <t>จำนวน</t>
  </si>
  <si>
    <t>รหัสสินค้า</t>
  </si>
  <si>
    <t>สินค้า</t>
  </si>
  <si>
    <t>ปณ</t>
  </si>
  <si>
    <t>ชอปปี้</t>
  </si>
  <si>
    <t>ลาซาด้า</t>
  </si>
  <si>
    <t>ติ๊กตอก</t>
  </si>
  <si>
    <t>ติ๊กตอก3</t>
  </si>
  <si>
    <t>(กล่อง)</t>
  </si>
  <si>
    <t>ชิฟฟอนรวมรส</t>
  </si>
  <si>
    <t>ชิฟฟอน 8 ชิ้น มะลิ</t>
  </si>
  <si>
    <t>ชิฟฟอน 8 ชิ้น รวมรสยอดฮิต</t>
  </si>
  <si>
    <t>ชิฟฟอนแยกชิ้น กาแฟ</t>
  </si>
  <si>
    <t>ชิฟฟอนแยกชิ้น ชาเขียว</t>
  </si>
  <si>
    <t>ชิฟฟอนแยกชิ้น ใบเตย</t>
  </si>
  <si>
    <t>ชิฟฟอนแยกชิ้น กล้วยหอม</t>
  </si>
  <si>
    <t>ชิฟฟอนแยกชิ้น ชาไทย</t>
  </si>
  <si>
    <t>ชิฟฟอนแยกชิ้น โกโก้</t>
  </si>
  <si>
    <t>ชิฟฟอนแยกชิ้น ส้ม</t>
  </si>
  <si>
    <t>ชิฟฟอนแยกชิ้น เผือก</t>
  </si>
  <si>
    <t>ชิฟฟอนแยกชิ้น สับปะรด</t>
  </si>
  <si>
    <t>ชิฟฟอนแยกชิ้น สตอเบอรี่</t>
  </si>
  <si>
    <t>ชิฟฟอนแยกชิ้น มะพร้าว</t>
  </si>
  <si>
    <t>ชิฟฟอนแยกชิ้น เนย</t>
  </si>
  <si>
    <t>ชิฟฟอนแยกชิ้น บลูเบอรี่</t>
  </si>
  <si>
    <t>ชิฟฟอนแยกชิ้น คละรส</t>
  </si>
  <si>
    <t>ชิฟฟอนไส้แยมแยกชิ้น มะพร้าว</t>
  </si>
  <si>
    <t>ชิฟฟอนไส้แยมแยกชิ้น สตอเบอรี่</t>
  </si>
  <si>
    <t>ชิฟฟอนไส้แยมแยกชิ้น ส้ม</t>
  </si>
  <si>
    <t>ชิฟฟอนไส้แยมแยกชิ้น บลูเบอรี่</t>
  </si>
  <si>
    <t>ชิฟฟอนไส้แยมแยกชิ้น นมชมพู</t>
  </si>
  <si>
    <t>ชิฟฟอนไส้แยมแยกชิ้น ชอคโกแลต</t>
  </si>
  <si>
    <t>ชิฟฟอนไส้แยมแยกชิ้น ฝอยทอง</t>
  </si>
  <si>
    <t>ชิฟฟอนไส้แยมแยกชิ้น วนิลา</t>
  </si>
  <si>
    <t>ชิฟฟอนไส้แยมแยกชิ้น ใบเตย</t>
  </si>
  <si>
    <t>ชิฟฟอนไส้แยมแยกชิ้น เมล่อน</t>
  </si>
  <si>
    <t>ชิฟฟอนไส้แยมแยกชิ้น คละรส</t>
  </si>
  <si>
    <t>ชิฟฟอนไส้แยม 6 ชิ้น</t>
  </si>
  <si>
    <t>ชิฟฟอนไส้แยมรวมรส 6 ชิ้น</t>
  </si>
  <si>
    <t>ชิฟฟอนไส้แยม 3 ชิ้น</t>
  </si>
  <si>
    <t>ชิฟฟอนไส้แยมรวมรส 3 ชิ้น</t>
  </si>
  <si>
    <t>เบาหวิว ล 110 กรัม</t>
  </si>
  <si>
    <t xml:space="preserve">มะพร้าว </t>
  </si>
  <si>
    <t xml:space="preserve">ฝอยทอง </t>
  </si>
  <si>
    <t xml:space="preserve">กาแฟ </t>
  </si>
  <si>
    <t xml:space="preserve">เนยนม </t>
  </si>
  <si>
    <t xml:space="preserve">ใบเตย </t>
  </si>
  <si>
    <t>ทุเรียน</t>
  </si>
  <si>
    <t xml:space="preserve">ตาลหอม </t>
  </si>
  <si>
    <t>กล้วยหอมมะพร้าวเผา</t>
  </si>
  <si>
    <t>เผือกมะพร้าวอ่อน</t>
  </si>
  <si>
    <t>เบาหวิว คละรส</t>
  </si>
  <si>
    <t>อื่นๆ</t>
  </si>
  <si>
    <t>ท็อฟฟี่ถั่ว ครึ่งกิโล</t>
  </si>
  <si>
    <t>ท็อฟฟี่ถั่ว 1 กิโล</t>
  </si>
  <si>
    <t>คอนเฟลค</t>
  </si>
  <si>
    <t>ปังกรอบคาราเมล(ถุง)</t>
  </si>
  <si>
    <t>ครีมฮอร์นไส้เนย วนิลา</t>
  </si>
  <si>
    <t>ครีมฮอร์นไส้เนย ใบเตย</t>
  </si>
  <si>
    <t>ครีมฮอร์นไส้เนย ชอค</t>
  </si>
  <si>
    <t>ขนมปังหั่นสไลด์</t>
  </si>
  <si>
    <t>ปังเนยนิ่ม กล่อง 2 ชิ้น</t>
  </si>
  <si>
    <t>กล่องเปล่าชิฟอน ญ</t>
  </si>
  <si>
    <t>ทอฟฟี่ถั่ว กล่อง</t>
  </si>
  <si>
    <t>ทอฟฟี่ถั่ว กระเช้า</t>
  </si>
  <si>
    <t>ทอฟฟี่ถั่ว กระปุก</t>
  </si>
  <si>
    <t>….....................................................................................</t>
  </si>
  <si>
    <t>ผู้จัดทำ</t>
  </si>
  <si>
    <t>ผู้รับทราบ</t>
  </si>
  <si>
    <t>ชิฟฟอนรวมรส 8 ชิ้น</t>
  </si>
  <si>
    <t>ชิฟฟอนรวมรส 4 ชิ้น</t>
  </si>
  <si>
    <t>เมอแรงค์ กระปุก</t>
  </si>
  <si>
    <t>พายสับปรด 1 ชิ้น</t>
  </si>
  <si>
    <t>พายสับปรด 1 กล่อง</t>
  </si>
  <si>
    <t>เศษขนมปังปลา5กก.</t>
  </si>
  <si>
    <t>เศษขนมปังปลา1กก.</t>
  </si>
  <si>
    <t>ยอดฟอแคส</t>
  </si>
  <si>
    <t>ชิฟฟอนแยกชิ้น ทุเรียน</t>
  </si>
  <si>
    <t>ชิฟฟอนแยกชิ้น ตาล</t>
  </si>
  <si>
    <t>ยอดสตอค</t>
  </si>
  <si>
    <t>แซนวิชโบราณ</t>
  </si>
  <si>
    <t>กล่องเปล่าชิฟอน ล</t>
  </si>
  <si>
    <t>ชอยส์</t>
  </si>
  <si>
    <t>ติ๊กตอก2</t>
  </si>
  <si>
    <t>รับเกิน</t>
  </si>
  <si>
    <t>ยังไม่ได้รับเข้า</t>
  </si>
  <si>
    <t>กล่องทาร์ตสับปะรด</t>
  </si>
  <si>
    <t>ชิฟฟอนไส้แยมบลูเบอรี่ 3 ชิ้น</t>
  </si>
  <si>
    <t>ชิฟฟอนไส้แยมสตอเบอรี่ 3 ชิ้น</t>
  </si>
  <si>
    <t>ชิฟฟอนไส้แยมนมชมพู 3 ชิ้น</t>
  </si>
  <si>
    <t>ชิฟฟอนไส้แยมชอคโกแลต 3 ชิ้น</t>
  </si>
  <si>
    <t>ขนมเปี๊ยะถั่วฝอยทองไข่เค็ม 450 กรัม</t>
  </si>
  <si>
    <t>ขนมเปี๊ยะฟักถั่วไข่เค็ม 450 กรัม</t>
  </si>
  <si>
    <t>ขนมเปี๊ยะเผือกฝอยทองไข่เค็ม 450 กรัม</t>
  </si>
  <si>
    <t>ยอดจริง ออนไลน์ วันที่ 29/11/2567 - เย็น</t>
  </si>
  <si>
    <t>ชิฟฟอนไส้แยมฝอยทอง 3 ชิ้น</t>
  </si>
  <si>
    <t>ชิฟฟอนไส้แยมส้ม 3 ชิ้น</t>
  </si>
  <si>
    <t>ชิฟฟอน 8 ชิ้น มะพร้าวล้วน</t>
  </si>
  <si>
    <t>ยอดจริง ออนไลน์ วันที่ 2/12/2567 - เย็น</t>
  </si>
  <si>
    <t>ยอดจริง ออนไลน์ วันที่ 2/12/2567 - เช้า</t>
  </si>
  <si>
    <t>ยอดจริง ออนไลน์ วันที่ 2/12/2567 - รวม</t>
  </si>
  <si>
    <t>ติ๊กตอก4</t>
  </si>
  <si>
    <t>บิลค้าง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</si>
</sst>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7" formatCode="0;\-0;;"/>
  </numFmts>
  <fonts count="9" x14ac:knownFonts="1">
    <font>
      <sz val="11"/>
      <color theme="1"/>
      <name val="Tahoma"/>
      <family val="2"/>
      <charset val="222"/>
      <scheme val="minor"/>
    </font>
    <font>
      <sz val="18"/>
      <color theme="1"/>
      <name val="Tahoma"/>
      <family val="2"/>
      <scheme val="minor"/>
    </font>
    <font>
      <sz val="16"/>
      <color theme="1"/>
      <name val="Tahoma"/>
      <family val="2"/>
      <scheme val="minor"/>
    </font>
    <font>
      <sz val="16"/>
      <name val="Tahoma"/>
      <family val="2"/>
      <scheme val="minor"/>
    </font>
    <font>
      <sz val="18"/>
      <color theme="1"/>
      <name val="Tahoma"/>
      <family val="2"/>
      <charset val="222"/>
      <scheme val="minor"/>
    </font>
    <font>
      <sz val="18"/>
      <color rgb="FFFF0000"/>
      <name val="Tahoma"/>
      <family val="2"/>
      <scheme val="minor"/>
    </font>
    <font>
      <sz val="18"/>
      <color rgb="FFFF0000"/>
      <name val="Tahoma"/>
      <family val="2"/>
      <charset val="222"/>
      <scheme val="minor"/>
    </font>
    <font>
      <sz val="16"/>
      <color rgb="FFFF0000"/>
      <name val="Tahoma"/>
      <family val="2"/>
      <scheme val="minor"/>
    </font>
    <font>
      <sz val="8"/>
      <name val="Tahoma"/>
      <family val="2"/>
      <charset val="22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6B5B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5">
    <xf numFmtId="0" fontId="0" fillId="0" borderId="0" xfId="0"/>
    <xf numFmtId="0" fontId="3" fillId="3" borderId="4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" fillId="5" borderId="9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5" fillId="5" borderId="9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2" fillId="8" borderId="2" xfId="0" applyFont="1" applyFill="1" applyBorder="1" applyAlignment="1">
      <alignment horizontal="center" vertical="center"/>
    </xf>
    <xf numFmtId="0" fontId="3" fillId="8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2" fillId="0" borderId="2" xfId="0" applyFont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5" fillId="5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7" fillId="9" borderId="0" xfId="0" applyFont="1" applyFill="1" applyAlignment="1">
      <alignment horizontal="center" vertical="center"/>
    </xf>
    <xf numFmtId="0" fontId="7" fillId="9" borderId="2" xfId="0" applyFont="1" applyFill="1" applyBorder="1" applyAlignment="1">
      <alignment horizontal="center" vertical="center"/>
    </xf>
    <xf numFmtId="187" fontId="3" fillId="2" borderId="2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0" fillId="5" borderId="0" xfId="0" applyFill="1" applyAlignment="1">
      <alignment vertical="center"/>
    </xf>
    <xf numFmtId="0" fontId="2" fillId="0" borderId="0" xfId="0" applyFont="1" applyAlignment="1">
      <alignment vertical="center"/>
    </xf>
    <xf numFmtId="187" fontId="5" fillId="5" borderId="3" xfId="0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187" fontId="3" fillId="2" borderId="0" xfId="0" applyNumberFormat="1" applyFont="1" applyFill="1" applyAlignment="1">
      <alignment horizontal="center" vertical="center"/>
    </xf>
    <xf numFmtId="187" fontId="5" fillId="5" borderId="0" xfId="0" applyNumberFormat="1" applyFont="1" applyFill="1" applyAlignment="1">
      <alignment horizontal="center" vertical="center"/>
    </xf>
    <xf numFmtId="187" fontId="5" fillId="10" borderId="0" xfId="0" applyNumberFormat="1" applyFont="1" applyFill="1" applyAlignment="1">
      <alignment horizontal="center" vertical="center"/>
    </xf>
    <xf numFmtId="187" fontId="5" fillId="5" borderId="2" xfId="0" applyNumberFormat="1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187" fontId="7" fillId="9" borderId="2" xfId="0" applyNumberFormat="1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13" xfId="0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4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7" fillId="9" borderId="6" xfId="0" applyFont="1" applyFill="1" applyBorder="1" applyAlignment="1">
      <alignment horizontal="center" vertical="center"/>
    </xf>
    <xf numFmtId="0" fontId="7" fillId="9" borderId="8" xfId="0" applyFont="1" applyFill="1" applyBorder="1" applyAlignment="1">
      <alignment horizontal="center" vertical="center"/>
    </xf>
    <xf numFmtId="0" fontId="7" fillId="9" borderId="10" xfId="0" applyFont="1" applyFill="1" applyBorder="1" applyAlignment="1">
      <alignment horizontal="center" vertical="center"/>
    </xf>
    <xf numFmtId="0" fontId="2" fillId="7" borderId="3" xfId="0" applyFont="1" applyFill="1" applyBorder="1" applyAlignment="1">
      <alignment horizontal="center" vertical="center"/>
    </xf>
    <xf numFmtId="0" fontId="2" fillId="7" borderId="11" xfId="0" applyFont="1" applyFill="1" applyBorder="1" applyAlignment="1">
      <alignment horizontal="center" vertical="center"/>
    </xf>
    <xf numFmtId="0" fontId="2" fillId="7" borderId="12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0EF843-C648-4CB7-B3D7-303D5ADA9983}">
  <dimension ref="B1:K86"/>
  <sheetViews>
    <sheetView topLeftCell="A49" zoomScale="60" zoomScaleNormal="60" workbookViewId="0">
      <selection activeCell="D57" sqref="D57:J77"/>
    </sheetView>
  </sheetViews>
  <sheetFormatPr defaultRowHeight="22.5" x14ac:dyDescent="0.2"/>
  <cols>
    <col min="2" max="2" width="22.125" style="22" customWidth="1"/>
    <col min="3" max="3" width="59.125" style="22" customWidth="1"/>
    <col min="4" max="4" width="15" style="16" customWidth="1"/>
    <col min="5" max="10" width="14.375" style="16" customWidth="1"/>
    <col min="11" max="11" width="17.625" style="24" customWidth="1"/>
  </cols>
  <sheetData>
    <row r="1" spans="2:11" x14ac:dyDescent="0.2">
      <c r="B1" s="50" t="s">
        <v>100</v>
      </c>
      <c r="C1" s="50"/>
      <c r="D1" s="50"/>
      <c r="E1" s="50"/>
      <c r="F1" s="50"/>
      <c r="G1" s="50"/>
      <c r="H1" s="50"/>
      <c r="I1" s="50"/>
      <c r="J1" s="50"/>
      <c r="K1" s="50"/>
    </row>
    <row r="2" spans="2:11" x14ac:dyDescent="0.2">
      <c r="B2" s="51"/>
      <c r="C2" s="52"/>
      <c r="D2" s="52"/>
      <c r="E2" s="52"/>
      <c r="F2" s="52"/>
      <c r="G2" s="52"/>
      <c r="H2" s="52"/>
      <c r="I2" s="52"/>
      <c r="J2" s="53"/>
      <c r="K2" s="41" t="s">
        <v>0</v>
      </c>
    </row>
    <row r="3" spans="2:11" x14ac:dyDescent="0.2">
      <c r="B3" s="54"/>
      <c r="C3" s="55"/>
      <c r="D3" s="55"/>
      <c r="E3" s="55"/>
      <c r="F3" s="55"/>
      <c r="G3" s="55"/>
      <c r="H3" s="55"/>
      <c r="I3" s="55"/>
      <c r="J3" s="56"/>
      <c r="K3" s="41" t="s">
        <v>2</v>
      </c>
    </row>
    <row r="4" spans="2:11" x14ac:dyDescent="0.2">
      <c r="B4" s="7" t="s">
        <v>3</v>
      </c>
      <c r="C4" s="7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85</v>
      </c>
      <c r="I4" s="9" t="s">
        <v>9</v>
      </c>
      <c r="J4" s="9" t="s">
        <v>84</v>
      </c>
      <c r="K4" s="41" t="s">
        <v>10</v>
      </c>
    </row>
    <row r="5" spans="2:11" x14ac:dyDescent="0.2">
      <c r="B5" s="11"/>
      <c r="C5" s="11"/>
      <c r="D5" s="9"/>
      <c r="E5" s="9"/>
      <c r="F5" s="9"/>
      <c r="G5" s="9"/>
      <c r="H5" s="9"/>
      <c r="I5" s="9"/>
      <c r="J5" s="9"/>
      <c r="K5" s="42"/>
    </row>
    <row r="6" spans="2:11" ht="19.5" x14ac:dyDescent="0.2">
      <c r="B6" s="49" t="s">
        <v>11</v>
      </c>
      <c r="C6" s="49"/>
      <c r="D6" s="49"/>
      <c r="E6" s="49"/>
      <c r="F6" s="49"/>
      <c r="G6" s="49"/>
      <c r="H6" s="49"/>
      <c r="I6" s="49"/>
      <c r="J6" s="49"/>
      <c r="K6" s="49"/>
    </row>
    <row r="7" spans="2:11" x14ac:dyDescent="0.2">
      <c r="B7" s="11">
        <v>1111002</v>
      </c>
      <c r="C7" s="15" t="s">
        <v>71</v>
      </c>
      <c r="D7" s="29"/>
      <c r="E7" s="29"/>
      <c r="F7" s="29"/>
      <c r="G7" s="29"/>
      <c r="H7" s="29"/>
      <c r="I7" s="29"/>
      <c r="J7" s="29"/>
      <c r="K7" s="40">
        <f>SUM(D7:J7)</f>
        <v>0</v>
      </c>
    </row>
    <row r="8" spans="2:11" x14ac:dyDescent="0.2">
      <c r="B8" s="11">
        <v>1111086</v>
      </c>
      <c r="C8" s="15" t="s">
        <v>99</v>
      </c>
      <c r="D8" s="29"/>
      <c r="E8" s="29"/>
      <c r="F8" s="29"/>
      <c r="G8" s="29"/>
      <c r="H8" s="29"/>
      <c r="I8" s="29"/>
      <c r="J8" s="29"/>
      <c r="K8" s="40">
        <f t="shared" ref="K8:K35" si="0">SUM(D8:J8)</f>
        <v>0</v>
      </c>
    </row>
    <row r="9" spans="2:11" x14ac:dyDescent="0.2">
      <c r="B9" s="11">
        <v>1111056</v>
      </c>
      <c r="C9" s="15" t="s">
        <v>13</v>
      </c>
      <c r="D9" s="29"/>
      <c r="E9" s="29"/>
      <c r="F9" s="29"/>
      <c r="G9" s="29"/>
      <c r="H9" s="29"/>
      <c r="I9" s="29"/>
      <c r="J9" s="29"/>
      <c r="K9" s="40">
        <f t="shared" si="0"/>
        <v>0</v>
      </c>
    </row>
    <row r="10" spans="2:11" x14ac:dyDescent="0.2">
      <c r="B10" s="11">
        <v>1004055</v>
      </c>
      <c r="C10" s="15" t="s">
        <v>72</v>
      </c>
      <c r="D10" s="29"/>
      <c r="E10" s="29"/>
      <c r="F10" s="29"/>
      <c r="G10" s="29"/>
      <c r="H10" s="29"/>
      <c r="I10" s="29"/>
      <c r="J10" s="29"/>
      <c r="K10" s="40">
        <f t="shared" si="0"/>
        <v>0</v>
      </c>
    </row>
    <row r="11" spans="2:11" x14ac:dyDescent="0.2">
      <c r="B11" s="11">
        <v>1111057</v>
      </c>
      <c r="C11" s="15" t="s">
        <v>14</v>
      </c>
      <c r="D11" s="29"/>
      <c r="E11" s="29"/>
      <c r="F11" s="29"/>
      <c r="G11" s="29"/>
      <c r="H11" s="29"/>
      <c r="I11" s="29"/>
      <c r="J11" s="29"/>
      <c r="K11" s="40">
        <f t="shared" si="0"/>
        <v>0</v>
      </c>
    </row>
    <row r="12" spans="2:11" x14ac:dyDescent="0.2">
      <c r="B12" s="11">
        <v>1111058</v>
      </c>
      <c r="C12" s="15" t="s">
        <v>15</v>
      </c>
      <c r="D12" s="29"/>
      <c r="E12" s="29"/>
      <c r="F12" s="29"/>
      <c r="G12" s="29"/>
      <c r="H12" s="29"/>
      <c r="I12" s="29"/>
      <c r="J12" s="29"/>
      <c r="K12" s="40">
        <f t="shared" si="0"/>
        <v>0</v>
      </c>
    </row>
    <row r="13" spans="2:11" x14ac:dyDescent="0.2">
      <c r="B13" s="11">
        <v>1111059</v>
      </c>
      <c r="C13" s="15" t="s">
        <v>16</v>
      </c>
      <c r="D13" s="29"/>
      <c r="E13" s="29"/>
      <c r="F13" s="29"/>
      <c r="G13" s="29"/>
      <c r="H13" s="29"/>
      <c r="I13" s="29"/>
      <c r="J13" s="29"/>
      <c r="K13" s="40">
        <f t="shared" si="0"/>
        <v>0</v>
      </c>
    </row>
    <row r="14" spans="2:11" x14ac:dyDescent="0.2">
      <c r="B14" s="11">
        <v>1111060</v>
      </c>
      <c r="C14" s="15" t="s">
        <v>17</v>
      </c>
      <c r="D14" s="29"/>
      <c r="E14" s="29"/>
      <c r="F14" s="29"/>
      <c r="G14" s="29"/>
      <c r="H14" s="29"/>
      <c r="I14" s="29"/>
      <c r="J14" s="29"/>
      <c r="K14" s="40">
        <f t="shared" si="0"/>
        <v>0</v>
      </c>
    </row>
    <row r="15" spans="2:11" x14ac:dyDescent="0.2">
      <c r="B15" s="11">
        <v>1111061</v>
      </c>
      <c r="C15" s="15" t="s">
        <v>18</v>
      </c>
      <c r="D15" s="29"/>
      <c r="E15" s="29"/>
      <c r="F15" s="29"/>
      <c r="G15" s="29"/>
      <c r="H15" s="29"/>
      <c r="I15" s="29"/>
      <c r="J15" s="29"/>
      <c r="K15" s="40">
        <f t="shared" si="0"/>
        <v>0</v>
      </c>
    </row>
    <row r="16" spans="2:11" x14ac:dyDescent="0.2">
      <c r="B16" s="11">
        <v>1111062</v>
      </c>
      <c r="C16" s="15" t="s">
        <v>19</v>
      </c>
      <c r="D16" s="29"/>
      <c r="E16" s="29"/>
      <c r="F16" s="29"/>
      <c r="G16" s="29"/>
      <c r="H16" s="29"/>
      <c r="I16" s="29"/>
      <c r="J16" s="29"/>
      <c r="K16" s="40">
        <f t="shared" si="0"/>
        <v>0</v>
      </c>
    </row>
    <row r="17" spans="2:11" x14ac:dyDescent="0.2">
      <c r="B17" s="11">
        <v>1111063</v>
      </c>
      <c r="C17" s="15" t="s">
        <v>20</v>
      </c>
      <c r="D17" s="29"/>
      <c r="E17" s="29"/>
      <c r="F17" s="29"/>
      <c r="G17" s="29"/>
      <c r="H17" s="29"/>
      <c r="I17" s="29"/>
      <c r="J17" s="29"/>
      <c r="K17" s="40">
        <f t="shared" si="0"/>
        <v>0</v>
      </c>
    </row>
    <row r="18" spans="2:11" x14ac:dyDescent="0.2">
      <c r="B18" s="11">
        <v>1111064</v>
      </c>
      <c r="C18" s="15" t="s">
        <v>21</v>
      </c>
      <c r="D18" s="29"/>
      <c r="E18" s="29"/>
      <c r="F18" s="29"/>
      <c r="G18" s="29"/>
      <c r="H18" s="29"/>
      <c r="I18" s="29"/>
      <c r="J18" s="29"/>
      <c r="K18" s="40">
        <f t="shared" si="0"/>
        <v>0</v>
      </c>
    </row>
    <row r="19" spans="2:11" x14ac:dyDescent="0.2">
      <c r="B19" s="11">
        <v>1111065</v>
      </c>
      <c r="C19" s="15" t="s">
        <v>22</v>
      </c>
      <c r="D19" s="29"/>
      <c r="E19" s="29"/>
      <c r="F19" s="29"/>
      <c r="G19" s="29"/>
      <c r="H19" s="29"/>
      <c r="I19" s="29"/>
      <c r="J19" s="29"/>
      <c r="K19" s="40">
        <f t="shared" si="0"/>
        <v>0</v>
      </c>
    </row>
    <row r="20" spans="2:11" x14ac:dyDescent="0.2">
      <c r="B20" s="11">
        <v>1111066</v>
      </c>
      <c r="C20" s="15" t="s">
        <v>23</v>
      </c>
      <c r="D20" s="29"/>
      <c r="E20" s="29"/>
      <c r="F20" s="29"/>
      <c r="G20" s="29"/>
      <c r="H20" s="29"/>
      <c r="I20" s="29"/>
      <c r="J20" s="29"/>
      <c r="K20" s="40">
        <f t="shared" si="0"/>
        <v>0</v>
      </c>
    </row>
    <row r="21" spans="2:11" x14ac:dyDescent="0.2">
      <c r="B21" s="11">
        <v>1111067</v>
      </c>
      <c r="C21" s="15" t="s">
        <v>24</v>
      </c>
      <c r="D21" s="29"/>
      <c r="E21" s="29"/>
      <c r="F21" s="29"/>
      <c r="G21" s="29"/>
      <c r="H21" s="29"/>
      <c r="I21" s="29"/>
      <c r="J21" s="29"/>
      <c r="K21" s="40">
        <f t="shared" si="0"/>
        <v>0</v>
      </c>
    </row>
    <row r="22" spans="2:11" x14ac:dyDescent="0.2">
      <c r="B22" s="11">
        <v>1111068</v>
      </c>
      <c r="C22" s="15" t="s">
        <v>25</v>
      </c>
      <c r="D22" s="29"/>
      <c r="E22" s="29"/>
      <c r="F22" s="29"/>
      <c r="G22" s="29"/>
      <c r="H22" s="29"/>
      <c r="I22" s="29"/>
      <c r="J22" s="29"/>
      <c r="K22" s="40">
        <f t="shared" si="0"/>
        <v>0</v>
      </c>
    </row>
    <row r="23" spans="2:11" x14ac:dyDescent="0.2">
      <c r="B23" s="11">
        <v>1111069</v>
      </c>
      <c r="C23" s="15" t="s">
        <v>26</v>
      </c>
      <c r="D23" s="29"/>
      <c r="E23" s="29"/>
      <c r="F23" s="29"/>
      <c r="G23" s="29"/>
      <c r="H23" s="29"/>
      <c r="I23" s="29"/>
      <c r="J23" s="29"/>
      <c r="K23" s="40">
        <f t="shared" si="0"/>
        <v>0</v>
      </c>
    </row>
    <row r="24" spans="2:11" x14ac:dyDescent="0.2">
      <c r="B24" s="11">
        <v>1111070</v>
      </c>
      <c r="C24" s="15" t="s">
        <v>79</v>
      </c>
      <c r="D24" s="29"/>
      <c r="E24" s="29"/>
      <c r="F24" s="29"/>
      <c r="G24" s="29"/>
      <c r="H24" s="29"/>
      <c r="I24" s="29"/>
      <c r="J24" s="29"/>
      <c r="K24" s="40">
        <f t="shared" si="0"/>
        <v>0</v>
      </c>
    </row>
    <row r="25" spans="2:11" x14ac:dyDescent="0.2">
      <c r="B25" s="11">
        <v>1111071</v>
      </c>
      <c r="C25" s="15" t="s">
        <v>80</v>
      </c>
      <c r="D25" s="29"/>
      <c r="E25" s="29"/>
      <c r="F25" s="29"/>
      <c r="G25" s="29"/>
      <c r="H25" s="29"/>
      <c r="I25" s="29"/>
      <c r="J25" s="29"/>
      <c r="K25" s="40">
        <f t="shared" si="0"/>
        <v>0</v>
      </c>
    </row>
    <row r="26" spans="2:11" x14ac:dyDescent="0.2">
      <c r="B26" s="11">
        <v>1111074</v>
      </c>
      <c r="C26" s="15" t="s">
        <v>28</v>
      </c>
      <c r="D26" s="29"/>
      <c r="E26" s="29"/>
      <c r="F26" s="29"/>
      <c r="G26" s="29"/>
      <c r="H26" s="29"/>
      <c r="I26" s="29"/>
      <c r="J26" s="29"/>
      <c r="K26" s="40">
        <f t="shared" si="0"/>
        <v>0</v>
      </c>
    </row>
    <row r="27" spans="2:11" x14ac:dyDescent="0.2">
      <c r="B27" s="11">
        <v>1111075</v>
      </c>
      <c r="C27" s="15" t="s">
        <v>29</v>
      </c>
      <c r="D27" s="29"/>
      <c r="E27" s="29"/>
      <c r="F27" s="29"/>
      <c r="G27" s="29"/>
      <c r="H27" s="29"/>
      <c r="I27" s="29"/>
      <c r="J27" s="29"/>
      <c r="K27" s="40">
        <f t="shared" si="0"/>
        <v>0</v>
      </c>
    </row>
    <row r="28" spans="2:11" x14ac:dyDescent="0.2">
      <c r="B28" s="11">
        <v>1111076</v>
      </c>
      <c r="C28" s="15" t="s">
        <v>30</v>
      </c>
      <c r="D28" s="29"/>
      <c r="E28" s="29"/>
      <c r="F28" s="29"/>
      <c r="G28" s="29"/>
      <c r="H28" s="29"/>
      <c r="I28" s="29"/>
      <c r="J28" s="29"/>
      <c r="K28" s="40">
        <f t="shared" si="0"/>
        <v>0</v>
      </c>
    </row>
    <row r="29" spans="2:11" x14ac:dyDescent="0.2">
      <c r="B29" s="11">
        <v>1111077</v>
      </c>
      <c r="C29" s="15" t="s">
        <v>31</v>
      </c>
      <c r="D29" s="29"/>
      <c r="E29" s="29"/>
      <c r="F29" s="29"/>
      <c r="G29" s="29"/>
      <c r="H29" s="29"/>
      <c r="I29" s="29"/>
      <c r="J29" s="29"/>
      <c r="K29" s="40">
        <f t="shared" si="0"/>
        <v>0</v>
      </c>
    </row>
    <row r="30" spans="2:11" x14ac:dyDescent="0.2">
      <c r="B30" s="11">
        <v>1111078</v>
      </c>
      <c r="C30" s="15" t="s">
        <v>32</v>
      </c>
      <c r="D30" s="29"/>
      <c r="E30" s="29"/>
      <c r="F30" s="29"/>
      <c r="G30" s="29"/>
      <c r="H30" s="29"/>
      <c r="I30" s="29"/>
      <c r="J30" s="29"/>
      <c r="K30" s="40">
        <f t="shared" si="0"/>
        <v>0</v>
      </c>
    </row>
    <row r="31" spans="2:11" x14ac:dyDescent="0.2">
      <c r="B31" s="11">
        <v>1111079</v>
      </c>
      <c r="C31" s="15" t="s">
        <v>33</v>
      </c>
      <c r="D31" s="29"/>
      <c r="E31" s="29"/>
      <c r="F31" s="29"/>
      <c r="G31" s="29"/>
      <c r="H31" s="29"/>
      <c r="I31" s="29"/>
      <c r="J31" s="29"/>
      <c r="K31" s="40">
        <f t="shared" si="0"/>
        <v>0</v>
      </c>
    </row>
    <row r="32" spans="2:11" x14ac:dyDescent="0.2">
      <c r="B32" s="11">
        <v>1111080</v>
      </c>
      <c r="C32" s="15" t="s">
        <v>34</v>
      </c>
      <c r="D32" s="29"/>
      <c r="E32" s="29"/>
      <c r="F32" s="29"/>
      <c r="G32" s="29"/>
      <c r="H32" s="29"/>
      <c r="I32" s="29"/>
      <c r="J32" s="29"/>
      <c r="K32" s="40">
        <f t="shared" si="0"/>
        <v>0</v>
      </c>
    </row>
    <row r="33" spans="2:11" x14ac:dyDescent="0.2">
      <c r="B33" s="11">
        <v>1111081</v>
      </c>
      <c r="C33" s="15" t="s">
        <v>35</v>
      </c>
      <c r="D33" s="29"/>
      <c r="E33" s="29"/>
      <c r="F33" s="29"/>
      <c r="G33" s="29"/>
      <c r="H33" s="29"/>
      <c r="I33" s="29"/>
      <c r="J33" s="29"/>
      <c r="K33" s="40">
        <f t="shared" si="0"/>
        <v>0</v>
      </c>
    </row>
    <row r="34" spans="2:11" x14ac:dyDescent="0.2">
      <c r="B34" s="11">
        <v>1111082</v>
      </c>
      <c r="C34" s="15" t="s">
        <v>36</v>
      </c>
      <c r="D34" s="29"/>
      <c r="E34" s="29"/>
      <c r="F34" s="29"/>
      <c r="G34" s="29"/>
      <c r="H34" s="29"/>
      <c r="I34" s="29"/>
      <c r="J34" s="29"/>
      <c r="K34" s="40">
        <f t="shared" si="0"/>
        <v>0</v>
      </c>
    </row>
    <row r="35" spans="2:11" x14ac:dyDescent="0.2">
      <c r="B35" s="11">
        <v>1111083</v>
      </c>
      <c r="C35" s="15" t="s">
        <v>37</v>
      </c>
      <c r="D35" s="29"/>
      <c r="E35" s="29"/>
      <c r="F35" s="29"/>
      <c r="G35" s="29"/>
      <c r="H35" s="29"/>
      <c r="I35" s="29"/>
      <c r="J35" s="29"/>
      <c r="K35" s="40">
        <f t="shared" si="0"/>
        <v>0</v>
      </c>
    </row>
    <row r="36" spans="2:11" ht="19.5" x14ac:dyDescent="0.2">
      <c r="B36" s="49" t="s">
        <v>39</v>
      </c>
      <c r="C36" s="49"/>
      <c r="D36" s="49"/>
      <c r="E36" s="49"/>
      <c r="F36" s="49"/>
      <c r="G36" s="49"/>
      <c r="H36" s="49"/>
      <c r="I36" s="49"/>
      <c r="J36" s="49"/>
      <c r="K36" s="49"/>
    </row>
    <row r="37" spans="2:11" x14ac:dyDescent="0.2">
      <c r="B37" s="11">
        <v>1111009</v>
      </c>
      <c r="C37" s="19" t="s">
        <v>40</v>
      </c>
      <c r="D37" s="29"/>
      <c r="E37" s="29"/>
      <c r="F37" s="29"/>
      <c r="G37" s="29"/>
      <c r="H37" s="29"/>
      <c r="I37" s="29"/>
      <c r="J37" s="29"/>
      <c r="K37" s="40">
        <f>SUM(D37:J37)</f>
        <v>0</v>
      </c>
    </row>
    <row r="38" spans="2:11" ht="19.5" x14ac:dyDescent="0.2">
      <c r="B38" s="49" t="s">
        <v>41</v>
      </c>
      <c r="C38" s="49"/>
      <c r="D38" s="49"/>
      <c r="E38" s="49"/>
      <c r="F38" s="49"/>
      <c r="G38" s="49"/>
      <c r="H38" s="49"/>
      <c r="I38" s="49"/>
      <c r="J38" s="49"/>
      <c r="K38" s="49"/>
    </row>
    <row r="39" spans="2:11" x14ac:dyDescent="0.2">
      <c r="B39" s="11">
        <v>1111008</v>
      </c>
      <c r="C39" s="19" t="s">
        <v>42</v>
      </c>
      <c r="D39" s="29"/>
      <c r="E39" s="29"/>
      <c r="F39" s="29"/>
      <c r="G39" s="29"/>
      <c r="H39" s="29"/>
      <c r="I39" s="29"/>
      <c r="J39" s="29"/>
      <c r="K39" s="40">
        <f>SUM(D39:J39)</f>
        <v>0</v>
      </c>
    </row>
    <row r="40" spans="2:11" x14ac:dyDescent="0.2">
      <c r="B40" s="11"/>
      <c r="C40" s="19"/>
      <c r="D40" s="29"/>
      <c r="E40" s="29"/>
      <c r="F40" s="29"/>
      <c r="G40" s="29"/>
      <c r="H40" s="29"/>
      <c r="I40" s="29"/>
      <c r="J40" s="29"/>
      <c r="K40" s="40"/>
    </row>
    <row r="41" spans="2:11" x14ac:dyDescent="0.2">
      <c r="B41" s="11"/>
      <c r="C41" s="19"/>
      <c r="D41" s="29"/>
      <c r="E41" s="29"/>
      <c r="F41" s="29"/>
      <c r="G41" s="29"/>
      <c r="H41" s="29"/>
      <c r="I41" s="29"/>
      <c r="J41" s="29"/>
      <c r="K41" s="40"/>
    </row>
    <row r="42" spans="2:11" x14ac:dyDescent="0.2">
      <c r="B42" s="11"/>
      <c r="C42" s="19"/>
      <c r="D42" s="29"/>
      <c r="E42" s="29"/>
      <c r="F42" s="29"/>
      <c r="G42" s="29"/>
      <c r="H42" s="29"/>
      <c r="I42" s="29"/>
      <c r="J42" s="29"/>
      <c r="K42" s="40"/>
    </row>
    <row r="43" spans="2:11" x14ac:dyDescent="0.2">
      <c r="B43" s="11"/>
      <c r="C43" s="19"/>
      <c r="D43" s="29"/>
      <c r="E43" s="29"/>
      <c r="F43" s="29"/>
      <c r="G43" s="29"/>
      <c r="H43" s="29"/>
      <c r="I43" s="29"/>
      <c r="J43" s="29"/>
      <c r="K43" s="40"/>
    </row>
    <row r="44" spans="2:11" ht="19.5" x14ac:dyDescent="0.2">
      <c r="B44" s="49" t="s">
        <v>43</v>
      </c>
      <c r="C44" s="49"/>
      <c r="D44" s="49"/>
      <c r="E44" s="49"/>
      <c r="F44" s="49"/>
      <c r="G44" s="49"/>
      <c r="H44" s="49"/>
      <c r="I44" s="49"/>
      <c r="J44" s="49"/>
      <c r="K44" s="49"/>
    </row>
    <row r="45" spans="2:11" x14ac:dyDescent="0.2">
      <c r="B45" s="11">
        <v>1112009</v>
      </c>
      <c r="C45" s="19" t="s">
        <v>44</v>
      </c>
      <c r="D45" s="29"/>
      <c r="E45" s="29"/>
      <c r="F45" s="29"/>
      <c r="G45" s="29"/>
      <c r="H45" s="29"/>
      <c r="I45" s="29"/>
      <c r="J45" s="29"/>
      <c r="K45" s="40">
        <f>SUM(D45:J45)</f>
        <v>0</v>
      </c>
    </row>
    <row r="46" spans="2:11" x14ac:dyDescent="0.2">
      <c r="B46" s="11">
        <v>1112011</v>
      </c>
      <c r="C46" s="19" t="s">
        <v>45</v>
      </c>
      <c r="D46" s="29"/>
      <c r="E46" s="29"/>
      <c r="F46" s="29"/>
      <c r="G46" s="29"/>
      <c r="H46" s="29"/>
      <c r="I46" s="29"/>
      <c r="J46" s="29"/>
      <c r="K46" s="40">
        <f t="shared" ref="K46:K54" si="1">SUM(D46:J46)</f>
        <v>0</v>
      </c>
    </row>
    <row r="47" spans="2:11" x14ac:dyDescent="0.2">
      <c r="B47" s="11">
        <v>1112003</v>
      </c>
      <c r="C47" s="19" t="s">
        <v>46</v>
      </c>
      <c r="D47" s="29"/>
      <c r="E47" s="29"/>
      <c r="F47" s="29"/>
      <c r="G47" s="29"/>
      <c r="H47" s="29"/>
      <c r="I47" s="29"/>
      <c r="J47" s="29"/>
      <c r="K47" s="40">
        <f t="shared" si="1"/>
        <v>0</v>
      </c>
    </row>
    <row r="48" spans="2:11" x14ac:dyDescent="0.2">
      <c r="B48" s="11">
        <v>1112005</v>
      </c>
      <c r="C48" s="19" t="s">
        <v>47</v>
      </c>
      <c r="D48" s="29"/>
      <c r="E48" s="29"/>
      <c r="F48" s="29"/>
      <c r="G48" s="29"/>
      <c r="H48" s="29"/>
      <c r="I48" s="29"/>
      <c r="J48" s="29"/>
      <c r="K48" s="40">
        <f t="shared" si="1"/>
        <v>0</v>
      </c>
    </row>
    <row r="49" spans="2:11" x14ac:dyDescent="0.2">
      <c r="B49" s="11">
        <v>1112007</v>
      </c>
      <c r="C49" s="19" t="s">
        <v>48</v>
      </c>
      <c r="D49" s="29"/>
      <c r="E49" s="29"/>
      <c r="F49" s="29"/>
      <c r="G49" s="29"/>
      <c r="H49" s="29"/>
      <c r="I49" s="29"/>
      <c r="J49" s="29"/>
      <c r="K49" s="40">
        <f t="shared" si="1"/>
        <v>0</v>
      </c>
    </row>
    <row r="50" spans="2:11" x14ac:dyDescent="0.2">
      <c r="B50" s="11">
        <v>1112019</v>
      </c>
      <c r="C50" s="19" t="s">
        <v>49</v>
      </c>
      <c r="D50" s="29"/>
      <c r="E50" s="29"/>
      <c r="F50" s="29"/>
      <c r="G50" s="29"/>
      <c r="H50" s="29"/>
      <c r="I50" s="29"/>
      <c r="J50" s="29"/>
      <c r="K50" s="40">
        <f t="shared" si="1"/>
        <v>0</v>
      </c>
    </row>
    <row r="51" spans="2:11" x14ac:dyDescent="0.2">
      <c r="B51" s="11">
        <v>1112017</v>
      </c>
      <c r="C51" s="19" t="s">
        <v>50</v>
      </c>
      <c r="D51" s="29"/>
      <c r="E51" s="29"/>
      <c r="F51" s="29"/>
      <c r="G51" s="29"/>
      <c r="H51" s="29"/>
      <c r="I51" s="29"/>
      <c r="J51" s="29"/>
      <c r="K51" s="40">
        <f t="shared" si="1"/>
        <v>0</v>
      </c>
    </row>
    <row r="52" spans="2:11" x14ac:dyDescent="0.2">
      <c r="B52" s="11">
        <v>1112015</v>
      </c>
      <c r="C52" s="19" t="s">
        <v>51</v>
      </c>
      <c r="D52" s="29"/>
      <c r="E52" s="29"/>
      <c r="F52" s="29"/>
      <c r="G52" s="29"/>
      <c r="H52" s="29"/>
      <c r="I52" s="29"/>
      <c r="J52" s="29"/>
      <c r="K52" s="40">
        <f t="shared" si="1"/>
        <v>0</v>
      </c>
    </row>
    <row r="53" spans="2:11" x14ac:dyDescent="0.2">
      <c r="B53" s="11">
        <v>1112013</v>
      </c>
      <c r="C53" s="19" t="s">
        <v>52</v>
      </c>
      <c r="D53" s="29"/>
      <c r="E53" s="29"/>
      <c r="F53" s="29"/>
      <c r="G53" s="29"/>
      <c r="H53" s="29"/>
      <c r="I53" s="29"/>
      <c r="J53" s="29"/>
      <c r="K53" s="40">
        <f t="shared" si="1"/>
        <v>0</v>
      </c>
    </row>
    <row r="54" spans="2:11" x14ac:dyDescent="0.2">
      <c r="B54" s="11">
        <v>1124043</v>
      </c>
      <c r="C54" s="19" t="s">
        <v>53</v>
      </c>
      <c r="D54" s="29"/>
      <c r="E54" s="29"/>
      <c r="F54" s="29"/>
      <c r="G54" s="29"/>
      <c r="H54" s="29"/>
      <c r="I54" s="29"/>
      <c r="J54" s="29"/>
      <c r="K54" s="40">
        <f t="shared" si="1"/>
        <v>0</v>
      </c>
    </row>
    <row r="55" spans="2:11" ht="19.5" x14ac:dyDescent="0.2">
      <c r="B55" s="49" t="s">
        <v>54</v>
      </c>
      <c r="C55" s="49"/>
      <c r="D55" s="49"/>
      <c r="E55" s="49"/>
      <c r="F55" s="49"/>
      <c r="G55" s="49"/>
      <c r="H55" s="49"/>
      <c r="I55" s="49"/>
      <c r="J55" s="49"/>
      <c r="K55" s="49"/>
    </row>
    <row r="56" spans="2:11" x14ac:dyDescent="0.2">
      <c r="B56" s="11">
        <v>1113170</v>
      </c>
      <c r="C56" s="19" t="s">
        <v>93</v>
      </c>
      <c r="D56" s="11"/>
      <c r="E56" s="11"/>
      <c r="F56" s="11"/>
      <c r="G56" s="11"/>
      <c r="H56" s="11"/>
      <c r="I56" s="11"/>
      <c r="J56" s="11"/>
      <c r="K56" s="40">
        <f>SUM(D56:J56)</f>
        <v>0</v>
      </c>
    </row>
    <row r="57" spans="2:11" x14ac:dyDescent="0.2">
      <c r="B57" s="11">
        <v>1113171</v>
      </c>
      <c r="C57" s="19" t="s">
        <v>94</v>
      </c>
      <c r="D57" s="11"/>
      <c r="E57" s="11"/>
      <c r="F57" s="11"/>
      <c r="G57" s="11"/>
      <c r="H57" s="11"/>
      <c r="I57" s="11"/>
      <c r="J57" s="11"/>
      <c r="K57" s="40">
        <f t="shared" ref="K57:K78" si="2">SUM(D57:J57)</f>
        <v>0</v>
      </c>
    </row>
    <row r="58" spans="2:11" x14ac:dyDescent="0.2">
      <c r="B58" s="11">
        <v>1113172</v>
      </c>
      <c r="C58" s="19" t="s">
        <v>95</v>
      </c>
      <c r="D58" s="11"/>
      <c r="E58" s="11"/>
      <c r="F58" s="11"/>
      <c r="G58" s="11"/>
      <c r="H58" s="11"/>
      <c r="I58" s="11"/>
      <c r="J58" s="11"/>
      <c r="K58" s="40">
        <f t="shared" si="2"/>
        <v>0</v>
      </c>
    </row>
    <row r="59" spans="2:11" x14ac:dyDescent="0.2">
      <c r="B59" s="11">
        <v>1100003</v>
      </c>
      <c r="C59" s="20" t="s">
        <v>73</v>
      </c>
      <c r="D59" s="29"/>
      <c r="E59" s="29"/>
      <c r="F59" s="29"/>
      <c r="G59" s="29"/>
      <c r="H59" s="29"/>
      <c r="I59" s="29"/>
      <c r="J59" s="29"/>
      <c r="K59" s="40">
        <f t="shared" si="2"/>
        <v>0</v>
      </c>
    </row>
    <row r="60" spans="2:11" x14ac:dyDescent="0.2">
      <c r="B60" s="11">
        <v>1100001</v>
      </c>
      <c r="C60" s="20" t="s">
        <v>74</v>
      </c>
      <c r="D60" s="29"/>
      <c r="E60" s="29"/>
      <c r="F60" s="29"/>
      <c r="G60" s="29"/>
      <c r="H60" s="29"/>
      <c r="I60" s="29"/>
      <c r="J60" s="29"/>
      <c r="K60" s="40">
        <f t="shared" si="2"/>
        <v>0</v>
      </c>
    </row>
    <row r="61" spans="2:11" x14ac:dyDescent="0.2">
      <c r="B61" s="11">
        <v>1100002</v>
      </c>
      <c r="C61" s="20" t="s">
        <v>75</v>
      </c>
      <c r="D61" s="29"/>
      <c r="E61" s="29"/>
      <c r="F61" s="29"/>
      <c r="G61" s="29"/>
      <c r="H61" s="29"/>
      <c r="I61" s="29"/>
      <c r="J61" s="29"/>
      <c r="K61" s="40">
        <f t="shared" si="2"/>
        <v>0</v>
      </c>
    </row>
    <row r="62" spans="2:11" x14ac:dyDescent="0.2">
      <c r="B62" s="11">
        <v>1200001</v>
      </c>
      <c r="C62" s="20" t="s">
        <v>57</v>
      </c>
      <c r="D62" s="29"/>
      <c r="E62" s="29"/>
      <c r="F62" s="29"/>
      <c r="G62" s="29"/>
      <c r="H62" s="29"/>
      <c r="I62" s="29"/>
      <c r="J62" s="29"/>
      <c r="K62" s="40">
        <f t="shared" si="2"/>
        <v>0</v>
      </c>
    </row>
    <row r="63" spans="2:11" x14ac:dyDescent="0.2">
      <c r="B63" s="11">
        <v>1005761</v>
      </c>
      <c r="C63" s="20" t="s">
        <v>58</v>
      </c>
      <c r="D63" s="29"/>
      <c r="E63" s="29"/>
      <c r="F63" s="29"/>
      <c r="G63" s="29"/>
      <c r="H63" s="29"/>
      <c r="I63" s="29"/>
      <c r="J63" s="29"/>
      <c r="K63" s="40">
        <f t="shared" si="2"/>
        <v>0</v>
      </c>
    </row>
    <row r="64" spans="2:11" x14ac:dyDescent="0.2">
      <c r="B64" s="11">
        <v>1114501</v>
      </c>
      <c r="C64" s="20" t="s">
        <v>59</v>
      </c>
      <c r="D64" s="29"/>
      <c r="E64" s="29"/>
      <c r="F64" s="29"/>
      <c r="G64" s="29"/>
      <c r="H64" s="29"/>
      <c r="I64" s="29"/>
      <c r="J64" s="29"/>
      <c r="K64" s="40">
        <f t="shared" si="2"/>
        <v>0</v>
      </c>
    </row>
    <row r="65" spans="2:11" x14ac:dyDescent="0.2">
      <c r="B65" s="11">
        <v>1114502</v>
      </c>
      <c r="C65" s="20" t="s">
        <v>60</v>
      </c>
      <c r="D65" s="29"/>
      <c r="E65" s="29"/>
      <c r="F65" s="29"/>
      <c r="G65" s="29"/>
      <c r="H65" s="29"/>
      <c r="I65" s="29"/>
      <c r="J65" s="29"/>
      <c r="K65" s="40">
        <f t="shared" si="2"/>
        <v>0</v>
      </c>
    </row>
    <row r="66" spans="2:11" x14ac:dyDescent="0.2">
      <c r="B66" s="11">
        <v>1114503</v>
      </c>
      <c r="C66" s="20" t="s">
        <v>61</v>
      </c>
      <c r="D66" s="29"/>
      <c r="E66" s="29"/>
      <c r="F66" s="29"/>
      <c r="G66" s="29"/>
      <c r="H66" s="29"/>
      <c r="I66" s="29"/>
      <c r="J66" s="29"/>
      <c r="K66" s="40">
        <f t="shared" si="2"/>
        <v>0</v>
      </c>
    </row>
    <row r="67" spans="2:11" x14ac:dyDescent="0.2">
      <c r="B67" s="11">
        <v>1124021</v>
      </c>
      <c r="C67" s="20" t="s">
        <v>62</v>
      </c>
      <c r="D67" s="29"/>
      <c r="E67" s="29"/>
      <c r="F67" s="29"/>
      <c r="G67" s="29"/>
      <c r="H67" s="29"/>
      <c r="I67" s="29"/>
      <c r="J67" s="29"/>
      <c r="K67" s="40">
        <f t="shared" si="2"/>
        <v>0</v>
      </c>
    </row>
    <row r="68" spans="2:11" x14ac:dyDescent="0.2">
      <c r="B68" s="11">
        <v>1113084</v>
      </c>
      <c r="C68" s="20" t="s">
        <v>63</v>
      </c>
      <c r="D68" s="29"/>
      <c r="E68" s="29"/>
      <c r="F68" s="29"/>
      <c r="G68" s="29"/>
      <c r="H68" s="29"/>
      <c r="I68" s="29"/>
      <c r="J68" s="29"/>
      <c r="K68" s="40">
        <f t="shared" si="2"/>
        <v>0</v>
      </c>
    </row>
    <row r="69" spans="2:11" x14ac:dyDescent="0.2">
      <c r="B69" s="11">
        <v>900003</v>
      </c>
      <c r="C69" s="20" t="s">
        <v>83</v>
      </c>
      <c r="D69" s="29"/>
      <c r="E69" s="29"/>
      <c r="F69" s="29"/>
      <c r="G69" s="29"/>
      <c r="H69" s="29"/>
      <c r="I69" s="29"/>
      <c r="J69" s="29"/>
      <c r="K69" s="40">
        <f t="shared" si="2"/>
        <v>0</v>
      </c>
    </row>
    <row r="70" spans="2:11" x14ac:dyDescent="0.2">
      <c r="B70" s="11">
        <v>900004</v>
      </c>
      <c r="C70" s="20" t="s">
        <v>64</v>
      </c>
      <c r="D70" s="29"/>
      <c r="E70" s="29"/>
      <c r="F70" s="29"/>
      <c r="G70" s="29"/>
      <c r="H70" s="29"/>
      <c r="I70" s="29"/>
      <c r="J70" s="29"/>
      <c r="K70" s="40">
        <f t="shared" si="2"/>
        <v>0</v>
      </c>
    </row>
    <row r="71" spans="2:11" x14ac:dyDescent="0.2">
      <c r="B71" s="11">
        <v>1200002</v>
      </c>
      <c r="C71" s="20" t="s">
        <v>65</v>
      </c>
      <c r="D71" s="29"/>
      <c r="E71" s="29"/>
      <c r="F71" s="29"/>
      <c r="G71" s="29"/>
      <c r="H71" s="29"/>
      <c r="I71" s="29"/>
      <c r="J71" s="29"/>
      <c r="K71" s="40">
        <f t="shared" si="2"/>
        <v>0</v>
      </c>
    </row>
    <row r="72" spans="2:11" x14ac:dyDescent="0.2">
      <c r="B72" s="11">
        <v>1200003</v>
      </c>
      <c r="C72" s="20" t="s">
        <v>66</v>
      </c>
      <c r="D72" s="29"/>
      <c r="E72" s="29"/>
      <c r="F72" s="29"/>
      <c r="G72" s="29"/>
      <c r="H72" s="29"/>
      <c r="I72" s="29"/>
      <c r="J72" s="29"/>
      <c r="K72" s="40">
        <f t="shared" si="2"/>
        <v>0</v>
      </c>
    </row>
    <row r="73" spans="2:11" x14ac:dyDescent="0.2">
      <c r="B73" s="11">
        <v>1200004</v>
      </c>
      <c r="C73" s="20" t="s">
        <v>67</v>
      </c>
      <c r="D73" s="29"/>
      <c r="E73" s="29"/>
      <c r="F73" s="29"/>
      <c r="G73" s="29"/>
      <c r="H73" s="29"/>
      <c r="I73" s="29"/>
      <c r="J73" s="29"/>
      <c r="K73" s="40">
        <f t="shared" si="2"/>
        <v>0</v>
      </c>
    </row>
    <row r="74" spans="2:11" x14ac:dyDescent="0.2">
      <c r="B74" s="11">
        <v>1200093</v>
      </c>
      <c r="C74" s="20" t="s">
        <v>55</v>
      </c>
      <c r="D74" s="29"/>
      <c r="E74" s="29"/>
      <c r="F74" s="29"/>
      <c r="G74" s="29"/>
      <c r="H74" s="29"/>
      <c r="I74" s="29"/>
      <c r="J74" s="29"/>
      <c r="K74" s="40">
        <f t="shared" si="2"/>
        <v>0</v>
      </c>
    </row>
    <row r="75" spans="2:11" x14ac:dyDescent="0.2">
      <c r="B75" s="11">
        <v>1200092</v>
      </c>
      <c r="C75" s="19" t="s">
        <v>56</v>
      </c>
      <c r="D75" s="29"/>
      <c r="E75" s="29"/>
      <c r="F75" s="29"/>
      <c r="G75" s="29"/>
      <c r="H75" s="29"/>
      <c r="I75" s="29"/>
      <c r="J75" s="29"/>
      <c r="K75" s="40">
        <f t="shared" si="2"/>
        <v>0</v>
      </c>
    </row>
    <row r="76" spans="2:11" x14ac:dyDescent="0.2">
      <c r="B76" s="21"/>
      <c r="C76" s="20" t="s">
        <v>76</v>
      </c>
      <c r="D76" s="29"/>
      <c r="E76" s="29"/>
      <c r="F76" s="29"/>
      <c r="G76" s="29"/>
      <c r="H76" s="29"/>
      <c r="I76" s="29"/>
      <c r="J76" s="29"/>
      <c r="K76" s="40">
        <f t="shared" si="2"/>
        <v>0</v>
      </c>
    </row>
    <row r="77" spans="2:11" x14ac:dyDescent="0.2">
      <c r="B77" s="21"/>
      <c r="C77" s="20" t="s">
        <v>77</v>
      </c>
      <c r="D77" s="29"/>
      <c r="E77" s="29"/>
      <c r="F77" s="29"/>
      <c r="G77" s="29"/>
      <c r="H77" s="29"/>
      <c r="I77" s="29"/>
      <c r="J77" s="29"/>
      <c r="K77" s="40">
        <f t="shared" si="2"/>
        <v>0</v>
      </c>
    </row>
    <row r="78" spans="2:11" x14ac:dyDescent="0.2">
      <c r="B78" s="21"/>
      <c r="C78" s="20" t="s">
        <v>88</v>
      </c>
      <c r="D78" s="29"/>
      <c r="E78" s="29"/>
      <c r="F78" s="29"/>
      <c r="G78" s="29"/>
      <c r="H78" s="29"/>
      <c r="I78" s="29"/>
      <c r="J78" s="29"/>
      <c r="K78" s="40">
        <f t="shared" si="2"/>
        <v>0</v>
      </c>
    </row>
    <row r="79" spans="2:11" x14ac:dyDescent="0.2">
      <c r="C79" s="34"/>
      <c r="D79" s="37"/>
      <c r="E79" s="37"/>
      <c r="F79" s="37"/>
      <c r="G79" s="37"/>
      <c r="H79" s="37"/>
      <c r="I79" s="37"/>
      <c r="J79" s="37"/>
      <c r="K79" s="38"/>
    </row>
    <row r="80" spans="2:11" ht="28.5" customHeight="1" x14ac:dyDescent="0.2">
      <c r="C80" s="34"/>
      <c r="D80" s="38"/>
      <c r="E80" s="38"/>
      <c r="F80" s="38"/>
      <c r="G80" s="38"/>
      <c r="H80" s="38"/>
      <c r="I80" s="38"/>
      <c r="J80" s="38"/>
      <c r="K80" s="38"/>
    </row>
    <row r="81" spans="4:8" x14ac:dyDescent="0.2">
      <c r="D81" s="30"/>
      <c r="E81" s="30"/>
      <c r="F81" s="30"/>
      <c r="G81" s="30"/>
      <c r="H81" s="30"/>
    </row>
    <row r="82" spans="4:8" x14ac:dyDescent="0.2">
      <c r="D82" s="30"/>
      <c r="E82" s="30"/>
      <c r="F82" s="30"/>
      <c r="G82" s="30"/>
      <c r="H82" s="30"/>
    </row>
    <row r="83" spans="4:8" x14ac:dyDescent="0.2">
      <c r="D83" s="30"/>
      <c r="E83" s="30"/>
      <c r="F83" s="30"/>
      <c r="G83" s="30"/>
      <c r="H83" s="30"/>
    </row>
    <row r="84" spans="4:8" x14ac:dyDescent="0.2">
      <c r="D84" s="30"/>
      <c r="E84" s="30"/>
      <c r="F84" s="30"/>
      <c r="G84" s="30"/>
      <c r="H84" s="30"/>
    </row>
    <row r="85" spans="4:8" x14ac:dyDescent="0.2">
      <c r="D85" s="30"/>
      <c r="E85" s="30"/>
      <c r="F85" s="30"/>
      <c r="G85" s="30"/>
      <c r="H85" s="30"/>
    </row>
    <row r="86" spans="4:8" x14ac:dyDescent="0.2">
      <c r="D86" s="30"/>
      <c r="E86" s="30"/>
      <c r="F86" s="30"/>
      <c r="G86" s="30"/>
      <c r="H86" s="30"/>
    </row>
  </sheetData>
  <mergeCells count="7">
    <mergeCell ref="B44:K44"/>
    <mergeCell ref="B55:K55"/>
    <mergeCell ref="B1:K1"/>
    <mergeCell ref="B2:J3"/>
    <mergeCell ref="B6:K6"/>
    <mergeCell ref="B36:K36"/>
    <mergeCell ref="B38:K3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C1525-98FB-494E-BC50-15FBBA6E2A97}">
  <sheetPr>
    <pageSetUpPr fitToPage="1"/>
  </sheetPr>
  <dimension ref="B1:K88"/>
  <sheetViews>
    <sheetView topLeftCell="A36" zoomScale="60" zoomScaleNormal="60" workbookViewId="0">
      <selection activeCell="J54" sqref="J54"/>
    </sheetView>
  </sheetViews>
  <sheetFormatPr defaultRowHeight="22.5" x14ac:dyDescent="0.2"/>
  <cols>
    <col min="2" max="2" width="22.125" style="22" customWidth="1"/>
    <col min="3" max="3" width="59.125" style="22" customWidth="1"/>
    <col min="4" max="4" width="15" style="16" customWidth="1"/>
    <col min="5" max="10" width="14.375" style="16" customWidth="1"/>
    <col min="11" max="11" width="17.625" style="24" customWidth="1"/>
  </cols>
  <sheetData>
    <row r="1" spans="2:11" x14ac:dyDescent="0.2">
      <c r="B1" s="50" t="s">
        <v>101</v>
      </c>
      <c r="C1" s="50"/>
      <c r="D1" s="50"/>
      <c r="E1" s="50"/>
      <c r="F1" s="50"/>
      <c r="G1" s="50"/>
      <c r="H1" s="50"/>
      <c r="I1" s="50"/>
      <c r="J1" s="50"/>
      <c r="K1" s="50"/>
    </row>
    <row r="2" spans="2:11" x14ac:dyDescent="0.2">
      <c r="B2" s="51"/>
      <c r="C2" s="52"/>
      <c r="D2" s="52"/>
      <c r="E2" s="52"/>
      <c r="F2" s="52"/>
      <c r="G2" s="52"/>
      <c r="H2" s="52"/>
      <c r="I2" s="52"/>
      <c r="J2" s="53"/>
      <c r="K2" s="41" t="s">
        <v>0</v>
      </c>
    </row>
    <row r="3" spans="2:11" x14ac:dyDescent="0.2">
      <c r="B3" s="54"/>
      <c r="C3" s="55"/>
      <c r="D3" s="55"/>
      <c r="E3" s="55"/>
      <c r="F3" s="55"/>
      <c r="G3" s="55"/>
      <c r="H3" s="55"/>
      <c r="I3" s="55"/>
      <c r="J3" s="56"/>
      <c r="K3" s="41" t="s">
        <v>2</v>
      </c>
    </row>
    <row r="4" spans="2:11" x14ac:dyDescent="0.2">
      <c r="B4" s="7" t="s">
        <v>3</v>
      </c>
      <c r="C4" s="7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85</v>
      </c>
      <c r="I4" s="9" t="s">
        <v>9</v>
      </c>
      <c r="J4" s="9" t="s">
        <v>103</v>
      </c>
      <c r="K4" s="41" t="s">
        <v>10</v>
      </c>
    </row>
    <row r="5" spans="2:11" x14ac:dyDescent="0.2">
      <c r="B5" s="11"/>
      <c r="C5" s="11"/>
      <c r="D5" s="9"/>
      <c r="E5" s="9"/>
      <c r="F5" s="9"/>
      <c r="G5" s="9"/>
      <c r="H5" s="9"/>
      <c r="I5" s="9"/>
      <c r="J5" s="9"/>
      <c r="K5" s="42"/>
    </row>
    <row r="6" spans="2:11" ht="19.5" x14ac:dyDescent="0.2">
      <c r="B6" s="49" t="s">
        <v>11</v>
      </c>
      <c r="C6" s="49"/>
      <c r="D6" s="49"/>
      <c r="E6" s="49"/>
      <c r="F6" s="49"/>
      <c r="G6" s="49"/>
      <c r="H6" s="49"/>
      <c r="I6" s="49"/>
      <c r="J6" s="49"/>
      <c r="K6" s="49"/>
    </row>
    <row r="7" spans="2:11" x14ac:dyDescent="0.2">
      <c r="B7" s="11">
        <v>1111002</v>
      </c>
      <c r="C7" s="15" t="s">
        <v>71</v>
      </c>
      <c r="D7" s="29"/>
      <c r="E7" s="29">
        <v>44</v>
      </c>
      <c r="F7" s="29">
        <v>49</v>
      </c>
      <c r="G7" s="29">
        <v>1</v>
      </c>
      <c r="H7" s="29"/>
      <c r="I7" s="29"/>
      <c r="J7" s="29"/>
      <c r="K7" s="40">
        <f>SUM(D7:J7)</f>
        <v>94</v>
      </c>
    </row>
    <row r="8" spans="2:11" x14ac:dyDescent="0.2">
      <c r="B8" s="11">
        <v>1111086</v>
      </c>
      <c r="C8" s="15" t="s">
        <v>99</v>
      </c>
      <c r="D8" s="29"/>
      <c r="E8" s="29"/>
      <c r="F8" s="29"/>
      <c r="G8" s="29"/>
      <c r="H8" s="29"/>
      <c r="I8" s="29"/>
      <c r="J8" s="29"/>
      <c r="K8" s="40">
        <f t="shared" ref="K8:K35" si="0">SUM(D8:J8)</f>
        <v>0</v>
      </c>
    </row>
    <row r="9" spans="2:11" x14ac:dyDescent="0.2">
      <c r="B9" s="11">
        <v>1111056</v>
      </c>
      <c r="C9" s="15" t="s">
        <v>13</v>
      </c>
      <c r="D9" s="29"/>
      <c r="E9" s="29">
        <v>5</v>
      </c>
      <c r="F9" s="29">
        <v>8</v>
      </c>
      <c r="G9" s="29"/>
      <c r="H9" s="29"/>
      <c r="I9" s="29">
        <v>4</v>
      </c>
      <c r="J9" s="29"/>
      <c r="K9" s="40">
        <f t="shared" si="0"/>
        <v>17</v>
      </c>
    </row>
    <row r="10" spans="2:11" x14ac:dyDescent="0.2">
      <c r="B10" s="11">
        <v>1004055</v>
      </c>
      <c r="C10" s="15" t="s">
        <v>72</v>
      </c>
      <c r="D10" s="29">
        <v>14</v>
      </c>
      <c r="E10" s="29"/>
      <c r="F10" s="29">
        <v>1</v>
      </c>
      <c r="G10" s="29">
        <v>81</v>
      </c>
      <c r="H10" s="29">
        <v>90</v>
      </c>
      <c r="I10" s="29">
        <v>72</v>
      </c>
      <c r="J10" s="29">
        <v>39</v>
      </c>
      <c r="K10" s="40">
        <f t="shared" si="0"/>
        <v>297</v>
      </c>
    </row>
    <row r="11" spans="2:11" x14ac:dyDescent="0.2">
      <c r="B11" s="11">
        <v>1111057</v>
      </c>
      <c r="C11" s="15" t="s">
        <v>14</v>
      </c>
      <c r="D11" s="29"/>
      <c r="E11" s="29"/>
      <c r="F11" s="29"/>
      <c r="G11" s="29">
        <v>6</v>
      </c>
      <c r="H11" s="29">
        <v>3</v>
      </c>
      <c r="I11" s="29">
        <v>1</v>
      </c>
      <c r="J11" s="29">
        <v>1</v>
      </c>
      <c r="K11" s="40">
        <f t="shared" si="0"/>
        <v>11</v>
      </c>
    </row>
    <row r="12" spans="2:11" x14ac:dyDescent="0.2">
      <c r="B12" s="11">
        <v>1111058</v>
      </c>
      <c r="C12" s="15" t="s">
        <v>15</v>
      </c>
      <c r="D12" s="29"/>
      <c r="E12" s="29"/>
      <c r="F12" s="29"/>
      <c r="G12" s="29">
        <v>6</v>
      </c>
      <c r="H12" s="29">
        <v>3</v>
      </c>
      <c r="I12" s="29">
        <v>1</v>
      </c>
      <c r="J12" s="29">
        <v>1</v>
      </c>
      <c r="K12" s="40">
        <f t="shared" si="0"/>
        <v>11</v>
      </c>
    </row>
    <row r="13" spans="2:11" x14ac:dyDescent="0.2">
      <c r="B13" s="11">
        <v>1111059</v>
      </c>
      <c r="C13" s="15" t="s">
        <v>16</v>
      </c>
      <c r="D13" s="29"/>
      <c r="E13" s="29"/>
      <c r="F13" s="29"/>
      <c r="G13" s="29">
        <v>6</v>
      </c>
      <c r="H13" s="29">
        <v>3</v>
      </c>
      <c r="I13" s="29">
        <v>6</v>
      </c>
      <c r="J13" s="29"/>
      <c r="K13" s="40">
        <f t="shared" si="0"/>
        <v>15</v>
      </c>
    </row>
    <row r="14" spans="2:11" x14ac:dyDescent="0.2">
      <c r="B14" s="11">
        <v>1111060</v>
      </c>
      <c r="C14" s="15" t="s">
        <v>17</v>
      </c>
      <c r="D14" s="29"/>
      <c r="E14" s="29"/>
      <c r="F14" s="29"/>
      <c r="G14" s="29">
        <v>6</v>
      </c>
      <c r="H14" s="29">
        <v>3</v>
      </c>
      <c r="I14" s="29">
        <v>1</v>
      </c>
      <c r="J14" s="29"/>
      <c r="K14" s="40">
        <f t="shared" si="0"/>
        <v>10</v>
      </c>
    </row>
    <row r="15" spans="2:11" x14ac:dyDescent="0.2">
      <c r="B15" s="11">
        <v>1111061</v>
      </c>
      <c r="C15" s="15" t="s">
        <v>18</v>
      </c>
      <c r="D15" s="29"/>
      <c r="E15" s="29"/>
      <c r="F15" s="29"/>
      <c r="G15" s="29">
        <v>6</v>
      </c>
      <c r="H15" s="29">
        <v>3</v>
      </c>
      <c r="I15" s="29"/>
      <c r="J15" s="29"/>
      <c r="K15" s="40">
        <f t="shared" si="0"/>
        <v>9</v>
      </c>
    </row>
    <row r="16" spans="2:11" x14ac:dyDescent="0.2">
      <c r="B16" s="11">
        <v>1111062</v>
      </c>
      <c r="C16" s="15" t="s">
        <v>19</v>
      </c>
      <c r="D16" s="29"/>
      <c r="E16" s="29"/>
      <c r="F16" s="29"/>
      <c r="G16" s="29">
        <v>6</v>
      </c>
      <c r="H16" s="29">
        <v>3</v>
      </c>
      <c r="I16" s="29"/>
      <c r="J16" s="29"/>
      <c r="K16" s="40">
        <f t="shared" si="0"/>
        <v>9</v>
      </c>
    </row>
    <row r="17" spans="2:11" x14ac:dyDescent="0.2">
      <c r="B17" s="11">
        <v>1111063</v>
      </c>
      <c r="C17" s="15" t="s">
        <v>20</v>
      </c>
      <c r="D17" s="29"/>
      <c r="E17" s="29"/>
      <c r="F17" s="29"/>
      <c r="G17" s="29">
        <v>6</v>
      </c>
      <c r="H17" s="29">
        <v>3</v>
      </c>
      <c r="I17" s="29">
        <v>1</v>
      </c>
      <c r="J17" s="29"/>
      <c r="K17" s="40">
        <f t="shared" si="0"/>
        <v>10</v>
      </c>
    </row>
    <row r="18" spans="2:11" x14ac:dyDescent="0.2">
      <c r="B18" s="11">
        <v>1111064</v>
      </c>
      <c r="C18" s="15" t="s">
        <v>21</v>
      </c>
      <c r="D18" s="29"/>
      <c r="E18" s="29"/>
      <c r="F18" s="29"/>
      <c r="G18" s="29">
        <v>6</v>
      </c>
      <c r="H18" s="29">
        <v>3</v>
      </c>
      <c r="I18" s="29"/>
      <c r="J18" s="29"/>
      <c r="K18" s="40">
        <f t="shared" si="0"/>
        <v>9</v>
      </c>
    </row>
    <row r="19" spans="2:11" x14ac:dyDescent="0.2">
      <c r="B19" s="11">
        <v>1111065</v>
      </c>
      <c r="C19" s="15" t="s">
        <v>22</v>
      </c>
      <c r="D19" s="29"/>
      <c r="E19" s="29"/>
      <c r="F19" s="29"/>
      <c r="G19" s="29">
        <v>6</v>
      </c>
      <c r="H19" s="29">
        <v>3</v>
      </c>
      <c r="I19" s="29">
        <v>1</v>
      </c>
      <c r="J19" s="29"/>
      <c r="K19" s="40">
        <f t="shared" si="0"/>
        <v>10</v>
      </c>
    </row>
    <row r="20" spans="2:11" x14ac:dyDescent="0.2">
      <c r="B20" s="11">
        <v>1111066</v>
      </c>
      <c r="C20" s="15" t="s">
        <v>23</v>
      </c>
      <c r="D20" s="29"/>
      <c r="E20" s="29"/>
      <c r="F20" s="29"/>
      <c r="G20" s="29">
        <v>5</v>
      </c>
      <c r="H20" s="29">
        <v>3</v>
      </c>
      <c r="I20" s="29">
        <v>1</v>
      </c>
      <c r="J20" s="29"/>
      <c r="K20" s="40">
        <f t="shared" si="0"/>
        <v>9</v>
      </c>
    </row>
    <row r="21" spans="2:11" x14ac:dyDescent="0.2">
      <c r="B21" s="11">
        <v>1111067</v>
      </c>
      <c r="C21" s="15" t="s">
        <v>24</v>
      </c>
      <c r="D21" s="29"/>
      <c r="E21" s="29"/>
      <c r="F21" s="29"/>
      <c r="G21" s="29">
        <v>5</v>
      </c>
      <c r="H21" s="29">
        <v>3</v>
      </c>
      <c r="I21" s="29">
        <v>6</v>
      </c>
      <c r="J21" s="29"/>
      <c r="K21" s="40">
        <f t="shared" si="0"/>
        <v>14</v>
      </c>
    </row>
    <row r="22" spans="2:11" x14ac:dyDescent="0.2">
      <c r="B22" s="11">
        <v>1111068</v>
      </c>
      <c r="C22" s="15" t="s">
        <v>25</v>
      </c>
      <c r="D22" s="29"/>
      <c r="E22" s="29"/>
      <c r="F22" s="29"/>
      <c r="G22" s="29">
        <v>5</v>
      </c>
      <c r="H22" s="29">
        <v>3</v>
      </c>
      <c r="I22" s="29">
        <v>1</v>
      </c>
      <c r="J22" s="29"/>
      <c r="K22" s="40">
        <f t="shared" si="0"/>
        <v>9</v>
      </c>
    </row>
    <row r="23" spans="2:11" x14ac:dyDescent="0.2">
      <c r="B23" s="11">
        <v>1111069</v>
      </c>
      <c r="C23" s="15" t="s">
        <v>26</v>
      </c>
      <c r="D23" s="29"/>
      <c r="E23" s="29"/>
      <c r="F23" s="29"/>
      <c r="G23" s="29">
        <v>5</v>
      </c>
      <c r="H23" s="29">
        <v>2</v>
      </c>
      <c r="I23" s="29">
        <v>1</v>
      </c>
      <c r="J23" s="29"/>
      <c r="K23" s="40">
        <f t="shared" si="0"/>
        <v>8</v>
      </c>
    </row>
    <row r="24" spans="2:11" x14ac:dyDescent="0.2">
      <c r="B24" s="11">
        <v>1111070</v>
      </c>
      <c r="C24" s="15" t="s">
        <v>79</v>
      </c>
      <c r="D24" s="29"/>
      <c r="E24" s="29"/>
      <c r="F24" s="29"/>
      <c r="G24" s="29">
        <v>5</v>
      </c>
      <c r="H24" s="29">
        <v>2</v>
      </c>
      <c r="I24" s="29"/>
      <c r="J24" s="29"/>
      <c r="K24" s="40">
        <f t="shared" si="0"/>
        <v>7</v>
      </c>
    </row>
    <row r="25" spans="2:11" x14ac:dyDescent="0.2">
      <c r="B25" s="11">
        <v>1111071</v>
      </c>
      <c r="C25" s="15" t="s">
        <v>80</v>
      </c>
      <c r="D25" s="29"/>
      <c r="E25" s="29"/>
      <c r="F25" s="29"/>
      <c r="G25" s="29">
        <v>5</v>
      </c>
      <c r="H25" s="29">
        <v>2</v>
      </c>
      <c r="I25" s="29"/>
      <c r="J25" s="29"/>
      <c r="K25" s="40">
        <f t="shared" si="0"/>
        <v>7</v>
      </c>
    </row>
    <row r="26" spans="2:11" x14ac:dyDescent="0.2">
      <c r="B26" s="11">
        <v>1111074</v>
      </c>
      <c r="C26" s="15" t="s">
        <v>28</v>
      </c>
      <c r="D26" s="29"/>
      <c r="E26" s="29">
        <v>5</v>
      </c>
      <c r="F26" s="29">
        <v>3</v>
      </c>
      <c r="G26" s="29"/>
      <c r="H26" s="29">
        <v>1</v>
      </c>
      <c r="I26" s="29"/>
      <c r="J26" s="29">
        <v>11</v>
      </c>
      <c r="K26" s="40">
        <f t="shared" si="0"/>
        <v>20</v>
      </c>
    </row>
    <row r="27" spans="2:11" x14ac:dyDescent="0.2">
      <c r="B27" s="11">
        <v>1111075</v>
      </c>
      <c r="C27" s="15" t="s">
        <v>29</v>
      </c>
      <c r="D27" s="29"/>
      <c r="E27" s="29">
        <v>5</v>
      </c>
      <c r="F27" s="29">
        <v>3</v>
      </c>
      <c r="G27" s="29"/>
      <c r="H27" s="29"/>
      <c r="I27" s="29"/>
      <c r="J27" s="29">
        <v>11</v>
      </c>
      <c r="K27" s="40">
        <f t="shared" si="0"/>
        <v>19</v>
      </c>
    </row>
    <row r="28" spans="2:11" x14ac:dyDescent="0.2">
      <c r="B28" s="11">
        <v>1111076</v>
      </c>
      <c r="C28" s="15" t="s">
        <v>30</v>
      </c>
      <c r="D28" s="29"/>
      <c r="E28" s="29">
        <v>5</v>
      </c>
      <c r="F28" s="29">
        <v>3</v>
      </c>
      <c r="G28" s="29"/>
      <c r="H28" s="29"/>
      <c r="I28" s="29"/>
      <c r="J28" s="29">
        <v>10</v>
      </c>
      <c r="K28" s="40">
        <f t="shared" si="0"/>
        <v>18</v>
      </c>
    </row>
    <row r="29" spans="2:11" x14ac:dyDescent="0.2">
      <c r="B29" s="11">
        <v>1111077</v>
      </c>
      <c r="C29" s="15" t="s">
        <v>31</v>
      </c>
      <c r="D29" s="29"/>
      <c r="E29" s="29">
        <v>5</v>
      </c>
      <c r="F29" s="29">
        <v>3</v>
      </c>
      <c r="G29" s="29"/>
      <c r="H29" s="29"/>
      <c r="I29" s="29"/>
      <c r="J29" s="29">
        <v>10</v>
      </c>
      <c r="K29" s="40">
        <f t="shared" si="0"/>
        <v>18</v>
      </c>
    </row>
    <row r="30" spans="2:11" x14ac:dyDescent="0.2">
      <c r="B30" s="11">
        <v>1111078</v>
      </c>
      <c r="C30" s="15" t="s">
        <v>32</v>
      </c>
      <c r="D30" s="29"/>
      <c r="E30" s="29">
        <v>5</v>
      </c>
      <c r="F30" s="29">
        <v>3</v>
      </c>
      <c r="G30" s="29"/>
      <c r="H30" s="29"/>
      <c r="I30" s="29"/>
      <c r="J30" s="29">
        <v>10</v>
      </c>
      <c r="K30" s="40">
        <f t="shared" si="0"/>
        <v>18</v>
      </c>
    </row>
    <row r="31" spans="2:11" x14ac:dyDescent="0.2">
      <c r="B31" s="11">
        <v>1111079</v>
      </c>
      <c r="C31" s="15" t="s">
        <v>33</v>
      </c>
      <c r="D31" s="29"/>
      <c r="E31" s="29">
        <v>5</v>
      </c>
      <c r="F31" s="29">
        <v>3</v>
      </c>
      <c r="G31" s="29"/>
      <c r="H31" s="29"/>
      <c r="I31" s="29"/>
      <c r="J31" s="29">
        <v>10</v>
      </c>
      <c r="K31" s="40">
        <f t="shared" si="0"/>
        <v>18</v>
      </c>
    </row>
    <row r="32" spans="2:11" x14ac:dyDescent="0.2">
      <c r="B32" s="11">
        <v>1111080</v>
      </c>
      <c r="C32" s="15" t="s">
        <v>34</v>
      </c>
      <c r="D32" s="29"/>
      <c r="E32" s="29">
        <v>5</v>
      </c>
      <c r="F32" s="29">
        <v>3</v>
      </c>
      <c r="G32" s="29"/>
      <c r="H32" s="29"/>
      <c r="I32" s="29"/>
      <c r="J32" s="29">
        <v>10</v>
      </c>
      <c r="K32" s="40">
        <f t="shared" si="0"/>
        <v>18</v>
      </c>
    </row>
    <row r="33" spans="2:11" x14ac:dyDescent="0.2">
      <c r="B33" s="11">
        <v>1111081</v>
      </c>
      <c r="C33" s="15" t="s">
        <v>35</v>
      </c>
      <c r="D33" s="29"/>
      <c r="E33" s="29">
        <v>5</v>
      </c>
      <c r="F33" s="29">
        <v>3</v>
      </c>
      <c r="G33" s="29"/>
      <c r="H33" s="29"/>
      <c r="I33" s="29"/>
      <c r="J33" s="29">
        <v>10</v>
      </c>
      <c r="K33" s="40">
        <f t="shared" si="0"/>
        <v>18</v>
      </c>
    </row>
    <row r="34" spans="2:11" x14ac:dyDescent="0.2">
      <c r="B34" s="11">
        <v>1111082</v>
      </c>
      <c r="C34" s="15" t="s">
        <v>36</v>
      </c>
      <c r="D34" s="29"/>
      <c r="E34" s="29">
        <v>5</v>
      </c>
      <c r="F34" s="29">
        <v>3</v>
      </c>
      <c r="G34" s="29"/>
      <c r="H34" s="29"/>
      <c r="I34" s="29"/>
      <c r="J34" s="29">
        <v>10</v>
      </c>
      <c r="K34" s="40">
        <f t="shared" si="0"/>
        <v>18</v>
      </c>
    </row>
    <row r="35" spans="2:11" x14ac:dyDescent="0.2">
      <c r="B35" s="11">
        <v>1111083</v>
      </c>
      <c r="C35" s="15" t="s">
        <v>37</v>
      </c>
      <c r="D35" s="29"/>
      <c r="E35" s="29">
        <v>5</v>
      </c>
      <c r="F35" s="29">
        <v>3</v>
      </c>
      <c r="G35" s="29"/>
      <c r="H35" s="29"/>
      <c r="I35" s="29"/>
      <c r="J35" s="29">
        <v>10</v>
      </c>
      <c r="K35" s="40">
        <f t="shared" si="0"/>
        <v>18</v>
      </c>
    </row>
    <row r="36" spans="2:11" ht="19.5" x14ac:dyDescent="0.2">
      <c r="B36" s="49" t="s">
        <v>39</v>
      </c>
      <c r="C36" s="49"/>
      <c r="D36" s="49"/>
      <c r="E36" s="49"/>
      <c r="F36" s="49"/>
      <c r="G36" s="49"/>
      <c r="H36" s="49"/>
      <c r="I36" s="49"/>
      <c r="J36" s="49"/>
      <c r="K36" s="49"/>
    </row>
    <row r="37" spans="2:11" x14ac:dyDescent="0.2">
      <c r="B37" s="11">
        <v>1111009</v>
      </c>
      <c r="C37" s="19" t="s">
        <v>40</v>
      </c>
      <c r="D37" s="29"/>
      <c r="E37" s="29">
        <v>3</v>
      </c>
      <c r="F37" s="29">
        <v>4</v>
      </c>
      <c r="G37" s="29">
        <v>1</v>
      </c>
      <c r="H37" s="29">
        <v>1</v>
      </c>
      <c r="I37" s="29"/>
      <c r="J37" s="29">
        <v>2</v>
      </c>
      <c r="K37" s="40">
        <f>SUM(D37:J37)</f>
        <v>11</v>
      </c>
    </row>
    <row r="38" spans="2:11" ht="19.5" x14ac:dyDescent="0.2">
      <c r="B38" s="49" t="s">
        <v>41</v>
      </c>
      <c r="C38" s="49"/>
      <c r="D38" s="49"/>
      <c r="E38" s="49"/>
      <c r="F38" s="49"/>
      <c r="G38" s="49"/>
      <c r="H38" s="49"/>
      <c r="I38" s="49"/>
      <c r="J38" s="49"/>
      <c r="K38" s="49"/>
    </row>
    <row r="39" spans="2:11" x14ac:dyDescent="0.2">
      <c r="B39" s="11">
        <v>1111008</v>
      </c>
      <c r="C39" s="19" t="s">
        <v>42</v>
      </c>
      <c r="D39" s="29">
        <v>5</v>
      </c>
      <c r="E39" s="29">
        <v>6</v>
      </c>
      <c r="F39" s="29"/>
      <c r="G39" s="29">
        <v>102</v>
      </c>
      <c r="H39" s="29">
        <v>114</v>
      </c>
      <c r="I39" s="29">
        <v>90</v>
      </c>
      <c r="J39" s="29">
        <v>9</v>
      </c>
      <c r="K39" s="40">
        <f>SUM(D39:J39)</f>
        <v>326</v>
      </c>
    </row>
    <row r="40" spans="2:11" x14ac:dyDescent="0.2">
      <c r="B40" s="11">
        <v>1111017</v>
      </c>
      <c r="C40" s="19" t="s">
        <v>89</v>
      </c>
      <c r="D40" s="29"/>
      <c r="E40" s="29"/>
      <c r="F40" s="29"/>
      <c r="G40" s="29"/>
      <c r="H40" s="29"/>
      <c r="I40" s="29"/>
      <c r="J40" s="29"/>
      <c r="K40" s="40">
        <f t="shared" ref="K40:K43" si="1">SUM(D40:J40)</f>
        <v>0</v>
      </c>
    </row>
    <row r="41" spans="2:11" x14ac:dyDescent="0.2">
      <c r="B41" s="11">
        <v>1111019</v>
      </c>
      <c r="C41" s="19" t="s">
        <v>97</v>
      </c>
      <c r="D41" s="29">
        <v>5</v>
      </c>
      <c r="E41" s="29"/>
      <c r="F41" s="29"/>
      <c r="G41" s="29"/>
      <c r="H41" s="29"/>
      <c r="I41" s="29"/>
      <c r="J41" s="29"/>
      <c r="K41" s="40">
        <f t="shared" si="1"/>
        <v>5</v>
      </c>
    </row>
    <row r="42" spans="2:11" x14ac:dyDescent="0.2">
      <c r="B42" s="11">
        <v>1111022</v>
      </c>
      <c r="C42" s="19" t="s">
        <v>90</v>
      </c>
      <c r="D42" s="29"/>
      <c r="E42" s="29"/>
      <c r="F42" s="29"/>
      <c r="G42" s="29"/>
      <c r="H42" s="29"/>
      <c r="I42" s="29"/>
      <c r="J42" s="29"/>
      <c r="K42" s="40">
        <f t="shared" si="1"/>
        <v>0</v>
      </c>
    </row>
    <row r="43" spans="2:11" x14ac:dyDescent="0.2">
      <c r="B43" s="11">
        <v>1111024</v>
      </c>
      <c r="C43" s="19" t="s">
        <v>98</v>
      </c>
      <c r="D43" s="29"/>
      <c r="E43" s="29"/>
      <c r="F43" s="29"/>
      <c r="G43" s="29"/>
      <c r="H43" s="29"/>
      <c r="I43" s="29"/>
      <c r="J43" s="29"/>
      <c r="K43" s="40">
        <f t="shared" si="1"/>
        <v>0</v>
      </c>
    </row>
    <row r="44" spans="2:11" ht="19.5" x14ac:dyDescent="0.2">
      <c r="B44" s="49" t="s">
        <v>43</v>
      </c>
      <c r="C44" s="49"/>
      <c r="D44" s="49"/>
      <c r="E44" s="49"/>
      <c r="F44" s="49"/>
      <c r="G44" s="49"/>
      <c r="H44" s="49"/>
      <c r="I44" s="49"/>
      <c r="J44" s="49"/>
      <c r="K44" s="49"/>
    </row>
    <row r="45" spans="2:11" x14ac:dyDescent="0.2">
      <c r="B45" s="11">
        <v>1112009</v>
      </c>
      <c r="C45" s="19" t="s">
        <v>44</v>
      </c>
      <c r="D45" s="29">
        <v>37</v>
      </c>
      <c r="E45" s="29">
        <v>6</v>
      </c>
      <c r="F45" s="29">
        <v>3</v>
      </c>
      <c r="G45" s="29">
        <v>17</v>
      </c>
      <c r="H45" s="29">
        <v>11</v>
      </c>
      <c r="I45" s="29">
        <v>15</v>
      </c>
      <c r="J45" s="29">
        <v>2</v>
      </c>
      <c r="K45" s="40">
        <f>SUM(D45:J45)</f>
        <v>91</v>
      </c>
    </row>
    <row r="46" spans="2:11" x14ac:dyDescent="0.2">
      <c r="B46" s="11">
        <v>1112011</v>
      </c>
      <c r="C46" s="19" t="s">
        <v>45</v>
      </c>
      <c r="D46" s="29">
        <v>17</v>
      </c>
      <c r="E46" s="29">
        <v>6</v>
      </c>
      <c r="F46" s="29">
        <v>13</v>
      </c>
      <c r="G46" s="29">
        <v>17</v>
      </c>
      <c r="H46" s="29">
        <v>11</v>
      </c>
      <c r="I46" s="29">
        <v>15</v>
      </c>
      <c r="J46" s="29">
        <v>2</v>
      </c>
      <c r="K46" s="40">
        <f t="shared" ref="K46:K54" si="2">SUM(D46:J46)</f>
        <v>81</v>
      </c>
    </row>
    <row r="47" spans="2:11" x14ac:dyDescent="0.2">
      <c r="B47" s="11">
        <v>1112003</v>
      </c>
      <c r="C47" s="19" t="s">
        <v>46</v>
      </c>
      <c r="D47" s="29">
        <v>27</v>
      </c>
      <c r="E47" s="29">
        <v>6</v>
      </c>
      <c r="F47" s="29">
        <v>3</v>
      </c>
      <c r="G47" s="29">
        <v>16</v>
      </c>
      <c r="H47" s="29">
        <v>11</v>
      </c>
      <c r="I47" s="29">
        <v>15</v>
      </c>
      <c r="J47" s="29">
        <v>2</v>
      </c>
      <c r="K47" s="40">
        <f t="shared" si="2"/>
        <v>80</v>
      </c>
    </row>
    <row r="48" spans="2:11" x14ac:dyDescent="0.2">
      <c r="B48" s="11">
        <v>1112005</v>
      </c>
      <c r="C48" s="19" t="s">
        <v>47</v>
      </c>
      <c r="D48" s="29">
        <v>13</v>
      </c>
      <c r="E48" s="29">
        <v>6</v>
      </c>
      <c r="F48" s="29">
        <v>3</v>
      </c>
      <c r="G48" s="29">
        <v>10</v>
      </c>
      <c r="H48" s="29">
        <v>9</v>
      </c>
      <c r="I48" s="29">
        <v>3</v>
      </c>
      <c r="J48" s="29">
        <v>3</v>
      </c>
      <c r="K48" s="40">
        <f t="shared" si="2"/>
        <v>47</v>
      </c>
    </row>
    <row r="49" spans="2:11" x14ac:dyDescent="0.2">
      <c r="B49" s="11">
        <v>1112007</v>
      </c>
      <c r="C49" s="19" t="s">
        <v>48</v>
      </c>
      <c r="D49" s="29"/>
      <c r="E49" s="29"/>
      <c r="F49" s="29"/>
      <c r="G49" s="29"/>
      <c r="H49" s="29"/>
      <c r="I49" s="29"/>
      <c r="J49" s="29"/>
      <c r="K49" s="40">
        <f t="shared" si="2"/>
        <v>0</v>
      </c>
    </row>
    <row r="50" spans="2:11" x14ac:dyDescent="0.2">
      <c r="B50" s="11">
        <v>1112019</v>
      </c>
      <c r="C50" s="19" t="s">
        <v>49</v>
      </c>
      <c r="D50" s="29"/>
      <c r="E50" s="29"/>
      <c r="F50" s="29"/>
      <c r="G50" s="29"/>
      <c r="H50" s="29"/>
      <c r="I50" s="29"/>
      <c r="J50" s="29"/>
      <c r="K50" s="40">
        <f t="shared" si="2"/>
        <v>0</v>
      </c>
    </row>
    <row r="51" spans="2:11" x14ac:dyDescent="0.2">
      <c r="B51" s="11">
        <v>1112017</v>
      </c>
      <c r="C51" s="19" t="s">
        <v>50</v>
      </c>
      <c r="D51" s="29">
        <v>41</v>
      </c>
      <c r="E51" s="29">
        <v>5</v>
      </c>
      <c r="F51" s="29">
        <v>3</v>
      </c>
      <c r="G51" s="29">
        <v>15</v>
      </c>
      <c r="H51" s="29">
        <v>11</v>
      </c>
      <c r="I51" s="29">
        <v>15</v>
      </c>
      <c r="J51" s="29">
        <v>2</v>
      </c>
      <c r="K51" s="40">
        <f t="shared" si="2"/>
        <v>92</v>
      </c>
    </row>
    <row r="52" spans="2:11" x14ac:dyDescent="0.2">
      <c r="B52" s="11">
        <v>1112015</v>
      </c>
      <c r="C52" s="19" t="s">
        <v>51</v>
      </c>
      <c r="D52" s="29">
        <v>14</v>
      </c>
      <c r="E52" s="29">
        <v>5</v>
      </c>
      <c r="F52" s="29">
        <v>3</v>
      </c>
      <c r="G52" s="29">
        <v>15</v>
      </c>
      <c r="H52" s="29">
        <v>11</v>
      </c>
      <c r="I52" s="29">
        <v>15</v>
      </c>
      <c r="J52" s="29">
        <v>2</v>
      </c>
      <c r="K52" s="40">
        <f t="shared" si="2"/>
        <v>65</v>
      </c>
    </row>
    <row r="53" spans="2:11" x14ac:dyDescent="0.2">
      <c r="B53" s="11">
        <v>1112013</v>
      </c>
      <c r="C53" s="19" t="s">
        <v>52</v>
      </c>
      <c r="D53" s="29">
        <v>48</v>
      </c>
      <c r="E53" s="29">
        <v>6</v>
      </c>
      <c r="F53" s="29">
        <v>5</v>
      </c>
      <c r="G53" s="29">
        <v>15</v>
      </c>
      <c r="H53" s="29">
        <v>11</v>
      </c>
      <c r="I53" s="29">
        <v>15</v>
      </c>
      <c r="J53" s="29">
        <v>2</v>
      </c>
      <c r="K53" s="40">
        <f t="shared" si="2"/>
        <v>102</v>
      </c>
    </row>
    <row r="54" spans="2:11" x14ac:dyDescent="0.2">
      <c r="B54" s="11">
        <v>1124043</v>
      </c>
      <c r="C54" s="19" t="s">
        <v>53</v>
      </c>
      <c r="D54" s="29"/>
      <c r="E54" s="29"/>
      <c r="F54" s="29"/>
      <c r="G54" s="29"/>
      <c r="H54" s="29"/>
      <c r="I54" s="29"/>
      <c r="J54" s="29"/>
      <c r="K54" s="40">
        <f t="shared" si="2"/>
        <v>0</v>
      </c>
    </row>
    <row r="55" spans="2:11" ht="19.5" x14ac:dyDescent="0.2">
      <c r="B55" s="49" t="s">
        <v>54</v>
      </c>
      <c r="C55" s="49"/>
      <c r="D55" s="49"/>
      <c r="E55" s="49"/>
      <c r="F55" s="49"/>
      <c r="G55" s="49"/>
      <c r="H55" s="49"/>
      <c r="I55" s="49"/>
      <c r="J55" s="49"/>
      <c r="K55" s="49"/>
    </row>
    <row r="56" spans="2:11" x14ac:dyDescent="0.2">
      <c r="B56" s="11">
        <v>1113170</v>
      </c>
      <c r="C56" s="19" t="s">
        <v>93</v>
      </c>
      <c r="D56" s="11"/>
      <c r="E56" s="11"/>
      <c r="F56" s="11"/>
      <c r="G56" s="11"/>
      <c r="H56" s="11"/>
      <c r="I56" s="11"/>
      <c r="J56" s="11"/>
      <c r="K56" s="40">
        <f>SUM(D56:J56)</f>
        <v>0</v>
      </c>
    </row>
    <row r="57" spans="2:11" x14ac:dyDescent="0.2">
      <c r="B57" s="11">
        <v>1113171</v>
      </c>
      <c r="C57" s="19" t="s">
        <v>94</v>
      </c>
      <c r="D57" s="11"/>
      <c r="E57" s="11"/>
      <c r="F57" s="11"/>
      <c r="G57" s="11"/>
      <c r="H57" s="11"/>
      <c r="I57" s="11"/>
      <c r="J57" s="11"/>
      <c r="K57" s="40">
        <f t="shared" ref="K57:K77" si="3">SUM(D57:J57)</f>
        <v>0</v>
      </c>
    </row>
    <row r="58" spans="2:11" x14ac:dyDescent="0.2">
      <c r="B58" s="11">
        <v>1113172</v>
      </c>
      <c r="C58" s="19" t="s">
        <v>95</v>
      </c>
      <c r="D58" s="11"/>
      <c r="E58" s="11"/>
      <c r="F58" s="11"/>
      <c r="G58" s="11"/>
      <c r="H58" s="11"/>
      <c r="I58" s="11"/>
      <c r="J58" s="11"/>
      <c r="K58" s="40">
        <f t="shared" si="3"/>
        <v>0</v>
      </c>
    </row>
    <row r="59" spans="2:11" x14ac:dyDescent="0.2">
      <c r="B59" s="11">
        <v>1100003</v>
      </c>
      <c r="C59" s="20" t="s">
        <v>73</v>
      </c>
      <c r="D59" s="29"/>
      <c r="E59" s="29">
        <v>8</v>
      </c>
      <c r="F59" s="29"/>
      <c r="G59" s="29"/>
      <c r="H59" s="29"/>
      <c r="I59" s="29"/>
      <c r="J59" s="29"/>
      <c r="K59" s="40">
        <f t="shared" si="3"/>
        <v>8</v>
      </c>
    </row>
    <row r="60" spans="2:11" x14ac:dyDescent="0.2">
      <c r="B60" s="11">
        <v>1100001</v>
      </c>
      <c r="C60" s="20" t="s">
        <v>74</v>
      </c>
      <c r="D60" s="29"/>
      <c r="E60" s="29"/>
      <c r="F60" s="29">
        <v>5</v>
      </c>
      <c r="G60" s="29"/>
      <c r="H60" s="29"/>
      <c r="I60" s="29"/>
      <c r="J60" s="29"/>
      <c r="K60" s="40">
        <f t="shared" si="3"/>
        <v>5</v>
      </c>
    </row>
    <row r="61" spans="2:11" x14ac:dyDescent="0.2">
      <c r="B61" s="11">
        <v>1100002</v>
      </c>
      <c r="C61" s="20" t="s">
        <v>75</v>
      </c>
      <c r="D61" s="29"/>
      <c r="E61" s="29">
        <v>1</v>
      </c>
      <c r="F61" s="29">
        <v>2</v>
      </c>
      <c r="G61" s="29"/>
      <c r="H61" s="29">
        <v>1</v>
      </c>
      <c r="I61" s="29"/>
      <c r="J61" s="29"/>
      <c r="K61" s="40">
        <f t="shared" si="3"/>
        <v>4</v>
      </c>
    </row>
    <row r="62" spans="2:11" x14ac:dyDescent="0.2">
      <c r="B62" s="11">
        <v>1200001</v>
      </c>
      <c r="C62" s="20" t="s">
        <v>57</v>
      </c>
      <c r="D62" s="29"/>
      <c r="E62" s="29">
        <v>3</v>
      </c>
      <c r="F62" s="29"/>
      <c r="G62" s="29"/>
      <c r="H62" s="29"/>
      <c r="I62" s="29"/>
      <c r="J62" s="29"/>
      <c r="K62" s="40">
        <f t="shared" si="3"/>
        <v>3</v>
      </c>
    </row>
    <row r="63" spans="2:11" x14ac:dyDescent="0.2">
      <c r="B63" s="11">
        <v>1005761</v>
      </c>
      <c r="C63" s="20" t="s">
        <v>58</v>
      </c>
      <c r="D63" s="29"/>
      <c r="E63" s="29"/>
      <c r="F63" s="29"/>
      <c r="G63" s="29"/>
      <c r="H63" s="29"/>
      <c r="I63" s="29"/>
      <c r="J63" s="29"/>
      <c r="K63" s="40">
        <f t="shared" si="3"/>
        <v>0</v>
      </c>
    </row>
    <row r="64" spans="2:11" x14ac:dyDescent="0.2">
      <c r="B64" s="11">
        <v>1114501</v>
      </c>
      <c r="C64" s="20" t="s">
        <v>59</v>
      </c>
      <c r="D64" s="29">
        <v>2</v>
      </c>
      <c r="E64" s="29">
        <v>6</v>
      </c>
      <c r="F64" s="29">
        <v>4</v>
      </c>
      <c r="G64" s="29">
        <v>153</v>
      </c>
      <c r="H64" s="29">
        <v>161</v>
      </c>
      <c r="I64" s="29">
        <v>183</v>
      </c>
      <c r="J64" s="29">
        <v>17</v>
      </c>
      <c r="K64" s="40">
        <f t="shared" si="3"/>
        <v>526</v>
      </c>
    </row>
    <row r="65" spans="2:11" x14ac:dyDescent="0.2">
      <c r="B65" s="11">
        <v>1114502</v>
      </c>
      <c r="C65" s="20" t="s">
        <v>60</v>
      </c>
      <c r="D65" s="29">
        <v>2</v>
      </c>
      <c r="E65" s="29">
        <v>8</v>
      </c>
      <c r="F65" s="29">
        <v>3</v>
      </c>
      <c r="G65" s="29">
        <v>153</v>
      </c>
      <c r="H65" s="29">
        <v>162</v>
      </c>
      <c r="I65" s="29">
        <v>181</v>
      </c>
      <c r="J65" s="29">
        <v>17</v>
      </c>
      <c r="K65" s="40">
        <f t="shared" si="3"/>
        <v>526</v>
      </c>
    </row>
    <row r="66" spans="2:11" x14ac:dyDescent="0.2">
      <c r="B66" s="11">
        <v>1114503</v>
      </c>
      <c r="C66" s="20" t="s">
        <v>61</v>
      </c>
      <c r="D66" s="29">
        <v>2</v>
      </c>
      <c r="E66" s="29">
        <v>5</v>
      </c>
      <c r="F66" s="29">
        <v>5</v>
      </c>
      <c r="G66" s="29">
        <v>153</v>
      </c>
      <c r="H66" s="29">
        <v>161</v>
      </c>
      <c r="I66" s="29">
        <v>181</v>
      </c>
      <c r="J66" s="29">
        <v>17</v>
      </c>
      <c r="K66" s="40">
        <f t="shared" si="3"/>
        <v>524</v>
      </c>
    </row>
    <row r="67" spans="2:11" x14ac:dyDescent="0.2">
      <c r="B67" s="11">
        <v>1124021</v>
      </c>
      <c r="C67" s="20" t="s">
        <v>62</v>
      </c>
      <c r="D67" s="29"/>
      <c r="E67" s="29">
        <v>26</v>
      </c>
      <c r="F67" s="29">
        <v>69</v>
      </c>
      <c r="G67" s="29">
        <v>39</v>
      </c>
      <c r="H67" s="29">
        <v>9</v>
      </c>
      <c r="I67" s="29">
        <v>24</v>
      </c>
      <c r="J67" s="29"/>
      <c r="K67" s="40">
        <f t="shared" si="3"/>
        <v>167</v>
      </c>
    </row>
    <row r="68" spans="2:11" x14ac:dyDescent="0.2">
      <c r="B68" s="11">
        <v>1113084</v>
      </c>
      <c r="C68" s="20" t="s">
        <v>63</v>
      </c>
      <c r="D68" s="29"/>
      <c r="E68" s="29"/>
      <c r="F68" s="29"/>
      <c r="G68" s="29"/>
      <c r="H68" s="29"/>
      <c r="I68" s="29"/>
      <c r="J68" s="29"/>
      <c r="K68" s="40">
        <f t="shared" si="3"/>
        <v>0</v>
      </c>
    </row>
    <row r="69" spans="2:11" x14ac:dyDescent="0.2">
      <c r="B69" s="11">
        <v>900003</v>
      </c>
      <c r="C69" s="20" t="s">
        <v>83</v>
      </c>
      <c r="D69" s="29"/>
      <c r="E69" s="29"/>
      <c r="F69" s="29"/>
      <c r="G69" s="29"/>
      <c r="H69" s="29"/>
      <c r="I69" s="29"/>
      <c r="J69" s="29"/>
      <c r="K69" s="40">
        <f t="shared" si="3"/>
        <v>0</v>
      </c>
    </row>
    <row r="70" spans="2:11" x14ac:dyDescent="0.2">
      <c r="B70" s="11">
        <v>900004</v>
      </c>
      <c r="C70" s="20" t="s">
        <v>64</v>
      </c>
      <c r="D70" s="29"/>
      <c r="E70" s="29"/>
      <c r="F70" s="29"/>
      <c r="G70" s="29"/>
      <c r="H70" s="29"/>
      <c r="I70" s="29"/>
      <c r="J70" s="29"/>
      <c r="K70" s="40">
        <f t="shared" si="3"/>
        <v>0</v>
      </c>
    </row>
    <row r="71" spans="2:11" x14ac:dyDescent="0.2">
      <c r="B71" s="11">
        <v>1200002</v>
      </c>
      <c r="C71" s="20" t="s">
        <v>65</v>
      </c>
      <c r="D71" s="29"/>
      <c r="E71" s="29">
        <v>3</v>
      </c>
      <c r="F71" s="29"/>
      <c r="G71" s="29"/>
      <c r="H71" s="29"/>
      <c r="I71" s="29"/>
      <c r="J71" s="29"/>
      <c r="K71" s="40">
        <f t="shared" si="3"/>
        <v>3</v>
      </c>
    </row>
    <row r="72" spans="2:11" x14ac:dyDescent="0.2">
      <c r="B72" s="11">
        <v>1200003</v>
      </c>
      <c r="C72" s="20" t="s">
        <v>66</v>
      </c>
      <c r="D72" s="29"/>
      <c r="E72" s="29"/>
      <c r="F72" s="29"/>
      <c r="G72" s="29"/>
      <c r="H72" s="29"/>
      <c r="I72" s="29"/>
      <c r="J72" s="29"/>
      <c r="K72" s="40">
        <f t="shared" si="3"/>
        <v>0</v>
      </c>
    </row>
    <row r="73" spans="2:11" x14ac:dyDescent="0.2">
      <c r="B73" s="11">
        <v>1200004</v>
      </c>
      <c r="C73" s="20" t="s">
        <v>67</v>
      </c>
      <c r="D73" s="29"/>
      <c r="E73" s="29"/>
      <c r="F73" s="29"/>
      <c r="G73" s="29"/>
      <c r="H73" s="29"/>
      <c r="I73" s="29"/>
      <c r="J73" s="29"/>
      <c r="K73" s="40">
        <f t="shared" si="3"/>
        <v>0</v>
      </c>
    </row>
    <row r="74" spans="2:11" x14ac:dyDescent="0.2">
      <c r="B74" s="11">
        <v>1200093</v>
      </c>
      <c r="C74" s="20" t="s">
        <v>55</v>
      </c>
      <c r="D74" s="29"/>
      <c r="E74" s="29"/>
      <c r="F74" s="29"/>
      <c r="G74" s="29"/>
      <c r="H74" s="29"/>
      <c r="I74" s="29"/>
      <c r="J74" s="29"/>
      <c r="K74" s="40">
        <f t="shared" si="3"/>
        <v>0</v>
      </c>
    </row>
    <row r="75" spans="2:11" x14ac:dyDescent="0.2">
      <c r="B75" s="11">
        <v>1200092</v>
      </c>
      <c r="C75" s="19" t="s">
        <v>56</v>
      </c>
      <c r="D75" s="29"/>
      <c r="E75" s="29"/>
      <c r="F75" s="29"/>
      <c r="G75" s="29"/>
      <c r="H75" s="29"/>
      <c r="I75" s="29"/>
      <c r="J75" s="29"/>
      <c r="K75" s="40">
        <f t="shared" si="3"/>
        <v>0</v>
      </c>
    </row>
    <row r="76" spans="2:11" x14ac:dyDescent="0.2">
      <c r="B76" s="21"/>
      <c r="C76" s="20" t="s">
        <v>76</v>
      </c>
      <c r="D76" s="29"/>
      <c r="E76" s="29"/>
      <c r="F76" s="29"/>
      <c r="G76" s="29"/>
      <c r="H76" s="29"/>
      <c r="I76" s="29"/>
      <c r="J76" s="29"/>
      <c r="K76" s="40">
        <f t="shared" si="3"/>
        <v>0</v>
      </c>
    </row>
    <row r="77" spans="2:11" x14ac:dyDescent="0.2">
      <c r="B77" s="21"/>
      <c r="C77" s="20" t="s">
        <v>77</v>
      </c>
      <c r="D77" s="29"/>
      <c r="E77" s="29">
        <v>11</v>
      </c>
      <c r="F77" s="29">
        <v>10</v>
      </c>
      <c r="G77" s="29"/>
      <c r="H77" s="29"/>
      <c r="I77" s="29"/>
      <c r="J77" s="29"/>
      <c r="K77" s="40">
        <f t="shared" si="3"/>
        <v>21</v>
      </c>
    </row>
    <row r="78" spans="2:11" hidden="1" x14ac:dyDescent="0.2">
      <c r="B78" s="21"/>
      <c r="C78" s="20" t="s">
        <v>88</v>
      </c>
      <c r="D78" s="29"/>
      <c r="E78" s="29"/>
      <c r="F78" s="29"/>
      <c r="G78" s="29"/>
      <c r="H78" s="29"/>
      <c r="I78" s="29"/>
      <c r="J78" s="29"/>
      <c r="K78" s="40">
        <f t="shared" ref="K78" si="4">SUM(D78:J78)</f>
        <v>0</v>
      </c>
    </row>
    <row r="79" spans="2:11" x14ac:dyDescent="0.2">
      <c r="C79" s="34"/>
      <c r="D79" s="37"/>
      <c r="E79" s="37"/>
      <c r="F79" s="37"/>
      <c r="G79" s="37"/>
      <c r="H79" s="37"/>
      <c r="I79" s="37"/>
      <c r="J79" s="37"/>
      <c r="K79" s="38"/>
    </row>
    <row r="80" spans="2:11" x14ac:dyDescent="0.2">
      <c r="C80" s="34"/>
      <c r="D80" s="38"/>
      <c r="E80" s="38"/>
      <c r="F80" s="38"/>
      <c r="G80" s="38"/>
      <c r="H80" s="38"/>
      <c r="I80" s="38"/>
      <c r="J80" s="38"/>
      <c r="K80" s="38"/>
    </row>
    <row r="81" spans="3:8" x14ac:dyDescent="0.2">
      <c r="C81" s="23"/>
      <c r="D81" s="30"/>
      <c r="E81" s="57"/>
      <c r="F81" s="57"/>
      <c r="G81" s="25"/>
    </row>
    <row r="82" spans="3:8" x14ac:dyDescent="0.2">
      <c r="D82" s="30"/>
      <c r="E82" s="30"/>
      <c r="F82" s="30"/>
      <c r="G82" s="30"/>
      <c r="H82" s="30"/>
    </row>
    <row r="83" spans="3:8" x14ac:dyDescent="0.2">
      <c r="D83" s="30"/>
      <c r="E83" s="30"/>
      <c r="F83" s="30"/>
      <c r="G83" s="30"/>
      <c r="H83" s="30"/>
    </row>
    <row r="84" spans="3:8" x14ac:dyDescent="0.2">
      <c r="D84" s="30"/>
      <c r="E84" s="30"/>
      <c r="F84" s="30"/>
      <c r="G84" s="30"/>
      <c r="H84" s="30"/>
    </row>
    <row r="85" spans="3:8" x14ac:dyDescent="0.2">
      <c r="D85" s="30"/>
      <c r="E85" s="30"/>
      <c r="F85" s="30"/>
      <c r="G85" s="30"/>
      <c r="H85" s="30"/>
    </row>
    <row r="86" spans="3:8" x14ac:dyDescent="0.2">
      <c r="D86" s="30"/>
      <c r="E86" s="30"/>
      <c r="F86" s="30"/>
      <c r="G86" s="30"/>
      <c r="H86" s="30"/>
    </row>
    <row r="87" spans="3:8" x14ac:dyDescent="0.2">
      <c r="D87" s="30"/>
      <c r="E87" s="30"/>
      <c r="F87" s="30"/>
      <c r="G87" s="30"/>
      <c r="H87" s="30"/>
    </row>
    <row r="88" spans="3:8" x14ac:dyDescent="0.2">
      <c r="D88" s="30"/>
      <c r="E88" s="30"/>
      <c r="F88" s="30"/>
      <c r="G88" s="30"/>
      <c r="H88" s="30"/>
    </row>
  </sheetData>
  <mergeCells count="8">
    <mergeCell ref="B44:K44"/>
    <mergeCell ref="B55:K55"/>
    <mergeCell ref="E81:F81"/>
    <mergeCell ref="B2:J3"/>
    <mergeCell ref="B1:K1"/>
    <mergeCell ref="B6:K6"/>
    <mergeCell ref="B36:K36"/>
    <mergeCell ref="B38:K38"/>
  </mergeCells>
  <phoneticPr fontId="8" type="noConversion"/>
  <printOptions horizontalCentered="1"/>
  <pageMargins left="0.23622047244094491" right="0.23622047244094491" top="0.35433070866141736" bottom="0.35433070866141736" header="0.31496062992125984" footer="0.31496062992125984"/>
  <pageSetup paperSize="9" scale="42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045D1E-FE01-4F52-BA5E-E4BE507F9E04}">
  <dimension ref="B1:K101"/>
  <sheetViews>
    <sheetView zoomScale="50" zoomScaleNormal="50" workbookViewId="0">
      <selection activeCell="R13" sqref="R13"/>
    </sheetView>
  </sheetViews>
  <sheetFormatPr defaultRowHeight="22.5" x14ac:dyDescent="0.2"/>
  <cols>
    <col min="2" max="2" width="22.125" style="22" customWidth="1"/>
    <col min="3" max="3" width="59.125" style="22" customWidth="1"/>
    <col min="4" max="4" width="15" style="16" hidden="1" customWidth="1"/>
    <col min="5" max="7" width="14.375" style="16" customWidth="1"/>
    <col min="8" max="10" width="14.375" style="16" hidden="1" customWidth="1"/>
    <col min="11" max="11" width="17.625" style="24" customWidth="1"/>
  </cols>
  <sheetData>
    <row r="1" spans="2:11" x14ac:dyDescent="0.2">
      <c r="B1" s="50" t="s">
        <v>96</v>
      </c>
      <c r="C1" s="50"/>
      <c r="D1" s="50"/>
      <c r="E1" s="50"/>
      <c r="F1" s="50"/>
      <c r="G1" s="50"/>
      <c r="H1" s="50"/>
      <c r="I1" s="50"/>
      <c r="J1" s="50"/>
      <c r="K1" s="50"/>
    </row>
    <row r="2" spans="2:11" x14ac:dyDescent="0.2">
      <c r="B2" s="51"/>
      <c r="C2" s="52"/>
      <c r="D2" s="52"/>
      <c r="E2" s="52"/>
      <c r="F2" s="52"/>
      <c r="G2" s="52"/>
      <c r="H2" s="52"/>
      <c r="I2" s="52"/>
      <c r="J2" s="53"/>
      <c r="K2" s="41" t="s">
        <v>0</v>
      </c>
    </row>
    <row r="3" spans="2:11" x14ac:dyDescent="0.2">
      <c r="B3" s="54"/>
      <c r="C3" s="55"/>
      <c r="D3" s="55"/>
      <c r="E3" s="55"/>
      <c r="F3" s="55"/>
      <c r="G3" s="55"/>
      <c r="H3" s="55"/>
      <c r="I3" s="55"/>
      <c r="J3" s="56"/>
      <c r="K3" s="41" t="s">
        <v>2</v>
      </c>
    </row>
    <row r="4" spans="2:11" x14ac:dyDescent="0.2">
      <c r="B4" s="7" t="s">
        <v>3</v>
      </c>
      <c r="C4" s="7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85</v>
      </c>
      <c r="I4" s="9" t="s">
        <v>9</v>
      </c>
      <c r="J4" s="9" t="s">
        <v>84</v>
      </c>
      <c r="K4" s="41" t="s">
        <v>10</v>
      </c>
    </row>
    <row r="5" spans="2:11" x14ac:dyDescent="0.2">
      <c r="B5" s="11"/>
      <c r="C5" s="11"/>
      <c r="D5" s="9"/>
      <c r="E5" s="9"/>
      <c r="F5" s="9"/>
      <c r="G5" s="9"/>
      <c r="H5" s="9"/>
      <c r="I5" s="9"/>
      <c r="J5" s="9"/>
      <c r="K5" s="42"/>
    </row>
    <row r="6" spans="2:11" ht="19.5" x14ac:dyDescent="0.2">
      <c r="B6" s="49" t="s">
        <v>11</v>
      </c>
      <c r="C6" s="49"/>
      <c r="D6" s="49"/>
      <c r="E6" s="49"/>
      <c r="F6" s="49"/>
      <c r="G6" s="49"/>
      <c r="H6" s="49"/>
      <c r="I6" s="49"/>
      <c r="J6" s="49"/>
      <c r="K6" s="49"/>
    </row>
    <row r="7" spans="2:11" x14ac:dyDescent="0.2">
      <c r="B7" s="11">
        <v>1111002</v>
      </c>
      <c r="C7" s="15" t="s">
        <v>71</v>
      </c>
      <c r="D7" s="29"/>
      <c r="E7" s="29"/>
      <c r="F7" s="29"/>
      <c r="G7" s="29"/>
      <c r="H7" s="29"/>
      <c r="I7" s="29"/>
      <c r="J7" s="29"/>
      <c r="K7" s="40">
        <f t="shared" ref="K7:K37" si="0">SUM(D7:J7)</f>
        <v>0</v>
      </c>
    </row>
    <row r="8" spans="2:11" x14ac:dyDescent="0.2">
      <c r="B8" s="11">
        <v>1111043</v>
      </c>
      <c r="C8" s="15" t="s">
        <v>12</v>
      </c>
      <c r="D8" s="29"/>
      <c r="E8" s="29"/>
      <c r="F8" s="29"/>
      <c r="G8" s="29"/>
      <c r="H8" s="29"/>
      <c r="I8" s="29"/>
      <c r="J8" s="29"/>
      <c r="K8" s="40">
        <f t="shared" si="0"/>
        <v>0</v>
      </c>
    </row>
    <row r="9" spans="2:11" x14ac:dyDescent="0.2">
      <c r="B9" s="11">
        <v>1111056</v>
      </c>
      <c r="C9" s="15" t="s">
        <v>13</v>
      </c>
      <c r="D9" s="29"/>
      <c r="E9" s="29"/>
      <c r="F9" s="29"/>
      <c r="G9" s="29"/>
      <c r="H9" s="29"/>
      <c r="I9" s="29"/>
      <c r="J9" s="29"/>
      <c r="K9" s="40">
        <f t="shared" si="0"/>
        <v>0</v>
      </c>
    </row>
    <row r="10" spans="2:11" x14ac:dyDescent="0.2">
      <c r="B10" s="11">
        <v>1004055</v>
      </c>
      <c r="C10" s="15" t="s">
        <v>72</v>
      </c>
      <c r="D10" s="29"/>
      <c r="E10" s="29"/>
      <c r="F10" s="29"/>
      <c r="G10" s="29"/>
      <c r="H10" s="29"/>
      <c r="I10" s="29"/>
      <c r="J10" s="29"/>
      <c r="K10" s="40">
        <f t="shared" si="0"/>
        <v>0</v>
      </c>
    </row>
    <row r="11" spans="2:11" x14ac:dyDescent="0.2">
      <c r="B11" s="11">
        <v>1111057</v>
      </c>
      <c r="C11" s="15" t="s">
        <v>14</v>
      </c>
      <c r="D11" s="29"/>
      <c r="E11" s="29"/>
      <c r="F11" s="29"/>
      <c r="G11" s="29"/>
      <c r="H11" s="29"/>
      <c r="I11" s="29"/>
      <c r="J11" s="29"/>
      <c r="K11" s="40">
        <f t="shared" si="0"/>
        <v>0</v>
      </c>
    </row>
    <row r="12" spans="2:11" x14ac:dyDescent="0.2">
      <c r="B12" s="11">
        <v>1111058</v>
      </c>
      <c r="C12" s="15" t="s">
        <v>15</v>
      </c>
      <c r="D12" s="29"/>
      <c r="E12" s="29"/>
      <c r="F12" s="29"/>
      <c r="G12" s="29"/>
      <c r="H12" s="29"/>
      <c r="I12" s="29"/>
      <c r="J12" s="29"/>
      <c r="K12" s="40">
        <f t="shared" si="0"/>
        <v>0</v>
      </c>
    </row>
    <row r="13" spans="2:11" x14ac:dyDescent="0.2">
      <c r="B13" s="11">
        <v>1111059</v>
      </c>
      <c r="C13" s="15" t="s">
        <v>16</v>
      </c>
      <c r="D13" s="29"/>
      <c r="E13" s="29"/>
      <c r="F13" s="29"/>
      <c r="G13" s="29"/>
      <c r="H13" s="29"/>
      <c r="I13" s="29"/>
      <c r="J13" s="29"/>
      <c r="K13" s="40">
        <f t="shared" si="0"/>
        <v>0</v>
      </c>
    </row>
    <row r="14" spans="2:11" x14ac:dyDescent="0.2">
      <c r="B14" s="11">
        <v>1111060</v>
      </c>
      <c r="C14" s="15" t="s">
        <v>17</v>
      </c>
      <c r="D14" s="29"/>
      <c r="E14" s="29"/>
      <c r="F14" s="29"/>
      <c r="G14" s="29"/>
      <c r="H14" s="29"/>
      <c r="I14" s="29"/>
      <c r="J14" s="29"/>
      <c r="K14" s="40">
        <f t="shared" si="0"/>
        <v>0</v>
      </c>
    </row>
    <row r="15" spans="2:11" x14ac:dyDescent="0.2">
      <c r="B15" s="11">
        <v>1111061</v>
      </c>
      <c r="C15" s="15" t="s">
        <v>18</v>
      </c>
      <c r="D15" s="29"/>
      <c r="E15" s="29"/>
      <c r="F15" s="29"/>
      <c r="G15" s="29"/>
      <c r="H15" s="29"/>
      <c r="I15" s="29"/>
      <c r="J15" s="29"/>
      <c r="K15" s="40">
        <f t="shared" si="0"/>
        <v>0</v>
      </c>
    </row>
    <row r="16" spans="2:11" x14ac:dyDescent="0.2">
      <c r="B16" s="11">
        <v>1111062</v>
      </c>
      <c r="C16" s="15" t="s">
        <v>19</v>
      </c>
      <c r="D16" s="29"/>
      <c r="E16" s="29"/>
      <c r="F16" s="29"/>
      <c r="G16" s="29"/>
      <c r="H16" s="29"/>
      <c r="I16" s="29"/>
      <c r="J16" s="29"/>
      <c r="K16" s="40">
        <f t="shared" si="0"/>
        <v>0</v>
      </c>
    </row>
    <row r="17" spans="2:11" x14ac:dyDescent="0.2">
      <c r="B17" s="11">
        <v>1111063</v>
      </c>
      <c r="C17" s="15" t="s">
        <v>20</v>
      </c>
      <c r="D17" s="29"/>
      <c r="E17" s="29"/>
      <c r="F17" s="29"/>
      <c r="G17" s="29"/>
      <c r="H17" s="29"/>
      <c r="I17" s="29"/>
      <c r="J17" s="29"/>
      <c r="K17" s="40">
        <f t="shared" si="0"/>
        <v>0</v>
      </c>
    </row>
    <row r="18" spans="2:11" x14ac:dyDescent="0.2">
      <c r="B18" s="11">
        <v>1111064</v>
      </c>
      <c r="C18" s="15" t="s">
        <v>21</v>
      </c>
      <c r="D18" s="29"/>
      <c r="E18" s="29"/>
      <c r="F18" s="29"/>
      <c r="G18" s="29"/>
      <c r="H18" s="29"/>
      <c r="I18" s="29"/>
      <c r="J18" s="29"/>
      <c r="K18" s="40">
        <f t="shared" si="0"/>
        <v>0</v>
      </c>
    </row>
    <row r="19" spans="2:11" x14ac:dyDescent="0.2">
      <c r="B19" s="11">
        <v>1111065</v>
      </c>
      <c r="C19" s="15" t="s">
        <v>22</v>
      </c>
      <c r="D19" s="29"/>
      <c r="E19" s="29"/>
      <c r="F19" s="29"/>
      <c r="G19" s="29"/>
      <c r="H19" s="29"/>
      <c r="I19" s="29"/>
      <c r="J19" s="29"/>
      <c r="K19" s="40">
        <f t="shared" si="0"/>
        <v>0</v>
      </c>
    </row>
    <row r="20" spans="2:11" x14ac:dyDescent="0.2">
      <c r="B20" s="11">
        <v>1111066</v>
      </c>
      <c r="C20" s="15" t="s">
        <v>23</v>
      </c>
      <c r="D20" s="29"/>
      <c r="E20" s="29"/>
      <c r="F20" s="29"/>
      <c r="G20" s="29"/>
      <c r="H20" s="29"/>
      <c r="I20" s="29"/>
      <c r="J20" s="29"/>
      <c r="K20" s="40">
        <f t="shared" si="0"/>
        <v>0</v>
      </c>
    </row>
    <row r="21" spans="2:11" x14ac:dyDescent="0.2">
      <c r="B21" s="11">
        <v>1111067</v>
      </c>
      <c r="C21" s="15" t="s">
        <v>24</v>
      </c>
      <c r="D21" s="29"/>
      <c r="E21" s="29"/>
      <c r="F21" s="29"/>
      <c r="G21" s="29"/>
      <c r="H21" s="29"/>
      <c r="I21" s="29"/>
      <c r="J21" s="29"/>
      <c r="K21" s="40">
        <f t="shared" si="0"/>
        <v>0</v>
      </c>
    </row>
    <row r="22" spans="2:11" x14ac:dyDescent="0.2">
      <c r="B22" s="11">
        <v>1111068</v>
      </c>
      <c r="C22" s="15" t="s">
        <v>25</v>
      </c>
      <c r="D22" s="29"/>
      <c r="E22" s="29"/>
      <c r="F22" s="29"/>
      <c r="G22" s="29"/>
      <c r="H22" s="29"/>
      <c r="I22" s="29"/>
      <c r="J22" s="29"/>
      <c r="K22" s="40">
        <f t="shared" si="0"/>
        <v>0</v>
      </c>
    </row>
    <row r="23" spans="2:11" x14ac:dyDescent="0.2">
      <c r="B23" s="11">
        <v>1111069</v>
      </c>
      <c r="C23" s="15" t="s">
        <v>26</v>
      </c>
      <c r="D23" s="29"/>
      <c r="E23" s="29"/>
      <c r="F23" s="29"/>
      <c r="G23" s="29"/>
      <c r="H23" s="29"/>
      <c r="I23" s="29"/>
      <c r="J23" s="29"/>
      <c r="K23" s="40">
        <f t="shared" si="0"/>
        <v>0</v>
      </c>
    </row>
    <row r="24" spans="2:11" x14ac:dyDescent="0.2">
      <c r="B24" s="11">
        <v>1111070</v>
      </c>
      <c r="C24" s="15" t="s">
        <v>79</v>
      </c>
      <c r="D24" s="29"/>
      <c r="E24" s="29"/>
      <c r="F24" s="29"/>
      <c r="G24" s="29"/>
      <c r="H24" s="29"/>
      <c r="I24" s="29"/>
      <c r="J24" s="29"/>
      <c r="K24" s="40">
        <f t="shared" si="0"/>
        <v>0</v>
      </c>
    </row>
    <row r="25" spans="2:11" x14ac:dyDescent="0.2">
      <c r="B25" s="11">
        <v>1111071</v>
      </c>
      <c r="C25" s="15" t="s">
        <v>80</v>
      </c>
      <c r="D25" s="29"/>
      <c r="E25" s="29"/>
      <c r="F25" s="29"/>
      <c r="G25" s="29"/>
      <c r="H25" s="29"/>
      <c r="I25" s="29"/>
      <c r="J25" s="29"/>
      <c r="K25" s="40">
        <f t="shared" si="0"/>
        <v>0</v>
      </c>
    </row>
    <row r="26" spans="2:11" x14ac:dyDescent="0.2">
      <c r="B26" s="11">
        <v>1111001</v>
      </c>
      <c r="C26" s="15" t="s">
        <v>27</v>
      </c>
      <c r="D26" s="29"/>
      <c r="E26" s="29"/>
      <c r="F26" s="29"/>
      <c r="G26" s="29"/>
      <c r="H26" s="29"/>
      <c r="I26" s="29"/>
      <c r="J26" s="29"/>
      <c r="K26" s="40">
        <f t="shared" si="0"/>
        <v>0</v>
      </c>
    </row>
    <row r="27" spans="2:11" x14ac:dyDescent="0.2">
      <c r="B27" s="11">
        <v>1111074</v>
      </c>
      <c r="C27" s="15" t="s">
        <v>28</v>
      </c>
      <c r="D27" s="29"/>
      <c r="E27" s="29"/>
      <c r="F27" s="29"/>
      <c r="G27" s="29"/>
      <c r="H27" s="29"/>
      <c r="I27" s="29"/>
      <c r="J27" s="29"/>
      <c r="K27" s="40">
        <f t="shared" si="0"/>
        <v>0</v>
      </c>
    </row>
    <row r="28" spans="2:11" x14ac:dyDescent="0.2">
      <c r="B28" s="11">
        <v>1111075</v>
      </c>
      <c r="C28" s="15" t="s">
        <v>29</v>
      </c>
      <c r="D28" s="29"/>
      <c r="E28" s="29"/>
      <c r="F28" s="29"/>
      <c r="G28" s="29"/>
      <c r="H28" s="29"/>
      <c r="I28" s="29"/>
      <c r="J28" s="29"/>
      <c r="K28" s="40">
        <f t="shared" si="0"/>
        <v>0</v>
      </c>
    </row>
    <row r="29" spans="2:11" x14ac:dyDescent="0.2">
      <c r="B29" s="11">
        <v>1111076</v>
      </c>
      <c r="C29" s="15" t="s">
        <v>30</v>
      </c>
      <c r="D29" s="29"/>
      <c r="E29" s="29"/>
      <c r="F29" s="29"/>
      <c r="G29" s="29"/>
      <c r="H29" s="29"/>
      <c r="I29" s="29"/>
      <c r="J29" s="29"/>
      <c r="K29" s="40">
        <f t="shared" si="0"/>
        <v>0</v>
      </c>
    </row>
    <row r="30" spans="2:11" x14ac:dyDescent="0.2">
      <c r="B30" s="11">
        <v>1111077</v>
      </c>
      <c r="C30" s="15" t="s">
        <v>31</v>
      </c>
      <c r="D30" s="29"/>
      <c r="E30" s="29"/>
      <c r="F30" s="29"/>
      <c r="G30" s="29"/>
      <c r="H30" s="29"/>
      <c r="I30" s="29"/>
      <c r="J30" s="29"/>
      <c r="K30" s="40">
        <f t="shared" si="0"/>
        <v>0</v>
      </c>
    </row>
    <row r="31" spans="2:11" x14ac:dyDescent="0.2">
      <c r="B31" s="11">
        <v>1111078</v>
      </c>
      <c r="C31" s="15" t="s">
        <v>32</v>
      </c>
      <c r="D31" s="29"/>
      <c r="E31" s="29"/>
      <c r="F31" s="29"/>
      <c r="G31" s="29"/>
      <c r="H31" s="29"/>
      <c r="I31" s="29"/>
      <c r="J31" s="29"/>
      <c r="K31" s="40">
        <f t="shared" si="0"/>
        <v>0</v>
      </c>
    </row>
    <row r="32" spans="2:11" x14ac:dyDescent="0.2">
      <c r="B32" s="11">
        <v>1111079</v>
      </c>
      <c r="C32" s="15" t="s">
        <v>33</v>
      </c>
      <c r="D32" s="29"/>
      <c r="E32" s="29"/>
      <c r="F32" s="29"/>
      <c r="G32" s="29"/>
      <c r="H32" s="29"/>
      <c r="I32" s="29"/>
      <c r="J32" s="29"/>
      <c r="K32" s="40">
        <f t="shared" si="0"/>
        <v>0</v>
      </c>
    </row>
    <row r="33" spans="2:11" x14ac:dyDescent="0.2">
      <c r="B33" s="11">
        <v>1111080</v>
      </c>
      <c r="C33" s="15" t="s">
        <v>34</v>
      </c>
      <c r="D33" s="29"/>
      <c r="E33" s="29"/>
      <c r="F33" s="29"/>
      <c r="G33" s="29"/>
      <c r="H33" s="29"/>
      <c r="I33" s="29"/>
      <c r="J33" s="29"/>
      <c r="K33" s="40">
        <f t="shared" si="0"/>
        <v>0</v>
      </c>
    </row>
    <row r="34" spans="2:11" x14ac:dyDescent="0.2">
      <c r="B34" s="11">
        <v>1111081</v>
      </c>
      <c r="C34" s="15" t="s">
        <v>35</v>
      </c>
      <c r="D34" s="29"/>
      <c r="E34" s="29"/>
      <c r="F34" s="29"/>
      <c r="G34" s="29"/>
      <c r="H34" s="29"/>
      <c r="I34" s="29"/>
      <c r="J34" s="29"/>
      <c r="K34" s="40">
        <f t="shared" si="0"/>
        <v>0</v>
      </c>
    </row>
    <row r="35" spans="2:11" x14ac:dyDescent="0.2">
      <c r="B35" s="11">
        <v>1111082</v>
      </c>
      <c r="C35" s="15" t="s">
        <v>36</v>
      </c>
      <c r="D35" s="29"/>
      <c r="E35" s="29"/>
      <c r="F35" s="29"/>
      <c r="G35" s="29"/>
      <c r="H35" s="29"/>
      <c r="I35" s="29"/>
      <c r="J35" s="29"/>
      <c r="K35" s="40">
        <f t="shared" si="0"/>
        <v>0</v>
      </c>
    </row>
    <row r="36" spans="2:11" x14ac:dyDescent="0.2">
      <c r="B36" s="11">
        <v>1111083</v>
      </c>
      <c r="C36" s="15" t="s">
        <v>37</v>
      </c>
      <c r="D36" s="29"/>
      <c r="E36" s="29"/>
      <c r="F36" s="29"/>
      <c r="G36" s="29"/>
      <c r="H36" s="29"/>
      <c r="I36" s="29"/>
      <c r="J36" s="29"/>
      <c r="K36" s="40">
        <f t="shared" si="0"/>
        <v>0</v>
      </c>
    </row>
    <row r="37" spans="2:11" x14ac:dyDescent="0.2">
      <c r="B37" s="11">
        <v>1111010</v>
      </c>
      <c r="C37" s="15" t="s">
        <v>38</v>
      </c>
      <c r="D37" s="29"/>
      <c r="E37" s="29"/>
      <c r="F37" s="29"/>
      <c r="G37" s="29"/>
      <c r="H37" s="29"/>
      <c r="I37" s="29"/>
      <c r="J37" s="29"/>
      <c r="K37" s="40">
        <f t="shared" si="0"/>
        <v>0</v>
      </c>
    </row>
    <row r="38" spans="2:11" x14ac:dyDescent="0.2">
      <c r="B38" s="17"/>
      <c r="C38" s="17" t="s">
        <v>1</v>
      </c>
      <c r="D38" s="29"/>
      <c r="E38" s="18"/>
      <c r="F38" s="18"/>
      <c r="G38" s="18"/>
      <c r="H38" s="18"/>
      <c r="I38" s="18"/>
      <c r="J38" s="18"/>
      <c r="K38" s="40">
        <f>SUM(D38:I38)</f>
        <v>0</v>
      </c>
    </row>
    <row r="39" spans="2:11" ht="19.5" x14ac:dyDescent="0.2">
      <c r="B39" s="49" t="s">
        <v>39</v>
      </c>
      <c r="C39" s="49"/>
      <c r="D39" s="49"/>
      <c r="E39" s="49"/>
      <c r="F39" s="49"/>
      <c r="G39" s="49"/>
      <c r="H39" s="49"/>
      <c r="I39" s="49"/>
      <c r="J39" s="49"/>
      <c r="K39" s="49"/>
    </row>
    <row r="40" spans="2:11" x14ac:dyDescent="0.2">
      <c r="B40" s="11">
        <v>1111009</v>
      </c>
      <c r="C40" s="19" t="s">
        <v>40</v>
      </c>
      <c r="D40" s="29"/>
      <c r="E40" s="29"/>
      <c r="F40" s="29"/>
      <c r="G40" s="29"/>
      <c r="H40" s="29"/>
      <c r="I40" s="29"/>
      <c r="J40" s="29"/>
      <c r="K40" s="40">
        <f>SUM(D40:J40)</f>
        <v>0</v>
      </c>
    </row>
    <row r="41" spans="2:11" ht="19.5" x14ac:dyDescent="0.2">
      <c r="B41" s="49" t="s">
        <v>41</v>
      </c>
      <c r="C41" s="49"/>
      <c r="D41" s="49"/>
      <c r="E41" s="49"/>
      <c r="F41" s="49"/>
      <c r="G41" s="49"/>
      <c r="H41" s="49"/>
      <c r="I41" s="49"/>
      <c r="J41" s="49"/>
      <c r="K41" s="49"/>
    </row>
    <row r="42" spans="2:11" x14ac:dyDescent="0.2">
      <c r="B42" s="11">
        <v>1111008</v>
      </c>
      <c r="C42" s="19" t="s">
        <v>42</v>
      </c>
      <c r="D42" s="29"/>
      <c r="E42" s="29"/>
      <c r="F42" s="29"/>
      <c r="G42" s="29"/>
      <c r="H42" s="29"/>
      <c r="I42" s="29"/>
      <c r="J42" s="29"/>
      <c r="K42" s="40">
        <f>SUM(D42:J42)</f>
        <v>0</v>
      </c>
    </row>
    <row r="43" spans="2:11" x14ac:dyDescent="0.2">
      <c r="B43" s="11">
        <v>1111011</v>
      </c>
      <c r="C43" s="19" t="s">
        <v>91</v>
      </c>
      <c r="D43" s="29"/>
      <c r="E43" s="29"/>
      <c r="F43" s="29"/>
      <c r="G43" s="29"/>
      <c r="H43" s="29"/>
      <c r="I43" s="29"/>
      <c r="J43" s="29"/>
      <c r="K43" s="40">
        <f t="shared" ref="K43:K46" si="1">SUM(D43:J43)</f>
        <v>0</v>
      </c>
    </row>
    <row r="44" spans="2:11" x14ac:dyDescent="0.2">
      <c r="B44" s="11">
        <v>1111013</v>
      </c>
      <c r="C44" s="19" t="s">
        <v>92</v>
      </c>
      <c r="D44" s="29"/>
      <c r="E44" s="29"/>
      <c r="F44" s="29"/>
      <c r="G44" s="29"/>
      <c r="H44" s="29"/>
      <c r="I44" s="29"/>
      <c r="J44" s="29"/>
      <c r="K44" s="40">
        <f t="shared" si="1"/>
        <v>0</v>
      </c>
    </row>
    <row r="45" spans="2:11" x14ac:dyDescent="0.2">
      <c r="B45" s="11">
        <v>1111017</v>
      </c>
      <c r="C45" s="19" t="s">
        <v>89</v>
      </c>
      <c r="D45" s="29"/>
      <c r="E45" s="29"/>
      <c r="F45" s="29"/>
      <c r="G45" s="29"/>
      <c r="H45" s="29"/>
      <c r="I45" s="29"/>
      <c r="J45" s="29"/>
      <c r="K45" s="40">
        <f t="shared" si="1"/>
        <v>0</v>
      </c>
    </row>
    <row r="46" spans="2:11" x14ac:dyDescent="0.2">
      <c r="B46" s="11">
        <v>1111022</v>
      </c>
      <c r="C46" s="19" t="s">
        <v>90</v>
      </c>
      <c r="D46" s="29"/>
      <c r="E46" s="29"/>
      <c r="F46" s="29"/>
      <c r="G46" s="29"/>
      <c r="H46" s="29"/>
      <c r="I46" s="29"/>
      <c r="J46" s="29"/>
      <c r="K46" s="40">
        <f t="shared" si="1"/>
        <v>0</v>
      </c>
    </row>
    <row r="47" spans="2:11" ht="19.5" x14ac:dyDescent="0.2">
      <c r="B47" s="49" t="s">
        <v>43</v>
      </c>
      <c r="C47" s="49"/>
      <c r="D47" s="49"/>
      <c r="E47" s="49"/>
      <c r="F47" s="49"/>
      <c r="G47" s="49"/>
      <c r="H47" s="49"/>
      <c r="I47" s="49"/>
      <c r="J47" s="49"/>
      <c r="K47" s="49"/>
    </row>
    <row r="48" spans="2:11" x14ac:dyDescent="0.2">
      <c r="B48" s="11">
        <v>1112009</v>
      </c>
      <c r="C48" s="19" t="s">
        <v>44</v>
      </c>
      <c r="D48" s="29"/>
      <c r="E48" s="29"/>
      <c r="F48" s="29"/>
      <c r="G48" s="29"/>
      <c r="H48" s="29"/>
      <c r="I48" s="29"/>
      <c r="J48" s="29"/>
      <c r="K48" s="40">
        <f t="shared" ref="K48:K57" si="2">SUM(D48:J48)</f>
        <v>0</v>
      </c>
    </row>
    <row r="49" spans="2:11" x14ac:dyDescent="0.2">
      <c r="B49" s="11">
        <v>1112011</v>
      </c>
      <c r="C49" s="19" t="s">
        <v>45</v>
      </c>
      <c r="D49" s="29"/>
      <c r="E49" s="29"/>
      <c r="F49" s="29"/>
      <c r="G49" s="29"/>
      <c r="H49" s="29"/>
      <c r="I49" s="29"/>
      <c r="J49" s="29"/>
      <c r="K49" s="40">
        <f t="shared" si="2"/>
        <v>0</v>
      </c>
    </row>
    <row r="50" spans="2:11" x14ac:dyDescent="0.2">
      <c r="B50" s="11">
        <v>1112003</v>
      </c>
      <c r="C50" s="19" t="s">
        <v>46</v>
      </c>
      <c r="D50" s="29"/>
      <c r="E50" s="29"/>
      <c r="F50" s="29"/>
      <c r="G50" s="29"/>
      <c r="H50" s="29"/>
      <c r="I50" s="29"/>
      <c r="J50" s="29"/>
      <c r="K50" s="40">
        <f t="shared" si="2"/>
        <v>0</v>
      </c>
    </row>
    <row r="51" spans="2:11" x14ac:dyDescent="0.2">
      <c r="B51" s="11">
        <v>1112005</v>
      </c>
      <c r="C51" s="19" t="s">
        <v>47</v>
      </c>
      <c r="D51" s="29"/>
      <c r="E51" s="29"/>
      <c r="F51" s="29"/>
      <c r="G51" s="29"/>
      <c r="H51" s="29"/>
      <c r="I51" s="29"/>
      <c r="J51" s="29"/>
      <c r="K51" s="40">
        <f t="shared" si="2"/>
        <v>0</v>
      </c>
    </row>
    <row r="52" spans="2:11" x14ac:dyDescent="0.2">
      <c r="B52" s="11">
        <v>1112007</v>
      </c>
      <c r="C52" s="19" t="s">
        <v>48</v>
      </c>
      <c r="D52" s="29"/>
      <c r="E52" s="29"/>
      <c r="F52" s="29"/>
      <c r="G52" s="29"/>
      <c r="H52" s="29"/>
      <c r="I52" s="29"/>
      <c r="J52" s="29"/>
      <c r="K52" s="40">
        <f t="shared" si="2"/>
        <v>0</v>
      </c>
    </row>
    <row r="53" spans="2:11" x14ac:dyDescent="0.2">
      <c r="B53" s="11">
        <v>1112019</v>
      </c>
      <c r="C53" s="19" t="s">
        <v>49</v>
      </c>
      <c r="D53" s="29"/>
      <c r="E53" s="29"/>
      <c r="F53" s="29"/>
      <c r="G53" s="29"/>
      <c r="H53" s="29"/>
      <c r="I53" s="29"/>
      <c r="J53" s="29"/>
      <c r="K53" s="40">
        <f t="shared" si="2"/>
        <v>0</v>
      </c>
    </row>
    <row r="54" spans="2:11" x14ac:dyDescent="0.2">
      <c r="B54" s="11">
        <v>1112017</v>
      </c>
      <c r="C54" s="19" t="s">
        <v>50</v>
      </c>
      <c r="D54" s="29"/>
      <c r="E54" s="29"/>
      <c r="F54" s="29"/>
      <c r="G54" s="29"/>
      <c r="H54" s="29"/>
      <c r="I54" s="29"/>
      <c r="J54" s="29"/>
      <c r="K54" s="40">
        <f t="shared" si="2"/>
        <v>0</v>
      </c>
    </row>
    <row r="55" spans="2:11" x14ac:dyDescent="0.2">
      <c r="B55" s="11">
        <v>1112015</v>
      </c>
      <c r="C55" s="19" t="s">
        <v>51</v>
      </c>
      <c r="D55" s="29"/>
      <c r="E55" s="29"/>
      <c r="F55" s="29"/>
      <c r="G55" s="29"/>
      <c r="H55" s="29"/>
      <c r="I55" s="29"/>
      <c r="J55" s="29"/>
      <c r="K55" s="40">
        <f t="shared" si="2"/>
        <v>0</v>
      </c>
    </row>
    <row r="56" spans="2:11" x14ac:dyDescent="0.2">
      <c r="B56" s="11">
        <v>1112013</v>
      </c>
      <c r="C56" s="19" t="s">
        <v>52</v>
      </c>
      <c r="D56" s="29"/>
      <c r="E56" s="29"/>
      <c r="F56" s="29"/>
      <c r="G56" s="29"/>
      <c r="H56" s="29"/>
      <c r="I56" s="29"/>
      <c r="J56" s="29"/>
      <c r="K56" s="40">
        <f t="shared" si="2"/>
        <v>0</v>
      </c>
    </row>
    <row r="57" spans="2:11" x14ac:dyDescent="0.2">
      <c r="B57" s="11">
        <v>1124043</v>
      </c>
      <c r="C57" s="19" t="s">
        <v>53</v>
      </c>
      <c r="D57" s="29"/>
      <c r="E57" s="29"/>
      <c r="F57" s="29"/>
      <c r="G57" s="29"/>
      <c r="H57" s="29"/>
      <c r="I57" s="29"/>
      <c r="J57" s="29"/>
      <c r="K57" s="40">
        <f t="shared" si="2"/>
        <v>0</v>
      </c>
    </row>
    <row r="58" spans="2:11" x14ac:dyDescent="0.2">
      <c r="B58" s="18"/>
      <c r="C58" s="18" t="s">
        <v>1</v>
      </c>
      <c r="D58" s="18"/>
      <c r="E58" s="18"/>
      <c r="F58" s="18"/>
      <c r="G58" s="18"/>
      <c r="H58" s="18"/>
      <c r="I58" s="18"/>
      <c r="J58" s="18"/>
      <c r="K58" s="40"/>
    </row>
    <row r="59" spans="2:11" ht="19.5" x14ac:dyDescent="0.2">
      <c r="B59" s="49" t="s">
        <v>54</v>
      </c>
      <c r="C59" s="49"/>
      <c r="D59" s="49"/>
      <c r="E59" s="49"/>
      <c r="F59" s="49"/>
      <c r="G59" s="49"/>
      <c r="H59" s="49"/>
      <c r="I59" s="49"/>
      <c r="J59" s="49"/>
      <c r="K59" s="49"/>
    </row>
    <row r="60" spans="2:11" x14ac:dyDescent="0.2">
      <c r="B60" s="11">
        <v>1100003</v>
      </c>
      <c r="C60" s="20" t="s">
        <v>73</v>
      </c>
      <c r="D60" s="29"/>
      <c r="E60" s="29"/>
      <c r="F60" s="29"/>
      <c r="G60" s="29"/>
      <c r="H60" s="29"/>
      <c r="I60" s="29"/>
      <c r="J60" s="29"/>
      <c r="K60" s="40">
        <f t="shared" ref="K60:K79" si="3">SUM(D60:J60)</f>
        <v>0</v>
      </c>
    </row>
    <row r="61" spans="2:11" x14ac:dyDescent="0.2">
      <c r="B61" s="11">
        <v>1100001</v>
      </c>
      <c r="C61" s="20" t="s">
        <v>74</v>
      </c>
      <c r="D61" s="29"/>
      <c r="E61" s="29"/>
      <c r="F61" s="29"/>
      <c r="G61" s="29"/>
      <c r="H61" s="29"/>
      <c r="I61" s="29"/>
      <c r="J61" s="29"/>
      <c r="K61" s="40">
        <f t="shared" si="3"/>
        <v>0</v>
      </c>
    </row>
    <row r="62" spans="2:11" x14ac:dyDescent="0.2">
      <c r="B62" s="11">
        <v>1100002</v>
      </c>
      <c r="C62" s="20" t="s">
        <v>75</v>
      </c>
      <c r="D62" s="29"/>
      <c r="E62" s="29"/>
      <c r="F62" s="29"/>
      <c r="G62" s="29"/>
      <c r="H62" s="29"/>
      <c r="I62" s="29"/>
      <c r="J62" s="29"/>
      <c r="K62" s="40">
        <f t="shared" si="3"/>
        <v>0</v>
      </c>
    </row>
    <row r="63" spans="2:11" x14ac:dyDescent="0.2">
      <c r="B63" s="11">
        <v>1200001</v>
      </c>
      <c r="C63" s="20" t="s">
        <v>57</v>
      </c>
      <c r="D63" s="29"/>
      <c r="E63" s="29"/>
      <c r="F63" s="29"/>
      <c r="G63" s="29"/>
      <c r="H63" s="29"/>
      <c r="I63" s="29"/>
      <c r="J63" s="29"/>
      <c r="K63" s="40">
        <f t="shared" si="3"/>
        <v>0</v>
      </c>
    </row>
    <row r="64" spans="2:11" x14ac:dyDescent="0.2">
      <c r="B64" s="11">
        <v>1005761</v>
      </c>
      <c r="C64" s="20" t="s">
        <v>58</v>
      </c>
      <c r="D64" s="29"/>
      <c r="E64" s="29"/>
      <c r="F64" s="29"/>
      <c r="G64" s="29"/>
      <c r="H64" s="29"/>
      <c r="I64" s="29"/>
      <c r="J64" s="29"/>
      <c r="K64" s="40">
        <f t="shared" si="3"/>
        <v>0</v>
      </c>
    </row>
    <row r="65" spans="2:11" x14ac:dyDescent="0.2">
      <c r="B65" s="11">
        <v>1114501</v>
      </c>
      <c r="C65" s="20" t="s">
        <v>59</v>
      </c>
      <c r="D65" s="29"/>
      <c r="E65" s="29"/>
      <c r="F65" s="29"/>
      <c r="G65" s="29"/>
      <c r="H65" s="29"/>
      <c r="I65" s="29"/>
      <c r="J65" s="29"/>
      <c r="K65" s="40">
        <f t="shared" si="3"/>
        <v>0</v>
      </c>
    </row>
    <row r="66" spans="2:11" x14ac:dyDescent="0.2">
      <c r="B66" s="11">
        <v>1114502</v>
      </c>
      <c r="C66" s="20" t="s">
        <v>60</v>
      </c>
      <c r="D66" s="29"/>
      <c r="E66" s="29"/>
      <c r="F66" s="29"/>
      <c r="G66" s="29"/>
      <c r="H66" s="29"/>
      <c r="I66" s="29"/>
      <c r="J66" s="29"/>
      <c r="K66" s="40">
        <f t="shared" si="3"/>
        <v>0</v>
      </c>
    </row>
    <row r="67" spans="2:11" x14ac:dyDescent="0.2">
      <c r="B67" s="11">
        <v>1114503</v>
      </c>
      <c r="C67" s="20" t="s">
        <v>61</v>
      </c>
      <c r="D67" s="29"/>
      <c r="E67" s="29"/>
      <c r="F67" s="29"/>
      <c r="G67" s="29"/>
      <c r="H67" s="29"/>
      <c r="I67" s="29"/>
      <c r="J67" s="29"/>
      <c r="K67" s="40">
        <f t="shared" si="3"/>
        <v>0</v>
      </c>
    </row>
    <row r="68" spans="2:11" x14ac:dyDescent="0.2">
      <c r="B68" s="11">
        <v>1124021</v>
      </c>
      <c r="C68" s="20" t="s">
        <v>62</v>
      </c>
      <c r="D68" s="29"/>
      <c r="E68" s="29"/>
      <c r="F68" s="29"/>
      <c r="G68" s="29"/>
      <c r="H68" s="29"/>
      <c r="I68" s="29"/>
      <c r="J68" s="29"/>
      <c r="K68" s="40">
        <f t="shared" si="3"/>
        <v>0</v>
      </c>
    </row>
    <row r="69" spans="2:11" x14ac:dyDescent="0.2">
      <c r="B69" s="11">
        <v>1113084</v>
      </c>
      <c r="C69" s="20" t="s">
        <v>63</v>
      </c>
      <c r="D69" s="29"/>
      <c r="E69" s="29"/>
      <c r="F69" s="29"/>
      <c r="G69" s="29"/>
      <c r="H69" s="29"/>
      <c r="I69" s="29"/>
      <c r="J69" s="29"/>
      <c r="K69" s="40">
        <f t="shared" si="3"/>
        <v>0</v>
      </c>
    </row>
    <row r="70" spans="2:11" x14ac:dyDescent="0.2">
      <c r="B70" s="11">
        <v>900003</v>
      </c>
      <c r="C70" s="20" t="s">
        <v>83</v>
      </c>
      <c r="D70" s="29"/>
      <c r="E70" s="29"/>
      <c r="F70" s="29"/>
      <c r="G70" s="29"/>
      <c r="H70" s="29"/>
      <c r="I70" s="29"/>
      <c r="J70" s="29"/>
      <c r="K70" s="40">
        <f t="shared" si="3"/>
        <v>0</v>
      </c>
    </row>
    <row r="71" spans="2:11" x14ac:dyDescent="0.2">
      <c r="B71" s="11">
        <v>900004</v>
      </c>
      <c r="C71" s="20" t="s">
        <v>64</v>
      </c>
      <c r="D71" s="29"/>
      <c r="E71" s="29"/>
      <c r="F71" s="29"/>
      <c r="G71" s="29"/>
      <c r="H71" s="29"/>
      <c r="I71" s="29"/>
      <c r="J71" s="29"/>
      <c r="K71" s="40">
        <f t="shared" si="3"/>
        <v>0</v>
      </c>
    </row>
    <row r="72" spans="2:11" x14ac:dyDescent="0.2">
      <c r="B72" s="11">
        <v>1200002</v>
      </c>
      <c r="C72" s="20" t="s">
        <v>65</v>
      </c>
      <c r="D72" s="29"/>
      <c r="E72" s="29"/>
      <c r="F72" s="29"/>
      <c r="G72" s="29"/>
      <c r="H72" s="29"/>
      <c r="I72" s="29"/>
      <c r="J72" s="29"/>
      <c r="K72" s="40">
        <f t="shared" si="3"/>
        <v>0</v>
      </c>
    </row>
    <row r="73" spans="2:11" x14ac:dyDescent="0.2">
      <c r="B73" s="11">
        <v>1200003</v>
      </c>
      <c r="C73" s="20" t="s">
        <v>66</v>
      </c>
      <c r="D73" s="29"/>
      <c r="E73" s="29"/>
      <c r="F73" s="29"/>
      <c r="G73" s="29"/>
      <c r="H73" s="29"/>
      <c r="I73" s="29"/>
      <c r="J73" s="29"/>
      <c r="K73" s="40">
        <f t="shared" si="3"/>
        <v>0</v>
      </c>
    </row>
    <row r="74" spans="2:11" x14ac:dyDescent="0.2">
      <c r="B74" s="11">
        <v>1200004</v>
      </c>
      <c r="C74" s="20" t="s">
        <v>67</v>
      </c>
      <c r="D74" s="29"/>
      <c r="E74" s="29"/>
      <c r="F74" s="29"/>
      <c r="G74" s="29"/>
      <c r="H74" s="29"/>
      <c r="I74" s="29"/>
      <c r="J74" s="29"/>
      <c r="K74" s="40">
        <f t="shared" si="3"/>
        <v>0</v>
      </c>
    </row>
    <row r="75" spans="2:11" x14ac:dyDescent="0.2">
      <c r="B75" s="11">
        <v>1200093</v>
      </c>
      <c r="C75" s="20" t="s">
        <v>55</v>
      </c>
      <c r="D75" s="29"/>
      <c r="E75" s="29"/>
      <c r="F75" s="29"/>
      <c r="G75" s="29"/>
      <c r="H75" s="29"/>
      <c r="I75" s="29"/>
      <c r="J75" s="29"/>
      <c r="K75" s="40">
        <f t="shared" si="3"/>
        <v>0</v>
      </c>
    </row>
    <row r="76" spans="2:11" x14ac:dyDescent="0.2">
      <c r="B76" s="11">
        <v>1200092</v>
      </c>
      <c r="C76" s="19" t="s">
        <v>56</v>
      </c>
      <c r="D76" s="29"/>
      <c r="E76" s="29"/>
      <c r="F76" s="29"/>
      <c r="G76" s="29"/>
      <c r="H76" s="29"/>
      <c r="I76" s="29"/>
      <c r="J76" s="29"/>
      <c r="K76" s="40">
        <f t="shared" si="3"/>
        <v>0</v>
      </c>
    </row>
    <row r="77" spans="2:11" x14ac:dyDescent="0.2">
      <c r="B77" s="21"/>
      <c r="C77" s="20" t="s">
        <v>76</v>
      </c>
      <c r="D77" s="29"/>
      <c r="E77" s="29"/>
      <c r="F77" s="29"/>
      <c r="G77" s="29"/>
      <c r="H77" s="29"/>
      <c r="I77" s="29"/>
      <c r="J77" s="29"/>
      <c r="K77" s="40">
        <f t="shared" si="3"/>
        <v>0</v>
      </c>
    </row>
    <row r="78" spans="2:11" x14ac:dyDescent="0.2">
      <c r="B78" s="21"/>
      <c r="C78" s="20" t="s">
        <v>77</v>
      </c>
      <c r="D78" s="29"/>
      <c r="E78" s="29"/>
      <c r="F78" s="29"/>
      <c r="G78" s="29"/>
      <c r="H78" s="29"/>
      <c r="I78" s="29"/>
      <c r="J78" s="29"/>
      <c r="K78" s="40">
        <f t="shared" si="3"/>
        <v>0</v>
      </c>
    </row>
    <row r="79" spans="2:11" x14ac:dyDescent="0.2">
      <c r="B79" s="21"/>
      <c r="C79" s="20" t="s">
        <v>88</v>
      </c>
      <c r="D79" s="29"/>
      <c r="E79" s="29"/>
      <c r="F79" s="29"/>
      <c r="G79" s="29"/>
      <c r="H79" s="29"/>
      <c r="I79" s="29"/>
      <c r="J79" s="29"/>
      <c r="K79" s="40">
        <f t="shared" si="3"/>
        <v>0</v>
      </c>
    </row>
    <row r="80" spans="2:11" x14ac:dyDescent="0.2">
      <c r="C80" s="34"/>
      <c r="D80" s="37"/>
      <c r="E80" s="37"/>
      <c r="F80" s="37"/>
      <c r="G80" s="37"/>
      <c r="H80" s="37"/>
      <c r="I80" s="37"/>
      <c r="J80" s="37"/>
      <c r="K80" s="38"/>
    </row>
    <row r="81" spans="2:11" x14ac:dyDescent="0.2">
      <c r="C81" s="34"/>
      <c r="D81" s="38">
        <f t="shared" ref="D81:J81" si="4">SUM(D7:D36,D40,D42,D48:D56,D60:D79)</f>
        <v>0</v>
      </c>
      <c r="E81" s="38">
        <f t="shared" si="4"/>
        <v>0</v>
      </c>
      <c r="F81" s="38">
        <f t="shared" si="4"/>
        <v>0</v>
      </c>
      <c r="G81" s="38">
        <f t="shared" si="4"/>
        <v>0</v>
      </c>
      <c r="H81" s="38">
        <f t="shared" si="4"/>
        <v>0</v>
      </c>
      <c r="I81" s="38">
        <f t="shared" si="4"/>
        <v>0</v>
      </c>
      <c r="J81" s="38">
        <f t="shared" si="4"/>
        <v>0</v>
      </c>
      <c r="K81" s="38">
        <f>SUM(K7:K36,K40,K42,K48:K56,K60:K79)</f>
        <v>0</v>
      </c>
    </row>
    <row r="82" spans="2:11" x14ac:dyDescent="0.2">
      <c r="C82" s="23"/>
      <c r="D82" s="30"/>
      <c r="E82" s="57"/>
      <c r="F82" s="57"/>
      <c r="G82" s="25"/>
    </row>
    <row r="83" spans="2:11" x14ac:dyDescent="0.2">
      <c r="B83" s="57" t="s">
        <v>68</v>
      </c>
      <c r="C83" s="57"/>
      <c r="D83" s="31"/>
      <c r="E83" s="58"/>
      <c r="F83" s="58"/>
      <c r="G83" s="26"/>
      <c r="H83" s="25"/>
      <c r="I83" s="57" t="s">
        <v>68</v>
      </c>
      <c r="J83" s="57"/>
      <c r="K83" s="57"/>
    </row>
    <row r="84" spans="2:11" x14ac:dyDescent="0.2">
      <c r="B84" s="58" t="s">
        <v>69</v>
      </c>
      <c r="C84" s="58"/>
      <c r="D84" s="32"/>
      <c r="E84" s="32"/>
      <c r="F84" s="32"/>
      <c r="G84" s="32"/>
      <c r="H84" s="32"/>
      <c r="I84" s="58" t="s">
        <v>70</v>
      </c>
      <c r="J84" s="58"/>
      <c r="K84" s="58"/>
    </row>
    <row r="85" spans="2:11" x14ac:dyDescent="0.2">
      <c r="B85" s="30"/>
      <c r="C85" s="30"/>
      <c r="D85" s="32"/>
      <c r="E85" s="32"/>
      <c r="F85" s="32"/>
      <c r="G85" s="32"/>
      <c r="H85" s="32"/>
      <c r="I85" s="30"/>
      <c r="J85" s="30"/>
      <c r="K85" s="33"/>
    </row>
    <row r="86" spans="2:11" ht="14.25" x14ac:dyDescent="0.2">
      <c r="B86" s="30"/>
      <c r="C86" s="30"/>
      <c r="D86" s="30"/>
      <c r="E86" s="30"/>
      <c r="F86" s="30"/>
      <c r="G86" s="30"/>
      <c r="H86" s="30"/>
      <c r="I86" s="30"/>
      <c r="J86" s="30"/>
      <c r="K86" s="33"/>
    </row>
    <row r="87" spans="2:11" ht="14.25" x14ac:dyDescent="0.2">
      <c r="B87" s="30"/>
      <c r="C87" s="30"/>
      <c r="D87" s="30"/>
      <c r="E87" s="30"/>
      <c r="F87" s="30"/>
      <c r="G87" s="30"/>
      <c r="H87" s="30"/>
      <c r="I87" s="30"/>
      <c r="J87" s="30"/>
      <c r="K87" s="33"/>
    </row>
    <row r="88" spans="2:11" ht="14.25" x14ac:dyDescent="0.2">
      <c r="B88" s="30"/>
      <c r="C88" s="30"/>
      <c r="D88" s="30"/>
      <c r="E88" s="30"/>
      <c r="F88" s="30"/>
      <c r="G88" s="30"/>
      <c r="H88" s="30"/>
      <c r="I88" s="30"/>
      <c r="J88" s="30"/>
      <c r="K88" s="33"/>
    </row>
    <row r="89" spans="2:11" ht="14.25" x14ac:dyDescent="0.2">
      <c r="B89" s="30"/>
      <c r="C89" s="30"/>
      <c r="D89" s="30"/>
      <c r="E89" s="30"/>
      <c r="F89" s="30"/>
      <c r="G89" s="30"/>
      <c r="H89" s="30"/>
      <c r="I89" s="30"/>
      <c r="J89" s="30"/>
      <c r="K89" s="33"/>
    </row>
    <row r="90" spans="2:11" ht="14.25" x14ac:dyDescent="0.2">
      <c r="B90" s="30"/>
      <c r="C90" s="30"/>
      <c r="D90" s="30"/>
      <c r="E90" s="30"/>
      <c r="F90" s="30"/>
      <c r="G90" s="30"/>
      <c r="H90" s="30"/>
      <c r="I90" s="30"/>
      <c r="J90" s="30"/>
      <c r="K90" s="33"/>
    </row>
    <row r="91" spans="2:11" x14ac:dyDescent="0.2">
      <c r="D91" s="30"/>
      <c r="E91" s="30"/>
      <c r="F91" s="30"/>
      <c r="G91" s="30"/>
      <c r="H91" s="30"/>
    </row>
    <row r="92" spans="2:11" x14ac:dyDescent="0.2">
      <c r="D92" s="30"/>
      <c r="E92" s="30"/>
      <c r="F92" s="30"/>
      <c r="G92" s="30"/>
      <c r="H92" s="30"/>
    </row>
    <row r="93" spans="2:11" x14ac:dyDescent="0.2">
      <c r="D93" s="30"/>
      <c r="E93" s="30"/>
      <c r="F93" s="30"/>
      <c r="G93" s="30"/>
      <c r="H93" s="30"/>
    </row>
    <row r="94" spans="2:11" x14ac:dyDescent="0.2">
      <c r="D94" s="30"/>
      <c r="E94" s="30"/>
      <c r="F94" s="30"/>
      <c r="G94" s="30"/>
      <c r="H94" s="30"/>
    </row>
    <row r="95" spans="2:11" x14ac:dyDescent="0.2">
      <c r="D95" s="30"/>
      <c r="E95" s="30"/>
      <c r="F95" s="30"/>
      <c r="G95" s="30"/>
      <c r="H95" s="30"/>
    </row>
    <row r="96" spans="2:11" x14ac:dyDescent="0.2">
      <c r="D96" s="30"/>
      <c r="E96" s="30"/>
      <c r="F96" s="30"/>
      <c r="G96" s="30"/>
      <c r="H96" s="30"/>
    </row>
    <row r="97" spans="4:8" x14ac:dyDescent="0.2">
      <c r="D97" s="30"/>
      <c r="E97" s="30"/>
      <c r="F97" s="30"/>
      <c r="G97" s="30"/>
      <c r="H97" s="30"/>
    </row>
    <row r="98" spans="4:8" x14ac:dyDescent="0.2">
      <c r="D98" s="30"/>
      <c r="E98" s="30"/>
      <c r="F98" s="30"/>
      <c r="G98" s="30"/>
      <c r="H98" s="30"/>
    </row>
    <row r="99" spans="4:8" x14ac:dyDescent="0.2">
      <c r="D99" s="30"/>
      <c r="E99" s="30"/>
      <c r="F99" s="30"/>
      <c r="G99" s="30"/>
      <c r="H99" s="30"/>
    </row>
    <row r="100" spans="4:8" x14ac:dyDescent="0.2">
      <c r="D100" s="30"/>
      <c r="E100" s="30"/>
      <c r="F100" s="30"/>
      <c r="G100" s="30"/>
      <c r="H100" s="30"/>
    </row>
    <row r="101" spans="4:8" x14ac:dyDescent="0.2">
      <c r="D101" s="30"/>
      <c r="E101" s="30"/>
      <c r="F101" s="30"/>
      <c r="G101" s="30"/>
      <c r="H101" s="30"/>
    </row>
  </sheetData>
  <mergeCells count="13">
    <mergeCell ref="B84:C84"/>
    <mergeCell ref="I84:K84"/>
    <mergeCell ref="B1:K1"/>
    <mergeCell ref="B2:J3"/>
    <mergeCell ref="B6:K6"/>
    <mergeCell ref="B39:K39"/>
    <mergeCell ref="B41:K41"/>
    <mergeCell ref="B47:K47"/>
    <mergeCell ref="B59:K59"/>
    <mergeCell ref="E82:F82"/>
    <mergeCell ref="B83:C83"/>
    <mergeCell ref="E83:F83"/>
    <mergeCell ref="I83:K8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7631F-A4FA-44D7-ADD8-57CE043BB388}">
  <sheetPr>
    <pageSetUpPr fitToPage="1"/>
  </sheetPr>
  <dimension ref="B1:S101"/>
  <sheetViews>
    <sheetView tabSelected="1" topLeftCell="A36" zoomScale="50" zoomScaleNormal="50" workbookViewId="0">
      <selection activeCell="C37" sqref="C37"/>
    </sheetView>
  </sheetViews>
  <sheetFormatPr defaultRowHeight="22.5" x14ac:dyDescent="0.25"/>
  <cols>
    <col min="2" max="2" width="22.125" style="22" customWidth="1"/>
    <col min="3" max="3" width="59.125" style="22" customWidth="1"/>
    <col min="4" max="10" width="14.375" style="16" customWidth="1"/>
    <col min="11" max="11" width="17.625" style="24" customWidth="1"/>
    <col min="12" max="16" width="14.375" style="22" customWidth="1"/>
    <col min="17" max="17" width="14.375" style="27" customWidth="1"/>
    <col min="18" max="27" width="9" customWidth="1"/>
  </cols>
  <sheetData>
    <row r="1" spans="2:17" x14ac:dyDescent="0.2">
      <c r="B1" s="50" t="s">
        <v>102</v>
      </c>
      <c r="C1" s="50"/>
      <c r="D1" s="50"/>
      <c r="E1" s="50"/>
      <c r="F1" s="50"/>
      <c r="G1" s="50"/>
      <c r="H1" s="50"/>
      <c r="I1" s="50"/>
      <c r="J1" s="50"/>
      <c r="K1" s="50"/>
    </row>
    <row r="2" spans="2:17" x14ac:dyDescent="0.2">
      <c r="B2" s="59"/>
      <c r="C2" s="60"/>
      <c r="D2" s="1"/>
      <c r="E2" s="61"/>
      <c r="F2" s="61"/>
      <c r="G2" s="2"/>
      <c r="H2" s="2"/>
      <c r="I2" s="2"/>
      <c r="J2" s="2"/>
      <c r="K2" s="3" t="s">
        <v>0</v>
      </c>
      <c r="L2" s="63" t="s">
        <v>81</v>
      </c>
      <c r="M2" s="63" t="s">
        <v>78</v>
      </c>
      <c r="N2" s="63" t="s">
        <v>86</v>
      </c>
      <c r="O2" s="72" t="s">
        <v>87</v>
      </c>
      <c r="P2" s="46"/>
      <c r="Q2" s="66" t="s">
        <v>1</v>
      </c>
    </row>
    <row r="3" spans="2:17" x14ac:dyDescent="0.2">
      <c r="B3" s="59"/>
      <c r="C3" s="60"/>
      <c r="D3" s="4"/>
      <c r="E3" s="62"/>
      <c r="F3" s="62"/>
      <c r="G3" s="5"/>
      <c r="H3" s="5"/>
      <c r="I3" s="5"/>
      <c r="J3" s="43"/>
      <c r="K3" s="6" t="s">
        <v>2</v>
      </c>
      <c r="L3" s="64"/>
      <c r="M3" s="64"/>
      <c r="N3" s="64"/>
      <c r="O3" s="73"/>
      <c r="P3" s="47" t="s">
        <v>104</v>
      </c>
      <c r="Q3" s="67"/>
    </row>
    <row r="4" spans="2:17" x14ac:dyDescent="0.2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85</v>
      </c>
      <c r="I4" s="9" t="s">
        <v>9</v>
      </c>
      <c r="J4" s="9" t="s">
        <v>103</v>
      </c>
      <c r="K4" s="10" t="s">
        <v>10</v>
      </c>
      <c r="L4" s="65"/>
      <c r="M4" s="65"/>
      <c r="N4" s="65"/>
      <c r="O4" s="74"/>
      <c r="P4" s="48"/>
      <c r="Q4" s="68"/>
    </row>
    <row r="5" spans="2:17" x14ac:dyDescent="0.2">
      <c r="B5" s="11"/>
      <c r="C5" s="12"/>
      <c r="D5" s="13"/>
      <c r="E5" s="9"/>
      <c r="F5" s="9"/>
      <c r="G5" s="9"/>
      <c r="H5" s="9"/>
      <c r="I5" s="9"/>
      <c r="J5" s="44"/>
      <c r="K5" s="14"/>
      <c r="L5" s="11"/>
      <c r="M5" s="11"/>
      <c r="N5" s="11"/>
      <c r="O5" s="11"/>
      <c r="P5" s="11"/>
      <c r="Q5" s="28"/>
    </row>
    <row r="6" spans="2:17" ht="19.5" x14ac:dyDescent="0.2">
      <c r="B6" s="69" t="s">
        <v>11</v>
      </c>
      <c r="C6" s="70"/>
      <c r="D6" s="70"/>
      <c r="E6" s="70"/>
      <c r="F6" s="70"/>
      <c r="G6" s="70"/>
      <c r="H6" s="70"/>
      <c r="I6" s="70"/>
      <c r="J6" s="70"/>
      <c r="K6" s="70"/>
      <c r="L6" s="70"/>
      <c r="M6" s="70"/>
      <c r="N6" s="70"/>
      <c r="O6" s="70"/>
      <c r="P6" s="70"/>
      <c r="Q6" s="71"/>
    </row>
    <row r="7" spans="2:17" x14ac:dyDescent="0.2">
      <c r="B7" s="11">
        <v>1111002</v>
      </c>
      <c r="C7" s="15" t="s">
        <v>71</v>
      </c>
      <c r="D7" s="29">
        <f>'เย็น  '!D7+เช้า!D7</f>
        <v>0</v>
      </c>
      <c r="E7" s="29">
        <f>'เย็น  '!E7+เช้า!E7</f>
        <v>44</v>
      </c>
      <c r="F7" s="29">
        <f>'เย็น  '!F7+เช้า!F7</f>
        <v>49</v>
      </c>
      <c r="G7" s="29">
        <f>'เย็น  '!G7+เช้า!G7</f>
        <v>1</v>
      </c>
      <c r="H7" s="29">
        <f>'เย็น  '!H7+เช้า!H7</f>
        <v>0</v>
      </c>
      <c r="I7" s="29">
        <f>'เย็น  '!I7+เช้า!I7</f>
        <v>0</v>
      </c>
      <c r="J7" s="29">
        <f>'เย็น  '!J7+เช้า!J7</f>
        <v>0</v>
      </c>
      <c r="K7" s="35">
        <f>SUM(D7:J7)</f>
        <v>94</v>
      </c>
      <c r="L7" s="11"/>
      <c r="M7" s="11">
        <v>114</v>
      </c>
      <c r="N7" s="11"/>
      <c r="O7" s="11"/>
      <c r="P7" s="11"/>
      <c r="Q7" s="45">
        <f>(L7+M7+N7+O7)-K7-P7</f>
        <v>20</v>
      </c>
    </row>
    <row r="8" spans="2:17" x14ac:dyDescent="0.2">
      <c r="B8" s="11">
        <v>1111086</v>
      </c>
      <c r="C8" s="15" t="s">
        <v>99</v>
      </c>
      <c r="D8" s="29">
        <f>'เย็น  '!D8+เช้า!D8</f>
        <v>0</v>
      </c>
      <c r="E8" s="29">
        <f>'เย็น  '!E8+เช้า!E8</f>
        <v>0</v>
      </c>
      <c r="F8" s="29">
        <f>'เย็น  '!F8+เช้า!F8</f>
        <v>0</v>
      </c>
      <c r="G8" s="29">
        <f>'เย็น  '!G8+เช้า!G8</f>
        <v>0</v>
      </c>
      <c r="H8" s="29">
        <f>'เย็น  '!H8+เช้า!H8</f>
        <v>0</v>
      </c>
      <c r="I8" s="29">
        <f>'เย็น  '!I8+เช้า!I8</f>
        <v>0</v>
      </c>
      <c r="J8" s="29">
        <f>'เย็น  '!J8+เช้า!J8</f>
        <v>0</v>
      </c>
      <c r="K8" s="35">
        <f t="shared" ref="K8:K35" si="0">SUM(D8:J8)</f>
        <v>0</v>
      </c>
      <c r="L8" s="11"/>
      <c r="M8" s="11"/>
      <c r="N8" s="11"/>
      <c r="O8" s="11"/>
      <c r="P8" s="11"/>
      <c r="Q8" s="45">
        <f t="shared" ref="Q8:Q71" si="1">(L8+M8+N8+O8)-K8-P8</f>
        <v>0</v>
      </c>
    </row>
    <row r="9" spans="2:17" x14ac:dyDescent="0.2">
      <c r="B9" s="11">
        <v>1111056</v>
      </c>
      <c r="C9" s="15" t="s">
        <v>13</v>
      </c>
      <c r="D9" s="29">
        <f>'เย็น  '!D9+เช้า!D9</f>
        <v>0</v>
      </c>
      <c r="E9" s="29">
        <f>'เย็น  '!E9+เช้า!E9</f>
        <v>5</v>
      </c>
      <c r="F9" s="29">
        <f>'เย็น  '!F9+เช้า!F9</f>
        <v>8</v>
      </c>
      <c r="G9" s="29">
        <f>'เย็น  '!G9+เช้า!G9</f>
        <v>0</v>
      </c>
      <c r="H9" s="29">
        <f>'เย็น  '!H9+เช้า!H9</f>
        <v>0</v>
      </c>
      <c r="I9" s="29">
        <f>'เย็น  '!I9+เช้า!I9</f>
        <v>4</v>
      </c>
      <c r="J9" s="29">
        <f>'เย็น  '!J9+เช้า!J9</f>
        <v>0</v>
      </c>
      <c r="K9" s="35">
        <f t="shared" si="0"/>
        <v>17</v>
      </c>
      <c r="L9" s="11"/>
      <c r="M9" s="11">
        <v>36</v>
      </c>
      <c r="N9" s="11"/>
      <c r="O9" s="11"/>
      <c r="P9" s="11"/>
      <c r="Q9" s="45">
        <f t="shared" si="1"/>
        <v>19</v>
      </c>
    </row>
    <row r="10" spans="2:17" x14ac:dyDescent="0.2">
      <c r="B10" s="11">
        <v>1004055</v>
      </c>
      <c r="C10" s="15" t="s">
        <v>72</v>
      </c>
      <c r="D10" s="29">
        <f>'เย็น  '!D10+เช้า!D10</f>
        <v>14</v>
      </c>
      <c r="E10" s="29">
        <f>'เย็น  '!E10+เช้า!E10</f>
        <v>0</v>
      </c>
      <c r="F10" s="29">
        <f>'เย็น  '!F10+เช้า!F10</f>
        <v>1</v>
      </c>
      <c r="G10" s="29">
        <f>'เย็น  '!G10+เช้า!G10</f>
        <v>81</v>
      </c>
      <c r="H10" s="29">
        <f>'เย็น  '!H10+เช้า!H10</f>
        <v>90</v>
      </c>
      <c r="I10" s="29">
        <f>'เย็น  '!I10+เช้า!I10</f>
        <v>72</v>
      </c>
      <c r="J10" s="29">
        <f>'เย็น  '!J10+เช้า!J10</f>
        <v>39</v>
      </c>
      <c r="K10" s="35">
        <f t="shared" si="0"/>
        <v>297</v>
      </c>
      <c r="L10" s="11"/>
      <c r="M10" s="11">
        <v>165</v>
      </c>
      <c r="N10" s="11"/>
      <c r="O10" s="11"/>
      <c r="P10" s="11"/>
      <c r="Q10" s="45">
        <f t="shared" si="1"/>
        <v>-132</v>
      </c>
    </row>
    <row r="11" spans="2:17" x14ac:dyDescent="0.2">
      <c r="B11" s="11">
        <v>1111057</v>
      </c>
      <c r="C11" s="15" t="s">
        <v>14</v>
      </c>
      <c r="D11" s="29">
        <f>'เย็น  '!D11+เช้า!D11</f>
        <v>0</v>
      </c>
      <c r="E11" s="29">
        <f>'เย็น  '!E11+เช้า!E11</f>
        <v>0</v>
      </c>
      <c r="F11" s="29">
        <f>'เย็น  '!F11+เช้า!F11</f>
        <v>0</v>
      </c>
      <c r="G11" s="29">
        <f>'เย็น  '!G11+เช้า!G11</f>
        <v>6</v>
      </c>
      <c r="H11" s="29">
        <f>'เย็น  '!H11+เช้า!H11</f>
        <v>3</v>
      </c>
      <c r="I11" s="29">
        <f>'เย็น  '!I11+เช้า!I11</f>
        <v>1</v>
      </c>
      <c r="J11" s="29">
        <f>'เย็น  '!J11+เช้า!J11</f>
        <v>1</v>
      </c>
      <c r="K11" s="35">
        <f t="shared" si="0"/>
        <v>11</v>
      </c>
      <c r="L11" s="11"/>
      <c r="M11" s="11">
        <v>27</v>
      </c>
      <c r="N11" s="11"/>
      <c r="O11" s="11"/>
      <c r="P11" s="11"/>
      <c r="Q11" s="45">
        <f t="shared" si="1"/>
        <v>16</v>
      </c>
    </row>
    <row r="12" spans="2:17" x14ac:dyDescent="0.2">
      <c r="B12" s="11">
        <v>1111058</v>
      </c>
      <c r="C12" s="15" t="s">
        <v>15</v>
      </c>
      <c r="D12" s="29">
        <f>'เย็น  '!D12+เช้า!D12</f>
        <v>0</v>
      </c>
      <c r="E12" s="29">
        <f>'เย็น  '!E12+เช้า!E12</f>
        <v>0</v>
      </c>
      <c r="F12" s="29">
        <f>'เย็น  '!F12+เช้า!F12</f>
        <v>0</v>
      </c>
      <c r="G12" s="29">
        <f>'เย็น  '!G12+เช้า!G12</f>
        <v>6</v>
      </c>
      <c r="H12" s="29">
        <f>'เย็น  '!H12+เช้า!H12</f>
        <v>3</v>
      </c>
      <c r="I12" s="29">
        <f>'เย็น  '!I12+เช้า!I12</f>
        <v>1</v>
      </c>
      <c r="J12" s="29">
        <f>'เย็น  '!J12+เช้า!J12</f>
        <v>1</v>
      </c>
      <c r="K12" s="35">
        <f t="shared" si="0"/>
        <v>11</v>
      </c>
      <c r="L12" s="11"/>
      <c r="M12" s="11">
        <v>20</v>
      </c>
      <c r="N12" s="11"/>
      <c r="O12" s="11"/>
      <c r="P12" s="11"/>
      <c r="Q12" s="45">
        <f t="shared" si="1"/>
        <v>9</v>
      </c>
    </row>
    <row r="13" spans="2:17" x14ac:dyDescent="0.2">
      <c r="B13" s="11">
        <v>1111059</v>
      </c>
      <c r="C13" s="15" t="s">
        <v>16</v>
      </c>
      <c r="D13" s="29">
        <f>'เย็น  '!D13+เช้า!D13</f>
        <v>0</v>
      </c>
      <c r="E13" s="29">
        <f>'เย็น  '!E13+เช้า!E13</f>
        <v>0</v>
      </c>
      <c r="F13" s="29">
        <f>'เย็น  '!F13+เช้า!F13</f>
        <v>0</v>
      </c>
      <c r="G13" s="29">
        <f>'เย็น  '!G13+เช้า!G13</f>
        <v>6</v>
      </c>
      <c r="H13" s="29">
        <f>'เย็น  '!H13+เช้า!H13</f>
        <v>3</v>
      </c>
      <c r="I13" s="29">
        <f>'เย็น  '!I13+เช้า!I13</f>
        <v>6</v>
      </c>
      <c r="J13" s="29">
        <f>'เย็น  '!J13+เช้า!J13</f>
        <v>0</v>
      </c>
      <c r="K13" s="35">
        <f t="shared" si="0"/>
        <v>15</v>
      </c>
      <c r="L13" s="11"/>
      <c r="M13" s="11">
        <v>20</v>
      </c>
      <c r="N13" s="11"/>
      <c r="O13" s="11"/>
      <c r="P13" s="11"/>
      <c r="Q13" s="45">
        <f t="shared" si="1"/>
        <v>5</v>
      </c>
    </row>
    <row r="14" spans="2:17" x14ac:dyDescent="0.2">
      <c r="B14" s="11">
        <v>1111060</v>
      </c>
      <c r="C14" s="15" t="s">
        <v>17</v>
      </c>
      <c r="D14" s="29">
        <f>'เย็น  '!D14+เช้า!D14</f>
        <v>0</v>
      </c>
      <c r="E14" s="29">
        <f>'เย็น  '!E14+เช้า!E14</f>
        <v>0</v>
      </c>
      <c r="F14" s="29">
        <f>'เย็น  '!F14+เช้า!F14</f>
        <v>0</v>
      </c>
      <c r="G14" s="29">
        <f>'เย็น  '!G14+เช้า!G14</f>
        <v>6</v>
      </c>
      <c r="H14" s="29">
        <f>'เย็น  '!H14+เช้า!H14</f>
        <v>3</v>
      </c>
      <c r="I14" s="29">
        <f>'เย็น  '!I14+เช้า!I14</f>
        <v>1</v>
      </c>
      <c r="J14" s="29">
        <f>'เย็น  '!J14+เช้า!J14</f>
        <v>0</v>
      </c>
      <c r="K14" s="35">
        <f t="shared" si="0"/>
        <v>10</v>
      </c>
      <c r="L14" s="11"/>
      <c r="M14" s="11">
        <v>20</v>
      </c>
      <c r="N14" s="11"/>
      <c r="O14" s="11"/>
      <c r="P14" s="11"/>
      <c r="Q14" s="45">
        <f t="shared" si="1"/>
        <v>10</v>
      </c>
    </row>
    <row r="15" spans="2:17" x14ac:dyDescent="0.2">
      <c r="B15" s="11">
        <v>1111061</v>
      </c>
      <c r="C15" s="15" t="s">
        <v>18</v>
      </c>
      <c r="D15" s="29">
        <f>'เย็น  '!D15+เช้า!D15</f>
        <v>0</v>
      </c>
      <c r="E15" s="29">
        <f>'เย็น  '!E15+เช้า!E15</f>
        <v>0</v>
      </c>
      <c r="F15" s="29">
        <f>'เย็น  '!F15+เช้า!F15</f>
        <v>0</v>
      </c>
      <c r="G15" s="29">
        <f>'เย็น  '!G15+เช้า!G15</f>
        <v>6</v>
      </c>
      <c r="H15" s="29">
        <f>'เย็น  '!H15+เช้า!H15</f>
        <v>3</v>
      </c>
      <c r="I15" s="29">
        <f>'เย็น  '!I15+เช้า!I15</f>
        <v>0</v>
      </c>
      <c r="J15" s="29">
        <f>'เย็น  '!J15+เช้า!J15</f>
        <v>0</v>
      </c>
      <c r="K15" s="35">
        <f t="shared" si="0"/>
        <v>9</v>
      </c>
      <c r="L15" s="11"/>
      <c r="M15" s="11">
        <v>22</v>
      </c>
      <c r="N15" s="11"/>
      <c r="O15" s="11"/>
      <c r="P15" s="11"/>
      <c r="Q15" s="45">
        <f t="shared" si="1"/>
        <v>13</v>
      </c>
    </row>
    <row r="16" spans="2:17" x14ac:dyDescent="0.2">
      <c r="B16" s="11">
        <v>1111062</v>
      </c>
      <c r="C16" s="15" t="s">
        <v>19</v>
      </c>
      <c r="D16" s="29">
        <f>'เย็น  '!D16+เช้า!D16</f>
        <v>0</v>
      </c>
      <c r="E16" s="29">
        <f>'เย็น  '!E16+เช้า!E16</f>
        <v>0</v>
      </c>
      <c r="F16" s="29">
        <f>'เย็น  '!F16+เช้า!F16</f>
        <v>0</v>
      </c>
      <c r="G16" s="29">
        <f>'เย็น  '!G16+เช้า!G16</f>
        <v>6</v>
      </c>
      <c r="H16" s="29">
        <f>'เย็น  '!H16+เช้า!H16</f>
        <v>3</v>
      </c>
      <c r="I16" s="29">
        <f>'เย็น  '!I16+เช้า!I16</f>
        <v>0</v>
      </c>
      <c r="J16" s="29">
        <f>'เย็น  '!J16+เช้า!J16</f>
        <v>0</v>
      </c>
      <c r="K16" s="35">
        <f t="shared" si="0"/>
        <v>9</v>
      </c>
      <c r="L16" s="11"/>
      <c r="M16" s="11">
        <v>20</v>
      </c>
      <c r="N16" s="11"/>
      <c r="O16" s="11"/>
      <c r="P16" s="11"/>
      <c r="Q16" s="45">
        <f t="shared" si="1"/>
        <v>11</v>
      </c>
    </row>
    <row r="17" spans="2:17" x14ac:dyDescent="0.2">
      <c r="B17" s="11">
        <v>1111063</v>
      </c>
      <c r="C17" s="15" t="s">
        <v>20</v>
      </c>
      <c r="D17" s="29">
        <f>'เย็น  '!D17+เช้า!D17</f>
        <v>0</v>
      </c>
      <c r="E17" s="29">
        <f>'เย็น  '!E17+เช้า!E17</f>
        <v>0</v>
      </c>
      <c r="F17" s="29">
        <f>'เย็น  '!F17+เช้า!F17</f>
        <v>0</v>
      </c>
      <c r="G17" s="29">
        <f>'เย็น  '!G17+เช้า!G17</f>
        <v>6</v>
      </c>
      <c r="H17" s="29">
        <f>'เย็น  '!H17+เช้า!H17</f>
        <v>3</v>
      </c>
      <c r="I17" s="29">
        <f>'เย็น  '!I17+เช้า!I17</f>
        <v>1</v>
      </c>
      <c r="J17" s="29">
        <f>'เย็น  '!J17+เช้า!J17</f>
        <v>0</v>
      </c>
      <c r="K17" s="35">
        <f t="shared" si="0"/>
        <v>10</v>
      </c>
      <c r="L17" s="11"/>
      <c r="M17" s="11">
        <v>24</v>
      </c>
      <c r="N17" s="11"/>
      <c r="O17" s="11"/>
      <c r="P17" s="11"/>
      <c r="Q17" s="45">
        <f t="shared" si="1"/>
        <v>14</v>
      </c>
    </row>
    <row r="18" spans="2:17" x14ac:dyDescent="0.2">
      <c r="B18" s="11">
        <v>1111064</v>
      </c>
      <c r="C18" s="15" t="s">
        <v>21</v>
      </c>
      <c r="D18" s="29">
        <f>'เย็น  '!D18+เช้า!D18</f>
        <v>0</v>
      </c>
      <c r="E18" s="29">
        <f>'เย็น  '!E18+เช้า!E18</f>
        <v>0</v>
      </c>
      <c r="F18" s="29">
        <f>'เย็น  '!F18+เช้า!F18</f>
        <v>0</v>
      </c>
      <c r="G18" s="29">
        <f>'เย็น  '!G18+เช้า!G18</f>
        <v>6</v>
      </c>
      <c r="H18" s="29">
        <f>'เย็น  '!H18+เช้า!H18</f>
        <v>3</v>
      </c>
      <c r="I18" s="29">
        <f>'เย็น  '!I18+เช้า!I18</f>
        <v>0</v>
      </c>
      <c r="J18" s="29">
        <f>'เย็น  '!J18+เช้า!J18</f>
        <v>0</v>
      </c>
      <c r="K18" s="35">
        <f t="shared" si="0"/>
        <v>9</v>
      </c>
      <c r="L18" s="11"/>
      <c r="M18" s="11">
        <v>20</v>
      </c>
      <c r="N18" s="11"/>
      <c r="O18" s="11"/>
      <c r="P18" s="11"/>
      <c r="Q18" s="45">
        <f t="shared" si="1"/>
        <v>11</v>
      </c>
    </row>
    <row r="19" spans="2:17" x14ac:dyDescent="0.2">
      <c r="B19" s="11">
        <v>1111065</v>
      </c>
      <c r="C19" s="15" t="s">
        <v>22</v>
      </c>
      <c r="D19" s="29">
        <f>'เย็น  '!D19+เช้า!D19</f>
        <v>0</v>
      </c>
      <c r="E19" s="29">
        <f>'เย็น  '!E19+เช้า!E19</f>
        <v>0</v>
      </c>
      <c r="F19" s="29">
        <f>'เย็น  '!F19+เช้า!F19</f>
        <v>0</v>
      </c>
      <c r="G19" s="29">
        <f>'เย็น  '!G19+เช้า!G19</f>
        <v>6</v>
      </c>
      <c r="H19" s="29">
        <f>'เย็น  '!H19+เช้า!H19</f>
        <v>3</v>
      </c>
      <c r="I19" s="29">
        <f>'เย็น  '!I19+เช้า!I19</f>
        <v>1</v>
      </c>
      <c r="J19" s="29">
        <f>'เย็น  '!J19+เช้า!J19</f>
        <v>0</v>
      </c>
      <c r="K19" s="35">
        <f t="shared" si="0"/>
        <v>10</v>
      </c>
      <c r="L19" s="11"/>
      <c r="M19" s="11">
        <v>10</v>
      </c>
      <c r="N19" s="11"/>
      <c r="O19" s="11"/>
      <c r="P19" s="11"/>
      <c r="Q19" s="45">
        <f t="shared" si="1"/>
        <v>0</v>
      </c>
    </row>
    <row r="20" spans="2:17" x14ac:dyDescent="0.2">
      <c r="B20" s="11">
        <v>1111066</v>
      </c>
      <c r="C20" s="15" t="s">
        <v>23</v>
      </c>
      <c r="D20" s="29">
        <f>'เย็น  '!D20+เช้า!D20</f>
        <v>0</v>
      </c>
      <c r="E20" s="29">
        <f>'เย็น  '!E20+เช้า!E20</f>
        <v>0</v>
      </c>
      <c r="F20" s="29">
        <f>'เย็น  '!F20+เช้า!F20</f>
        <v>0</v>
      </c>
      <c r="G20" s="29">
        <f>'เย็น  '!G20+เช้า!G20</f>
        <v>5</v>
      </c>
      <c r="H20" s="29">
        <f>'เย็น  '!H20+เช้า!H20</f>
        <v>3</v>
      </c>
      <c r="I20" s="29">
        <f>'เย็น  '!I20+เช้า!I20</f>
        <v>1</v>
      </c>
      <c r="J20" s="29">
        <f>'เย็น  '!J20+เช้า!J20</f>
        <v>0</v>
      </c>
      <c r="K20" s="35">
        <f t="shared" si="0"/>
        <v>9</v>
      </c>
      <c r="L20" s="11"/>
      <c r="M20" s="11">
        <v>10</v>
      </c>
      <c r="N20" s="11"/>
      <c r="O20" s="11"/>
      <c r="P20" s="11"/>
      <c r="Q20" s="45">
        <f t="shared" si="1"/>
        <v>1</v>
      </c>
    </row>
    <row r="21" spans="2:17" x14ac:dyDescent="0.2">
      <c r="B21" s="11">
        <v>1111067</v>
      </c>
      <c r="C21" s="15" t="s">
        <v>24</v>
      </c>
      <c r="D21" s="29">
        <f>'เย็น  '!D21+เช้า!D21</f>
        <v>0</v>
      </c>
      <c r="E21" s="29">
        <f>'เย็น  '!E21+เช้า!E21</f>
        <v>0</v>
      </c>
      <c r="F21" s="29">
        <f>'เย็น  '!F21+เช้า!F21</f>
        <v>0</v>
      </c>
      <c r="G21" s="29">
        <f>'เย็น  '!G21+เช้า!G21</f>
        <v>5</v>
      </c>
      <c r="H21" s="29">
        <f>'เย็น  '!H21+เช้า!H21</f>
        <v>3</v>
      </c>
      <c r="I21" s="29">
        <f>'เย็น  '!I21+เช้า!I21</f>
        <v>6</v>
      </c>
      <c r="J21" s="29">
        <f>'เย็น  '!J21+เช้า!J21</f>
        <v>0</v>
      </c>
      <c r="K21" s="35">
        <f t="shared" si="0"/>
        <v>14</v>
      </c>
      <c r="L21" s="11"/>
      <c r="M21" s="11">
        <v>30</v>
      </c>
      <c r="N21" s="11"/>
      <c r="O21" s="11"/>
      <c r="P21" s="11"/>
      <c r="Q21" s="45">
        <f t="shared" si="1"/>
        <v>16</v>
      </c>
    </row>
    <row r="22" spans="2:17" x14ac:dyDescent="0.2">
      <c r="B22" s="11">
        <v>1111068</v>
      </c>
      <c r="C22" s="15" t="s">
        <v>25</v>
      </c>
      <c r="D22" s="29">
        <f>'เย็น  '!D22+เช้า!D22</f>
        <v>0</v>
      </c>
      <c r="E22" s="29">
        <f>'เย็น  '!E22+เช้า!E22</f>
        <v>0</v>
      </c>
      <c r="F22" s="29">
        <f>'เย็น  '!F22+เช้า!F22</f>
        <v>0</v>
      </c>
      <c r="G22" s="29">
        <f>'เย็น  '!G22+เช้า!G22</f>
        <v>5</v>
      </c>
      <c r="H22" s="29">
        <f>'เย็น  '!H22+เช้า!H22</f>
        <v>3</v>
      </c>
      <c r="I22" s="29">
        <f>'เย็น  '!I22+เช้า!I22</f>
        <v>1</v>
      </c>
      <c r="J22" s="29">
        <f>'เย็น  '!J22+เช้า!J22</f>
        <v>0</v>
      </c>
      <c r="K22" s="35">
        <f t="shared" si="0"/>
        <v>9</v>
      </c>
      <c r="L22" s="11"/>
      <c r="M22" s="11">
        <v>26</v>
      </c>
      <c r="N22" s="11"/>
      <c r="O22" s="11"/>
      <c r="P22" s="11"/>
      <c r="Q22" s="45">
        <f t="shared" si="1"/>
        <v>17</v>
      </c>
    </row>
    <row r="23" spans="2:17" x14ac:dyDescent="0.2">
      <c r="B23" s="11">
        <v>1111069</v>
      </c>
      <c r="C23" s="15" t="s">
        <v>26</v>
      </c>
      <c r="D23" s="29">
        <f>'เย็น  '!D23+เช้า!D23</f>
        <v>0</v>
      </c>
      <c r="E23" s="29">
        <f>'เย็น  '!E23+เช้า!E23</f>
        <v>0</v>
      </c>
      <c r="F23" s="29">
        <f>'เย็น  '!F23+เช้า!F23</f>
        <v>0</v>
      </c>
      <c r="G23" s="29">
        <f>'เย็น  '!G23+เช้า!G23</f>
        <v>5</v>
      </c>
      <c r="H23" s="29">
        <f>'เย็น  '!H23+เช้า!H23</f>
        <v>2</v>
      </c>
      <c r="I23" s="29">
        <f>'เย็น  '!I23+เช้า!I23</f>
        <v>1</v>
      </c>
      <c r="J23" s="29">
        <f>'เย็น  '!J23+เช้า!J23</f>
        <v>0</v>
      </c>
      <c r="K23" s="35">
        <f t="shared" si="0"/>
        <v>8</v>
      </c>
      <c r="L23" s="11"/>
      <c r="M23" s="11">
        <v>22</v>
      </c>
      <c r="N23" s="11"/>
      <c r="O23" s="11"/>
      <c r="P23" s="11"/>
      <c r="Q23" s="45">
        <f t="shared" si="1"/>
        <v>14</v>
      </c>
    </row>
    <row r="24" spans="2:17" x14ac:dyDescent="0.2">
      <c r="B24" s="11">
        <v>1111070</v>
      </c>
      <c r="C24" s="15" t="s">
        <v>79</v>
      </c>
      <c r="D24" s="29">
        <f>'เย็น  '!D24+เช้า!D24</f>
        <v>0</v>
      </c>
      <c r="E24" s="29">
        <f>'เย็น  '!E24+เช้า!E24</f>
        <v>0</v>
      </c>
      <c r="F24" s="29">
        <f>'เย็น  '!F24+เช้า!F24</f>
        <v>0</v>
      </c>
      <c r="G24" s="29">
        <f>'เย็น  '!G24+เช้า!G24</f>
        <v>5</v>
      </c>
      <c r="H24" s="29">
        <f>'เย็น  '!H24+เช้า!H24</f>
        <v>2</v>
      </c>
      <c r="I24" s="29">
        <f>'เย็น  '!I24+เช้า!I24</f>
        <v>0</v>
      </c>
      <c r="J24" s="29">
        <f>'เย็น  '!J24+เช้า!J24</f>
        <v>0</v>
      </c>
      <c r="K24" s="35">
        <f t="shared" si="0"/>
        <v>7</v>
      </c>
      <c r="L24" s="11"/>
      <c r="M24" s="11"/>
      <c r="N24" s="11"/>
      <c r="O24" s="11"/>
      <c r="P24" s="11"/>
      <c r="Q24" s="45">
        <f t="shared" si="1"/>
        <v>-7</v>
      </c>
    </row>
    <row r="25" spans="2:17" x14ac:dyDescent="0.2">
      <c r="B25" s="11">
        <v>1111071</v>
      </c>
      <c r="C25" s="15" t="s">
        <v>80</v>
      </c>
      <c r="D25" s="29">
        <f>'เย็น  '!D25+เช้า!D25</f>
        <v>0</v>
      </c>
      <c r="E25" s="29">
        <f>'เย็น  '!E25+เช้า!E25</f>
        <v>0</v>
      </c>
      <c r="F25" s="29">
        <f>'เย็น  '!F25+เช้า!F25</f>
        <v>0</v>
      </c>
      <c r="G25" s="29">
        <f>'เย็น  '!G25+เช้า!G25</f>
        <v>5</v>
      </c>
      <c r="H25" s="29">
        <f>'เย็น  '!H25+เช้า!H25</f>
        <v>2</v>
      </c>
      <c r="I25" s="29">
        <f>'เย็น  '!I25+เช้า!I25</f>
        <v>0</v>
      </c>
      <c r="J25" s="29">
        <f>'เย็น  '!J25+เช้า!J25</f>
        <v>0</v>
      </c>
      <c r="K25" s="35">
        <f t="shared" si="0"/>
        <v>7</v>
      </c>
      <c r="L25" s="11"/>
      <c r="M25" s="11">
        <v>10</v>
      </c>
      <c r="N25" s="11"/>
      <c r="O25" s="11"/>
      <c r="P25" s="11"/>
      <c r="Q25" s="45">
        <f t="shared" si="1"/>
        <v>3</v>
      </c>
    </row>
    <row r="26" spans="2:17" x14ac:dyDescent="0.2">
      <c r="B26" s="11">
        <v>1111074</v>
      </c>
      <c r="C26" s="15" t="s">
        <v>28</v>
      </c>
      <c r="D26" s="29">
        <f>'เย็น  '!D26+เช้า!D26</f>
        <v>0</v>
      </c>
      <c r="E26" s="29">
        <f>'เย็น  '!E26+เช้า!E26</f>
        <v>5</v>
      </c>
      <c r="F26" s="29">
        <f>'เย็น  '!F26+เช้า!F26</f>
        <v>3</v>
      </c>
      <c r="G26" s="29">
        <f>'เย็น  '!G26+เช้า!G26</f>
        <v>0</v>
      </c>
      <c r="H26" s="29">
        <f>'เย็น  '!H26+เช้า!H26</f>
        <v>1</v>
      </c>
      <c r="I26" s="29">
        <f>'เย็น  '!I26+เช้า!I26</f>
        <v>0</v>
      </c>
      <c r="J26" s="29">
        <f>'เย็น  '!J26+เช้า!J26</f>
        <v>11</v>
      </c>
      <c r="K26" s="35">
        <f t="shared" si="0"/>
        <v>20</v>
      </c>
      <c r="L26" s="11"/>
      <c r="M26" s="11">
        <v>10</v>
      </c>
      <c r="N26" s="11"/>
      <c r="O26" s="11"/>
      <c r="P26" s="11"/>
      <c r="Q26" s="45">
        <f t="shared" si="1"/>
        <v>-10</v>
      </c>
    </row>
    <row r="27" spans="2:17" x14ac:dyDescent="0.2">
      <c r="B27" s="11">
        <v>1111075</v>
      </c>
      <c r="C27" s="15" t="s">
        <v>29</v>
      </c>
      <c r="D27" s="29">
        <f>'เย็น  '!D27+เช้า!D27</f>
        <v>0</v>
      </c>
      <c r="E27" s="29">
        <f>'เย็น  '!E27+เช้า!E27</f>
        <v>5</v>
      </c>
      <c r="F27" s="29">
        <f>'เย็น  '!F27+เช้า!F27</f>
        <v>3</v>
      </c>
      <c r="G27" s="29">
        <f>'เย็น  '!G27+เช้า!G27</f>
        <v>0</v>
      </c>
      <c r="H27" s="29">
        <f>'เย็น  '!H27+เช้า!H27</f>
        <v>0</v>
      </c>
      <c r="I27" s="29">
        <f>'เย็น  '!I27+เช้า!I27</f>
        <v>0</v>
      </c>
      <c r="J27" s="29">
        <f>'เย็น  '!J27+เช้า!J27</f>
        <v>11</v>
      </c>
      <c r="K27" s="35">
        <f t="shared" si="0"/>
        <v>19</v>
      </c>
      <c r="L27" s="11"/>
      <c r="M27" s="11">
        <v>20</v>
      </c>
      <c r="N27" s="11"/>
      <c r="O27" s="11"/>
      <c r="P27" s="11"/>
      <c r="Q27" s="45">
        <f t="shared" si="1"/>
        <v>1</v>
      </c>
    </row>
    <row r="28" spans="2:17" x14ac:dyDescent="0.2">
      <c r="B28" s="11">
        <v>1111076</v>
      </c>
      <c r="C28" s="15" t="s">
        <v>30</v>
      </c>
      <c r="D28" s="29">
        <f>'เย็น  '!D28+เช้า!D28</f>
        <v>0</v>
      </c>
      <c r="E28" s="29">
        <f>'เย็น  '!E28+เช้า!E28</f>
        <v>5</v>
      </c>
      <c r="F28" s="29">
        <f>'เย็น  '!F28+เช้า!F28</f>
        <v>3</v>
      </c>
      <c r="G28" s="29">
        <f>'เย็น  '!G28+เช้า!G28</f>
        <v>0</v>
      </c>
      <c r="H28" s="29">
        <f>'เย็น  '!H28+เช้า!H28</f>
        <v>0</v>
      </c>
      <c r="I28" s="29">
        <f>'เย็น  '!I28+เช้า!I28</f>
        <v>0</v>
      </c>
      <c r="J28" s="29">
        <f>'เย็น  '!J28+เช้า!J28</f>
        <v>10</v>
      </c>
      <c r="K28" s="35">
        <f t="shared" si="0"/>
        <v>18</v>
      </c>
      <c r="L28" s="11"/>
      <c r="M28" s="11">
        <v>26</v>
      </c>
      <c r="N28" s="11"/>
      <c r="O28" s="11"/>
      <c r="P28" s="11"/>
      <c r="Q28" s="45">
        <f t="shared" si="1"/>
        <v>8</v>
      </c>
    </row>
    <row r="29" spans="2:17" x14ac:dyDescent="0.2">
      <c r="B29" s="11">
        <v>1111077</v>
      </c>
      <c r="C29" s="15" t="s">
        <v>31</v>
      </c>
      <c r="D29" s="29">
        <f>'เย็น  '!D29+เช้า!D29</f>
        <v>0</v>
      </c>
      <c r="E29" s="29">
        <f>'เย็น  '!E29+เช้า!E29</f>
        <v>5</v>
      </c>
      <c r="F29" s="29">
        <f>'เย็น  '!F29+เช้า!F29</f>
        <v>3</v>
      </c>
      <c r="G29" s="29">
        <f>'เย็น  '!G29+เช้า!G29</f>
        <v>0</v>
      </c>
      <c r="H29" s="29">
        <f>'เย็น  '!H29+เช้า!H29</f>
        <v>0</v>
      </c>
      <c r="I29" s="29">
        <f>'เย็น  '!I29+เช้า!I29</f>
        <v>0</v>
      </c>
      <c r="J29" s="29">
        <f>'เย็น  '!J29+เช้า!J29</f>
        <v>10</v>
      </c>
      <c r="K29" s="35">
        <f t="shared" si="0"/>
        <v>18</v>
      </c>
      <c r="L29" s="11"/>
      <c r="M29" s="11">
        <v>22</v>
      </c>
      <c r="N29" s="11"/>
      <c r="O29" s="11"/>
      <c r="P29" s="11"/>
      <c r="Q29" s="45">
        <f t="shared" si="1"/>
        <v>4</v>
      </c>
    </row>
    <row r="30" spans="2:17" x14ac:dyDescent="0.2">
      <c r="B30" s="11">
        <v>1111078</v>
      </c>
      <c r="C30" s="15" t="s">
        <v>32</v>
      </c>
      <c r="D30" s="29">
        <f>'เย็น  '!D30+เช้า!D30</f>
        <v>0</v>
      </c>
      <c r="E30" s="29">
        <f>'เย็น  '!E30+เช้า!E30</f>
        <v>5</v>
      </c>
      <c r="F30" s="29">
        <f>'เย็น  '!F30+เช้า!F30</f>
        <v>3</v>
      </c>
      <c r="G30" s="29">
        <f>'เย็น  '!G30+เช้า!G30</f>
        <v>0</v>
      </c>
      <c r="H30" s="29">
        <f>'เย็น  '!H30+เช้า!H30</f>
        <v>0</v>
      </c>
      <c r="I30" s="29">
        <f>'เย็น  '!I30+เช้า!I30</f>
        <v>0</v>
      </c>
      <c r="J30" s="29">
        <f>'เย็น  '!J30+เช้า!J30</f>
        <v>10</v>
      </c>
      <c r="K30" s="35">
        <f t="shared" si="0"/>
        <v>18</v>
      </c>
      <c r="L30" s="11"/>
      <c r="M30" s="11">
        <v>22</v>
      </c>
      <c r="N30" s="11"/>
      <c r="O30" s="11"/>
      <c r="P30" s="11"/>
      <c r="Q30" s="45">
        <f t="shared" si="1"/>
        <v>4</v>
      </c>
    </row>
    <row r="31" spans="2:17" x14ac:dyDescent="0.2">
      <c r="B31" s="11">
        <v>1111079</v>
      </c>
      <c r="C31" s="15" t="s">
        <v>33</v>
      </c>
      <c r="D31" s="29">
        <f>'เย็น  '!D31+เช้า!D31</f>
        <v>0</v>
      </c>
      <c r="E31" s="29">
        <f>'เย็น  '!E31+เช้า!E31</f>
        <v>5</v>
      </c>
      <c r="F31" s="29">
        <f>'เย็น  '!F31+เช้า!F31</f>
        <v>3</v>
      </c>
      <c r="G31" s="29">
        <f>'เย็น  '!G31+เช้า!G31</f>
        <v>0</v>
      </c>
      <c r="H31" s="29">
        <f>'เย็น  '!H31+เช้า!H31</f>
        <v>0</v>
      </c>
      <c r="I31" s="29">
        <f>'เย็น  '!I31+เช้า!I31</f>
        <v>0</v>
      </c>
      <c r="J31" s="29">
        <f>'เย็น  '!J31+เช้า!J31</f>
        <v>10</v>
      </c>
      <c r="K31" s="35">
        <f t="shared" si="0"/>
        <v>18</v>
      </c>
      <c r="L31" s="11"/>
      <c r="M31" s="11">
        <v>15</v>
      </c>
      <c r="N31" s="11"/>
      <c r="O31" s="11"/>
      <c r="P31" s="11"/>
      <c r="Q31" s="45">
        <f t="shared" si="1"/>
        <v>-3</v>
      </c>
    </row>
    <row r="32" spans="2:17" x14ac:dyDescent="0.2">
      <c r="B32" s="11">
        <v>1111080</v>
      </c>
      <c r="C32" s="15" t="s">
        <v>34</v>
      </c>
      <c r="D32" s="29">
        <f>'เย็น  '!D32+เช้า!D32</f>
        <v>0</v>
      </c>
      <c r="E32" s="29">
        <f>'เย็น  '!E32+เช้า!E32</f>
        <v>5</v>
      </c>
      <c r="F32" s="29">
        <f>'เย็น  '!F32+เช้า!F32</f>
        <v>3</v>
      </c>
      <c r="G32" s="29">
        <f>'เย็น  '!G32+เช้า!G32</f>
        <v>0</v>
      </c>
      <c r="H32" s="29">
        <f>'เย็น  '!H32+เช้า!H32</f>
        <v>0</v>
      </c>
      <c r="I32" s="29">
        <f>'เย็น  '!I32+เช้า!I32</f>
        <v>0</v>
      </c>
      <c r="J32" s="29">
        <f>'เย็น  '!J32+เช้า!J32</f>
        <v>10</v>
      </c>
      <c r="K32" s="35">
        <f t="shared" si="0"/>
        <v>18</v>
      </c>
      <c r="L32" s="11"/>
      <c r="M32" s="11">
        <v>24</v>
      </c>
      <c r="N32" s="11"/>
      <c r="O32" s="11"/>
      <c r="P32" s="11"/>
      <c r="Q32" s="45">
        <f t="shared" si="1"/>
        <v>6</v>
      </c>
    </row>
    <row r="33" spans="2:17" x14ac:dyDescent="0.2">
      <c r="B33" s="11">
        <v>1111081</v>
      </c>
      <c r="C33" s="15" t="s">
        <v>35</v>
      </c>
      <c r="D33" s="29">
        <f>'เย็น  '!D33+เช้า!D33</f>
        <v>0</v>
      </c>
      <c r="E33" s="29">
        <f>'เย็น  '!E33+เช้า!E33</f>
        <v>5</v>
      </c>
      <c r="F33" s="29">
        <f>'เย็น  '!F33+เช้า!F33</f>
        <v>3</v>
      </c>
      <c r="G33" s="29">
        <f>'เย็น  '!G33+เช้า!G33</f>
        <v>0</v>
      </c>
      <c r="H33" s="29">
        <f>'เย็น  '!H33+เช้า!H33</f>
        <v>0</v>
      </c>
      <c r="I33" s="29">
        <f>'เย็น  '!I33+เช้า!I33</f>
        <v>0</v>
      </c>
      <c r="J33" s="29">
        <f>'เย็น  '!J33+เช้า!J33</f>
        <v>10</v>
      </c>
      <c r="K33" s="35">
        <f t="shared" si="0"/>
        <v>18</v>
      </c>
      <c r="L33" s="11"/>
      <c r="M33" s="11">
        <v>13</v>
      </c>
      <c r="N33" s="11"/>
      <c r="O33" s="11"/>
      <c r="P33" s="11"/>
      <c r="Q33" s="45">
        <f t="shared" si="1"/>
        <v>-5</v>
      </c>
    </row>
    <row r="34" spans="2:17" x14ac:dyDescent="0.2">
      <c r="B34" s="11">
        <v>1111082</v>
      </c>
      <c r="C34" s="15" t="s">
        <v>36</v>
      </c>
      <c r="D34" s="29">
        <f>'เย็น  '!D34+เช้า!D34</f>
        <v>0</v>
      </c>
      <c r="E34" s="29">
        <f>'เย็น  '!E34+เช้า!E34</f>
        <v>5</v>
      </c>
      <c r="F34" s="29">
        <f>'เย็น  '!F34+เช้า!F34</f>
        <v>3</v>
      </c>
      <c r="G34" s="29">
        <f>'เย็น  '!G34+เช้า!G34</f>
        <v>0</v>
      </c>
      <c r="H34" s="29">
        <f>'เย็น  '!H34+เช้า!H34</f>
        <v>0</v>
      </c>
      <c r="I34" s="29">
        <f>'เย็น  '!I34+เช้า!I34</f>
        <v>0</v>
      </c>
      <c r="J34" s="29">
        <f>'เย็น  '!J34+เช้า!J34</f>
        <v>10</v>
      </c>
      <c r="K34" s="35">
        <f t="shared" si="0"/>
        <v>18</v>
      </c>
      <c r="L34" s="11"/>
      <c r="M34" s="11">
        <v>12</v>
      </c>
      <c r="N34" s="11"/>
      <c r="O34" s="11"/>
      <c r="P34" s="11"/>
      <c r="Q34" s="45">
        <f t="shared" si="1"/>
        <v>-6</v>
      </c>
    </row>
    <row r="35" spans="2:17" x14ac:dyDescent="0.2">
      <c r="B35" s="11">
        <v>1111083</v>
      </c>
      <c r="C35" s="15" t="s">
        <v>37</v>
      </c>
      <c r="D35" s="29">
        <f>'เย็น  '!D35+เช้า!D35</f>
        <v>0</v>
      </c>
      <c r="E35" s="29">
        <f>'เย็น  '!E35+เช้า!E35</f>
        <v>5</v>
      </c>
      <c r="F35" s="29">
        <f>'เย็น  '!F35+เช้า!F35</f>
        <v>3</v>
      </c>
      <c r="G35" s="29">
        <f>'เย็น  '!G35+เช้า!G35</f>
        <v>0</v>
      </c>
      <c r="H35" s="29">
        <f>'เย็น  '!H35+เช้า!H35</f>
        <v>0</v>
      </c>
      <c r="I35" s="29">
        <f>'เย็น  '!I35+เช้า!I35</f>
        <v>0</v>
      </c>
      <c r="J35" s="29">
        <f>'เย็น  '!J35+เช้า!J35</f>
        <v>10</v>
      </c>
      <c r="K35" s="35">
        <f t="shared" si="0"/>
        <v>18</v>
      </c>
      <c r="L35" s="11"/>
      <c r="M35" s="11">
        <v>11</v>
      </c>
      <c r="N35" s="11"/>
      <c r="O35" s="11"/>
      <c r="P35" s="11"/>
      <c r="Q35" s="45">
        <f t="shared" si="1"/>
        <v>-7</v>
      </c>
    </row>
    <row r="36" spans="2:17" ht="19.5" x14ac:dyDescent="0.2">
      <c r="B36" s="69" t="s">
        <v>39</v>
      </c>
      <c r="C36" s="70"/>
      <c r="D36" s="70"/>
      <c r="E36" s="70"/>
      <c r="F36" s="70"/>
      <c r="G36" s="70"/>
      <c r="H36" s="70"/>
      <c r="I36" s="70"/>
      <c r="J36" s="70"/>
      <c r="K36" s="70"/>
      <c r="L36" s="70"/>
      <c r="M36" s="70"/>
      <c r="N36" s="70"/>
      <c r="O36" s="70"/>
      <c r="P36" s="70"/>
      <c r="Q36" s="71"/>
    </row>
    <row r="37" spans="2:17" x14ac:dyDescent="0.2">
      <c r="B37" s="11">
        <v>1111009</v>
      </c>
      <c r="C37" s="19" t="s">
        <v>40</v>
      </c>
      <c r="D37" s="29">
        <f>'เย็น  '!D37+เช้า!D37</f>
        <v>0</v>
      </c>
      <c r="E37" s="29">
        <f>'เย็น  '!E37+เช้า!E37</f>
        <v>3</v>
      </c>
      <c r="F37" s="29">
        <f>'เย็น  '!F37+เช้า!F37</f>
        <v>4</v>
      </c>
      <c r="G37" s="29">
        <f>'เย็น  '!G37+เช้า!G37</f>
        <v>1</v>
      </c>
      <c r="H37" s="29">
        <f>'เย็น  '!H37+เช้า!H37</f>
        <v>1</v>
      </c>
      <c r="I37" s="29">
        <f>'เย็น  '!I37+เช้า!I37</f>
        <v>0</v>
      </c>
      <c r="J37" s="29">
        <f>'เย็น  '!J37+เช้า!J37</f>
        <v>2</v>
      </c>
      <c r="K37" s="35">
        <f>SUM(D37:J37)</f>
        <v>11</v>
      </c>
      <c r="L37" s="11"/>
      <c r="M37" s="11">
        <v>30</v>
      </c>
      <c r="N37" s="11"/>
      <c r="O37" s="11"/>
      <c r="P37" s="11"/>
      <c r="Q37" s="45">
        <f t="shared" si="1"/>
        <v>19</v>
      </c>
    </row>
    <row r="38" spans="2:17" ht="19.5" x14ac:dyDescent="0.2">
      <c r="B38" s="69" t="s">
        <v>41</v>
      </c>
      <c r="C38" s="70"/>
      <c r="D38" s="70"/>
      <c r="E38" s="70"/>
      <c r="F38" s="70"/>
      <c r="G38" s="70"/>
      <c r="H38" s="70"/>
      <c r="I38" s="70"/>
      <c r="J38" s="70"/>
      <c r="K38" s="70"/>
      <c r="L38" s="70"/>
      <c r="M38" s="70"/>
      <c r="N38" s="70"/>
      <c r="O38" s="70"/>
      <c r="P38" s="70"/>
      <c r="Q38" s="71"/>
    </row>
    <row r="39" spans="2:17" x14ac:dyDescent="0.2">
      <c r="B39" s="11">
        <v>1111008</v>
      </c>
      <c r="C39" s="19" t="s">
        <v>42</v>
      </c>
      <c r="D39" s="29">
        <f>'เย็น  '!D39+เช้า!D39</f>
        <v>5</v>
      </c>
      <c r="E39" s="29">
        <f>'เย็น  '!E39+เช้า!E39</f>
        <v>6</v>
      </c>
      <c r="F39" s="29">
        <f>'เย็น  '!F39+เช้า!F39</f>
        <v>0</v>
      </c>
      <c r="G39" s="29">
        <f>'เย็น  '!G39+เช้า!G39</f>
        <v>102</v>
      </c>
      <c r="H39" s="29">
        <f>'เย็น  '!H39+เช้า!H39</f>
        <v>114</v>
      </c>
      <c r="I39" s="29">
        <f>'เย็น  '!I39+เช้า!I39</f>
        <v>90</v>
      </c>
      <c r="J39" s="29">
        <f>'เย็น  '!J39+เช้า!J39</f>
        <v>9</v>
      </c>
      <c r="K39" s="40">
        <f>SUM(D39:J39)</f>
        <v>326</v>
      </c>
      <c r="L39" s="11"/>
      <c r="M39" s="11">
        <v>125</v>
      </c>
      <c r="N39" s="11"/>
      <c r="O39" s="11"/>
      <c r="P39" s="11"/>
      <c r="Q39" s="45">
        <f t="shared" si="1"/>
        <v>-201</v>
      </c>
    </row>
    <row r="40" spans="2:17" x14ac:dyDescent="0.2">
      <c r="B40" s="11">
        <v>1111017</v>
      </c>
      <c r="C40" s="19" t="s">
        <v>89</v>
      </c>
      <c r="D40" s="29">
        <f>'เย็น  '!D40+เช้า!D40</f>
        <v>0</v>
      </c>
      <c r="E40" s="29">
        <f>'เย็น  '!E40+เช้า!E40</f>
        <v>0</v>
      </c>
      <c r="F40" s="29">
        <f>'เย็น  '!F40+เช้า!F40</f>
        <v>0</v>
      </c>
      <c r="G40" s="29">
        <f>'เย็น  '!G40+เช้า!G40</f>
        <v>0</v>
      </c>
      <c r="H40" s="29">
        <f>'เย็น  '!H40+เช้า!H40</f>
        <v>0</v>
      </c>
      <c r="I40" s="29">
        <f>'เย็น  '!I40+เช้า!I40</f>
        <v>0</v>
      </c>
      <c r="J40" s="29">
        <f>'เย็น  '!J40+เช้า!J40</f>
        <v>0</v>
      </c>
      <c r="K40" s="40">
        <f t="shared" ref="K40:K42" si="2">SUM(D40:J40)</f>
        <v>0</v>
      </c>
      <c r="L40" s="11"/>
      <c r="M40" s="11">
        <v>5</v>
      </c>
      <c r="N40" s="11"/>
      <c r="O40" s="11"/>
      <c r="P40" s="11"/>
      <c r="Q40" s="45">
        <f t="shared" si="1"/>
        <v>5</v>
      </c>
    </row>
    <row r="41" spans="2:17" x14ac:dyDescent="0.2">
      <c r="B41" s="11">
        <v>1111019</v>
      </c>
      <c r="C41" s="19" t="s">
        <v>97</v>
      </c>
      <c r="D41" s="29">
        <f>'เย็น  '!D41+เช้า!D41</f>
        <v>5</v>
      </c>
      <c r="E41" s="29">
        <f>'เย็น  '!E41+เช้า!E41</f>
        <v>0</v>
      </c>
      <c r="F41" s="29">
        <f>'เย็น  '!F41+เช้า!F41</f>
        <v>0</v>
      </c>
      <c r="G41" s="29">
        <f>'เย็น  '!G41+เช้า!G41</f>
        <v>0</v>
      </c>
      <c r="H41" s="29">
        <f>'เย็น  '!H41+เช้า!H41</f>
        <v>0</v>
      </c>
      <c r="I41" s="29">
        <f>'เย็น  '!I41+เช้า!I41</f>
        <v>0</v>
      </c>
      <c r="J41" s="29">
        <f>'เย็น  '!J41+เช้า!J41</f>
        <v>0</v>
      </c>
      <c r="K41" s="40">
        <f t="shared" si="2"/>
        <v>5</v>
      </c>
      <c r="L41" s="11"/>
      <c r="M41" s="11">
        <v>5</v>
      </c>
      <c r="N41" s="11"/>
      <c r="O41" s="11"/>
      <c r="P41" s="11"/>
      <c r="Q41" s="45">
        <f t="shared" si="1"/>
        <v>0</v>
      </c>
    </row>
    <row r="42" spans="2:17" x14ac:dyDescent="0.2">
      <c r="B42" s="11">
        <v>1111022</v>
      </c>
      <c r="C42" s="19" t="s">
        <v>90</v>
      </c>
      <c r="D42" s="29">
        <f>'เย็น  '!D42+เช้า!D42</f>
        <v>0</v>
      </c>
      <c r="E42" s="29">
        <f>'เย็น  '!E42+เช้า!E42</f>
        <v>0</v>
      </c>
      <c r="F42" s="29">
        <f>'เย็น  '!F42+เช้า!F42</f>
        <v>0</v>
      </c>
      <c r="G42" s="29">
        <f>'เย็น  '!G42+เช้า!G42</f>
        <v>0</v>
      </c>
      <c r="H42" s="29">
        <f>'เย็น  '!H42+เช้า!H42</f>
        <v>0</v>
      </c>
      <c r="I42" s="29">
        <f>'เย็น  '!I42+เช้า!I42</f>
        <v>0</v>
      </c>
      <c r="J42" s="29">
        <f>'เย็น  '!J42+เช้า!J42</f>
        <v>0</v>
      </c>
      <c r="K42" s="40">
        <f t="shared" si="2"/>
        <v>0</v>
      </c>
      <c r="L42" s="11"/>
      <c r="M42" s="11">
        <v>5</v>
      </c>
      <c r="N42" s="11"/>
      <c r="O42" s="11"/>
      <c r="P42" s="11"/>
      <c r="Q42" s="45">
        <f t="shared" si="1"/>
        <v>5</v>
      </c>
    </row>
    <row r="43" spans="2:17" x14ac:dyDescent="0.2">
      <c r="B43" s="11">
        <v>1111024</v>
      </c>
      <c r="C43" s="19" t="s">
        <v>98</v>
      </c>
      <c r="D43" s="29">
        <f>'เย็น  '!D43+เช้า!D43</f>
        <v>0</v>
      </c>
      <c r="E43" s="29">
        <f>'เย็น  '!E43+เช้า!E43</f>
        <v>0</v>
      </c>
      <c r="F43" s="29">
        <f>'เย็น  '!F43+เช้า!F43</f>
        <v>0</v>
      </c>
      <c r="G43" s="29">
        <f>'เย็น  '!G43+เช้า!G43</f>
        <v>0</v>
      </c>
      <c r="H43" s="29">
        <f>'เย็น  '!H43+เช้า!H43</f>
        <v>0</v>
      </c>
      <c r="I43" s="29">
        <f>'เย็น  '!I43+เช้า!I43</f>
        <v>0</v>
      </c>
      <c r="J43" s="29">
        <f>'เย็น  '!J43+เช้า!J43</f>
        <v>0</v>
      </c>
      <c r="K43" s="40">
        <f>SUM(D43:J43)</f>
        <v>0</v>
      </c>
      <c r="L43" s="11"/>
      <c r="M43" s="11">
        <v>5</v>
      </c>
      <c r="N43" s="11"/>
      <c r="O43" s="11"/>
      <c r="P43" s="11"/>
      <c r="Q43" s="45">
        <f t="shared" si="1"/>
        <v>5</v>
      </c>
    </row>
    <row r="44" spans="2:17" ht="19.5" x14ac:dyDescent="0.2">
      <c r="B44" s="69" t="s">
        <v>43</v>
      </c>
      <c r="C44" s="70"/>
      <c r="D44" s="70"/>
      <c r="E44" s="70"/>
      <c r="F44" s="70"/>
      <c r="G44" s="70"/>
      <c r="H44" s="70"/>
      <c r="I44" s="70"/>
      <c r="J44" s="70"/>
      <c r="K44" s="70"/>
      <c r="L44" s="70"/>
      <c r="M44" s="70"/>
      <c r="N44" s="70"/>
      <c r="O44" s="70"/>
      <c r="P44" s="70"/>
      <c r="Q44" s="71"/>
    </row>
    <row r="45" spans="2:17" x14ac:dyDescent="0.2">
      <c r="B45" s="11">
        <v>1112009</v>
      </c>
      <c r="C45" s="19" t="s">
        <v>44</v>
      </c>
      <c r="D45" s="29">
        <f>'เย็น  '!D45+เช้า!D45</f>
        <v>37</v>
      </c>
      <c r="E45" s="29">
        <f>'เย็น  '!E45+เช้า!E45</f>
        <v>6</v>
      </c>
      <c r="F45" s="29">
        <f>'เย็น  '!F45+เช้า!F45</f>
        <v>3</v>
      </c>
      <c r="G45" s="29">
        <f>'เย็น  '!G45+เช้า!G45</f>
        <v>17</v>
      </c>
      <c r="H45" s="29">
        <f>'เย็น  '!H45+เช้า!H45</f>
        <v>11</v>
      </c>
      <c r="I45" s="29">
        <f>'เย็น  '!I45+เช้า!I45</f>
        <v>15</v>
      </c>
      <c r="J45" s="29">
        <f>'เย็น  '!J45+เช้า!J45</f>
        <v>2</v>
      </c>
      <c r="K45" s="35">
        <f>SUM(D45:J45)</f>
        <v>91</v>
      </c>
      <c r="L45" s="11"/>
      <c r="M45" s="11">
        <v>169</v>
      </c>
      <c r="N45" s="11"/>
      <c r="O45" s="11"/>
      <c r="P45" s="11"/>
      <c r="Q45" s="45">
        <f t="shared" si="1"/>
        <v>78</v>
      </c>
    </row>
    <row r="46" spans="2:17" x14ac:dyDescent="0.2">
      <c r="B46" s="11">
        <v>1112011</v>
      </c>
      <c r="C46" s="19" t="s">
        <v>45</v>
      </c>
      <c r="D46" s="29">
        <f>'เย็น  '!D46+เช้า!D46</f>
        <v>17</v>
      </c>
      <c r="E46" s="29">
        <f>'เย็น  '!E46+เช้า!E46</f>
        <v>6</v>
      </c>
      <c r="F46" s="29">
        <f>'เย็น  '!F46+เช้า!F46</f>
        <v>13</v>
      </c>
      <c r="G46" s="29">
        <f>'เย็น  '!G46+เช้า!G46</f>
        <v>17</v>
      </c>
      <c r="H46" s="29">
        <f>'เย็น  '!H46+เช้า!H46</f>
        <v>11</v>
      </c>
      <c r="I46" s="29">
        <f>'เย็น  '!I46+เช้า!I46</f>
        <v>15</v>
      </c>
      <c r="J46" s="29">
        <f>'เย็น  '!J46+เช้า!J46</f>
        <v>2</v>
      </c>
      <c r="K46" s="35">
        <f t="shared" ref="K46:K54" si="3">SUM(D46:J46)</f>
        <v>81</v>
      </c>
      <c r="L46" s="11"/>
      <c r="M46" s="11">
        <v>107</v>
      </c>
      <c r="N46" s="11"/>
      <c r="O46" s="11"/>
      <c r="P46" s="11"/>
      <c r="Q46" s="45">
        <f t="shared" si="1"/>
        <v>26</v>
      </c>
    </row>
    <row r="47" spans="2:17" x14ac:dyDescent="0.2">
      <c r="B47" s="11">
        <v>1112003</v>
      </c>
      <c r="C47" s="19" t="s">
        <v>46</v>
      </c>
      <c r="D47" s="29">
        <f>'เย็น  '!D47+เช้า!D47</f>
        <v>27</v>
      </c>
      <c r="E47" s="29">
        <f>'เย็น  '!E47+เช้า!E47</f>
        <v>6</v>
      </c>
      <c r="F47" s="29">
        <f>'เย็น  '!F47+เช้า!F47</f>
        <v>3</v>
      </c>
      <c r="G47" s="29">
        <f>'เย็น  '!G47+เช้า!G47</f>
        <v>16</v>
      </c>
      <c r="H47" s="29">
        <f>'เย็น  '!H47+เช้า!H47</f>
        <v>11</v>
      </c>
      <c r="I47" s="29">
        <f>'เย็น  '!I47+เช้า!I47</f>
        <v>15</v>
      </c>
      <c r="J47" s="29">
        <f>'เย็น  '!J47+เช้า!J47</f>
        <v>2</v>
      </c>
      <c r="K47" s="35">
        <f t="shared" si="3"/>
        <v>80</v>
      </c>
      <c r="L47" s="11"/>
      <c r="M47" s="11">
        <v>142</v>
      </c>
      <c r="N47" s="11"/>
      <c r="O47" s="11"/>
      <c r="P47" s="11"/>
      <c r="Q47" s="45">
        <f t="shared" si="1"/>
        <v>62</v>
      </c>
    </row>
    <row r="48" spans="2:17" x14ac:dyDescent="0.2">
      <c r="B48" s="11">
        <v>1112005</v>
      </c>
      <c r="C48" s="19" t="s">
        <v>47</v>
      </c>
      <c r="D48" s="29">
        <f>'เย็น  '!D48+เช้า!D48</f>
        <v>13</v>
      </c>
      <c r="E48" s="29">
        <f>'เย็น  '!E48+เช้า!E48</f>
        <v>6</v>
      </c>
      <c r="F48" s="29">
        <f>'เย็น  '!F48+เช้า!F48</f>
        <v>3</v>
      </c>
      <c r="G48" s="29">
        <f>'เย็น  '!G48+เช้า!G48</f>
        <v>10</v>
      </c>
      <c r="H48" s="29">
        <f>'เย็น  '!H48+เช้า!H48</f>
        <v>9</v>
      </c>
      <c r="I48" s="29">
        <f>'เย็น  '!I48+เช้า!I48</f>
        <v>3</v>
      </c>
      <c r="J48" s="29">
        <f>'เย็น  '!J48+เช้า!J48</f>
        <v>3</v>
      </c>
      <c r="K48" s="35">
        <f t="shared" si="3"/>
        <v>47</v>
      </c>
      <c r="L48" s="11"/>
      <c r="M48" s="11">
        <v>123</v>
      </c>
      <c r="N48" s="11"/>
      <c r="O48" s="11"/>
      <c r="P48" s="11"/>
      <c r="Q48" s="45">
        <f t="shared" si="1"/>
        <v>76</v>
      </c>
    </row>
    <row r="49" spans="2:17" x14ac:dyDescent="0.2">
      <c r="B49" s="11">
        <v>1112007</v>
      </c>
      <c r="C49" s="19" t="s">
        <v>48</v>
      </c>
      <c r="D49" s="29">
        <f>'เย็น  '!D49+เช้า!D49</f>
        <v>0</v>
      </c>
      <c r="E49" s="29">
        <f>'เย็น  '!E49+เช้า!E49</f>
        <v>0</v>
      </c>
      <c r="F49" s="29">
        <f>'เย็น  '!F49+เช้า!F49</f>
        <v>0</v>
      </c>
      <c r="G49" s="29">
        <f>'เย็น  '!G49+เช้า!G49</f>
        <v>0</v>
      </c>
      <c r="H49" s="29">
        <f>'เย็น  '!H49+เช้า!H49</f>
        <v>0</v>
      </c>
      <c r="I49" s="29">
        <f>'เย็น  '!I49+เช้า!I49</f>
        <v>0</v>
      </c>
      <c r="J49" s="29">
        <f>'เย็น  '!J49+เช้า!J49</f>
        <v>0</v>
      </c>
      <c r="K49" s="35">
        <f t="shared" si="3"/>
        <v>0</v>
      </c>
      <c r="L49" s="11"/>
      <c r="M49" s="11"/>
      <c r="N49" s="11"/>
      <c r="O49" s="11"/>
      <c r="P49" s="11"/>
      <c r="Q49" s="45">
        <f t="shared" si="1"/>
        <v>0</v>
      </c>
    </row>
    <row r="50" spans="2:17" x14ac:dyDescent="0.2">
      <c r="B50" s="11">
        <v>1112019</v>
      </c>
      <c r="C50" s="19" t="s">
        <v>49</v>
      </c>
      <c r="D50" s="29">
        <f>'เย็น  '!D50+เช้า!D50</f>
        <v>0</v>
      </c>
      <c r="E50" s="29">
        <f>'เย็น  '!E50+เช้า!E50</f>
        <v>0</v>
      </c>
      <c r="F50" s="29">
        <f>'เย็น  '!F50+เช้า!F50</f>
        <v>0</v>
      </c>
      <c r="G50" s="29">
        <f>'เย็น  '!G50+เช้า!G50</f>
        <v>0</v>
      </c>
      <c r="H50" s="29">
        <f>'เย็น  '!H50+เช้า!H50</f>
        <v>0</v>
      </c>
      <c r="I50" s="29">
        <f>'เย็น  '!I50+เช้า!I50</f>
        <v>0</v>
      </c>
      <c r="J50" s="29">
        <f>'เย็น  '!J50+เช้า!J50</f>
        <v>0</v>
      </c>
      <c r="K50" s="35">
        <f t="shared" si="3"/>
        <v>0</v>
      </c>
      <c r="L50" s="11"/>
      <c r="M50" s="11"/>
      <c r="N50" s="11"/>
      <c r="O50" s="11"/>
      <c r="P50" s="11"/>
      <c r="Q50" s="45">
        <f t="shared" si="1"/>
        <v>0</v>
      </c>
    </row>
    <row r="51" spans="2:17" x14ac:dyDescent="0.2">
      <c r="B51" s="11">
        <v>1112017</v>
      </c>
      <c r="C51" s="19" t="s">
        <v>50</v>
      </c>
      <c r="D51" s="29">
        <f>'เย็น  '!D51+เช้า!D51</f>
        <v>41</v>
      </c>
      <c r="E51" s="29">
        <f>'เย็น  '!E51+เช้า!E51</f>
        <v>5</v>
      </c>
      <c r="F51" s="29">
        <f>'เย็น  '!F51+เช้า!F51</f>
        <v>3</v>
      </c>
      <c r="G51" s="29">
        <f>'เย็น  '!G51+เช้า!G51</f>
        <v>15</v>
      </c>
      <c r="H51" s="29">
        <f>'เย็น  '!H51+เช้า!H51</f>
        <v>11</v>
      </c>
      <c r="I51" s="29">
        <f>'เย็น  '!I51+เช้า!I51</f>
        <v>15</v>
      </c>
      <c r="J51" s="29">
        <f>'เย็น  '!J51+เช้า!J51</f>
        <v>2</v>
      </c>
      <c r="K51" s="35">
        <f t="shared" si="3"/>
        <v>92</v>
      </c>
      <c r="L51" s="11"/>
      <c r="M51" s="11">
        <v>149</v>
      </c>
      <c r="N51" s="11"/>
      <c r="O51" s="11"/>
      <c r="P51" s="11"/>
      <c r="Q51" s="45">
        <f t="shared" si="1"/>
        <v>57</v>
      </c>
    </row>
    <row r="52" spans="2:17" x14ac:dyDescent="0.2">
      <c r="B52" s="11">
        <v>1112015</v>
      </c>
      <c r="C52" s="19" t="s">
        <v>51</v>
      </c>
      <c r="D52" s="29">
        <f>'เย็น  '!D52+เช้า!D52</f>
        <v>14</v>
      </c>
      <c r="E52" s="29">
        <f>'เย็น  '!E52+เช้า!E52</f>
        <v>5</v>
      </c>
      <c r="F52" s="29">
        <f>'เย็น  '!F52+เช้า!F52</f>
        <v>3</v>
      </c>
      <c r="G52" s="29">
        <f>'เย็น  '!G52+เช้า!G52</f>
        <v>15</v>
      </c>
      <c r="H52" s="29">
        <f>'เย็น  '!H52+เช้า!H52</f>
        <v>11</v>
      </c>
      <c r="I52" s="29">
        <f>'เย็น  '!I52+เช้า!I52</f>
        <v>15</v>
      </c>
      <c r="J52" s="29">
        <f>'เย็น  '!J52+เช้า!J52</f>
        <v>2</v>
      </c>
      <c r="K52" s="35">
        <f t="shared" si="3"/>
        <v>65</v>
      </c>
      <c r="L52" s="11"/>
      <c r="M52" s="11">
        <v>154</v>
      </c>
      <c r="N52" s="11"/>
      <c r="O52" s="11"/>
      <c r="P52" s="11"/>
      <c r="Q52" s="45">
        <f t="shared" si="1"/>
        <v>89</v>
      </c>
    </row>
    <row r="53" spans="2:17" x14ac:dyDescent="0.2">
      <c r="B53" s="11">
        <v>1112013</v>
      </c>
      <c r="C53" s="19" t="s">
        <v>52</v>
      </c>
      <c r="D53" s="29">
        <f>'เย็น  '!D53+เช้า!D53</f>
        <v>48</v>
      </c>
      <c r="E53" s="29">
        <f>'เย็น  '!E53+เช้า!E53</f>
        <v>6</v>
      </c>
      <c r="F53" s="29">
        <f>'เย็น  '!F53+เช้า!F53</f>
        <v>5</v>
      </c>
      <c r="G53" s="29">
        <f>'เย็น  '!G53+เช้า!G53</f>
        <v>15</v>
      </c>
      <c r="H53" s="29">
        <f>'เย็น  '!H53+เช้า!H53</f>
        <v>11</v>
      </c>
      <c r="I53" s="29">
        <f>'เย็น  '!I53+เช้า!I53</f>
        <v>15</v>
      </c>
      <c r="J53" s="29">
        <f>'เย็น  '!J53+เช้า!J53</f>
        <v>2</v>
      </c>
      <c r="K53" s="35">
        <f t="shared" si="3"/>
        <v>102</v>
      </c>
      <c r="L53" s="11"/>
      <c r="M53" s="11">
        <v>107</v>
      </c>
      <c r="N53" s="11"/>
      <c r="O53" s="11"/>
      <c r="P53" s="11"/>
      <c r="Q53" s="45">
        <f t="shared" si="1"/>
        <v>5</v>
      </c>
    </row>
    <row r="54" spans="2:17" x14ac:dyDescent="0.2">
      <c r="B54" s="11">
        <v>1124043</v>
      </c>
      <c r="C54" s="19" t="s">
        <v>53</v>
      </c>
      <c r="D54" s="29">
        <f>'เย็น  '!D54+เช้า!D54</f>
        <v>0</v>
      </c>
      <c r="E54" s="29">
        <f>'เย็น  '!E54+เช้า!E54</f>
        <v>0</v>
      </c>
      <c r="F54" s="29">
        <f>'เย็น  '!F54+เช้า!F54</f>
        <v>0</v>
      </c>
      <c r="G54" s="29">
        <f>'เย็น  '!G54+เช้า!G54</f>
        <v>0</v>
      </c>
      <c r="H54" s="29">
        <f>'เย็น  '!H54+เช้า!H54</f>
        <v>0</v>
      </c>
      <c r="I54" s="29">
        <f>'เย็น  '!I54+เช้า!I54</f>
        <v>0</v>
      </c>
      <c r="J54" s="29">
        <f>'เย็น  '!J54+เช้า!J54</f>
        <v>0</v>
      </c>
      <c r="K54" s="35">
        <f t="shared" si="3"/>
        <v>0</v>
      </c>
      <c r="L54" s="11"/>
      <c r="M54" s="11"/>
      <c r="N54" s="11"/>
      <c r="O54" s="11"/>
      <c r="P54" s="11"/>
      <c r="Q54" s="45">
        <f t="shared" si="1"/>
        <v>0</v>
      </c>
    </row>
    <row r="55" spans="2:17" ht="19.5" x14ac:dyDescent="0.2">
      <c r="B55" s="69" t="s">
        <v>54</v>
      </c>
      <c r="C55" s="70"/>
      <c r="D55" s="70"/>
      <c r="E55" s="70"/>
      <c r="F55" s="70"/>
      <c r="G55" s="70"/>
      <c r="H55" s="70"/>
      <c r="I55" s="70"/>
      <c r="J55" s="70"/>
      <c r="K55" s="70"/>
      <c r="L55" s="70"/>
      <c r="M55" s="70"/>
      <c r="N55" s="70"/>
      <c r="O55" s="70"/>
      <c r="P55" s="70"/>
      <c r="Q55" s="71"/>
    </row>
    <row r="56" spans="2:17" hidden="1" x14ac:dyDescent="0.2">
      <c r="B56" s="11">
        <v>1113170</v>
      </c>
      <c r="C56" s="19" t="s">
        <v>93</v>
      </c>
      <c r="D56" s="29">
        <f>'เย็น  '!D56+เช้า!D56</f>
        <v>0</v>
      </c>
      <c r="E56" s="29">
        <f>'เย็น  '!E56+เช้า!E56</f>
        <v>0</v>
      </c>
      <c r="F56" s="29">
        <f>'เย็น  '!F56+เช้า!F56</f>
        <v>0</v>
      </c>
      <c r="G56" s="29">
        <f>'เย็น  '!G56+เช้า!G56</f>
        <v>0</v>
      </c>
      <c r="H56" s="29">
        <f>'เย็น  '!H56+เช้า!H56</f>
        <v>0</v>
      </c>
      <c r="I56" s="29">
        <f>'เย็น  '!I56+เช้า!I56</f>
        <v>0</v>
      </c>
      <c r="J56" s="29">
        <f>'เย็น  '!J56+เช้า!J56</f>
        <v>0</v>
      </c>
      <c r="K56" s="35">
        <f>SUM(D56:J56)</f>
        <v>0</v>
      </c>
      <c r="L56" s="11"/>
      <c r="M56" s="11"/>
      <c r="N56" s="11"/>
      <c r="O56" s="11"/>
      <c r="P56" s="11"/>
      <c r="Q56" s="45">
        <f t="shared" si="1"/>
        <v>0</v>
      </c>
    </row>
    <row r="57" spans="2:17" hidden="1" x14ac:dyDescent="0.2">
      <c r="B57" s="11">
        <v>1113171</v>
      </c>
      <c r="C57" s="19" t="s">
        <v>94</v>
      </c>
      <c r="D57" s="29">
        <f>'เย็น  '!D57+เช้า!D57</f>
        <v>0</v>
      </c>
      <c r="E57" s="29">
        <f>'เย็น  '!E57+เช้า!E57</f>
        <v>0</v>
      </c>
      <c r="F57" s="29">
        <f>'เย็น  '!F57+เช้า!F57</f>
        <v>0</v>
      </c>
      <c r="G57" s="29">
        <f>'เย็น  '!G57+เช้า!G57</f>
        <v>0</v>
      </c>
      <c r="H57" s="29">
        <f>'เย็น  '!H57+เช้า!H57</f>
        <v>0</v>
      </c>
      <c r="I57" s="29">
        <f>'เย็น  '!I57+เช้า!I57</f>
        <v>0</v>
      </c>
      <c r="J57" s="29">
        <f>'เย็น  '!J57+เช้า!J57</f>
        <v>0</v>
      </c>
      <c r="K57" s="35">
        <f t="shared" ref="K57:K78" si="4">SUM(D57:J57)</f>
        <v>0</v>
      </c>
      <c r="L57" s="11"/>
      <c r="M57" s="11"/>
      <c r="N57" s="11"/>
      <c r="O57" s="11"/>
      <c r="P57" s="11"/>
      <c r="Q57" s="45">
        <f t="shared" si="1"/>
        <v>0</v>
      </c>
    </row>
    <row r="58" spans="2:17" hidden="1" x14ac:dyDescent="0.2">
      <c r="B58" s="11">
        <v>1113172</v>
      </c>
      <c r="C58" s="19" t="s">
        <v>95</v>
      </c>
      <c r="D58" s="29">
        <f>'เย็น  '!D58+เช้า!D58</f>
        <v>0</v>
      </c>
      <c r="E58" s="29">
        <f>'เย็น  '!E58+เช้า!E58</f>
        <v>0</v>
      </c>
      <c r="F58" s="29">
        <f>'เย็น  '!F58+เช้า!F58</f>
        <v>0</v>
      </c>
      <c r="G58" s="29">
        <f>'เย็น  '!G58+เช้า!G58</f>
        <v>0</v>
      </c>
      <c r="H58" s="29">
        <f>'เย็น  '!H58+เช้า!H58</f>
        <v>0</v>
      </c>
      <c r="I58" s="29">
        <f>'เย็น  '!I58+เช้า!I58</f>
        <v>0</v>
      </c>
      <c r="J58" s="29">
        <f>'เย็น  '!J58+เช้า!J58</f>
        <v>0</v>
      </c>
      <c r="K58" s="35">
        <f t="shared" si="4"/>
        <v>0</v>
      </c>
      <c r="L58" s="11"/>
      <c r="M58" s="11"/>
      <c r="N58" s="11"/>
      <c r="O58" s="11"/>
      <c r="P58" s="11"/>
      <c r="Q58" s="45">
        <f t="shared" si="1"/>
        <v>0</v>
      </c>
    </row>
    <row r="59" spans="2:17" x14ac:dyDescent="0.2">
      <c r="B59" s="11">
        <v>1100003</v>
      </c>
      <c r="C59" s="20" t="s">
        <v>73</v>
      </c>
      <c r="D59" s="29">
        <f>'เย็น  '!D59+เช้า!D59</f>
        <v>0</v>
      </c>
      <c r="E59" s="29">
        <f>'เย็น  '!E59+เช้า!E59</f>
        <v>8</v>
      </c>
      <c r="F59" s="29">
        <f>'เย็น  '!F59+เช้า!F59</f>
        <v>0</v>
      </c>
      <c r="G59" s="29">
        <f>'เย็น  '!G59+เช้า!G59</f>
        <v>0</v>
      </c>
      <c r="H59" s="29">
        <f>'เย็น  '!H59+เช้า!H59</f>
        <v>0</v>
      </c>
      <c r="I59" s="29">
        <f>'เย็น  '!I59+เช้า!I59</f>
        <v>0</v>
      </c>
      <c r="J59" s="29">
        <f>'เย็น  '!J59+เช้า!J59</f>
        <v>0</v>
      </c>
      <c r="K59" s="35">
        <f t="shared" si="4"/>
        <v>8</v>
      </c>
      <c r="L59" s="11"/>
      <c r="M59" s="11"/>
      <c r="N59" s="11"/>
      <c r="O59" s="11"/>
      <c r="P59" s="11"/>
      <c r="Q59" s="45">
        <f t="shared" si="1"/>
        <v>-8</v>
      </c>
    </row>
    <row r="60" spans="2:17" x14ac:dyDescent="0.2">
      <c r="B60" s="11">
        <v>1100001</v>
      </c>
      <c r="C60" s="20" t="s">
        <v>74</v>
      </c>
      <c r="D60" s="29">
        <f>'เย็น  '!D60+เช้า!D60</f>
        <v>0</v>
      </c>
      <c r="E60" s="29">
        <f>'เย็น  '!E60+เช้า!E60</f>
        <v>0</v>
      </c>
      <c r="F60" s="29">
        <f>'เย็น  '!F60+เช้า!F60</f>
        <v>5</v>
      </c>
      <c r="G60" s="29">
        <f>'เย็น  '!G60+เช้า!G60</f>
        <v>0</v>
      </c>
      <c r="H60" s="29">
        <f>'เย็น  '!H60+เช้า!H60</f>
        <v>0</v>
      </c>
      <c r="I60" s="29">
        <f>'เย็น  '!I60+เช้า!I60</f>
        <v>0</v>
      </c>
      <c r="J60" s="29">
        <f>'เย็น  '!J60+เช้า!J60</f>
        <v>0</v>
      </c>
      <c r="K60" s="35">
        <f t="shared" si="4"/>
        <v>5</v>
      </c>
      <c r="L60" s="11"/>
      <c r="M60" s="11">
        <v>159</v>
      </c>
      <c r="N60" s="11"/>
      <c r="O60" s="11"/>
      <c r="P60" s="11"/>
      <c r="Q60" s="45">
        <f t="shared" si="1"/>
        <v>154</v>
      </c>
    </row>
    <row r="61" spans="2:17" x14ac:dyDescent="0.2">
      <c r="B61" s="11">
        <v>1100002</v>
      </c>
      <c r="C61" s="20" t="s">
        <v>75</v>
      </c>
      <c r="D61" s="29">
        <f>'เย็น  '!D61+เช้า!D61</f>
        <v>0</v>
      </c>
      <c r="E61" s="29">
        <f>'เย็น  '!E61+เช้า!E61</f>
        <v>1</v>
      </c>
      <c r="F61" s="29">
        <f>'เย็น  '!F61+เช้า!F61</f>
        <v>2</v>
      </c>
      <c r="G61" s="29">
        <f>'เย็น  '!G61+เช้า!G61</f>
        <v>0</v>
      </c>
      <c r="H61" s="29">
        <f>'เย็น  '!H61+เช้า!H61</f>
        <v>1</v>
      </c>
      <c r="I61" s="29">
        <f>'เย็น  '!I61+เช้า!I61</f>
        <v>0</v>
      </c>
      <c r="J61" s="29">
        <f>'เย็น  '!J61+เช้า!J61</f>
        <v>0</v>
      </c>
      <c r="K61" s="35">
        <f t="shared" si="4"/>
        <v>4</v>
      </c>
      <c r="L61" s="11"/>
      <c r="M61" s="11">
        <v>50</v>
      </c>
      <c r="N61" s="11"/>
      <c r="O61" s="11"/>
      <c r="P61" s="11"/>
      <c r="Q61" s="45">
        <f t="shared" si="1"/>
        <v>46</v>
      </c>
    </row>
    <row r="62" spans="2:17" x14ac:dyDescent="0.2">
      <c r="B62" s="11">
        <v>1200001</v>
      </c>
      <c r="C62" s="20" t="s">
        <v>57</v>
      </c>
      <c r="D62" s="29">
        <f>'เย็น  '!D62+เช้า!D62</f>
        <v>0</v>
      </c>
      <c r="E62" s="29">
        <f>'เย็น  '!E62+เช้า!E62</f>
        <v>3</v>
      </c>
      <c r="F62" s="29">
        <f>'เย็น  '!F62+เช้า!F62</f>
        <v>0</v>
      </c>
      <c r="G62" s="29">
        <f>'เย็น  '!G62+เช้า!G62</f>
        <v>0</v>
      </c>
      <c r="H62" s="29">
        <f>'เย็น  '!H62+เช้า!H62</f>
        <v>0</v>
      </c>
      <c r="I62" s="29">
        <f>'เย็น  '!I62+เช้า!I62</f>
        <v>0</v>
      </c>
      <c r="J62" s="29">
        <f>'เย็น  '!J62+เช้า!J62</f>
        <v>0</v>
      </c>
      <c r="K62" s="35">
        <f t="shared" si="4"/>
        <v>3</v>
      </c>
      <c r="L62" s="11"/>
      <c r="M62" s="11">
        <v>21</v>
      </c>
      <c r="N62" s="11"/>
      <c r="O62" s="11"/>
      <c r="P62" s="11"/>
      <c r="Q62" s="45">
        <f t="shared" si="1"/>
        <v>18</v>
      </c>
    </row>
    <row r="63" spans="2:17" x14ac:dyDescent="0.2">
      <c r="B63" s="11">
        <v>1005761</v>
      </c>
      <c r="C63" s="20" t="s">
        <v>58</v>
      </c>
      <c r="D63" s="29">
        <f>'เย็น  '!D63+เช้า!D63</f>
        <v>0</v>
      </c>
      <c r="E63" s="29">
        <f>'เย็น  '!E63+เช้า!E63</f>
        <v>0</v>
      </c>
      <c r="F63" s="29">
        <f>'เย็น  '!F63+เช้า!F63</f>
        <v>0</v>
      </c>
      <c r="G63" s="29">
        <f>'เย็น  '!G63+เช้า!G63</f>
        <v>0</v>
      </c>
      <c r="H63" s="29">
        <f>'เย็น  '!H63+เช้า!H63</f>
        <v>0</v>
      </c>
      <c r="I63" s="29">
        <f>'เย็น  '!I63+เช้า!I63</f>
        <v>0</v>
      </c>
      <c r="J63" s="29">
        <f>'เย็น  '!J63+เช้า!J63</f>
        <v>0</v>
      </c>
      <c r="K63" s="35">
        <f t="shared" si="4"/>
        <v>0</v>
      </c>
      <c r="L63" s="11"/>
      <c r="M63" s="11">
        <v>34</v>
      </c>
      <c r="N63" s="11"/>
      <c r="O63" s="11"/>
      <c r="P63" s="11"/>
      <c r="Q63" s="45">
        <f t="shared" si="1"/>
        <v>34</v>
      </c>
    </row>
    <row r="64" spans="2:17" x14ac:dyDescent="0.2">
      <c r="B64" s="11">
        <v>1114501</v>
      </c>
      <c r="C64" s="20" t="s">
        <v>59</v>
      </c>
      <c r="D64" s="29">
        <f>'เย็น  '!D64+เช้า!D64</f>
        <v>2</v>
      </c>
      <c r="E64" s="29">
        <f>'เย็น  '!E64+เช้า!E64</f>
        <v>6</v>
      </c>
      <c r="F64" s="29">
        <f>'เย็น  '!F64+เช้า!F64</f>
        <v>4</v>
      </c>
      <c r="G64" s="29">
        <f>'เย็น  '!G64+เช้า!G64</f>
        <v>153</v>
      </c>
      <c r="H64" s="29">
        <f>'เย็น  '!H64+เช้า!H64</f>
        <v>161</v>
      </c>
      <c r="I64" s="29">
        <f>'เย็น  '!I64+เช้า!I64</f>
        <v>183</v>
      </c>
      <c r="J64" s="29">
        <f>'เย็น  '!J64+เช้า!J64</f>
        <v>17</v>
      </c>
      <c r="K64" s="35">
        <f t="shared" si="4"/>
        <v>526</v>
      </c>
      <c r="L64" s="11"/>
      <c r="M64" s="11">
        <v>511</v>
      </c>
      <c r="N64" s="11"/>
      <c r="O64" s="11"/>
      <c r="P64" s="11"/>
      <c r="Q64" s="45">
        <f t="shared" si="1"/>
        <v>-15</v>
      </c>
    </row>
    <row r="65" spans="2:17" x14ac:dyDescent="0.2">
      <c r="B65" s="11">
        <v>1114502</v>
      </c>
      <c r="C65" s="20" t="s">
        <v>60</v>
      </c>
      <c r="D65" s="29">
        <f>'เย็น  '!D65+เช้า!D65</f>
        <v>2</v>
      </c>
      <c r="E65" s="29">
        <f>'เย็น  '!E65+เช้า!E65</f>
        <v>8</v>
      </c>
      <c r="F65" s="29">
        <f>'เย็น  '!F65+เช้า!F65</f>
        <v>3</v>
      </c>
      <c r="G65" s="29">
        <f>'เย็น  '!G65+เช้า!G65</f>
        <v>153</v>
      </c>
      <c r="H65" s="29">
        <f>'เย็น  '!H65+เช้า!H65</f>
        <v>162</v>
      </c>
      <c r="I65" s="29">
        <f>'เย็น  '!I65+เช้า!I65</f>
        <v>181</v>
      </c>
      <c r="J65" s="29">
        <f>'เย็น  '!J65+เช้า!J65</f>
        <v>17</v>
      </c>
      <c r="K65" s="35">
        <f t="shared" si="4"/>
        <v>526</v>
      </c>
      <c r="L65" s="11"/>
      <c r="M65" s="11">
        <v>545</v>
      </c>
      <c r="N65" s="11"/>
      <c r="O65" s="11"/>
      <c r="P65" s="11"/>
      <c r="Q65" s="45">
        <f t="shared" si="1"/>
        <v>19</v>
      </c>
    </row>
    <row r="66" spans="2:17" x14ac:dyDescent="0.2">
      <c r="B66" s="11">
        <v>1114503</v>
      </c>
      <c r="C66" s="20" t="s">
        <v>61</v>
      </c>
      <c r="D66" s="29">
        <f>'เย็น  '!D66+เช้า!D66</f>
        <v>2</v>
      </c>
      <c r="E66" s="29">
        <f>'เย็น  '!E66+เช้า!E66</f>
        <v>5</v>
      </c>
      <c r="F66" s="29">
        <f>'เย็น  '!F66+เช้า!F66</f>
        <v>5</v>
      </c>
      <c r="G66" s="29">
        <f>'เย็น  '!G66+เช้า!G66</f>
        <v>153</v>
      </c>
      <c r="H66" s="29">
        <f>'เย็น  '!H66+เช้า!H66</f>
        <v>161</v>
      </c>
      <c r="I66" s="29">
        <f>'เย็น  '!I66+เช้า!I66</f>
        <v>181</v>
      </c>
      <c r="J66" s="29">
        <f>'เย็น  '!J66+เช้า!J66</f>
        <v>17</v>
      </c>
      <c r="K66" s="35">
        <f t="shared" si="4"/>
        <v>524</v>
      </c>
      <c r="L66" s="11"/>
      <c r="M66" s="11">
        <v>593</v>
      </c>
      <c r="N66" s="11"/>
      <c r="O66" s="11"/>
      <c r="P66" s="11"/>
      <c r="Q66" s="45">
        <f t="shared" si="1"/>
        <v>69</v>
      </c>
    </row>
    <row r="67" spans="2:17" x14ac:dyDescent="0.2">
      <c r="B67" s="11">
        <v>1124021</v>
      </c>
      <c r="C67" s="20" t="s">
        <v>62</v>
      </c>
      <c r="D67" s="29">
        <f>'เย็น  '!D67+เช้า!D67</f>
        <v>0</v>
      </c>
      <c r="E67" s="29">
        <f>'เย็น  '!E67+เช้า!E67</f>
        <v>26</v>
      </c>
      <c r="F67" s="29">
        <f>'เย็น  '!F67+เช้า!F67</f>
        <v>69</v>
      </c>
      <c r="G67" s="29">
        <f>'เย็น  '!G67+เช้า!G67</f>
        <v>39</v>
      </c>
      <c r="H67" s="29">
        <f>'เย็น  '!H67+เช้า!H67</f>
        <v>9</v>
      </c>
      <c r="I67" s="29">
        <f>'เย็น  '!I67+เช้า!I67</f>
        <v>24</v>
      </c>
      <c r="J67" s="29">
        <f>'เย็น  '!J67+เช้า!J67</f>
        <v>0</v>
      </c>
      <c r="K67" s="35">
        <f t="shared" si="4"/>
        <v>167</v>
      </c>
      <c r="L67" s="11"/>
      <c r="M67" s="11">
        <v>187</v>
      </c>
      <c r="N67" s="11"/>
      <c r="O67" s="11"/>
      <c r="P67" s="11"/>
      <c r="Q67" s="45">
        <f t="shared" si="1"/>
        <v>20</v>
      </c>
    </row>
    <row r="68" spans="2:17" x14ac:dyDescent="0.2">
      <c r="B68" s="11">
        <v>1113084</v>
      </c>
      <c r="C68" s="20" t="s">
        <v>63</v>
      </c>
      <c r="D68" s="29">
        <f>'เย็น  '!D68+เช้า!D68</f>
        <v>0</v>
      </c>
      <c r="E68" s="29">
        <f>'เย็น  '!E68+เช้า!E68</f>
        <v>0</v>
      </c>
      <c r="F68" s="29">
        <f>'เย็น  '!F68+เช้า!F68</f>
        <v>0</v>
      </c>
      <c r="G68" s="29">
        <f>'เย็น  '!G68+เช้า!G68</f>
        <v>0</v>
      </c>
      <c r="H68" s="29">
        <f>'เย็น  '!H68+เช้า!H68</f>
        <v>0</v>
      </c>
      <c r="I68" s="29">
        <f>'เย็น  '!I68+เช้า!I68</f>
        <v>0</v>
      </c>
      <c r="J68" s="29">
        <f>'เย็น  '!J68+เช้า!J68</f>
        <v>0</v>
      </c>
      <c r="K68" s="35">
        <f t="shared" si="4"/>
        <v>0</v>
      </c>
      <c r="L68" s="11"/>
      <c r="M68" s="11"/>
      <c r="N68" s="11"/>
      <c r="O68" s="11"/>
      <c r="P68" s="11"/>
      <c r="Q68" s="45">
        <f t="shared" si="1"/>
        <v>0</v>
      </c>
    </row>
    <row r="69" spans="2:17" x14ac:dyDescent="0.2">
      <c r="B69" s="11">
        <v>900003</v>
      </c>
      <c r="C69" s="20" t="s">
        <v>83</v>
      </c>
      <c r="D69" s="29">
        <f>'เย็น  '!D69+เช้า!D69</f>
        <v>0</v>
      </c>
      <c r="E69" s="29">
        <f>'เย็น  '!E69+เช้า!E69</f>
        <v>0</v>
      </c>
      <c r="F69" s="29">
        <f>'เย็น  '!F69+เช้า!F69</f>
        <v>0</v>
      </c>
      <c r="G69" s="29">
        <f>'เย็น  '!G69+เช้า!G69</f>
        <v>0</v>
      </c>
      <c r="H69" s="29">
        <f>'เย็น  '!H69+เช้า!H69</f>
        <v>0</v>
      </c>
      <c r="I69" s="29">
        <f>'เย็น  '!I69+เช้า!I69</f>
        <v>0</v>
      </c>
      <c r="J69" s="29">
        <f>'เย็น  '!J69+เช้า!J69</f>
        <v>0</v>
      </c>
      <c r="K69" s="35">
        <f t="shared" si="4"/>
        <v>0</v>
      </c>
      <c r="L69" s="11"/>
      <c r="M69" s="11"/>
      <c r="N69" s="11"/>
      <c r="O69" s="11"/>
      <c r="P69" s="11"/>
      <c r="Q69" s="45">
        <f t="shared" si="1"/>
        <v>0</v>
      </c>
    </row>
    <row r="70" spans="2:17" x14ac:dyDescent="0.2">
      <c r="B70" s="11">
        <v>900004</v>
      </c>
      <c r="C70" s="20" t="s">
        <v>64</v>
      </c>
      <c r="D70" s="29">
        <f>'เย็น  '!D70+เช้า!D70</f>
        <v>0</v>
      </c>
      <c r="E70" s="29">
        <f>'เย็น  '!E70+เช้า!E70</f>
        <v>0</v>
      </c>
      <c r="F70" s="29">
        <f>'เย็น  '!F70+เช้า!F70</f>
        <v>0</v>
      </c>
      <c r="G70" s="29">
        <f>'เย็น  '!G70+เช้า!G70</f>
        <v>0</v>
      </c>
      <c r="H70" s="29">
        <f>'เย็น  '!H70+เช้า!H70</f>
        <v>0</v>
      </c>
      <c r="I70" s="29">
        <f>'เย็น  '!I70+เช้า!I70</f>
        <v>0</v>
      </c>
      <c r="J70" s="29">
        <f>'เย็น  '!J70+เช้า!J70</f>
        <v>0</v>
      </c>
      <c r="K70" s="35">
        <f t="shared" si="4"/>
        <v>0</v>
      </c>
      <c r="L70" s="11"/>
      <c r="M70" s="11"/>
      <c r="N70" s="11"/>
      <c r="O70" s="11"/>
      <c r="P70" s="11"/>
      <c r="Q70" s="45">
        <f t="shared" si="1"/>
        <v>0</v>
      </c>
    </row>
    <row r="71" spans="2:17" x14ac:dyDescent="0.2">
      <c r="B71" s="11">
        <v>1200002</v>
      </c>
      <c r="C71" s="20" t="s">
        <v>65</v>
      </c>
      <c r="D71" s="29">
        <f>'เย็น  '!D71+เช้า!D71</f>
        <v>0</v>
      </c>
      <c r="E71" s="29">
        <f>'เย็น  '!E71+เช้า!E71</f>
        <v>3</v>
      </c>
      <c r="F71" s="29">
        <f>'เย็น  '!F71+เช้า!F71</f>
        <v>0</v>
      </c>
      <c r="G71" s="29">
        <f>'เย็น  '!G71+เช้า!G71</f>
        <v>0</v>
      </c>
      <c r="H71" s="29">
        <f>'เย็น  '!H71+เช้า!H71</f>
        <v>0</v>
      </c>
      <c r="I71" s="29">
        <f>'เย็น  '!I71+เช้า!I71</f>
        <v>0</v>
      </c>
      <c r="J71" s="29">
        <f>'เย็น  '!J71+เช้า!J71</f>
        <v>0</v>
      </c>
      <c r="K71" s="35">
        <f t="shared" si="4"/>
        <v>3</v>
      </c>
      <c r="L71" s="11"/>
      <c r="M71" s="11">
        <v>81</v>
      </c>
      <c r="N71" s="11"/>
      <c r="O71" s="11"/>
      <c r="P71" s="11"/>
      <c r="Q71" s="45">
        <f t="shared" si="1"/>
        <v>78</v>
      </c>
    </row>
    <row r="72" spans="2:17" x14ac:dyDescent="0.2">
      <c r="B72" s="11">
        <v>1200003</v>
      </c>
      <c r="C72" s="20" t="s">
        <v>66</v>
      </c>
      <c r="D72" s="29">
        <f>'เย็น  '!D72+เช้า!D72</f>
        <v>0</v>
      </c>
      <c r="E72" s="29">
        <f>'เย็น  '!E72+เช้า!E72</f>
        <v>0</v>
      </c>
      <c r="F72" s="29">
        <f>'เย็น  '!F72+เช้า!F72</f>
        <v>0</v>
      </c>
      <c r="G72" s="29">
        <f>'เย็น  '!G72+เช้า!G72</f>
        <v>0</v>
      </c>
      <c r="H72" s="29">
        <f>'เย็น  '!H72+เช้า!H72</f>
        <v>0</v>
      </c>
      <c r="I72" s="29">
        <f>'เย็น  '!I72+เช้า!I72</f>
        <v>0</v>
      </c>
      <c r="J72" s="29">
        <f>'เย็น  '!J72+เช้า!J72</f>
        <v>0</v>
      </c>
      <c r="K72" s="35">
        <f t="shared" si="4"/>
        <v>0</v>
      </c>
      <c r="L72" s="11"/>
      <c r="M72" s="11"/>
      <c r="N72" s="11"/>
      <c r="O72" s="11"/>
      <c r="P72" s="11"/>
      <c r="Q72" s="45">
        <f t="shared" ref="Q72:Q78" si="5">(L72+M72+N72+O72)-K72-P72</f>
        <v>0</v>
      </c>
    </row>
    <row r="73" spans="2:17" x14ac:dyDescent="0.2">
      <c r="B73" s="11">
        <v>1200004</v>
      </c>
      <c r="C73" s="20" t="s">
        <v>67</v>
      </c>
      <c r="D73" s="29">
        <f>'เย็น  '!D73+เช้า!D73</f>
        <v>0</v>
      </c>
      <c r="E73" s="29">
        <f>'เย็น  '!E73+เช้า!E73</f>
        <v>0</v>
      </c>
      <c r="F73" s="29">
        <f>'เย็น  '!F73+เช้า!F73</f>
        <v>0</v>
      </c>
      <c r="G73" s="29">
        <f>'เย็น  '!G73+เช้า!G73</f>
        <v>0</v>
      </c>
      <c r="H73" s="29">
        <f>'เย็น  '!H73+เช้า!H73</f>
        <v>0</v>
      </c>
      <c r="I73" s="29">
        <f>'เย็น  '!I73+เช้า!I73</f>
        <v>0</v>
      </c>
      <c r="J73" s="29">
        <f>'เย็น  '!J73+เช้า!J73</f>
        <v>0</v>
      </c>
      <c r="K73" s="35">
        <f t="shared" si="4"/>
        <v>0</v>
      </c>
      <c r="L73" s="11"/>
      <c r="M73" s="11"/>
      <c r="N73" s="11"/>
      <c r="O73" s="11"/>
      <c r="P73" s="11"/>
      <c r="Q73" s="45">
        <f t="shared" si="5"/>
        <v>0</v>
      </c>
    </row>
    <row r="74" spans="2:17" x14ac:dyDescent="0.2">
      <c r="B74" s="11">
        <v>1200093</v>
      </c>
      <c r="C74" s="20" t="s">
        <v>55</v>
      </c>
      <c r="D74" s="29">
        <f>'เย็น  '!D74+เช้า!D74</f>
        <v>0</v>
      </c>
      <c r="E74" s="29">
        <f>'เย็น  '!E74+เช้า!E74</f>
        <v>0</v>
      </c>
      <c r="F74" s="29">
        <f>'เย็น  '!F74+เช้า!F74</f>
        <v>0</v>
      </c>
      <c r="G74" s="29">
        <f>'เย็น  '!G74+เช้า!G74</f>
        <v>0</v>
      </c>
      <c r="H74" s="29">
        <f>'เย็น  '!H74+เช้า!H74</f>
        <v>0</v>
      </c>
      <c r="I74" s="29">
        <f>'เย็น  '!I74+เช้า!I74</f>
        <v>0</v>
      </c>
      <c r="J74" s="29">
        <f>'เย็น  '!J74+เช้า!J74</f>
        <v>0</v>
      </c>
      <c r="K74" s="35">
        <f t="shared" si="4"/>
        <v>0</v>
      </c>
      <c r="L74" s="11"/>
      <c r="M74" s="11"/>
      <c r="N74" s="11"/>
      <c r="O74" s="11"/>
      <c r="P74" s="11"/>
      <c r="Q74" s="45">
        <f t="shared" si="5"/>
        <v>0</v>
      </c>
    </row>
    <row r="75" spans="2:17" x14ac:dyDescent="0.2">
      <c r="B75" s="11">
        <v>1200092</v>
      </c>
      <c r="C75" s="19" t="s">
        <v>56</v>
      </c>
      <c r="D75" s="29">
        <f>'เย็น  '!D75+เช้า!D75</f>
        <v>0</v>
      </c>
      <c r="E75" s="29">
        <f>'เย็น  '!E75+เช้า!E75</f>
        <v>0</v>
      </c>
      <c r="F75" s="29">
        <f>'เย็น  '!F75+เช้า!F75</f>
        <v>0</v>
      </c>
      <c r="G75" s="29">
        <f>'เย็น  '!G75+เช้า!G75</f>
        <v>0</v>
      </c>
      <c r="H75" s="29">
        <f>'เย็น  '!H75+เช้า!H75</f>
        <v>0</v>
      </c>
      <c r="I75" s="29">
        <f>'เย็น  '!I75+เช้า!I75</f>
        <v>0</v>
      </c>
      <c r="J75" s="29">
        <f>'เย็น  '!J75+เช้า!J75</f>
        <v>0</v>
      </c>
      <c r="K75" s="35">
        <f t="shared" si="4"/>
        <v>0</v>
      </c>
      <c r="L75" s="11"/>
      <c r="M75" s="11"/>
      <c r="N75" s="11"/>
      <c r="O75" s="11"/>
      <c r="P75" s="11"/>
      <c r="Q75" s="45">
        <f t="shared" si="5"/>
        <v>0</v>
      </c>
    </row>
    <row r="76" spans="2:17" x14ac:dyDescent="0.2">
      <c r="B76" s="21"/>
      <c r="C76" s="20" t="s">
        <v>76</v>
      </c>
      <c r="D76" s="29">
        <f>'เย็น  '!D76+เช้า!D76</f>
        <v>0</v>
      </c>
      <c r="E76" s="29">
        <f>'เย็น  '!E76+เช้า!E76</f>
        <v>0</v>
      </c>
      <c r="F76" s="29">
        <f>'เย็น  '!F76+เช้า!F76</f>
        <v>0</v>
      </c>
      <c r="G76" s="29">
        <f>'เย็น  '!G76+เช้า!G76</f>
        <v>0</v>
      </c>
      <c r="H76" s="29">
        <f>'เย็น  '!H76+เช้า!H76</f>
        <v>0</v>
      </c>
      <c r="I76" s="29">
        <f>'เย็น  '!I76+เช้า!I76</f>
        <v>0</v>
      </c>
      <c r="J76" s="29">
        <f>'เย็น  '!J76+เช้า!J76</f>
        <v>0</v>
      </c>
      <c r="K76" s="35">
        <f t="shared" si="4"/>
        <v>0</v>
      </c>
      <c r="L76" s="11"/>
      <c r="M76" s="11"/>
      <c r="N76" s="11"/>
      <c r="O76" s="11"/>
      <c r="P76" s="11"/>
      <c r="Q76" s="45">
        <f t="shared" si="5"/>
        <v>0</v>
      </c>
    </row>
    <row r="77" spans="2:17" x14ac:dyDescent="0.2">
      <c r="B77" s="21"/>
      <c r="C77" s="20" t="s">
        <v>77</v>
      </c>
      <c r="D77" s="29">
        <f>'เย็น  '!D77+เช้า!D77</f>
        <v>0</v>
      </c>
      <c r="E77" s="29">
        <f>'เย็น  '!E77+เช้า!E77</f>
        <v>11</v>
      </c>
      <c r="F77" s="29">
        <f>'เย็น  '!F77+เช้า!F77</f>
        <v>10</v>
      </c>
      <c r="G77" s="29">
        <f>'เย็น  '!G77+เช้า!G77</f>
        <v>0</v>
      </c>
      <c r="H77" s="29">
        <f>'เย็น  '!H77+เช้า!H77</f>
        <v>0</v>
      </c>
      <c r="I77" s="29">
        <f>'เย็น  '!I77+เช้า!I77</f>
        <v>0</v>
      </c>
      <c r="J77" s="29">
        <f>'เย็น  '!J77+เช้า!J77</f>
        <v>0</v>
      </c>
      <c r="K77" s="35">
        <f t="shared" si="4"/>
        <v>21</v>
      </c>
      <c r="L77" s="11"/>
      <c r="M77" s="11"/>
      <c r="N77" s="11"/>
      <c r="O77" s="11"/>
      <c r="P77" s="11"/>
      <c r="Q77" s="45">
        <f t="shared" si="5"/>
        <v>-21</v>
      </c>
    </row>
    <row r="78" spans="2:17" x14ac:dyDescent="0.2">
      <c r="B78" s="21">
        <v>20052721</v>
      </c>
      <c r="C78" s="20" t="s">
        <v>82</v>
      </c>
      <c r="D78" s="29">
        <f>'เย็น  '!D78+เช้า!D78</f>
        <v>0</v>
      </c>
      <c r="E78" s="29">
        <f>'เย็น  '!E78+เช้า!E78</f>
        <v>0</v>
      </c>
      <c r="F78" s="29">
        <f>'เย็น  '!F78+เช้า!F78</f>
        <v>0</v>
      </c>
      <c r="G78" s="29">
        <f>'เย็น  '!G78+เช้า!G78</f>
        <v>0</v>
      </c>
      <c r="H78" s="29">
        <f>'เย็น  '!H78+เช้า!H78</f>
        <v>0</v>
      </c>
      <c r="I78" s="29">
        <f>'เย็น  '!I78+เช้า!I78</f>
        <v>0</v>
      </c>
      <c r="J78" s="29">
        <f>'เย็น  '!J78+เช้า!J78</f>
        <v>0</v>
      </c>
      <c r="K78" s="35">
        <f t="shared" si="4"/>
        <v>0</v>
      </c>
      <c r="L78" s="11"/>
      <c r="M78" s="11"/>
      <c r="N78" s="11"/>
      <c r="O78" s="11"/>
      <c r="P78" s="11"/>
      <c r="Q78" s="45">
        <f t="shared" si="5"/>
        <v>0</v>
      </c>
    </row>
    <row r="79" spans="2:17" ht="40.5" customHeight="1" x14ac:dyDescent="0.2">
      <c r="C79" s="34"/>
      <c r="D79" s="38">
        <f t="shared" ref="D79:J79" si="6">SUM(D56:D78,D45:D53,D39:D43,D37,D7:D35)</f>
        <v>227</v>
      </c>
      <c r="E79" s="38">
        <f t="shared" si="6"/>
        <v>219</v>
      </c>
      <c r="F79" s="38">
        <f t="shared" si="6"/>
        <v>223</v>
      </c>
      <c r="G79" s="38">
        <f t="shared" si="6"/>
        <v>872</v>
      </c>
      <c r="H79" s="38">
        <f t="shared" si="6"/>
        <v>817</v>
      </c>
      <c r="I79" s="38">
        <f t="shared" si="6"/>
        <v>848</v>
      </c>
      <c r="J79" s="38">
        <f t="shared" si="6"/>
        <v>220</v>
      </c>
      <c r="K79" s="38">
        <f>SUM(K56:K78,K45:K53,K39:K43,K37,K7:K35)</f>
        <v>3426</v>
      </c>
      <c r="L79" s="37">
        <f>SUM(L59:L78,L45:L53,L39:L39,L37:L37,L7:L35)</f>
        <v>0</v>
      </c>
      <c r="M79" s="37">
        <f>SUM(M59:M78,M45:M53,M39:M39,M37:M37,M7:M35)</f>
        <v>4058</v>
      </c>
      <c r="N79" s="37">
        <f>SUM(N59:N78,N45:N53,N39:N39,N37:N37,N7:N35)</f>
        <v>0</v>
      </c>
      <c r="O79" s="37">
        <f>SUM(O59:O78,O45:O53,O39:O39,O37:O37,O7:O35)</f>
        <v>0</v>
      </c>
      <c r="P79" s="37"/>
      <c r="Q79" s="37">
        <f>SUM(Q59:Q78,Q45:Q53,Q39:Q39,Q37:Q37,Q7:Q35)</f>
        <v>637</v>
      </c>
    </row>
    <row r="80" spans="2:17" x14ac:dyDescent="0.2">
      <c r="B80" s="36"/>
      <c r="C80" s="34"/>
      <c r="D80" s="37"/>
      <c r="E80" s="37"/>
      <c r="F80" s="37"/>
      <c r="G80" s="37"/>
      <c r="H80" s="37"/>
      <c r="I80" s="37"/>
      <c r="J80" s="37"/>
      <c r="K80" s="38"/>
    </row>
    <row r="81" spans="2:11" x14ac:dyDescent="0.2">
      <c r="B81" s="36"/>
      <c r="C81" s="34"/>
      <c r="D81" s="37"/>
      <c r="E81" s="37"/>
      <c r="F81" s="37"/>
      <c r="G81" s="37"/>
      <c r="H81" s="37"/>
      <c r="I81" s="37"/>
      <c r="J81" s="37"/>
      <c r="K81" s="38"/>
    </row>
    <row r="82" spans="2:11" x14ac:dyDescent="0.2">
      <c r="C82" s="23"/>
      <c r="D82" s="30"/>
      <c r="E82" s="57"/>
      <c r="F82" s="57"/>
      <c r="G82" s="25"/>
      <c r="K82" s="39"/>
    </row>
    <row r="83" spans="2:11" x14ac:dyDescent="0.2">
      <c r="B83" s="57" t="s">
        <v>68</v>
      </c>
      <c r="C83" s="57"/>
      <c r="D83" s="31"/>
      <c r="E83" s="58"/>
      <c r="F83" s="58"/>
      <c r="G83" s="26"/>
      <c r="H83" s="25"/>
      <c r="I83" s="57" t="s">
        <v>68</v>
      </c>
      <c r="J83" s="57"/>
      <c r="K83" s="57"/>
    </row>
    <row r="84" spans="2:11" x14ac:dyDescent="0.2">
      <c r="B84" s="58" t="s">
        <v>69</v>
      </c>
      <c r="C84" s="58"/>
      <c r="D84" s="32"/>
      <c r="E84" s="32"/>
      <c r="F84" s="32"/>
      <c r="G84" s="32"/>
      <c r="H84" s="32"/>
      <c r="I84" s="58" t="s">
        <v>70</v>
      </c>
      <c r="J84" s="58"/>
      <c r="K84" s="58"/>
    </row>
    <row r="85" spans="2:11" x14ac:dyDescent="0.2">
      <c r="B85" s="30"/>
      <c r="C85" s="30"/>
      <c r="D85" s="32"/>
      <c r="E85" s="32"/>
      <c r="F85" s="32"/>
      <c r="G85" s="32"/>
      <c r="H85" s="32"/>
      <c r="I85" s="30"/>
      <c r="J85" s="30"/>
      <c r="K85" s="33"/>
    </row>
    <row r="86" spans="2:11" ht="19.5" x14ac:dyDescent="0.2">
      <c r="B86" s="30"/>
      <c r="C86" s="30"/>
      <c r="D86" s="30"/>
      <c r="E86" s="30"/>
      <c r="F86" s="30"/>
      <c r="G86" s="30"/>
      <c r="H86" s="30"/>
      <c r="I86" s="30"/>
      <c r="J86" s="30"/>
      <c r="K86" s="33"/>
    </row>
    <row r="87" spans="2:11" ht="19.5" x14ac:dyDescent="0.2">
      <c r="B87" s="30"/>
      <c r="C87" s="30"/>
      <c r="D87" s="30"/>
      <c r="E87" s="30"/>
      <c r="F87" s="30"/>
      <c r="G87" s="30"/>
      <c r="H87" s="30"/>
      <c r="I87" s="30"/>
      <c r="J87" s="30"/>
      <c r="K87" s="33"/>
    </row>
    <row r="88" spans="2:11" ht="19.5" x14ac:dyDescent="0.2">
      <c r="B88" s="30"/>
      <c r="C88" s="30"/>
      <c r="D88" s="30"/>
      <c r="E88" s="30"/>
      <c r="F88" s="30"/>
      <c r="G88" s="30"/>
      <c r="H88" s="30"/>
      <c r="I88" s="30"/>
      <c r="J88" s="30"/>
      <c r="K88" s="33"/>
    </row>
    <row r="89" spans="2:11" ht="19.5" x14ac:dyDescent="0.2">
      <c r="B89" s="30"/>
      <c r="C89" s="30"/>
      <c r="D89" s="30"/>
      <c r="E89" s="30"/>
      <c r="F89" s="30"/>
      <c r="G89" s="30"/>
      <c r="H89" s="30"/>
      <c r="I89" s="30"/>
      <c r="J89" s="30"/>
      <c r="K89" s="33"/>
    </row>
    <row r="90" spans="2:11" ht="19.5" x14ac:dyDescent="0.2">
      <c r="B90" s="30"/>
      <c r="C90" s="30"/>
      <c r="D90" s="30"/>
      <c r="E90" s="30"/>
      <c r="F90" s="30"/>
      <c r="G90" s="30"/>
      <c r="H90" s="30"/>
      <c r="I90" s="30"/>
      <c r="J90" s="30"/>
      <c r="K90" s="33"/>
    </row>
    <row r="91" spans="2:11" x14ac:dyDescent="0.2">
      <c r="D91" s="30"/>
      <c r="E91" s="30"/>
      <c r="F91" s="30"/>
      <c r="G91" s="30"/>
      <c r="H91" s="30"/>
    </row>
    <row r="92" spans="2:11" x14ac:dyDescent="0.2">
      <c r="D92" s="30"/>
      <c r="E92" s="30"/>
      <c r="F92" s="30"/>
      <c r="G92" s="30"/>
      <c r="H92" s="30"/>
    </row>
    <row r="93" spans="2:11" x14ac:dyDescent="0.2">
      <c r="D93" s="30"/>
      <c r="E93" s="30"/>
      <c r="F93" s="30"/>
      <c r="G93" s="30"/>
      <c r="H93" s="30"/>
    </row>
    <row r="94" spans="2:11" x14ac:dyDescent="0.2">
      <c r="D94" s="30"/>
      <c r="E94" s="30"/>
      <c r="F94" s="30"/>
      <c r="G94" s="30"/>
      <c r="H94" s="30"/>
    </row>
    <row r="95" spans="2:11" x14ac:dyDescent="0.2">
      <c r="D95" s="30"/>
      <c r="E95" s="30"/>
      <c r="F95" s="30"/>
      <c r="G95" s="30"/>
      <c r="H95" s="30"/>
    </row>
    <row r="96" spans="2:11" x14ac:dyDescent="0.2">
      <c r="D96" s="30"/>
      <c r="E96" s="30"/>
      <c r="F96" s="30"/>
      <c r="G96" s="30"/>
      <c r="H96" s="30"/>
    </row>
    <row r="97" spans="4:8" x14ac:dyDescent="0.2">
      <c r="D97" s="30"/>
      <c r="E97" s="30"/>
      <c r="F97" s="30"/>
      <c r="G97" s="30"/>
      <c r="H97" s="30"/>
    </row>
    <row r="98" spans="4:8" x14ac:dyDescent="0.2">
      <c r="D98" s="30"/>
      <c r="E98" s="30"/>
      <c r="F98" s="30"/>
      <c r="G98" s="30"/>
      <c r="H98" s="30"/>
    </row>
    <row r="99" spans="4:8" x14ac:dyDescent="0.2">
      <c r="D99" s="30"/>
      <c r="E99" s="30"/>
      <c r="F99" s="30"/>
      <c r="G99" s="30"/>
      <c r="H99" s="30"/>
    </row>
    <row r="100" spans="4:8" x14ac:dyDescent="0.2">
      <c r="D100" s="30"/>
      <c r="E100" s="30"/>
      <c r="F100" s="30"/>
      <c r="G100" s="30"/>
      <c r="H100" s="30"/>
    </row>
    <row r="101" spans="4:8" x14ac:dyDescent="0.2">
      <c r="D101" s="30"/>
      <c r="E101" s="30"/>
      <c r="F101" s="30"/>
      <c r="G101" s="30"/>
      <c r="H101" s="30"/>
    </row>
  </sheetData>
  <mergeCells count="19">
    <mergeCell ref="B84:C84"/>
    <mergeCell ref="I84:K84"/>
    <mergeCell ref="Q2:Q4"/>
    <mergeCell ref="B6:Q6"/>
    <mergeCell ref="B36:Q36"/>
    <mergeCell ref="B38:Q38"/>
    <mergeCell ref="B44:Q44"/>
    <mergeCell ref="O2:O4"/>
    <mergeCell ref="B55:Q55"/>
    <mergeCell ref="E82:F82"/>
    <mergeCell ref="B83:C83"/>
    <mergeCell ref="E83:F83"/>
    <mergeCell ref="I83:K83"/>
    <mergeCell ref="M2:M4"/>
    <mergeCell ref="B1:K1"/>
    <mergeCell ref="B2:C3"/>
    <mergeCell ref="E2:F3"/>
    <mergeCell ref="L2:L4"/>
    <mergeCell ref="N2:N4"/>
  </mergeCells>
  <phoneticPr fontId="8" type="noConversion"/>
  <printOptions horizontalCentered="1"/>
  <pageMargins left="0.23622047244094491" right="0.23622047244094491" top="0.35433070866141736" bottom="0.35433070866141736" header="0.31496062992125984" footer="0.31496062992125984"/>
  <pageSetup paperSize="9" scale="32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4</vt:i4>
      </vt:variant>
    </vt:vector>
  </HeadingPairs>
  <TitlesOfParts>
    <vt:vector size="4" baseType="lpstr">
      <vt:lpstr>เย็น  </vt:lpstr>
      <vt:lpstr>เช้า</vt:lpstr>
      <vt:lpstr>บ่าย</vt:lpstr>
      <vt:lpstr>รวม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Natchaya Sukjan</dc:creator>
  <cp:lastModifiedBy>Natchaya Sukjan</cp:lastModifiedBy>
  <cp:lastPrinted>2024-11-19T06:21:21Z</cp:lastPrinted>
  <dcterms:created xsi:type="dcterms:W3CDTF">2024-04-30T05:21:27Z</dcterms:created>
  <dcterms:modified xsi:type="dcterms:W3CDTF">2024-12-02T09:45:38Z</dcterms:modified>
</cp:coreProperties>
</file>