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162ABD6-1E09-4D42-89FF-3C17AE3E39A1}" xr6:coauthVersionLast="47" xr6:coauthVersionMax="47" xr10:uidLastSave="{00000000-0000-0000-0000-000000000000}"/>
  <bookViews>
    <workbookView xWindow="0" yWindow="1410" windowWidth="19080" windowHeight="13470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5" i="5" l="1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12" i="6" s="1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P77" i="5"/>
  <c r="L112" i="3" l="1"/>
  <c r="L130" i="5"/>
  <c r="L129" i="5"/>
  <c r="L90" i="5"/>
  <c r="L93" i="5"/>
  <c r="L95" i="5"/>
  <c r="L127" i="5"/>
  <c r="L118" i="5"/>
  <c r="L131" i="5"/>
  <c r="L133" i="5"/>
  <c r="L126" i="5"/>
  <c r="L135" i="5"/>
  <c r="L119" i="5"/>
  <c r="L124" i="5"/>
  <c r="L117" i="5"/>
  <c r="L94" i="5"/>
  <c r="L128" i="5"/>
  <c r="L96" i="5"/>
  <c r="L125" i="5"/>
  <c r="L121" i="5"/>
  <c r="L134" i="5"/>
  <c r="L120" i="5"/>
  <c r="L87" i="5"/>
  <c r="L115" i="5"/>
  <c r="L92" i="5"/>
  <c r="L98" i="5"/>
  <c r="L137" i="5"/>
  <c r="L136" i="5"/>
  <c r="L97" i="5"/>
  <c r="L91" i="5"/>
  <c r="L123" i="5"/>
  <c r="L132" i="5"/>
  <c r="L122" i="5"/>
  <c r="L116" i="5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L102" i="5" s="1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L79" i="5" l="1"/>
  <c r="L70" i="5"/>
  <c r="L75" i="5"/>
  <c r="L73" i="5"/>
  <c r="L27" i="5"/>
  <c r="L109" i="5"/>
  <c r="L72" i="5"/>
  <c r="L11" i="5"/>
  <c r="L76" i="5"/>
  <c r="L59" i="5"/>
  <c r="L43" i="5"/>
  <c r="L7" i="5"/>
  <c r="L111" i="5"/>
  <c r="P111" i="5" s="1"/>
  <c r="L54" i="5"/>
  <c r="L38" i="5"/>
  <c r="L71" i="5"/>
  <c r="L47" i="5"/>
  <c r="L15" i="5"/>
  <c r="L8" i="5"/>
  <c r="L49" i="5"/>
  <c r="L33" i="5"/>
  <c r="L17" i="5"/>
  <c r="L81" i="5"/>
  <c r="L58" i="5"/>
  <c r="L42" i="5"/>
  <c r="L26" i="5"/>
  <c r="L10" i="5"/>
  <c r="L69" i="5"/>
  <c r="L108" i="5"/>
  <c r="P108" i="5" s="1"/>
  <c r="L20" i="5"/>
  <c r="L52" i="5"/>
  <c r="L61" i="5"/>
  <c r="L28" i="5"/>
  <c r="L12" i="5"/>
  <c r="L110" i="5"/>
  <c r="P110" i="5" s="1"/>
  <c r="L53" i="5"/>
  <c r="L37" i="5"/>
  <c r="L21" i="5"/>
  <c r="L85" i="5"/>
  <c r="L103" i="5"/>
  <c r="P103" i="5" s="1"/>
  <c r="L84" i="5"/>
  <c r="L29" i="5"/>
  <c r="L105" i="5"/>
  <c r="P105" i="5" s="1"/>
  <c r="L31" i="5"/>
  <c r="L56" i="5"/>
  <c r="L106" i="5"/>
  <c r="P106" i="5" s="1"/>
  <c r="L51" i="5"/>
  <c r="L19" i="5"/>
  <c r="L83" i="5"/>
  <c r="L46" i="5"/>
  <c r="L30" i="5"/>
  <c r="L55" i="5"/>
  <c r="L39" i="5"/>
  <c r="L64" i="5"/>
  <c r="L48" i="5"/>
  <c r="L32" i="5"/>
  <c r="L16" i="5"/>
  <c r="L74" i="5"/>
  <c r="L80" i="5"/>
  <c r="L13" i="5"/>
  <c r="L86" i="5"/>
  <c r="L40" i="5"/>
  <c r="L24" i="5"/>
  <c r="L65" i="5"/>
  <c r="L60" i="5"/>
  <c r="L14" i="5"/>
  <c r="L57" i="5"/>
  <c r="L41" i="5"/>
  <c r="L25" i="5"/>
  <c r="L9" i="5"/>
  <c r="L107" i="5"/>
  <c r="P107" i="5" s="1"/>
  <c r="L36" i="5"/>
  <c r="L45" i="5"/>
  <c r="L22" i="5"/>
  <c r="L104" i="5"/>
  <c r="P104" i="5" s="1"/>
  <c r="L63" i="5"/>
  <c r="L99" i="5"/>
  <c r="L35" i="5"/>
  <c r="L44" i="5"/>
  <c r="L62" i="5"/>
  <c r="L23" i="5"/>
  <c r="L66" i="5"/>
  <c r="L50" i="5"/>
  <c r="L34" i="5"/>
  <c r="L18" i="5"/>
  <c r="L82" i="5"/>
  <c r="P109" i="5"/>
  <c r="P102" i="5"/>
  <c r="L112" i="5" l="1"/>
  <c r="P112" i="5" s="1"/>
  <c r="L88" i="5"/>
  <c r="P88" i="5" s="1"/>
  <c r="L67" i="5"/>
  <c r="P67" i="5" s="1"/>
  <c r="P75" i="5" l="1"/>
  <c r="P114" i="5"/>
  <c r="P115" i="5"/>
  <c r="P137" i="5"/>
  <c r="P66" i="5"/>
  <c r="P127" i="5"/>
  <c r="H138" i="5"/>
  <c r="J138" i="5"/>
  <c r="P76" i="5"/>
  <c r="P72" i="5"/>
  <c r="D138" i="5"/>
  <c r="G138" i="5"/>
  <c r="F138" i="5"/>
  <c r="I138" i="5"/>
  <c r="E138" i="5"/>
  <c r="P53" i="5"/>
  <c r="P50" i="5"/>
  <c r="P46" i="5"/>
  <c r="P37" i="5"/>
  <c r="P33" i="5"/>
  <c r="P29" i="5"/>
  <c r="P27" i="5"/>
  <c r="P11" i="5"/>
  <c r="P79" i="5"/>
  <c r="P119" i="5"/>
  <c r="P81" i="5"/>
  <c r="P73" i="5"/>
  <c r="P74" i="5"/>
  <c r="P59" i="5"/>
  <c r="P35" i="5"/>
  <c r="P15" i="5"/>
  <c r="P43" i="5"/>
  <c r="P39" i="5"/>
  <c r="P23" i="5"/>
  <c r="P19" i="5"/>
  <c r="P133" i="5"/>
  <c r="P132" i="5"/>
  <c r="P128" i="5"/>
  <c r="P126" i="5"/>
  <c r="P120" i="5"/>
  <c r="P116" i="5"/>
  <c r="P135" i="5"/>
  <c r="P134" i="5"/>
  <c r="P131" i="5"/>
  <c r="P129" i="5"/>
  <c r="P121" i="5"/>
  <c r="P117" i="5"/>
  <c r="P99" i="5"/>
  <c r="P97" i="5"/>
  <c r="P94" i="5"/>
  <c r="P93" i="5"/>
  <c r="P96" i="5"/>
  <c r="P95" i="5"/>
  <c r="P84" i="5"/>
  <c r="P80" i="5"/>
  <c r="P83" i="5"/>
  <c r="P85" i="5"/>
  <c r="P86" i="5"/>
  <c r="P82" i="5"/>
  <c r="P71" i="5"/>
  <c r="P70" i="5"/>
  <c r="P56" i="5"/>
  <c r="P36" i="5"/>
  <c r="P32" i="5"/>
  <c r="P28" i="5"/>
  <c r="P24" i="5"/>
  <c r="P20" i="5"/>
  <c r="P16" i="5"/>
  <c r="P12" i="5"/>
  <c r="P8" i="5"/>
  <c r="P55" i="5"/>
  <c r="P31" i="5"/>
  <c r="P49" i="5"/>
  <c r="P21" i="5"/>
  <c r="P17" i="5"/>
  <c r="P13" i="5"/>
  <c r="P9" i="5"/>
  <c r="P54" i="5"/>
  <c r="P38" i="5"/>
  <c r="P34" i="5"/>
  <c r="P30" i="5"/>
  <c r="P22" i="5"/>
  <c r="P18" i="5"/>
  <c r="P14" i="5"/>
  <c r="P10" i="5"/>
  <c r="P63" i="5"/>
  <c r="P51" i="5"/>
  <c r="P47" i="5"/>
  <c r="P64" i="5"/>
  <c r="P60" i="5"/>
  <c r="P52" i="5"/>
  <c r="P48" i="5"/>
  <c r="P45" i="5"/>
  <c r="P41" i="5"/>
  <c r="P62" i="5"/>
  <c r="P58" i="5"/>
  <c r="P42" i="5"/>
  <c r="P25" i="5"/>
  <c r="P92" i="5"/>
  <c r="P118" i="5"/>
  <c r="P136" i="5"/>
  <c r="P130" i="5"/>
  <c r="P122" i="5"/>
  <c r="P65" i="5"/>
  <c r="P61" i="5"/>
  <c r="P57" i="5"/>
  <c r="P44" i="5"/>
  <c r="P90" i="5"/>
  <c r="P69" i="5"/>
  <c r="P7" i="5"/>
  <c r="P125" i="5"/>
  <c r="P124" i="5"/>
  <c r="P98" i="5"/>
  <c r="P91" i="5"/>
  <c r="P87" i="5"/>
  <c r="P123" i="5"/>
  <c r="P40" i="5"/>
  <c r="P26" i="5"/>
  <c r="M138" i="5"/>
  <c r="O138" i="5"/>
  <c r="L100" i="5" l="1"/>
  <c r="P100" i="5" s="1"/>
  <c r="L138" i="5"/>
  <c r="L100" i="4" l="1"/>
  <c r="L112" i="4" l="1"/>
  <c r="P138" i="5" l="1"/>
</calcChain>
</file>

<file path=xl/sharedStrings.xml><?xml version="1.0" encoding="utf-8"?>
<sst xmlns="http://schemas.openxmlformats.org/spreadsheetml/2006/main" count="604" uniqueCount="142">
  <si>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</si>
  <si>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</si>
  <si>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</si>
  <si>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</si>
  <si>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</si>
  <si>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</si>
  <si>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</si>
  <si>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</si>
  <si>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</si>
  <si>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</si>
  <si>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</si>
  <si>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</si>
  <si>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</si>
  <si>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</si>
  <si>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</si>
  <si>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</si>
  <si>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</si>
  <si>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</si>
  <si>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</si>
  <si>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</si>
  <si>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</si>
  <si>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</si>
  <si>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</si>
  <si>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</si>
  <si>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</si>
  <si>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</si>
  <si>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</si>
  <si>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</si>
  <si>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</si>
  <si>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</si>
  <si>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</si>
  <si>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</si>
  <si>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</si>
  <si>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</si>
  <si>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</si>
  <si>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</si>
  <si>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</si>
  <si>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</si>
  <si>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</si>
  <si>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</si>
  <si>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</si>
  <si>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</si>
  <si>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</si>
  <si>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</si>
  <si>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</si>
  <si>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</si>
  <si>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</si>
  <si>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</si>
  <si>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</si>
  <si>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</si>
  <si>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</si>
  <si>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</si>
  <si>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</si>
  <si>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</si>
  <si>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</si>
  <si>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</si>
  <si>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</si>
  <si>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</si>
  <si>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</si>
  <si>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</si>
  <si>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</si>
  <si>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</si>
  <si>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</si>
  <si>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</si>
  <si>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</si>
  <si>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</si>
  <si>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</si>
  <si>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</si>
  <si>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</si>
  <si>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</si>
  <si>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</si>
  <si>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</si>
  <si>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</si>
  <si>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</si>
  <si>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</si>
  <si>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</si>
  <si>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</si>
  <si>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</si>
  <si>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</si>
  <si>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</si>
  <si>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</si>
  <si>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</si>
  <si>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</si>
  <si>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</si>
  <si>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</si>
  <si>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</si>
  <si>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</si>
  <si>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</si>
  <si>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</si>
  <si>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</si>
  <si>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</si>
  <si>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</si>
  <si>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</si>
  <si>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</si>
  <si>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</si>
  <si>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</si>
  <si>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</si>
  <si>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</si>
  <si>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</si>
  <si>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</si>
  <si>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</si>
  <si>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</si>
  <si>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</si>
  <si>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</si>
  <si>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</si>
  <si>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</si>
  <si>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</si>
  <si>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</si>
  <si>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</si>
  <si>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</si>
  <si>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</si>
  <si>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</si>
  <si>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</si>
  <si>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</si>
  <si>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</si>
  <si>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</si>
  <si>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</si>
  <si>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</si>
  <si>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</si>
  <si>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</si>
  <si>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</si>
  <si>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</si>
  <si>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</si>
  <si>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</si>
  <si>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</si>
  <si>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</si>
  <si>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</si>
  <si>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</si>
  <si>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</si>
  <si>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</si>
  <si>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</si>
  <si>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</si>
  <si>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ติ๊กตอก 2</t>
  </si>
  <si>
    <t>กล่องเปล่าชิฟอน ล</t>
  </si>
  <si>
    <t>ชอยส์</t>
  </si>
  <si>
    <t>ติ๊กตอก2</t>
  </si>
  <si>
    <t>ค้างรับ</t>
  </si>
  <si>
    <t>ยอดเส้น</t>
  </si>
  <si>
    <t>ยอดจริง ออนไลน์ วันที่  - เย็น</t>
  </si>
  <si>
    <t>ยอดจริง ออนไลน์ วันที่ 8/12/2567 - เช้า</t>
  </si>
  <si>
    <t>ยอดจริง ออนไลน์ วันที่ 8/12/2567 รวม</t>
  </si>
  <si>
    <t>ยอดจริง ออนไลน์ วันที่ 8/12/2567 -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</si>
</sst>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1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18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187" fontId="10" fillId="0" borderId="0" xfId="0" applyNumberFormat="1" applyFont="1"/>
    <xf numFmtId="187" fontId="0" fillId="0" borderId="0" xfId="0" applyNumberFormat="1"/>
    <xf numFmtId="0" fontId="4" fillId="0" borderId="0" xfId="0" applyFont="1"/>
    <xf numFmtId="187" fontId="4" fillId="0" borderId="0" xfId="0" applyNumberFormat="1" applyFont="1"/>
    <xf numFmtId="187" fontId="3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58"/>
  <sheetViews>
    <sheetView zoomScale="60" zoomScaleNormal="60" workbookViewId="0">
      <selection activeCell="B1" sqref="B1:L1"/>
    </sheetView>
  </sheetViews>
  <sheetFormatPr defaultRowHeight="22.5" x14ac:dyDescent="0.2"/>
  <cols>
    <col min="2" max="2" width="22.125" style="24" customWidth="1"/>
    <col min="3" max="3" width="59.125" style="24" customWidth="1"/>
    <col min="4" max="8" width="14.375" style="16" customWidth="1"/>
    <col min="9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61" t="s">
        <v>138</v>
      </c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2:12" x14ac:dyDescent="0.2">
      <c r="B2" s="57"/>
      <c r="C2" s="58"/>
      <c r="D2" s="1"/>
      <c r="E2" s="59"/>
      <c r="F2" s="59"/>
      <c r="G2" s="2"/>
      <c r="H2" s="2"/>
      <c r="I2" s="2"/>
      <c r="J2" s="2"/>
      <c r="K2" s="2"/>
      <c r="L2" s="3" t="s">
        <v>0</v>
      </c>
    </row>
    <row r="3" spans="2:12" x14ac:dyDescent="0.2">
      <c r="B3" s="57"/>
      <c r="C3" s="58"/>
      <c r="D3" s="4"/>
      <c r="E3" s="60"/>
      <c r="F3" s="60"/>
      <c r="G3" s="5"/>
      <c r="H3" s="5"/>
      <c r="I3" s="5"/>
      <c r="J3" s="44"/>
      <c r="K3" s="44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132</v>
      </c>
      <c r="I4" s="9" t="s">
        <v>9</v>
      </c>
      <c r="J4" s="45" t="s">
        <v>134</v>
      </c>
      <c r="K4" s="45" t="s">
        <v>137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5"/>
      <c r="K5" s="45"/>
      <c r="L5" s="14"/>
    </row>
    <row r="6" spans="2:12" ht="19.5" x14ac:dyDescent="0.2">
      <c r="B6" s="54" t="s">
        <v>11</v>
      </c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6"/>
      <c r="K7" s="46"/>
      <c r="L7" s="37">
        <f>SUM(D7:K7)</f>
        <v>0</v>
      </c>
    </row>
    <row r="8" spans="2:12" hidden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6"/>
      <c r="K8" s="46"/>
      <c r="L8" s="37">
        <f t="shared" ref="L8:L66" si="0">SUM(D8:K8)</f>
        <v>0</v>
      </c>
    </row>
    <row r="9" spans="2:12" hidden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6"/>
      <c r="K9" s="46"/>
      <c r="L9" s="37">
        <f t="shared" si="0"/>
        <v>0</v>
      </c>
    </row>
    <row r="10" spans="2:12" hidden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6"/>
      <c r="K10" s="46"/>
      <c r="L10" s="37">
        <f t="shared" si="0"/>
        <v>0</v>
      </c>
    </row>
    <row r="11" spans="2:12" hidden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6"/>
      <c r="K11" s="46"/>
      <c r="L11" s="37">
        <f t="shared" si="0"/>
        <v>0</v>
      </c>
    </row>
    <row r="12" spans="2:12" hidden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6"/>
      <c r="K12" s="46"/>
      <c r="L12" s="37">
        <f t="shared" si="0"/>
        <v>0</v>
      </c>
    </row>
    <row r="13" spans="2:12" hidden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6"/>
      <c r="K13" s="46"/>
      <c r="L13" s="37">
        <f t="shared" si="0"/>
        <v>0</v>
      </c>
    </row>
    <row r="14" spans="2:12" hidden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6"/>
      <c r="K14" s="46"/>
      <c r="L14" s="37">
        <f t="shared" si="0"/>
        <v>0</v>
      </c>
    </row>
    <row r="15" spans="2:12" hidden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6"/>
      <c r="K15" s="46"/>
      <c r="L15" s="37">
        <f t="shared" si="0"/>
        <v>0</v>
      </c>
    </row>
    <row r="16" spans="2:12" hidden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6"/>
      <c r="K16" s="46"/>
      <c r="L16" s="37">
        <f t="shared" si="0"/>
        <v>0</v>
      </c>
    </row>
    <row r="17" spans="2:12" hidden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6"/>
      <c r="K17" s="46"/>
      <c r="L17" s="37">
        <f t="shared" si="0"/>
        <v>0</v>
      </c>
    </row>
    <row r="18" spans="2:12" hidden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6"/>
      <c r="K18" s="46"/>
      <c r="L18" s="37">
        <f t="shared" si="0"/>
        <v>0</v>
      </c>
    </row>
    <row r="19" spans="2:12" hidden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6"/>
      <c r="K19" s="46"/>
      <c r="L19" s="37">
        <f t="shared" si="0"/>
        <v>0</v>
      </c>
    </row>
    <row r="20" spans="2:12" hidden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6"/>
      <c r="K20" s="46"/>
      <c r="L20" s="37">
        <f t="shared" si="0"/>
        <v>0</v>
      </c>
    </row>
    <row r="21" spans="2:12" hidden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6"/>
      <c r="K21" s="46"/>
      <c r="L21" s="37">
        <f t="shared" si="0"/>
        <v>0</v>
      </c>
    </row>
    <row r="22" spans="2:12" hidden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6"/>
      <c r="K22" s="46"/>
      <c r="L22" s="37">
        <f t="shared" si="0"/>
        <v>0</v>
      </c>
    </row>
    <row r="23" spans="2:12" hidden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6"/>
      <c r="K23" s="46"/>
      <c r="L23" s="37">
        <f t="shared" si="0"/>
        <v>0</v>
      </c>
    </row>
    <row r="24" spans="2:12" hidden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6"/>
      <c r="K24" s="46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6"/>
      <c r="K25" s="46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6"/>
      <c r="K26" s="46"/>
      <c r="L26" s="37">
        <f t="shared" si="0"/>
        <v>0</v>
      </c>
    </row>
    <row r="27" spans="2:12" hidden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6"/>
      <c r="K27" s="46"/>
      <c r="L27" s="37">
        <f t="shared" si="0"/>
        <v>0</v>
      </c>
    </row>
    <row r="28" spans="2:12" hidden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6"/>
      <c r="K28" s="46"/>
      <c r="L28" s="37">
        <f t="shared" si="0"/>
        <v>0</v>
      </c>
    </row>
    <row r="29" spans="2:12" hidden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6"/>
      <c r="K29" s="46"/>
      <c r="L29" s="37">
        <f t="shared" si="0"/>
        <v>0</v>
      </c>
    </row>
    <row r="30" spans="2:12" hidden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6"/>
      <c r="K30" s="46"/>
      <c r="L30" s="37">
        <f t="shared" si="0"/>
        <v>0</v>
      </c>
    </row>
    <row r="31" spans="2:12" hidden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6"/>
      <c r="K31" s="46"/>
      <c r="L31" s="37">
        <f t="shared" si="0"/>
        <v>0</v>
      </c>
    </row>
    <row r="32" spans="2:12" hidden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6"/>
      <c r="K32" s="46"/>
      <c r="L32" s="37">
        <f t="shared" si="0"/>
        <v>0</v>
      </c>
    </row>
    <row r="33" spans="2:12" hidden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6"/>
      <c r="K33" s="46"/>
      <c r="L33" s="37">
        <f t="shared" si="0"/>
        <v>0</v>
      </c>
    </row>
    <row r="34" spans="2:12" hidden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6"/>
      <c r="K34" s="46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6"/>
      <c r="K35" s="46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6"/>
      <c r="K36" s="46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6"/>
      <c r="K37" s="46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6"/>
      <c r="K38" s="46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6"/>
      <c r="K39" s="46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6"/>
      <c r="K40" s="46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6"/>
      <c r="K41" s="46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6"/>
      <c r="K42" s="46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6"/>
      <c r="K43" s="46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6"/>
      <c r="K44" s="46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6"/>
      <c r="K45" s="46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6"/>
      <c r="K46" s="46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6"/>
      <c r="K47" s="46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6"/>
      <c r="K48" s="46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6"/>
      <c r="K49" s="46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6"/>
      <c r="K50" s="46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6"/>
      <c r="K51" s="46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6"/>
      <c r="K52" s="46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6"/>
      <c r="K53" s="46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6"/>
      <c r="K54" s="46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6"/>
      <c r="K55" s="46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6"/>
      <c r="K56" s="46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6"/>
      <c r="K57" s="46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6"/>
      <c r="K58" s="46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6"/>
      <c r="K59" s="46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6"/>
      <c r="K60" s="46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6"/>
      <c r="K61" s="46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6"/>
      <c r="K62" s="46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6"/>
      <c r="K63" s="46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6"/>
      <c r="K64" s="46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6"/>
      <c r="K65" s="46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6"/>
      <c r="K66" s="46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4" t="s">
        <v>55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6"/>
      <c r="K69" s="46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6"/>
      <c r="K70" s="46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6"/>
      <c r="K71" s="46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6"/>
      <c r="K72" s="46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6"/>
      <c r="K73" s="46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6"/>
      <c r="K74" s="46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6"/>
      <c r="K75" s="46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6"/>
      <c r="K76" s="46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4" t="s">
        <v>64</v>
      </c>
      <c r="C78" s="55"/>
      <c r="D78" s="55"/>
      <c r="E78" s="55"/>
      <c r="F78" s="55"/>
      <c r="G78" s="55"/>
      <c r="H78" s="55"/>
      <c r="I78" s="55"/>
      <c r="J78" s="55"/>
      <c r="K78" s="55"/>
      <c r="L78" s="55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6"/>
      <c r="K79" s="46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6"/>
      <c r="K80" s="46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6"/>
      <c r="K81" s="46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6"/>
      <c r="K82" s="46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6"/>
      <c r="K83" s="46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6"/>
      <c r="K84" s="46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6"/>
      <c r="K85" s="46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6"/>
      <c r="K86" s="46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6"/>
      <c r="K87" s="46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4" t="s">
        <v>74</v>
      </c>
      <c r="C89" s="55"/>
      <c r="D89" s="55"/>
      <c r="E89" s="55"/>
      <c r="F89" s="55"/>
      <c r="G89" s="55"/>
      <c r="H89" s="55"/>
      <c r="I89" s="55"/>
      <c r="J89" s="55"/>
      <c r="K89" s="55"/>
      <c r="L89" s="55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6"/>
      <c r="K90" s="46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6"/>
      <c r="K91" s="46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6"/>
      <c r="K92" s="46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6"/>
      <c r="K93" s="46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6"/>
      <c r="K94" s="46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6"/>
      <c r="K95" s="46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6"/>
      <c r="K96" s="46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6"/>
      <c r="K97" s="46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6"/>
      <c r="K98" s="46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6"/>
      <c r="K99" s="46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4" t="s">
        <v>85</v>
      </c>
      <c r="C101" s="55"/>
      <c r="D101" s="55"/>
      <c r="E101" s="55"/>
      <c r="F101" s="55"/>
      <c r="G101" s="55"/>
      <c r="H101" s="55"/>
      <c r="I101" s="55"/>
      <c r="J101" s="55"/>
      <c r="K101" s="55"/>
      <c r="L101" s="55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6"/>
      <c r="K102" s="46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6"/>
      <c r="K103" s="46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6"/>
      <c r="K104" s="46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6"/>
      <c r="K105" s="46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6"/>
      <c r="K106" s="46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6"/>
      <c r="K107" s="46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6"/>
      <c r="K108" s="46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6"/>
      <c r="K109" s="46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6"/>
      <c r="K110" s="46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6"/>
      <c r="K111" s="46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4" t="s">
        <v>86</v>
      </c>
      <c r="C113" s="55"/>
      <c r="D113" s="55"/>
      <c r="E113" s="55"/>
      <c r="F113" s="55"/>
      <c r="G113" s="55"/>
      <c r="H113" s="55"/>
      <c r="I113" s="55"/>
      <c r="J113" s="55"/>
      <c r="K113" s="55"/>
      <c r="L113" s="55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6"/>
      <c r="K114" s="46"/>
      <c r="L114" s="37">
        <f t="shared" ref="L114:L137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6"/>
      <c r="K115" s="46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6"/>
      <c r="K116" s="46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6"/>
      <c r="K117" s="46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6"/>
      <c r="K118" s="46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6"/>
      <c r="K119" s="46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6"/>
      <c r="K120" s="46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6"/>
      <c r="K121" s="46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6"/>
      <c r="K122" s="46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6"/>
      <c r="K123" s="46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6"/>
      <c r="K124" s="46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6"/>
      <c r="K125" s="46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6"/>
      <c r="K126" s="46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6"/>
      <c r="K127" s="46"/>
      <c r="L127" s="37">
        <f t="shared" si="6"/>
        <v>0</v>
      </c>
    </row>
    <row r="128" spans="2:12" x14ac:dyDescent="0.2">
      <c r="B128" s="11">
        <v>900003</v>
      </c>
      <c r="C128" s="22" t="s">
        <v>133</v>
      </c>
      <c r="D128" s="31"/>
      <c r="E128" s="31"/>
      <c r="F128" s="31"/>
      <c r="G128" s="31"/>
      <c r="H128" s="31"/>
      <c r="I128" s="31"/>
      <c r="J128" s="46"/>
      <c r="K128" s="46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6"/>
      <c r="K129" s="46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6"/>
      <c r="K130" s="46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6"/>
      <c r="K131" s="46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6"/>
      <c r="K132" s="46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6"/>
      <c r="K133" s="46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6"/>
      <c r="K134" s="46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6"/>
      <c r="K135" s="46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6"/>
      <c r="K136" s="46"/>
      <c r="L136" s="37">
        <f t="shared" si="6"/>
        <v>0</v>
      </c>
    </row>
    <row r="137" spans="2:12" x14ac:dyDescent="0.2">
      <c r="B137" s="23">
        <v>20052721</v>
      </c>
      <c r="C137" s="22" t="s">
        <v>131</v>
      </c>
      <c r="D137" s="31"/>
      <c r="E137" s="31"/>
      <c r="F137" s="31"/>
      <c r="G137" s="31"/>
      <c r="H137" s="31"/>
      <c r="I137" s="31"/>
      <c r="J137" s="46"/>
      <c r="K137" s="46"/>
      <c r="L137" s="37">
        <f t="shared" si="6"/>
        <v>0</v>
      </c>
    </row>
    <row r="138" spans="2:12" x14ac:dyDescent="0.2">
      <c r="C138" s="36"/>
      <c r="D138" s="38"/>
      <c r="E138" s="38"/>
      <c r="F138" s="38"/>
      <c r="G138" s="38"/>
      <c r="H138" s="38"/>
      <c r="I138" s="38"/>
      <c r="J138" s="38"/>
      <c r="K138" s="38"/>
      <c r="L138" s="39"/>
    </row>
    <row r="139" spans="2:12" x14ac:dyDescent="0.2">
      <c r="C139" s="25"/>
      <c r="D139" s="32"/>
      <c r="E139" s="56"/>
      <c r="F139" s="56"/>
      <c r="G139" s="27"/>
      <c r="L139" s="39"/>
    </row>
    <row r="140" spans="2:12" x14ac:dyDescent="0.2">
      <c r="B140" s="56" t="s">
        <v>104</v>
      </c>
      <c r="C140" s="56"/>
      <c r="D140" s="33"/>
      <c r="E140" s="53"/>
      <c r="F140" s="53"/>
      <c r="G140" s="28"/>
      <c r="H140" s="27"/>
      <c r="I140" s="56" t="s">
        <v>104</v>
      </c>
      <c r="J140" s="56"/>
      <c r="K140" s="56"/>
      <c r="L140" s="56"/>
    </row>
    <row r="141" spans="2:12" x14ac:dyDescent="0.2">
      <c r="B141" s="53" t="s">
        <v>105</v>
      </c>
      <c r="C141" s="53"/>
      <c r="D141" s="34"/>
      <c r="E141" s="34"/>
      <c r="F141" s="34"/>
      <c r="G141" s="34"/>
      <c r="H141" s="34"/>
      <c r="I141" s="53" t="s">
        <v>106</v>
      </c>
      <c r="J141" s="53"/>
      <c r="K141" s="53"/>
      <c r="L141" s="53"/>
    </row>
    <row r="142" spans="2:12" x14ac:dyDescent="0.2">
      <c r="B142" s="32"/>
      <c r="C142" s="32"/>
      <c r="D142" s="34"/>
      <c r="E142" s="34"/>
      <c r="F142" s="34"/>
      <c r="G142" s="34"/>
      <c r="H142" s="34"/>
      <c r="I142" s="32"/>
      <c r="J142" s="32"/>
      <c r="K142" s="32"/>
      <c r="L142" s="35"/>
    </row>
    <row r="143" spans="2:12" ht="14.25" x14ac:dyDescent="0.2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5"/>
    </row>
    <row r="144" spans="2:12" ht="14.25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x14ac:dyDescent="0.2">
      <c r="D148" s="32"/>
      <c r="E148" s="32"/>
      <c r="F148" s="32"/>
      <c r="G148" s="32"/>
      <c r="H148" s="32"/>
    </row>
    <row r="149" spans="2:12" x14ac:dyDescent="0.2">
      <c r="D149" s="32"/>
      <c r="E149" s="32"/>
      <c r="F149" s="32"/>
      <c r="G149" s="32"/>
      <c r="H149" s="32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</sheetData>
  <mergeCells count="15">
    <mergeCell ref="B78:L78"/>
    <mergeCell ref="B2:C3"/>
    <mergeCell ref="E2:F3"/>
    <mergeCell ref="B1:L1"/>
    <mergeCell ref="B6:L6"/>
    <mergeCell ref="B68:L68"/>
    <mergeCell ref="E140:F140"/>
    <mergeCell ref="B141:C141"/>
    <mergeCell ref="B89:L89"/>
    <mergeCell ref="B101:L101"/>
    <mergeCell ref="B113:L113"/>
    <mergeCell ref="E139:F139"/>
    <mergeCell ref="B140:C140"/>
    <mergeCell ref="I140:L140"/>
    <mergeCell ref="I141:L1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58"/>
  <sheetViews>
    <sheetView topLeftCell="A91" zoomScale="60" zoomScaleNormal="60" workbookViewId="0">
      <selection activeCell="B1" sqref="B1:L137"/>
    </sheetView>
  </sheetViews>
  <sheetFormatPr defaultRowHeight="22.5" x14ac:dyDescent="0.2"/>
  <cols>
    <col min="2" max="2" width="22.125" style="24" customWidth="1"/>
    <col min="3" max="3" width="59.125" style="24" customWidth="1"/>
    <col min="4" max="4" width="14.375" style="16" hidden="1" customWidth="1"/>
    <col min="5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61" t="s">
        <v>139</v>
      </c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2:12" x14ac:dyDescent="0.2">
      <c r="B2" s="57"/>
      <c r="C2" s="58"/>
      <c r="D2" s="1"/>
      <c r="E2" s="59"/>
      <c r="F2" s="59"/>
      <c r="G2" s="2"/>
      <c r="H2" s="2"/>
      <c r="I2" s="2"/>
      <c r="J2" s="2"/>
      <c r="K2" s="2"/>
      <c r="L2" s="3" t="s">
        <v>0</v>
      </c>
    </row>
    <row r="3" spans="2:12" x14ac:dyDescent="0.2">
      <c r="B3" s="57"/>
      <c r="C3" s="58"/>
      <c r="D3" s="4"/>
      <c r="E3" s="60"/>
      <c r="F3" s="60"/>
      <c r="G3" s="5"/>
      <c r="H3" s="5"/>
      <c r="I3" s="5"/>
      <c r="J3" s="44"/>
      <c r="K3" s="44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132</v>
      </c>
      <c r="I4" s="9" t="s">
        <v>9</v>
      </c>
      <c r="J4" s="45" t="s">
        <v>134</v>
      </c>
      <c r="K4" s="45" t="s">
        <v>137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5"/>
      <c r="K5" s="45"/>
      <c r="L5" s="14"/>
    </row>
    <row r="6" spans="2:12" ht="19.5" x14ac:dyDescent="0.2">
      <c r="B6" s="54" t="s">
        <v>11</v>
      </c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2:12" x14ac:dyDescent="0.2">
      <c r="B7" s="11">
        <v>1111002</v>
      </c>
      <c r="C7" s="15" t="s">
        <v>107</v>
      </c>
      <c r="D7" s="31"/>
      <c r="E7" s="31">
        <v>28</v>
      </c>
      <c r="F7" s="31">
        <v>14</v>
      </c>
      <c r="G7" s="31">
        <v>1</v>
      </c>
      <c r="H7" s="31"/>
      <c r="I7" s="31"/>
      <c r="J7" s="46"/>
      <c r="K7" s="46">
        <v>100</v>
      </c>
      <c r="L7" s="37">
        <f>SUM(D7:K7)</f>
        <v>143</v>
      </c>
    </row>
    <row r="8" spans="2:12" hidden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6"/>
      <c r="K8" s="46"/>
      <c r="L8" s="37">
        <f t="shared" ref="L8:L66" si="0">SUM(D8:K8)</f>
        <v>0</v>
      </c>
    </row>
    <row r="9" spans="2:12" hidden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6"/>
      <c r="K9" s="46"/>
      <c r="L9" s="37">
        <f t="shared" si="0"/>
        <v>0</v>
      </c>
    </row>
    <row r="10" spans="2:12" hidden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6"/>
      <c r="K10" s="46"/>
      <c r="L10" s="37">
        <f t="shared" si="0"/>
        <v>0</v>
      </c>
    </row>
    <row r="11" spans="2:12" hidden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6"/>
      <c r="K11" s="46"/>
      <c r="L11" s="37">
        <f t="shared" si="0"/>
        <v>0</v>
      </c>
    </row>
    <row r="12" spans="2:12" hidden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6"/>
      <c r="K12" s="46"/>
      <c r="L12" s="37">
        <f t="shared" si="0"/>
        <v>0</v>
      </c>
    </row>
    <row r="13" spans="2:12" hidden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6"/>
      <c r="K13" s="46"/>
      <c r="L13" s="37">
        <f t="shared" si="0"/>
        <v>0</v>
      </c>
    </row>
    <row r="14" spans="2:12" hidden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6"/>
      <c r="K14" s="46"/>
      <c r="L14" s="37">
        <f t="shared" si="0"/>
        <v>0</v>
      </c>
    </row>
    <row r="15" spans="2:12" hidden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6"/>
      <c r="K15" s="46"/>
      <c r="L15" s="37">
        <f t="shared" si="0"/>
        <v>0</v>
      </c>
    </row>
    <row r="16" spans="2:12" hidden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6"/>
      <c r="K16" s="46"/>
      <c r="L16" s="37">
        <f t="shared" si="0"/>
        <v>0</v>
      </c>
    </row>
    <row r="17" spans="2:12" hidden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6"/>
      <c r="K17" s="46"/>
      <c r="L17" s="37">
        <f t="shared" si="0"/>
        <v>0</v>
      </c>
    </row>
    <row r="18" spans="2:12" hidden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6"/>
      <c r="K18" s="46"/>
      <c r="L18" s="37">
        <f t="shared" si="0"/>
        <v>0</v>
      </c>
    </row>
    <row r="19" spans="2:12" hidden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6"/>
      <c r="K19" s="46"/>
      <c r="L19" s="37">
        <f t="shared" si="0"/>
        <v>0</v>
      </c>
    </row>
    <row r="20" spans="2:12" hidden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6"/>
      <c r="K20" s="46"/>
      <c r="L20" s="37">
        <f t="shared" si="0"/>
        <v>0</v>
      </c>
    </row>
    <row r="21" spans="2:12" hidden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6"/>
      <c r="K21" s="46"/>
      <c r="L21" s="37">
        <f t="shared" si="0"/>
        <v>0</v>
      </c>
    </row>
    <row r="22" spans="2:12" hidden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6"/>
      <c r="K22" s="46"/>
      <c r="L22" s="37">
        <f t="shared" si="0"/>
        <v>0</v>
      </c>
    </row>
    <row r="23" spans="2:12" hidden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6"/>
      <c r="K23" s="46"/>
      <c r="L23" s="37">
        <f t="shared" si="0"/>
        <v>0</v>
      </c>
    </row>
    <row r="24" spans="2:12" hidden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6"/>
      <c r="K24" s="46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6</v>
      </c>
      <c r="F25" s="31">
        <v>3</v>
      </c>
      <c r="G25" s="31">
        <v>8</v>
      </c>
      <c r="H25" s="31"/>
      <c r="I25" s="31"/>
      <c r="J25" s="46"/>
      <c r="K25" s="46"/>
      <c r="L25" s="37">
        <f t="shared" si="0"/>
        <v>17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>
        <v>73</v>
      </c>
      <c r="H26" s="31"/>
      <c r="I26" s="31"/>
      <c r="J26" s="46"/>
      <c r="K26" s="46"/>
      <c r="L26" s="37">
        <f t="shared" si="0"/>
        <v>73</v>
      </c>
    </row>
    <row r="27" spans="2:12" hidden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6"/>
      <c r="K27" s="46"/>
      <c r="L27" s="37">
        <f t="shared" si="0"/>
        <v>0</v>
      </c>
    </row>
    <row r="28" spans="2:12" hidden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6"/>
      <c r="K28" s="46"/>
      <c r="L28" s="37">
        <f t="shared" si="0"/>
        <v>0</v>
      </c>
    </row>
    <row r="29" spans="2:12" hidden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6"/>
      <c r="K29" s="46"/>
      <c r="L29" s="37">
        <f t="shared" si="0"/>
        <v>0</v>
      </c>
    </row>
    <row r="30" spans="2:12" hidden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6"/>
      <c r="K30" s="46"/>
      <c r="L30" s="37">
        <f t="shared" si="0"/>
        <v>0</v>
      </c>
    </row>
    <row r="31" spans="2:12" hidden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6"/>
      <c r="K31" s="46"/>
      <c r="L31" s="37">
        <f t="shared" si="0"/>
        <v>0</v>
      </c>
    </row>
    <row r="32" spans="2:12" hidden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6"/>
      <c r="K32" s="46"/>
      <c r="L32" s="37">
        <f t="shared" si="0"/>
        <v>0</v>
      </c>
    </row>
    <row r="33" spans="2:12" hidden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6"/>
      <c r="K33" s="46"/>
      <c r="L33" s="37">
        <f t="shared" si="0"/>
        <v>0</v>
      </c>
    </row>
    <row r="34" spans="2:12" hidden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6"/>
      <c r="K34" s="46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6"/>
      <c r="K35" s="46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6"/>
      <c r="K36" s="46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6"/>
      <c r="K37" s="46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6"/>
      <c r="K38" s="46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6"/>
      <c r="K39" s="46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>
        <v>1</v>
      </c>
      <c r="H40" s="31"/>
      <c r="I40" s="31"/>
      <c r="J40" s="46"/>
      <c r="K40" s="46"/>
      <c r="L40" s="37">
        <f t="shared" si="0"/>
        <v>1</v>
      </c>
    </row>
    <row r="41" spans="2:12" hidden="1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6"/>
      <c r="K41" s="46"/>
      <c r="L41" s="37">
        <f t="shared" si="0"/>
        <v>0</v>
      </c>
    </row>
    <row r="42" spans="2:12" hidden="1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6"/>
      <c r="K42" s="46"/>
      <c r="L42" s="37">
        <f t="shared" si="0"/>
        <v>0</v>
      </c>
    </row>
    <row r="43" spans="2:12" hidden="1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6"/>
      <c r="K43" s="46"/>
      <c r="L43" s="37">
        <f t="shared" si="0"/>
        <v>0</v>
      </c>
    </row>
    <row r="44" spans="2:12" hidden="1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6"/>
      <c r="K44" s="46"/>
      <c r="L44" s="37">
        <f t="shared" si="0"/>
        <v>0</v>
      </c>
    </row>
    <row r="45" spans="2:12" hidden="1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6"/>
      <c r="K45" s="46"/>
      <c r="L45" s="37">
        <f t="shared" si="0"/>
        <v>0</v>
      </c>
    </row>
    <row r="46" spans="2:12" hidden="1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6"/>
      <c r="K46" s="46"/>
      <c r="L46" s="37">
        <f t="shared" si="0"/>
        <v>0</v>
      </c>
    </row>
    <row r="47" spans="2:12" hidden="1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6"/>
      <c r="K47" s="46"/>
      <c r="L47" s="37">
        <f t="shared" si="0"/>
        <v>0</v>
      </c>
    </row>
    <row r="48" spans="2:12" hidden="1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6"/>
      <c r="K48" s="46"/>
      <c r="L48" s="37">
        <f t="shared" si="0"/>
        <v>0</v>
      </c>
    </row>
    <row r="49" spans="2:12" hidden="1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6"/>
      <c r="K49" s="46"/>
      <c r="L49" s="37">
        <f t="shared" si="0"/>
        <v>0</v>
      </c>
    </row>
    <row r="50" spans="2:12" hidden="1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6"/>
      <c r="K50" s="46"/>
      <c r="L50" s="37">
        <f t="shared" si="0"/>
        <v>0</v>
      </c>
    </row>
    <row r="51" spans="2:12" hidden="1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6"/>
      <c r="K51" s="46"/>
      <c r="L51" s="37">
        <f t="shared" si="0"/>
        <v>0</v>
      </c>
    </row>
    <row r="52" spans="2:12" hidden="1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6"/>
      <c r="K52" s="46"/>
      <c r="L52" s="37">
        <f t="shared" si="0"/>
        <v>0</v>
      </c>
    </row>
    <row r="53" spans="2:12" hidden="1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6"/>
      <c r="K53" s="46"/>
      <c r="L53" s="37">
        <f t="shared" si="0"/>
        <v>0</v>
      </c>
    </row>
    <row r="54" spans="2:12" hidden="1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6"/>
      <c r="K54" s="46"/>
      <c r="L54" s="37">
        <f t="shared" si="0"/>
        <v>0</v>
      </c>
    </row>
    <row r="55" spans="2:12" hidden="1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6"/>
      <c r="K55" s="46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>
        <v>1</v>
      </c>
      <c r="G56" s="31">
        <v>4</v>
      </c>
      <c r="H56" s="31"/>
      <c r="I56" s="31"/>
      <c r="J56" s="46"/>
      <c r="K56" s="46"/>
      <c r="L56" s="37">
        <f t="shared" si="0"/>
        <v>5</v>
      </c>
    </row>
    <row r="57" spans="2:12" x14ac:dyDescent="0.2">
      <c r="B57" s="11">
        <v>1111075</v>
      </c>
      <c r="C57" s="15" t="s">
        <v>45</v>
      </c>
      <c r="D57" s="31"/>
      <c r="E57" s="31"/>
      <c r="F57" s="31">
        <v>1</v>
      </c>
      <c r="G57" s="31">
        <v>4</v>
      </c>
      <c r="H57" s="31"/>
      <c r="I57" s="31"/>
      <c r="J57" s="46"/>
      <c r="K57" s="46"/>
      <c r="L57" s="37">
        <f t="shared" si="0"/>
        <v>5</v>
      </c>
    </row>
    <row r="58" spans="2:12" x14ac:dyDescent="0.2">
      <c r="B58" s="11">
        <v>1111076</v>
      </c>
      <c r="C58" s="15" t="s">
        <v>46</v>
      </c>
      <c r="D58" s="31"/>
      <c r="E58" s="31"/>
      <c r="F58" s="31">
        <v>1</v>
      </c>
      <c r="G58" s="31">
        <v>4</v>
      </c>
      <c r="H58" s="31"/>
      <c r="I58" s="31"/>
      <c r="J58" s="46"/>
      <c r="K58" s="46"/>
      <c r="L58" s="37">
        <f t="shared" si="0"/>
        <v>5</v>
      </c>
    </row>
    <row r="59" spans="2:12" x14ac:dyDescent="0.2">
      <c r="B59" s="11">
        <v>1111077</v>
      </c>
      <c r="C59" s="15" t="s">
        <v>47</v>
      </c>
      <c r="D59" s="31"/>
      <c r="E59" s="31"/>
      <c r="F59" s="31">
        <v>1</v>
      </c>
      <c r="G59" s="31">
        <v>4</v>
      </c>
      <c r="H59" s="31"/>
      <c r="I59" s="31"/>
      <c r="J59" s="46"/>
      <c r="K59" s="46"/>
      <c r="L59" s="37">
        <f t="shared" si="0"/>
        <v>5</v>
      </c>
    </row>
    <row r="60" spans="2:12" x14ac:dyDescent="0.2">
      <c r="B60" s="11">
        <v>1111078</v>
      </c>
      <c r="C60" s="15" t="s">
        <v>48</v>
      </c>
      <c r="D60" s="31"/>
      <c r="E60" s="31"/>
      <c r="F60" s="31">
        <v>1</v>
      </c>
      <c r="G60" s="31">
        <v>4</v>
      </c>
      <c r="H60" s="31"/>
      <c r="I60" s="31"/>
      <c r="J60" s="46"/>
      <c r="K60" s="46"/>
      <c r="L60" s="37">
        <f t="shared" si="0"/>
        <v>5</v>
      </c>
    </row>
    <row r="61" spans="2:12" x14ac:dyDescent="0.2">
      <c r="B61" s="11">
        <v>1111079</v>
      </c>
      <c r="C61" s="15" t="s">
        <v>49</v>
      </c>
      <c r="D61" s="31"/>
      <c r="E61" s="31"/>
      <c r="F61" s="31">
        <v>1</v>
      </c>
      <c r="G61" s="31">
        <v>3</v>
      </c>
      <c r="H61" s="31"/>
      <c r="I61" s="31"/>
      <c r="J61" s="46"/>
      <c r="K61" s="46"/>
      <c r="L61" s="37">
        <f t="shared" si="0"/>
        <v>4</v>
      </c>
    </row>
    <row r="62" spans="2:12" x14ac:dyDescent="0.2">
      <c r="B62" s="11">
        <v>1111080</v>
      </c>
      <c r="C62" s="15" t="s">
        <v>50</v>
      </c>
      <c r="D62" s="31"/>
      <c r="E62" s="31"/>
      <c r="F62" s="31">
        <v>1</v>
      </c>
      <c r="G62" s="31">
        <v>3</v>
      </c>
      <c r="H62" s="31"/>
      <c r="I62" s="31"/>
      <c r="J62" s="46"/>
      <c r="K62" s="46"/>
      <c r="L62" s="37">
        <f t="shared" si="0"/>
        <v>4</v>
      </c>
    </row>
    <row r="63" spans="2:12" x14ac:dyDescent="0.2">
      <c r="B63" s="11">
        <v>1111081</v>
      </c>
      <c r="C63" s="15" t="s">
        <v>51</v>
      </c>
      <c r="D63" s="31"/>
      <c r="E63" s="31"/>
      <c r="F63" s="31">
        <v>1</v>
      </c>
      <c r="G63" s="31">
        <v>3</v>
      </c>
      <c r="H63" s="31"/>
      <c r="I63" s="31"/>
      <c r="J63" s="46"/>
      <c r="K63" s="46"/>
      <c r="L63" s="37">
        <f t="shared" si="0"/>
        <v>4</v>
      </c>
    </row>
    <row r="64" spans="2:12" x14ac:dyDescent="0.2">
      <c r="B64" s="11">
        <v>1111082</v>
      </c>
      <c r="C64" s="15" t="s">
        <v>52</v>
      </c>
      <c r="D64" s="31"/>
      <c r="E64" s="31"/>
      <c r="F64" s="31">
        <v>1</v>
      </c>
      <c r="G64" s="31">
        <v>3</v>
      </c>
      <c r="H64" s="31"/>
      <c r="I64" s="31"/>
      <c r="J64" s="46"/>
      <c r="K64" s="46"/>
      <c r="L64" s="37">
        <f t="shared" si="0"/>
        <v>4</v>
      </c>
    </row>
    <row r="65" spans="2:12" x14ac:dyDescent="0.2">
      <c r="B65" s="11">
        <v>1111083</v>
      </c>
      <c r="C65" s="15" t="s">
        <v>53</v>
      </c>
      <c r="D65" s="31"/>
      <c r="E65" s="31"/>
      <c r="F65" s="31">
        <v>1</v>
      </c>
      <c r="G65" s="31">
        <v>3</v>
      </c>
      <c r="H65" s="31"/>
      <c r="I65" s="31"/>
      <c r="J65" s="46"/>
      <c r="K65" s="46"/>
      <c r="L65" s="37">
        <f t="shared" si="0"/>
        <v>4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6"/>
      <c r="K66" s="46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4" t="s">
        <v>55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</row>
    <row r="69" spans="2:12" x14ac:dyDescent="0.2">
      <c r="B69" s="11">
        <v>1111009</v>
      </c>
      <c r="C69" s="20" t="s">
        <v>56</v>
      </c>
      <c r="D69" s="31"/>
      <c r="E69" s="31">
        <v>4</v>
      </c>
      <c r="F69" s="31">
        <v>3</v>
      </c>
      <c r="G69" s="31">
        <v>2</v>
      </c>
      <c r="H69" s="31"/>
      <c r="I69" s="31"/>
      <c r="J69" s="46"/>
      <c r="K69" s="46">
        <v>100</v>
      </c>
      <c r="L69" s="37">
        <f t="shared" ref="L69:L76" si="1">SUM(D69:K69)</f>
        <v>109</v>
      </c>
    </row>
    <row r="70" spans="2:12" hidden="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6"/>
      <c r="K70" s="46"/>
      <c r="L70" s="37">
        <f t="shared" si="1"/>
        <v>0</v>
      </c>
    </row>
    <row r="71" spans="2:12" hidden="1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6"/>
      <c r="K71" s="46"/>
      <c r="L71" s="37">
        <f t="shared" si="1"/>
        <v>0</v>
      </c>
    </row>
    <row r="72" spans="2:12" hidden="1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6"/>
      <c r="K72" s="46"/>
      <c r="L72" s="37">
        <f t="shared" si="1"/>
        <v>0</v>
      </c>
    </row>
    <row r="73" spans="2:12" hidden="1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6"/>
      <c r="K73" s="46"/>
      <c r="L73" s="37">
        <f t="shared" si="1"/>
        <v>0</v>
      </c>
    </row>
    <row r="74" spans="2:12" hidden="1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6"/>
      <c r="K74" s="46"/>
      <c r="L74" s="37">
        <f t="shared" si="1"/>
        <v>0</v>
      </c>
    </row>
    <row r="75" spans="2:12" hidden="1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6"/>
      <c r="K75" s="46"/>
      <c r="L75" s="37">
        <f t="shared" si="1"/>
        <v>0</v>
      </c>
    </row>
    <row r="76" spans="2:12" hidden="1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6"/>
      <c r="K76" s="46"/>
      <c r="L76" s="37">
        <f t="shared" si="1"/>
        <v>0</v>
      </c>
    </row>
    <row r="77" spans="2:12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4" t="s">
        <v>64</v>
      </c>
      <c r="C78" s="55"/>
      <c r="D78" s="55"/>
      <c r="E78" s="55"/>
      <c r="F78" s="55"/>
      <c r="G78" s="55"/>
      <c r="H78" s="55"/>
      <c r="I78" s="55"/>
      <c r="J78" s="55"/>
      <c r="K78" s="55"/>
      <c r="L78" s="55"/>
    </row>
    <row r="79" spans="2:12" hidden="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6"/>
      <c r="K79" s="46"/>
      <c r="L79" s="37">
        <f t="shared" ref="L79:L87" si="2">SUM(D79:K79)</f>
        <v>0</v>
      </c>
    </row>
    <row r="80" spans="2:12" hidden="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6"/>
      <c r="K80" s="46"/>
      <c r="L80" s="37">
        <f t="shared" si="2"/>
        <v>0</v>
      </c>
    </row>
    <row r="81" spans="2:12" hidden="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6"/>
      <c r="K81" s="46"/>
      <c r="L81" s="37">
        <f t="shared" si="2"/>
        <v>0</v>
      </c>
    </row>
    <row r="82" spans="2:12" hidden="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6"/>
      <c r="K82" s="46"/>
      <c r="L82" s="37">
        <f t="shared" si="2"/>
        <v>0</v>
      </c>
    </row>
    <row r="83" spans="2:12" hidden="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6"/>
      <c r="K83" s="46"/>
      <c r="L83" s="37">
        <f t="shared" si="2"/>
        <v>0</v>
      </c>
    </row>
    <row r="84" spans="2:12" hidden="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6"/>
      <c r="K84" s="46"/>
      <c r="L84" s="37">
        <f t="shared" si="2"/>
        <v>0</v>
      </c>
    </row>
    <row r="85" spans="2:12" hidden="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6"/>
      <c r="K85" s="46"/>
      <c r="L85" s="37">
        <f t="shared" si="2"/>
        <v>0</v>
      </c>
    </row>
    <row r="86" spans="2:12" hidden="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6"/>
      <c r="K86" s="46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71</v>
      </c>
      <c r="H87" s="31"/>
      <c r="I87" s="31"/>
      <c r="J87" s="46"/>
      <c r="K87" s="46"/>
      <c r="L87" s="37">
        <f t="shared" si="2"/>
        <v>71</v>
      </c>
    </row>
    <row r="88" spans="2:12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4" t="s">
        <v>74</v>
      </c>
      <c r="C89" s="55"/>
      <c r="D89" s="55"/>
      <c r="E89" s="55"/>
      <c r="F89" s="55"/>
      <c r="G89" s="55"/>
      <c r="H89" s="55"/>
      <c r="I89" s="55"/>
      <c r="J89" s="55"/>
      <c r="K89" s="55"/>
      <c r="L89" s="55"/>
    </row>
    <row r="90" spans="2:12" x14ac:dyDescent="0.2">
      <c r="B90" s="11">
        <v>1112009</v>
      </c>
      <c r="C90" s="20" t="s">
        <v>75</v>
      </c>
      <c r="D90" s="31"/>
      <c r="E90" s="31">
        <v>8</v>
      </c>
      <c r="F90" s="31">
        <v>2</v>
      </c>
      <c r="G90" s="31">
        <v>31</v>
      </c>
      <c r="H90" s="31"/>
      <c r="I90" s="31"/>
      <c r="J90" s="46"/>
      <c r="K90" s="46">
        <v>7</v>
      </c>
      <c r="L90" s="37">
        <f t="shared" ref="L90:L99" si="3">SUM(D90:K90)</f>
        <v>48</v>
      </c>
    </row>
    <row r="91" spans="2:12" x14ac:dyDescent="0.2">
      <c r="B91" s="11">
        <v>1112011</v>
      </c>
      <c r="C91" s="20" t="s">
        <v>76</v>
      </c>
      <c r="D91" s="31"/>
      <c r="E91" s="31">
        <v>10</v>
      </c>
      <c r="F91" s="31">
        <v>2</v>
      </c>
      <c r="G91" s="31">
        <v>31</v>
      </c>
      <c r="H91" s="31"/>
      <c r="I91" s="31"/>
      <c r="J91" s="46"/>
      <c r="K91" s="46">
        <v>7</v>
      </c>
      <c r="L91" s="37">
        <f t="shared" si="3"/>
        <v>50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22</v>
      </c>
      <c r="H92" s="31"/>
      <c r="I92" s="31"/>
      <c r="J92" s="46"/>
      <c r="K92" s="46">
        <v>8</v>
      </c>
      <c r="L92" s="37">
        <f t="shared" si="3"/>
        <v>30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6"/>
      <c r="K93" s="46">
        <v>7</v>
      </c>
      <c r="L93" s="37">
        <f t="shared" si="3"/>
        <v>7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6"/>
      <c r="K94" s="46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6"/>
      <c r="K95" s="46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>
        <v>21</v>
      </c>
      <c r="H96" s="31"/>
      <c r="I96" s="31"/>
      <c r="J96" s="46"/>
      <c r="K96" s="46">
        <v>7</v>
      </c>
      <c r="L96" s="37">
        <f t="shared" si="3"/>
        <v>28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21</v>
      </c>
      <c r="H97" s="31"/>
      <c r="I97" s="31"/>
      <c r="J97" s="46"/>
      <c r="K97" s="46">
        <v>7</v>
      </c>
      <c r="L97" s="37">
        <f t="shared" si="3"/>
        <v>28</v>
      </c>
    </row>
    <row r="98" spans="2:12" x14ac:dyDescent="0.2">
      <c r="B98" s="11">
        <v>1112013</v>
      </c>
      <c r="C98" s="20" t="s">
        <v>83</v>
      </c>
      <c r="D98" s="31"/>
      <c r="E98" s="31">
        <v>8</v>
      </c>
      <c r="F98" s="31">
        <v>2</v>
      </c>
      <c r="G98" s="31">
        <v>31</v>
      </c>
      <c r="H98" s="31"/>
      <c r="I98" s="31"/>
      <c r="J98" s="46"/>
      <c r="K98" s="46">
        <v>7</v>
      </c>
      <c r="L98" s="37">
        <f t="shared" si="3"/>
        <v>48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6"/>
      <c r="K99" s="46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hidden="1" x14ac:dyDescent="0.2">
      <c r="B101" s="54" t="s">
        <v>85</v>
      </c>
      <c r="C101" s="55"/>
      <c r="D101" s="55"/>
      <c r="E101" s="55"/>
      <c r="F101" s="55"/>
      <c r="G101" s="55"/>
      <c r="H101" s="55"/>
      <c r="I101" s="55"/>
      <c r="J101" s="55"/>
      <c r="K101" s="55"/>
      <c r="L101" s="55"/>
    </row>
    <row r="102" spans="2:12" hidden="1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6"/>
      <c r="K102" s="46"/>
      <c r="L102" s="37">
        <f t="shared" ref="L102:L111" si="5">SUM(D102:K102)</f>
        <v>0</v>
      </c>
    </row>
    <row r="103" spans="2:12" hidden="1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6"/>
      <c r="K103" s="46"/>
      <c r="L103" s="37">
        <f t="shared" si="5"/>
        <v>0</v>
      </c>
    </row>
    <row r="104" spans="2:12" hidden="1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6"/>
      <c r="K104" s="46"/>
      <c r="L104" s="37">
        <f t="shared" si="5"/>
        <v>0</v>
      </c>
    </row>
    <row r="105" spans="2:12" hidden="1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6"/>
      <c r="K105" s="46"/>
      <c r="L105" s="37">
        <f t="shared" si="5"/>
        <v>0</v>
      </c>
    </row>
    <row r="106" spans="2:12" hidden="1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6"/>
      <c r="K106" s="46"/>
      <c r="L106" s="37">
        <f t="shared" si="5"/>
        <v>0</v>
      </c>
    </row>
    <row r="107" spans="2:12" hidden="1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6"/>
      <c r="K107" s="46"/>
      <c r="L107" s="37">
        <f t="shared" si="5"/>
        <v>0</v>
      </c>
    </row>
    <row r="108" spans="2:12" hidden="1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6"/>
      <c r="K108" s="46"/>
      <c r="L108" s="37">
        <f t="shared" si="5"/>
        <v>0</v>
      </c>
    </row>
    <row r="109" spans="2:12" hidden="1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6"/>
      <c r="K109" s="46"/>
      <c r="L109" s="37">
        <f t="shared" si="5"/>
        <v>0</v>
      </c>
    </row>
    <row r="110" spans="2:12" hidden="1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6"/>
      <c r="K110" s="46"/>
      <c r="L110" s="37">
        <f t="shared" si="5"/>
        <v>0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6"/>
      <c r="K111" s="46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4" t="s">
        <v>86</v>
      </c>
      <c r="C113" s="55"/>
      <c r="D113" s="55"/>
      <c r="E113" s="55"/>
      <c r="F113" s="55"/>
      <c r="G113" s="55"/>
      <c r="H113" s="55"/>
      <c r="I113" s="55"/>
      <c r="J113" s="55"/>
      <c r="K113" s="55"/>
      <c r="L113" s="55"/>
    </row>
    <row r="114" spans="2:12" hidden="1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6"/>
      <c r="K114" s="46"/>
      <c r="L114" s="37">
        <f t="shared" ref="L114:L137" si="6">SUM(D114:K114)</f>
        <v>0</v>
      </c>
    </row>
    <row r="115" spans="2:12" hidden="1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6"/>
      <c r="K115" s="46"/>
      <c r="L115" s="37">
        <f t="shared" si="6"/>
        <v>0</v>
      </c>
    </row>
    <row r="116" spans="2:12" hidden="1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6"/>
      <c r="K116" s="46"/>
      <c r="L116" s="37">
        <f t="shared" si="6"/>
        <v>0</v>
      </c>
    </row>
    <row r="117" spans="2:12" hidden="1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6"/>
      <c r="K117" s="46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>
        <v>1</v>
      </c>
      <c r="F118" s="31"/>
      <c r="G118" s="31"/>
      <c r="H118" s="31"/>
      <c r="I118" s="31"/>
      <c r="J118" s="46"/>
      <c r="K118" s="46"/>
      <c r="L118" s="37">
        <f t="shared" si="6"/>
        <v>1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6"/>
      <c r="K119" s="46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>
        <v>2</v>
      </c>
      <c r="F120" s="31"/>
      <c r="G120" s="31"/>
      <c r="H120" s="31"/>
      <c r="I120" s="31"/>
      <c r="J120" s="46"/>
      <c r="K120" s="46"/>
      <c r="L120" s="37">
        <f t="shared" si="6"/>
        <v>2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6"/>
      <c r="K121" s="46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>
        <v>3</v>
      </c>
      <c r="H122" s="31"/>
      <c r="I122" s="31"/>
      <c r="J122" s="46"/>
      <c r="K122" s="46"/>
      <c r="L122" s="37">
        <f t="shared" si="6"/>
        <v>3</v>
      </c>
    </row>
    <row r="123" spans="2:12" x14ac:dyDescent="0.2">
      <c r="B123" s="11">
        <v>1114501</v>
      </c>
      <c r="C123" s="22" t="s">
        <v>95</v>
      </c>
      <c r="D123" s="31"/>
      <c r="E123" s="31">
        <v>12</v>
      </c>
      <c r="F123" s="31">
        <v>6</v>
      </c>
      <c r="G123" s="31">
        <v>78</v>
      </c>
      <c r="H123" s="31"/>
      <c r="I123" s="31"/>
      <c r="J123" s="46"/>
      <c r="K123" s="46"/>
      <c r="L123" s="37">
        <f t="shared" si="6"/>
        <v>96</v>
      </c>
    </row>
    <row r="124" spans="2:12" x14ac:dyDescent="0.2">
      <c r="B124" s="11">
        <v>1114502</v>
      </c>
      <c r="C124" s="22" t="s">
        <v>96</v>
      </c>
      <c r="D124" s="31"/>
      <c r="E124" s="31">
        <v>6</v>
      </c>
      <c r="F124" s="31">
        <v>4</v>
      </c>
      <c r="G124" s="31">
        <v>78</v>
      </c>
      <c r="H124" s="31"/>
      <c r="I124" s="31"/>
      <c r="J124" s="46"/>
      <c r="K124" s="46"/>
      <c r="L124" s="37">
        <f t="shared" si="6"/>
        <v>88</v>
      </c>
    </row>
    <row r="125" spans="2:12" x14ac:dyDescent="0.2">
      <c r="B125" s="11">
        <v>1114503</v>
      </c>
      <c r="C125" s="22" t="s">
        <v>97</v>
      </c>
      <c r="D125" s="31"/>
      <c r="E125" s="31">
        <v>4</v>
      </c>
      <c r="F125" s="31">
        <v>5</v>
      </c>
      <c r="G125" s="31">
        <v>79</v>
      </c>
      <c r="H125" s="31"/>
      <c r="I125" s="31"/>
      <c r="J125" s="46"/>
      <c r="K125" s="46"/>
      <c r="L125" s="37">
        <f t="shared" si="6"/>
        <v>88</v>
      </c>
    </row>
    <row r="126" spans="2:12" x14ac:dyDescent="0.2">
      <c r="B126" s="11">
        <v>1124021</v>
      </c>
      <c r="C126" s="22" t="s">
        <v>98</v>
      </c>
      <c r="D126" s="31"/>
      <c r="E126" s="31">
        <v>12</v>
      </c>
      <c r="F126" s="31">
        <v>29</v>
      </c>
      <c r="G126" s="31">
        <v>18</v>
      </c>
      <c r="H126" s="31"/>
      <c r="I126" s="31"/>
      <c r="J126" s="46"/>
      <c r="K126" s="46"/>
      <c r="L126" s="37">
        <f t="shared" si="6"/>
        <v>59</v>
      </c>
    </row>
    <row r="127" spans="2:12" hidden="1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6"/>
      <c r="K127" s="46"/>
      <c r="L127" s="37">
        <f t="shared" si="6"/>
        <v>0</v>
      </c>
    </row>
    <row r="128" spans="2:12" hidden="1" x14ac:dyDescent="0.2">
      <c r="B128" s="11">
        <v>900003</v>
      </c>
      <c r="C128" s="22" t="s">
        <v>133</v>
      </c>
      <c r="D128" s="31"/>
      <c r="E128" s="31"/>
      <c r="F128" s="31"/>
      <c r="G128" s="31"/>
      <c r="H128" s="31"/>
      <c r="I128" s="31"/>
      <c r="J128" s="46"/>
      <c r="K128" s="46"/>
      <c r="L128" s="37">
        <f t="shared" si="6"/>
        <v>0</v>
      </c>
    </row>
    <row r="129" spans="2:12" hidden="1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6"/>
      <c r="K129" s="46"/>
      <c r="L129" s="37">
        <f t="shared" si="6"/>
        <v>0</v>
      </c>
    </row>
    <row r="130" spans="2:12" hidden="1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6"/>
      <c r="K130" s="46"/>
      <c r="L130" s="37">
        <f t="shared" si="6"/>
        <v>0</v>
      </c>
    </row>
    <row r="131" spans="2:12" hidden="1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6"/>
      <c r="K131" s="46"/>
      <c r="L131" s="37">
        <f t="shared" si="6"/>
        <v>0</v>
      </c>
    </row>
    <row r="132" spans="2:12" hidden="1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6"/>
      <c r="K132" s="46"/>
      <c r="L132" s="37">
        <f t="shared" si="6"/>
        <v>0</v>
      </c>
    </row>
    <row r="133" spans="2:12" hidden="1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6"/>
      <c r="K133" s="46"/>
      <c r="L133" s="37">
        <f t="shared" si="6"/>
        <v>0</v>
      </c>
    </row>
    <row r="134" spans="2:12" hidden="1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6"/>
      <c r="K134" s="46"/>
      <c r="L134" s="37">
        <f t="shared" si="6"/>
        <v>0</v>
      </c>
    </row>
    <row r="135" spans="2:12" hidden="1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6"/>
      <c r="K135" s="46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>
        <v>4</v>
      </c>
      <c r="F136" s="31"/>
      <c r="G136" s="31"/>
      <c r="H136" s="31"/>
      <c r="I136" s="31"/>
      <c r="J136" s="46"/>
      <c r="K136" s="46"/>
      <c r="L136" s="37">
        <f t="shared" si="6"/>
        <v>4</v>
      </c>
    </row>
    <row r="137" spans="2:12" x14ac:dyDescent="0.2">
      <c r="B137" s="23">
        <v>20052721</v>
      </c>
      <c r="C137" s="22" t="s">
        <v>131</v>
      </c>
      <c r="D137" s="31"/>
      <c r="E137" s="31"/>
      <c r="F137" s="31"/>
      <c r="G137" s="31"/>
      <c r="H137" s="31"/>
      <c r="I137" s="31"/>
      <c r="J137" s="46"/>
      <c r="K137" s="46"/>
      <c r="L137" s="37">
        <f t="shared" si="6"/>
        <v>0</v>
      </c>
    </row>
    <row r="138" spans="2:12" x14ac:dyDescent="0.2">
      <c r="C138" s="36"/>
      <c r="D138" s="38"/>
      <c r="E138" s="38"/>
      <c r="F138" s="38"/>
      <c r="G138" s="38"/>
      <c r="H138" s="38"/>
      <c r="I138" s="38"/>
      <c r="J138" s="38"/>
      <c r="K138" s="38"/>
      <c r="L138" s="39"/>
    </row>
    <row r="139" spans="2:12" x14ac:dyDescent="0.2">
      <c r="C139" s="25"/>
      <c r="D139" s="32"/>
      <c r="E139" s="56"/>
      <c r="F139" s="56"/>
      <c r="G139" s="27"/>
      <c r="L139" s="39"/>
    </row>
    <row r="140" spans="2:12" x14ac:dyDescent="0.2">
      <c r="B140" s="56" t="s">
        <v>104</v>
      </c>
      <c r="C140" s="56"/>
      <c r="D140" s="33"/>
      <c r="E140" s="53"/>
      <c r="F140" s="53"/>
      <c r="G140" s="28"/>
      <c r="H140" s="27"/>
      <c r="I140" s="56" t="s">
        <v>104</v>
      </c>
      <c r="J140" s="56"/>
      <c r="K140" s="56"/>
      <c r="L140" s="56"/>
    </row>
    <row r="141" spans="2:12" x14ac:dyDescent="0.2">
      <c r="B141" s="53" t="s">
        <v>105</v>
      </c>
      <c r="C141" s="53"/>
      <c r="D141" s="34"/>
      <c r="E141" s="34"/>
      <c r="F141" s="34"/>
      <c r="G141" s="34"/>
      <c r="H141" s="34"/>
      <c r="I141" s="53" t="s">
        <v>106</v>
      </c>
      <c r="J141" s="53"/>
      <c r="K141" s="53"/>
      <c r="L141" s="53"/>
    </row>
    <row r="142" spans="2:12" x14ac:dyDescent="0.2">
      <c r="B142" s="32"/>
      <c r="C142" s="32"/>
      <c r="D142" s="34"/>
      <c r="E142" s="34"/>
      <c r="F142" s="34"/>
      <c r="G142" s="34"/>
      <c r="H142" s="34"/>
      <c r="I142" s="32"/>
      <c r="J142" s="32"/>
      <c r="K142" s="32"/>
      <c r="L142" s="35"/>
    </row>
    <row r="143" spans="2:12" ht="14.25" x14ac:dyDescent="0.2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5"/>
    </row>
    <row r="144" spans="2:12" ht="14.25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x14ac:dyDescent="0.2">
      <c r="D148" s="32"/>
      <c r="E148" s="32"/>
      <c r="F148" s="32"/>
      <c r="G148" s="32"/>
      <c r="H148" s="32"/>
    </row>
    <row r="149" spans="2:12" x14ac:dyDescent="0.2">
      <c r="D149" s="32"/>
      <c r="E149" s="32"/>
      <c r="F149" s="32"/>
      <c r="G149" s="32"/>
      <c r="H149" s="32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</sheetData>
  <mergeCells count="15">
    <mergeCell ref="B2:C3"/>
    <mergeCell ref="E2:F3"/>
    <mergeCell ref="E140:F140"/>
    <mergeCell ref="B141:C141"/>
    <mergeCell ref="B1:L1"/>
    <mergeCell ref="B6:L6"/>
    <mergeCell ref="B68:L68"/>
    <mergeCell ref="B78:L78"/>
    <mergeCell ref="B89:L89"/>
    <mergeCell ref="B101:L101"/>
    <mergeCell ref="B113:L113"/>
    <mergeCell ref="E139:F139"/>
    <mergeCell ref="B140:C140"/>
    <mergeCell ref="I140:L140"/>
    <mergeCell ref="I141:L14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5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58"/>
  <sheetViews>
    <sheetView topLeftCell="A100" zoomScale="60" zoomScaleNormal="60" workbookViewId="0">
      <selection activeCell="E137" sqref="E137"/>
    </sheetView>
  </sheetViews>
  <sheetFormatPr defaultRowHeight="22.5" x14ac:dyDescent="0.2"/>
  <cols>
    <col min="2" max="2" width="22.125" style="24" customWidth="1"/>
    <col min="3" max="3" width="59.125" style="24" customWidth="1"/>
    <col min="4" max="4" width="14.375" style="16" hidden="1" customWidth="1"/>
    <col min="5" max="7" width="14.375" style="16" customWidth="1"/>
    <col min="8" max="11" width="14.375" style="16" hidden="1" customWidth="1"/>
    <col min="12" max="12" width="17.625" style="26" customWidth="1"/>
  </cols>
  <sheetData>
    <row r="1" spans="2:12" x14ac:dyDescent="0.2">
      <c r="B1" s="61" t="s">
        <v>141</v>
      </c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2:12" x14ac:dyDescent="0.2">
      <c r="B2" s="57"/>
      <c r="C2" s="58"/>
      <c r="D2" s="1"/>
      <c r="E2" s="59"/>
      <c r="F2" s="59"/>
      <c r="G2" s="2"/>
      <c r="H2" s="2"/>
      <c r="I2" s="2"/>
      <c r="J2" s="2"/>
      <c r="K2" s="2"/>
      <c r="L2" s="3" t="s">
        <v>0</v>
      </c>
    </row>
    <row r="3" spans="2:12" x14ac:dyDescent="0.2">
      <c r="B3" s="57"/>
      <c r="C3" s="58"/>
      <c r="D3" s="4"/>
      <c r="E3" s="60"/>
      <c r="F3" s="60"/>
      <c r="G3" s="5"/>
      <c r="H3" s="5"/>
      <c r="I3" s="5"/>
      <c r="J3" s="44"/>
      <c r="K3" s="44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132</v>
      </c>
      <c r="I4" s="9" t="s">
        <v>9</v>
      </c>
      <c r="J4" s="45" t="s">
        <v>134</v>
      </c>
      <c r="K4" s="45" t="s">
        <v>137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5"/>
      <c r="K5" s="45"/>
      <c r="L5" s="14"/>
    </row>
    <row r="6" spans="2:12" ht="19.5" x14ac:dyDescent="0.2">
      <c r="B6" s="54" t="s">
        <v>11</v>
      </c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2:12" x14ac:dyDescent="0.2">
      <c r="B7" s="11">
        <v>1111002</v>
      </c>
      <c r="C7" s="15" t="s">
        <v>107</v>
      </c>
      <c r="D7" s="31"/>
      <c r="E7" s="31">
        <v>16</v>
      </c>
      <c r="F7" s="31">
        <v>7</v>
      </c>
      <c r="G7" s="31">
        <v>3</v>
      </c>
      <c r="H7" s="31"/>
      <c r="I7" s="31"/>
      <c r="J7" s="46"/>
      <c r="K7" s="46"/>
      <c r="L7" s="37">
        <f>SUM(D7:K7)</f>
        <v>26</v>
      </c>
    </row>
    <row r="8" spans="2:12" hidden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6"/>
      <c r="K8" s="46"/>
      <c r="L8" s="37">
        <f t="shared" ref="L8:L66" si="0">SUM(D8:K8)</f>
        <v>0</v>
      </c>
    </row>
    <row r="9" spans="2:12" hidden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6"/>
      <c r="K9" s="46"/>
      <c r="L9" s="37">
        <f t="shared" si="0"/>
        <v>0</v>
      </c>
    </row>
    <row r="10" spans="2:12" hidden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6"/>
      <c r="K10" s="46"/>
      <c r="L10" s="37">
        <f t="shared" si="0"/>
        <v>0</v>
      </c>
    </row>
    <row r="11" spans="2:12" hidden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6"/>
      <c r="K11" s="46"/>
      <c r="L11" s="37">
        <f t="shared" si="0"/>
        <v>0</v>
      </c>
    </row>
    <row r="12" spans="2:12" hidden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6"/>
      <c r="K12" s="46"/>
      <c r="L12" s="37">
        <f t="shared" si="0"/>
        <v>0</v>
      </c>
    </row>
    <row r="13" spans="2:12" hidden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6"/>
      <c r="K13" s="46"/>
      <c r="L13" s="37">
        <f t="shared" si="0"/>
        <v>0</v>
      </c>
    </row>
    <row r="14" spans="2:12" hidden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6"/>
      <c r="K14" s="46"/>
      <c r="L14" s="37">
        <f t="shared" si="0"/>
        <v>0</v>
      </c>
    </row>
    <row r="15" spans="2:12" hidden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6"/>
      <c r="K15" s="46"/>
      <c r="L15" s="37">
        <f t="shared" si="0"/>
        <v>0</v>
      </c>
    </row>
    <row r="16" spans="2:12" hidden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6"/>
      <c r="K16" s="46"/>
      <c r="L16" s="37">
        <f t="shared" si="0"/>
        <v>0</v>
      </c>
    </row>
    <row r="17" spans="2:12" hidden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6"/>
      <c r="K17" s="46"/>
      <c r="L17" s="37">
        <f t="shared" si="0"/>
        <v>0</v>
      </c>
    </row>
    <row r="18" spans="2:12" hidden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6"/>
      <c r="K18" s="46"/>
      <c r="L18" s="37">
        <f t="shared" si="0"/>
        <v>0</v>
      </c>
    </row>
    <row r="19" spans="2:12" hidden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6"/>
      <c r="K19" s="46"/>
      <c r="L19" s="37">
        <f t="shared" si="0"/>
        <v>0</v>
      </c>
    </row>
    <row r="20" spans="2:12" hidden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6"/>
      <c r="K20" s="46"/>
      <c r="L20" s="37">
        <f t="shared" si="0"/>
        <v>0</v>
      </c>
    </row>
    <row r="21" spans="2:12" hidden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6"/>
      <c r="K21" s="46"/>
      <c r="L21" s="37">
        <f t="shared" si="0"/>
        <v>0</v>
      </c>
    </row>
    <row r="22" spans="2:12" hidden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6"/>
      <c r="K22" s="46"/>
      <c r="L22" s="37">
        <f t="shared" si="0"/>
        <v>0</v>
      </c>
    </row>
    <row r="23" spans="2:12" hidden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6"/>
      <c r="K23" s="46"/>
      <c r="L23" s="37">
        <f t="shared" si="0"/>
        <v>0</v>
      </c>
    </row>
    <row r="24" spans="2:12" hidden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6"/>
      <c r="K24" s="46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6"/>
      <c r="K25" s="46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>
        <v>1</v>
      </c>
      <c r="G26" s="31">
        <v>42</v>
      </c>
      <c r="H26" s="31"/>
      <c r="I26" s="31"/>
      <c r="J26" s="46"/>
      <c r="K26" s="46"/>
      <c r="L26" s="37">
        <f t="shared" si="0"/>
        <v>43</v>
      </c>
    </row>
    <row r="27" spans="2:12" hidden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6"/>
      <c r="K27" s="46"/>
      <c r="L27" s="37">
        <f t="shared" si="0"/>
        <v>0</v>
      </c>
    </row>
    <row r="28" spans="2:12" hidden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6"/>
      <c r="K28" s="46"/>
      <c r="L28" s="37">
        <f t="shared" si="0"/>
        <v>0</v>
      </c>
    </row>
    <row r="29" spans="2:12" hidden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6"/>
      <c r="K29" s="46"/>
      <c r="L29" s="37">
        <f t="shared" si="0"/>
        <v>0</v>
      </c>
    </row>
    <row r="30" spans="2:12" hidden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6"/>
      <c r="K30" s="46"/>
      <c r="L30" s="37">
        <f t="shared" si="0"/>
        <v>0</v>
      </c>
    </row>
    <row r="31" spans="2:12" hidden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6"/>
      <c r="K31" s="46"/>
      <c r="L31" s="37">
        <f t="shared" si="0"/>
        <v>0</v>
      </c>
    </row>
    <row r="32" spans="2:12" hidden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6"/>
      <c r="K32" s="46"/>
      <c r="L32" s="37">
        <f t="shared" si="0"/>
        <v>0</v>
      </c>
    </row>
    <row r="33" spans="2:12" hidden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6"/>
      <c r="K33" s="46"/>
      <c r="L33" s="37">
        <f t="shared" si="0"/>
        <v>0</v>
      </c>
    </row>
    <row r="34" spans="2:12" hidden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6"/>
      <c r="K34" s="46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6"/>
      <c r="K35" s="46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6"/>
      <c r="K36" s="46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6"/>
      <c r="K37" s="46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6"/>
      <c r="K38" s="46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6"/>
      <c r="K39" s="46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>
        <v>1</v>
      </c>
      <c r="H40" s="31"/>
      <c r="I40" s="31"/>
      <c r="J40" s="46"/>
      <c r="K40" s="46"/>
      <c r="L40" s="37">
        <f t="shared" si="0"/>
        <v>1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>
        <v>1</v>
      </c>
      <c r="H41" s="31"/>
      <c r="I41" s="31"/>
      <c r="J41" s="46"/>
      <c r="K41" s="46"/>
      <c r="L41" s="37">
        <f t="shared" si="0"/>
        <v>1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>
        <v>5</v>
      </c>
      <c r="H42" s="31"/>
      <c r="I42" s="31"/>
      <c r="J42" s="46"/>
      <c r="K42" s="46"/>
      <c r="L42" s="37">
        <f t="shared" si="0"/>
        <v>5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>
        <v>1</v>
      </c>
      <c r="H43" s="31"/>
      <c r="I43" s="31"/>
      <c r="J43" s="46"/>
      <c r="K43" s="46"/>
      <c r="L43" s="37">
        <f t="shared" si="0"/>
        <v>1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>
        <v>1</v>
      </c>
      <c r="H44" s="31"/>
      <c r="I44" s="31"/>
      <c r="J44" s="46"/>
      <c r="K44" s="46"/>
      <c r="L44" s="37">
        <f t="shared" si="0"/>
        <v>1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6"/>
      <c r="K45" s="46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6"/>
      <c r="K46" s="46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6"/>
      <c r="K47" s="46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6"/>
      <c r="K48" s="46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6"/>
      <c r="K49" s="46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>
        <v>5</v>
      </c>
      <c r="H50" s="31"/>
      <c r="I50" s="31"/>
      <c r="J50" s="46"/>
      <c r="K50" s="46"/>
      <c r="L50" s="37">
        <f t="shared" si="0"/>
        <v>5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6"/>
      <c r="K51" s="46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6"/>
      <c r="K52" s="46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6"/>
      <c r="K53" s="46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6"/>
      <c r="K54" s="46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6"/>
      <c r="K55" s="46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>
        <v>1</v>
      </c>
      <c r="H56" s="31"/>
      <c r="I56" s="31"/>
      <c r="J56" s="46"/>
      <c r="K56" s="46"/>
      <c r="L56" s="37">
        <f t="shared" si="0"/>
        <v>1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>
        <v>1</v>
      </c>
      <c r="H57" s="31"/>
      <c r="I57" s="31"/>
      <c r="J57" s="46"/>
      <c r="K57" s="46"/>
      <c r="L57" s="37">
        <f t="shared" si="0"/>
        <v>1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>
        <v>1</v>
      </c>
      <c r="H58" s="31"/>
      <c r="I58" s="31"/>
      <c r="J58" s="46"/>
      <c r="K58" s="46"/>
      <c r="L58" s="37">
        <f t="shared" si="0"/>
        <v>1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6"/>
      <c r="K59" s="46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6"/>
      <c r="K60" s="46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6"/>
      <c r="K61" s="46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6"/>
      <c r="K62" s="46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6"/>
      <c r="K63" s="46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6"/>
      <c r="K64" s="46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6"/>
      <c r="K65" s="46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6"/>
      <c r="K66" s="46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4" t="s">
        <v>55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</row>
    <row r="69" spans="2:12" x14ac:dyDescent="0.2">
      <c r="B69" s="11">
        <v>1111009</v>
      </c>
      <c r="C69" s="20" t="s">
        <v>56</v>
      </c>
      <c r="D69" s="31"/>
      <c r="E69" s="31"/>
      <c r="F69" s="31">
        <v>6</v>
      </c>
      <c r="G69" s="31">
        <v>1</v>
      </c>
      <c r="H69" s="31"/>
      <c r="I69" s="31"/>
      <c r="J69" s="46"/>
      <c r="K69" s="46"/>
      <c r="L69" s="37">
        <f t="shared" ref="L69:L76" si="1">SUM(D69:K69)</f>
        <v>7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6"/>
      <c r="K70" s="46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6"/>
      <c r="K71" s="46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6"/>
      <c r="K72" s="46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6"/>
      <c r="K73" s="46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6"/>
      <c r="K74" s="46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6"/>
      <c r="K75" s="46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6"/>
      <c r="K76" s="46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4" t="s">
        <v>64</v>
      </c>
      <c r="C78" s="55"/>
      <c r="D78" s="55"/>
      <c r="E78" s="55"/>
      <c r="F78" s="55"/>
      <c r="G78" s="55"/>
      <c r="H78" s="55"/>
      <c r="I78" s="55"/>
      <c r="J78" s="55"/>
      <c r="K78" s="55"/>
      <c r="L78" s="55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6"/>
      <c r="K79" s="46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6"/>
      <c r="K80" s="46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6"/>
      <c r="K81" s="46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6"/>
      <c r="K82" s="46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6"/>
      <c r="K83" s="46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6"/>
      <c r="K84" s="46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6"/>
      <c r="K85" s="46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6"/>
      <c r="K86" s="46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>
        <v>3</v>
      </c>
      <c r="F87" s="31"/>
      <c r="G87" s="31">
        <v>51</v>
      </c>
      <c r="H87" s="31"/>
      <c r="I87" s="31"/>
      <c r="J87" s="46"/>
      <c r="K87" s="46"/>
      <c r="L87" s="37">
        <f t="shared" si="2"/>
        <v>54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4" t="s">
        <v>74</v>
      </c>
      <c r="C89" s="55"/>
      <c r="D89" s="55"/>
      <c r="E89" s="55"/>
      <c r="F89" s="55"/>
      <c r="G89" s="55"/>
      <c r="H89" s="55"/>
      <c r="I89" s="55"/>
      <c r="J89" s="55"/>
      <c r="K89" s="55"/>
      <c r="L89" s="55"/>
    </row>
    <row r="90" spans="2:12" x14ac:dyDescent="0.2">
      <c r="B90" s="11">
        <v>1112009</v>
      </c>
      <c r="C90" s="20" t="s">
        <v>75</v>
      </c>
      <c r="D90" s="31"/>
      <c r="E90" s="31">
        <v>7</v>
      </c>
      <c r="F90" s="31">
        <v>6</v>
      </c>
      <c r="G90" s="31">
        <v>92</v>
      </c>
      <c r="H90" s="31"/>
      <c r="I90" s="31"/>
      <c r="J90" s="46"/>
      <c r="K90" s="46"/>
      <c r="L90" s="37">
        <f t="shared" ref="L90:L99" si="3">SUM(D90:K90)</f>
        <v>105</v>
      </c>
    </row>
    <row r="91" spans="2:12" x14ac:dyDescent="0.2">
      <c r="B91" s="11">
        <v>1112011</v>
      </c>
      <c r="C91" s="20" t="s">
        <v>76</v>
      </c>
      <c r="D91" s="31"/>
      <c r="E91" s="31">
        <v>9</v>
      </c>
      <c r="F91" s="31">
        <v>7</v>
      </c>
      <c r="G91" s="31">
        <v>91</v>
      </c>
      <c r="H91" s="31"/>
      <c r="I91" s="31"/>
      <c r="J91" s="46"/>
      <c r="K91" s="46"/>
      <c r="L91" s="37">
        <f t="shared" si="3"/>
        <v>107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79</v>
      </c>
      <c r="H92" s="31"/>
      <c r="I92" s="31"/>
      <c r="J92" s="46"/>
      <c r="K92" s="46"/>
      <c r="L92" s="37">
        <f t="shared" si="3"/>
        <v>79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72</v>
      </c>
      <c r="H93" s="31"/>
      <c r="I93" s="31"/>
      <c r="J93" s="46"/>
      <c r="K93" s="46"/>
      <c r="L93" s="37">
        <f t="shared" si="3"/>
        <v>72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6"/>
      <c r="K94" s="46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6"/>
      <c r="K95" s="46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>
        <v>79</v>
      </c>
      <c r="H96" s="31"/>
      <c r="I96" s="31"/>
      <c r="J96" s="46"/>
      <c r="K96" s="46"/>
      <c r="L96" s="37">
        <f t="shared" si="3"/>
        <v>79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79</v>
      </c>
      <c r="H97" s="31"/>
      <c r="I97" s="31"/>
      <c r="J97" s="46"/>
      <c r="K97" s="46"/>
      <c r="L97" s="37">
        <f t="shared" si="3"/>
        <v>79</v>
      </c>
    </row>
    <row r="98" spans="2:12" x14ac:dyDescent="0.2">
      <c r="B98" s="11">
        <v>1112013</v>
      </c>
      <c r="C98" s="20" t="s">
        <v>83</v>
      </c>
      <c r="D98" s="31"/>
      <c r="E98" s="31">
        <v>7</v>
      </c>
      <c r="F98" s="31">
        <v>7</v>
      </c>
      <c r="G98" s="31">
        <v>91</v>
      </c>
      <c r="H98" s="31"/>
      <c r="I98" s="31"/>
      <c r="J98" s="46"/>
      <c r="K98" s="46"/>
      <c r="L98" s="37">
        <f t="shared" si="3"/>
        <v>105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6"/>
      <c r="K99" s="46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4" t="s">
        <v>85</v>
      </c>
      <c r="C101" s="55"/>
      <c r="D101" s="55"/>
      <c r="E101" s="55"/>
      <c r="F101" s="55"/>
      <c r="G101" s="55"/>
      <c r="H101" s="55"/>
      <c r="I101" s="55"/>
      <c r="J101" s="55"/>
      <c r="K101" s="55"/>
      <c r="L101" s="55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6"/>
      <c r="K102" s="46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6"/>
      <c r="K103" s="46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6"/>
      <c r="K104" s="46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6"/>
      <c r="K105" s="46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6"/>
      <c r="K106" s="46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6"/>
      <c r="K107" s="46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6"/>
      <c r="K108" s="46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6"/>
      <c r="K109" s="46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6"/>
      <c r="K110" s="46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6"/>
      <c r="K111" s="46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4" t="s">
        <v>86</v>
      </c>
      <c r="C113" s="55"/>
      <c r="D113" s="55"/>
      <c r="E113" s="55"/>
      <c r="F113" s="55"/>
      <c r="G113" s="55"/>
      <c r="H113" s="55"/>
      <c r="I113" s="55"/>
      <c r="J113" s="55"/>
      <c r="K113" s="55"/>
      <c r="L113" s="55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6"/>
      <c r="K114" s="46"/>
      <c r="L114" s="37">
        <f t="shared" ref="L114:L137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6"/>
      <c r="K115" s="46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6"/>
      <c r="K116" s="46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6"/>
      <c r="K117" s="46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>
        <v>8</v>
      </c>
      <c r="F118" s="31"/>
      <c r="G118" s="31"/>
      <c r="H118" s="31"/>
      <c r="I118" s="31"/>
      <c r="J118" s="46"/>
      <c r="K118" s="46"/>
      <c r="L118" s="37">
        <f t="shared" si="6"/>
        <v>8</v>
      </c>
    </row>
    <row r="119" spans="2:12" x14ac:dyDescent="0.2">
      <c r="B119" s="11">
        <v>1100001</v>
      </c>
      <c r="C119" s="22" t="s">
        <v>122</v>
      </c>
      <c r="D119" s="31"/>
      <c r="E119" s="31">
        <v>4</v>
      </c>
      <c r="F119" s="31"/>
      <c r="G119" s="31"/>
      <c r="H119" s="31"/>
      <c r="I119" s="31"/>
      <c r="J119" s="46"/>
      <c r="K119" s="46"/>
      <c r="L119" s="37">
        <f t="shared" si="6"/>
        <v>4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>
        <v>2</v>
      </c>
      <c r="H120" s="31"/>
      <c r="I120" s="31"/>
      <c r="J120" s="46"/>
      <c r="K120" s="46"/>
      <c r="L120" s="37">
        <f t="shared" si="6"/>
        <v>2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>
        <v>1</v>
      </c>
      <c r="H121" s="31"/>
      <c r="I121" s="31"/>
      <c r="J121" s="46"/>
      <c r="K121" s="46"/>
      <c r="L121" s="37">
        <f t="shared" si="6"/>
        <v>1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6"/>
      <c r="K122" s="46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4</v>
      </c>
      <c r="F123" s="31">
        <v>3</v>
      </c>
      <c r="G123" s="31">
        <v>38</v>
      </c>
      <c r="H123" s="31"/>
      <c r="I123" s="31"/>
      <c r="J123" s="46"/>
      <c r="K123" s="46"/>
      <c r="L123" s="37">
        <f t="shared" si="6"/>
        <v>45</v>
      </c>
    </row>
    <row r="124" spans="2:12" x14ac:dyDescent="0.2">
      <c r="B124" s="11">
        <v>1114502</v>
      </c>
      <c r="C124" s="22" t="s">
        <v>96</v>
      </c>
      <c r="D124" s="31"/>
      <c r="E124" s="31">
        <v>1</v>
      </c>
      <c r="F124" s="31">
        <v>2</v>
      </c>
      <c r="G124" s="31">
        <v>36</v>
      </c>
      <c r="H124" s="31"/>
      <c r="I124" s="31"/>
      <c r="J124" s="46"/>
      <c r="K124" s="46"/>
      <c r="L124" s="37">
        <f t="shared" si="6"/>
        <v>39</v>
      </c>
    </row>
    <row r="125" spans="2:12" x14ac:dyDescent="0.2">
      <c r="B125" s="11">
        <v>1114503</v>
      </c>
      <c r="C125" s="22" t="s">
        <v>97</v>
      </c>
      <c r="D125" s="31"/>
      <c r="E125" s="31">
        <v>1</v>
      </c>
      <c r="F125" s="31"/>
      <c r="G125" s="31">
        <v>36</v>
      </c>
      <c r="H125" s="31"/>
      <c r="I125" s="31"/>
      <c r="J125" s="46"/>
      <c r="K125" s="46"/>
      <c r="L125" s="37">
        <f t="shared" si="6"/>
        <v>37</v>
      </c>
    </row>
    <row r="126" spans="2:12" x14ac:dyDescent="0.2">
      <c r="B126" s="11">
        <v>1124021</v>
      </c>
      <c r="C126" s="22" t="s">
        <v>98</v>
      </c>
      <c r="D126" s="31"/>
      <c r="E126" s="31">
        <v>12</v>
      </c>
      <c r="F126" s="31">
        <v>21</v>
      </c>
      <c r="G126" s="31">
        <v>30</v>
      </c>
      <c r="H126" s="31"/>
      <c r="I126" s="31"/>
      <c r="J126" s="46"/>
      <c r="K126" s="46"/>
      <c r="L126" s="37">
        <f t="shared" si="6"/>
        <v>63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6"/>
      <c r="K127" s="46"/>
      <c r="L127" s="37">
        <f t="shared" si="6"/>
        <v>0</v>
      </c>
    </row>
    <row r="128" spans="2:12" x14ac:dyDescent="0.2">
      <c r="B128" s="11">
        <v>900003</v>
      </c>
      <c r="C128" s="22" t="s">
        <v>133</v>
      </c>
      <c r="D128" s="31"/>
      <c r="E128" s="31"/>
      <c r="F128" s="31"/>
      <c r="G128" s="31"/>
      <c r="H128" s="31"/>
      <c r="I128" s="31"/>
      <c r="J128" s="46"/>
      <c r="K128" s="46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6"/>
      <c r="K129" s="46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6"/>
      <c r="K130" s="46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6"/>
      <c r="K131" s="46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6"/>
      <c r="K132" s="46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6"/>
      <c r="K133" s="46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6"/>
      <c r="K134" s="46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6"/>
      <c r="K135" s="46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>
        <v>2</v>
      </c>
      <c r="F136" s="31">
        <v>2</v>
      </c>
      <c r="G136" s="31"/>
      <c r="H136" s="31"/>
      <c r="I136" s="31"/>
      <c r="J136" s="46"/>
      <c r="K136" s="46"/>
      <c r="L136" s="37">
        <f t="shared" si="6"/>
        <v>4</v>
      </c>
    </row>
    <row r="137" spans="2:12" x14ac:dyDescent="0.2">
      <c r="B137" s="23">
        <v>20052721</v>
      </c>
      <c r="C137" s="22" t="s">
        <v>131</v>
      </c>
      <c r="D137" s="31"/>
      <c r="E137" s="31"/>
      <c r="F137" s="31"/>
      <c r="G137" s="31"/>
      <c r="H137" s="31"/>
      <c r="I137" s="31"/>
      <c r="J137" s="46"/>
      <c r="K137" s="46"/>
      <c r="L137" s="37">
        <f t="shared" si="6"/>
        <v>0</v>
      </c>
    </row>
    <row r="138" spans="2:12" x14ac:dyDescent="0.2">
      <c r="C138" s="36"/>
      <c r="D138" s="38"/>
      <c r="E138" s="38"/>
      <c r="F138" s="38"/>
      <c r="G138" s="38"/>
      <c r="H138" s="38"/>
      <c r="I138" s="38"/>
      <c r="J138" s="38"/>
      <c r="K138" s="38"/>
      <c r="L138" s="39"/>
    </row>
    <row r="139" spans="2:12" x14ac:dyDescent="0.2">
      <c r="C139" s="25"/>
      <c r="D139" s="32"/>
      <c r="E139" s="56"/>
      <c r="F139" s="56"/>
      <c r="G139" s="27"/>
      <c r="L139" s="39"/>
    </row>
    <row r="140" spans="2:12" x14ac:dyDescent="0.2">
      <c r="B140" s="56" t="s">
        <v>104</v>
      </c>
      <c r="C140" s="56"/>
      <c r="D140" s="33"/>
      <c r="E140" s="53"/>
      <c r="F140" s="53"/>
      <c r="G140" s="28"/>
      <c r="H140" s="27"/>
      <c r="I140" s="56" t="s">
        <v>104</v>
      </c>
      <c r="J140" s="56"/>
      <c r="K140" s="56"/>
      <c r="L140" s="56"/>
    </row>
    <row r="141" spans="2:12" x14ac:dyDescent="0.2">
      <c r="B141" s="53" t="s">
        <v>105</v>
      </c>
      <c r="C141" s="53"/>
      <c r="D141" s="34"/>
      <c r="E141" s="34"/>
      <c r="F141" s="34"/>
      <c r="G141" s="34"/>
      <c r="H141" s="34"/>
      <c r="I141" s="53" t="s">
        <v>106</v>
      </c>
      <c r="J141" s="53"/>
      <c r="K141" s="53"/>
      <c r="L141" s="53"/>
    </row>
    <row r="142" spans="2:12" x14ac:dyDescent="0.2">
      <c r="B142" s="32"/>
      <c r="C142" s="32"/>
      <c r="D142" s="34"/>
      <c r="E142" s="34"/>
      <c r="F142" s="34"/>
      <c r="G142" s="34"/>
      <c r="H142" s="34"/>
      <c r="I142" s="32"/>
      <c r="J142" s="32"/>
      <c r="K142" s="32"/>
      <c r="L142" s="35"/>
    </row>
    <row r="143" spans="2:12" ht="14.25" x14ac:dyDescent="0.2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5"/>
    </row>
    <row r="144" spans="2:12" ht="14.25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x14ac:dyDescent="0.2">
      <c r="D148" s="32"/>
      <c r="E148" s="32"/>
      <c r="F148" s="32"/>
      <c r="G148" s="32"/>
      <c r="H148" s="32"/>
    </row>
    <row r="149" spans="2:12" x14ac:dyDescent="0.2">
      <c r="D149" s="32"/>
      <c r="E149" s="32"/>
      <c r="F149" s="32"/>
      <c r="G149" s="32"/>
      <c r="H149" s="32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</sheetData>
  <mergeCells count="15">
    <mergeCell ref="B6:L6"/>
    <mergeCell ref="B1:L1"/>
    <mergeCell ref="B2:C3"/>
    <mergeCell ref="E2:F3"/>
    <mergeCell ref="E139:F139"/>
    <mergeCell ref="B68:L68"/>
    <mergeCell ref="B78:L78"/>
    <mergeCell ref="B89:L89"/>
    <mergeCell ref="B101:L101"/>
    <mergeCell ref="B113:L113"/>
    <mergeCell ref="B141:C141"/>
    <mergeCell ref="I141:L141"/>
    <mergeCell ref="B140:C140"/>
    <mergeCell ref="E140:F140"/>
    <mergeCell ref="I140:L140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S160"/>
  <sheetViews>
    <sheetView tabSelected="1" topLeftCell="A72" zoomScale="50" zoomScaleNormal="50" workbookViewId="0">
      <selection activeCell="P123" sqref="P123:P125"/>
    </sheetView>
  </sheetViews>
  <sheetFormatPr defaultRowHeight="22.5" x14ac:dyDescent="0.3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  <col min="13" max="13" width="16.125" style="24" customWidth="1"/>
    <col min="14" max="14" width="14.375" style="24" customWidth="1"/>
    <col min="15" max="15" width="15.375" style="24" customWidth="1"/>
    <col min="16" max="16" width="14.375" style="29" customWidth="1"/>
    <col min="17" max="17" width="9.125" customWidth="1"/>
    <col min="18" max="18" width="7.375" customWidth="1"/>
    <col min="19" max="19" width="22.75" style="50" customWidth="1"/>
  </cols>
  <sheetData>
    <row r="1" spans="2:16" x14ac:dyDescent="0.3">
      <c r="B1" s="61" t="s">
        <v>140</v>
      </c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2:16" x14ac:dyDescent="0.3">
      <c r="B2" s="57"/>
      <c r="C2" s="58"/>
      <c r="D2" s="1"/>
      <c r="E2" s="59"/>
      <c r="F2" s="59"/>
      <c r="G2" s="2"/>
      <c r="H2" s="2"/>
      <c r="I2" s="2"/>
      <c r="J2" s="2"/>
      <c r="K2" s="2"/>
      <c r="L2" s="3" t="s">
        <v>0</v>
      </c>
      <c r="M2" s="66" t="s">
        <v>127</v>
      </c>
      <c r="N2" s="66" t="s">
        <v>136</v>
      </c>
      <c r="O2" s="66" t="s">
        <v>130</v>
      </c>
      <c r="P2" s="62" t="s">
        <v>1</v>
      </c>
    </row>
    <row r="3" spans="2:16" x14ac:dyDescent="0.3">
      <c r="B3" s="57"/>
      <c r="C3" s="58"/>
      <c r="D3" s="4"/>
      <c r="E3" s="60"/>
      <c r="F3" s="60"/>
      <c r="G3" s="5"/>
      <c r="H3" s="5"/>
      <c r="I3" s="5"/>
      <c r="J3" s="44"/>
      <c r="K3" s="44"/>
      <c r="L3" s="6" t="s">
        <v>2</v>
      </c>
      <c r="M3" s="67"/>
      <c r="N3" s="67"/>
      <c r="O3" s="67"/>
      <c r="P3" s="63"/>
    </row>
    <row r="4" spans="2:16" x14ac:dyDescent="0.3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135</v>
      </c>
      <c r="I4" s="9" t="s">
        <v>9</v>
      </c>
      <c r="J4" s="45" t="s">
        <v>134</v>
      </c>
      <c r="K4" s="45" t="s">
        <v>137</v>
      </c>
      <c r="L4" s="10" t="s">
        <v>10</v>
      </c>
      <c r="M4" s="68"/>
      <c r="N4" s="68"/>
      <c r="O4" s="68"/>
      <c r="P4" s="64"/>
    </row>
    <row r="5" spans="2:16" x14ac:dyDescent="0.3">
      <c r="B5" s="11"/>
      <c r="C5" s="12"/>
      <c r="D5" s="13"/>
      <c r="E5" s="9"/>
      <c r="F5" s="9"/>
      <c r="G5" s="9"/>
      <c r="H5" s="9"/>
      <c r="I5" s="9"/>
      <c r="J5" s="45"/>
      <c r="K5" s="45"/>
      <c r="L5" s="14"/>
      <c r="M5" s="11"/>
      <c r="N5" s="11"/>
      <c r="O5" s="11"/>
      <c r="P5" s="30"/>
    </row>
    <row r="6" spans="2:16" x14ac:dyDescent="0.3">
      <c r="B6" s="54" t="s">
        <v>11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65"/>
    </row>
    <row r="7" spans="2:16" x14ac:dyDescent="0.3">
      <c r="B7" s="11">
        <v>1111002</v>
      </c>
      <c r="C7" s="15" t="s">
        <v>107</v>
      </c>
      <c r="D7" s="31">
        <f>'เย็น '!D7+'เช้า '!D7+บ่าย!D7</f>
        <v>0</v>
      </c>
      <c r="E7" s="52">
        <f>'เย็น '!E7+'เช้า '!E7+บ่าย!E7</f>
        <v>44</v>
      </c>
      <c r="F7" s="52">
        <f>'เย็น '!F7+'เช้า '!F7+บ่าย!F7</f>
        <v>21</v>
      </c>
      <c r="G7" s="52">
        <f>'เย็น '!G7+'เช้า '!G7+บ่าย!G7</f>
        <v>4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100</v>
      </c>
      <c r="L7" s="37">
        <f>SUM(D7:K7)</f>
        <v>169</v>
      </c>
      <c r="M7" s="11">
        <v>325</v>
      </c>
      <c r="N7" s="11"/>
      <c r="O7" s="11">
        <v>111</v>
      </c>
      <c r="P7" s="47">
        <f>(M7+N7+O7)-L7</f>
        <v>267</v>
      </c>
    </row>
    <row r="8" spans="2:16" hidden="1" x14ac:dyDescent="0.3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47">
        <f t="shared" ref="P8:P66" si="1">(M8+N8+O8)-L8</f>
        <v>0</v>
      </c>
    </row>
    <row r="9" spans="2:16" hidden="1" x14ac:dyDescent="0.3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47">
        <f t="shared" si="1"/>
        <v>0</v>
      </c>
    </row>
    <row r="10" spans="2:16" hidden="1" x14ac:dyDescent="0.3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47">
        <f t="shared" si="1"/>
        <v>0</v>
      </c>
    </row>
    <row r="11" spans="2:16" hidden="1" x14ac:dyDescent="0.3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47">
        <f t="shared" si="1"/>
        <v>0</v>
      </c>
    </row>
    <row r="12" spans="2:16" hidden="1" x14ac:dyDescent="0.3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47">
        <f t="shared" si="1"/>
        <v>0</v>
      </c>
    </row>
    <row r="13" spans="2:16" hidden="1" x14ac:dyDescent="0.3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47">
        <f t="shared" si="1"/>
        <v>0</v>
      </c>
    </row>
    <row r="14" spans="2:16" hidden="1" x14ac:dyDescent="0.3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47">
        <f t="shared" si="1"/>
        <v>0</v>
      </c>
    </row>
    <row r="15" spans="2:16" hidden="1" x14ac:dyDescent="0.3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47">
        <f t="shared" si="1"/>
        <v>0</v>
      </c>
    </row>
    <row r="16" spans="2:16" hidden="1" x14ac:dyDescent="0.3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47">
        <f t="shared" si="1"/>
        <v>0</v>
      </c>
    </row>
    <row r="17" spans="2:16" hidden="1" x14ac:dyDescent="0.3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47">
        <f t="shared" si="1"/>
        <v>0</v>
      </c>
    </row>
    <row r="18" spans="2:16" hidden="1" x14ac:dyDescent="0.3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47">
        <f t="shared" si="1"/>
        <v>0</v>
      </c>
    </row>
    <row r="19" spans="2:16" hidden="1" x14ac:dyDescent="0.3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47">
        <f t="shared" si="1"/>
        <v>0</v>
      </c>
    </row>
    <row r="20" spans="2:16" hidden="1" x14ac:dyDescent="0.3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47">
        <f t="shared" si="1"/>
        <v>0</v>
      </c>
    </row>
    <row r="21" spans="2:16" hidden="1" x14ac:dyDescent="0.3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47">
        <f t="shared" si="1"/>
        <v>0</v>
      </c>
    </row>
    <row r="22" spans="2:16" hidden="1" x14ac:dyDescent="0.3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47">
        <f t="shared" si="1"/>
        <v>0</v>
      </c>
    </row>
    <row r="23" spans="2:16" hidden="1" x14ac:dyDescent="0.3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47">
        <f t="shared" si="1"/>
        <v>0</v>
      </c>
    </row>
    <row r="24" spans="2:16" hidden="1" x14ac:dyDescent="0.3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47">
        <f t="shared" si="1"/>
        <v>0</v>
      </c>
    </row>
    <row r="25" spans="2:16" x14ac:dyDescent="0.3">
      <c r="B25" s="11">
        <v>1111056</v>
      </c>
      <c r="C25" s="15" t="s">
        <v>28</v>
      </c>
      <c r="D25" s="31">
        <f>'เย็น '!D25+'เช้า '!D25+บ่าย!D25</f>
        <v>0</v>
      </c>
      <c r="E25" s="31">
        <f>'เย็น '!E25+'เช้า '!E25+บ่าย!E25</f>
        <v>6</v>
      </c>
      <c r="F25" s="31">
        <f>'เย็น '!F25+'เช้า '!F25+บ่าย!F25</f>
        <v>3</v>
      </c>
      <c r="G25" s="31">
        <f>'เย็น '!G25+'เช้า '!G25+บ่าย!G25</f>
        <v>8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17</v>
      </c>
      <c r="M25" s="11">
        <v>30</v>
      </c>
      <c r="N25" s="11"/>
      <c r="O25" s="11">
        <v>54</v>
      </c>
      <c r="P25" s="47">
        <f t="shared" si="1"/>
        <v>67</v>
      </c>
    </row>
    <row r="26" spans="2:16" x14ac:dyDescent="0.3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52">
        <f>'เย็น '!F26+'เช้า '!F26+บ่าย!F26</f>
        <v>1</v>
      </c>
      <c r="G26" s="52">
        <f>'เย็น '!G26+'เช้า '!G26+บ่าย!G26</f>
        <v>115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116</v>
      </c>
      <c r="M26" s="11">
        <v>225</v>
      </c>
      <c r="N26" s="11"/>
      <c r="O26" s="11">
        <v>256</v>
      </c>
      <c r="P26" s="47">
        <f t="shared" si="1"/>
        <v>365</v>
      </c>
    </row>
    <row r="27" spans="2:16" hidden="1" x14ac:dyDescent="0.3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52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47">
        <f t="shared" si="1"/>
        <v>0</v>
      </c>
    </row>
    <row r="28" spans="2:16" hidden="1" x14ac:dyDescent="0.3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52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47">
        <f t="shared" si="1"/>
        <v>0</v>
      </c>
    </row>
    <row r="29" spans="2:16" hidden="1" x14ac:dyDescent="0.3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52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47">
        <f t="shared" si="1"/>
        <v>0</v>
      </c>
    </row>
    <row r="30" spans="2:16" hidden="1" x14ac:dyDescent="0.3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52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47">
        <f t="shared" si="1"/>
        <v>0</v>
      </c>
    </row>
    <row r="31" spans="2:16" hidden="1" x14ac:dyDescent="0.3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52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47">
        <f t="shared" si="1"/>
        <v>0</v>
      </c>
    </row>
    <row r="32" spans="2:16" hidden="1" x14ac:dyDescent="0.3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52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47">
        <f t="shared" si="1"/>
        <v>0</v>
      </c>
    </row>
    <row r="33" spans="2:16" hidden="1" x14ac:dyDescent="0.3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52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47">
        <f t="shared" si="1"/>
        <v>0</v>
      </c>
    </row>
    <row r="34" spans="2:16" hidden="1" x14ac:dyDescent="0.3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52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47">
        <f t="shared" si="1"/>
        <v>0</v>
      </c>
    </row>
    <row r="35" spans="2:16" hidden="1" x14ac:dyDescent="0.3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52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47">
        <f t="shared" si="1"/>
        <v>0</v>
      </c>
    </row>
    <row r="36" spans="2:16" hidden="1" x14ac:dyDescent="0.3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52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47">
        <f t="shared" si="1"/>
        <v>0</v>
      </c>
    </row>
    <row r="37" spans="2:16" hidden="1" x14ac:dyDescent="0.3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52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47">
        <f t="shared" si="1"/>
        <v>0</v>
      </c>
    </row>
    <row r="38" spans="2:16" hidden="1" x14ac:dyDescent="0.3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52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47">
        <f t="shared" si="1"/>
        <v>0</v>
      </c>
    </row>
    <row r="39" spans="2:16" hidden="1" x14ac:dyDescent="0.3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52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47">
        <f t="shared" si="1"/>
        <v>0</v>
      </c>
    </row>
    <row r="40" spans="2:16" x14ac:dyDescent="0.3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52">
        <f>'เย็น '!G40+'เช้า '!G40+บ่าย!G40</f>
        <v>2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2</v>
      </c>
      <c r="M40" s="11"/>
      <c r="N40" s="11"/>
      <c r="O40" s="11">
        <v>40</v>
      </c>
      <c r="P40" s="47">
        <f t="shared" si="1"/>
        <v>38</v>
      </c>
    </row>
    <row r="41" spans="2:16" x14ac:dyDescent="0.3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52">
        <f>'เย็น '!G41+'เช้า '!G41+บ่าย!G41</f>
        <v>1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1</v>
      </c>
      <c r="M41" s="11"/>
      <c r="N41" s="11"/>
      <c r="O41" s="11"/>
      <c r="P41" s="47">
        <f t="shared" si="1"/>
        <v>-1</v>
      </c>
    </row>
    <row r="42" spans="2:16" x14ac:dyDescent="0.3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52">
        <f>'เย็น '!G42+'เช้า '!G42+บ่าย!G42</f>
        <v>5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5</v>
      </c>
      <c r="M42" s="11"/>
      <c r="N42" s="11"/>
      <c r="O42" s="11">
        <v>10</v>
      </c>
      <c r="P42" s="47">
        <f t="shared" si="1"/>
        <v>5</v>
      </c>
    </row>
    <row r="43" spans="2:16" x14ac:dyDescent="0.3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52">
        <f>'เย็น '!G43+'เช้า '!G43+บ่าย!G43</f>
        <v>1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1</v>
      </c>
      <c r="M43" s="11"/>
      <c r="N43" s="11"/>
      <c r="O43" s="11"/>
      <c r="P43" s="47">
        <f t="shared" si="1"/>
        <v>-1</v>
      </c>
    </row>
    <row r="44" spans="2:16" x14ac:dyDescent="0.3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52">
        <f>'เย็น '!G44+'เช้า '!G44+บ่าย!G44</f>
        <v>1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1</v>
      </c>
      <c r="M44" s="11"/>
      <c r="N44" s="11"/>
      <c r="O44" s="11">
        <v>38</v>
      </c>
      <c r="P44" s="47">
        <f t="shared" si="1"/>
        <v>37</v>
      </c>
    </row>
    <row r="45" spans="2:16" x14ac:dyDescent="0.3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47">
        <f t="shared" si="1"/>
        <v>0</v>
      </c>
    </row>
    <row r="46" spans="2:16" x14ac:dyDescent="0.3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>
        <v>5</v>
      </c>
      <c r="P46" s="47">
        <f t="shared" si="1"/>
        <v>5</v>
      </c>
    </row>
    <row r="47" spans="2:16" x14ac:dyDescent="0.3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47">
        <f t="shared" si="1"/>
        <v>0</v>
      </c>
    </row>
    <row r="48" spans="2:16" x14ac:dyDescent="0.3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47">
        <f t="shared" si="1"/>
        <v>0</v>
      </c>
    </row>
    <row r="49" spans="2:18" x14ac:dyDescent="0.3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>
        <v>22</v>
      </c>
      <c r="P49" s="47">
        <f t="shared" si="1"/>
        <v>22</v>
      </c>
    </row>
    <row r="50" spans="2:18" x14ac:dyDescent="0.3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52">
        <f>'เย็น '!G50+'เช้า '!G50+บ่าย!G50</f>
        <v>5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5</v>
      </c>
      <c r="M50" s="11"/>
      <c r="N50" s="11"/>
      <c r="O50" s="11">
        <v>20</v>
      </c>
      <c r="P50" s="47">
        <f t="shared" si="1"/>
        <v>15</v>
      </c>
    </row>
    <row r="51" spans="2:18" x14ac:dyDescent="0.3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>
        <v>7</v>
      </c>
      <c r="P51" s="47">
        <f t="shared" si="1"/>
        <v>7</v>
      </c>
    </row>
    <row r="52" spans="2:18" x14ac:dyDescent="0.3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>
        <v>31</v>
      </c>
      <c r="P52" s="47">
        <f t="shared" si="1"/>
        <v>31</v>
      </c>
      <c r="R52" s="48"/>
    </row>
    <row r="53" spans="2:18" x14ac:dyDescent="0.3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47">
        <f t="shared" si="1"/>
        <v>0</v>
      </c>
    </row>
    <row r="54" spans="2:18" x14ac:dyDescent="0.3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47">
        <f t="shared" si="1"/>
        <v>0</v>
      </c>
    </row>
    <row r="55" spans="2:18" hidden="1" x14ac:dyDescent="0.3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47">
        <f t="shared" si="1"/>
        <v>0</v>
      </c>
    </row>
    <row r="56" spans="2:18" x14ac:dyDescent="0.3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1</v>
      </c>
      <c r="G56" s="52">
        <f>'เย็น '!G56+'เช้า '!G56+บ่าย!G56</f>
        <v>5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6</v>
      </c>
      <c r="M56" s="11"/>
      <c r="N56" s="11"/>
      <c r="O56" s="11">
        <v>43</v>
      </c>
      <c r="P56" s="47">
        <f t="shared" si="1"/>
        <v>37</v>
      </c>
    </row>
    <row r="57" spans="2:18" x14ac:dyDescent="0.3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1</v>
      </c>
      <c r="G57" s="52">
        <f>'เย็น '!G57+'เช้า '!G57+บ่าย!G57</f>
        <v>5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6</v>
      </c>
      <c r="M57" s="11"/>
      <c r="N57" s="11"/>
      <c r="O57" s="11">
        <v>9</v>
      </c>
      <c r="P57" s="47">
        <f t="shared" si="1"/>
        <v>3</v>
      </c>
    </row>
    <row r="58" spans="2:18" x14ac:dyDescent="0.3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1</v>
      </c>
      <c r="G58" s="52">
        <f>'เย็น '!G58+'เช้า '!G58+บ่าย!G58</f>
        <v>5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6</v>
      </c>
      <c r="M58" s="11"/>
      <c r="N58" s="11"/>
      <c r="O58" s="11">
        <v>34</v>
      </c>
      <c r="P58" s="47">
        <f t="shared" si="1"/>
        <v>28</v>
      </c>
    </row>
    <row r="59" spans="2:18" x14ac:dyDescent="0.3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1</v>
      </c>
      <c r="G59" s="31">
        <f>'เย็น '!G59+'เช้า '!G59+บ่าย!G59</f>
        <v>4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5</v>
      </c>
      <c r="M59" s="11"/>
      <c r="N59" s="11"/>
      <c r="O59" s="11">
        <v>31</v>
      </c>
      <c r="P59" s="47">
        <f t="shared" si="1"/>
        <v>26</v>
      </c>
    </row>
    <row r="60" spans="2:18" x14ac:dyDescent="0.3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1</v>
      </c>
      <c r="G60" s="31">
        <f>'เย็น '!G60+'เช้า '!G60+บ่าย!G60</f>
        <v>4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5</v>
      </c>
      <c r="M60" s="11"/>
      <c r="N60" s="11"/>
      <c r="O60" s="11">
        <v>31</v>
      </c>
      <c r="P60" s="47">
        <f t="shared" si="1"/>
        <v>26</v>
      </c>
    </row>
    <row r="61" spans="2:18" x14ac:dyDescent="0.3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1</v>
      </c>
      <c r="G61" s="31">
        <f>'เย็น '!G61+'เช้า '!G61+บ่าย!G61</f>
        <v>3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4</v>
      </c>
      <c r="M61" s="11"/>
      <c r="N61" s="11"/>
      <c r="O61" s="11">
        <v>93</v>
      </c>
      <c r="P61" s="47">
        <f t="shared" si="1"/>
        <v>89</v>
      </c>
    </row>
    <row r="62" spans="2:18" x14ac:dyDescent="0.3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1</v>
      </c>
      <c r="G62" s="31">
        <f>'เย็น '!G62+'เช้า '!G62+บ่าย!G62</f>
        <v>3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4</v>
      </c>
      <c r="M62" s="11"/>
      <c r="N62" s="11"/>
      <c r="O62" s="11">
        <v>20</v>
      </c>
      <c r="P62" s="47">
        <f t="shared" si="1"/>
        <v>16</v>
      </c>
    </row>
    <row r="63" spans="2:18" x14ac:dyDescent="0.3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1</v>
      </c>
      <c r="G63" s="31">
        <f>'เย็น '!G63+'เช้า '!G63+บ่าย!G63</f>
        <v>3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4</v>
      </c>
      <c r="M63" s="11"/>
      <c r="N63" s="11"/>
      <c r="O63" s="11">
        <v>29</v>
      </c>
      <c r="P63" s="47">
        <f t="shared" si="1"/>
        <v>25</v>
      </c>
    </row>
    <row r="64" spans="2:18" x14ac:dyDescent="0.3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1</v>
      </c>
      <c r="G64" s="31">
        <f>'เย็น '!G64+'เช้า '!G64+บ่าย!G64</f>
        <v>3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4</v>
      </c>
      <c r="M64" s="11"/>
      <c r="N64" s="11"/>
      <c r="O64" s="11">
        <v>20</v>
      </c>
      <c r="P64" s="47">
        <f t="shared" si="1"/>
        <v>16</v>
      </c>
    </row>
    <row r="65" spans="2:18" x14ac:dyDescent="0.3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1</v>
      </c>
      <c r="G65" s="31">
        <f>'เย็น '!G65+'เช้า '!G65+บ่าย!G65</f>
        <v>3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4</v>
      </c>
      <c r="M65" s="11"/>
      <c r="N65" s="11"/>
      <c r="O65" s="11">
        <v>29</v>
      </c>
      <c r="P65" s="47">
        <f t="shared" si="1"/>
        <v>25</v>
      </c>
      <c r="R65" s="49"/>
    </row>
    <row r="66" spans="2:18" hidden="1" x14ac:dyDescent="0.3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6"/>
      <c r="L66" s="37">
        <f t="shared" si="0"/>
        <v>0</v>
      </c>
      <c r="M66" s="11"/>
      <c r="N66" s="11"/>
      <c r="O66" s="11"/>
      <c r="P66" s="47">
        <f t="shared" si="1"/>
        <v>0</v>
      </c>
    </row>
    <row r="67" spans="2:18" hidden="1" x14ac:dyDescent="0.3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47">
        <f t="shared" ref="P67" si="3">(M67+N67+O67)-L67</f>
        <v>0</v>
      </c>
    </row>
    <row r="68" spans="2:18" x14ac:dyDescent="0.3">
      <c r="B68" s="54" t="s">
        <v>55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65"/>
    </row>
    <row r="69" spans="2:18" x14ac:dyDescent="0.3">
      <c r="B69" s="11">
        <v>1111009</v>
      </c>
      <c r="C69" s="20" t="s">
        <v>56</v>
      </c>
      <c r="D69" s="31">
        <f>'เย็น '!D69+'เช้า '!D69+บ่าย!D69</f>
        <v>0</v>
      </c>
      <c r="E69" s="31">
        <f>'เย็น '!E69+'เช้า '!E69+บ่าย!E69</f>
        <v>4</v>
      </c>
      <c r="F69" s="52">
        <f>'เย็น '!F69+'เช้า '!F69+บ่าย!F69</f>
        <v>9</v>
      </c>
      <c r="G69" s="52">
        <f>'เย็น '!G69+'เช้า '!G69+บ่าย!G69</f>
        <v>3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100</v>
      </c>
      <c r="L69" s="37">
        <f t="shared" ref="L69:L76" si="4">SUM(D69:K69)</f>
        <v>116</v>
      </c>
      <c r="M69" s="11">
        <v>130</v>
      </c>
      <c r="N69" s="11"/>
      <c r="O69" s="11">
        <v>52</v>
      </c>
      <c r="P69" s="47">
        <f t="shared" ref="P69:P111" si="5">(M69+N69+O69)-L69</f>
        <v>66</v>
      </c>
    </row>
    <row r="70" spans="2:18" x14ac:dyDescent="0.3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47">
        <f t="shared" si="5"/>
        <v>0</v>
      </c>
    </row>
    <row r="71" spans="2:18" x14ac:dyDescent="0.3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47">
        <f t="shared" si="5"/>
        <v>0</v>
      </c>
    </row>
    <row r="72" spans="2:18" x14ac:dyDescent="0.3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47">
        <f t="shared" si="5"/>
        <v>0</v>
      </c>
    </row>
    <row r="73" spans="2:18" x14ac:dyDescent="0.3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47">
        <f t="shared" si="5"/>
        <v>0</v>
      </c>
    </row>
    <row r="74" spans="2:18" x14ac:dyDescent="0.3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47">
        <f t="shared" si="5"/>
        <v>0</v>
      </c>
    </row>
    <row r="75" spans="2:18" x14ac:dyDescent="0.3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47">
        <f t="shared" si="5"/>
        <v>0</v>
      </c>
    </row>
    <row r="76" spans="2:18" x14ac:dyDescent="0.3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47">
        <f t="shared" si="5"/>
        <v>0</v>
      </c>
    </row>
    <row r="77" spans="2:18" x14ac:dyDescent="0.3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47">
        <f t="shared" si="5"/>
        <v>0</v>
      </c>
    </row>
    <row r="78" spans="2:18" x14ac:dyDescent="0.3">
      <c r="B78" s="54" t="s">
        <v>64</v>
      </c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65"/>
    </row>
    <row r="79" spans="2:18" x14ac:dyDescent="0.3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6">SUM(D79:K79)</f>
        <v>0</v>
      </c>
      <c r="M79" s="11"/>
      <c r="N79" s="11"/>
      <c r="O79" s="11"/>
      <c r="P79" s="47">
        <f t="shared" si="5"/>
        <v>0</v>
      </c>
    </row>
    <row r="80" spans="2:18" x14ac:dyDescent="0.3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6"/>
        <v>0</v>
      </c>
      <c r="M80" s="11"/>
      <c r="N80" s="11"/>
      <c r="O80" s="11"/>
      <c r="P80" s="47">
        <f t="shared" si="5"/>
        <v>0</v>
      </c>
    </row>
    <row r="81" spans="2:16" x14ac:dyDescent="0.3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6"/>
        <v>0</v>
      </c>
      <c r="M81" s="11"/>
      <c r="N81" s="11"/>
      <c r="O81" s="11"/>
      <c r="P81" s="47">
        <f t="shared" si="5"/>
        <v>0</v>
      </c>
    </row>
    <row r="82" spans="2:16" x14ac:dyDescent="0.3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6"/>
        <v>0</v>
      </c>
      <c r="M82" s="11"/>
      <c r="N82" s="11"/>
      <c r="O82" s="11"/>
      <c r="P82" s="47">
        <f t="shared" si="5"/>
        <v>0</v>
      </c>
    </row>
    <row r="83" spans="2:16" x14ac:dyDescent="0.3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6"/>
        <v>0</v>
      </c>
      <c r="M83" s="11"/>
      <c r="N83" s="11"/>
      <c r="O83" s="11"/>
      <c r="P83" s="47">
        <f t="shared" si="5"/>
        <v>0</v>
      </c>
    </row>
    <row r="84" spans="2:16" x14ac:dyDescent="0.3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6"/>
        <v>0</v>
      </c>
      <c r="M84" s="11"/>
      <c r="N84" s="11"/>
      <c r="O84" s="11"/>
      <c r="P84" s="47">
        <f t="shared" si="5"/>
        <v>0</v>
      </c>
    </row>
    <row r="85" spans="2:16" x14ac:dyDescent="0.3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6"/>
        <v>0</v>
      </c>
      <c r="M85" s="11"/>
      <c r="N85" s="11"/>
      <c r="O85" s="11"/>
      <c r="P85" s="47">
        <f t="shared" si="5"/>
        <v>0</v>
      </c>
    </row>
    <row r="86" spans="2:16" x14ac:dyDescent="0.3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6"/>
        <v>0</v>
      </c>
      <c r="M86" s="11"/>
      <c r="N86" s="11"/>
      <c r="O86" s="11"/>
      <c r="P86" s="47">
        <f t="shared" si="5"/>
        <v>0</v>
      </c>
    </row>
    <row r="87" spans="2:16" x14ac:dyDescent="0.3">
      <c r="B87" s="11">
        <v>1111008</v>
      </c>
      <c r="C87" s="20" t="s">
        <v>73</v>
      </c>
      <c r="D87" s="31">
        <f>'เย็น '!D87+'เช้า '!D87+บ่าย!D87</f>
        <v>0</v>
      </c>
      <c r="E87" s="52">
        <f>'เย็น '!E87+'เช้า '!E87+บ่าย!E87</f>
        <v>3</v>
      </c>
      <c r="F87" s="31">
        <f>'เย็น '!F87+'เช้า '!F87+บ่าย!F87</f>
        <v>0</v>
      </c>
      <c r="G87" s="52">
        <f>'เย็น '!G87+'เช้า '!G87+บ่าย!G87</f>
        <v>122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6"/>
        <v>125</v>
      </c>
      <c r="M87" s="11">
        <v>200</v>
      </c>
      <c r="N87" s="11"/>
      <c r="O87" s="11">
        <v>310</v>
      </c>
      <c r="P87" s="47">
        <f t="shared" si="5"/>
        <v>385</v>
      </c>
    </row>
    <row r="88" spans="2:16" x14ac:dyDescent="0.3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47">
        <f t="shared" si="5"/>
        <v>0</v>
      </c>
    </row>
    <row r="89" spans="2:16" x14ac:dyDescent="0.3">
      <c r="B89" s="54" t="s">
        <v>74</v>
      </c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65"/>
    </row>
    <row r="90" spans="2:16" x14ac:dyDescent="0.3">
      <c r="B90" s="11">
        <v>1112009</v>
      </c>
      <c r="C90" s="20" t="s">
        <v>75</v>
      </c>
      <c r="D90" s="31">
        <f>'เย็น '!D90+'เช้า '!D90+บ่าย!D90</f>
        <v>0</v>
      </c>
      <c r="E90" s="52">
        <f>'เย็น '!E90+'เช้า '!E90+บ่าย!E90</f>
        <v>15</v>
      </c>
      <c r="F90" s="52">
        <f>'เย็น '!F90+'เช้า '!F90+บ่าย!F90</f>
        <v>8</v>
      </c>
      <c r="G90" s="52">
        <f>'เย็น '!G90+'เช้า '!G90+บ่าย!G90</f>
        <v>123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7</v>
      </c>
      <c r="L90" s="37">
        <f t="shared" ref="L90:L99" si="7">SUM(D90:K90)</f>
        <v>153</v>
      </c>
      <c r="M90" s="11">
        <v>100</v>
      </c>
      <c r="N90" s="11"/>
      <c r="O90" s="11">
        <v>161</v>
      </c>
      <c r="P90" s="47">
        <f t="shared" si="5"/>
        <v>108</v>
      </c>
    </row>
    <row r="91" spans="2:16" x14ac:dyDescent="0.3">
      <c r="B91" s="11">
        <v>1112011</v>
      </c>
      <c r="C91" s="20" t="s">
        <v>76</v>
      </c>
      <c r="D91" s="31">
        <f>'เย็น '!D91+'เช้า '!D91+บ่าย!D91</f>
        <v>0</v>
      </c>
      <c r="E91" s="52">
        <f>'เย็น '!E91+'เช้า '!E91+บ่าย!E91</f>
        <v>19</v>
      </c>
      <c r="F91" s="52">
        <f>'เย็น '!F91+'เช้า '!F91+บ่าย!F91</f>
        <v>9</v>
      </c>
      <c r="G91" s="52">
        <f>'เย็น '!G91+'เช้า '!G91+บ่าย!G91</f>
        <v>122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7</v>
      </c>
      <c r="L91" s="37">
        <f t="shared" si="7"/>
        <v>157</v>
      </c>
      <c r="M91" s="11">
        <v>100</v>
      </c>
      <c r="N91" s="11"/>
      <c r="O91" s="11">
        <v>119</v>
      </c>
      <c r="P91" s="47">
        <f t="shared" si="5"/>
        <v>62</v>
      </c>
    </row>
    <row r="92" spans="2:16" x14ac:dyDescent="0.3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52">
        <f>'เย็น '!G92+'เช้า '!G92+บ่าย!G92</f>
        <v>101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8</v>
      </c>
      <c r="L92" s="37">
        <f t="shared" si="7"/>
        <v>109</v>
      </c>
      <c r="M92" s="11">
        <v>100</v>
      </c>
      <c r="N92" s="11"/>
      <c r="O92" s="11">
        <v>122</v>
      </c>
      <c r="P92" s="47">
        <f t="shared" si="5"/>
        <v>113</v>
      </c>
    </row>
    <row r="93" spans="2:16" x14ac:dyDescent="0.3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52">
        <f>'เย็น '!G93+'เช้า '!G93+บ่าย!G93</f>
        <v>72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7</v>
      </c>
      <c r="L93" s="37">
        <f t="shared" si="7"/>
        <v>79</v>
      </c>
      <c r="M93" s="11">
        <v>100</v>
      </c>
      <c r="N93" s="11"/>
      <c r="O93" s="11">
        <v>105</v>
      </c>
      <c r="P93" s="47">
        <f t="shared" si="5"/>
        <v>126</v>
      </c>
    </row>
    <row r="94" spans="2:16" hidden="1" x14ac:dyDescent="0.3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52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7"/>
        <v>0</v>
      </c>
      <c r="M94" s="11"/>
      <c r="N94" s="11"/>
      <c r="O94" s="11"/>
      <c r="P94" s="47">
        <f t="shared" si="5"/>
        <v>0</v>
      </c>
    </row>
    <row r="95" spans="2:16" hidden="1" x14ac:dyDescent="0.3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52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7"/>
        <v>0</v>
      </c>
      <c r="M95" s="11"/>
      <c r="N95" s="11"/>
      <c r="O95" s="11"/>
      <c r="P95" s="47">
        <f t="shared" si="5"/>
        <v>0</v>
      </c>
    </row>
    <row r="96" spans="2:16" x14ac:dyDescent="0.3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52">
        <f>'เย็น '!G96+'เช้า '!G96+บ่าย!G96</f>
        <v>100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7</v>
      </c>
      <c r="L96" s="37">
        <f t="shared" si="7"/>
        <v>107</v>
      </c>
      <c r="M96" s="11">
        <v>100</v>
      </c>
      <c r="N96" s="11"/>
      <c r="O96" s="11">
        <v>176</v>
      </c>
      <c r="P96" s="47">
        <f t="shared" si="5"/>
        <v>169</v>
      </c>
    </row>
    <row r="97" spans="2:16" x14ac:dyDescent="0.3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52">
        <f>'เย็น '!G97+'เช้า '!G97+บ่าย!G97</f>
        <v>100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7</v>
      </c>
      <c r="L97" s="37">
        <f t="shared" si="7"/>
        <v>107</v>
      </c>
      <c r="M97" s="11">
        <v>100</v>
      </c>
      <c r="N97" s="11"/>
      <c r="O97" s="11">
        <v>236</v>
      </c>
      <c r="P97" s="47">
        <f t="shared" si="5"/>
        <v>229</v>
      </c>
    </row>
    <row r="98" spans="2:16" x14ac:dyDescent="0.3">
      <c r="B98" s="11">
        <v>1112013</v>
      </c>
      <c r="C98" s="20" t="s">
        <v>83</v>
      </c>
      <c r="D98" s="31">
        <f>'เย็น '!D98+'เช้า '!D98+บ่าย!D98</f>
        <v>0</v>
      </c>
      <c r="E98" s="52">
        <f>'เย็น '!E98+'เช้า '!E98+บ่าย!E98</f>
        <v>15</v>
      </c>
      <c r="F98" s="52">
        <f>'เย็น '!F98+'เช้า '!F98+บ่าย!F98</f>
        <v>9</v>
      </c>
      <c r="G98" s="52">
        <f>'เย็น '!G98+'เช้า '!G98+บ่าย!G98</f>
        <v>122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7</v>
      </c>
      <c r="L98" s="37">
        <f t="shared" si="7"/>
        <v>153</v>
      </c>
      <c r="M98" s="11">
        <v>100</v>
      </c>
      <c r="N98" s="11"/>
      <c r="O98" s="11">
        <v>168</v>
      </c>
      <c r="P98" s="47">
        <f t="shared" si="5"/>
        <v>115</v>
      </c>
    </row>
    <row r="99" spans="2:16" hidden="1" x14ac:dyDescent="0.3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6"/>
      <c r="L99" s="37">
        <f t="shared" si="7"/>
        <v>0</v>
      </c>
      <c r="M99" s="11"/>
      <c r="N99" s="11"/>
      <c r="O99" s="11"/>
      <c r="P99" s="47">
        <f t="shared" si="5"/>
        <v>0</v>
      </c>
    </row>
    <row r="100" spans="2:16" hidden="1" x14ac:dyDescent="0.3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865</v>
      </c>
      <c r="M100" s="11"/>
      <c r="N100" s="11"/>
      <c r="O100" s="11"/>
      <c r="P100" s="47">
        <f t="shared" si="5"/>
        <v>-865</v>
      </c>
    </row>
    <row r="101" spans="2:16" hidden="1" x14ac:dyDescent="0.3">
      <c r="B101" s="54" t="s">
        <v>85</v>
      </c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65"/>
    </row>
    <row r="102" spans="2:16" hidden="1" x14ac:dyDescent="0.3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6"/>
      <c r="L102" s="37">
        <f t="shared" ref="L102:L111" si="8">SUM(D102:K102)</f>
        <v>0</v>
      </c>
      <c r="M102" s="11"/>
      <c r="N102" s="11"/>
      <c r="O102" s="11"/>
      <c r="P102" s="47">
        <f t="shared" si="5"/>
        <v>0</v>
      </c>
    </row>
    <row r="103" spans="2:16" hidden="1" x14ac:dyDescent="0.3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6"/>
      <c r="L103" s="37">
        <f t="shared" si="8"/>
        <v>0</v>
      </c>
      <c r="M103" s="11"/>
      <c r="N103" s="11"/>
      <c r="O103" s="11"/>
      <c r="P103" s="47">
        <f t="shared" si="5"/>
        <v>0</v>
      </c>
    </row>
    <row r="104" spans="2:16" hidden="1" x14ac:dyDescent="0.3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6"/>
      <c r="L104" s="37">
        <f t="shared" si="8"/>
        <v>0</v>
      </c>
      <c r="M104" s="11"/>
      <c r="N104" s="11"/>
      <c r="O104" s="11"/>
      <c r="P104" s="47">
        <f t="shared" si="5"/>
        <v>0</v>
      </c>
    </row>
    <row r="105" spans="2:16" hidden="1" x14ac:dyDescent="0.3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6"/>
      <c r="L105" s="37">
        <f t="shared" si="8"/>
        <v>0</v>
      </c>
      <c r="M105" s="11"/>
      <c r="N105" s="11"/>
      <c r="O105" s="11"/>
      <c r="P105" s="47">
        <f t="shared" si="5"/>
        <v>0</v>
      </c>
    </row>
    <row r="106" spans="2:16" hidden="1" x14ac:dyDescent="0.3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6"/>
      <c r="L106" s="37">
        <f t="shared" si="8"/>
        <v>0</v>
      </c>
      <c r="M106" s="11"/>
      <c r="N106" s="11"/>
      <c r="O106" s="11"/>
      <c r="P106" s="47">
        <f t="shared" si="5"/>
        <v>0</v>
      </c>
    </row>
    <row r="107" spans="2:16" hidden="1" x14ac:dyDescent="0.3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6"/>
      <c r="L107" s="37">
        <f t="shared" si="8"/>
        <v>0</v>
      </c>
      <c r="M107" s="11"/>
      <c r="N107" s="11"/>
      <c r="O107" s="11"/>
      <c r="P107" s="47">
        <f t="shared" si="5"/>
        <v>0</v>
      </c>
    </row>
    <row r="108" spans="2:16" hidden="1" x14ac:dyDescent="0.3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6"/>
      <c r="L108" s="37">
        <f t="shared" si="8"/>
        <v>0</v>
      </c>
      <c r="M108" s="11"/>
      <c r="N108" s="11"/>
      <c r="O108" s="11"/>
      <c r="P108" s="47">
        <f t="shared" si="5"/>
        <v>0</v>
      </c>
    </row>
    <row r="109" spans="2:16" hidden="1" x14ac:dyDescent="0.3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6"/>
      <c r="L109" s="37">
        <f t="shared" si="8"/>
        <v>0</v>
      </c>
      <c r="M109" s="11"/>
      <c r="N109" s="11"/>
      <c r="O109" s="11"/>
      <c r="P109" s="47">
        <f t="shared" si="5"/>
        <v>0</v>
      </c>
    </row>
    <row r="110" spans="2:16" hidden="1" x14ac:dyDescent="0.3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6"/>
      <c r="L110" s="37">
        <f t="shared" si="8"/>
        <v>0</v>
      </c>
      <c r="M110" s="11"/>
      <c r="N110" s="11"/>
      <c r="O110" s="11"/>
      <c r="P110" s="47">
        <f t="shared" si="5"/>
        <v>0</v>
      </c>
    </row>
    <row r="111" spans="2:16" hidden="1" x14ac:dyDescent="0.3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6"/>
      <c r="L111" s="37">
        <f t="shared" si="8"/>
        <v>0</v>
      </c>
      <c r="M111" s="11"/>
      <c r="N111" s="11"/>
      <c r="O111" s="11"/>
      <c r="P111" s="47">
        <f t="shared" si="5"/>
        <v>0</v>
      </c>
    </row>
    <row r="112" spans="2:16" hidden="1" x14ac:dyDescent="0.3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9">SUM(D112:J112)</f>
        <v>0</v>
      </c>
      <c r="M112" s="11"/>
      <c r="N112" s="11"/>
      <c r="O112" s="11"/>
      <c r="P112" s="47">
        <f t="shared" ref="P112" si="10">SUM(M112+O112)-L112</f>
        <v>0</v>
      </c>
    </row>
    <row r="113" spans="2:19" x14ac:dyDescent="0.3">
      <c r="B113" s="54" t="s">
        <v>86</v>
      </c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65"/>
    </row>
    <row r="114" spans="2:19" x14ac:dyDescent="0.3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7" si="11">SUM(D114:K114)</f>
        <v>0</v>
      </c>
      <c r="M114" s="11"/>
      <c r="N114" s="11"/>
      <c r="O114" s="11"/>
      <c r="P114" s="47">
        <f t="shared" ref="P114:P137" si="12">(M114+N114+O114)-L114</f>
        <v>0</v>
      </c>
    </row>
    <row r="115" spans="2:19" x14ac:dyDescent="0.3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1"/>
        <v>0</v>
      </c>
      <c r="M115" s="11"/>
      <c r="N115" s="11"/>
      <c r="O115" s="11"/>
      <c r="P115" s="47">
        <f t="shared" si="12"/>
        <v>0</v>
      </c>
    </row>
    <row r="116" spans="2:19" x14ac:dyDescent="0.3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1"/>
        <v>0</v>
      </c>
      <c r="M116" s="11"/>
      <c r="N116" s="11"/>
      <c r="O116" s="11"/>
      <c r="P116" s="47">
        <f t="shared" si="12"/>
        <v>0</v>
      </c>
    </row>
    <row r="117" spans="2:19" x14ac:dyDescent="0.3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1"/>
        <v>0</v>
      </c>
      <c r="M117" s="11"/>
      <c r="N117" s="11"/>
      <c r="O117" s="11"/>
      <c r="P117" s="47">
        <f t="shared" si="12"/>
        <v>0</v>
      </c>
    </row>
    <row r="118" spans="2:19" x14ac:dyDescent="0.3">
      <c r="B118" s="11">
        <v>1100003</v>
      </c>
      <c r="C118" s="22" t="s">
        <v>121</v>
      </c>
      <c r="D118" s="31">
        <f>'เย็น '!D118+'เช้า '!D118+บ่าย!D118</f>
        <v>0</v>
      </c>
      <c r="E118" s="52">
        <f>'เย็น '!E118+'เช้า '!E118+บ่าย!E118</f>
        <v>9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1"/>
        <v>9</v>
      </c>
      <c r="M118" s="11"/>
      <c r="N118" s="11"/>
      <c r="O118" s="11">
        <v>27</v>
      </c>
      <c r="P118" s="47">
        <f t="shared" si="12"/>
        <v>18</v>
      </c>
    </row>
    <row r="119" spans="2:19" x14ac:dyDescent="0.3">
      <c r="B119" s="11">
        <v>1100001</v>
      </c>
      <c r="C119" s="22" t="s">
        <v>122</v>
      </c>
      <c r="D119" s="31">
        <f>'เย็น '!D119+'เช้า '!D119+บ่าย!D119</f>
        <v>0</v>
      </c>
      <c r="E119" s="52">
        <f>'เย็น '!E119+'เช้า '!E119+บ่าย!E119</f>
        <v>4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1"/>
        <v>4</v>
      </c>
      <c r="M119" s="11"/>
      <c r="N119" s="11"/>
      <c r="O119" s="11"/>
      <c r="P119" s="47">
        <f t="shared" si="12"/>
        <v>-4</v>
      </c>
    </row>
    <row r="120" spans="2:19" x14ac:dyDescent="0.3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2</v>
      </c>
      <c r="F120" s="31">
        <f>'เย็น '!F120+'เช้า '!F120+บ่าย!F120</f>
        <v>0</v>
      </c>
      <c r="G120" s="52">
        <f>'เย็น '!G120+'เช้า '!G120+บ่าย!G120</f>
        <v>2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1"/>
        <v>4</v>
      </c>
      <c r="M120" s="11"/>
      <c r="N120" s="11"/>
      <c r="O120" s="11">
        <v>12</v>
      </c>
      <c r="P120" s="47">
        <f t="shared" si="12"/>
        <v>8</v>
      </c>
    </row>
    <row r="121" spans="2:19" x14ac:dyDescent="0.3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52">
        <f>'เย็น '!G121+'เช้า '!G121+บ่าย!G121</f>
        <v>1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1"/>
        <v>1</v>
      </c>
      <c r="M121" s="11"/>
      <c r="N121" s="11"/>
      <c r="O121" s="11"/>
      <c r="P121" s="47">
        <f t="shared" si="12"/>
        <v>-1</v>
      </c>
    </row>
    <row r="122" spans="2:19" x14ac:dyDescent="0.3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3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1"/>
        <v>3</v>
      </c>
      <c r="M122" s="11"/>
      <c r="N122" s="11"/>
      <c r="O122" s="11">
        <v>16</v>
      </c>
      <c r="P122" s="47">
        <f t="shared" si="12"/>
        <v>13</v>
      </c>
    </row>
    <row r="123" spans="2:19" x14ac:dyDescent="0.3">
      <c r="B123" s="11">
        <v>1114501</v>
      </c>
      <c r="C123" s="22" t="s">
        <v>95</v>
      </c>
      <c r="D123" s="31">
        <f>'เย็น '!D123+'เช้า '!D123+บ่าย!D123</f>
        <v>0</v>
      </c>
      <c r="E123" s="52">
        <f>'เย็น '!E123+'เช้า '!E123+บ่าย!E123</f>
        <v>16</v>
      </c>
      <c r="F123" s="52">
        <f>'เย็น '!F123+'เช้า '!F123+บ่าย!F123</f>
        <v>9</v>
      </c>
      <c r="G123" s="52">
        <f>'เย็น '!G123+'เช้า '!G123+บ่าย!G123</f>
        <v>116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1"/>
        <v>141</v>
      </c>
      <c r="M123" s="11">
        <v>350</v>
      </c>
      <c r="N123" s="11"/>
      <c r="O123" s="11">
        <v>478</v>
      </c>
      <c r="P123" s="47">
        <f t="shared" si="12"/>
        <v>687</v>
      </c>
      <c r="S123" s="51"/>
    </row>
    <row r="124" spans="2:19" x14ac:dyDescent="0.3">
      <c r="B124" s="11">
        <v>1114502</v>
      </c>
      <c r="C124" s="22" t="s">
        <v>96</v>
      </c>
      <c r="D124" s="31">
        <f>'เย็น '!D124+'เช้า '!D124+บ่าย!D124</f>
        <v>0</v>
      </c>
      <c r="E124" s="52">
        <f>'เย็น '!E124+'เช้า '!E124+บ่าย!E124</f>
        <v>7</v>
      </c>
      <c r="F124" s="52">
        <f>'เย็น '!F124+'เช้า '!F124+บ่าย!F124</f>
        <v>6</v>
      </c>
      <c r="G124" s="52">
        <f>'เย็น '!G124+'เช้า '!G124+บ่าย!G124</f>
        <v>114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1"/>
        <v>127</v>
      </c>
      <c r="M124" s="11">
        <v>350</v>
      </c>
      <c r="N124" s="11"/>
      <c r="O124" s="11">
        <v>519</v>
      </c>
      <c r="P124" s="47">
        <f t="shared" si="12"/>
        <v>742</v>
      </c>
      <c r="S124" s="51"/>
    </row>
    <row r="125" spans="2:19" x14ac:dyDescent="0.3">
      <c r="B125" s="11">
        <v>1114503</v>
      </c>
      <c r="C125" s="22" t="s">
        <v>97</v>
      </c>
      <c r="D125" s="31">
        <f>'เย็น '!D125+'เช้า '!D125+บ่าย!D125</f>
        <v>0</v>
      </c>
      <c r="E125" s="52">
        <f>'เย็น '!E125+'เช้า '!E125+บ่าย!E125</f>
        <v>5</v>
      </c>
      <c r="F125" s="31">
        <f>'เย็น '!F125+'เช้า '!F125+บ่าย!F125</f>
        <v>5</v>
      </c>
      <c r="G125" s="52">
        <f>'เย็น '!G125+'เช้า '!G125+บ่าย!G125</f>
        <v>115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1"/>
        <v>125</v>
      </c>
      <c r="M125" s="11">
        <v>350</v>
      </c>
      <c r="N125" s="11"/>
      <c r="O125" s="11">
        <v>571</v>
      </c>
      <c r="P125" s="47">
        <f t="shared" si="12"/>
        <v>796</v>
      </c>
      <c r="S125" s="51"/>
    </row>
    <row r="126" spans="2:19" x14ac:dyDescent="0.3">
      <c r="B126" s="11">
        <v>1124021</v>
      </c>
      <c r="C126" s="22" t="s">
        <v>98</v>
      </c>
      <c r="D126" s="31">
        <f>'เย็น '!D126+'เช้า '!D126+บ่าย!D126</f>
        <v>0</v>
      </c>
      <c r="E126" s="52">
        <f>'เย็น '!E126+'เช้า '!E126+บ่าย!E126</f>
        <v>24</v>
      </c>
      <c r="F126" s="52">
        <f>'เย็น '!F126+'เช้า '!F126+บ่าย!F126</f>
        <v>50</v>
      </c>
      <c r="G126" s="52">
        <f>'เย็น '!G126+'เช้า '!G126+บ่าย!G126</f>
        <v>48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1"/>
        <v>122</v>
      </c>
      <c r="M126" s="11">
        <v>200</v>
      </c>
      <c r="N126" s="11"/>
      <c r="O126" s="11">
        <v>45</v>
      </c>
      <c r="P126" s="47">
        <f t="shared" si="12"/>
        <v>123</v>
      </c>
      <c r="S126" s="51"/>
    </row>
    <row r="127" spans="2:19" x14ac:dyDescent="0.3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1"/>
        <v>0</v>
      </c>
      <c r="M127" s="11"/>
      <c r="N127" s="11"/>
      <c r="O127" s="11"/>
      <c r="P127" s="47">
        <f t="shared" si="12"/>
        <v>0</v>
      </c>
    </row>
    <row r="128" spans="2:19" x14ac:dyDescent="0.3">
      <c r="B128" s="11">
        <v>900003</v>
      </c>
      <c r="C128" s="22" t="s">
        <v>133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1"/>
        <v>0</v>
      </c>
      <c r="M128" s="11"/>
      <c r="N128" s="11"/>
      <c r="O128" s="11"/>
      <c r="P128" s="47">
        <f t="shared" si="12"/>
        <v>0</v>
      </c>
    </row>
    <row r="129" spans="2:16" x14ac:dyDescent="0.3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1"/>
        <v>0</v>
      </c>
      <c r="M129" s="11"/>
      <c r="N129" s="11"/>
      <c r="O129" s="11"/>
      <c r="P129" s="47">
        <f t="shared" si="12"/>
        <v>0</v>
      </c>
    </row>
    <row r="130" spans="2:16" x14ac:dyDescent="0.3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1"/>
        <v>0</v>
      </c>
      <c r="M130" s="11"/>
      <c r="N130" s="11"/>
      <c r="O130" s="11"/>
      <c r="P130" s="47">
        <f t="shared" si="12"/>
        <v>0</v>
      </c>
    </row>
    <row r="131" spans="2:16" x14ac:dyDescent="0.3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1"/>
        <v>0</v>
      </c>
      <c r="M131" s="11"/>
      <c r="N131" s="11"/>
      <c r="O131" s="11"/>
      <c r="P131" s="47">
        <f t="shared" si="12"/>
        <v>0</v>
      </c>
    </row>
    <row r="132" spans="2:16" x14ac:dyDescent="0.3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1"/>
        <v>0</v>
      </c>
      <c r="M132" s="11"/>
      <c r="N132" s="11"/>
      <c r="O132" s="11"/>
      <c r="P132" s="47">
        <f t="shared" si="12"/>
        <v>0</v>
      </c>
    </row>
    <row r="133" spans="2:16" x14ac:dyDescent="0.3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1"/>
        <v>0</v>
      </c>
      <c r="M133" s="11"/>
      <c r="N133" s="11"/>
      <c r="O133" s="11"/>
      <c r="P133" s="47">
        <f t="shared" si="12"/>
        <v>0</v>
      </c>
    </row>
    <row r="134" spans="2:16" x14ac:dyDescent="0.3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1"/>
        <v>0</v>
      </c>
      <c r="M134" s="11"/>
      <c r="N134" s="11"/>
      <c r="O134" s="11"/>
      <c r="P134" s="47">
        <f t="shared" si="12"/>
        <v>0</v>
      </c>
    </row>
    <row r="135" spans="2:16" x14ac:dyDescent="0.3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1"/>
        <v>0</v>
      </c>
      <c r="M135" s="11"/>
      <c r="N135" s="11"/>
      <c r="O135" s="11"/>
      <c r="P135" s="47">
        <f t="shared" si="12"/>
        <v>0</v>
      </c>
    </row>
    <row r="136" spans="2:16" x14ac:dyDescent="0.3">
      <c r="B136" s="23"/>
      <c r="C136" s="22" t="s">
        <v>125</v>
      </c>
      <c r="D136" s="31">
        <f>'เย็น '!D136+'เช้า '!D136+บ่าย!D136</f>
        <v>0</v>
      </c>
      <c r="E136" s="52">
        <f>'เย็น '!E136+'เช้า '!E136+บ่าย!E136</f>
        <v>6</v>
      </c>
      <c r="F136" s="52">
        <f>'เย็น '!F136+'เช้า '!F136+บ่าย!F136</f>
        <v>2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1"/>
        <v>8</v>
      </c>
      <c r="M136" s="11"/>
      <c r="N136" s="11"/>
      <c r="O136" s="11"/>
      <c r="P136" s="47">
        <f t="shared" si="12"/>
        <v>-8</v>
      </c>
    </row>
    <row r="137" spans="2:16" x14ac:dyDescent="0.3">
      <c r="B137" s="23">
        <v>20052721</v>
      </c>
      <c r="C137" s="22" t="s">
        <v>131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1"/>
        <v>0</v>
      </c>
      <c r="M137" s="11"/>
      <c r="N137" s="11"/>
      <c r="O137" s="11"/>
      <c r="P137" s="47">
        <f t="shared" si="12"/>
        <v>0</v>
      </c>
    </row>
    <row r="138" spans="2:16" ht="40.5" customHeight="1" x14ac:dyDescent="0.3">
      <c r="C138" s="36"/>
      <c r="D138" s="37">
        <f t="shared" ref="D138:L138" si="13">SUM(D114:D137,D90:D99,D79:D87,D69:D76,D7:D66)</f>
        <v>0</v>
      </c>
      <c r="E138" s="37">
        <f t="shared" si="13"/>
        <v>179</v>
      </c>
      <c r="F138" s="37">
        <f t="shared" si="13"/>
        <v>142</v>
      </c>
      <c r="G138" s="37">
        <f t="shared" si="13"/>
        <v>1444</v>
      </c>
      <c r="H138" s="37">
        <f t="shared" si="13"/>
        <v>0</v>
      </c>
      <c r="I138" s="37">
        <f t="shared" si="13"/>
        <v>0</v>
      </c>
      <c r="J138" s="37">
        <f t="shared" si="13"/>
        <v>0</v>
      </c>
      <c r="K138" s="37"/>
      <c r="L138" s="37">
        <f t="shared" si="13"/>
        <v>2015</v>
      </c>
      <c r="M138" s="41">
        <f>SUM(M114:M137,M90:M98,M79:M87,M69:M76,M7:M66)</f>
        <v>2860</v>
      </c>
      <c r="N138" s="41"/>
      <c r="O138" s="41">
        <f>SUM(O114:O137,O90:O98,O79:O87,O69:O76,O7:O66)</f>
        <v>4050</v>
      </c>
      <c r="P138" s="41">
        <f>SUM(P114:P137,P90:P98,P79:P87,P69:P76,P7:P66)</f>
        <v>4895</v>
      </c>
    </row>
    <row r="139" spans="2:16" x14ac:dyDescent="0.3">
      <c r="B139" s="40"/>
      <c r="C139" s="36"/>
      <c r="D139" s="41"/>
      <c r="E139" s="41"/>
      <c r="F139" s="41"/>
      <c r="G139" s="41"/>
      <c r="H139" s="41"/>
      <c r="I139" s="41"/>
      <c r="J139" s="41"/>
      <c r="K139" s="41"/>
      <c r="L139" s="42"/>
    </row>
    <row r="140" spans="2:16" x14ac:dyDescent="0.3">
      <c r="B140" s="40"/>
      <c r="C140" s="36"/>
      <c r="D140" s="41"/>
      <c r="E140" s="41"/>
      <c r="F140" s="41"/>
      <c r="G140" s="41"/>
      <c r="H140" s="41"/>
      <c r="I140" s="41"/>
      <c r="J140" s="41"/>
      <c r="K140" s="41"/>
      <c r="L140" s="42"/>
    </row>
    <row r="141" spans="2:16" x14ac:dyDescent="0.3">
      <c r="C141" s="25"/>
      <c r="D141" s="32"/>
      <c r="E141" s="56"/>
      <c r="F141" s="56"/>
      <c r="G141" s="27"/>
      <c r="L141" s="43"/>
    </row>
    <row r="142" spans="2:16" x14ac:dyDescent="0.3">
      <c r="B142" s="56" t="s">
        <v>104</v>
      </c>
      <c r="C142" s="56"/>
      <c r="D142" s="33"/>
      <c r="E142" s="53"/>
      <c r="F142" s="53"/>
      <c r="G142" s="28"/>
      <c r="H142" s="27"/>
      <c r="I142" s="56" t="s">
        <v>104</v>
      </c>
      <c r="J142" s="56"/>
      <c r="K142" s="56"/>
      <c r="L142" s="56"/>
    </row>
    <row r="143" spans="2:16" x14ac:dyDescent="0.3">
      <c r="B143" s="53" t="s">
        <v>105</v>
      </c>
      <c r="C143" s="53"/>
      <c r="D143" s="34"/>
      <c r="E143" s="34"/>
      <c r="F143" s="34"/>
      <c r="G143" s="34"/>
      <c r="H143" s="34"/>
      <c r="I143" s="53" t="s">
        <v>106</v>
      </c>
      <c r="J143" s="53"/>
      <c r="K143" s="53"/>
      <c r="L143" s="53"/>
    </row>
    <row r="144" spans="2:16" x14ac:dyDescent="0.3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x14ac:dyDescent="0.3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x14ac:dyDescent="0.3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x14ac:dyDescent="0.3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x14ac:dyDescent="0.3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x14ac:dyDescent="0.3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3">
      <c r="D150" s="32"/>
      <c r="E150" s="32"/>
      <c r="F150" s="32"/>
      <c r="G150" s="32"/>
      <c r="H150" s="32"/>
    </row>
    <row r="151" spans="2:12" x14ac:dyDescent="0.3">
      <c r="D151" s="32"/>
      <c r="E151" s="32"/>
      <c r="F151" s="32"/>
      <c r="G151" s="32"/>
      <c r="H151" s="32"/>
    </row>
    <row r="152" spans="2:12" x14ac:dyDescent="0.3">
      <c r="D152" s="32"/>
      <c r="E152" s="32"/>
      <c r="F152" s="32"/>
      <c r="G152" s="32"/>
      <c r="H152" s="32"/>
    </row>
    <row r="153" spans="2:12" x14ac:dyDescent="0.3">
      <c r="D153" s="32"/>
      <c r="E153" s="32"/>
      <c r="F153" s="32"/>
      <c r="G153" s="32"/>
      <c r="H153" s="32"/>
    </row>
    <row r="154" spans="2:12" x14ac:dyDescent="0.3">
      <c r="D154" s="32"/>
      <c r="E154" s="32"/>
      <c r="F154" s="32"/>
      <c r="G154" s="32"/>
      <c r="H154" s="32"/>
    </row>
    <row r="155" spans="2:12" x14ac:dyDescent="0.3">
      <c r="D155" s="32"/>
      <c r="E155" s="32"/>
      <c r="F155" s="32"/>
      <c r="G155" s="32"/>
      <c r="H155" s="32"/>
    </row>
    <row r="156" spans="2:12" x14ac:dyDescent="0.3">
      <c r="D156" s="32"/>
      <c r="E156" s="32"/>
      <c r="F156" s="32"/>
      <c r="G156" s="32"/>
      <c r="H156" s="32"/>
    </row>
    <row r="157" spans="2:12" x14ac:dyDescent="0.3">
      <c r="D157" s="32"/>
      <c r="E157" s="32"/>
      <c r="F157" s="32"/>
      <c r="G157" s="32"/>
      <c r="H157" s="32"/>
    </row>
    <row r="158" spans="2:12" x14ac:dyDescent="0.3">
      <c r="D158" s="32"/>
      <c r="E158" s="32"/>
      <c r="F158" s="32"/>
      <c r="G158" s="32"/>
      <c r="H158" s="32"/>
    </row>
    <row r="159" spans="2:12" x14ac:dyDescent="0.3">
      <c r="D159" s="32"/>
      <c r="E159" s="32"/>
      <c r="F159" s="32"/>
      <c r="G159" s="32"/>
      <c r="H159" s="32"/>
    </row>
    <row r="160" spans="2:12" x14ac:dyDescent="0.3">
      <c r="D160" s="32"/>
      <c r="E160" s="32"/>
      <c r="F160" s="32"/>
      <c r="G160" s="32"/>
      <c r="H160" s="32"/>
    </row>
  </sheetData>
  <mergeCells count="19">
    <mergeCell ref="B1:L1"/>
    <mergeCell ref="B2:C3"/>
    <mergeCell ref="E2:F3"/>
    <mergeCell ref="M2:M4"/>
    <mergeCell ref="N2:N4"/>
    <mergeCell ref="B143:C143"/>
    <mergeCell ref="I143:L143"/>
    <mergeCell ref="P2:P4"/>
    <mergeCell ref="B6:P6"/>
    <mergeCell ref="B68:P68"/>
    <mergeCell ref="B78:P78"/>
    <mergeCell ref="B89:P89"/>
    <mergeCell ref="B101:P101"/>
    <mergeCell ref="O2:O4"/>
    <mergeCell ref="B113:P113"/>
    <mergeCell ref="E141:F141"/>
    <mergeCell ref="B142:C142"/>
    <mergeCell ref="E142:F142"/>
    <mergeCell ref="I142:L142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2024-12-08T00:18:26Z</cp:lastPrinted>
  <dcterms:created xsi:type="dcterms:W3CDTF">2024-04-30T05:21:27Z</dcterms:created>
  <dcterms:modified xsi:type="dcterms:W3CDTF">2024-12-08T07:07:25Z</dcterms:modified>
</cp:coreProperties>
</file>