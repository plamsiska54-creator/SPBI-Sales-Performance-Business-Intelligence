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3B26CA3-4922-49A1-BBFE-FCBEF858BE67}" xr6:coauthVersionLast="47" xr6:coauthVersionMax="47" xr10:uidLastSave="{00000000-0000-0000-0000-000000000000}"/>
  <bookViews>
    <workbookView xWindow="3675" yWindow="765" windowWidth="19080" windowHeight="1347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5" i="5" l="1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12" i="6" s="1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12" i="3" s="1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P77" i="5"/>
  <c r="L130" i="5" l="1"/>
  <c r="L129" i="5"/>
  <c r="L90" i="5"/>
  <c r="L93" i="5"/>
  <c r="L95" i="5"/>
  <c r="L127" i="5"/>
  <c r="L118" i="5"/>
  <c r="L131" i="5"/>
  <c r="L133" i="5"/>
  <c r="L126" i="5"/>
  <c r="L135" i="5"/>
  <c r="L119" i="5"/>
  <c r="L124" i="5"/>
  <c r="L117" i="5"/>
  <c r="L94" i="5"/>
  <c r="L128" i="5"/>
  <c r="L96" i="5"/>
  <c r="L125" i="5"/>
  <c r="L121" i="5"/>
  <c r="L134" i="5"/>
  <c r="L120" i="5"/>
  <c r="L87" i="5"/>
  <c r="L115" i="5"/>
  <c r="L92" i="5"/>
  <c r="L98" i="5"/>
  <c r="L137" i="5"/>
  <c r="L136" i="5"/>
  <c r="L97" i="5"/>
  <c r="L91" i="5"/>
  <c r="L123" i="5"/>
  <c r="L132" i="5"/>
  <c r="L122" i="5"/>
  <c r="L116" i="5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L102" i="5" s="1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79" i="5" l="1"/>
  <c r="L70" i="5"/>
  <c r="L75" i="5"/>
  <c r="L73" i="5"/>
  <c r="L27" i="5"/>
  <c r="L109" i="5"/>
  <c r="L72" i="5"/>
  <c r="L11" i="5"/>
  <c r="L76" i="5"/>
  <c r="L59" i="5"/>
  <c r="L43" i="5"/>
  <c r="L7" i="5"/>
  <c r="L111" i="5"/>
  <c r="P111" i="5" s="1"/>
  <c r="L54" i="5"/>
  <c r="L38" i="5"/>
  <c r="L71" i="5"/>
  <c r="L47" i="5"/>
  <c r="L15" i="5"/>
  <c r="L8" i="5"/>
  <c r="L49" i="5"/>
  <c r="L33" i="5"/>
  <c r="L17" i="5"/>
  <c r="L81" i="5"/>
  <c r="L58" i="5"/>
  <c r="L42" i="5"/>
  <c r="L26" i="5"/>
  <c r="L10" i="5"/>
  <c r="L69" i="5"/>
  <c r="L108" i="5"/>
  <c r="P108" i="5" s="1"/>
  <c r="L20" i="5"/>
  <c r="L52" i="5"/>
  <c r="L61" i="5"/>
  <c r="L28" i="5"/>
  <c r="L12" i="5"/>
  <c r="L110" i="5"/>
  <c r="P110" i="5" s="1"/>
  <c r="L53" i="5"/>
  <c r="L37" i="5"/>
  <c r="L21" i="5"/>
  <c r="L85" i="5"/>
  <c r="L103" i="5"/>
  <c r="P103" i="5" s="1"/>
  <c r="L84" i="5"/>
  <c r="L29" i="5"/>
  <c r="L105" i="5"/>
  <c r="P105" i="5" s="1"/>
  <c r="L31" i="5"/>
  <c r="L56" i="5"/>
  <c r="L106" i="5"/>
  <c r="P106" i="5" s="1"/>
  <c r="L51" i="5"/>
  <c r="L19" i="5"/>
  <c r="L83" i="5"/>
  <c r="L46" i="5"/>
  <c r="L30" i="5"/>
  <c r="L55" i="5"/>
  <c r="L39" i="5"/>
  <c r="L64" i="5"/>
  <c r="L48" i="5"/>
  <c r="L32" i="5"/>
  <c r="L16" i="5"/>
  <c r="L74" i="5"/>
  <c r="L80" i="5"/>
  <c r="L13" i="5"/>
  <c r="L86" i="5"/>
  <c r="L40" i="5"/>
  <c r="L24" i="5"/>
  <c r="L65" i="5"/>
  <c r="L60" i="5"/>
  <c r="L14" i="5"/>
  <c r="L57" i="5"/>
  <c r="L41" i="5"/>
  <c r="L25" i="5"/>
  <c r="L9" i="5"/>
  <c r="L107" i="5"/>
  <c r="P107" i="5" s="1"/>
  <c r="L36" i="5"/>
  <c r="L45" i="5"/>
  <c r="L22" i="5"/>
  <c r="L104" i="5"/>
  <c r="P104" i="5" s="1"/>
  <c r="L63" i="5"/>
  <c r="L99" i="5"/>
  <c r="L35" i="5"/>
  <c r="L44" i="5"/>
  <c r="L62" i="5"/>
  <c r="L23" i="5"/>
  <c r="L66" i="5"/>
  <c r="L50" i="5"/>
  <c r="L34" i="5"/>
  <c r="L18" i="5"/>
  <c r="L82" i="5"/>
  <c r="P109" i="5"/>
  <c r="P102" i="5"/>
  <c r="L112" i="5" l="1"/>
  <c r="P112" i="5" s="1"/>
  <c r="L88" i="5"/>
  <c r="P88" i="5" s="1"/>
  <c r="L67" i="5"/>
  <c r="P67" i="5" s="1"/>
  <c r="P75" i="5" l="1"/>
  <c r="P114" i="5"/>
  <c r="P115" i="5"/>
  <c r="P137" i="5"/>
  <c r="P66" i="5"/>
  <c r="P127" i="5"/>
  <c r="H138" i="5"/>
  <c r="J138" i="5"/>
  <c r="P76" i="5"/>
  <c r="P72" i="5"/>
  <c r="D138" i="5"/>
  <c r="G138" i="5"/>
  <c r="F138" i="5"/>
  <c r="I138" i="5"/>
  <c r="E138" i="5"/>
  <c r="P53" i="5"/>
  <c r="P50" i="5"/>
  <c r="P46" i="5"/>
  <c r="P37" i="5"/>
  <c r="P33" i="5"/>
  <c r="P29" i="5"/>
  <c r="P27" i="5"/>
  <c r="P11" i="5"/>
  <c r="P79" i="5"/>
  <c r="P119" i="5"/>
  <c r="P81" i="5"/>
  <c r="P73" i="5"/>
  <c r="P74" i="5"/>
  <c r="P59" i="5"/>
  <c r="P35" i="5"/>
  <c r="P15" i="5"/>
  <c r="P43" i="5"/>
  <c r="P39" i="5"/>
  <c r="P23" i="5"/>
  <c r="P19" i="5"/>
  <c r="P133" i="5"/>
  <c r="P132" i="5"/>
  <c r="P128" i="5"/>
  <c r="P126" i="5"/>
  <c r="P120" i="5"/>
  <c r="P116" i="5"/>
  <c r="P135" i="5"/>
  <c r="P134" i="5"/>
  <c r="P131" i="5"/>
  <c r="P129" i="5"/>
  <c r="P121" i="5"/>
  <c r="P117" i="5"/>
  <c r="P99" i="5"/>
  <c r="P97" i="5"/>
  <c r="P94" i="5"/>
  <c r="P93" i="5"/>
  <c r="P96" i="5"/>
  <c r="P95" i="5"/>
  <c r="P84" i="5"/>
  <c r="P80" i="5"/>
  <c r="P83" i="5"/>
  <c r="P85" i="5"/>
  <c r="P86" i="5"/>
  <c r="P82" i="5"/>
  <c r="P71" i="5"/>
  <c r="P70" i="5"/>
  <c r="P56" i="5"/>
  <c r="P36" i="5"/>
  <c r="P32" i="5"/>
  <c r="P28" i="5"/>
  <c r="P24" i="5"/>
  <c r="P20" i="5"/>
  <c r="P16" i="5"/>
  <c r="P12" i="5"/>
  <c r="P8" i="5"/>
  <c r="P55" i="5"/>
  <c r="P31" i="5"/>
  <c r="P49" i="5"/>
  <c r="P21" i="5"/>
  <c r="P17" i="5"/>
  <c r="P13" i="5"/>
  <c r="P9" i="5"/>
  <c r="P54" i="5"/>
  <c r="P38" i="5"/>
  <c r="P34" i="5"/>
  <c r="P30" i="5"/>
  <c r="P22" i="5"/>
  <c r="P18" i="5"/>
  <c r="P14" i="5"/>
  <c r="P10" i="5"/>
  <c r="P63" i="5"/>
  <c r="P51" i="5"/>
  <c r="P47" i="5"/>
  <c r="P64" i="5"/>
  <c r="P60" i="5"/>
  <c r="P52" i="5"/>
  <c r="P48" i="5"/>
  <c r="P45" i="5"/>
  <c r="P41" i="5"/>
  <c r="P62" i="5"/>
  <c r="P58" i="5"/>
  <c r="P42" i="5"/>
  <c r="P25" i="5"/>
  <c r="P92" i="5"/>
  <c r="P118" i="5"/>
  <c r="P136" i="5"/>
  <c r="P130" i="5"/>
  <c r="P122" i="5"/>
  <c r="P65" i="5"/>
  <c r="P61" i="5"/>
  <c r="P57" i="5"/>
  <c r="P44" i="5"/>
  <c r="P90" i="5"/>
  <c r="P69" i="5"/>
  <c r="P7" i="5"/>
  <c r="P125" i="5"/>
  <c r="P124" i="5"/>
  <c r="P98" i="5"/>
  <c r="P91" i="5"/>
  <c r="P87" i="5"/>
  <c r="P123" i="5"/>
  <c r="P40" i="5"/>
  <c r="P26" i="5"/>
  <c r="M138" i="5"/>
  <c r="O138" i="5"/>
  <c r="L100" i="5" l="1"/>
  <c r="P100" i="5" s="1"/>
  <c r="L138" i="5"/>
  <c r="L100" i="4" l="1"/>
  <c r="L112" i="4" l="1"/>
  <c r="P138" i="5" l="1"/>
</calcChain>
</file>

<file path=xl/sharedStrings.xml><?xml version="1.0" encoding="utf-8"?>
<sst xmlns="http://schemas.openxmlformats.org/spreadsheetml/2006/main" count="604" uniqueCount="141">
  <si>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</si>
  <si>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</si>
  <si>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</si>
  <si>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</si>
  <si>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</si>
  <si>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</si>
  <si>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</si>
  <si>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</si>
  <si>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</si>
  <si>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</si>
  <si>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</si>
  <si>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</si>
  <si>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</si>
  <si>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</si>
  <si>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</si>
  <si>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</si>
  <si>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</si>
  <si>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</si>
  <si>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</si>
  <si>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</si>
  <si>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</si>
  <si>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</si>
  <si>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</si>
  <si>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</si>
  <si>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</si>
  <si>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</si>
  <si>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</si>
  <si>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</si>
  <si>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</si>
  <si>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</si>
  <si>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</si>
  <si>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</si>
  <si>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</si>
  <si>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</si>
  <si>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</si>
  <si>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</si>
  <si>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</si>
  <si>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</si>
  <si>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</si>
  <si>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</si>
  <si>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</si>
  <si>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</si>
  <si>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</si>
  <si>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</si>
  <si>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</si>
  <si>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</si>
  <si>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</si>
  <si>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</si>
  <si>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</si>
  <si>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</si>
  <si>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</si>
  <si>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</si>
  <si>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</si>
  <si>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</si>
  <si>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</si>
  <si>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</si>
  <si>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</si>
  <si>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</si>
  <si>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</si>
  <si>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</si>
  <si>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</si>
  <si>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</si>
  <si>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</si>
  <si>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</si>
  <si>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</si>
  <si>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</si>
  <si>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</si>
  <si>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</si>
  <si>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</si>
  <si>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</si>
  <si>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</si>
  <si>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</si>
  <si>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</si>
  <si>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</si>
  <si>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</si>
  <si>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</si>
  <si>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</si>
  <si>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</si>
  <si>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</si>
  <si>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</si>
  <si>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</si>
  <si>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</si>
  <si>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</si>
  <si>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</si>
  <si>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</si>
  <si>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</si>
  <si>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</si>
  <si>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</si>
  <si>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</si>
  <si>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</si>
  <si>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</si>
  <si>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</si>
  <si>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</si>
  <si>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</si>
  <si>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</si>
  <si>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</si>
  <si>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</si>
  <si>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</si>
  <si>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</si>
  <si>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</si>
  <si>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</si>
  <si>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</si>
  <si>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</si>
  <si>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</si>
  <si>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</si>
  <si>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</si>
  <si>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</si>
  <si>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</si>
  <si>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</si>
  <si>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</si>
  <si>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</si>
  <si>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</si>
  <si>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</si>
  <si>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</si>
  <si>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</si>
  <si>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</si>
  <si>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</si>
  <si>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</si>
  <si>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</si>
  <si>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</si>
  <si>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</si>
  <si>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</si>
  <si>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</si>
  <si>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</si>
  <si>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</si>
  <si>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</si>
  <si>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</si>
  <si>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</si>
  <si>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</si>
  <si>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</si>
  <si>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</si>
  <si>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</si>
  <si>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</si>
  <si>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</si>
  <si>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</si>
  <si>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</si>
  <si>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</si>
  <si>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</si>
  <si>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ยอดจริง ออนไลน์ วันที่ 6/12/2567 - เช้า</t>
  </si>
  <si>
    <t>ยอดจริง ออนไลน์ วันที่  6/12/2567รวม</t>
  </si>
  <si>
    <t>ยอดจริง ออนไลน์ วันที่ 6/12/2567 -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</si>
</sst>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58"/>
  <sheetViews>
    <sheetView zoomScale="60" zoomScaleNormal="60" workbookViewId="0">
      <selection activeCell="B2" sqref="B2:C3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7" t="s">
        <v>137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2" x14ac:dyDescent="0.2">
      <c r="B2" s="53"/>
      <c r="C2" s="54"/>
      <c r="D2" s="1"/>
      <c r="E2" s="55"/>
      <c r="F2" s="55"/>
      <c r="G2" s="2"/>
      <c r="H2" s="2"/>
      <c r="I2" s="2"/>
      <c r="J2" s="2"/>
      <c r="K2" s="2"/>
      <c r="L2" s="3" t="s">
        <v>0</v>
      </c>
    </row>
    <row r="3" spans="2:12" x14ac:dyDescent="0.2">
      <c r="B3" s="53"/>
      <c r="C3" s="54"/>
      <c r="D3" s="4"/>
      <c r="E3" s="56"/>
      <c r="F3" s="56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1" t="s">
        <v>11</v>
      </c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6"/>
      <c r="K7" s="46"/>
      <c r="L7" s="37">
        <f>SUM(D7:K7)</f>
        <v>0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6"/>
      <c r="K25" s="46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6"/>
      <c r="K26" s="46"/>
      <c r="L26" s="37">
        <f t="shared" si="0"/>
        <v>0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6"/>
      <c r="K40" s="46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6"/>
      <c r="K41" s="46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6"/>
      <c r="K42" s="46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6"/>
      <c r="K43" s="46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6"/>
      <c r="K44" s="46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6"/>
      <c r="K50" s="46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6"/>
      <c r="K56" s="46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6"/>
      <c r="K57" s="46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6"/>
      <c r="K58" s="46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6"/>
      <c r="K59" s="46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6"/>
      <c r="K60" s="46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6"/>
      <c r="K61" s="46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6"/>
      <c r="K62" s="46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6"/>
      <c r="K63" s="46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6"/>
      <c r="K64" s="46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6"/>
      <c r="K65" s="46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1" t="s">
        <v>55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6"/>
      <c r="K69" s="46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1" t="s">
        <v>64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6"/>
      <c r="K87" s="46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1" t="s">
        <v>74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6"/>
      <c r="K90" s="46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6"/>
      <c r="K91" s="46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6"/>
      <c r="K92" s="46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6"/>
      <c r="K93" s="46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6"/>
      <c r="K96" s="46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6"/>
      <c r="K97" s="46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6"/>
      <c r="K98" s="46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1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1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6"/>
      <c r="K115" s="46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6"/>
      <c r="K116" s="46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6"/>
      <c r="K118" s="46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6"/>
      <c r="K119" s="46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6"/>
      <c r="K120" s="46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6"/>
      <c r="K121" s="46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6"/>
      <c r="K122" s="46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6"/>
      <c r="K123" s="46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6"/>
      <c r="K124" s="46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6"/>
      <c r="K125" s="46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6"/>
      <c r="K126" s="46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6"/>
      <c r="K136" s="46"/>
      <c r="L136" s="37">
        <f t="shared" si="6"/>
        <v>0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9"/>
      <c r="F139" s="59"/>
      <c r="G139" s="27"/>
      <c r="L139" s="39"/>
    </row>
    <row r="140" spans="2:12" x14ac:dyDescent="0.2">
      <c r="B140" s="59" t="s">
        <v>104</v>
      </c>
      <c r="C140" s="59"/>
      <c r="D140" s="33"/>
      <c r="E140" s="58"/>
      <c r="F140" s="58"/>
      <c r="G140" s="28"/>
      <c r="H140" s="27"/>
      <c r="I140" s="59" t="s">
        <v>104</v>
      </c>
      <c r="J140" s="59"/>
      <c r="K140" s="59"/>
      <c r="L140" s="59"/>
    </row>
    <row r="141" spans="2:12" x14ac:dyDescent="0.2">
      <c r="B141" s="58" t="s">
        <v>105</v>
      </c>
      <c r="C141" s="58"/>
      <c r="D141" s="34"/>
      <c r="E141" s="34"/>
      <c r="F141" s="34"/>
      <c r="G141" s="34"/>
      <c r="H141" s="34"/>
      <c r="I141" s="58" t="s">
        <v>106</v>
      </c>
      <c r="J141" s="58"/>
      <c r="K141" s="58"/>
      <c r="L141" s="58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E140:F140"/>
    <mergeCell ref="B141:C141"/>
    <mergeCell ref="B89:L89"/>
    <mergeCell ref="B101:L101"/>
    <mergeCell ref="B113:L113"/>
    <mergeCell ref="E139:F139"/>
    <mergeCell ref="B140:C140"/>
    <mergeCell ref="I140:L140"/>
    <mergeCell ref="I141:L141"/>
    <mergeCell ref="B78:L78"/>
    <mergeCell ref="B2:C3"/>
    <mergeCell ref="E2:F3"/>
    <mergeCell ref="B1:L1"/>
    <mergeCell ref="B6:L6"/>
    <mergeCell ref="B68:L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58"/>
  <sheetViews>
    <sheetView zoomScale="60" zoomScaleNormal="60" workbookViewId="0">
      <selection activeCell="E137" sqref="E137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7" t="s">
        <v>138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2" x14ac:dyDescent="0.2">
      <c r="B2" s="53"/>
      <c r="C2" s="54"/>
      <c r="D2" s="1"/>
      <c r="E2" s="55"/>
      <c r="F2" s="55"/>
      <c r="G2" s="2"/>
      <c r="H2" s="2"/>
      <c r="I2" s="2"/>
      <c r="J2" s="2"/>
      <c r="K2" s="2"/>
      <c r="L2" s="3" t="s">
        <v>0</v>
      </c>
    </row>
    <row r="3" spans="2:12" x14ac:dyDescent="0.2">
      <c r="B3" s="53"/>
      <c r="C3" s="54"/>
      <c r="D3" s="4"/>
      <c r="E3" s="56"/>
      <c r="F3" s="56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1" t="s">
        <v>11</v>
      </c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2:12" x14ac:dyDescent="0.2">
      <c r="B7" s="11">
        <v>1111002</v>
      </c>
      <c r="C7" s="15" t="s">
        <v>107</v>
      </c>
      <c r="D7" s="31">
        <v>15</v>
      </c>
      <c r="E7" s="31">
        <v>41</v>
      </c>
      <c r="F7" s="31">
        <v>65</v>
      </c>
      <c r="G7" s="31"/>
      <c r="H7" s="31"/>
      <c r="I7" s="31"/>
      <c r="J7" s="46"/>
      <c r="K7" s="46"/>
      <c r="L7" s="37">
        <f>SUM(D7:K7)</f>
        <v>121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10</v>
      </c>
      <c r="E25" s="31">
        <v>2</v>
      </c>
      <c r="F25" s="31">
        <v>15</v>
      </c>
      <c r="G25" s="31"/>
      <c r="H25" s="31"/>
      <c r="I25" s="31"/>
      <c r="J25" s="46"/>
      <c r="K25" s="46"/>
      <c r="L25" s="37">
        <f t="shared" si="0"/>
        <v>27</v>
      </c>
    </row>
    <row r="26" spans="2:12" x14ac:dyDescent="0.2">
      <c r="B26" s="11">
        <v>1004055</v>
      </c>
      <c r="C26" s="15" t="s">
        <v>108</v>
      </c>
      <c r="D26" s="31">
        <v>11</v>
      </c>
      <c r="E26" s="31"/>
      <c r="F26" s="31">
        <v>6</v>
      </c>
      <c r="G26" s="31">
        <v>78</v>
      </c>
      <c r="H26" s="31"/>
      <c r="I26" s="31"/>
      <c r="J26" s="46"/>
      <c r="K26" s="46">
        <v>5</v>
      </c>
      <c r="L26" s="37">
        <f t="shared" si="0"/>
        <v>100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6"/>
      <c r="K40" s="46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6"/>
      <c r="K41" s="46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6"/>
      <c r="K42" s="46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6"/>
      <c r="K43" s="46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6"/>
      <c r="K44" s="46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>
        <v>1</v>
      </c>
      <c r="F50" s="31"/>
      <c r="G50" s="31"/>
      <c r="H50" s="31"/>
      <c r="I50" s="31"/>
      <c r="J50" s="46"/>
      <c r="K50" s="46"/>
      <c r="L50" s="37">
        <f t="shared" si="0"/>
        <v>1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>
        <v>2</v>
      </c>
      <c r="H56" s="31"/>
      <c r="I56" s="31"/>
      <c r="J56" s="46"/>
      <c r="K56" s="46"/>
      <c r="L56" s="37">
        <f t="shared" si="0"/>
        <v>3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>
        <v>2</v>
      </c>
      <c r="H57" s="31"/>
      <c r="I57" s="31"/>
      <c r="J57" s="46"/>
      <c r="K57" s="46"/>
      <c r="L57" s="37">
        <f t="shared" si="0"/>
        <v>3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>
        <v>2</v>
      </c>
      <c r="H58" s="31"/>
      <c r="I58" s="31"/>
      <c r="J58" s="46"/>
      <c r="K58" s="46"/>
      <c r="L58" s="37">
        <f t="shared" si="0"/>
        <v>3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>
        <v>2</v>
      </c>
      <c r="H59" s="31"/>
      <c r="I59" s="31"/>
      <c r="J59" s="46"/>
      <c r="K59" s="46"/>
      <c r="L59" s="37">
        <f t="shared" si="0"/>
        <v>3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>
        <v>2</v>
      </c>
      <c r="H60" s="31"/>
      <c r="I60" s="31"/>
      <c r="J60" s="46"/>
      <c r="K60" s="46"/>
      <c r="L60" s="37">
        <f t="shared" si="0"/>
        <v>3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>
        <v>2</v>
      </c>
      <c r="H61" s="31"/>
      <c r="I61" s="31"/>
      <c r="J61" s="46"/>
      <c r="K61" s="46"/>
      <c r="L61" s="37">
        <f t="shared" si="0"/>
        <v>3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>
        <v>2</v>
      </c>
      <c r="H62" s="31"/>
      <c r="I62" s="31"/>
      <c r="J62" s="46"/>
      <c r="K62" s="46"/>
      <c r="L62" s="37">
        <f t="shared" si="0"/>
        <v>3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>
        <v>2</v>
      </c>
      <c r="H63" s="31"/>
      <c r="I63" s="31"/>
      <c r="J63" s="46"/>
      <c r="K63" s="46"/>
      <c r="L63" s="37">
        <f t="shared" si="0"/>
        <v>3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>
        <v>1</v>
      </c>
      <c r="H64" s="31"/>
      <c r="I64" s="31"/>
      <c r="J64" s="46"/>
      <c r="K64" s="46"/>
      <c r="L64" s="37">
        <f t="shared" si="0"/>
        <v>2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>
        <v>1</v>
      </c>
      <c r="H65" s="31"/>
      <c r="I65" s="31"/>
      <c r="J65" s="46"/>
      <c r="K65" s="46"/>
      <c r="L65" s="37">
        <f t="shared" si="0"/>
        <v>2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1" t="s">
        <v>55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2:12" x14ac:dyDescent="0.2">
      <c r="B69" s="11">
        <v>1111009</v>
      </c>
      <c r="C69" s="20" t="s">
        <v>56</v>
      </c>
      <c r="D69" s="31"/>
      <c r="E69" s="31">
        <v>1</v>
      </c>
      <c r="F69" s="31">
        <v>5</v>
      </c>
      <c r="G69" s="31">
        <v>1</v>
      </c>
      <c r="H69" s="31"/>
      <c r="I69" s="31"/>
      <c r="J69" s="46"/>
      <c r="K69" s="46"/>
      <c r="L69" s="37">
        <f t="shared" ref="L69:L76" si="1">SUM(D69:K69)</f>
        <v>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1" t="s">
        <v>64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3</v>
      </c>
      <c r="E87" s="31">
        <v>6</v>
      </c>
      <c r="F87" s="31"/>
      <c r="G87" s="31">
        <v>120</v>
      </c>
      <c r="H87" s="31">
        <v>9</v>
      </c>
      <c r="I87" s="31"/>
      <c r="J87" s="46"/>
      <c r="K87" s="46"/>
      <c r="L87" s="37">
        <f t="shared" si="2"/>
        <v>138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1" t="s">
        <v>74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2:12" x14ac:dyDescent="0.2">
      <c r="B90" s="11">
        <v>1112009</v>
      </c>
      <c r="C90" s="20" t="s">
        <v>75</v>
      </c>
      <c r="D90" s="31">
        <v>12</v>
      </c>
      <c r="E90" s="31">
        <v>19</v>
      </c>
      <c r="F90" s="31">
        <v>10</v>
      </c>
      <c r="G90" s="31">
        <v>56</v>
      </c>
      <c r="H90" s="31">
        <v>15</v>
      </c>
      <c r="I90" s="31"/>
      <c r="J90" s="46"/>
      <c r="K90" s="46"/>
      <c r="L90" s="37">
        <f t="shared" ref="L90:L99" si="3">SUM(D90:K90)</f>
        <v>112</v>
      </c>
    </row>
    <row r="91" spans="2:12" x14ac:dyDescent="0.2">
      <c r="B91" s="11">
        <v>1112011</v>
      </c>
      <c r="C91" s="20" t="s">
        <v>76</v>
      </c>
      <c r="D91" s="31">
        <v>10</v>
      </c>
      <c r="E91" s="31">
        <v>19</v>
      </c>
      <c r="F91" s="31">
        <v>8</v>
      </c>
      <c r="G91" s="31">
        <v>56</v>
      </c>
      <c r="H91" s="31">
        <v>15</v>
      </c>
      <c r="I91" s="31"/>
      <c r="J91" s="46"/>
      <c r="K91" s="46"/>
      <c r="L91" s="37">
        <f t="shared" si="3"/>
        <v>108</v>
      </c>
    </row>
    <row r="92" spans="2:12" x14ac:dyDescent="0.2">
      <c r="B92" s="11">
        <v>1112003</v>
      </c>
      <c r="C92" s="20" t="s">
        <v>77</v>
      </c>
      <c r="D92" s="31">
        <v>4</v>
      </c>
      <c r="E92" s="31"/>
      <c r="F92" s="31"/>
      <c r="G92" s="31">
        <v>38</v>
      </c>
      <c r="H92" s="31">
        <v>12</v>
      </c>
      <c r="I92" s="31"/>
      <c r="J92" s="46"/>
      <c r="K92" s="46"/>
      <c r="L92" s="37">
        <f t="shared" si="3"/>
        <v>54</v>
      </c>
    </row>
    <row r="93" spans="2:12" x14ac:dyDescent="0.2">
      <c r="B93" s="11">
        <v>1112005</v>
      </c>
      <c r="C93" s="20" t="s">
        <v>78</v>
      </c>
      <c r="D93" s="31">
        <v>2</v>
      </c>
      <c r="E93" s="31"/>
      <c r="F93" s="31"/>
      <c r="G93" s="31"/>
      <c r="H93" s="31"/>
      <c r="I93" s="31"/>
      <c r="J93" s="46"/>
      <c r="K93" s="46"/>
      <c r="L93" s="37">
        <f t="shared" si="3"/>
        <v>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>
        <v>38</v>
      </c>
      <c r="H96" s="31">
        <v>12</v>
      </c>
      <c r="I96" s="31"/>
      <c r="J96" s="46"/>
      <c r="K96" s="46"/>
      <c r="L96" s="37">
        <f t="shared" si="3"/>
        <v>50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38</v>
      </c>
      <c r="H97" s="31">
        <v>12</v>
      </c>
      <c r="I97" s="31"/>
      <c r="J97" s="46"/>
      <c r="K97" s="46"/>
      <c r="L97" s="37">
        <f t="shared" si="3"/>
        <v>50</v>
      </c>
    </row>
    <row r="98" spans="2:12" x14ac:dyDescent="0.2">
      <c r="B98" s="11">
        <v>1112013</v>
      </c>
      <c r="C98" s="20" t="s">
        <v>83</v>
      </c>
      <c r="D98" s="31">
        <v>9</v>
      </c>
      <c r="E98" s="31">
        <v>20</v>
      </c>
      <c r="F98" s="31">
        <v>18</v>
      </c>
      <c r="G98" s="31">
        <v>56</v>
      </c>
      <c r="H98" s="31">
        <v>15</v>
      </c>
      <c r="I98" s="31"/>
      <c r="J98" s="46"/>
      <c r="K98" s="46"/>
      <c r="L98" s="37">
        <f t="shared" si="3"/>
        <v>118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1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1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2:12" x14ac:dyDescent="0.2">
      <c r="B114" s="11">
        <v>1113170</v>
      </c>
      <c r="C114" s="22" t="s">
        <v>87</v>
      </c>
      <c r="D114" s="31">
        <v>11</v>
      </c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11</v>
      </c>
    </row>
    <row r="115" spans="2:12" x14ac:dyDescent="0.2">
      <c r="B115" s="11">
        <v>1113171</v>
      </c>
      <c r="C115" s="22" t="s">
        <v>88</v>
      </c>
      <c r="D115" s="31">
        <v>6</v>
      </c>
      <c r="E115" s="31"/>
      <c r="F115" s="31"/>
      <c r="G115" s="31"/>
      <c r="H115" s="31"/>
      <c r="I115" s="31"/>
      <c r="J115" s="46"/>
      <c r="K115" s="46"/>
      <c r="L115" s="37">
        <f t="shared" si="6"/>
        <v>6</v>
      </c>
    </row>
    <row r="116" spans="2:12" x14ac:dyDescent="0.2">
      <c r="B116" s="11">
        <v>1113172</v>
      </c>
      <c r="C116" s="22" t="s">
        <v>89</v>
      </c>
      <c r="D116" s="31">
        <v>7</v>
      </c>
      <c r="E116" s="31"/>
      <c r="F116" s="31"/>
      <c r="G116" s="31"/>
      <c r="H116" s="31"/>
      <c r="I116" s="31"/>
      <c r="J116" s="46"/>
      <c r="K116" s="46"/>
      <c r="L116" s="37">
        <f t="shared" si="6"/>
        <v>7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6</v>
      </c>
      <c r="F118" s="31"/>
      <c r="G118" s="31"/>
      <c r="H118" s="31"/>
      <c r="I118" s="31"/>
      <c r="J118" s="46"/>
      <c r="K118" s="46"/>
      <c r="L118" s="37">
        <f t="shared" si="6"/>
        <v>6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6"/>
      <c r="K119" s="46"/>
      <c r="L119" s="37">
        <f t="shared" si="6"/>
        <v>1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6"/>
      <c r="K120" s="46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6"/>
      <c r="K121" s="46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>
        <v>1</v>
      </c>
      <c r="G122" s="31"/>
      <c r="H122" s="31">
        <v>3</v>
      </c>
      <c r="I122" s="31"/>
      <c r="J122" s="46"/>
      <c r="K122" s="46"/>
      <c r="L122" s="37">
        <f t="shared" si="6"/>
        <v>4</v>
      </c>
    </row>
    <row r="123" spans="2:12" x14ac:dyDescent="0.2">
      <c r="B123" s="11">
        <v>1114501</v>
      </c>
      <c r="C123" s="22" t="s">
        <v>95</v>
      </c>
      <c r="D123" s="31">
        <v>2</v>
      </c>
      <c r="E123" s="31">
        <v>10</v>
      </c>
      <c r="F123" s="31">
        <v>4</v>
      </c>
      <c r="G123" s="31">
        <v>144</v>
      </c>
      <c r="H123" s="31">
        <v>23</v>
      </c>
      <c r="I123" s="31"/>
      <c r="J123" s="46"/>
      <c r="K123" s="46"/>
      <c r="L123" s="37">
        <f t="shared" si="6"/>
        <v>183</v>
      </c>
    </row>
    <row r="124" spans="2:12" x14ac:dyDescent="0.2">
      <c r="B124" s="11">
        <v>1114502</v>
      </c>
      <c r="C124" s="22" t="s">
        <v>96</v>
      </c>
      <c r="D124" s="31">
        <v>2</v>
      </c>
      <c r="E124" s="31">
        <v>5</v>
      </c>
      <c r="F124" s="31">
        <v>3</v>
      </c>
      <c r="G124" s="31">
        <v>142</v>
      </c>
      <c r="H124" s="31">
        <v>23</v>
      </c>
      <c r="I124" s="31"/>
      <c r="J124" s="46"/>
      <c r="K124" s="46"/>
      <c r="L124" s="37">
        <f t="shared" si="6"/>
        <v>175</v>
      </c>
    </row>
    <row r="125" spans="2:12" x14ac:dyDescent="0.2">
      <c r="B125" s="11">
        <v>1114503</v>
      </c>
      <c r="C125" s="22" t="s">
        <v>97</v>
      </c>
      <c r="D125" s="31">
        <v>2</v>
      </c>
      <c r="E125" s="31">
        <v>2</v>
      </c>
      <c r="F125" s="31">
        <v>3</v>
      </c>
      <c r="G125" s="31">
        <v>142</v>
      </c>
      <c r="H125" s="31">
        <v>23</v>
      </c>
      <c r="I125" s="31"/>
      <c r="J125" s="46"/>
      <c r="K125" s="46"/>
      <c r="L125" s="37">
        <f t="shared" si="6"/>
        <v>172</v>
      </c>
    </row>
    <row r="126" spans="2:12" x14ac:dyDescent="0.2">
      <c r="B126" s="11">
        <v>1124021</v>
      </c>
      <c r="C126" s="22" t="s">
        <v>98</v>
      </c>
      <c r="D126" s="31"/>
      <c r="E126" s="31">
        <v>55</v>
      </c>
      <c r="F126" s="31">
        <v>56</v>
      </c>
      <c r="G126" s="31">
        <v>78</v>
      </c>
      <c r="H126" s="31"/>
      <c r="I126" s="31"/>
      <c r="J126" s="46"/>
      <c r="K126" s="46"/>
      <c r="L126" s="37">
        <f t="shared" si="6"/>
        <v>189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6</v>
      </c>
      <c r="F136" s="31"/>
      <c r="G136" s="31"/>
      <c r="H136" s="31"/>
      <c r="I136" s="31"/>
      <c r="J136" s="46"/>
      <c r="K136" s="46"/>
      <c r="L136" s="37">
        <f t="shared" si="6"/>
        <v>6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9"/>
      <c r="F139" s="59"/>
      <c r="G139" s="27"/>
      <c r="L139" s="39"/>
    </row>
    <row r="140" spans="2:12" x14ac:dyDescent="0.2">
      <c r="B140" s="59" t="s">
        <v>104</v>
      </c>
      <c r="C140" s="59"/>
      <c r="D140" s="33"/>
      <c r="E140" s="58"/>
      <c r="F140" s="58"/>
      <c r="G140" s="28"/>
      <c r="H140" s="27"/>
      <c r="I140" s="59" t="s">
        <v>104</v>
      </c>
      <c r="J140" s="59"/>
      <c r="K140" s="59"/>
      <c r="L140" s="59"/>
    </row>
    <row r="141" spans="2:12" x14ac:dyDescent="0.2">
      <c r="B141" s="58" t="s">
        <v>105</v>
      </c>
      <c r="C141" s="58"/>
      <c r="D141" s="34"/>
      <c r="E141" s="34"/>
      <c r="F141" s="34"/>
      <c r="G141" s="34"/>
      <c r="H141" s="34"/>
      <c r="I141" s="58" t="s">
        <v>106</v>
      </c>
      <c r="J141" s="58"/>
      <c r="K141" s="58"/>
      <c r="L141" s="58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B2:C3"/>
    <mergeCell ref="E2:F3"/>
    <mergeCell ref="E140:F140"/>
    <mergeCell ref="B141:C141"/>
    <mergeCell ref="B1:L1"/>
    <mergeCell ref="B6:L6"/>
    <mergeCell ref="B68:L68"/>
    <mergeCell ref="B78:L78"/>
    <mergeCell ref="B89:L89"/>
    <mergeCell ref="B101:L101"/>
    <mergeCell ref="B113:L113"/>
    <mergeCell ref="E139:F139"/>
    <mergeCell ref="B140:C140"/>
    <mergeCell ref="I140:L140"/>
    <mergeCell ref="I141:L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58"/>
  <sheetViews>
    <sheetView topLeftCell="A76" zoomScale="60" zoomScaleNormal="60" workbookViewId="0">
      <selection activeCell="E137" sqref="E137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7" t="s">
        <v>140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2" x14ac:dyDescent="0.2">
      <c r="B2" s="53"/>
      <c r="C2" s="54"/>
      <c r="D2" s="1"/>
      <c r="E2" s="55"/>
      <c r="F2" s="55"/>
      <c r="G2" s="2"/>
      <c r="H2" s="2"/>
      <c r="I2" s="2"/>
      <c r="J2" s="2"/>
      <c r="K2" s="2"/>
      <c r="L2" s="3" t="s">
        <v>0</v>
      </c>
    </row>
    <row r="3" spans="2:12" x14ac:dyDescent="0.2">
      <c r="B3" s="53"/>
      <c r="C3" s="54"/>
      <c r="D3" s="4"/>
      <c r="E3" s="56"/>
      <c r="F3" s="56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1" t="s">
        <v>11</v>
      </c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2:12" x14ac:dyDescent="0.2">
      <c r="B7" s="11">
        <v>1111002</v>
      </c>
      <c r="C7" s="15" t="s">
        <v>107</v>
      </c>
      <c r="D7" s="31"/>
      <c r="E7" s="31">
        <v>21</v>
      </c>
      <c r="F7" s="31">
        <v>6</v>
      </c>
      <c r="G7" s="31"/>
      <c r="H7" s="31"/>
      <c r="I7" s="31"/>
      <c r="J7" s="46"/>
      <c r="K7" s="46"/>
      <c r="L7" s="37">
        <f>SUM(D7:K7)</f>
        <v>27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6"/>
      <c r="K25" s="46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51</v>
      </c>
      <c r="H26" s="31"/>
      <c r="I26" s="31"/>
      <c r="J26" s="46"/>
      <c r="K26" s="46"/>
      <c r="L26" s="37">
        <f t="shared" si="0"/>
        <v>51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6"/>
      <c r="K40" s="46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6"/>
      <c r="K41" s="46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6"/>
      <c r="K42" s="46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6"/>
      <c r="K43" s="46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6"/>
      <c r="K44" s="46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6"/>
      <c r="K50" s="46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2</v>
      </c>
      <c r="G56" s="31">
        <v>2</v>
      </c>
      <c r="H56" s="31"/>
      <c r="I56" s="31"/>
      <c r="J56" s="46"/>
      <c r="K56" s="46"/>
      <c r="L56" s="37">
        <f t="shared" si="0"/>
        <v>4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2</v>
      </c>
      <c r="G57" s="31">
        <v>2</v>
      </c>
      <c r="H57" s="31"/>
      <c r="I57" s="31"/>
      <c r="J57" s="46"/>
      <c r="K57" s="46"/>
      <c r="L57" s="37">
        <f t="shared" si="0"/>
        <v>4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2</v>
      </c>
      <c r="G58" s="31">
        <v>2</v>
      </c>
      <c r="H58" s="31"/>
      <c r="I58" s="31"/>
      <c r="J58" s="46"/>
      <c r="K58" s="46"/>
      <c r="L58" s="37">
        <f t="shared" si="0"/>
        <v>4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2</v>
      </c>
      <c r="G59" s="31">
        <v>2</v>
      </c>
      <c r="H59" s="31"/>
      <c r="I59" s="31"/>
      <c r="J59" s="46"/>
      <c r="K59" s="46"/>
      <c r="L59" s="37">
        <f t="shared" si="0"/>
        <v>4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2</v>
      </c>
      <c r="G60" s="31">
        <v>2</v>
      </c>
      <c r="H60" s="31"/>
      <c r="I60" s="31"/>
      <c r="J60" s="46"/>
      <c r="K60" s="46"/>
      <c r="L60" s="37">
        <f t="shared" si="0"/>
        <v>4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2</v>
      </c>
      <c r="G61" s="31">
        <v>2</v>
      </c>
      <c r="H61" s="31"/>
      <c r="I61" s="31"/>
      <c r="J61" s="46"/>
      <c r="K61" s="46"/>
      <c r="L61" s="37">
        <f t="shared" si="0"/>
        <v>4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2</v>
      </c>
      <c r="G62" s="31">
        <v>2</v>
      </c>
      <c r="H62" s="31"/>
      <c r="I62" s="31"/>
      <c r="J62" s="46"/>
      <c r="K62" s="46"/>
      <c r="L62" s="37">
        <f t="shared" si="0"/>
        <v>4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2</v>
      </c>
      <c r="G63" s="31">
        <v>2</v>
      </c>
      <c r="H63" s="31"/>
      <c r="I63" s="31"/>
      <c r="J63" s="46"/>
      <c r="K63" s="46"/>
      <c r="L63" s="37">
        <f t="shared" si="0"/>
        <v>4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2</v>
      </c>
      <c r="G64" s="31">
        <v>2</v>
      </c>
      <c r="H64" s="31"/>
      <c r="I64" s="31"/>
      <c r="J64" s="46"/>
      <c r="K64" s="46"/>
      <c r="L64" s="37">
        <f t="shared" si="0"/>
        <v>4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2</v>
      </c>
      <c r="G65" s="31">
        <v>2</v>
      </c>
      <c r="H65" s="31"/>
      <c r="I65" s="31"/>
      <c r="J65" s="46"/>
      <c r="K65" s="46"/>
      <c r="L65" s="37">
        <f t="shared" si="0"/>
        <v>4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1" t="s">
        <v>55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6"/>
      <c r="K69" s="46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1" t="s">
        <v>64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27</v>
      </c>
      <c r="H87" s="31"/>
      <c r="I87" s="31"/>
      <c r="J87" s="46"/>
      <c r="K87" s="46"/>
      <c r="L87" s="37">
        <f t="shared" si="2"/>
        <v>27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1" t="s">
        <v>74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/>
      <c r="G90" s="31">
        <v>15</v>
      </c>
      <c r="H90" s="31"/>
      <c r="I90" s="31"/>
      <c r="J90" s="46"/>
      <c r="K90" s="46"/>
      <c r="L90" s="37">
        <f t="shared" ref="L90:L99" si="3">SUM(D90:K90)</f>
        <v>16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/>
      <c r="G91" s="31">
        <v>15</v>
      </c>
      <c r="H91" s="31"/>
      <c r="I91" s="31"/>
      <c r="J91" s="46"/>
      <c r="K91" s="46"/>
      <c r="L91" s="37">
        <f t="shared" si="3"/>
        <v>16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12</v>
      </c>
      <c r="H92" s="31"/>
      <c r="I92" s="31"/>
      <c r="J92" s="46"/>
      <c r="K92" s="46"/>
      <c r="L92" s="37">
        <f t="shared" si="3"/>
        <v>12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6"/>
      <c r="K93" s="46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>
        <v>12</v>
      </c>
      <c r="H96" s="31"/>
      <c r="I96" s="31"/>
      <c r="J96" s="46"/>
      <c r="K96" s="46"/>
      <c r="L96" s="37">
        <f t="shared" si="3"/>
        <v>12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12</v>
      </c>
      <c r="H97" s="31"/>
      <c r="I97" s="31"/>
      <c r="J97" s="46"/>
      <c r="K97" s="46"/>
      <c r="L97" s="37">
        <f t="shared" si="3"/>
        <v>12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/>
      <c r="G98" s="31">
        <v>15</v>
      </c>
      <c r="H98" s="31"/>
      <c r="I98" s="31"/>
      <c r="J98" s="46"/>
      <c r="K98" s="46"/>
      <c r="L98" s="37">
        <f t="shared" si="3"/>
        <v>16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1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1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6"/>
      <c r="K115" s="46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6"/>
      <c r="K116" s="46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6"/>
      <c r="K118" s="46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6"/>
      <c r="K119" s="46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6"/>
      <c r="K120" s="46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6"/>
      <c r="K121" s="46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6"/>
      <c r="K122" s="46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1</v>
      </c>
      <c r="F123" s="31">
        <v>2</v>
      </c>
      <c r="G123" s="31">
        <v>50</v>
      </c>
      <c r="H123" s="31"/>
      <c r="I123" s="31"/>
      <c r="J123" s="46"/>
      <c r="K123" s="46"/>
      <c r="L123" s="37">
        <f t="shared" si="6"/>
        <v>53</v>
      </c>
    </row>
    <row r="124" spans="2:12" x14ac:dyDescent="0.2">
      <c r="B124" s="11">
        <v>1114502</v>
      </c>
      <c r="C124" s="22" t="s">
        <v>96</v>
      </c>
      <c r="D124" s="31"/>
      <c r="E124" s="31"/>
      <c r="F124" s="31">
        <v>5</v>
      </c>
      <c r="G124" s="31">
        <v>50</v>
      </c>
      <c r="H124" s="31"/>
      <c r="I124" s="31"/>
      <c r="J124" s="46"/>
      <c r="K124" s="46"/>
      <c r="L124" s="37">
        <f t="shared" si="6"/>
        <v>55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2</v>
      </c>
      <c r="G125" s="31">
        <v>50</v>
      </c>
      <c r="H125" s="31"/>
      <c r="I125" s="31"/>
      <c r="J125" s="46"/>
      <c r="K125" s="46"/>
      <c r="L125" s="37">
        <f t="shared" si="6"/>
        <v>52</v>
      </c>
    </row>
    <row r="126" spans="2:12" x14ac:dyDescent="0.2">
      <c r="B126" s="11">
        <v>1124021</v>
      </c>
      <c r="C126" s="22" t="s">
        <v>98</v>
      </c>
      <c r="D126" s="31"/>
      <c r="E126" s="31">
        <v>24</v>
      </c>
      <c r="F126" s="31">
        <v>31</v>
      </c>
      <c r="G126" s="31">
        <v>6</v>
      </c>
      <c r="H126" s="31"/>
      <c r="I126" s="31"/>
      <c r="J126" s="46"/>
      <c r="K126" s="46"/>
      <c r="L126" s="37">
        <f t="shared" si="6"/>
        <v>61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5</v>
      </c>
      <c r="F136" s="31"/>
      <c r="G136" s="31"/>
      <c r="H136" s="31"/>
      <c r="I136" s="31"/>
      <c r="J136" s="46"/>
      <c r="K136" s="46"/>
      <c r="L136" s="37">
        <f t="shared" si="6"/>
        <v>5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9"/>
      <c r="F139" s="59"/>
      <c r="G139" s="27"/>
      <c r="L139" s="39"/>
    </row>
    <row r="140" spans="2:12" x14ac:dyDescent="0.2">
      <c r="B140" s="59" t="s">
        <v>104</v>
      </c>
      <c r="C140" s="59"/>
      <c r="D140" s="33"/>
      <c r="E140" s="58"/>
      <c r="F140" s="58"/>
      <c r="G140" s="28"/>
      <c r="H140" s="27"/>
      <c r="I140" s="59" t="s">
        <v>104</v>
      </c>
      <c r="J140" s="59"/>
      <c r="K140" s="59"/>
      <c r="L140" s="59"/>
    </row>
    <row r="141" spans="2:12" x14ac:dyDescent="0.2">
      <c r="B141" s="58" t="s">
        <v>105</v>
      </c>
      <c r="C141" s="58"/>
      <c r="D141" s="34"/>
      <c r="E141" s="34"/>
      <c r="F141" s="34"/>
      <c r="G141" s="34"/>
      <c r="H141" s="34"/>
      <c r="I141" s="58" t="s">
        <v>106</v>
      </c>
      <c r="J141" s="58"/>
      <c r="K141" s="58"/>
      <c r="L141" s="58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B141:C141"/>
    <mergeCell ref="I141:L141"/>
    <mergeCell ref="B140:C140"/>
    <mergeCell ref="E140:F140"/>
    <mergeCell ref="I140:L140"/>
    <mergeCell ref="B6:L6"/>
    <mergeCell ref="B1:L1"/>
    <mergeCell ref="B2:C3"/>
    <mergeCell ref="E2:F3"/>
    <mergeCell ref="E139:F139"/>
    <mergeCell ref="B68:L68"/>
    <mergeCell ref="B78:L78"/>
    <mergeCell ref="B89:L89"/>
    <mergeCell ref="B101:L101"/>
    <mergeCell ref="B113:L11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S160"/>
  <sheetViews>
    <sheetView tabSelected="1" zoomScale="50" zoomScaleNormal="50" workbookViewId="0">
      <selection activeCell="G123" sqref="G123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4" width="14.375" style="24" hidden="1" customWidth="1"/>
    <col min="15" max="15" width="15.375" style="24" customWidth="1"/>
    <col min="16" max="16" width="14.375" style="29" customWidth="1"/>
    <col min="17" max="17" width="9.125" customWidth="1"/>
    <col min="18" max="18" width="7.375" customWidth="1"/>
    <col min="19" max="19" width="22.75" customWidth="1"/>
  </cols>
  <sheetData>
    <row r="1" spans="2:16" x14ac:dyDescent="0.2">
      <c r="B1" s="57" t="s">
        <v>139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6" x14ac:dyDescent="0.2">
      <c r="B2" s="53"/>
      <c r="C2" s="54"/>
      <c r="D2" s="1"/>
      <c r="E2" s="55"/>
      <c r="F2" s="55"/>
      <c r="G2" s="2"/>
      <c r="H2" s="2"/>
      <c r="I2" s="2"/>
      <c r="J2" s="2"/>
      <c r="K2" s="2"/>
      <c r="L2" s="3" t="s">
        <v>0</v>
      </c>
      <c r="M2" s="60" t="s">
        <v>130</v>
      </c>
      <c r="N2" s="60" t="s">
        <v>130</v>
      </c>
      <c r="O2" s="60" t="s">
        <v>127</v>
      </c>
      <c r="P2" s="63" t="s">
        <v>1</v>
      </c>
    </row>
    <row r="3" spans="2:16" x14ac:dyDescent="0.2">
      <c r="B3" s="53"/>
      <c r="C3" s="54"/>
      <c r="D3" s="4"/>
      <c r="E3" s="56"/>
      <c r="F3" s="56"/>
      <c r="G3" s="5"/>
      <c r="H3" s="5"/>
      <c r="I3" s="5"/>
      <c r="J3" s="44"/>
      <c r="K3" s="44"/>
      <c r="L3" s="6" t="s">
        <v>2</v>
      </c>
      <c r="M3" s="61"/>
      <c r="N3" s="61"/>
      <c r="O3" s="61"/>
      <c r="P3" s="64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45" t="s">
        <v>134</v>
      </c>
      <c r="K4" s="45" t="s">
        <v>136</v>
      </c>
      <c r="L4" s="10" t="s">
        <v>10</v>
      </c>
      <c r="M4" s="62"/>
      <c r="N4" s="62"/>
      <c r="O4" s="62"/>
      <c r="P4" s="65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  <c r="M5" s="11"/>
      <c r="N5" s="11"/>
      <c r="O5" s="11"/>
      <c r="P5" s="30"/>
    </row>
    <row r="6" spans="2:16" ht="19.5" x14ac:dyDescent="0.2">
      <c r="B6" s="51" t="s">
        <v>11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66"/>
    </row>
    <row r="7" spans="2:16" x14ac:dyDescent="0.2">
      <c r="B7" s="11">
        <v>1111002</v>
      </c>
      <c r="C7" s="15" t="s">
        <v>107</v>
      </c>
      <c r="D7" s="31">
        <f>'เย็น '!D7+'เช้า '!D7+บ่าย!D7</f>
        <v>15</v>
      </c>
      <c r="E7" s="67">
        <f>'เย็น '!E7+'เช้า '!E7+บ่าย!E7</f>
        <v>62</v>
      </c>
      <c r="F7" s="67">
        <f>'เย็น '!F7+'เช้า '!F7+บ่าย!F7</f>
        <v>71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148</v>
      </c>
      <c r="M7" s="11"/>
      <c r="N7" s="11"/>
      <c r="O7" s="11">
        <v>150</v>
      </c>
      <c r="P7" s="47">
        <f>(M7+N7+O7)-L7</f>
        <v>2</v>
      </c>
    </row>
    <row r="8" spans="2:16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47">
        <f t="shared" ref="P8:P66" si="1">(M8+N8+O8)-L8</f>
        <v>0</v>
      </c>
    </row>
    <row r="9" spans="2:16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47">
        <f t="shared" si="1"/>
        <v>0</v>
      </c>
    </row>
    <row r="10" spans="2:16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47">
        <f t="shared" si="1"/>
        <v>0</v>
      </c>
    </row>
    <row r="11" spans="2:16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47">
        <f t="shared" si="1"/>
        <v>0</v>
      </c>
    </row>
    <row r="12" spans="2:16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47">
        <f t="shared" si="1"/>
        <v>0</v>
      </c>
    </row>
    <row r="13" spans="2:16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47">
        <f t="shared" si="1"/>
        <v>0</v>
      </c>
    </row>
    <row r="14" spans="2:16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47">
        <f t="shared" si="1"/>
        <v>0</v>
      </c>
    </row>
    <row r="15" spans="2:16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47">
        <f t="shared" si="1"/>
        <v>0</v>
      </c>
    </row>
    <row r="16" spans="2:16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47">
        <f t="shared" si="1"/>
        <v>0</v>
      </c>
    </row>
    <row r="17" spans="2:16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47">
        <f t="shared" si="1"/>
        <v>0</v>
      </c>
    </row>
    <row r="18" spans="2:16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47">
        <f t="shared" si="1"/>
        <v>0</v>
      </c>
    </row>
    <row r="19" spans="2:16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47">
        <f t="shared" si="1"/>
        <v>0</v>
      </c>
    </row>
    <row r="20" spans="2:16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47">
        <f t="shared" si="1"/>
        <v>0</v>
      </c>
    </row>
    <row r="21" spans="2:16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47">
        <f t="shared" si="1"/>
        <v>0</v>
      </c>
    </row>
    <row r="22" spans="2:16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47">
        <f t="shared" si="1"/>
        <v>0</v>
      </c>
    </row>
    <row r="23" spans="2:16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47">
        <f t="shared" si="1"/>
        <v>0</v>
      </c>
    </row>
    <row r="24" spans="2:16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47">
        <f t="shared" si="1"/>
        <v>0</v>
      </c>
    </row>
    <row r="25" spans="2:16" x14ac:dyDescent="0.2">
      <c r="B25" s="11">
        <v>1111056</v>
      </c>
      <c r="C25" s="15" t="s">
        <v>28</v>
      </c>
      <c r="D25" s="31">
        <f>'เย็น '!D25+'เช้า '!D25+บ่าย!D25</f>
        <v>10</v>
      </c>
      <c r="E25" s="31">
        <f>'เย็น '!E25+'เช้า '!E25+บ่าย!E25</f>
        <v>2</v>
      </c>
      <c r="F25" s="31">
        <f>'เย็น '!F25+'เช้า '!F25+บ่าย!F25</f>
        <v>15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27</v>
      </c>
      <c r="M25" s="11"/>
      <c r="N25" s="11"/>
      <c r="O25" s="11"/>
      <c r="P25" s="47">
        <f t="shared" si="1"/>
        <v>-27</v>
      </c>
    </row>
    <row r="26" spans="2:16" x14ac:dyDescent="0.2">
      <c r="B26" s="11">
        <v>1004055</v>
      </c>
      <c r="C26" s="15" t="s">
        <v>108</v>
      </c>
      <c r="D26" s="31">
        <f>'เย็น '!D26+'เช้า '!D26+บ่าย!D26</f>
        <v>11</v>
      </c>
      <c r="E26" s="31">
        <f>'เย็น '!E26+'เช้า '!E26+บ่าย!E26</f>
        <v>0</v>
      </c>
      <c r="F26" s="31">
        <f>'เย็น '!F26+'เช้า '!F26+บ่าย!F26</f>
        <v>6</v>
      </c>
      <c r="G26" s="67">
        <f>'เย็น '!G26+'เช้า '!G26+บ่าย!G26</f>
        <v>129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</v>
      </c>
      <c r="L26" s="37">
        <f t="shared" si="0"/>
        <v>151</v>
      </c>
      <c r="M26" s="11"/>
      <c r="N26" s="11"/>
      <c r="O26" s="11">
        <v>155</v>
      </c>
      <c r="P26" s="47">
        <f t="shared" si="1"/>
        <v>4</v>
      </c>
    </row>
    <row r="27" spans="2:16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47">
        <f t="shared" si="1"/>
        <v>0</v>
      </c>
    </row>
    <row r="28" spans="2:16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47">
        <f t="shared" si="1"/>
        <v>0</v>
      </c>
    </row>
    <row r="29" spans="2:16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47">
        <f t="shared" si="1"/>
        <v>0</v>
      </c>
    </row>
    <row r="30" spans="2:16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47">
        <f t="shared" si="1"/>
        <v>0</v>
      </c>
    </row>
    <row r="31" spans="2:16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47">
        <f t="shared" si="1"/>
        <v>0</v>
      </c>
    </row>
    <row r="32" spans="2:16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47">
        <f t="shared" si="1"/>
        <v>0</v>
      </c>
    </row>
    <row r="33" spans="2:16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47">
        <f t="shared" si="1"/>
        <v>0</v>
      </c>
    </row>
    <row r="34" spans="2:16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47">
        <f t="shared" si="1"/>
        <v>0</v>
      </c>
    </row>
    <row r="35" spans="2:16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47">
        <f t="shared" si="1"/>
        <v>0</v>
      </c>
    </row>
    <row r="36" spans="2:16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47">
        <f t="shared" si="1"/>
        <v>0</v>
      </c>
    </row>
    <row r="37" spans="2:16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47">
        <f t="shared" si="1"/>
        <v>0</v>
      </c>
    </row>
    <row r="38" spans="2:16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47">
        <f t="shared" si="1"/>
        <v>0</v>
      </c>
    </row>
    <row r="39" spans="2:16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47">
        <f t="shared" si="1"/>
        <v>0</v>
      </c>
    </row>
    <row r="40" spans="2:16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>
        <v>10</v>
      </c>
      <c r="P40" s="47">
        <f t="shared" si="1"/>
        <v>10</v>
      </c>
    </row>
    <row r="41" spans="2:16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>
        <v>10</v>
      </c>
      <c r="P41" s="47">
        <f t="shared" si="1"/>
        <v>10</v>
      </c>
    </row>
    <row r="42" spans="2:16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>
        <v>10</v>
      </c>
      <c r="P42" s="47">
        <f t="shared" si="1"/>
        <v>10</v>
      </c>
    </row>
    <row r="43" spans="2:16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>
        <v>10</v>
      </c>
      <c r="P43" s="47">
        <f t="shared" si="1"/>
        <v>10</v>
      </c>
    </row>
    <row r="44" spans="2:16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>
        <v>10</v>
      </c>
      <c r="P44" s="47">
        <f t="shared" si="1"/>
        <v>10</v>
      </c>
    </row>
    <row r="45" spans="2:16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>
        <v>10</v>
      </c>
      <c r="P45" s="47">
        <f t="shared" si="1"/>
        <v>10</v>
      </c>
    </row>
    <row r="46" spans="2:16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>
        <v>10</v>
      </c>
      <c r="P46" s="47">
        <f t="shared" si="1"/>
        <v>10</v>
      </c>
    </row>
    <row r="47" spans="2:16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>
        <v>10</v>
      </c>
      <c r="P47" s="47">
        <f t="shared" si="1"/>
        <v>10</v>
      </c>
    </row>
    <row r="48" spans="2:16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>
        <v>10</v>
      </c>
      <c r="P48" s="47">
        <f t="shared" si="1"/>
        <v>10</v>
      </c>
    </row>
    <row r="49" spans="2:19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>
        <v>10</v>
      </c>
      <c r="P49" s="47">
        <f t="shared" si="1"/>
        <v>10</v>
      </c>
    </row>
    <row r="50" spans="2:19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1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</v>
      </c>
      <c r="M50" s="11"/>
      <c r="N50" s="11"/>
      <c r="O50" s="11">
        <v>10</v>
      </c>
      <c r="P50" s="47">
        <f t="shared" si="1"/>
        <v>9</v>
      </c>
    </row>
    <row r="51" spans="2:19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>
        <v>10</v>
      </c>
      <c r="P51" s="47">
        <f t="shared" si="1"/>
        <v>10</v>
      </c>
    </row>
    <row r="52" spans="2:19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>
        <v>10</v>
      </c>
      <c r="P52" s="47">
        <f t="shared" si="1"/>
        <v>10</v>
      </c>
      <c r="R52" s="49"/>
      <c r="S52" s="48"/>
    </row>
    <row r="53" spans="2:19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47">
        <f t="shared" si="1"/>
        <v>0</v>
      </c>
    </row>
    <row r="54" spans="2:19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47">
        <f t="shared" si="1"/>
        <v>0</v>
      </c>
    </row>
    <row r="55" spans="2:19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47">
        <f t="shared" si="1"/>
        <v>0</v>
      </c>
    </row>
    <row r="56" spans="2:19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67">
        <f>'เย็น '!F56+'เช้า '!F56+บ่าย!F56</f>
        <v>3</v>
      </c>
      <c r="G56" s="67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7</v>
      </c>
      <c r="M56" s="11"/>
      <c r="N56" s="11"/>
      <c r="O56" s="11"/>
      <c r="P56" s="47">
        <f t="shared" si="1"/>
        <v>-7</v>
      </c>
    </row>
    <row r="57" spans="2:19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67">
        <f>'เย็น '!F57+'เช้า '!F57+บ่าย!F57</f>
        <v>3</v>
      </c>
      <c r="G57" s="67">
        <f>'เย็น '!G57+'เช้า '!G57+บ่าย!G57</f>
        <v>4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7</v>
      </c>
      <c r="M57" s="11"/>
      <c r="N57" s="11"/>
      <c r="O57" s="11"/>
      <c r="P57" s="47">
        <f t="shared" si="1"/>
        <v>-7</v>
      </c>
    </row>
    <row r="58" spans="2:19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67">
        <f>'เย็น '!F58+'เช้า '!F58+บ่าย!F58</f>
        <v>3</v>
      </c>
      <c r="G58" s="67">
        <f>'เย็น '!G58+'เช้า '!G58+บ่าย!G58</f>
        <v>4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7</v>
      </c>
      <c r="M58" s="11"/>
      <c r="N58" s="11"/>
      <c r="O58" s="11"/>
      <c r="P58" s="47">
        <f t="shared" si="1"/>
        <v>-7</v>
      </c>
    </row>
    <row r="59" spans="2:19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67">
        <f>'เย็น '!F59+'เช้า '!F59+บ่าย!F59</f>
        <v>3</v>
      </c>
      <c r="G59" s="67">
        <f>'เย็น '!G59+'เช้า '!G59+บ่าย!G59</f>
        <v>4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7</v>
      </c>
      <c r="M59" s="11"/>
      <c r="N59" s="11"/>
      <c r="O59" s="11"/>
      <c r="P59" s="47">
        <f t="shared" si="1"/>
        <v>-7</v>
      </c>
    </row>
    <row r="60" spans="2:19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67">
        <f>'เย็น '!F60+'เช้า '!F60+บ่าย!F60</f>
        <v>3</v>
      </c>
      <c r="G60" s="67">
        <f>'เย็น '!G60+'เช้า '!G60+บ่าย!G60</f>
        <v>4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7</v>
      </c>
      <c r="M60" s="11"/>
      <c r="N60" s="11"/>
      <c r="O60" s="11"/>
      <c r="P60" s="47">
        <f t="shared" si="1"/>
        <v>-7</v>
      </c>
    </row>
    <row r="61" spans="2:19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67">
        <f>'เย็น '!F61+'เช้า '!F61+บ่าย!F61</f>
        <v>3</v>
      </c>
      <c r="G61" s="67">
        <f>'เย็น '!G61+'เช้า '!G61+บ่าย!G61</f>
        <v>4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7</v>
      </c>
      <c r="M61" s="11"/>
      <c r="N61" s="11"/>
      <c r="O61" s="11"/>
      <c r="P61" s="47">
        <f t="shared" si="1"/>
        <v>-7</v>
      </c>
    </row>
    <row r="62" spans="2:19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67">
        <f>'เย็น '!F62+'เช้า '!F62+บ่าย!F62</f>
        <v>3</v>
      </c>
      <c r="G62" s="67">
        <f>'เย็น '!G62+'เช้า '!G62+บ่าย!G62</f>
        <v>4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7</v>
      </c>
      <c r="M62" s="11"/>
      <c r="N62" s="11"/>
      <c r="O62" s="11"/>
      <c r="P62" s="47">
        <f t="shared" si="1"/>
        <v>-7</v>
      </c>
    </row>
    <row r="63" spans="2:19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67">
        <f>'เย็น '!F63+'เช้า '!F63+บ่าย!F63</f>
        <v>3</v>
      </c>
      <c r="G63" s="67">
        <f>'เย็น '!G63+'เช้า '!G63+บ่าย!G63</f>
        <v>4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7</v>
      </c>
      <c r="M63" s="11"/>
      <c r="N63" s="11"/>
      <c r="O63" s="11"/>
      <c r="P63" s="47">
        <f t="shared" si="1"/>
        <v>-7</v>
      </c>
    </row>
    <row r="64" spans="2:19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67">
        <f>'เย็น '!F64+'เช้า '!F64+บ่าย!F64</f>
        <v>3</v>
      </c>
      <c r="G64" s="67">
        <f>'เย็น '!G64+'เช้า '!G64+บ่าย!G64</f>
        <v>3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6</v>
      </c>
      <c r="M64" s="11"/>
      <c r="N64" s="11"/>
      <c r="O64" s="11"/>
      <c r="P64" s="47">
        <f t="shared" si="1"/>
        <v>-6</v>
      </c>
    </row>
    <row r="65" spans="2:19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67">
        <f>'เย็น '!F65+'เช้า '!F65+บ่าย!F65</f>
        <v>3</v>
      </c>
      <c r="G65" s="67">
        <f>'เย็น '!G65+'เช้า '!G65+บ่าย!G65</f>
        <v>3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6</v>
      </c>
      <c r="M65" s="11"/>
      <c r="N65" s="11"/>
      <c r="O65" s="11"/>
      <c r="P65" s="47">
        <f t="shared" si="1"/>
        <v>-6</v>
      </c>
      <c r="R65" s="50"/>
      <c r="S65" s="48"/>
    </row>
    <row r="66" spans="2:19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6"/>
      <c r="L66" s="37">
        <f t="shared" si="0"/>
        <v>0</v>
      </c>
      <c r="M66" s="11"/>
      <c r="N66" s="11"/>
      <c r="O66" s="11"/>
      <c r="P66" s="47">
        <f t="shared" si="1"/>
        <v>0</v>
      </c>
    </row>
    <row r="67" spans="2:19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47">
        <f t="shared" ref="P67" si="3">(M67+N67+O67)-L67</f>
        <v>0</v>
      </c>
    </row>
    <row r="68" spans="2:19" ht="19.5" x14ac:dyDescent="0.2">
      <c r="B68" s="51" t="s">
        <v>55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66"/>
    </row>
    <row r="69" spans="2:19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1</v>
      </c>
      <c r="F69" s="31">
        <f>'เย็น '!F69+'เช้า '!F69+บ่าย!F69</f>
        <v>5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7</v>
      </c>
      <c r="M69" s="11"/>
      <c r="N69" s="11"/>
      <c r="O69" s="11">
        <v>20</v>
      </c>
      <c r="P69" s="47">
        <f t="shared" ref="P69:P111" si="5">(M69+N69+O69)-L69</f>
        <v>13</v>
      </c>
    </row>
    <row r="70" spans="2:19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47">
        <f t="shared" si="5"/>
        <v>0</v>
      </c>
    </row>
    <row r="71" spans="2:19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47">
        <f t="shared" si="5"/>
        <v>0</v>
      </c>
    </row>
    <row r="72" spans="2:19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47">
        <f t="shared" si="5"/>
        <v>0</v>
      </c>
    </row>
    <row r="73" spans="2:19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47">
        <f t="shared" si="5"/>
        <v>0</v>
      </c>
    </row>
    <row r="74" spans="2:19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47">
        <f t="shared" si="5"/>
        <v>0</v>
      </c>
    </row>
    <row r="75" spans="2:19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47">
        <f t="shared" si="5"/>
        <v>0</v>
      </c>
    </row>
    <row r="76" spans="2:19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47">
        <f t="shared" si="5"/>
        <v>0</v>
      </c>
    </row>
    <row r="77" spans="2:19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47">
        <f t="shared" si="5"/>
        <v>0</v>
      </c>
    </row>
    <row r="78" spans="2:19" ht="19.5" x14ac:dyDescent="0.2">
      <c r="B78" s="51" t="s">
        <v>64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66"/>
    </row>
    <row r="79" spans="2:19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6">SUM(D79:K79)</f>
        <v>0</v>
      </c>
      <c r="M79" s="11"/>
      <c r="N79" s="11"/>
      <c r="O79" s="11"/>
      <c r="P79" s="47">
        <f t="shared" si="5"/>
        <v>0</v>
      </c>
    </row>
    <row r="80" spans="2:19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6"/>
        <v>0</v>
      </c>
      <c r="M80" s="11"/>
      <c r="N80" s="11"/>
      <c r="O80" s="11"/>
      <c r="P80" s="47">
        <f t="shared" si="5"/>
        <v>0</v>
      </c>
    </row>
    <row r="81" spans="2:16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6"/>
        <v>0</v>
      </c>
      <c r="M81" s="11"/>
      <c r="N81" s="11"/>
      <c r="O81" s="11"/>
      <c r="P81" s="47">
        <f t="shared" si="5"/>
        <v>0</v>
      </c>
    </row>
    <row r="82" spans="2:16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6"/>
        <v>0</v>
      </c>
      <c r="M82" s="11"/>
      <c r="N82" s="11"/>
      <c r="O82" s="11"/>
      <c r="P82" s="47">
        <f t="shared" si="5"/>
        <v>0</v>
      </c>
    </row>
    <row r="83" spans="2:16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6"/>
        <v>0</v>
      </c>
      <c r="M83" s="11"/>
      <c r="N83" s="11"/>
      <c r="O83" s="11"/>
      <c r="P83" s="47">
        <f t="shared" si="5"/>
        <v>0</v>
      </c>
    </row>
    <row r="84" spans="2:16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6"/>
        <v>0</v>
      </c>
      <c r="M84" s="11"/>
      <c r="N84" s="11"/>
      <c r="O84" s="11"/>
      <c r="P84" s="47">
        <f t="shared" si="5"/>
        <v>0</v>
      </c>
    </row>
    <row r="85" spans="2:16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6"/>
        <v>0</v>
      </c>
      <c r="M85" s="11"/>
      <c r="N85" s="11"/>
      <c r="O85" s="11"/>
      <c r="P85" s="47">
        <f t="shared" si="5"/>
        <v>0</v>
      </c>
    </row>
    <row r="86" spans="2:16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6"/>
        <v>0</v>
      </c>
      <c r="M86" s="11"/>
      <c r="N86" s="11"/>
      <c r="O86" s="11"/>
      <c r="P86" s="47">
        <f t="shared" si="5"/>
        <v>0</v>
      </c>
    </row>
    <row r="87" spans="2:16" x14ac:dyDescent="0.2">
      <c r="B87" s="11">
        <v>1111008</v>
      </c>
      <c r="C87" s="20" t="s">
        <v>73</v>
      </c>
      <c r="D87" s="31">
        <f>'เย็น '!D87+'เช้า '!D87+บ่าย!D87</f>
        <v>3</v>
      </c>
      <c r="E87" s="31">
        <f>'เย็น '!E87+'เช้า '!E87+บ่าย!E87</f>
        <v>6</v>
      </c>
      <c r="F87" s="31">
        <f>'เย็น '!F87+'เช้า '!F87+บ่าย!F87</f>
        <v>0</v>
      </c>
      <c r="G87" s="67">
        <f>'เย็น '!G87+'เช้า '!G87+บ่าย!G87</f>
        <v>147</v>
      </c>
      <c r="H87" s="31">
        <f>'เย็น '!H87+'เช้า '!H87+บ่าย!H87</f>
        <v>9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6"/>
        <v>165</v>
      </c>
      <c r="M87" s="11"/>
      <c r="N87" s="11"/>
      <c r="O87" s="11"/>
      <c r="P87" s="47">
        <f t="shared" si="5"/>
        <v>-165</v>
      </c>
    </row>
    <row r="88" spans="2:16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47">
        <f t="shared" si="5"/>
        <v>0</v>
      </c>
    </row>
    <row r="89" spans="2:16" ht="19.5" x14ac:dyDescent="0.2">
      <c r="B89" s="51" t="s">
        <v>74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66"/>
    </row>
    <row r="90" spans="2:16" x14ac:dyDescent="0.2">
      <c r="B90" s="11">
        <v>1112009</v>
      </c>
      <c r="C90" s="20" t="s">
        <v>75</v>
      </c>
      <c r="D90" s="31">
        <f>'เย็น '!D90+'เช้า '!D90+บ่าย!D90</f>
        <v>12</v>
      </c>
      <c r="E90" s="67">
        <f>'เย็น '!E90+'เช้า '!E90+บ่าย!E90</f>
        <v>20</v>
      </c>
      <c r="F90" s="31">
        <f>'เย็น '!F90+'เช้า '!F90+บ่าย!F90</f>
        <v>10</v>
      </c>
      <c r="G90" s="67">
        <f>'เย็น '!G90+'เช้า '!G90+บ่าย!G90</f>
        <v>71</v>
      </c>
      <c r="H90" s="31">
        <f>'เย็น '!H90+'เช้า '!H90+บ่าย!H90</f>
        <v>15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7">SUM(D90:K90)</f>
        <v>128</v>
      </c>
      <c r="M90" s="11">
        <v>179</v>
      </c>
      <c r="N90" s="11"/>
      <c r="O90" s="11">
        <v>100</v>
      </c>
      <c r="P90" s="47">
        <f t="shared" si="5"/>
        <v>151</v>
      </c>
    </row>
    <row r="91" spans="2:16" x14ac:dyDescent="0.2">
      <c r="B91" s="11">
        <v>1112011</v>
      </c>
      <c r="C91" s="20" t="s">
        <v>76</v>
      </c>
      <c r="D91" s="31">
        <f>'เย็น '!D91+'เช้า '!D91+บ่าย!D91</f>
        <v>10</v>
      </c>
      <c r="E91" s="67">
        <f>'เย็น '!E91+'เช้า '!E91+บ่าย!E91</f>
        <v>20</v>
      </c>
      <c r="F91" s="31">
        <f>'เย็น '!F91+'เช้า '!F91+บ่าย!F91</f>
        <v>8</v>
      </c>
      <c r="G91" s="67">
        <f>'เย็น '!G91+'เช้า '!G91+บ่าย!G91</f>
        <v>71</v>
      </c>
      <c r="H91" s="31">
        <f>'เย็น '!H91+'เช้า '!H91+บ่าย!H91</f>
        <v>15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7"/>
        <v>124</v>
      </c>
      <c r="M91" s="11">
        <v>151</v>
      </c>
      <c r="N91" s="11"/>
      <c r="O91" s="11">
        <v>100</v>
      </c>
      <c r="P91" s="47">
        <f t="shared" si="5"/>
        <v>127</v>
      </c>
    </row>
    <row r="92" spans="2:16" x14ac:dyDescent="0.2">
      <c r="B92" s="11">
        <v>1112003</v>
      </c>
      <c r="C92" s="20" t="s">
        <v>77</v>
      </c>
      <c r="D92" s="31">
        <f>'เย็น '!D92+'เช้า '!D92+บ่าย!D92</f>
        <v>4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67">
        <f>'เย็น '!G92+'เช้า '!G92+บ่าย!G92</f>
        <v>50</v>
      </c>
      <c r="H92" s="31">
        <f>'เย็น '!H92+'เช้า '!H92+บ่าย!H92</f>
        <v>12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7"/>
        <v>66</v>
      </c>
      <c r="M92" s="11">
        <v>203</v>
      </c>
      <c r="N92" s="11"/>
      <c r="O92" s="11">
        <v>100</v>
      </c>
      <c r="P92" s="47">
        <f t="shared" si="5"/>
        <v>237</v>
      </c>
    </row>
    <row r="93" spans="2:16" x14ac:dyDescent="0.2">
      <c r="B93" s="11">
        <v>1112005</v>
      </c>
      <c r="C93" s="20" t="s">
        <v>78</v>
      </c>
      <c r="D93" s="31">
        <f>'เย็น '!D93+'เช้า '!D93+บ่าย!D93</f>
        <v>2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7"/>
        <v>2</v>
      </c>
      <c r="M93" s="11">
        <v>144</v>
      </c>
      <c r="N93" s="11"/>
      <c r="O93" s="11">
        <v>100</v>
      </c>
      <c r="P93" s="47">
        <f t="shared" si="5"/>
        <v>242</v>
      </c>
    </row>
    <row r="94" spans="2:16" hidden="1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7"/>
        <v>0</v>
      </c>
      <c r="M94" s="11"/>
      <c r="N94" s="11"/>
      <c r="O94" s="11"/>
      <c r="P94" s="47">
        <f t="shared" si="5"/>
        <v>0</v>
      </c>
    </row>
    <row r="95" spans="2:16" hidden="1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7"/>
        <v>0</v>
      </c>
      <c r="M95" s="11"/>
      <c r="N95" s="11"/>
      <c r="O95" s="11"/>
      <c r="P95" s="47">
        <f t="shared" si="5"/>
        <v>0</v>
      </c>
    </row>
    <row r="96" spans="2:16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67">
        <f>'เย็น '!G96+'เช้า '!G96+บ่าย!G96</f>
        <v>50</v>
      </c>
      <c r="H96" s="31">
        <f>'เย็น '!H96+'เช้า '!H96+บ่าย!H96</f>
        <v>12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7"/>
        <v>62</v>
      </c>
      <c r="M96" s="11">
        <v>210</v>
      </c>
      <c r="N96" s="11"/>
      <c r="O96" s="11">
        <v>100</v>
      </c>
      <c r="P96" s="47">
        <f t="shared" si="5"/>
        <v>248</v>
      </c>
    </row>
    <row r="97" spans="2:16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67">
        <f>'เย็น '!G97+'เช้า '!G97+บ่าย!G97</f>
        <v>50</v>
      </c>
      <c r="H97" s="31">
        <f>'เย็น '!H97+'เช้า '!H97+บ่าย!H97</f>
        <v>12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7"/>
        <v>62</v>
      </c>
      <c r="M97" s="11">
        <v>206</v>
      </c>
      <c r="N97" s="11"/>
      <c r="O97" s="11">
        <v>100</v>
      </c>
      <c r="P97" s="47">
        <f t="shared" si="5"/>
        <v>244</v>
      </c>
    </row>
    <row r="98" spans="2:16" x14ac:dyDescent="0.2">
      <c r="B98" s="11">
        <v>1112013</v>
      </c>
      <c r="C98" s="20" t="s">
        <v>83</v>
      </c>
      <c r="D98" s="31">
        <f>'เย็น '!D98+'เช้า '!D98+บ่าย!D98</f>
        <v>9</v>
      </c>
      <c r="E98" s="67">
        <f>'เย็น '!E98+'เช้า '!E98+บ่าย!E98</f>
        <v>21</v>
      </c>
      <c r="F98" s="31">
        <f>'เย็น '!F98+'เช้า '!F98+บ่าย!F98</f>
        <v>18</v>
      </c>
      <c r="G98" s="67">
        <f>'เย็น '!G98+'เช้า '!G98+บ่าย!G98</f>
        <v>71</v>
      </c>
      <c r="H98" s="31">
        <f>'เย็น '!H98+'เช้า '!H98+บ่าย!H98</f>
        <v>15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7"/>
        <v>134</v>
      </c>
      <c r="M98" s="11">
        <v>210</v>
      </c>
      <c r="N98" s="11"/>
      <c r="O98" s="11">
        <v>100</v>
      </c>
      <c r="P98" s="47">
        <f t="shared" si="5"/>
        <v>176</v>
      </c>
    </row>
    <row r="99" spans="2:16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6"/>
      <c r="L99" s="37">
        <f t="shared" si="7"/>
        <v>0</v>
      </c>
      <c r="M99" s="11"/>
      <c r="N99" s="11"/>
      <c r="O99" s="11"/>
      <c r="P99" s="47">
        <f t="shared" si="5"/>
        <v>0</v>
      </c>
    </row>
    <row r="100" spans="2:16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578</v>
      </c>
      <c r="M100" s="11"/>
      <c r="N100" s="11"/>
      <c r="O100" s="11"/>
      <c r="P100" s="47">
        <f t="shared" si="5"/>
        <v>-578</v>
      </c>
    </row>
    <row r="101" spans="2:16" ht="19.5" hidden="1" x14ac:dyDescent="0.2">
      <c r="B101" s="51" t="s">
        <v>85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66"/>
    </row>
    <row r="102" spans="2:16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6"/>
      <c r="L102" s="37">
        <f t="shared" ref="L102:L111" si="8">SUM(D102:K102)</f>
        <v>0</v>
      </c>
      <c r="M102" s="11"/>
      <c r="N102" s="11"/>
      <c r="O102" s="11"/>
      <c r="P102" s="47">
        <f t="shared" si="5"/>
        <v>0</v>
      </c>
    </row>
    <row r="103" spans="2:16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6"/>
      <c r="L103" s="37">
        <f t="shared" si="8"/>
        <v>0</v>
      </c>
      <c r="M103" s="11"/>
      <c r="N103" s="11"/>
      <c r="O103" s="11"/>
      <c r="P103" s="47">
        <f t="shared" si="5"/>
        <v>0</v>
      </c>
    </row>
    <row r="104" spans="2:16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6"/>
      <c r="L104" s="37">
        <f t="shared" si="8"/>
        <v>0</v>
      </c>
      <c r="M104" s="11"/>
      <c r="N104" s="11"/>
      <c r="O104" s="11"/>
      <c r="P104" s="47">
        <f t="shared" si="5"/>
        <v>0</v>
      </c>
    </row>
    <row r="105" spans="2:16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6"/>
      <c r="L105" s="37">
        <f t="shared" si="8"/>
        <v>0</v>
      </c>
      <c r="M105" s="11"/>
      <c r="N105" s="11"/>
      <c r="O105" s="11"/>
      <c r="P105" s="47">
        <f t="shared" si="5"/>
        <v>0</v>
      </c>
    </row>
    <row r="106" spans="2:16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6"/>
      <c r="L106" s="37">
        <f t="shared" si="8"/>
        <v>0</v>
      </c>
      <c r="M106" s="11"/>
      <c r="N106" s="11"/>
      <c r="O106" s="11"/>
      <c r="P106" s="47">
        <f t="shared" si="5"/>
        <v>0</v>
      </c>
    </row>
    <row r="107" spans="2:16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6"/>
      <c r="L107" s="37">
        <f t="shared" si="8"/>
        <v>0</v>
      </c>
      <c r="M107" s="11"/>
      <c r="N107" s="11"/>
      <c r="O107" s="11"/>
      <c r="P107" s="47">
        <f t="shared" si="5"/>
        <v>0</v>
      </c>
    </row>
    <row r="108" spans="2:16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6"/>
      <c r="L108" s="37">
        <f t="shared" si="8"/>
        <v>0</v>
      </c>
      <c r="M108" s="11"/>
      <c r="N108" s="11"/>
      <c r="O108" s="11"/>
      <c r="P108" s="47">
        <f t="shared" si="5"/>
        <v>0</v>
      </c>
    </row>
    <row r="109" spans="2:16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6"/>
      <c r="L109" s="37">
        <f t="shared" si="8"/>
        <v>0</v>
      </c>
      <c r="M109" s="11"/>
      <c r="N109" s="11"/>
      <c r="O109" s="11"/>
      <c r="P109" s="47">
        <f t="shared" si="5"/>
        <v>0</v>
      </c>
    </row>
    <row r="110" spans="2:16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6"/>
      <c r="L110" s="37">
        <f t="shared" si="8"/>
        <v>0</v>
      </c>
      <c r="M110" s="11"/>
      <c r="N110" s="11"/>
      <c r="O110" s="11"/>
      <c r="P110" s="47">
        <f t="shared" si="5"/>
        <v>0</v>
      </c>
    </row>
    <row r="111" spans="2:16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6"/>
      <c r="L111" s="37">
        <f t="shared" si="8"/>
        <v>0</v>
      </c>
      <c r="M111" s="11"/>
      <c r="N111" s="11"/>
      <c r="O111" s="11"/>
      <c r="P111" s="47">
        <f t="shared" si="5"/>
        <v>0</v>
      </c>
    </row>
    <row r="112" spans="2:16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11"/>
      <c r="P112" s="47">
        <f t="shared" ref="P112" si="10">SUM(M112+O112)-L112</f>
        <v>0</v>
      </c>
    </row>
    <row r="113" spans="2:16" ht="19.5" x14ac:dyDescent="0.2">
      <c r="B113" s="51" t="s">
        <v>86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66"/>
    </row>
    <row r="114" spans="2:16" x14ac:dyDescent="0.2">
      <c r="B114" s="11">
        <v>1113170</v>
      </c>
      <c r="C114" s="22" t="s">
        <v>87</v>
      </c>
      <c r="D114" s="31">
        <f>'เย็น '!D114+'เช้า '!D114+บ่าย!D114</f>
        <v>11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7" si="11">SUM(D114:K114)</f>
        <v>11</v>
      </c>
      <c r="M114" s="11"/>
      <c r="N114" s="11"/>
      <c r="O114" s="11"/>
      <c r="P114" s="47">
        <f t="shared" ref="P114:P137" si="12">(M114+N114+O114)-L114</f>
        <v>-11</v>
      </c>
    </row>
    <row r="115" spans="2:16" x14ac:dyDescent="0.2">
      <c r="B115" s="11">
        <v>1113171</v>
      </c>
      <c r="C115" s="22" t="s">
        <v>88</v>
      </c>
      <c r="D115" s="31">
        <f>'เย็น '!D115+'เช้า '!D115+บ่าย!D115</f>
        <v>6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1"/>
        <v>6</v>
      </c>
      <c r="M115" s="11"/>
      <c r="N115" s="11"/>
      <c r="O115" s="11"/>
      <c r="P115" s="47">
        <f t="shared" si="12"/>
        <v>-6</v>
      </c>
    </row>
    <row r="116" spans="2:16" x14ac:dyDescent="0.2">
      <c r="B116" s="11">
        <v>1113172</v>
      </c>
      <c r="C116" s="22" t="s">
        <v>89</v>
      </c>
      <c r="D116" s="31">
        <f>'เย็น '!D116+'เช้า '!D116+บ่าย!D116</f>
        <v>7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1"/>
        <v>7</v>
      </c>
      <c r="M116" s="11"/>
      <c r="N116" s="11"/>
      <c r="O116" s="11"/>
      <c r="P116" s="47">
        <f t="shared" si="12"/>
        <v>-7</v>
      </c>
    </row>
    <row r="117" spans="2:16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1"/>
        <v>0</v>
      </c>
      <c r="M117" s="11"/>
      <c r="N117" s="11"/>
      <c r="O117" s="11"/>
      <c r="P117" s="47">
        <f t="shared" si="12"/>
        <v>0</v>
      </c>
    </row>
    <row r="118" spans="2:16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6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1"/>
        <v>6</v>
      </c>
      <c r="M118" s="11"/>
      <c r="N118" s="11"/>
      <c r="O118" s="11"/>
      <c r="P118" s="47">
        <f t="shared" si="12"/>
        <v>-6</v>
      </c>
    </row>
    <row r="119" spans="2:16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1"/>
        <v>1</v>
      </c>
      <c r="M119" s="11"/>
      <c r="N119" s="11"/>
      <c r="O119" s="11"/>
      <c r="P119" s="47">
        <f t="shared" si="12"/>
        <v>-1</v>
      </c>
    </row>
    <row r="120" spans="2:16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1"/>
        <v>0</v>
      </c>
      <c r="M120" s="11"/>
      <c r="N120" s="11"/>
      <c r="O120" s="11"/>
      <c r="P120" s="47">
        <f t="shared" si="12"/>
        <v>0</v>
      </c>
    </row>
    <row r="121" spans="2:16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1"/>
        <v>0</v>
      </c>
      <c r="M121" s="11"/>
      <c r="N121" s="11"/>
      <c r="O121" s="11"/>
      <c r="P121" s="47">
        <f t="shared" si="12"/>
        <v>0</v>
      </c>
    </row>
    <row r="122" spans="2:16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1</v>
      </c>
      <c r="G122" s="31">
        <f>'เย็น '!G122+'เช้า '!G122+บ่าย!G122</f>
        <v>0</v>
      </c>
      <c r="H122" s="31">
        <f>'เย็น '!H122+'เช้า '!H122+บ่าย!H122</f>
        <v>3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1"/>
        <v>4</v>
      </c>
      <c r="M122" s="11"/>
      <c r="N122" s="11"/>
      <c r="O122" s="11"/>
      <c r="P122" s="47">
        <f t="shared" si="12"/>
        <v>-4</v>
      </c>
    </row>
    <row r="123" spans="2:16" x14ac:dyDescent="0.2">
      <c r="B123" s="11">
        <v>1114501</v>
      </c>
      <c r="C123" s="22" t="s">
        <v>95</v>
      </c>
      <c r="D123" s="31">
        <f>'เย็น '!D123+'เช้า '!D123+บ่าย!D123</f>
        <v>2</v>
      </c>
      <c r="E123" s="67">
        <f>'เย็น '!E123+'เช้า '!E123+บ่าย!E123</f>
        <v>11</v>
      </c>
      <c r="F123" s="67">
        <f>'เย็น '!F123+'เช้า '!F123+บ่าย!F123</f>
        <v>6</v>
      </c>
      <c r="G123" s="67">
        <f>'เย็น '!G123+'เช้า '!G123+บ่าย!G123</f>
        <v>194</v>
      </c>
      <c r="H123" s="31">
        <f>'เย็น '!H123+'เช้า '!H123+บ่าย!H123</f>
        <v>23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1"/>
        <v>236</v>
      </c>
      <c r="M123" s="11">
        <v>475</v>
      </c>
      <c r="N123" s="11"/>
      <c r="O123" s="11">
        <v>350</v>
      </c>
      <c r="P123" s="47">
        <f t="shared" si="12"/>
        <v>589</v>
      </c>
    </row>
    <row r="124" spans="2:16" x14ac:dyDescent="0.2">
      <c r="B124" s="11">
        <v>1114502</v>
      </c>
      <c r="C124" s="22" t="s">
        <v>96</v>
      </c>
      <c r="D124" s="31">
        <f>'เย็น '!D124+'เช้า '!D124+บ่าย!D124</f>
        <v>2</v>
      </c>
      <c r="E124" s="31">
        <f>'เย็น '!E124+'เช้า '!E124+บ่าย!E124</f>
        <v>5</v>
      </c>
      <c r="F124" s="67">
        <f>'เย็น '!F124+'เช้า '!F124+บ่าย!F124</f>
        <v>8</v>
      </c>
      <c r="G124" s="67">
        <f>'เย็น '!G124+'เช้า '!G124+บ่าย!G124</f>
        <v>192</v>
      </c>
      <c r="H124" s="31">
        <f>'เย็น '!H124+'เช้า '!H124+บ่าย!H124</f>
        <v>23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1"/>
        <v>230</v>
      </c>
      <c r="M124" s="11">
        <v>516</v>
      </c>
      <c r="N124" s="11"/>
      <c r="O124" s="11">
        <v>350</v>
      </c>
      <c r="P124" s="47">
        <f t="shared" si="12"/>
        <v>636</v>
      </c>
    </row>
    <row r="125" spans="2:16" x14ac:dyDescent="0.2">
      <c r="B125" s="11">
        <v>1114503</v>
      </c>
      <c r="C125" s="22" t="s">
        <v>97</v>
      </c>
      <c r="D125" s="31">
        <f>'เย็น '!D125+'เช้า '!D125+บ่าย!D125</f>
        <v>2</v>
      </c>
      <c r="E125" s="31">
        <f>'เย็น '!E125+'เช้า '!E125+บ่าย!E125</f>
        <v>2</v>
      </c>
      <c r="F125" s="67">
        <f>'เย็น '!F125+'เช้า '!F125+บ่าย!F125</f>
        <v>5</v>
      </c>
      <c r="G125" s="67">
        <f>'เย็น '!G125+'เช้า '!G125+บ่าย!G125</f>
        <v>192</v>
      </c>
      <c r="H125" s="31">
        <f>'เย็น '!H125+'เช้า '!H125+บ่าย!H125</f>
        <v>23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1"/>
        <v>224</v>
      </c>
      <c r="M125" s="11">
        <v>527</v>
      </c>
      <c r="N125" s="11"/>
      <c r="O125" s="11">
        <v>350</v>
      </c>
      <c r="P125" s="47">
        <f t="shared" si="12"/>
        <v>653</v>
      </c>
    </row>
    <row r="126" spans="2:16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67">
        <f>'เย็น '!E126+'เช้า '!E126+บ่าย!E126</f>
        <v>79</v>
      </c>
      <c r="F126" s="67">
        <f>'เย็น '!F126+'เช้า '!F126+บ่าย!F126</f>
        <v>87</v>
      </c>
      <c r="G126" s="67">
        <f>'เย็น '!G126+'เช้า '!G126+บ่าย!G126</f>
        <v>84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1"/>
        <v>250</v>
      </c>
      <c r="M126" s="11">
        <v>268</v>
      </c>
      <c r="N126" s="11"/>
      <c r="O126" s="11">
        <v>170</v>
      </c>
      <c r="P126" s="47">
        <f t="shared" si="12"/>
        <v>188</v>
      </c>
    </row>
    <row r="127" spans="2:16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1"/>
        <v>0</v>
      </c>
      <c r="M127" s="11"/>
      <c r="N127" s="11"/>
      <c r="O127" s="11"/>
      <c r="P127" s="47">
        <f t="shared" si="12"/>
        <v>0</v>
      </c>
    </row>
    <row r="128" spans="2:16" x14ac:dyDescent="0.2">
      <c r="B128" s="11">
        <v>900003</v>
      </c>
      <c r="C128" s="22" t="s">
        <v>133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1"/>
        <v>0</v>
      </c>
      <c r="M128" s="11"/>
      <c r="N128" s="11"/>
      <c r="O128" s="11"/>
      <c r="P128" s="47">
        <f t="shared" si="12"/>
        <v>0</v>
      </c>
    </row>
    <row r="129" spans="2:16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1"/>
        <v>0</v>
      </c>
      <c r="M129" s="11"/>
      <c r="N129" s="11"/>
      <c r="O129" s="11"/>
      <c r="P129" s="47">
        <f t="shared" si="12"/>
        <v>0</v>
      </c>
    </row>
    <row r="130" spans="2:16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1"/>
        <v>0</v>
      </c>
      <c r="M130" s="11"/>
      <c r="N130" s="11"/>
      <c r="O130" s="11"/>
      <c r="P130" s="47">
        <f t="shared" si="12"/>
        <v>0</v>
      </c>
    </row>
    <row r="131" spans="2:16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1"/>
        <v>0</v>
      </c>
      <c r="M131" s="11"/>
      <c r="N131" s="11"/>
      <c r="O131" s="11"/>
      <c r="P131" s="47">
        <f t="shared" si="12"/>
        <v>0</v>
      </c>
    </row>
    <row r="132" spans="2:16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1"/>
        <v>0</v>
      </c>
      <c r="M132" s="11"/>
      <c r="N132" s="11"/>
      <c r="O132" s="11"/>
      <c r="P132" s="47">
        <f t="shared" si="12"/>
        <v>0</v>
      </c>
    </row>
    <row r="133" spans="2:16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1"/>
        <v>0</v>
      </c>
      <c r="M133" s="11"/>
      <c r="N133" s="11"/>
      <c r="O133" s="11"/>
      <c r="P133" s="47">
        <f t="shared" si="12"/>
        <v>0</v>
      </c>
    </row>
    <row r="134" spans="2:16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1"/>
        <v>0</v>
      </c>
      <c r="M134" s="11"/>
      <c r="N134" s="11"/>
      <c r="O134" s="11"/>
      <c r="P134" s="47">
        <f t="shared" si="12"/>
        <v>0</v>
      </c>
    </row>
    <row r="135" spans="2:16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1"/>
        <v>0</v>
      </c>
      <c r="M135" s="11"/>
      <c r="N135" s="11"/>
      <c r="O135" s="11"/>
      <c r="P135" s="47">
        <f t="shared" si="12"/>
        <v>0</v>
      </c>
    </row>
    <row r="136" spans="2:16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11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1"/>
        <v>11</v>
      </c>
      <c r="M136" s="11"/>
      <c r="N136" s="11"/>
      <c r="O136" s="11"/>
      <c r="P136" s="47">
        <f t="shared" si="12"/>
        <v>-11</v>
      </c>
    </row>
    <row r="137" spans="2:16" x14ac:dyDescent="0.2">
      <c r="B137" s="23">
        <v>20052721</v>
      </c>
      <c r="C137" s="22" t="s">
        <v>131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1"/>
        <v>0</v>
      </c>
      <c r="M137" s="11"/>
      <c r="N137" s="11"/>
      <c r="O137" s="11"/>
      <c r="P137" s="47">
        <f t="shared" si="12"/>
        <v>0</v>
      </c>
    </row>
    <row r="138" spans="2:16" ht="40.5" customHeight="1" x14ac:dyDescent="0.2">
      <c r="C138" s="36"/>
      <c r="D138" s="37">
        <f t="shared" ref="D138:L138" si="13">SUM(D114:D137,D90:D99,D79:D87,D69:D76,D7:D66)</f>
        <v>106</v>
      </c>
      <c r="E138" s="37">
        <f t="shared" si="13"/>
        <v>247</v>
      </c>
      <c r="F138" s="37">
        <f t="shared" si="13"/>
        <v>271</v>
      </c>
      <c r="G138" s="37">
        <f t="shared" si="13"/>
        <v>1340</v>
      </c>
      <c r="H138" s="37">
        <f t="shared" si="13"/>
        <v>162</v>
      </c>
      <c r="I138" s="37">
        <f t="shared" si="13"/>
        <v>0</v>
      </c>
      <c r="J138" s="37">
        <f t="shared" si="13"/>
        <v>0</v>
      </c>
      <c r="K138" s="37"/>
      <c r="L138" s="37">
        <f t="shared" si="13"/>
        <v>2131</v>
      </c>
      <c r="M138" s="41">
        <f>SUM(M114:M137,M90:M98,M79:M87,M69:M76,M7:M66)</f>
        <v>3089</v>
      </c>
      <c r="N138" s="41"/>
      <c r="O138" s="41">
        <f>SUM(O114:O137,O90:O98,O79:O87,O69:O76,O7:O66)</f>
        <v>2375</v>
      </c>
      <c r="P138" s="41">
        <f>SUM(P114:P137,P90:P98,P79:P87,P69:P76,P7:P66)</f>
        <v>3333</v>
      </c>
    </row>
    <row r="139" spans="2:16" x14ac:dyDescent="0.2">
      <c r="B139" s="40"/>
      <c r="C139" s="36"/>
      <c r="D139" s="41"/>
      <c r="E139" s="41"/>
      <c r="F139" s="41"/>
      <c r="G139" s="41"/>
      <c r="H139" s="41"/>
      <c r="I139" s="41"/>
      <c r="J139" s="41"/>
      <c r="K139" s="41"/>
      <c r="L139" s="42"/>
    </row>
    <row r="140" spans="2:16" x14ac:dyDescent="0.2">
      <c r="B140" s="40"/>
      <c r="C140" s="36"/>
      <c r="D140" s="41"/>
      <c r="E140" s="41"/>
      <c r="F140" s="41"/>
      <c r="G140" s="41"/>
      <c r="H140" s="41"/>
      <c r="I140" s="41"/>
      <c r="J140" s="41"/>
      <c r="K140" s="41"/>
      <c r="L140" s="42"/>
    </row>
    <row r="141" spans="2:16" x14ac:dyDescent="0.2">
      <c r="C141" s="25"/>
      <c r="D141" s="32"/>
      <c r="E141" s="59"/>
      <c r="F141" s="59"/>
      <c r="G141" s="27"/>
      <c r="L141" s="43"/>
    </row>
    <row r="142" spans="2:16" x14ac:dyDescent="0.2">
      <c r="B142" s="59" t="s">
        <v>104</v>
      </c>
      <c r="C142" s="59"/>
      <c r="D142" s="33"/>
      <c r="E142" s="58"/>
      <c r="F142" s="58"/>
      <c r="G142" s="28"/>
      <c r="H142" s="27"/>
      <c r="I142" s="59" t="s">
        <v>104</v>
      </c>
      <c r="J142" s="59"/>
      <c r="K142" s="59"/>
      <c r="L142" s="59"/>
    </row>
    <row r="143" spans="2:16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6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9.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9.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9">
    <mergeCell ref="B143:C143"/>
    <mergeCell ref="I143:L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L142"/>
    <mergeCell ref="B1:L1"/>
    <mergeCell ref="B2:C3"/>
    <mergeCell ref="E2:F3"/>
    <mergeCell ref="M2:M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2024-12-06T05:01:59Z</dcterms:modified>
</cp:coreProperties>
</file>