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B08095E-04DE-482B-9D2C-CB525951D40A}" xr6:coauthVersionLast="47" xr6:coauthVersionMax="47" xr10:uidLastSave="{00000000-0000-0000-0000-000000000000}"/>
  <bookViews>
    <workbookView xWindow="0" yWindow="1065" windowWidth="19080" windowHeight="13470" firstSheet="1" activeTab="3" xr2:uid="{55C9AAA3-F459-48EC-A639-AACFFC6390F5}"/>
  </bookViews>
  <sheets>
    <sheet name="เย็น " sheetId="6" state="hidden" r:id="rId1"/>
    <sheet name="เช้า " sheetId="3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6" i="5" l="1"/>
  <c r="E136" i="5"/>
  <c r="F136" i="5"/>
  <c r="G136" i="5"/>
  <c r="H136" i="5"/>
  <c r="I136" i="5"/>
  <c r="J136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D128" i="5"/>
  <c r="E128" i="5"/>
  <c r="F128" i="5"/>
  <c r="G128" i="5"/>
  <c r="H128" i="5"/>
  <c r="I128" i="5"/>
  <c r="J128" i="5"/>
  <c r="D129" i="5"/>
  <c r="E129" i="5"/>
  <c r="F129" i="5"/>
  <c r="G129" i="5"/>
  <c r="H129" i="5"/>
  <c r="I129" i="5"/>
  <c r="J129" i="5"/>
  <c r="D130" i="5"/>
  <c r="E130" i="5"/>
  <c r="F130" i="5"/>
  <c r="G130" i="5"/>
  <c r="H130" i="5"/>
  <c r="I130" i="5"/>
  <c r="J130" i="5"/>
  <c r="D131" i="5"/>
  <c r="E131" i="5"/>
  <c r="F131" i="5"/>
  <c r="G131" i="5"/>
  <c r="H131" i="5"/>
  <c r="I131" i="5"/>
  <c r="J131" i="5"/>
  <c r="D132" i="5"/>
  <c r="E132" i="5"/>
  <c r="F132" i="5"/>
  <c r="G132" i="5"/>
  <c r="H132" i="5"/>
  <c r="I132" i="5"/>
  <c r="J132" i="5"/>
  <c r="D133" i="5"/>
  <c r="E133" i="5"/>
  <c r="F133" i="5"/>
  <c r="G133" i="5"/>
  <c r="H133" i="5"/>
  <c r="I133" i="5"/>
  <c r="J133" i="5"/>
  <c r="D134" i="5"/>
  <c r="E134" i="5"/>
  <c r="F134" i="5"/>
  <c r="G134" i="5"/>
  <c r="H134" i="5"/>
  <c r="I134" i="5"/>
  <c r="J134" i="5"/>
  <c r="D135" i="5"/>
  <c r="E135" i="5"/>
  <c r="F135" i="5"/>
  <c r="G135" i="5"/>
  <c r="H135" i="5"/>
  <c r="I135" i="5"/>
  <c r="J135" i="5"/>
  <c r="E114" i="5"/>
  <c r="F114" i="5"/>
  <c r="G114" i="5"/>
  <c r="H114" i="5"/>
  <c r="I114" i="5"/>
  <c r="J114" i="5"/>
  <c r="D137" i="5"/>
  <c r="E137" i="5"/>
  <c r="F137" i="5"/>
  <c r="G137" i="5"/>
  <c r="H137" i="5"/>
  <c r="I137" i="5"/>
  <c r="J137" i="5"/>
  <c r="O77" i="5"/>
  <c r="D90" i="5"/>
  <c r="E90" i="5"/>
  <c r="F90" i="5"/>
  <c r="G90" i="5"/>
  <c r="H90" i="5"/>
  <c r="I90" i="5"/>
  <c r="J90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D87" i="5"/>
  <c r="E87" i="5"/>
  <c r="F87" i="5"/>
  <c r="G87" i="5"/>
  <c r="H87" i="5"/>
  <c r="I87" i="5"/>
  <c r="J87" i="5"/>
  <c r="D69" i="5"/>
  <c r="E69" i="5"/>
  <c r="F69" i="5"/>
  <c r="G69" i="5"/>
  <c r="H69" i="5"/>
  <c r="D70" i="5"/>
  <c r="E70" i="5"/>
  <c r="F70" i="5"/>
  <c r="G70" i="5"/>
  <c r="H70" i="5"/>
  <c r="D71" i="5"/>
  <c r="E71" i="5"/>
  <c r="F71" i="5"/>
  <c r="G71" i="5"/>
  <c r="H71" i="5"/>
  <c r="D72" i="5"/>
  <c r="E72" i="5"/>
  <c r="F72" i="5"/>
  <c r="G72" i="5"/>
  <c r="H72" i="5"/>
  <c r="D73" i="5"/>
  <c r="E73" i="5"/>
  <c r="F73" i="5"/>
  <c r="G73" i="5"/>
  <c r="H73" i="5"/>
  <c r="D74" i="5"/>
  <c r="E74" i="5"/>
  <c r="F74" i="5"/>
  <c r="G74" i="5"/>
  <c r="H74" i="5"/>
  <c r="D75" i="5"/>
  <c r="E75" i="5"/>
  <c r="F75" i="5"/>
  <c r="G75" i="5"/>
  <c r="H75" i="5"/>
  <c r="D76" i="5"/>
  <c r="E76" i="5"/>
  <c r="F76" i="5"/>
  <c r="G76" i="5"/>
  <c r="H76" i="5"/>
  <c r="D114" i="5" l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E79" i="5"/>
  <c r="F79" i="5"/>
  <c r="G79" i="5"/>
  <c r="H79" i="5"/>
  <c r="I79" i="5"/>
  <c r="J79" i="5"/>
  <c r="D7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69" i="5"/>
  <c r="J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D55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E7" i="5"/>
  <c r="F7" i="5"/>
  <c r="G7" i="5"/>
  <c r="H7" i="5"/>
  <c r="I7" i="5"/>
  <c r="J7" i="5"/>
  <c r="D7" i="5"/>
  <c r="I139" i="6"/>
  <c r="H139" i="6"/>
  <c r="G139" i="6"/>
  <c r="F139" i="6"/>
  <c r="E139" i="6"/>
  <c r="D139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1" i="6"/>
  <c r="K110" i="6"/>
  <c r="K109" i="6"/>
  <c r="K108" i="6"/>
  <c r="K107" i="6"/>
  <c r="K106" i="6"/>
  <c r="K105" i="6"/>
  <c r="K104" i="6"/>
  <c r="K103" i="6"/>
  <c r="K102" i="6"/>
  <c r="K99" i="6"/>
  <c r="K98" i="6"/>
  <c r="K97" i="6"/>
  <c r="K96" i="6"/>
  <c r="K95" i="6"/>
  <c r="K94" i="6"/>
  <c r="K93" i="6"/>
  <c r="K92" i="6"/>
  <c r="K91" i="6"/>
  <c r="K90" i="6"/>
  <c r="K87" i="6"/>
  <c r="K86" i="6"/>
  <c r="K85" i="6"/>
  <c r="K84" i="6"/>
  <c r="K83" i="6"/>
  <c r="K82" i="6"/>
  <c r="K81" i="6"/>
  <c r="K80" i="6"/>
  <c r="K79" i="6"/>
  <c r="K76" i="6"/>
  <c r="K75" i="6"/>
  <c r="K74" i="6"/>
  <c r="K73" i="6"/>
  <c r="K72" i="6"/>
  <c r="K71" i="6"/>
  <c r="K70" i="6"/>
  <c r="K69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112" i="6" l="1"/>
  <c r="K139" i="6"/>
  <c r="K103" i="5"/>
  <c r="O103" i="5" s="1"/>
  <c r="K104" i="5"/>
  <c r="O104" i="5" s="1"/>
  <c r="K105" i="5"/>
  <c r="O105" i="5" s="1"/>
  <c r="K106" i="5"/>
  <c r="O106" i="5" s="1"/>
  <c r="K107" i="5"/>
  <c r="O107" i="5" s="1"/>
  <c r="K108" i="5"/>
  <c r="O108" i="5" s="1"/>
  <c r="K109" i="5"/>
  <c r="O109" i="5" s="1"/>
  <c r="K110" i="5"/>
  <c r="O110" i="5" s="1"/>
  <c r="K111" i="5"/>
  <c r="O111" i="5" s="1"/>
  <c r="K102" i="5"/>
  <c r="O102" i="5" s="1"/>
  <c r="K112" i="5" l="1"/>
  <c r="O112" i="5" s="1"/>
  <c r="K88" i="5"/>
  <c r="O88" i="5" s="1"/>
  <c r="K67" i="5"/>
  <c r="O67" i="5" s="1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14" i="4"/>
  <c r="K91" i="4"/>
  <c r="K92" i="4"/>
  <c r="K93" i="4"/>
  <c r="K94" i="4"/>
  <c r="K95" i="4"/>
  <c r="K96" i="4"/>
  <c r="K97" i="4"/>
  <c r="K98" i="4"/>
  <c r="K99" i="4"/>
  <c r="K90" i="4"/>
  <c r="K80" i="4"/>
  <c r="K81" i="4"/>
  <c r="K82" i="4"/>
  <c r="K83" i="4"/>
  <c r="K84" i="4"/>
  <c r="K85" i="4"/>
  <c r="K86" i="4"/>
  <c r="K87" i="4"/>
  <c r="K79" i="4"/>
  <c r="K70" i="4"/>
  <c r="K71" i="4"/>
  <c r="K72" i="4"/>
  <c r="K73" i="4"/>
  <c r="K74" i="4"/>
  <c r="K75" i="4"/>
  <c r="K76" i="4"/>
  <c r="K69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7" i="4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14" i="3"/>
  <c r="K91" i="3"/>
  <c r="K92" i="3"/>
  <c r="K93" i="3"/>
  <c r="K94" i="3"/>
  <c r="K95" i="3"/>
  <c r="K96" i="3"/>
  <c r="K97" i="3"/>
  <c r="K98" i="3"/>
  <c r="K99" i="3"/>
  <c r="K90" i="3"/>
  <c r="K80" i="3"/>
  <c r="K81" i="3"/>
  <c r="K82" i="3"/>
  <c r="K83" i="3"/>
  <c r="K84" i="3"/>
  <c r="K85" i="3"/>
  <c r="K86" i="3"/>
  <c r="K87" i="3"/>
  <c r="K79" i="3"/>
  <c r="K70" i="3"/>
  <c r="K71" i="3"/>
  <c r="K72" i="3"/>
  <c r="K73" i="3"/>
  <c r="K74" i="3"/>
  <c r="K75" i="3"/>
  <c r="K76" i="3"/>
  <c r="K69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7" i="3"/>
  <c r="D139" i="3"/>
  <c r="E139" i="3"/>
  <c r="F139" i="3"/>
  <c r="G139" i="3"/>
  <c r="H139" i="3"/>
  <c r="I139" i="3"/>
  <c r="K75" i="5" l="1"/>
  <c r="O75" i="5" s="1"/>
  <c r="K114" i="5"/>
  <c r="O114" i="5" s="1"/>
  <c r="K115" i="5"/>
  <c r="O115" i="5" s="1"/>
  <c r="K137" i="5"/>
  <c r="O137" i="5" s="1"/>
  <c r="K66" i="5"/>
  <c r="O66" i="5" s="1"/>
  <c r="K127" i="5"/>
  <c r="O127" i="5" s="1"/>
  <c r="H138" i="5"/>
  <c r="J138" i="5"/>
  <c r="K76" i="5"/>
  <c r="O76" i="5" s="1"/>
  <c r="K72" i="5"/>
  <c r="O72" i="5" s="1"/>
  <c r="D138" i="5"/>
  <c r="G138" i="5"/>
  <c r="F138" i="5"/>
  <c r="I138" i="5"/>
  <c r="E138" i="5"/>
  <c r="K53" i="5"/>
  <c r="O53" i="5" s="1"/>
  <c r="K50" i="5"/>
  <c r="O50" i="5" s="1"/>
  <c r="K46" i="5"/>
  <c r="O46" i="5" s="1"/>
  <c r="K37" i="5"/>
  <c r="O37" i="5" s="1"/>
  <c r="K33" i="5"/>
  <c r="O33" i="5" s="1"/>
  <c r="K29" i="5"/>
  <c r="O29" i="5" s="1"/>
  <c r="K27" i="5"/>
  <c r="O27" i="5" s="1"/>
  <c r="K11" i="5"/>
  <c r="O11" i="5" s="1"/>
  <c r="K79" i="5"/>
  <c r="O79" i="5" s="1"/>
  <c r="K119" i="5"/>
  <c r="O119" i="5" s="1"/>
  <c r="K81" i="5"/>
  <c r="O81" i="5" s="1"/>
  <c r="K73" i="5"/>
  <c r="O73" i="5" s="1"/>
  <c r="K74" i="5"/>
  <c r="O74" i="5" s="1"/>
  <c r="K59" i="5"/>
  <c r="O59" i="5" s="1"/>
  <c r="K35" i="5"/>
  <c r="O35" i="5" s="1"/>
  <c r="K15" i="5"/>
  <c r="O15" i="5" s="1"/>
  <c r="K43" i="5"/>
  <c r="O43" i="5" s="1"/>
  <c r="K39" i="5"/>
  <c r="O39" i="5" s="1"/>
  <c r="K23" i="5"/>
  <c r="O23" i="5" s="1"/>
  <c r="K19" i="5"/>
  <c r="O19" i="5" s="1"/>
  <c r="K133" i="5"/>
  <c r="O133" i="5" s="1"/>
  <c r="K132" i="5"/>
  <c r="O132" i="5" s="1"/>
  <c r="K128" i="5"/>
  <c r="O128" i="5" s="1"/>
  <c r="K126" i="5"/>
  <c r="O126" i="5" s="1"/>
  <c r="K120" i="5"/>
  <c r="O120" i="5" s="1"/>
  <c r="K116" i="5"/>
  <c r="O116" i="5" s="1"/>
  <c r="K135" i="5"/>
  <c r="O135" i="5" s="1"/>
  <c r="K134" i="5"/>
  <c r="O134" i="5" s="1"/>
  <c r="K131" i="5"/>
  <c r="O131" i="5" s="1"/>
  <c r="K129" i="5"/>
  <c r="O129" i="5" s="1"/>
  <c r="K121" i="5"/>
  <c r="O121" i="5" s="1"/>
  <c r="K117" i="5"/>
  <c r="O117" i="5" s="1"/>
  <c r="K99" i="5"/>
  <c r="O99" i="5" s="1"/>
  <c r="K97" i="5"/>
  <c r="O97" i="5" s="1"/>
  <c r="K94" i="5"/>
  <c r="O94" i="5" s="1"/>
  <c r="K93" i="5"/>
  <c r="O93" i="5" s="1"/>
  <c r="K96" i="5"/>
  <c r="O96" i="5" s="1"/>
  <c r="K95" i="5"/>
  <c r="O95" i="5" s="1"/>
  <c r="K84" i="5"/>
  <c r="O84" i="5" s="1"/>
  <c r="K80" i="5"/>
  <c r="O80" i="5" s="1"/>
  <c r="K83" i="5"/>
  <c r="O83" i="5" s="1"/>
  <c r="K85" i="5"/>
  <c r="O85" i="5" s="1"/>
  <c r="K86" i="5"/>
  <c r="O86" i="5" s="1"/>
  <c r="K82" i="5"/>
  <c r="O82" i="5" s="1"/>
  <c r="K71" i="5"/>
  <c r="O71" i="5" s="1"/>
  <c r="K70" i="5"/>
  <c r="O70" i="5" s="1"/>
  <c r="K56" i="5"/>
  <c r="O56" i="5" s="1"/>
  <c r="K36" i="5"/>
  <c r="O36" i="5" s="1"/>
  <c r="K32" i="5"/>
  <c r="O32" i="5" s="1"/>
  <c r="K28" i="5"/>
  <c r="O28" i="5" s="1"/>
  <c r="K24" i="5"/>
  <c r="O24" i="5" s="1"/>
  <c r="K20" i="5"/>
  <c r="O20" i="5" s="1"/>
  <c r="K16" i="5"/>
  <c r="O16" i="5" s="1"/>
  <c r="K12" i="5"/>
  <c r="O12" i="5" s="1"/>
  <c r="K8" i="5"/>
  <c r="O8" i="5" s="1"/>
  <c r="K55" i="5"/>
  <c r="O55" i="5" s="1"/>
  <c r="K31" i="5"/>
  <c r="O31" i="5" s="1"/>
  <c r="K49" i="5"/>
  <c r="O49" i="5" s="1"/>
  <c r="K21" i="5"/>
  <c r="O21" i="5" s="1"/>
  <c r="K17" i="5"/>
  <c r="O17" i="5" s="1"/>
  <c r="K13" i="5"/>
  <c r="O13" i="5" s="1"/>
  <c r="K9" i="5"/>
  <c r="O9" i="5" s="1"/>
  <c r="K54" i="5"/>
  <c r="O54" i="5" s="1"/>
  <c r="K38" i="5"/>
  <c r="O38" i="5" s="1"/>
  <c r="K34" i="5"/>
  <c r="O34" i="5" s="1"/>
  <c r="K30" i="5"/>
  <c r="O30" i="5" s="1"/>
  <c r="K22" i="5"/>
  <c r="O22" i="5" s="1"/>
  <c r="K18" i="5"/>
  <c r="O18" i="5" s="1"/>
  <c r="K14" i="5"/>
  <c r="O14" i="5" s="1"/>
  <c r="K10" i="5"/>
  <c r="O10" i="5" s="1"/>
  <c r="K63" i="5"/>
  <c r="O63" i="5" s="1"/>
  <c r="K51" i="5"/>
  <c r="O51" i="5" s="1"/>
  <c r="K47" i="5"/>
  <c r="O47" i="5" s="1"/>
  <c r="K64" i="5"/>
  <c r="O64" i="5" s="1"/>
  <c r="K60" i="5"/>
  <c r="O60" i="5" s="1"/>
  <c r="K52" i="5"/>
  <c r="O52" i="5" s="1"/>
  <c r="K48" i="5"/>
  <c r="O48" i="5" s="1"/>
  <c r="K45" i="5"/>
  <c r="O45" i="5" s="1"/>
  <c r="K41" i="5"/>
  <c r="O41" i="5" s="1"/>
  <c r="K62" i="5"/>
  <c r="O62" i="5" s="1"/>
  <c r="K58" i="5"/>
  <c r="O58" i="5" s="1"/>
  <c r="K42" i="5"/>
  <c r="O42" i="5" s="1"/>
  <c r="K25" i="5"/>
  <c r="O25" i="5" s="1"/>
  <c r="K92" i="5"/>
  <c r="O92" i="5" s="1"/>
  <c r="K118" i="5"/>
  <c r="O118" i="5" s="1"/>
  <c r="K136" i="5"/>
  <c r="O136" i="5" s="1"/>
  <c r="K130" i="5"/>
  <c r="O130" i="5" s="1"/>
  <c r="K122" i="5"/>
  <c r="O122" i="5" s="1"/>
  <c r="K65" i="5"/>
  <c r="O65" i="5" s="1"/>
  <c r="K61" i="5"/>
  <c r="O61" i="5" s="1"/>
  <c r="K57" i="5"/>
  <c r="O57" i="5" s="1"/>
  <c r="K44" i="5"/>
  <c r="O44" i="5" s="1"/>
  <c r="K90" i="5"/>
  <c r="O90" i="5" s="1"/>
  <c r="K69" i="5"/>
  <c r="O69" i="5" s="1"/>
  <c r="K7" i="5"/>
  <c r="O7" i="5" s="1"/>
  <c r="K125" i="5"/>
  <c r="O125" i="5" s="1"/>
  <c r="K124" i="5"/>
  <c r="O124" i="5" s="1"/>
  <c r="K98" i="5"/>
  <c r="O98" i="5" s="1"/>
  <c r="K91" i="5"/>
  <c r="O91" i="5" s="1"/>
  <c r="K87" i="5"/>
  <c r="O87" i="5" s="1"/>
  <c r="K123" i="5"/>
  <c r="O123" i="5" s="1"/>
  <c r="K40" i="5"/>
  <c r="O40" i="5" s="1"/>
  <c r="K26" i="5"/>
  <c r="O26" i="5" s="1"/>
  <c r="L138" i="5"/>
  <c r="N138" i="5"/>
  <c r="K100" i="5" l="1"/>
  <c r="O100" i="5" s="1"/>
  <c r="K138" i="5"/>
  <c r="K103" i="3"/>
  <c r="K104" i="3"/>
  <c r="K105" i="3"/>
  <c r="K106" i="3"/>
  <c r="K107" i="3"/>
  <c r="K108" i="3"/>
  <c r="K109" i="3"/>
  <c r="K110" i="3"/>
  <c r="K111" i="3"/>
  <c r="K102" i="3"/>
  <c r="K103" i="4"/>
  <c r="K104" i="4"/>
  <c r="K105" i="4"/>
  <c r="K106" i="4"/>
  <c r="K107" i="4"/>
  <c r="K108" i="4"/>
  <c r="K109" i="4"/>
  <c r="K110" i="4"/>
  <c r="K111" i="4"/>
  <c r="K102" i="4"/>
  <c r="K67" i="3" l="1"/>
  <c r="K100" i="4"/>
  <c r="K112" i="3" l="1"/>
  <c r="K112" i="4"/>
  <c r="K139" i="3" l="1"/>
  <c r="O138" i="5" l="1"/>
</calcChain>
</file>

<file path=xl/sharedStrings.xml><?xml version="1.0" encoding="utf-8"?>
<sst xmlns="http://schemas.openxmlformats.org/spreadsheetml/2006/main" count="600" uniqueCount="141">
  <si>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</si>
  <si>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</si>
  <si>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</si>
  <si>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</si>
  <si>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</si>
  <si>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</si>
  <si>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</si>
  <si>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</si>
  <si>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</si>
  <si>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</si>
  <si>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</si>
  <si>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</si>
  <si>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</si>
  <si>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</si>
  <si>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</si>
  <si>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</si>
  <si>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</si>
  <si>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</si>
  <si>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</si>
  <si>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</si>
  <si>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</si>
  <si>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</si>
  <si>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</si>
  <si>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</si>
  <si>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</si>
  <si>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</si>
  <si>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</si>
  <si>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</si>
  <si>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</si>
  <si>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</si>
  <si>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</si>
  <si>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</si>
  <si>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</si>
  <si>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</si>
  <si>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</si>
  <si>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</si>
  <si>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</si>
  <si>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</si>
  <si>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</si>
  <si>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</si>
  <si>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</si>
  <si>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</si>
  <si>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</si>
  <si>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</si>
  <si>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</si>
  <si>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</si>
  <si>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</si>
  <si>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</si>
  <si>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</si>
  <si>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</si>
  <si>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</si>
  <si>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</si>
  <si>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</si>
  <si>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</si>
  <si>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</si>
  <si>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</si>
  <si>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</si>
  <si>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</si>
  <si>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</si>
  <si>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</si>
  <si>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</si>
  <si>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</si>
  <si>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</si>
  <si>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</si>
  <si>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</si>
  <si>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</si>
  <si>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</si>
  <si>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</si>
  <si>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</si>
  <si>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</si>
  <si>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</si>
  <si>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</si>
  <si>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</si>
  <si>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</si>
  <si>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</si>
  <si>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</si>
  <si>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</si>
  <si>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</si>
  <si>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</si>
  <si>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</si>
  <si>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</si>
  <si>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</si>
  <si>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</si>
  <si>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</si>
  <si>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</si>
  <si>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</si>
  <si>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</si>
  <si>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</si>
  <si>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</si>
  <si>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</si>
  <si>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</si>
  <si>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</si>
  <si>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</si>
  <si>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</si>
  <si>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</si>
  <si>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</si>
  <si>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</si>
  <si>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</si>
  <si>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</si>
  <si>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</si>
  <si>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</si>
  <si>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</si>
  <si>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</si>
  <si>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</si>
  <si>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</si>
  <si>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</si>
  <si>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</si>
  <si>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</si>
  <si>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</si>
  <si>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</si>
  <si>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</si>
  <si>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</si>
  <si>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</si>
  <si>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</si>
  <si>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</si>
  <si>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</si>
  <si>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</si>
  <si>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</si>
  <si>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</si>
  <si>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</si>
  <si>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</si>
  <si>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</si>
  <si>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</si>
  <si>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</si>
  <si>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</si>
  <si>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</si>
  <si>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</si>
  <si>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</si>
  <si>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</si>
  <si>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</si>
  <si>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</si>
  <si>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</si>
  <si>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</si>
  <si>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</si>
  <si>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</si>
  <si>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</si>
  <si>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 - เย็น</t>
  </si>
  <si>
    <t>ค้างรับ</t>
  </si>
  <si>
    <t>ยอดจริง ออนไลน์ วันที่  - บ่าย</t>
  </si>
  <si>
    <t>ยอดจริง ออนไลน์ วันที่  1/12/2567 - เช้า</t>
  </si>
  <si>
    <t>ยอดจริง ออนไลน์ วันที่ 1/12/2567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</si>
</sst>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1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18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0" fontId="4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159"/>
  <sheetViews>
    <sheetView topLeftCell="A85" zoomScale="60" zoomScaleNormal="60" workbookViewId="0">
      <selection activeCell="A99" sqref="A99:XFD112"/>
    </sheetView>
  </sheetViews>
  <sheetFormatPr defaultRowHeight="22.5" x14ac:dyDescent="0.2"/>
  <cols>
    <col min="2" max="2" width="22.125" style="24" customWidth="1"/>
    <col min="3" max="3" width="59.125" style="24" customWidth="1"/>
    <col min="4" max="8" width="14.375" style="16" customWidth="1"/>
    <col min="9" max="10" width="14.375" style="16" hidden="1" customWidth="1"/>
    <col min="11" max="11" width="17.625" style="26" customWidth="1"/>
  </cols>
  <sheetData>
    <row r="1" spans="2:11" x14ac:dyDescent="0.2">
      <c r="B1" s="61" t="s">
        <v>136</v>
      </c>
      <c r="C1" s="61"/>
      <c r="D1" s="61"/>
      <c r="E1" s="61"/>
      <c r="F1" s="61"/>
      <c r="G1" s="61"/>
      <c r="H1" s="61"/>
      <c r="I1" s="61"/>
      <c r="J1" s="61"/>
      <c r="K1" s="61"/>
    </row>
    <row r="2" spans="2:11" x14ac:dyDescent="0.2">
      <c r="B2" s="62"/>
      <c r="C2" s="62"/>
      <c r="D2" s="45"/>
      <c r="E2" s="63"/>
      <c r="F2" s="63"/>
      <c r="G2" s="46"/>
      <c r="H2" s="46"/>
      <c r="I2" s="46"/>
      <c r="J2" s="46"/>
      <c r="K2" s="47" t="s">
        <v>0</v>
      </c>
    </row>
    <row r="3" spans="2:11" x14ac:dyDescent="0.2">
      <c r="B3" s="62"/>
      <c r="C3" s="62"/>
      <c r="D3" s="45"/>
      <c r="E3" s="63"/>
      <c r="F3" s="63"/>
      <c r="G3" s="46"/>
      <c r="H3" s="46"/>
      <c r="I3" s="46"/>
      <c r="J3" s="46"/>
      <c r="K3" s="47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135</v>
      </c>
      <c r="I4" s="9" t="s">
        <v>9</v>
      </c>
      <c r="J4" s="9" t="s">
        <v>134</v>
      </c>
      <c r="K4" s="47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8"/>
    </row>
    <row r="6" spans="2:11" ht="19.5" x14ac:dyDescent="0.2">
      <c r="B6" s="59" t="s">
        <v>11</v>
      </c>
      <c r="C6" s="59"/>
      <c r="D6" s="59"/>
      <c r="E6" s="59"/>
      <c r="F6" s="59"/>
      <c r="G6" s="59"/>
      <c r="H6" s="59"/>
      <c r="I6" s="59"/>
      <c r="J6" s="59"/>
      <c r="K6" s="59"/>
    </row>
    <row r="7" spans="2:11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31"/>
      <c r="K7" s="44">
        <f>SUM(D7:J7)</f>
        <v>0</v>
      </c>
    </row>
    <row r="8" spans="2:11" hidden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31"/>
      <c r="K8" s="44">
        <f t="shared" ref="K8:K66" si="0">SUM(D8:J8)</f>
        <v>0</v>
      </c>
    </row>
    <row r="9" spans="2:11" hidden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31"/>
      <c r="K9" s="44">
        <f t="shared" si="0"/>
        <v>0</v>
      </c>
    </row>
    <row r="10" spans="2:11" hidden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31"/>
      <c r="K10" s="44">
        <f t="shared" si="0"/>
        <v>0</v>
      </c>
    </row>
    <row r="11" spans="2:11" hidden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31"/>
      <c r="K11" s="44">
        <f t="shared" si="0"/>
        <v>0</v>
      </c>
    </row>
    <row r="12" spans="2:11" hidden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31"/>
      <c r="K12" s="44">
        <f t="shared" si="0"/>
        <v>0</v>
      </c>
    </row>
    <row r="13" spans="2:11" hidden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31"/>
      <c r="K13" s="44">
        <f t="shared" si="0"/>
        <v>0</v>
      </c>
    </row>
    <row r="14" spans="2:11" hidden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31"/>
      <c r="K14" s="44">
        <f t="shared" si="0"/>
        <v>0</v>
      </c>
    </row>
    <row r="15" spans="2:11" hidden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31"/>
      <c r="K15" s="44">
        <f t="shared" si="0"/>
        <v>0</v>
      </c>
    </row>
    <row r="16" spans="2:11" hidden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31"/>
      <c r="K16" s="44">
        <f t="shared" si="0"/>
        <v>0</v>
      </c>
    </row>
    <row r="17" spans="2:11" hidden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31"/>
      <c r="K17" s="44">
        <f t="shared" si="0"/>
        <v>0</v>
      </c>
    </row>
    <row r="18" spans="2:11" hidden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31"/>
      <c r="K18" s="44">
        <f t="shared" si="0"/>
        <v>0</v>
      </c>
    </row>
    <row r="19" spans="2:11" hidden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31"/>
      <c r="K19" s="44">
        <f t="shared" si="0"/>
        <v>0</v>
      </c>
    </row>
    <row r="20" spans="2:11" hidden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31"/>
      <c r="K20" s="44">
        <f t="shared" si="0"/>
        <v>0</v>
      </c>
    </row>
    <row r="21" spans="2:11" hidden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31"/>
      <c r="K21" s="44">
        <f t="shared" si="0"/>
        <v>0</v>
      </c>
    </row>
    <row r="22" spans="2:11" hidden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31"/>
      <c r="K22" s="44">
        <f t="shared" si="0"/>
        <v>0</v>
      </c>
    </row>
    <row r="23" spans="2:11" hidden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31"/>
      <c r="K23" s="44">
        <f t="shared" si="0"/>
        <v>0</v>
      </c>
    </row>
    <row r="24" spans="2:11" hidden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31"/>
      <c r="K24" s="44">
        <f t="shared" si="0"/>
        <v>0</v>
      </c>
    </row>
    <row r="25" spans="2:11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31"/>
      <c r="K25" s="44">
        <f t="shared" si="0"/>
        <v>0</v>
      </c>
    </row>
    <row r="26" spans="2:11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31"/>
      <c r="K26" s="44">
        <f t="shared" si="0"/>
        <v>0</v>
      </c>
    </row>
    <row r="27" spans="2:11" hidden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31"/>
      <c r="K27" s="44">
        <f t="shared" si="0"/>
        <v>0</v>
      </c>
    </row>
    <row r="28" spans="2:11" hidden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31"/>
      <c r="K28" s="44">
        <f t="shared" si="0"/>
        <v>0</v>
      </c>
    </row>
    <row r="29" spans="2:11" hidden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31"/>
      <c r="K29" s="44">
        <f t="shared" si="0"/>
        <v>0</v>
      </c>
    </row>
    <row r="30" spans="2:11" hidden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31"/>
      <c r="K30" s="44">
        <f t="shared" si="0"/>
        <v>0</v>
      </c>
    </row>
    <row r="31" spans="2:11" hidden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31"/>
      <c r="K31" s="44">
        <f t="shared" si="0"/>
        <v>0</v>
      </c>
    </row>
    <row r="32" spans="2:11" hidden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31"/>
      <c r="K32" s="44">
        <f t="shared" si="0"/>
        <v>0</v>
      </c>
    </row>
    <row r="33" spans="2:11" hidden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31"/>
      <c r="K33" s="44">
        <f t="shared" si="0"/>
        <v>0</v>
      </c>
    </row>
    <row r="34" spans="2:11" hidden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31"/>
      <c r="K34" s="44">
        <f t="shared" si="0"/>
        <v>0</v>
      </c>
    </row>
    <row r="35" spans="2:11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31"/>
      <c r="K35" s="44">
        <f t="shared" si="0"/>
        <v>0</v>
      </c>
    </row>
    <row r="36" spans="2:11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31"/>
      <c r="K36" s="44">
        <f t="shared" si="0"/>
        <v>0</v>
      </c>
    </row>
    <row r="37" spans="2:11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31"/>
      <c r="K37" s="44">
        <f t="shared" si="0"/>
        <v>0</v>
      </c>
    </row>
    <row r="38" spans="2:11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31"/>
      <c r="K38" s="44">
        <f t="shared" si="0"/>
        <v>0</v>
      </c>
    </row>
    <row r="39" spans="2:11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31"/>
      <c r="K39" s="44">
        <f t="shared" si="0"/>
        <v>0</v>
      </c>
    </row>
    <row r="40" spans="2:11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31"/>
      <c r="K40" s="44">
        <f t="shared" si="0"/>
        <v>0</v>
      </c>
    </row>
    <row r="41" spans="2:11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31"/>
      <c r="K41" s="44">
        <f t="shared" si="0"/>
        <v>0</v>
      </c>
    </row>
    <row r="42" spans="2:11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31"/>
      <c r="K42" s="44">
        <f t="shared" si="0"/>
        <v>0</v>
      </c>
    </row>
    <row r="43" spans="2:11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31"/>
      <c r="K43" s="44">
        <f t="shared" si="0"/>
        <v>0</v>
      </c>
    </row>
    <row r="44" spans="2:11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31"/>
      <c r="K44" s="44">
        <f t="shared" si="0"/>
        <v>0</v>
      </c>
    </row>
    <row r="45" spans="2:11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31"/>
      <c r="K45" s="44">
        <f t="shared" si="0"/>
        <v>0</v>
      </c>
    </row>
    <row r="46" spans="2:11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31"/>
      <c r="K46" s="44">
        <f t="shared" si="0"/>
        <v>0</v>
      </c>
    </row>
    <row r="47" spans="2:11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31"/>
      <c r="K47" s="44">
        <f t="shared" si="0"/>
        <v>0</v>
      </c>
    </row>
    <row r="48" spans="2:11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31"/>
      <c r="K48" s="44">
        <f t="shared" si="0"/>
        <v>0</v>
      </c>
    </row>
    <row r="49" spans="2:11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31"/>
      <c r="K49" s="44">
        <f t="shared" si="0"/>
        <v>0</v>
      </c>
    </row>
    <row r="50" spans="2:11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31"/>
      <c r="K50" s="44">
        <f t="shared" si="0"/>
        <v>0</v>
      </c>
    </row>
    <row r="51" spans="2:11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31"/>
      <c r="K51" s="44">
        <f t="shared" si="0"/>
        <v>0</v>
      </c>
    </row>
    <row r="52" spans="2:11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31"/>
      <c r="K52" s="44">
        <f t="shared" si="0"/>
        <v>0</v>
      </c>
    </row>
    <row r="53" spans="2:11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31"/>
      <c r="K53" s="44">
        <f t="shared" si="0"/>
        <v>0</v>
      </c>
    </row>
    <row r="54" spans="2:11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31"/>
      <c r="K54" s="44">
        <f t="shared" si="0"/>
        <v>0</v>
      </c>
    </row>
    <row r="55" spans="2:11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31"/>
      <c r="K55" s="44">
        <f t="shared" si="0"/>
        <v>0</v>
      </c>
    </row>
    <row r="56" spans="2:11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31"/>
      <c r="K56" s="44">
        <f t="shared" si="0"/>
        <v>0</v>
      </c>
    </row>
    <row r="57" spans="2:11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31"/>
      <c r="K57" s="44">
        <f t="shared" si="0"/>
        <v>0</v>
      </c>
    </row>
    <row r="58" spans="2:11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31"/>
      <c r="K58" s="44">
        <f t="shared" si="0"/>
        <v>0</v>
      </c>
    </row>
    <row r="59" spans="2:11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31"/>
      <c r="K59" s="44">
        <f t="shared" si="0"/>
        <v>0</v>
      </c>
    </row>
    <row r="60" spans="2:11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31"/>
      <c r="K60" s="44">
        <f t="shared" si="0"/>
        <v>0</v>
      </c>
    </row>
    <row r="61" spans="2:11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31"/>
      <c r="K61" s="44">
        <f t="shared" si="0"/>
        <v>0</v>
      </c>
    </row>
    <row r="62" spans="2:11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31"/>
      <c r="K62" s="44">
        <f t="shared" si="0"/>
        <v>0</v>
      </c>
    </row>
    <row r="63" spans="2:11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31"/>
      <c r="K63" s="44">
        <f t="shared" si="0"/>
        <v>0</v>
      </c>
    </row>
    <row r="64" spans="2:11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31"/>
      <c r="K64" s="44">
        <f t="shared" si="0"/>
        <v>0</v>
      </c>
    </row>
    <row r="65" spans="2:11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31"/>
      <c r="K65" s="44">
        <f t="shared" si="0"/>
        <v>0</v>
      </c>
    </row>
    <row r="66" spans="2:11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31"/>
      <c r="K66" s="44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4">
        <f t="shared" ref="K67" si="1">SUM(D67:I67)</f>
        <v>0</v>
      </c>
    </row>
    <row r="68" spans="2:11" ht="19.5" x14ac:dyDescent="0.2">
      <c r="B68" s="59" t="s">
        <v>55</v>
      </c>
      <c r="C68" s="59"/>
      <c r="D68" s="59"/>
      <c r="E68" s="59"/>
      <c r="F68" s="59"/>
      <c r="G68" s="59"/>
      <c r="H68" s="59"/>
      <c r="I68" s="59"/>
      <c r="J68" s="59"/>
      <c r="K68" s="59"/>
    </row>
    <row r="69" spans="2:11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31"/>
      <c r="K69" s="44">
        <f>SUM(D69:J69)</f>
        <v>0</v>
      </c>
    </row>
    <row r="70" spans="2:1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31"/>
      <c r="K70" s="44">
        <f t="shared" ref="K70:K76" si="2">SUM(D70:J70)</f>
        <v>0</v>
      </c>
    </row>
    <row r="71" spans="2:1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31"/>
      <c r="K71" s="44">
        <f t="shared" si="2"/>
        <v>0</v>
      </c>
    </row>
    <row r="72" spans="2:1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31"/>
      <c r="K72" s="44">
        <f t="shared" si="2"/>
        <v>0</v>
      </c>
    </row>
    <row r="73" spans="2:1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31"/>
      <c r="K73" s="44">
        <f t="shared" si="2"/>
        <v>0</v>
      </c>
    </row>
    <row r="74" spans="2:1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31"/>
      <c r="K74" s="44">
        <f t="shared" si="2"/>
        <v>0</v>
      </c>
    </row>
    <row r="75" spans="2:1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31"/>
      <c r="K75" s="44">
        <f t="shared" si="2"/>
        <v>0</v>
      </c>
    </row>
    <row r="76" spans="2:11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31"/>
      <c r="K76" s="44">
        <f t="shared" si="2"/>
        <v>0</v>
      </c>
    </row>
    <row r="77" spans="2:1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0"/>
    </row>
    <row r="78" spans="2:11" ht="19.5" x14ac:dyDescent="0.2">
      <c r="B78" s="59" t="s">
        <v>64</v>
      </c>
      <c r="C78" s="59"/>
      <c r="D78" s="59"/>
      <c r="E78" s="59"/>
      <c r="F78" s="59"/>
      <c r="G78" s="59"/>
      <c r="H78" s="59"/>
      <c r="I78" s="59"/>
      <c r="J78" s="59"/>
      <c r="K78" s="59"/>
    </row>
    <row r="79" spans="2:1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31"/>
      <c r="K79" s="44">
        <f>SUM(D79:J79)</f>
        <v>0</v>
      </c>
    </row>
    <row r="80" spans="2:1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31"/>
      <c r="K80" s="44">
        <f t="shared" ref="K80:K87" si="3">SUM(D80:J80)</f>
        <v>0</v>
      </c>
    </row>
    <row r="81" spans="2:1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31"/>
      <c r="K81" s="44">
        <f t="shared" si="3"/>
        <v>0</v>
      </c>
    </row>
    <row r="82" spans="2:1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31"/>
      <c r="K82" s="44">
        <f t="shared" si="3"/>
        <v>0</v>
      </c>
    </row>
    <row r="83" spans="2:1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31"/>
      <c r="K83" s="44">
        <f t="shared" si="3"/>
        <v>0</v>
      </c>
    </row>
    <row r="84" spans="2:1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31"/>
      <c r="K84" s="44">
        <f t="shared" si="3"/>
        <v>0</v>
      </c>
    </row>
    <row r="85" spans="2:1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31"/>
      <c r="K85" s="44">
        <f t="shared" si="3"/>
        <v>0</v>
      </c>
    </row>
    <row r="86" spans="2:1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31"/>
      <c r="K86" s="44">
        <f t="shared" si="3"/>
        <v>0</v>
      </c>
    </row>
    <row r="87" spans="2:11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31"/>
      <c r="K87" s="44">
        <f t="shared" si="3"/>
        <v>0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0"/>
    </row>
    <row r="89" spans="2:11" ht="19.5" x14ac:dyDescent="0.2">
      <c r="B89" s="59" t="s">
        <v>74</v>
      </c>
      <c r="C89" s="59"/>
      <c r="D89" s="59"/>
      <c r="E89" s="59"/>
      <c r="F89" s="59"/>
      <c r="G89" s="59"/>
      <c r="H89" s="59"/>
      <c r="I89" s="59"/>
      <c r="J89" s="59"/>
      <c r="K89" s="59"/>
    </row>
    <row r="90" spans="2:11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31"/>
      <c r="K90" s="44">
        <f>SUM(D90:J90)</f>
        <v>0</v>
      </c>
    </row>
    <row r="91" spans="2:11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31"/>
      <c r="K91" s="44">
        <f t="shared" ref="K91:K99" si="4">SUM(D91:J91)</f>
        <v>0</v>
      </c>
    </row>
    <row r="92" spans="2:11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31"/>
      <c r="K92" s="44">
        <f t="shared" si="4"/>
        <v>0</v>
      </c>
    </row>
    <row r="93" spans="2:11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31"/>
      <c r="K93" s="44">
        <f t="shared" si="4"/>
        <v>0</v>
      </c>
    </row>
    <row r="94" spans="2:11" hidden="1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31"/>
      <c r="K94" s="44">
        <f t="shared" si="4"/>
        <v>0</v>
      </c>
    </row>
    <row r="95" spans="2:11" hidden="1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31"/>
      <c r="K95" s="44">
        <f t="shared" si="4"/>
        <v>0</v>
      </c>
    </row>
    <row r="96" spans="2:11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31"/>
      <c r="K96" s="44">
        <f t="shared" si="4"/>
        <v>0</v>
      </c>
    </row>
    <row r="97" spans="2:11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31"/>
      <c r="K97" s="44">
        <f t="shared" si="4"/>
        <v>0</v>
      </c>
    </row>
    <row r="98" spans="2:11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31"/>
      <c r="K98" s="44">
        <f t="shared" si="4"/>
        <v>0</v>
      </c>
    </row>
    <row r="99" spans="2:11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31"/>
      <c r="K99" s="44">
        <f t="shared" si="4"/>
        <v>0</v>
      </c>
    </row>
    <row r="100" spans="2:11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4"/>
    </row>
    <row r="101" spans="2:11" ht="19.5" hidden="1" x14ac:dyDescent="0.2">
      <c r="B101" s="59" t="s">
        <v>85</v>
      </c>
      <c r="C101" s="59"/>
      <c r="D101" s="59"/>
      <c r="E101" s="59"/>
      <c r="F101" s="59"/>
      <c r="G101" s="59"/>
      <c r="H101" s="59"/>
      <c r="I101" s="59"/>
      <c r="J101" s="59"/>
      <c r="K101" s="59"/>
    </row>
    <row r="102" spans="2:11" hidden="1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31"/>
      <c r="K102" s="44">
        <f>SUM(D102:H102)</f>
        <v>0</v>
      </c>
    </row>
    <row r="103" spans="2:11" hidden="1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31"/>
      <c r="K103" s="44">
        <f t="shared" ref="K103:K111" si="5">SUM(D103:H103)</f>
        <v>0</v>
      </c>
    </row>
    <row r="104" spans="2:11" hidden="1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31"/>
      <c r="K104" s="44">
        <f t="shared" si="5"/>
        <v>0</v>
      </c>
    </row>
    <row r="105" spans="2:11" hidden="1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31"/>
      <c r="K105" s="44">
        <f t="shared" si="5"/>
        <v>0</v>
      </c>
    </row>
    <row r="106" spans="2:11" hidden="1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31"/>
      <c r="K106" s="44">
        <f t="shared" si="5"/>
        <v>0</v>
      </c>
    </row>
    <row r="107" spans="2:11" hidden="1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31"/>
      <c r="K107" s="44">
        <f t="shared" si="5"/>
        <v>0</v>
      </c>
    </row>
    <row r="108" spans="2:11" hidden="1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31"/>
      <c r="K108" s="44">
        <f t="shared" si="5"/>
        <v>0</v>
      </c>
    </row>
    <row r="109" spans="2:11" hidden="1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31"/>
      <c r="K109" s="44">
        <f t="shared" si="5"/>
        <v>0</v>
      </c>
    </row>
    <row r="110" spans="2:11" hidden="1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31"/>
      <c r="K110" s="44">
        <f t="shared" si="5"/>
        <v>0</v>
      </c>
    </row>
    <row r="111" spans="2:11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31"/>
      <c r="K111" s="44">
        <f t="shared" si="5"/>
        <v>0</v>
      </c>
    </row>
    <row r="112" spans="2:11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9">
        <f>SUM(K102:K110)</f>
        <v>0</v>
      </c>
    </row>
    <row r="113" spans="2:11" ht="19.5" x14ac:dyDescent="0.2">
      <c r="B113" s="59" t="s">
        <v>86</v>
      </c>
      <c r="C113" s="59"/>
      <c r="D113" s="59"/>
      <c r="E113" s="59"/>
      <c r="F113" s="59"/>
      <c r="G113" s="59"/>
      <c r="H113" s="59"/>
      <c r="I113" s="59"/>
      <c r="J113" s="59"/>
      <c r="K113" s="59"/>
    </row>
    <row r="114" spans="2:11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31"/>
      <c r="K114" s="44">
        <f>SUM(D114:J114)</f>
        <v>0</v>
      </c>
    </row>
    <row r="115" spans="2:11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31"/>
      <c r="K115" s="44">
        <f t="shared" ref="K115:K137" si="6">SUM(D115:J115)</f>
        <v>0</v>
      </c>
    </row>
    <row r="116" spans="2:11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31"/>
      <c r="K116" s="44">
        <f t="shared" si="6"/>
        <v>0</v>
      </c>
    </row>
    <row r="117" spans="2:11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31"/>
      <c r="K117" s="44">
        <f t="shared" si="6"/>
        <v>0</v>
      </c>
    </row>
    <row r="118" spans="2:11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31"/>
      <c r="K118" s="44">
        <f t="shared" si="6"/>
        <v>0</v>
      </c>
    </row>
    <row r="119" spans="2:11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31"/>
      <c r="K119" s="44">
        <f t="shared" si="6"/>
        <v>0</v>
      </c>
    </row>
    <row r="120" spans="2:11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31"/>
      <c r="K120" s="44">
        <f t="shared" si="6"/>
        <v>0</v>
      </c>
    </row>
    <row r="121" spans="2:11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31"/>
      <c r="K121" s="44">
        <f t="shared" si="6"/>
        <v>0</v>
      </c>
    </row>
    <row r="122" spans="2:11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31"/>
      <c r="K122" s="44">
        <f t="shared" si="6"/>
        <v>0</v>
      </c>
    </row>
    <row r="123" spans="2:11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31"/>
      <c r="K123" s="44">
        <f t="shared" si="6"/>
        <v>0</v>
      </c>
    </row>
    <row r="124" spans="2:11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31"/>
      <c r="K124" s="44">
        <f t="shared" si="6"/>
        <v>0</v>
      </c>
    </row>
    <row r="125" spans="2:11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31"/>
      <c r="K125" s="44">
        <f t="shared" si="6"/>
        <v>0</v>
      </c>
    </row>
    <row r="126" spans="2:11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31"/>
      <c r="K126" s="44">
        <f t="shared" si="6"/>
        <v>0</v>
      </c>
    </row>
    <row r="127" spans="2:11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31"/>
      <c r="K127" s="44">
        <f t="shared" si="6"/>
        <v>0</v>
      </c>
    </row>
    <row r="128" spans="2:11" x14ac:dyDescent="0.2">
      <c r="B128" s="11">
        <v>900003</v>
      </c>
      <c r="C128" s="22" t="s">
        <v>133</v>
      </c>
      <c r="D128" s="31"/>
      <c r="E128" s="31"/>
      <c r="F128" s="31"/>
      <c r="G128" s="31"/>
      <c r="H128" s="31"/>
      <c r="I128" s="31"/>
      <c r="J128" s="31"/>
      <c r="K128" s="44">
        <f t="shared" si="6"/>
        <v>0</v>
      </c>
    </row>
    <row r="129" spans="2:11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31"/>
      <c r="K129" s="44">
        <f t="shared" si="6"/>
        <v>0</v>
      </c>
    </row>
    <row r="130" spans="2:11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31"/>
      <c r="K130" s="44">
        <f t="shared" si="6"/>
        <v>0</v>
      </c>
    </row>
    <row r="131" spans="2:11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31"/>
      <c r="K131" s="44">
        <f t="shared" si="6"/>
        <v>0</v>
      </c>
    </row>
    <row r="132" spans="2:11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31"/>
      <c r="K132" s="44">
        <f t="shared" si="6"/>
        <v>0</v>
      </c>
    </row>
    <row r="133" spans="2:11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31"/>
      <c r="K133" s="44">
        <f t="shared" si="6"/>
        <v>0</v>
      </c>
    </row>
    <row r="134" spans="2:11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31"/>
      <c r="K134" s="44">
        <f t="shared" si="6"/>
        <v>0</v>
      </c>
    </row>
    <row r="135" spans="2:11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31"/>
      <c r="K135" s="44">
        <f t="shared" si="6"/>
        <v>0</v>
      </c>
    </row>
    <row r="136" spans="2:11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31"/>
      <c r="K136" s="44">
        <f t="shared" si="6"/>
        <v>0</v>
      </c>
    </row>
    <row r="137" spans="2:11" x14ac:dyDescent="0.2">
      <c r="B137" s="23">
        <v>20052721</v>
      </c>
      <c r="C137" s="22" t="s">
        <v>131</v>
      </c>
      <c r="D137" s="31"/>
      <c r="E137" s="31"/>
      <c r="F137" s="31"/>
      <c r="G137" s="31"/>
      <c r="H137" s="31"/>
      <c r="I137" s="31"/>
      <c r="J137" s="31"/>
      <c r="K137" s="44">
        <f t="shared" si="6"/>
        <v>0</v>
      </c>
    </row>
    <row r="138" spans="2:11" x14ac:dyDescent="0.2">
      <c r="C138" s="36"/>
      <c r="D138" s="41"/>
      <c r="E138" s="41"/>
      <c r="F138" s="41"/>
      <c r="G138" s="41"/>
      <c r="H138" s="41"/>
      <c r="I138" s="41"/>
      <c r="J138" s="41"/>
      <c r="K138" s="42"/>
    </row>
    <row r="139" spans="2:11" x14ac:dyDescent="0.2">
      <c r="C139" s="36"/>
      <c r="D139" s="42">
        <f t="shared" ref="D139:I139" si="7">SUM(D114:D137,D102:D111,D90:D99,D79:D87,D69:D76,D7:D66)</f>
        <v>0</v>
      </c>
      <c r="E139" s="42">
        <f t="shared" si="7"/>
        <v>0</v>
      </c>
      <c r="F139" s="42">
        <f t="shared" si="7"/>
        <v>0</v>
      </c>
      <c r="G139" s="42">
        <f t="shared" si="7"/>
        <v>0</v>
      </c>
      <c r="H139" s="42">
        <f t="shared" si="7"/>
        <v>0</v>
      </c>
      <c r="I139" s="42">
        <f t="shared" si="7"/>
        <v>0</v>
      </c>
      <c r="J139" s="42"/>
      <c r="K139" s="42">
        <f>SUM(K114:K137,K102:K111,K90:K99,K79:K87,K69:K76,K7:K66)</f>
        <v>0</v>
      </c>
    </row>
    <row r="140" spans="2:11" x14ac:dyDescent="0.2">
      <c r="C140" s="25"/>
      <c r="D140" s="32"/>
      <c r="E140" s="60"/>
      <c r="F140" s="60"/>
      <c r="G140" s="27"/>
    </row>
    <row r="141" spans="2:11" x14ac:dyDescent="0.2">
      <c r="B141" s="60" t="s">
        <v>104</v>
      </c>
      <c r="C141" s="60"/>
      <c r="D141" s="33"/>
      <c r="E141" s="58"/>
      <c r="F141" s="58"/>
      <c r="G141" s="28"/>
      <c r="H141" s="27"/>
      <c r="I141" s="60" t="s">
        <v>104</v>
      </c>
      <c r="J141" s="60"/>
      <c r="K141" s="60"/>
    </row>
    <row r="142" spans="2:11" x14ac:dyDescent="0.2">
      <c r="B142" s="58" t="s">
        <v>105</v>
      </c>
      <c r="C142" s="58"/>
      <c r="D142" s="34"/>
      <c r="E142" s="34"/>
      <c r="F142" s="34"/>
      <c r="G142" s="34"/>
      <c r="H142" s="34"/>
      <c r="I142" s="58" t="s">
        <v>106</v>
      </c>
      <c r="J142" s="58"/>
      <c r="K142" s="58"/>
    </row>
    <row r="143" spans="2:11" x14ac:dyDescent="0.2">
      <c r="B143" s="32"/>
      <c r="C143" s="32"/>
      <c r="D143" s="34"/>
      <c r="E143" s="34"/>
      <c r="F143" s="34"/>
      <c r="G143" s="34"/>
      <c r="H143" s="34"/>
      <c r="I143" s="32"/>
      <c r="J143" s="32"/>
      <c r="K143" s="35"/>
    </row>
    <row r="144" spans="2:11" ht="14.25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5"/>
    </row>
    <row r="145" spans="2:11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5"/>
    </row>
    <row r="146" spans="2:11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5"/>
    </row>
    <row r="147" spans="2:11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5"/>
    </row>
    <row r="148" spans="2:11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5"/>
    </row>
    <row r="149" spans="2:11" x14ac:dyDescent="0.2">
      <c r="D149" s="32"/>
      <c r="E149" s="32"/>
      <c r="F149" s="32"/>
      <c r="G149" s="32"/>
      <c r="H149" s="32"/>
    </row>
    <row r="150" spans="2:11" x14ac:dyDescent="0.2">
      <c r="D150" s="32"/>
      <c r="E150" s="32"/>
      <c r="F150" s="32"/>
      <c r="G150" s="32"/>
      <c r="H150" s="32"/>
    </row>
    <row r="151" spans="2:11" x14ac:dyDescent="0.2">
      <c r="D151" s="32"/>
      <c r="E151" s="32"/>
      <c r="F151" s="32"/>
      <c r="G151" s="32"/>
      <c r="H151" s="32"/>
    </row>
    <row r="152" spans="2:11" x14ac:dyDescent="0.2">
      <c r="D152" s="32"/>
      <c r="E152" s="32"/>
      <c r="F152" s="32"/>
      <c r="G152" s="32"/>
      <c r="H152" s="32"/>
    </row>
    <row r="153" spans="2:11" x14ac:dyDescent="0.2">
      <c r="D153" s="32"/>
      <c r="E153" s="32"/>
      <c r="F153" s="32"/>
      <c r="G153" s="32"/>
      <c r="H153" s="32"/>
    </row>
    <row r="154" spans="2:11" x14ac:dyDescent="0.2">
      <c r="D154" s="32"/>
      <c r="E154" s="32"/>
      <c r="F154" s="32"/>
      <c r="G154" s="32"/>
      <c r="H154" s="32"/>
    </row>
    <row r="155" spans="2:11" x14ac:dyDescent="0.2">
      <c r="D155" s="32"/>
      <c r="E155" s="32"/>
      <c r="F155" s="32"/>
      <c r="G155" s="32"/>
      <c r="H155" s="32"/>
    </row>
    <row r="156" spans="2:11" x14ac:dyDescent="0.2">
      <c r="D156" s="32"/>
      <c r="E156" s="32"/>
      <c r="F156" s="32"/>
      <c r="G156" s="32"/>
      <c r="H156" s="32"/>
    </row>
    <row r="157" spans="2:11" x14ac:dyDescent="0.2">
      <c r="D157" s="32"/>
      <c r="E157" s="32"/>
      <c r="F157" s="32"/>
      <c r="G157" s="32"/>
      <c r="H157" s="32"/>
    </row>
    <row r="158" spans="2:11" x14ac:dyDescent="0.2">
      <c r="D158" s="32"/>
      <c r="E158" s="32"/>
      <c r="F158" s="32"/>
      <c r="G158" s="32"/>
      <c r="H158" s="32"/>
    </row>
    <row r="159" spans="2:11" x14ac:dyDescent="0.2">
      <c r="D159" s="32"/>
      <c r="E159" s="32"/>
      <c r="F159" s="32"/>
      <c r="G159" s="32"/>
      <c r="H159" s="32"/>
    </row>
  </sheetData>
  <mergeCells count="15">
    <mergeCell ref="B78:K78"/>
    <mergeCell ref="B1:K1"/>
    <mergeCell ref="B2:C3"/>
    <mergeCell ref="E2:F3"/>
    <mergeCell ref="B6:K6"/>
    <mergeCell ref="B68:K68"/>
    <mergeCell ref="B142:C142"/>
    <mergeCell ref="I142:K142"/>
    <mergeCell ref="B89:K89"/>
    <mergeCell ref="B101:K101"/>
    <mergeCell ref="B113:K113"/>
    <mergeCell ref="E140:F140"/>
    <mergeCell ref="B141:C141"/>
    <mergeCell ref="E141:F141"/>
    <mergeCell ref="I141:K1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59"/>
  <sheetViews>
    <sheetView zoomScale="60" zoomScaleNormal="60" workbookViewId="0">
      <selection activeCell="E137" sqref="E137"/>
    </sheetView>
  </sheetViews>
  <sheetFormatPr defaultRowHeight="22.5" x14ac:dyDescent="0.2"/>
  <cols>
    <col min="2" max="2" width="22.125" style="24" customWidth="1"/>
    <col min="3" max="3" width="59.125" style="24" customWidth="1"/>
    <col min="4" max="8" width="14.375" style="16" customWidth="1"/>
    <col min="9" max="9" width="14.375" style="16" hidden="1" customWidth="1"/>
    <col min="10" max="10" width="14.375" style="16" customWidth="1"/>
    <col min="11" max="11" width="17.625" style="26" customWidth="1"/>
  </cols>
  <sheetData>
    <row r="1" spans="2:11" x14ac:dyDescent="0.2">
      <c r="B1" s="61" t="s">
        <v>139</v>
      </c>
      <c r="C1" s="61"/>
      <c r="D1" s="61"/>
      <c r="E1" s="61"/>
      <c r="F1" s="61"/>
      <c r="G1" s="61"/>
      <c r="H1" s="61"/>
      <c r="I1" s="61"/>
      <c r="J1" s="61"/>
      <c r="K1" s="61"/>
    </row>
    <row r="2" spans="2:11" x14ac:dyDescent="0.2">
      <c r="B2" s="62"/>
      <c r="C2" s="62"/>
      <c r="D2" s="45"/>
      <c r="E2" s="63"/>
      <c r="F2" s="63"/>
      <c r="G2" s="46"/>
      <c r="H2" s="46"/>
      <c r="I2" s="46"/>
      <c r="J2" s="46"/>
      <c r="K2" s="47" t="s">
        <v>0</v>
      </c>
    </row>
    <row r="3" spans="2:11" x14ac:dyDescent="0.2">
      <c r="B3" s="62"/>
      <c r="C3" s="62"/>
      <c r="D3" s="45"/>
      <c r="E3" s="63"/>
      <c r="F3" s="63"/>
      <c r="G3" s="46"/>
      <c r="H3" s="46"/>
      <c r="I3" s="46"/>
      <c r="J3" s="46"/>
      <c r="K3" s="47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135</v>
      </c>
      <c r="I4" s="9" t="s">
        <v>9</v>
      </c>
      <c r="J4" s="9" t="s">
        <v>134</v>
      </c>
      <c r="K4" s="47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8"/>
    </row>
    <row r="6" spans="2:11" ht="19.5" x14ac:dyDescent="0.2">
      <c r="B6" s="59" t="s">
        <v>11</v>
      </c>
      <c r="C6" s="59"/>
      <c r="D6" s="59"/>
      <c r="E6" s="59"/>
      <c r="F6" s="59"/>
      <c r="G6" s="59"/>
      <c r="H6" s="59"/>
      <c r="I6" s="59"/>
      <c r="J6" s="59"/>
      <c r="K6" s="59"/>
    </row>
    <row r="7" spans="2:11" x14ac:dyDescent="0.2">
      <c r="B7" s="11">
        <v>1111002</v>
      </c>
      <c r="C7" s="15" t="s">
        <v>107</v>
      </c>
      <c r="D7" s="31">
        <v>30</v>
      </c>
      <c r="E7" s="31">
        <v>52</v>
      </c>
      <c r="F7" s="31">
        <v>70</v>
      </c>
      <c r="G7" s="31">
        <v>2</v>
      </c>
      <c r="H7" s="31"/>
      <c r="I7" s="31"/>
      <c r="J7" s="31"/>
      <c r="K7" s="44">
        <f>SUM(D7:J7)</f>
        <v>154</v>
      </c>
    </row>
    <row r="8" spans="2:11" hidden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31"/>
      <c r="K8" s="44">
        <f t="shared" ref="K8:K66" si="0">SUM(D8:J8)</f>
        <v>0</v>
      </c>
    </row>
    <row r="9" spans="2:11" hidden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31"/>
      <c r="K9" s="44">
        <f t="shared" si="0"/>
        <v>0</v>
      </c>
    </row>
    <row r="10" spans="2:11" hidden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31"/>
      <c r="K10" s="44">
        <f t="shared" si="0"/>
        <v>0</v>
      </c>
    </row>
    <row r="11" spans="2:11" hidden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31"/>
      <c r="K11" s="44">
        <f t="shared" si="0"/>
        <v>0</v>
      </c>
    </row>
    <row r="12" spans="2:11" hidden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31"/>
      <c r="K12" s="44">
        <f t="shared" si="0"/>
        <v>0</v>
      </c>
    </row>
    <row r="13" spans="2:11" hidden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31"/>
      <c r="K13" s="44">
        <f t="shared" si="0"/>
        <v>0</v>
      </c>
    </row>
    <row r="14" spans="2:11" hidden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31"/>
      <c r="K14" s="44">
        <f t="shared" si="0"/>
        <v>0</v>
      </c>
    </row>
    <row r="15" spans="2:11" hidden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31"/>
      <c r="K15" s="44">
        <f t="shared" si="0"/>
        <v>0</v>
      </c>
    </row>
    <row r="16" spans="2:11" hidden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31"/>
      <c r="K16" s="44">
        <f t="shared" si="0"/>
        <v>0</v>
      </c>
    </row>
    <row r="17" spans="2:11" hidden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31"/>
      <c r="K17" s="44">
        <f t="shared" si="0"/>
        <v>0</v>
      </c>
    </row>
    <row r="18" spans="2:11" hidden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31"/>
      <c r="K18" s="44">
        <f t="shared" si="0"/>
        <v>0</v>
      </c>
    </row>
    <row r="19" spans="2:11" hidden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31"/>
      <c r="K19" s="44">
        <f t="shared" si="0"/>
        <v>0</v>
      </c>
    </row>
    <row r="20" spans="2:11" hidden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31"/>
      <c r="K20" s="44">
        <f t="shared" si="0"/>
        <v>0</v>
      </c>
    </row>
    <row r="21" spans="2:11" hidden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31"/>
      <c r="K21" s="44">
        <f t="shared" si="0"/>
        <v>0</v>
      </c>
    </row>
    <row r="22" spans="2:11" hidden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31"/>
      <c r="K22" s="44">
        <f t="shared" si="0"/>
        <v>0</v>
      </c>
    </row>
    <row r="23" spans="2:11" hidden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31"/>
      <c r="K23" s="44">
        <f t="shared" si="0"/>
        <v>0</v>
      </c>
    </row>
    <row r="24" spans="2:11" hidden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31"/>
      <c r="K24" s="44">
        <f t="shared" si="0"/>
        <v>0</v>
      </c>
    </row>
    <row r="25" spans="2:11" x14ac:dyDescent="0.2">
      <c r="B25" s="11">
        <v>1111056</v>
      </c>
      <c r="C25" s="15" t="s">
        <v>28</v>
      </c>
      <c r="D25" s="31"/>
      <c r="E25" s="31">
        <v>4</v>
      </c>
      <c r="F25" s="31">
        <v>19</v>
      </c>
      <c r="G25" s="31">
        <v>1</v>
      </c>
      <c r="H25" s="31"/>
      <c r="I25" s="31"/>
      <c r="J25" s="31"/>
      <c r="K25" s="44">
        <f t="shared" si="0"/>
        <v>24</v>
      </c>
    </row>
    <row r="26" spans="2:11" x14ac:dyDescent="0.2">
      <c r="B26" s="11">
        <v>1004055</v>
      </c>
      <c r="C26" s="15" t="s">
        <v>108</v>
      </c>
      <c r="D26" s="31"/>
      <c r="E26" s="31">
        <v>6</v>
      </c>
      <c r="F26" s="31"/>
      <c r="G26" s="31">
        <v>74</v>
      </c>
      <c r="H26" s="31">
        <v>3</v>
      </c>
      <c r="I26" s="31"/>
      <c r="J26" s="31"/>
      <c r="K26" s="44">
        <f t="shared" si="0"/>
        <v>83</v>
      </c>
    </row>
    <row r="27" spans="2:11" hidden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31"/>
      <c r="K27" s="44">
        <f t="shared" si="0"/>
        <v>0</v>
      </c>
    </row>
    <row r="28" spans="2:11" hidden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31"/>
      <c r="K28" s="44">
        <f t="shared" si="0"/>
        <v>0</v>
      </c>
    </row>
    <row r="29" spans="2:11" hidden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31"/>
      <c r="K29" s="44">
        <f t="shared" si="0"/>
        <v>0</v>
      </c>
    </row>
    <row r="30" spans="2:11" hidden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31"/>
      <c r="K30" s="44">
        <f t="shared" si="0"/>
        <v>0</v>
      </c>
    </row>
    <row r="31" spans="2:11" hidden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31"/>
      <c r="K31" s="44">
        <f t="shared" si="0"/>
        <v>0</v>
      </c>
    </row>
    <row r="32" spans="2:11" hidden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31"/>
      <c r="K32" s="44">
        <f t="shared" si="0"/>
        <v>0</v>
      </c>
    </row>
    <row r="33" spans="2:11" hidden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31"/>
      <c r="K33" s="44">
        <f t="shared" si="0"/>
        <v>0</v>
      </c>
    </row>
    <row r="34" spans="2:11" hidden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31"/>
      <c r="K34" s="44">
        <f t="shared" si="0"/>
        <v>0</v>
      </c>
    </row>
    <row r="35" spans="2:11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31"/>
      <c r="K35" s="44">
        <f t="shared" si="0"/>
        <v>0</v>
      </c>
    </row>
    <row r="36" spans="2:11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31"/>
      <c r="K36" s="44">
        <f t="shared" si="0"/>
        <v>0</v>
      </c>
    </row>
    <row r="37" spans="2:11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31"/>
      <c r="K37" s="44">
        <f t="shared" si="0"/>
        <v>0</v>
      </c>
    </row>
    <row r="38" spans="2:11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31"/>
      <c r="K38" s="44">
        <f t="shared" si="0"/>
        <v>0</v>
      </c>
    </row>
    <row r="39" spans="2:11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31"/>
      <c r="K39" s="44">
        <f t="shared" si="0"/>
        <v>0</v>
      </c>
    </row>
    <row r="40" spans="2:11" x14ac:dyDescent="0.2">
      <c r="B40" s="11">
        <v>1111057</v>
      </c>
      <c r="C40" s="15" t="s">
        <v>30</v>
      </c>
      <c r="D40" s="31"/>
      <c r="E40" s="31"/>
      <c r="F40" s="31">
        <v>1</v>
      </c>
      <c r="G40" s="31">
        <v>1</v>
      </c>
      <c r="H40" s="31"/>
      <c r="I40" s="31"/>
      <c r="J40" s="31"/>
      <c r="K40" s="44">
        <f t="shared" si="0"/>
        <v>2</v>
      </c>
    </row>
    <row r="41" spans="2:11" x14ac:dyDescent="0.2">
      <c r="B41" s="11">
        <v>1111058</v>
      </c>
      <c r="C41" s="15" t="s">
        <v>31</v>
      </c>
      <c r="D41" s="31"/>
      <c r="E41" s="31"/>
      <c r="F41" s="31">
        <v>1</v>
      </c>
      <c r="G41" s="31">
        <v>1</v>
      </c>
      <c r="H41" s="31"/>
      <c r="I41" s="31"/>
      <c r="J41" s="31"/>
      <c r="K41" s="44">
        <f t="shared" si="0"/>
        <v>2</v>
      </c>
    </row>
    <row r="42" spans="2:11" x14ac:dyDescent="0.2">
      <c r="B42" s="11">
        <v>1111059</v>
      </c>
      <c r="C42" s="15" t="s">
        <v>32</v>
      </c>
      <c r="D42" s="31"/>
      <c r="E42" s="31"/>
      <c r="F42" s="31">
        <v>1</v>
      </c>
      <c r="G42" s="31">
        <v>1</v>
      </c>
      <c r="H42" s="31"/>
      <c r="I42" s="31"/>
      <c r="J42" s="31"/>
      <c r="K42" s="44">
        <f t="shared" si="0"/>
        <v>2</v>
      </c>
    </row>
    <row r="43" spans="2:11" x14ac:dyDescent="0.2">
      <c r="B43" s="11">
        <v>1111060</v>
      </c>
      <c r="C43" s="15" t="s">
        <v>33</v>
      </c>
      <c r="D43" s="31"/>
      <c r="E43" s="31"/>
      <c r="F43" s="31">
        <v>1</v>
      </c>
      <c r="G43" s="31">
        <v>1</v>
      </c>
      <c r="H43" s="31"/>
      <c r="I43" s="31"/>
      <c r="J43" s="31"/>
      <c r="K43" s="44">
        <f t="shared" si="0"/>
        <v>2</v>
      </c>
    </row>
    <row r="44" spans="2:11" x14ac:dyDescent="0.2">
      <c r="B44" s="11">
        <v>1111061</v>
      </c>
      <c r="C44" s="15" t="s">
        <v>34</v>
      </c>
      <c r="D44" s="31"/>
      <c r="E44" s="31"/>
      <c r="F44" s="31"/>
      <c r="G44" s="31">
        <v>1</v>
      </c>
      <c r="H44" s="31"/>
      <c r="I44" s="31"/>
      <c r="J44" s="31"/>
      <c r="K44" s="44">
        <f t="shared" si="0"/>
        <v>1</v>
      </c>
    </row>
    <row r="45" spans="2:11" x14ac:dyDescent="0.2">
      <c r="B45" s="11">
        <v>1111062</v>
      </c>
      <c r="C45" s="15" t="s">
        <v>35</v>
      </c>
      <c r="D45" s="31"/>
      <c r="E45" s="31"/>
      <c r="F45" s="31"/>
      <c r="G45" s="31">
        <v>1</v>
      </c>
      <c r="H45" s="31"/>
      <c r="I45" s="31"/>
      <c r="J45" s="31"/>
      <c r="K45" s="44">
        <f t="shared" si="0"/>
        <v>1</v>
      </c>
    </row>
    <row r="46" spans="2:11" x14ac:dyDescent="0.2">
      <c r="B46" s="11">
        <v>1111063</v>
      </c>
      <c r="C46" s="15" t="s">
        <v>36</v>
      </c>
      <c r="D46" s="31"/>
      <c r="E46" s="31"/>
      <c r="F46" s="31">
        <v>1</v>
      </c>
      <c r="G46" s="31">
        <v>1</v>
      </c>
      <c r="H46" s="31"/>
      <c r="I46" s="31"/>
      <c r="J46" s="31"/>
      <c r="K46" s="44">
        <f t="shared" si="0"/>
        <v>2</v>
      </c>
    </row>
    <row r="47" spans="2:11" x14ac:dyDescent="0.2">
      <c r="B47" s="11">
        <v>1111064</v>
      </c>
      <c r="C47" s="15" t="s">
        <v>37</v>
      </c>
      <c r="D47" s="31"/>
      <c r="E47" s="31"/>
      <c r="F47" s="31"/>
      <c r="G47" s="31">
        <v>1</v>
      </c>
      <c r="H47" s="31"/>
      <c r="I47" s="31"/>
      <c r="J47" s="31"/>
      <c r="K47" s="44">
        <f t="shared" si="0"/>
        <v>1</v>
      </c>
    </row>
    <row r="48" spans="2:11" x14ac:dyDescent="0.2">
      <c r="B48" s="11">
        <v>1111065</v>
      </c>
      <c r="C48" s="15" t="s">
        <v>38</v>
      </c>
      <c r="D48" s="31"/>
      <c r="E48" s="31"/>
      <c r="F48" s="31">
        <v>1</v>
      </c>
      <c r="G48" s="31"/>
      <c r="H48" s="31"/>
      <c r="I48" s="31"/>
      <c r="J48" s="31"/>
      <c r="K48" s="44">
        <f t="shared" si="0"/>
        <v>1</v>
      </c>
    </row>
    <row r="49" spans="2:11" x14ac:dyDescent="0.2">
      <c r="B49" s="11">
        <v>1111066</v>
      </c>
      <c r="C49" s="15" t="s">
        <v>39</v>
      </c>
      <c r="D49" s="31"/>
      <c r="E49" s="31"/>
      <c r="F49" s="31">
        <v>1</v>
      </c>
      <c r="G49" s="31"/>
      <c r="H49" s="31"/>
      <c r="I49" s="31"/>
      <c r="J49" s="31"/>
      <c r="K49" s="44">
        <f t="shared" si="0"/>
        <v>1</v>
      </c>
    </row>
    <row r="50" spans="2:11" x14ac:dyDescent="0.2">
      <c r="B50" s="11">
        <v>1111067</v>
      </c>
      <c r="C50" s="15" t="s">
        <v>40</v>
      </c>
      <c r="D50" s="31"/>
      <c r="E50" s="31"/>
      <c r="F50" s="31">
        <v>1</v>
      </c>
      <c r="G50" s="31"/>
      <c r="H50" s="31"/>
      <c r="I50" s="31"/>
      <c r="J50" s="31"/>
      <c r="K50" s="44">
        <f t="shared" si="0"/>
        <v>1</v>
      </c>
    </row>
    <row r="51" spans="2:11" x14ac:dyDescent="0.2">
      <c r="B51" s="11">
        <v>1111068</v>
      </c>
      <c r="C51" s="15" t="s">
        <v>41</v>
      </c>
      <c r="D51" s="31"/>
      <c r="E51" s="31"/>
      <c r="F51" s="31">
        <v>1</v>
      </c>
      <c r="G51" s="31"/>
      <c r="H51" s="31"/>
      <c r="I51" s="31"/>
      <c r="J51" s="31"/>
      <c r="K51" s="44">
        <f t="shared" si="0"/>
        <v>1</v>
      </c>
    </row>
    <row r="52" spans="2:11" x14ac:dyDescent="0.2">
      <c r="B52" s="11">
        <v>1111069</v>
      </c>
      <c r="C52" s="15" t="s">
        <v>42</v>
      </c>
      <c r="D52" s="31"/>
      <c r="E52" s="31"/>
      <c r="F52" s="31">
        <v>1</v>
      </c>
      <c r="G52" s="31"/>
      <c r="H52" s="31"/>
      <c r="I52" s="31"/>
      <c r="J52" s="31"/>
      <c r="K52" s="44">
        <f t="shared" si="0"/>
        <v>1</v>
      </c>
    </row>
    <row r="53" spans="2:11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31"/>
      <c r="K53" s="44">
        <f t="shared" si="0"/>
        <v>0</v>
      </c>
    </row>
    <row r="54" spans="2:11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31"/>
      <c r="K54" s="44">
        <f t="shared" si="0"/>
        <v>0</v>
      </c>
    </row>
    <row r="55" spans="2:11" hidden="1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31"/>
      <c r="K55" s="44">
        <f t="shared" si="0"/>
        <v>0</v>
      </c>
    </row>
    <row r="56" spans="2:11" x14ac:dyDescent="0.2">
      <c r="B56" s="11">
        <v>1111074</v>
      </c>
      <c r="C56" s="15" t="s">
        <v>44</v>
      </c>
      <c r="D56" s="31"/>
      <c r="E56" s="31">
        <v>2</v>
      </c>
      <c r="F56" s="31">
        <v>9</v>
      </c>
      <c r="G56" s="31">
        <v>7</v>
      </c>
      <c r="H56" s="31"/>
      <c r="I56" s="31"/>
      <c r="J56" s="31"/>
      <c r="K56" s="44">
        <f t="shared" si="0"/>
        <v>18</v>
      </c>
    </row>
    <row r="57" spans="2:11" x14ac:dyDescent="0.2">
      <c r="B57" s="11">
        <v>1111075</v>
      </c>
      <c r="C57" s="15" t="s">
        <v>45</v>
      </c>
      <c r="D57" s="31"/>
      <c r="E57" s="31">
        <v>2</v>
      </c>
      <c r="F57" s="31">
        <v>9</v>
      </c>
      <c r="G57" s="31">
        <v>7</v>
      </c>
      <c r="H57" s="31"/>
      <c r="I57" s="31"/>
      <c r="J57" s="31"/>
      <c r="K57" s="44">
        <f t="shared" si="0"/>
        <v>18</v>
      </c>
    </row>
    <row r="58" spans="2:11" x14ac:dyDescent="0.2">
      <c r="B58" s="11">
        <v>1111076</v>
      </c>
      <c r="C58" s="15" t="s">
        <v>46</v>
      </c>
      <c r="D58" s="31"/>
      <c r="E58" s="31">
        <v>2</v>
      </c>
      <c r="F58" s="31">
        <v>9</v>
      </c>
      <c r="G58" s="31">
        <v>7</v>
      </c>
      <c r="H58" s="31"/>
      <c r="I58" s="31"/>
      <c r="J58" s="31"/>
      <c r="K58" s="44">
        <f t="shared" si="0"/>
        <v>18</v>
      </c>
    </row>
    <row r="59" spans="2:11" x14ac:dyDescent="0.2">
      <c r="B59" s="11">
        <v>1111077</v>
      </c>
      <c r="C59" s="15" t="s">
        <v>47</v>
      </c>
      <c r="D59" s="31"/>
      <c r="E59" s="31">
        <v>2</v>
      </c>
      <c r="F59" s="31">
        <v>9</v>
      </c>
      <c r="G59" s="31">
        <v>7</v>
      </c>
      <c r="H59" s="31"/>
      <c r="I59" s="31"/>
      <c r="J59" s="31"/>
      <c r="K59" s="44">
        <f t="shared" si="0"/>
        <v>18</v>
      </c>
    </row>
    <row r="60" spans="2:11" x14ac:dyDescent="0.2">
      <c r="B60" s="11">
        <v>1111078</v>
      </c>
      <c r="C60" s="15" t="s">
        <v>48</v>
      </c>
      <c r="D60" s="31"/>
      <c r="E60" s="31">
        <v>2</v>
      </c>
      <c r="F60" s="31">
        <v>9</v>
      </c>
      <c r="G60" s="31">
        <v>7</v>
      </c>
      <c r="H60" s="31"/>
      <c r="I60" s="31"/>
      <c r="J60" s="31"/>
      <c r="K60" s="44">
        <f t="shared" si="0"/>
        <v>18</v>
      </c>
    </row>
    <row r="61" spans="2:11" x14ac:dyDescent="0.2">
      <c r="B61" s="11">
        <v>1111079</v>
      </c>
      <c r="C61" s="15" t="s">
        <v>49</v>
      </c>
      <c r="D61" s="31"/>
      <c r="E61" s="31">
        <v>2</v>
      </c>
      <c r="F61" s="31">
        <v>9</v>
      </c>
      <c r="G61" s="31">
        <v>7</v>
      </c>
      <c r="H61" s="31"/>
      <c r="I61" s="31"/>
      <c r="J61" s="31"/>
      <c r="K61" s="44">
        <f t="shared" si="0"/>
        <v>18</v>
      </c>
    </row>
    <row r="62" spans="2:11" x14ac:dyDescent="0.2">
      <c r="B62" s="11">
        <v>1111080</v>
      </c>
      <c r="C62" s="15" t="s">
        <v>50</v>
      </c>
      <c r="D62" s="31"/>
      <c r="E62" s="31">
        <v>2</v>
      </c>
      <c r="F62" s="31">
        <v>9</v>
      </c>
      <c r="G62" s="31">
        <v>7</v>
      </c>
      <c r="H62" s="31"/>
      <c r="I62" s="31"/>
      <c r="J62" s="31"/>
      <c r="K62" s="44">
        <f t="shared" si="0"/>
        <v>18</v>
      </c>
    </row>
    <row r="63" spans="2:11" x14ac:dyDescent="0.2">
      <c r="B63" s="11">
        <v>1111081</v>
      </c>
      <c r="C63" s="15" t="s">
        <v>51</v>
      </c>
      <c r="D63" s="31"/>
      <c r="E63" s="31">
        <v>2</v>
      </c>
      <c r="F63" s="31">
        <v>9</v>
      </c>
      <c r="G63" s="31">
        <v>7</v>
      </c>
      <c r="H63" s="31"/>
      <c r="I63" s="31"/>
      <c r="J63" s="31"/>
      <c r="K63" s="44">
        <f t="shared" si="0"/>
        <v>18</v>
      </c>
    </row>
    <row r="64" spans="2:11" x14ac:dyDescent="0.2">
      <c r="B64" s="11">
        <v>1111082</v>
      </c>
      <c r="C64" s="15" t="s">
        <v>52</v>
      </c>
      <c r="D64" s="31"/>
      <c r="E64" s="31">
        <v>2</v>
      </c>
      <c r="F64" s="31">
        <v>9</v>
      </c>
      <c r="G64" s="31">
        <v>7</v>
      </c>
      <c r="H64" s="31"/>
      <c r="I64" s="31"/>
      <c r="J64" s="31"/>
      <c r="K64" s="44">
        <f t="shared" si="0"/>
        <v>18</v>
      </c>
    </row>
    <row r="65" spans="2:11" x14ac:dyDescent="0.2">
      <c r="B65" s="11">
        <v>1111083</v>
      </c>
      <c r="C65" s="15" t="s">
        <v>53</v>
      </c>
      <c r="D65" s="31"/>
      <c r="E65" s="31">
        <v>2</v>
      </c>
      <c r="F65" s="31">
        <v>9</v>
      </c>
      <c r="G65" s="31">
        <v>7</v>
      </c>
      <c r="H65" s="31"/>
      <c r="I65" s="31"/>
      <c r="J65" s="31"/>
      <c r="K65" s="44">
        <f t="shared" si="0"/>
        <v>18</v>
      </c>
    </row>
    <row r="66" spans="2:11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31"/>
      <c r="K66" s="44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4">
        <f t="shared" ref="K67" si="1">SUM(D67:I67)</f>
        <v>0</v>
      </c>
    </row>
    <row r="68" spans="2:11" ht="19.5" x14ac:dyDescent="0.2">
      <c r="B68" s="59" t="s">
        <v>55</v>
      </c>
      <c r="C68" s="59"/>
      <c r="D68" s="59"/>
      <c r="E68" s="59"/>
      <c r="F68" s="59"/>
      <c r="G68" s="59"/>
      <c r="H68" s="59"/>
      <c r="I68" s="59"/>
      <c r="J68" s="59"/>
      <c r="K68" s="59"/>
    </row>
    <row r="69" spans="2:11" x14ac:dyDescent="0.2">
      <c r="B69" s="11">
        <v>1111009</v>
      </c>
      <c r="C69" s="20" t="s">
        <v>56</v>
      </c>
      <c r="D69" s="31"/>
      <c r="E69" s="31">
        <v>6</v>
      </c>
      <c r="F69" s="31">
        <v>8</v>
      </c>
      <c r="G69" s="31">
        <v>2</v>
      </c>
      <c r="H69" s="31"/>
      <c r="I69" s="31"/>
      <c r="J69" s="31"/>
      <c r="K69" s="44">
        <f>SUM(D69:J69)</f>
        <v>16</v>
      </c>
    </row>
    <row r="70" spans="2:1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31"/>
      <c r="K70" s="44">
        <f t="shared" ref="K70:K76" si="2">SUM(D70:J70)</f>
        <v>0</v>
      </c>
    </row>
    <row r="71" spans="2:1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31"/>
      <c r="K71" s="44">
        <f t="shared" si="2"/>
        <v>0</v>
      </c>
    </row>
    <row r="72" spans="2:1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31"/>
      <c r="K72" s="44">
        <f t="shared" si="2"/>
        <v>0</v>
      </c>
    </row>
    <row r="73" spans="2:1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31"/>
      <c r="K73" s="44">
        <f t="shared" si="2"/>
        <v>0</v>
      </c>
    </row>
    <row r="74" spans="2:1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31"/>
      <c r="K74" s="44">
        <f t="shared" si="2"/>
        <v>0</v>
      </c>
    </row>
    <row r="75" spans="2:1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31"/>
      <c r="K75" s="44">
        <f t="shared" si="2"/>
        <v>0</v>
      </c>
    </row>
    <row r="76" spans="2:11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31"/>
      <c r="K76" s="44">
        <f t="shared" si="2"/>
        <v>0</v>
      </c>
    </row>
    <row r="77" spans="2:1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0"/>
    </row>
    <row r="78" spans="2:11" ht="19.5" x14ac:dyDescent="0.2">
      <c r="B78" s="59" t="s">
        <v>64</v>
      </c>
      <c r="C78" s="59"/>
      <c r="D78" s="59"/>
      <c r="E78" s="59"/>
      <c r="F78" s="59"/>
      <c r="G78" s="59"/>
      <c r="H78" s="59"/>
      <c r="I78" s="59"/>
      <c r="J78" s="59"/>
      <c r="K78" s="59"/>
    </row>
    <row r="79" spans="2:1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31"/>
      <c r="K79" s="44">
        <f>SUM(D79:J79)</f>
        <v>0</v>
      </c>
    </row>
    <row r="80" spans="2:1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31"/>
      <c r="K80" s="44">
        <f t="shared" ref="K80:K87" si="3">SUM(D80:J80)</f>
        <v>0</v>
      </c>
    </row>
    <row r="81" spans="2:1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31"/>
      <c r="K81" s="44">
        <f t="shared" si="3"/>
        <v>0</v>
      </c>
    </row>
    <row r="82" spans="2:1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31"/>
      <c r="K82" s="44">
        <f t="shared" si="3"/>
        <v>0</v>
      </c>
    </row>
    <row r="83" spans="2:1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31"/>
      <c r="K83" s="44">
        <f t="shared" si="3"/>
        <v>0</v>
      </c>
    </row>
    <row r="84" spans="2:1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31"/>
      <c r="K84" s="44">
        <f t="shared" si="3"/>
        <v>0</v>
      </c>
    </row>
    <row r="85" spans="2:1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31"/>
      <c r="K85" s="44">
        <f t="shared" si="3"/>
        <v>0</v>
      </c>
    </row>
    <row r="86" spans="2:1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31"/>
      <c r="K86" s="44">
        <f t="shared" si="3"/>
        <v>0</v>
      </c>
    </row>
    <row r="87" spans="2:11" x14ac:dyDescent="0.2">
      <c r="B87" s="11">
        <v>1111008</v>
      </c>
      <c r="C87" s="20" t="s">
        <v>73</v>
      </c>
      <c r="D87" s="31"/>
      <c r="E87" s="31">
        <v>12</v>
      </c>
      <c r="F87" s="31"/>
      <c r="G87" s="31">
        <v>107</v>
      </c>
      <c r="H87" s="31">
        <v>9</v>
      </c>
      <c r="I87" s="31"/>
      <c r="J87" s="31"/>
      <c r="K87" s="44">
        <f t="shared" si="3"/>
        <v>128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0"/>
    </row>
    <row r="89" spans="2:11" ht="19.5" x14ac:dyDescent="0.2">
      <c r="B89" s="59" t="s">
        <v>74</v>
      </c>
      <c r="C89" s="59"/>
      <c r="D89" s="59"/>
      <c r="E89" s="59"/>
      <c r="F89" s="59"/>
      <c r="G89" s="59"/>
      <c r="H89" s="59"/>
      <c r="I89" s="59"/>
      <c r="J89" s="59"/>
      <c r="K89" s="59"/>
    </row>
    <row r="90" spans="2:11" x14ac:dyDescent="0.2">
      <c r="B90" s="11">
        <v>1112009</v>
      </c>
      <c r="C90" s="20" t="s">
        <v>75</v>
      </c>
      <c r="D90" s="31"/>
      <c r="E90" s="31">
        <v>2</v>
      </c>
      <c r="F90" s="31">
        <v>14</v>
      </c>
      <c r="G90" s="31">
        <v>41</v>
      </c>
      <c r="H90" s="31">
        <v>1</v>
      </c>
      <c r="I90" s="31"/>
      <c r="J90" s="31"/>
      <c r="K90" s="44">
        <f>SUM(D90:J90)</f>
        <v>58</v>
      </c>
    </row>
    <row r="91" spans="2:11" x14ac:dyDescent="0.2">
      <c r="B91" s="11">
        <v>1112011</v>
      </c>
      <c r="C91" s="20" t="s">
        <v>76</v>
      </c>
      <c r="D91" s="31"/>
      <c r="E91" s="31">
        <v>3</v>
      </c>
      <c r="F91" s="31">
        <v>11</v>
      </c>
      <c r="G91" s="31">
        <v>41</v>
      </c>
      <c r="H91" s="31">
        <v>1</v>
      </c>
      <c r="I91" s="31"/>
      <c r="J91" s="31"/>
      <c r="K91" s="44">
        <f t="shared" ref="K91:K99" si="4">SUM(D91:J91)</f>
        <v>56</v>
      </c>
    </row>
    <row r="92" spans="2:11" x14ac:dyDescent="0.2">
      <c r="B92" s="11">
        <v>1112003</v>
      </c>
      <c r="C92" s="20" t="s">
        <v>77</v>
      </c>
      <c r="D92" s="31"/>
      <c r="E92" s="31">
        <v>2</v>
      </c>
      <c r="F92" s="31">
        <v>2</v>
      </c>
      <c r="G92" s="31">
        <v>41</v>
      </c>
      <c r="H92" s="31">
        <v>1</v>
      </c>
      <c r="I92" s="31"/>
      <c r="J92" s="31"/>
      <c r="K92" s="44">
        <f t="shared" si="4"/>
        <v>46</v>
      </c>
    </row>
    <row r="93" spans="2:11" x14ac:dyDescent="0.2">
      <c r="B93" s="11">
        <v>1112005</v>
      </c>
      <c r="C93" s="20" t="s">
        <v>78</v>
      </c>
      <c r="D93" s="31"/>
      <c r="E93" s="31">
        <v>2</v>
      </c>
      <c r="F93" s="31">
        <v>2</v>
      </c>
      <c r="G93" s="31">
        <v>6</v>
      </c>
      <c r="H93" s="31"/>
      <c r="I93" s="31"/>
      <c r="J93" s="31"/>
      <c r="K93" s="44">
        <f t="shared" si="4"/>
        <v>10</v>
      </c>
    </row>
    <row r="94" spans="2:11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31"/>
      <c r="K94" s="44">
        <f t="shared" si="4"/>
        <v>0</v>
      </c>
    </row>
    <row r="95" spans="2:11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31"/>
      <c r="K95" s="44">
        <f t="shared" si="4"/>
        <v>0</v>
      </c>
    </row>
    <row r="96" spans="2:11" x14ac:dyDescent="0.2">
      <c r="B96" s="11">
        <v>1112017</v>
      </c>
      <c r="C96" s="20" t="s">
        <v>81</v>
      </c>
      <c r="D96" s="31"/>
      <c r="E96" s="31">
        <v>2</v>
      </c>
      <c r="F96" s="31">
        <v>2</v>
      </c>
      <c r="G96" s="31">
        <v>41</v>
      </c>
      <c r="H96" s="31">
        <v>1</v>
      </c>
      <c r="I96" s="31"/>
      <c r="J96" s="31"/>
      <c r="K96" s="44">
        <f t="shared" si="4"/>
        <v>46</v>
      </c>
    </row>
    <row r="97" spans="2:11" x14ac:dyDescent="0.2">
      <c r="B97" s="11">
        <v>1112015</v>
      </c>
      <c r="C97" s="20" t="s">
        <v>82</v>
      </c>
      <c r="D97" s="31"/>
      <c r="E97" s="31">
        <v>2</v>
      </c>
      <c r="F97" s="31">
        <v>2</v>
      </c>
      <c r="G97" s="31">
        <v>41</v>
      </c>
      <c r="H97" s="31">
        <v>1</v>
      </c>
      <c r="I97" s="31"/>
      <c r="J97" s="31"/>
      <c r="K97" s="44">
        <f t="shared" si="4"/>
        <v>46</v>
      </c>
    </row>
    <row r="98" spans="2:11" x14ac:dyDescent="0.2">
      <c r="B98" s="11">
        <v>1112013</v>
      </c>
      <c r="C98" s="20" t="s">
        <v>83</v>
      </c>
      <c r="D98" s="31"/>
      <c r="E98" s="31">
        <v>2</v>
      </c>
      <c r="F98" s="31">
        <v>9</v>
      </c>
      <c r="G98" s="31">
        <v>41</v>
      </c>
      <c r="H98" s="31">
        <v>1</v>
      </c>
      <c r="I98" s="31"/>
      <c r="J98" s="31"/>
      <c r="K98" s="44">
        <f t="shared" si="4"/>
        <v>53</v>
      </c>
    </row>
    <row r="99" spans="2:1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31"/>
      <c r="K99" s="44">
        <f t="shared" si="4"/>
        <v>0</v>
      </c>
    </row>
    <row r="100" spans="2:1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4"/>
    </row>
    <row r="101" spans="2:11" ht="19.5" x14ac:dyDescent="0.2">
      <c r="B101" s="59" t="s">
        <v>85</v>
      </c>
      <c r="C101" s="59"/>
      <c r="D101" s="59"/>
      <c r="E101" s="59"/>
      <c r="F101" s="59"/>
      <c r="G101" s="59"/>
      <c r="H101" s="59"/>
      <c r="I101" s="59"/>
      <c r="J101" s="59"/>
      <c r="K101" s="59"/>
    </row>
    <row r="102" spans="2:11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31"/>
      <c r="K102" s="44">
        <f>SUM(D102:H102)</f>
        <v>0</v>
      </c>
    </row>
    <row r="103" spans="2:11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31"/>
      <c r="K103" s="44">
        <f t="shared" ref="K103:K111" si="5">SUM(D103:H103)</f>
        <v>0</v>
      </c>
    </row>
    <row r="104" spans="2:11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31"/>
      <c r="K104" s="44">
        <f t="shared" si="5"/>
        <v>0</v>
      </c>
    </row>
    <row r="105" spans="2:11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31"/>
      <c r="K105" s="44">
        <f t="shared" si="5"/>
        <v>0</v>
      </c>
    </row>
    <row r="106" spans="2:11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31"/>
      <c r="K106" s="44">
        <f t="shared" si="5"/>
        <v>0</v>
      </c>
    </row>
    <row r="107" spans="2:11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31"/>
      <c r="K107" s="44">
        <f t="shared" si="5"/>
        <v>0</v>
      </c>
    </row>
    <row r="108" spans="2:11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31"/>
      <c r="K108" s="44">
        <f t="shared" si="5"/>
        <v>0</v>
      </c>
    </row>
    <row r="109" spans="2:11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31"/>
      <c r="K109" s="44">
        <f t="shared" si="5"/>
        <v>0</v>
      </c>
    </row>
    <row r="110" spans="2:11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31"/>
      <c r="K110" s="44">
        <f t="shared" si="5"/>
        <v>0</v>
      </c>
    </row>
    <row r="111" spans="2:1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31"/>
      <c r="K111" s="44">
        <f t="shared" si="5"/>
        <v>0</v>
      </c>
    </row>
    <row r="112" spans="2:1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9">
        <f>SUM(K102:K110)</f>
        <v>0</v>
      </c>
    </row>
    <row r="113" spans="2:11" ht="19.5" x14ac:dyDescent="0.2">
      <c r="B113" s="59" t="s">
        <v>86</v>
      </c>
      <c r="C113" s="59"/>
      <c r="D113" s="59"/>
      <c r="E113" s="59"/>
      <c r="F113" s="59"/>
      <c r="G113" s="59"/>
      <c r="H113" s="59"/>
      <c r="I113" s="59"/>
      <c r="J113" s="59"/>
      <c r="K113" s="59"/>
    </row>
    <row r="114" spans="2:11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31"/>
      <c r="K114" s="44">
        <f>SUM(D114:J114)</f>
        <v>0</v>
      </c>
    </row>
    <row r="115" spans="2:11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31"/>
      <c r="K115" s="44">
        <f t="shared" ref="K115:K137" si="6">SUM(D115:J115)</f>
        <v>0</v>
      </c>
    </row>
    <row r="116" spans="2:11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31"/>
      <c r="K116" s="44">
        <f t="shared" si="6"/>
        <v>0</v>
      </c>
    </row>
    <row r="117" spans="2:11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31"/>
      <c r="K117" s="44">
        <f t="shared" si="6"/>
        <v>0</v>
      </c>
    </row>
    <row r="118" spans="2:11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31"/>
      <c r="K118" s="44">
        <f t="shared" si="6"/>
        <v>0</v>
      </c>
    </row>
    <row r="119" spans="2:11" x14ac:dyDescent="0.2">
      <c r="B119" s="11">
        <v>1100001</v>
      </c>
      <c r="C119" s="22" t="s">
        <v>122</v>
      </c>
      <c r="D119" s="31"/>
      <c r="E119" s="31"/>
      <c r="F119" s="31">
        <v>1</v>
      </c>
      <c r="G119" s="31"/>
      <c r="H119" s="31"/>
      <c r="I119" s="31"/>
      <c r="J119" s="31"/>
      <c r="K119" s="44">
        <f t="shared" si="6"/>
        <v>1</v>
      </c>
    </row>
    <row r="120" spans="2:11" x14ac:dyDescent="0.2">
      <c r="B120" s="11">
        <v>1100002</v>
      </c>
      <c r="C120" s="22" t="s">
        <v>123</v>
      </c>
      <c r="D120" s="31"/>
      <c r="E120" s="31"/>
      <c r="F120" s="31">
        <v>1</v>
      </c>
      <c r="G120" s="31">
        <v>4</v>
      </c>
      <c r="H120" s="31"/>
      <c r="I120" s="31"/>
      <c r="J120" s="31"/>
      <c r="K120" s="44">
        <f t="shared" si="6"/>
        <v>5</v>
      </c>
    </row>
    <row r="121" spans="2:11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31"/>
      <c r="K121" s="44">
        <f t="shared" si="6"/>
        <v>0</v>
      </c>
    </row>
    <row r="122" spans="2:11" x14ac:dyDescent="0.2">
      <c r="B122" s="11">
        <v>1005761</v>
      </c>
      <c r="C122" s="22" t="s">
        <v>94</v>
      </c>
      <c r="D122" s="31"/>
      <c r="E122" s="31"/>
      <c r="F122" s="31"/>
      <c r="G122" s="31">
        <v>3</v>
      </c>
      <c r="H122" s="31"/>
      <c r="I122" s="31"/>
      <c r="J122" s="31"/>
      <c r="K122" s="44">
        <f t="shared" si="6"/>
        <v>3</v>
      </c>
    </row>
    <row r="123" spans="2:11" x14ac:dyDescent="0.2">
      <c r="B123" s="11">
        <v>1114501</v>
      </c>
      <c r="C123" s="22" t="s">
        <v>95</v>
      </c>
      <c r="D123" s="31"/>
      <c r="E123" s="31">
        <v>19</v>
      </c>
      <c r="F123" s="31">
        <v>8</v>
      </c>
      <c r="G123" s="31">
        <v>166</v>
      </c>
      <c r="H123" s="31">
        <v>16</v>
      </c>
      <c r="I123" s="31"/>
      <c r="J123" s="31"/>
      <c r="K123" s="44">
        <f t="shared" si="6"/>
        <v>209</v>
      </c>
    </row>
    <row r="124" spans="2:11" x14ac:dyDescent="0.2">
      <c r="B124" s="11">
        <v>1114502</v>
      </c>
      <c r="C124" s="22" t="s">
        <v>96</v>
      </c>
      <c r="D124" s="31"/>
      <c r="E124" s="31">
        <v>15</v>
      </c>
      <c r="F124" s="31">
        <v>8</v>
      </c>
      <c r="G124" s="31">
        <v>164</v>
      </c>
      <c r="H124" s="31">
        <v>16</v>
      </c>
      <c r="I124" s="31"/>
      <c r="J124" s="31"/>
      <c r="K124" s="44">
        <f t="shared" si="6"/>
        <v>203</v>
      </c>
    </row>
    <row r="125" spans="2:11" x14ac:dyDescent="0.2">
      <c r="B125" s="11">
        <v>1114503</v>
      </c>
      <c r="C125" s="22" t="s">
        <v>97</v>
      </c>
      <c r="D125" s="31"/>
      <c r="E125" s="31">
        <v>19</v>
      </c>
      <c r="F125" s="31">
        <v>3</v>
      </c>
      <c r="G125" s="31">
        <v>164</v>
      </c>
      <c r="H125" s="31">
        <v>16</v>
      </c>
      <c r="I125" s="31"/>
      <c r="J125" s="31"/>
      <c r="K125" s="44">
        <f t="shared" si="6"/>
        <v>202</v>
      </c>
    </row>
    <row r="126" spans="2:11" x14ac:dyDescent="0.2">
      <c r="B126" s="11">
        <v>1124021</v>
      </c>
      <c r="C126" s="22" t="s">
        <v>98</v>
      </c>
      <c r="D126" s="31"/>
      <c r="E126" s="31">
        <v>7</v>
      </c>
      <c r="F126" s="31">
        <v>73</v>
      </c>
      <c r="G126" s="31">
        <v>45</v>
      </c>
      <c r="H126" s="31"/>
      <c r="I126" s="31"/>
      <c r="J126" s="31"/>
      <c r="K126" s="44">
        <f t="shared" si="6"/>
        <v>125</v>
      </c>
    </row>
    <row r="127" spans="2:11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31"/>
      <c r="K127" s="44">
        <f t="shared" si="6"/>
        <v>0</v>
      </c>
    </row>
    <row r="128" spans="2:11" x14ac:dyDescent="0.2">
      <c r="B128" s="11">
        <v>900003</v>
      </c>
      <c r="C128" s="22" t="s">
        <v>133</v>
      </c>
      <c r="D128" s="31"/>
      <c r="E128" s="31"/>
      <c r="F128" s="31"/>
      <c r="G128" s="31"/>
      <c r="H128" s="31"/>
      <c r="I128" s="31"/>
      <c r="J128" s="31"/>
      <c r="K128" s="44">
        <f t="shared" si="6"/>
        <v>0</v>
      </c>
    </row>
    <row r="129" spans="2:11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31"/>
      <c r="K129" s="44">
        <f t="shared" si="6"/>
        <v>0</v>
      </c>
    </row>
    <row r="130" spans="2:11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31"/>
      <c r="K130" s="44">
        <f t="shared" si="6"/>
        <v>0</v>
      </c>
    </row>
    <row r="131" spans="2:11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31"/>
      <c r="K131" s="44">
        <f t="shared" si="6"/>
        <v>0</v>
      </c>
    </row>
    <row r="132" spans="2:11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31"/>
      <c r="K132" s="44">
        <f t="shared" si="6"/>
        <v>0</v>
      </c>
    </row>
    <row r="133" spans="2:11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31"/>
      <c r="K133" s="44">
        <f t="shared" si="6"/>
        <v>0</v>
      </c>
    </row>
    <row r="134" spans="2:11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31"/>
      <c r="K134" s="44">
        <f t="shared" si="6"/>
        <v>0</v>
      </c>
    </row>
    <row r="135" spans="2:11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31"/>
      <c r="K135" s="44">
        <f t="shared" si="6"/>
        <v>0</v>
      </c>
    </row>
    <row r="136" spans="2:11" x14ac:dyDescent="0.2">
      <c r="B136" s="23"/>
      <c r="C136" s="22" t="s">
        <v>125</v>
      </c>
      <c r="D136" s="31"/>
      <c r="E136" s="31">
        <v>4</v>
      </c>
      <c r="F136" s="31"/>
      <c r="G136" s="31"/>
      <c r="H136" s="31"/>
      <c r="I136" s="31"/>
      <c r="J136" s="31">
        <v>3</v>
      </c>
      <c r="K136" s="44">
        <f t="shared" si="6"/>
        <v>7</v>
      </c>
    </row>
    <row r="137" spans="2:11" x14ac:dyDescent="0.2">
      <c r="B137" s="23">
        <v>20052721</v>
      </c>
      <c r="C137" s="22" t="s">
        <v>131</v>
      </c>
      <c r="D137" s="31"/>
      <c r="E137" s="31"/>
      <c r="F137" s="31"/>
      <c r="G137" s="31"/>
      <c r="H137" s="31"/>
      <c r="I137" s="31"/>
      <c r="J137" s="31"/>
      <c r="K137" s="44">
        <f t="shared" si="6"/>
        <v>0</v>
      </c>
    </row>
    <row r="138" spans="2:11" x14ac:dyDescent="0.2">
      <c r="C138" s="36"/>
      <c r="D138" s="41"/>
      <c r="E138" s="41"/>
      <c r="F138" s="41"/>
      <c r="G138" s="41"/>
      <c r="H138" s="41"/>
      <c r="I138" s="41"/>
      <c r="J138" s="41"/>
      <c r="K138" s="42"/>
    </row>
    <row r="139" spans="2:11" x14ac:dyDescent="0.2">
      <c r="C139" s="36"/>
      <c r="D139" s="42">
        <f t="shared" ref="D139:I139" si="7">SUM(D114:D137,D102:D111,D90:D99,D79:D87,D69:D76,D7:D66)</f>
        <v>30</v>
      </c>
      <c r="E139" s="42">
        <f t="shared" si="7"/>
        <v>179</v>
      </c>
      <c r="F139" s="42">
        <f t="shared" si="7"/>
        <v>333</v>
      </c>
      <c r="G139" s="42">
        <f t="shared" si="7"/>
        <v>1062</v>
      </c>
      <c r="H139" s="42">
        <f t="shared" si="7"/>
        <v>66</v>
      </c>
      <c r="I139" s="42">
        <f t="shared" si="7"/>
        <v>0</v>
      </c>
      <c r="J139" s="42"/>
      <c r="K139" s="42">
        <f>SUM(K114:K137,K102:K111,K90:K99,K79:K87,K69:K76,K7:K66)</f>
        <v>1673</v>
      </c>
    </row>
    <row r="140" spans="2:11" x14ac:dyDescent="0.2">
      <c r="C140" s="25"/>
      <c r="D140" s="32"/>
      <c r="E140" s="60"/>
      <c r="F140" s="60"/>
      <c r="G140" s="27"/>
    </row>
    <row r="141" spans="2:11" x14ac:dyDescent="0.2">
      <c r="B141" s="60" t="s">
        <v>104</v>
      </c>
      <c r="C141" s="60"/>
      <c r="D141" s="33"/>
      <c r="E141" s="58"/>
      <c r="F141" s="58"/>
      <c r="G141" s="28"/>
      <c r="H141" s="27"/>
      <c r="I141" s="60" t="s">
        <v>104</v>
      </c>
      <c r="J141" s="60"/>
      <c r="K141" s="60"/>
    </row>
    <row r="142" spans="2:11" x14ac:dyDescent="0.2">
      <c r="B142" s="58" t="s">
        <v>105</v>
      </c>
      <c r="C142" s="58"/>
      <c r="D142" s="34"/>
      <c r="E142" s="34"/>
      <c r="F142" s="34"/>
      <c r="G142" s="34"/>
      <c r="H142" s="34"/>
      <c r="I142" s="58" t="s">
        <v>106</v>
      </c>
      <c r="J142" s="58"/>
      <c r="K142" s="58"/>
    </row>
    <row r="143" spans="2:11" x14ac:dyDescent="0.2">
      <c r="B143" s="32"/>
      <c r="C143" s="32"/>
      <c r="D143" s="34"/>
      <c r="E143" s="34"/>
      <c r="F143" s="34"/>
      <c r="G143" s="34"/>
      <c r="H143" s="34"/>
      <c r="I143" s="32"/>
      <c r="J143" s="32"/>
      <c r="K143" s="35"/>
    </row>
    <row r="144" spans="2:11" ht="14.25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5"/>
    </row>
    <row r="145" spans="2:11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5"/>
    </row>
    <row r="146" spans="2:11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5"/>
    </row>
    <row r="147" spans="2:11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5"/>
    </row>
    <row r="148" spans="2:11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5"/>
    </row>
    <row r="149" spans="2:11" x14ac:dyDescent="0.2">
      <c r="D149" s="32"/>
      <c r="E149" s="32"/>
      <c r="F149" s="32"/>
      <c r="G149" s="32"/>
      <c r="H149" s="32"/>
    </row>
    <row r="150" spans="2:11" x14ac:dyDescent="0.2">
      <c r="D150" s="32"/>
      <c r="E150" s="32"/>
      <c r="F150" s="32"/>
      <c r="G150" s="32"/>
      <c r="H150" s="32"/>
    </row>
    <row r="151" spans="2:11" x14ac:dyDescent="0.2">
      <c r="D151" s="32"/>
      <c r="E151" s="32"/>
      <c r="F151" s="32"/>
      <c r="G151" s="32"/>
      <c r="H151" s="32"/>
    </row>
    <row r="152" spans="2:11" x14ac:dyDescent="0.2">
      <c r="D152" s="32"/>
      <c r="E152" s="32"/>
      <c r="F152" s="32"/>
      <c r="G152" s="32"/>
      <c r="H152" s="32"/>
    </row>
    <row r="153" spans="2:11" x14ac:dyDescent="0.2">
      <c r="D153" s="32"/>
      <c r="E153" s="32"/>
      <c r="F153" s="32"/>
      <c r="G153" s="32"/>
      <c r="H153" s="32"/>
    </row>
    <row r="154" spans="2:11" x14ac:dyDescent="0.2">
      <c r="D154" s="32"/>
      <c r="E154" s="32"/>
      <c r="F154" s="32"/>
      <c r="G154" s="32"/>
      <c r="H154" s="32"/>
    </row>
    <row r="155" spans="2:11" x14ac:dyDescent="0.2">
      <c r="D155" s="32"/>
      <c r="E155" s="32"/>
      <c r="F155" s="32"/>
      <c r="G155" s="32"/>
      <c r="H155" s="32"/>
    </row>
    <row r="156" spans="2:11" x14ac:dyDescent="0.2">
      <c r="D156" s="32"/>
      <c r="E156" s="32"/>
      <c r="F156" s="32"/>
      <c r="G156" s="32"/>
      <c r="H156" s="32"/>
    </row>
    <row r="157" spans="2:11" x14ac:dyDescent="0.2">
      <c r="D157" s="32"/>
      <c r="E157" s="32"/>
      <c r="F157" s="32"/>
      <c r="G157" s="32"/>
      <c r="H157" s="32"/>
    </row>
    <row r="158" spans="2:11" x14ac:dyDescent="0.2">
      <c r="D158" s="32"/>
      <c r="E158" s="32"/>
      <c r="F158" s="32"/>
      <c r="G158" s="32"/>
      <c r="H158" s="32"/>
    </row>
    <row r="159" spans="2:11" x14ac:dyDescent="0.2">
      <c r="D159" s="32"/>
      <c r="E159" s="32"/>
      <c r="F159" s="32"/>
      <c r="G159" s="32"/>
      <c r="H159" s="32"/>
    </row>
  </sheetData>
  <mergeCells count="15">
    <mergeCell ref="B1:K1"/>
    <mergeCell ref="B2:C3"/>
    <mergeCell ref="E2:F3"/>
    <mergeCell ref="B142:C142"/>
    <mergeCell ref="I142:K142"/>
    <mergeCell ref="B6:K6"/>
    <mergeCell ref="B68:K68"/>
    <mergeCell ref="B78:K78"/>
    <mergeCell ref="B89:K89"/>
    <mergeCell ref="B101:K101"/>
    <mergeCell ref="B113:K113"/>
    <mergeCell ref="E140:F140"/>
    <mergeCell ref="B141:C141"/>
    <mergeCell ref="E141:F141"/>
    <mergeCell ref="I141:K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K158"/>
  <sheetViews>
    <sheetView topLeftCell="A116" zoomScale="60" zoomScaleNormal="60" workbookViewId="0">
      <selection activeCell="A138" sqref="A138:XFD153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7.625" style="26" customWidth="1"/>
  </cols>
  <sheetData>
    <row r="1" spans="2:11" x14ac:dyDescent="0.2">
      <c r="B1" s="61" t="s">
        <v>138</v>
      </c>
      <c r="C1" s="61"/>
      <c r="D1" s="61"/>
      <c r="E1" s="61"/>
      <c r="F1" s="61"/>
      <c r="G1" s="61"/>
      <c r="H1" s="61"/>
      <c r="I1" s="61"/>
      <c r="J1" s="61"/>
      <c r="K1" s="61"/>
    </row>
    <row r="2" spans="2:11" x14ac:dyDescent="0.2">
      <c r="B2" s="62"/>
      <c r="C2" s="66"/>
      <c r="D2" s="1"/>
      <c r="E2" s="67"/>
      <c r="F2" s="67"/>
      <c r="G2" s="2"/>
      <c r="H2" s="2"/>
      <c r="I2" s="2"/>
      <c r="J2" s="2"/>
      <c r="K2" s="3" t="s">
        <v>0</v>
      </c>
    </row>
    <row r="3" spans="2:11" x14ac:dyDescent="0.2">
      <c r="B3" s="62"/>
      <c r="C3" s="66"/>
      <c r="D3" s="4"/>
      <c r="E3" s="68"/>
      <c r="F3" s="68"/>
      <c r="G3" s="5"/>
      <c r="H3" s="5"/>
      <c r="I3" s="5"/>
      <c r="J3" s="51"/>
      <c r="K3" s="6" t="s">
        <v>2</v>
      </c>
    </row>
    <row r="4" spans="2:11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132</v>
      </c>
      <c r="I4" s="9" t="s">
        <v>9</v>
      </c>
      <c r="J4" s="52" t="s">
        <v>134</v>
      </c>
      <c r="K4" s="10" t="s">
        <v>10</v>
      </c>
    </row>
    <row r="5" spans="2:11" x14ac:dyDescent="0.2">
      <c r="B5" s="11"/>
      <c r="C5" s="12"/>
      <c r="D5" s="13"/>
      <c r="E5" s="9"/>
      <c r="F5" s="9"/>
      <c r="G5" s="9"/>
      <c r="H5" s="9"/>
      <c r="I5" s="9"/>
      <c r="J5" s="52"/>
      <c r="K5" s="14"/>
    </row>
    <row r="6" spans="2:11" ht="19.5" x14ac:dyDescent="0.2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</row>
    <row r="7" spans="2:11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53"/>
      <c r="K7" s="37">
        <f>SUM(D7:J7)</f>
        <v>0</v>
      </c>
    </row>
    <row r="8" spans="2:11" hidden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53"/>
      <c r="K8" s="37">
        <f t="shared" ref="K8:K66" si="0">SUM(D8:J8)</f>
        <v>0</v>
      </c>
    </row>
    <row r="9" spans="2:11" hidden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53"/>
      <c r="K9" s="37">
        <f t="shared" si="0"/>
        <v>0</v>
      </c>
    </row>
    <row r="10" spans="2:11" hidden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53"/>
      <c r="K10" s="37">
        <f t="shared" si="0"/>
        <v>0</v>
      </c>
    </row>
    <row r="11" spans="2:11" hidden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53"/>
      <c r="K11" s="37">
        <f t="shared" si="0"/>
        <v>0</v>
      </c>
    </row>
    <row r="12" spans="2:11" hidden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53"/>
      <c r="K12" s="37">
        <f t="shared" si="0"/>
        <v>0</v>
      </c>
    </row>
    <row r="13" spans="2:11" hidden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53"/>
      <c r="K13" s="37">
        <f t="shared" si="0"/>
        <v>0</v>
      </c>
    </row>
    <row r="14" spans="2:11" hidden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53"/>
      <c r="K14" s="37">
        <f t="shared" si="0"/>
        <v>0</v>
      </c>
    </row>
    <row r="15" spans="2:11" hidden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53"/>
      <c r="K15" s="37">
        <f t="shared" si="0"/>
        <v>0</v>
      </c>
    </row>
    <row r="16" spans="2:11" hidden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53"/>
      <c r="K16" s="37">
        <f t="shared" si="0"/>
        <v>0</v>
      </c>
    </row>
    <row r="17" spans="2:11" hidden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53"/>
      <c r="K17" s="37">
        <f t="shared" si="0"/>
        <v>0</v>
      </c>
    </row>
    <row r="18" spans="2:11" hidden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53"/>
      <c r="K18" s="37">
        <f t="shared" si="0"/>
        <v>0</v>
      </c>
    </row>
    <row r="19" spans="2:11" hidden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53"/>
      <c r="K19" s="37">
        <f t="shared" si="0"/>
        <v>0</v>
      </c>
    </row>
    <row r="20" spans="2:11" hidden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53"/>
      <c r="K20" s="37">
        <f t="shared" si="0"/>
        <v>0</v>
      </c>
    </row>
    <row r="21" spans="2:11" hidden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53"/>
      <c r="K21" s="37">
        <f t="shared" si="0"/>
        <v>0</v>
      </c>
    </row>
    <row r="22" spans="2:11" hidden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53"/>
      <c r="K22" s="37">
        <f t="shared" si="0"/>
        <v>0</v>
      </c>
    </row>
    <row r="23" spans="2:11" hidden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53"/>
      <c r="K23" s="37">
        <f t="shared" si="0"/>
        <v>0</v>
      </c>
    </row>
    <row r="24" spans="2:11" hidden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53"/>
      <c r="K24" s="37">
        <f t="shared" si="0"/>
        <v>0</v>
      </c>
    </row>
    <row r="25" spans="2:11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53"/>
      <c r="K25" s="37">
        <f t="shared" si="0"/>
        <v>0</v>
      </c>
    </row>
    <row r="26" spans="2:11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53"/>
      <c r="K26" s="37">
        <f t="shared" si="0"/>
        <v>0</v>
      </c>
    </row>
    <row r="27" spans="2:11" hidden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53"/>
      <c r="K27" s="37">
        <f t="shared" si="0"/>
        <v>0</v>
      </c>
    </row>
    <row r="28" spans="2:11" hidden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53"/>
      <c r="K28" s="37">
        <f t="shared" si="0"/>
        <v>0</v>
      </c>
    </row>
    <row r="29" spans="2:11" hidden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53"/>
      <c r="K29" s="37">
        <f t="shared" si="0"/>
        <v>0</v>
      </c>
    </row>
    <row r="30" spans="2:11" hidden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53"/>
      <c r="K30" s="37">
        <f t="shared" si="0"/>
        <v>0</v>
      </c>
    </row>
    <row r="31" spans="2:11" hidden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53"/>
      <c r="K31" s="37">
        <f t="shared" si="0"/>
        <v>0</v>
      </c>
    </row>
    <row r="32" spans="2:11" hidden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53"/>
      <c r="K32" s="37">
        <f t="shared" si="0"/>
        <v>0</v>
      </c>
    </row>
    <row r="33" spans="2:11" hidden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53"/>
      <c r="K33" s="37">
        <f t="shared" si="0"/>
        <v>0</v>
      </c>
    </row>
    <row r="34" spans="2:11" hidden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53"/>
      <c r="K34" s="37">
        <f t="shared" si="0"/>
        <v>0</v>
      </c>
    </row>
    <row r="35" spans="2:11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53"/>
      <c r="K35" s="37">
        <f t="shared" si="0"/>
        <v>0</v>
      </c>
    </row>
    <row r="36" spans="2:11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53"/>
      <c r="K36" s="37">
        <f t="shared" si="0"/>
        <v>0</v>
      </c>
    </row>
    <row r="37" spans="2:11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53"/>
      <c r="K37" s="37">
        <f t="shared" si="0"/>
        <v>0</v>
      </c>
    </row>
    <row r="38" spans="2:11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53"/>
      <c r="K38" s="37">
        <f t="shared" si="0"/>
        <v>0</v>
      </c>
    </row>
    <row r="39" spans="2:11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53"/>
      <c r="K39" s="37">
        <f t="shared" si="0"/>
        <v>0</v>
      </c>
    </row>
    <row r="40" spans="2:11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53"/>
      <c r="K40" s="37">
        <f t="shared" si="0"/>
        <v>0</v>
      </c>
    </row>
    <row r="41" spans="2:11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53"/>
      <c r="K41" s="37">
        <f t="shared" si="0"/>
        <v>0</v>
      </c>
    </row>
    <row r="42" spans="2:11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53"/>
      <c r="K42" s="37">
        <f t="shared" si="0"/>
        <v>0</v>
      </c>
    </row>
    <row r="43" spans="2:11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53"/>
      <c r="K43" s="37">
        <f t="shared" si="0"/>
        <v>0</v>
      </c>
    </row>
    <row r="44" spans="2:11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53"/>
      <c r="K44" s="37">
        <f t="shared" si="0"/>
        <v>0</v>
      </c>
    </row>
    <row r="45" spans="2:11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53"/>
      <c r="K45" s="37">
        <f t="shared" si="0"/>
        <v>0</v>
      </c>
    </row>
    <row r="46" spans="2:11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53"/>
      <c r="K46" s="37">
        <f t="shared" si="0"/>
        <v>0</v>
      </c>
    </row>
    <row r="47" spans="2:11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53"/>
      <c r="K47" s="37">
        <f t="shared" si="0"/>
        <v>0</v>
      </c>
    </row>
    <row r="48" spans="2:11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53"/>
      <c r="K48" s="37">
        <f t="shared" si="0"/>
        <v>0</v>
      </c>
    </row>
    <row r="49" spans="2:11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53"/>
      <c r="K49" s="37">
        <f t="shared" si="0"/>
        <v>0</v>
      </c>
    </row>
    <row r="50" spans="2:11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53"/>
      <c r="K50" s="37">
        <f t="shared" si="0"/>
        <v>0</v>
      </c>
    </row>
    <row r="51" spans="2:11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53"/>
      <c r="K51" s="37">
        <f t="shared" si="0"/>
        <v>0</v>
      </c>
    </row>
    <row r="52" spans="2:11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53"/>
      <c r="K52" s="37">
        <f t="shared" si="0"/>
        <v>0</v>
      </c>
    </row>
    <row r="53" spans="2:11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53"/>
      <c r="K53" s="37">
        <f t="shared" si="0"/>
        <v>0</v>
      </c>
    </row>
    <row r="54" spans="2:11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53"/>
      <c r="K54" s="37">
        <f t="shared" si="0"/>
        <v>0</v>
      </c>
    </row>
    <row r="55" spans="2:11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53"/>
      <c r="K55" s="37">
        <f t="shared" si="0"/>
        <v>0</v>
      </c>
    </row>
    <row r="56" spans="2:11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53"/>
      <c r="K56" s="37">
        <f t="shared" si="0"/>
        <v>0</v>
      </c>
    </row>
    <row r="57" spans="2:11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53"/>
      <c r="K57" s="37">
        <f t="shared" si="0"/>
        <v>0</v>
      </c>
    </row>
    <row r="58" spans="2:11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53"/>
      <c r="K58" s="37">
        <f t="shared" si="0"/>
        <v>0</v>
      </c>
    </row>
    <row r="59" spans="2:11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53"/>
      <c r="K59" s="37">
        <f t="shared" si="0"/>
        <v>0</v>
      </c>
    </row>
    <row r="60" spans="2:11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53"/>
      <c r="K60" s="37">
        <f t="shared" si="0"/>
        <v>0</v>
      </c>
    </row>
    <row r="61" spans="2:11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53"/>
      <c r="K61" s="37">
        <f t="shared" si="0"/>
        <v>0</v>
      </c>
    </row>
    <row r="62" spans="2:11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53"/>
      <c r="K62" s="37">
        <f t="shared" si="0"/>
        <v>0</v>
      </c>
    </row>
    <row r="63" spans="2:11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53"/>
      <c r="K63" s="37">
        <f t="shared" si="0"/>
        <v>0</v>
      </c>
    </row>
    <row r="64" spans="2:11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53"/>
      <c r="K64" s="37">
        <f t="shared" si="0"/>
        <v>0</v>
      </c>
    </row>
    <row r="65" spans="2:11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53"/>
      <c r="K65" s="37">
        <f t="shared" si="0"/>
        <v>0</v>
      </c>
    </row>
    <row r="66" spans="2:11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53"/>
      <c r="K66" s="37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19"/>
    </row>
    <row r="68" spans="2:11" ht="19.5" x14ac:dyDescent="0.2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</row>
    <row r="69" spans="2:11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53"/>
      <c r="K69" s="37">
        <f>SUM(D69:J69)</f>
        <v>0</v>
      </c>
    </row>
    <row r="70" spans="2:1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53"/>
      <c r="K70" s="37">
        <f t="shared" ref="K70:K76" si="1">SUM(D70:J70)</f>
        <v>0</v>
      </c>
    </row>
    <row r="71" spans="2:1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53"/>
      <c r="K71" s="37">
        <f t="shared" si="1"/>
        <v>0</v>
      </c>
    </row>
    <row r="72" spans="2:1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53"/>
      <c r="K72" s="37">
        <f t="shared" si="1"/>
        <v>0</v>
      </c>
    </row>
    <row r="73" spans="2:1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53"/>
      <c r="K73" s="37">
        <f t="shared" si="1"/>
        <v>0</v>
      </c>
    </row>
    <row r="74" spans="2:1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53"/>
      <c r="K74" s="37">
        <f t="shared" si="1"/>
        <v>0</v>
      </c>
    </row>
    <row r="75" spans="2:1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53"/>
      <c r="K75" s="37">
        <f t="shared" si="1"/>
        <v>0</v>
      </c>
    </row>
    <row r="76" spans="2:11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53"/>
      <c r="K76" s="37">
        <f t="shared" si="1"/>
        <v>0</v>
      </c>
    </row>
    <row r="77" spans="2:1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19"/>
    </row>
    <row r="78" spans="2:11" ht="19.5" x14ac:dyDescent="0.2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</row>
    <row r="79" spans="2:1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53"/>
      <c r="K79" s="37">
        <f>SUM(D79:J79)</f>
        <v>0</v>
      </c>
    </row>
    <row r="80" spans="2:1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53"/>
      <c r="K80" s="37">
        <f t="shared" ref="K80:K87" si="2">SUM(D80:J80)</f>
        <v>0</v>
      </c>
    </row>
    <row r="81" spans="2:1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53"/>
      <c r="K81" s="37">
        <f t="shared" si="2"/>
        <v>0</v>
      </c>
    </row>
    <row r="82" spans="2:1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53"/>
      <c r="K82" s="37">
        <f t="shared" si="2"/>
        <v>0</v>
      </c>
    </row>
    <row r="83" spans="2:1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53"/>
      <c r="K83" s="37">
        <f t="shared" si="2"/>
        <v>0</v>
      </c>
    </row>
    <row r="84" spans="2:1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53"/>
      <c r="K84" s="37">
        <f t="shared" si="2"/>
        <v>0</v>
      </c>
    </row>
    <row r="85" spans="2:1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53"/>
      <c r="K85" s="37">
        <f t="shared" si="2"/>
        <v>0</v>
      </c>
    </row>
    <row r="86" spans="2:1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53"/>
      <c r="K86" s="37">
        <f t="shared" si="2"/>
        <v>0</v>
      </c>
    </row>
    <row r="87" spans="2:11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53"/>
      <c r="K87" s="37">
        <f t="shared" si="2"/>
        <v>0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19"/>
    </row>
    <row r="89" spans="2:11" ht="19.5" x14ac:dyDescent="0.2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</row>
    <row r="90" spans="2:11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53"/>
      <c r="K90" s="37">
        <f>SUM(D90:J90)</f>
        <v>0</v>
      </c>
    </row>
    <row r="91" spans="2:11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53"/>
      <c r="K91" s="37">
        <f t="shared" ref="K91:K99" si="3">SUM(D91:J91)</f>
        <v>0</v>
      </c>
    </row>
    <row r="92" spans="2:11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53"/>
      <c r="K92" s="37">
        <f t="shared" si="3"/>
        <v>0</v>
      </c>
    </row>
    <row r="93" spans="2:11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53"/>
      <c r="K93" s="37">
        <f t="shared" si="3"/>
        <v>0</v>
      </c>
    </row>
    <row r="94" spans="2:11" hidden="1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53"/>
      <c r="K94" s="37">
        <f t="shared" si="3"/>
        <v>0</v>
      </c>
    </row>
    <row r="95" spans="2:11" hidden="1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53"/>
      <c r="K95" s="37">
        <f t="shared" si="3"/>
        <v>0</v>
      </c>
    </row>
    <row r="96" spans="2:11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53"/>
      <c r="K96" s="37">
        <f t="shared" si="3"/>
        <v>0</v>
      </c>
    </row>
    <row r="97" spans="2:11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53"/>
      <c r="K97" s="37">
        <f t="shared" si="3"/>
        <v>0</v>
      </c>
    </row>
    <row r="98" spans="2:11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53"/>
      <c r="K98" s="37">
        <f t="shared" si="3"/>
        <v>0</v>
      </c>
    </row>
    <row r="99" spans="2:11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53"/>
      <c r="K99" s="37">
        <f t="shared" si="3"/>
        <v>0</v>
      </c>
    </row>
    <row r="100" spans="2:11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7">
        <f t="shared" ref="K100" si="4">SUM(D100:I100)</f>
        <v>0</v>
      </c>
    </row>
    <row r="101" spans="2:11" ht="19.5" hidden="1" x14ac:dyDescent="0.2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</row>
    <row r="102" spans="2:11" hidden="1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53"/>
      <c r="K102" s="37">
        <f>SUM(D102:G102)</f>
        <v>0</v>
      </c>
    </row>
    <row r="103" spans="2:11" hidden="1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53"/>
      <c r="K103" s="37">
        <f t="shared" ref="K103:K111" si="5">SUM(D103:G103)</f>
        <v>0</v>
      </c>
    </row>
    <row r="104" spans="2:11" hidden="1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53"/>
      <c r="K104" s="37">
        <f t="shared" si="5"/>
        <v>0</v>
      </c>
    </row>
    <row r="105" spans="2:11" hidden="1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53"/>
      <c r="K105" s="37">
        <f t="shared" si="5"/>
        <v>0</v>
      </c>
    </row>
    <row r="106" spans="2:11" hidden="1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53"/>
      <c r="K106" s="37">
        <f t="shared" si="5"/>
        <v>0</v>
      </c>
    </row>
    <row r="107" spans="2:11" hidden="1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53"/>
      <c r="K107" s="37">
        <f t="shared" si="5"/>
        <v>0</v>
      </c>
    </row>
    <row r="108" spans="2:11" hidden="1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53"/>
      <c r="K108" s="37">
        <f t="shared" si="5"/>
        <v>0</v>
      </c>
    </row>
    <row r="109" spans="2:11" hidden="1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53"/>
      <c r="K109" s="37">
        <f t="shared" si="5"/>
        <v>0</v>
      </c>
    </row>
    <row r="110" spans="2:11" hidden="1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53"/>
      <c r="K110" s="37">
        <f t="shared" si="5"/>
        <v>0</v>
      </c>
    </row>
    <row r="111" spans="2:11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53"/>
      <c r="K111" s="37">
        <f t="shared" si="5"/>
        <v>0</v>
      </c>
    </row>
    <row r="112" spans="2:11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19">
        <f>SUM(K102:K110)</f>
        <v>0</v>
      </c>
    </row>
    <row r="113" spans="2:11" ht="19.5" x14ac:dyDescent="0.2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</row>
    <row r="114" spans="2:11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53"/>
      <c r="K114" s="37">
        <f>SUM(D114:J114)</f>
        <v>0</v>
      </c>
    </row>
    <row r="115" spans="2:11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53"/>
      <c r="K115" s="37">
        <f t="shared" ref="K115:K137" si="6">SUM(D115:J115)</f>
        <v>0</v>
      </c>
    </row>
    <row r="116" spans="2:11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53"/>
      <c r="K116" s="37">
        <f t="shared" si="6"/>
        <v>0</v>
      </c>
    </row>
    <row r="117" spans="2:11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53"/>
      <c r="K117" s="37">
        <f t="shared" si="6"/>
        <v>0</v>
      </c>
    </row>
    <row r="118" spans="2:11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53"/>
      <c r="K118" s="37">
        <f t="shared" si="6"/>
        <v>0</v>
      </c>
    </row>
    <row r="119" spans="2:11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53"/>
      <c r="K119" s="37">
        <f t="shared" si="6"/>
        <v>0</v>
      </c>
    </row>
    <row r="120" spans="2:11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53"/>
      <c r="K120" s="37">
        <f t="shared" si="6"/>
        <v>0</v>
      </c>
    </row>
    <row r="121" spans="2:11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53"/>
      <c r="K121" s="37">
        <f t="shared" si="6"/>
        <v>0</v>
      </c>
    </row>
    <row r="122" spans="2:11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53"/>
      <c r="K122" s="37">
        <f t="shared" si="6"/>
        <v>0</v>
      </c>
    </row>
    <row r="123" spans="2:11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53"/>
      <c r="K123" s="37">
        <f t="shared" si="6"/>
        <v>0</v>
      </c>
    </row>
    <row r="124" spans="2:11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53"/>
      <c r="K124" s="37">
        <f t="shared" si="6"/>
        <v>0</v>
      </c>
    </row>
    <row r="125" spans="2:11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53"/>
      <c r="K125" s="37">
        <f t="shared" si="6"/>
        <v>0</v>
      </c>
    </row>
    <row r="126" spans="2:11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53"/>
      <c r="K126" s="37">
        <f t="shared" si="6"/>
        <v>0</v>
      </c>
    </row>
    <row r="127" spans="2:11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53"/>
      <c r="K127" s="37">
        <f t="shared" si="6"/>
        <v>0</v>
      </c>
    </row>
    <row r="128" spans="2:11" x14ac:dyDescent="0.2">
      <c r="B128" s="11">
        <v>900003</v>
      </c>
      <c r="C128" s="22" t="s">
        <v>133</v>
      </c>
      <c r="D128" s="31"/>
      <c r="E128" s="31"/>
      <c r="F128" s="31"/>
      <c r="G128" s="31"/>
      <c r="H128" s="31"/>
      <c r="I128" s="31"/>
      <c r="J128" s="53"/>
      <c r="K128" s="37">
        <f t="shared" si="6"/>
        <v>0</v>
      </c>
    </row>
    <row r="129" spans="2:11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53"/>
      <c r="K129" s="37">
        <f t="shared" si="6"/>
        <v>0</v>
      </c>
    </row>
    <row r="130" spans="2:11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53"/>
      <c r="K130" s="37">
        <f t="shared" si="6"/>
        <v>0</v>
      </c>
    </row>
    <row r="131" spans="2:11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53"/>
      <c r="K131" s="37">
        <f t="shared" si="6"/>
        <v>0</v>
      </c>
    </row>
    <row r="132" spans="2:11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53"/>
      <c r="K132" s="37">
        <f t="shared" si="6"/>
        <v>0</v>
      </c>
    </row>
    <row r="133" spans="2:11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53"/>
      <c r="K133" s="37">
        <f t="shared" si="6"/>
        <v>0</v>
      </c>
    </row>
    <row r="134" spans="2:11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53"/>
      <c r="K134" s="37">
        <f t="shared" si="6"/>
        <v>0</v>
      </c>
    </row>
    <row r="135" spans="2:11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53"/>
      <c r="K135" s="37">
        <f t="shared" si="6"/>
        <v>0</v>
      </c>
    </row>
    <row r="136" spans="2:11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53"/>
      <c r="K136" s="37">
        <f t="shared" si="6"/>
        <v>0</v>
      </c>
    </row>
    <row r="137" spans="2:11" x14ac:dyDescent="0.2">
      <c r="B137" s="23">
        <v>20052721</v>
      </c>
      <c r="C137" s="22" t="s">
        <v>131</v>
      </c>
      <c r="D137" s="31"/>
      <c r="E137" s="31"/>
      <c r="F137" s="31"/>
      <c r="G137" s="31"/>
      <c r="H137" s="31"/>
      <c r="I137" s="31"/>
      <c r="J137" s="53"/>
      <c r="K137" s="37">
        <f t="shared" si="6"/>
        <v>0</v>
      </c>
    </row>
    <row r="138" spans="2:11" x14ac:dyDescent="0.2">
      <c r="C138" s="36"/>
      <c r="D138" s="38"/>
      <c r="E138" s="38"/>
      <c r="F138" s="38"/>
      <c r="G138" s="38"/>
      <c r="H138" s="38"/>
      <c r="I138" s="38"/>
      <c r="J138" s="38"/>
      <c r="K138" s="39"/>
    </row>
    <row r="139" spans="2:11" x14ac:dyDescent="0.2">
      <c r="C139" s="25"/>
      <c r="D139" s="32"/>
      <c r="E139" s="60"/>
      <c r="F139" s="60"/>
      <c r="G139" s="27"/>
      <c r="K139" s="39"/>
    </row>
    <row r="140" spans="2:11" x14ac:dyDescent="0.2">
      <c r="B140" s="60" t="s">
        <v>104</v>
      </c>
      <c r="C140" s="60"/>
      <c r="D140" s="33"/>
      <c r="E140" s="58"/>
      <c r="F140" s="58"/>
      <c r="G140" s="28"/>
      <c r="H140" s="27"/>
      <c r="I140" s="60" t="s">
        <v>104</v>
      </c>
      <c r="J140" s="60"/>
      <c r="K140" s="60"/>
    </row>
    <row r="141" spans="2:11" x14ac:dyDescent="0.2">
      <c r="B141" s="58" t="s">
        <v>105</v>
      </c>
      <c r="C141" s="58"/>
      <c r="D141" s="34"/>
      <c r="E141" s="34"/>
      <c r="F141" s="34"/>
      <c r="G141" s="34"/>
      <c r="H141" s="34"/>
      <c r="I141" s="58" t="s">
        <v>106</v>
      </c>
      <c r="J141" s="58"/>
      <c r="K141" s="58"/>
    </row>
    <row r="142" spans="2:11" x14ac:dyDescent="0.2">
      <c r="B142" s="32"/>
      <c r="C142" s="32"/>
      <c r="D142" s="34"/>
      <c r="E142" s="34"/>
      <c r="F142" s="34"/>
      <c r="G142" s="34"/>
      <c r="H142" s="34"/>
      <c r="I142" s="32"/>
      <c r="J142" s="32"/>
      <c r="K142" s="35"/>
    </row>
    <row r="143" spans="2:11" ht="14.25" x14ac:dyDescent="0.2">
      <c r="B143" s="32"/>
      <c r="C143" s="32"/>
      <c r="D143" s="32"/>
      <c r="E143" s="32"/>
      <c r="F143" s="32"/>
      <c r="G143" s="32"/>
      <c r="H143" s="32"/>
      <c r="I143" s="32"/>
      <c r="J143" s="32"/>
      <c r="K143" s="35"/>
    </row>
    <row r="144" spans="2:11" ht="14.25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5"/>
    </row>
    <row r="145" spans="2:11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5"/>
    </row>
    <row r="146" spans="2:11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5"/>
    </row>
    <row r="147" spans="2:11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5"/>
    </row>
    <row r="148" spans="2:11" x14ac:dyDescent="0.2">
      <c r="D148" s="32"/>
      <c r="E148" s="32"/>
      <c r="F148" s="32"/>
      <c r="G148" s="32"/>
      <c r="H148" s="32"/>
    </row>
    <row r="149" spans="2:11" x14ac:dyDescent="0.2">
      <c r="D149" s="32"/>
      <c r="E149" s="32"/>
      <c r="F149" s="32"/>
      <c r="G149" s="32"/>
      <c r="H149" s="32"/>
    </row>
    <row r="150" spans="2:11" x14ac:dyDescent="0.2">
      <c r="D150" s="32"/>
      <c r="E150" s="32"/>
      <c r="F150" s="32"/>
      <c r="G150" s="32"/>
      <c r="H150" s="32"/>
    </row>
    <row r="151" spans="2:11" x14ac:dyDescent="0.2">
      <c r="D151" s="32"/>
      <c r="E151" s="32"/>
      <c r="F151" s="32"/>
      <c r="G151" s="32"/>
      <c r="H151" s="32"/>
    </row>
    <row r="152" spans="2:11" x14ac:dyDescent="0.2">
      <c r="D152" s="32"/>
      <c r="E152" s="32"/>
      <c r="F152" s="32"/>
      <c r="G152" s="32"/>
      <c r="H152" s="32"/>
    </row>
    <row r="153" spans="2:11" x14ac:dyDescent="0.2">
      <c r="D153" s="32"/>
      <c r="E153" s="32"/>
      <c r="F153" s="32"/>
      <c r="G153" s="32"/>
      <c r="H153" s="32"/>
    </row>
    <row r="154" spans="2:11" x14ac:dyDescent="0.2">
      <c r="D154" s="32"/>
      <c r="E154" s="32"/>
      <c r="F154" s="32"/>
      <c r="G154" s="32"/>
      <c r="H154" s="32"/>
    </row>
    <row r="155" spans="2:11" x14ac:dyDescent="0.2">
      <c r="D155" s="32"/>
      <c r="E155" s="32"/>
      <c r="F155" s="32"/>
      <c r="G155" s="32"/>
      <c r="H155" s="32"/>
    </row>
    <row r="156" spans="2:11" x14ac:dyDescent="0.2">
      <c r="D156" s="32"/>
      <c r="E156" s="32"/>
      <c r="F156" s="32"/>
      <c r="G156" s="32"/>
      <c r="H156" s="32"/>
    </row>
    <row r="157" spans="2:11" x14ac:dyDescent="0.2">
      <c r="D157" s="32"/>
      <c r="E157" s="32"/>
      <c r="F157" s="32"/>
      <c r="G157" s="32"/>
      <c r="H157" s="32"/>
    </row>
    <row r="158" spans="2:11" x14ac:dyDescent="0.2">
      <c r="D158" s="32"/>
      <c r="E158" s="32"/>
      <c r="F158" s="32"/>
      <c r="G158" s="32"/>
      <c r="H158" s="32"/>
    </row>
  </sheetData>
  <mergeCells count="15">
    <mergeCell ref="B6:K6"/>
    <mergeCell ref="B1:K1"/>
    <mergeCell ref="B2:C3"/>
    <mergeCell ref="E2:F3"/>
    <mergeCell ref="E139:F139"/>
    <mergeCell ref="B68:K68"/>
    <mergeCell ref="B78:K78"/>
    <mergeCell ref="B89:K89"/>
    <mergeCell ref="B101:K101"/>
    <mergeCell ref="B113:K113"/>
    <mergeCell ref="B141:C141"/>
    <mergeCell ref="I141:K141"/>
    <mergeCell ref="B140:C140"/>
    <mergeCell ref="E140:F140"/>
    <mergeCell ref="I140:K140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R160"/>
  <sheetViews>
    <sheetView tabSelected="1" zoomScale="50" zoomScaleNormal="50" workbookViewId="0">
      <selection activeCell="M40" sqref="M40:M45"/>
    </sheetView>
  </sheetViews>
  <sheetFormatPr defaultRowHeight="22.5" x14ac:dyDescent="0.2"/>
  <cols>
    <col min="2" max="2" width="22.125" style="24" customWidth="1"/>
    <col min="3" max="3" width="59.125" style="24" customWidth="1"/>
    <col min="4" max="10" width="14.375" style="16" customWidth="1"/>
    <col min="11" max="11" width="17.625" style="26" customWidth="1"/>
    <col min="12" max="12" width="16.125" style="24" customWidth="1"/>
    <col min="13" max="13" width="14.375" style="24" customWidth="1"/>
    <col min="14" max="14" width="15.375" style="24" customWidth="1"/>
    <col min="15" max="15" width="14.375" style="29" customWidth="1"/>
    <col min="16" max="16" width="9.125" customWidth="1"/>
    <col min="17" max="17" width="7.375" customWidth="1"/>
    <col min="18" max="18" width="22.75" customWidth="1"/>
  </cols>
  <sheetData>
    <row r="1" spans="2:15" x14ac:dyDescent="0.2">
      <c r="B1" s="61" t="s">
        <v>140</v>
      </c>
      <c r="C1" s="61"/>
      <c r="D1" s="61"/>
      <c r="E1" s="61"/>
      <c r="F1" s="61"/>
      <c r="G1" s="61"/>
      <c r="H1" s="61"/>
      <c r="I1" s="61"/>
      <c r="J1" s="61"/>
      <c r="K1" s="61"/>
    </row>
    <row r="2" spans="2:15" x14ac:dyDescent="0.2">
      <c r="B2" s="62"/>
      <c r="C2" s="66"/>
      <c r="D2" s="1"/>
      <c r="E2" s="67"/>
      <c r="F2" s="67"/>
      <c r="G2" s="2"/>
      <c r="H2" s="2"/>
      <c r="I2" s="2"/>
      <c r="J2" s="2"/>
      <c r="K2" s="3" t="s">
        <v>0</v>
      </c>
      <c r="L2" s="73" t="s">
        <v>127</v>
      </c>
      <c r="M2" s="73" t="s">
        <v>137</v>
      </c>
      <c r="N2" s="73" t="s">
        <v>130</v>
      </c>
      <c r="O2" s="69" t="s">
        <v>1</v>
      </c>
    </row>
    <row r="3" spans="2:15" x14ac:dyDescent="0.2">
      <c r="B3" s="62"/>
      <c r="C3" s="66"/>
      <c r="D3" s="4"/>
      <c r="E3" s="68"/>
      <c r="F3" s="68"/>
      <c r="G3" s="5"/>
      <c r="H3" s="5"/>
      <c r="I3" s="5"/>
      <c r="J3" s="51"/>
      <c r="K3" s="6" t="s">
        <v>2</v>
      </c>
      <c r="L3" s="74"/>
      <c r="M3" s="74"/>
      <c r="N3" s="74"/>
      <c r="O3" s="70"/>
    </row>
    <row r="4" spans="2:15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135</v>
      </c>
      <c r="I4" s="9" t="s">
        <v>9</v>
      </c>
      <c r="J4" s="52" t="s">
        <v>134</v>
      </c>
      <c r="K4" s="10" t="s">
        <v>10</v>
      </c>
      <c r="L4" s="75"/>
      <c r="M4" s="75"/>
      <c r="N4" s="75"/>
      <c r="O4" s="71"/>
    </row>
    <row r="5" spans="2:15" x14ac:dyDescent="0.2">
      <c r="B5" s="11"/>
      <c r="C5" s="12"/>
      <c r="D5" s="13"/>
      <c r="E5" s="9"/>
      <c r="F5" s="9"/>
      <c r="G5" s="9"/>
      <c r="H5" s="9"/>
      <c r="I5" s="9"/>
      <c r="J5" s="52"/>
      <c r="K5" s="14"/>
      <c r="L5" s="11"/>
      <c r="M5" s="11"/>
      <c r="N5" s="11"/>
      <c r="O5" s="30"/>
    </row>
    <row r="6" spans="2:15" ht="19.5" x14ac:dyDescent="0.2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72"/>
    </row>
    <row r="7" spans="2:15" x14ac:dyDescent="0.2">
      <c r="B7" s="11">
        <v>1111002</v>
      </c>
      <c r="C7" s="15" t="s">
        <v>107</v>
      </c>
      <c r="D7" s="31">
        <f>บ่าย!D7+'เช้า '!D7+'เย็น '!D7</f>
        <v>30</v>
      </c>
      <c r="E7" s="31">
        <f>บ่าย!E7+'เช้า '!E7+'เย็น '!E7</f>
        <v>52</v>
      </c>
      <c r="F7" s="31">
        <f>บ่าย!F7+'เช้า '!F7+'เย็น '!F7</f>
        <v>70</v>
      </c>
      <c r="G7" s="31">
        <f>บ่าย!G7+'เช้า '!G7+'เย็น '!G7</f>
        <v>2</v>
      </c>
      <c r="H7" s="31">
        <f>บ่าย!H7+'เช้า '!H7+'เย็น '!H7</f>
        <v>0</v>
      </c>
      <c r="I7" s="31">
        <f>บ่าย!I7+'เช้า '!I7+'เย็น '!I7</f>
        <v>0</v>
      </c>
      <c r="J7" s="31">
        <f>บ่าย!J7+'เช้า '!J7+'เย็น '!J7</f>
        <v>0</v>
      </c>
      <c r="K7" s="37">
        <f>SUM(D7:J7)</f>
        <v>154</v>
      </c>
      <c r="L7" s="11">
        <v>100</v>
      </c>
      <c r="M7" s="11"/>
      <c r="N7" s="11">
        <v>4</v>
      </c>
      <c r="O7" s="54">
        <f>(L7+M7+N7)-K7</f>
        <v>-50</v>
      </c>
    </row>
    <row r="8" spans="2:15" hidden="1" x14ac:dyDescent="0.2">
      <c r="B8" s="11"/>
      <c r="C8" s="15" t="s">
        <v>126</v>
      </c>
      <c r="D8" s="31">
        <f>บ่าย!D8+'เช้า '!D8+'เย็น '!D8</f>
        <v>0</v>
      </c>
      <c r="E8" s="31">
        <f>บ่าย!E8+'เช้า '!E8+'เย็น '!E8</f>
        <v>0</v>
      </c>
      <c r="F8" s="31">
        <f>บ่าย!F8+'เช้า '!F8+'เย็น '!F8</f>
        <v>0</v>
      </c>
      <c r="G8" s="31">
        <f>บ่าย!G8+'เช้า '!G8+'เย็น '!G8</f>
        <v>0</v>
      </c>
      <c r="H8" s="31">
        <f>บ่าย!H8+'เช้า '!H8+'เย็น '!H8</f>
        <v>0</v>
      </c>
      <c r="I8" s="31">
        <f>บ่าย!I8+'เช้า '!I8+'เย็น '!I8</f>
        <v>0</v>
      </c>
      <c r="J8" s="31">
        <f>บ่าย!J8+'เช้า '!J8+'เย็น '!J8</f>
        <v>0</v>
      </c>
      <c r="K8" s="37">
        <f t="shared" ref="K8:K67" si="0">SUM(D8:J8)</f>
        <v>0</v>
      </c>
      <c r="L8" s="11"/>
      <c r="M8" s="11"/>
      <c r="N8" s="11"/>
      <c r="O8" s="54">
        <f t="shared" ref="O8:O66" si="1">(L8+M8+N8)-K8</f>
        <v>0</v>
      </c>
    </row>
    <row r="9" spans="2:15" hidden="1" x14ac:dyDescent="0.2">
      <c r="B9" s="11">
        <v>1111084</v>
      </c>
      <c r="C9" s="15" t="s">
        <v>12</v>
      </c>
      <c r="D9" s="31">
        <f>บ่าย!D9+'เช้า '!D9+'เย็น '!D9</f>
        <v>0</v>
      </c>
      <c r="E9" s="31">
        <f>บ่าย!E9+'เช้า '!E9+'เย็น '!E9</f>
        <v>0</v>
      </c>
      <c r="F9" s="31">
        <f>บ่าย!F9+'เช้า '!F9+'เย็น '!F9</f>
        <v>0</v>
      </c>
      <c r="G9" s="31">
        <f>บ่าย!G9+'เช้า '!G9+'เย็น '!G9</f>
        <v>0</v>
      </c>
      <c r="H9" s="31">
        <f>บ่าย!H9+'เช้า '!H9+'เย็น '!H9</f>
        <v>0</v>
      </c>
      <c r="I9" s="31">
        <f>บ่าย!I9+'เช้า '!I9+'เย็น '!I9</f>
        <v>0</v>
      </c>
      <c r="J9" s="31">
        <f>บ่าย!J9+'เช้า '!J9+'เย็น '!J9</f>
        <v>0</v>
      </c>
      <c r="K9" s="37">
        <f t="shared" si="0"/>
        <v>0</v>
      </c>
      <c r="L9" s="11"/>
      <c r="M9" s="11"/>
      <c r="N9" s="11"/>
      <c r="O9" s="54">
        <f t="shared" si="1"/>
        <v>0</v>
      </c>
    </row>
    <row r="10" spans="2:15" hidden="1" x14ac:dyDescent="0.2">
      <c r="B10" s="11">
        <v>1111085</v>
      </c>
      <c r="C10" s="15" t="s">
        <v>13</v>
      </c>
      <c r="D10" s="31">
        <f>บ่าย!D10+'เช้า '!D10+'เย็น '!D10</f>
        <v>0</v>
      </c>
      <c r="E10" s="31">
        <f>บ่าย!E10+'เช้า '!E10+'เย็น '!E10</f>
        <v>0</v>
      </c>
      <c r="F10" s="31">
        <f>บ่าย!F10+'เช้า '!F10+'เย็น '!F10</f>
        <v>0</v>
      </c>
      <c r="G10" s="31">
        <f>บ่าย!G10+'เช้า '!G10+'เย็น '!G10</f>
        <v>0</v>
      </c>
      <c r="H10" s="31">
        <f>บ่าย!H10+'เช้า '!H10+'เย็น '!H10</f>
        <v>0</v>
      </c>
      <c r="I10" s="31">
        <f>บ่าย!I10+'เช้า '!I10+'เย็น '!I10</f>
        <v>0</v>
      </c>
      <c r="J10" s="31">
        <f>บ่าย!J10+'เช้า '!J10+'เย็น '!J10</f>
        <v>0</v>
      </c>
      <c r="K10" s="37">
        <f t="shared" si="0"/>
        <v>0</v>
      </c>
      <c r="L10" s="11"/>
      <c r="M10" s="11"/>
      <c r="N10" s="11"/>
      <c r="O10" s="54">
        <f t="shared" si="1"/>
        <v>0</v>
      </c>
    </row>
    <row r="11" spans="2:15" hidden="1" x14ac:dyDescent="0.2">
      <c r="B11" s="11">
        <v>1111086</v>
      </c>
      <c r="C11" s="15" t="s">
        <v>14</v>
      </c>
      <c r="D11" s="31">
        <f>บ่าย!D11+'เช้า '!D11+'เย็น '!D11</f>
        <v>0</v>
      </c>
      <c r="E11" s="31">
        <f>บ่าย!E11+'เช้า '!E11+'เย็น '!E11</f>
        <v>0</v>
      </c>
      <c r="F11" s="31">
        <f>บ่าย!F11+'เช้า '!F11+'เย็น '!F11</f>
        <v>0</v>
      </c>
      <c r="G11" s="31">
        <f>บ่าย!G11+'เช้า '!G11+'เย็น '!G11</f>
        <v>0</v>
      </c>
      <c r="H11" s="31">
        <f>บ่าย!H11+'เช้า '!H11+'เย็น '!H11</f>
        <v>0</v>
      </c>
      <c r="I11" s="31">
        <f>บ่าย!I11+'เช้า '!I11+'เย็น '!I11</f>
        <v>0</v>
      </c>
      <c r="J11" s="31">
        <f>บ่าย!J11+'เช้า '!J11+'เย็น '!J11</f>
        <v>0</v>
      </c>
      <c r="K11" s="37">
        <f t="shared" si="0"/>
        <v>0</v>
      </c>
      <c r="L11" s="11"/>
      <c r="M11" s="11"/>
      <c r="N11" s="11"/>
      <c r="O11" s="54">
        <f t="shared" si="1"/>
        <v>0</v>
      </c>
    </row>
    <row r="12" spans="2:15" hidden="1" x14ac:dyDescent="0.2">
      <c r="B12" s="11">
        <v>1111087</v>
      </c>
      <c r="C12" s="15" t="s">
        <v>15</v>
      </c>
      <c r="D12" s="31">
        <f>บ่าย!D12+'เช้า '!D12+'เย็น '!D12</f>
        <v>0</v>
      </c>
      <c r="E12" s="31">
        <f>บ่าย!E12+'เช้า '!E12+'เย็น '!E12</f>
        <v>0</v>
      </c>
      <c r="F12" s="31">
        <f>บ่าย!F12+'เช้า '!F12+'เย็น '!F12</f>
        <v>0</v>
      </c>
      <c r="G12" s="31">
        <f>บ่าย!G12+'เช้า '!G12+'เย็น '!G12</f>
        <v>0</v>
      </c>
      <c r="H12" s="31">
        <f>บ่าย!H12+'เช้า '!H12+'เย็น '!H12</f>
        <v>0</v>
      </c>
      <c r="I12" s="31">
        <f>บ่าย!I12+'เช้า '!I12+'เย็น '!I12</f>
        <v>0</v>
      </c>
      <c r="J12" s="31">
        <f>บ่าย!J12+'เช้า '!J12+'เย็น '!J12</f>
        <v>0</v>
      </c>
      <c r="K12" s="37">
        <f t="shared" si="0"/>
        <v>0</v>
      </c>
      <c r="L12" s="11"/>
      <c r="M12" s="11"/>
      <c r="N12" s="11"/>
      <c r="O12" s="54">
        <f t="shared" si="1"/>
        <v>0</v>
      </c>
    </row>
    <row r="13" spans="2:15" hidden="1" x14ac:dyDescent="0.2">
      <c r="B13" s="11">
        <v>1111088</v>
      </c>
      <c r="C13" s="15" t="s">
        <v>16</v>
      </c>
      <c r="D13" s="31">
        <f>บ่าย!D13+'เช้า '!D13+'เย็น '!D13</f>
        <v>0</v>
      </c>
      <c r="E13" s="31">
        <f>บ่าย!E13+'เช้า '!E13+'เย็น '!E13</f>
        <v>0</v>
      </c>
      <c r="F13" s="31">
        <f>บ่าย!F13+'เช้า '!F13+'เย็น '!F13</f>
        <v>0</v>
      </c>
      <c r="G13" s="31">
        <f>บ่าย!G13+'เช้า '!G13+'เย็น '!G13</f>
        <v>0</v>
      </c>
      <c r="H13" s="31">
        <f>บ่าย!H13+'เช้า '!H13+'เย็น '!H13</f>
        <v>0</v>
      </c>
      <c r="I13" s="31">
        <f>บ่าย!I13+'เช้า '!I13+'เย็น '!I13</f>
        <v>0</v>
      </c>
      <c r="J13" s="31">
        <f>บ่าย!J13+'เช้า '!J13+'เย็น '!J13</f>
        <v>0</v>
      </c>
      <c r="K13" s="37">
        <f t="shared" si="0"/>
        <v>0</v>
      </c>
      <c r="L13" s="11"/>
      <c r="M13" s="11"/>
      <c r="N13" s="11"/>
      <c r="O13" s="54">
        <f t="shared" si="1"/>
        <v>0</v>
      </c>
    </row>
    <row r="14" spans="2:15" hidden="1" x14ac:dyDescent="0.2">
      <c r="B14" s="11">
        <v>1111089</v>
      </c>
      <c r="C14" s="15" t="s">
        <v>17</v>
      </c>
      <c r="D14" s="31">
        <f>บ่าย!D14+'เช้า '!D14+'เย็น '!D14</f>
        <v>0</v>
      </c>
      <c r="E14" s="31">
        <f>บ่าย!E14+'เช้า '!E14+'เย็น '!E14</f>
        <v>0</v>
      </c>
      <c r="F14" s="31">
        <f>บ่าย!F14+'เช้า '!F14+'เย็น '!F14</f>
        <v>0</v>
      </c>
      <c r="G14" s="31">
        <f>บ่าย!G14+'เช้า '!G14+'เย็น '!G14</f>
        <v>0</v>
      </c>
      <c r="H14" s="31">
        <f>บ่าย!H14+'เช้า '!H14+'เย็น '!H14</f>
        <v>0</v>
      </c>
      <c r="I14" s="31">
        <f>บ่าย!I14+'เช้า '!I14+'เย็น '!I14</f>
        <v>0</v>
      </c>
      <c r="J14" s="31">
        <f>บ่าย!J14+'เช้า '!J14+'เย็น '!J14</f>
        <v>0</v>
      </c>
      <c r="K14" s="37">
        <f t="shared" si="0"/>
        <v>0</v>
      </c>
      <c r="L14" s="11"/>
      <c r="M14" s="11"/>
      <c r="N14" s="11"/>
      <c r="O14" s="54">
        <f t="shared" si="1"/>
        <v>0</v>
      </c>
    </row>
    <row r="15" spans="2:15" hidden="1" x14ac:dyDescent="0.2">
      <c r="B15" s="11">
        <v>1111090</v>
      </c>
      <c r="C15" s="15" t="s">
        <v>18</v>
      </c>
      <c r="D15" s="31">
        <f>บ่าย!D15+'เช้า '!D15+'เย็น '!D15</f>
        <v>0</v>
      </c>
      <c r="E15" s="31">
        <f>บ่าย!E15+'เช้า '!E15+'เย็น '!E15</f>
        <v>0</v>
      </c>
      <c r="F15" s="31">
        <f>บ่าย!F15+'เช้า '!F15+'เย็น '!F15</f>
        <v>0</v>
      </c>
      <c r="G15" s="31">
        <f>บ่าย!G15+'เช้า '!G15+'เย็น '!G15</f>
        <v>0</v>
      </c>
      <c r="H15" s="31">
        <f>บ่าย!H15+'เช้า '!H15+'เย็น '!H15</f>
        <v>0</v>
      </c>
      <c r="I15" s="31">
        <f>บ่าย!I15+'เช้า '!I15+'เย็น '!I15</f>
        <v>0</v>
      </c>
      <c r="J15" s="31">
        <f>บ่าย!J15+'เช้า '!J15+'เย็น '!J15</f>
        <v>0</v>
      </c>
      <c r="K15" s="37">
        <f t="shared" si="0"/>
        <v>0</v>
      </c>
      <c r="L15" s="11"/>
      <c r="M15" s="11"/>
      <c r="N15" s="11"/>
      <c r="O15" s="54">
        <f t="shared" si="1"/>
        <v>0</v>
      </c>
    </row>
    <row r="16" spans="2:15" hidden="1" x14ac:dyDescent="0.2">
      <c r="B16" s="11">
        <v>1111091</v>
      </c>
      <c r="C16" s="15" t="s">
        <v>19</v>
      </c>
      <c r="D16" s="31">
        <f>บ่าย!D16+'เช้า '!D16+'เย็น '!D16</f>
        <v>0</v>
      </c>
      <c r="E16" s="31">
        <f>บ่าย!E16+'เช้า '!E16+'เย็น '!E16</f>
        <v>0</v>
      </c>
      <c r="F16" s="31">
        <f>บ่าย!F16+'เช้า '!F16+'เย็น '!F16</f>
        <v>0</v>
      </c>
      <c r="G16" s="31">
        <f>บ่าย!G16+'เช้า '!G16+'เย็น '!G16</f>
        <v>0</v>
      </c>
      <c r="H16" s="31">
        <f>บ่าย!H16+'เช้า '!H16+'เย็น '!H16</f>
        <v>0</v>
      </c>
      <c r="I16" s="31">
        <f>บ่าย!I16+'เช้า '!I16+'เย็น '!I16</f>
        <v>0</v>
      </c>
      <c r="J16" s="31">
        <f>บ่าย!J16+'เช้า '!J16+'เย็น '!J16</f>
        <v>0</v>
      </c>
      <c r="K16" s="37">
        <f t="shared" si="0"/>
        <v>0</v>
      </c>
      <c r="L16" s="11"/>
      <c r="M16" s="11"/>
      <c r="N16" s="11"/>
      <c r="O16" s="54">
        <f t="shared" si="1"/>
        <v>0</v>
      </c>
    </row>
    <row r="17" spans="2:15" hidden="1" x14ac:dyDescent="0.2">
      <c r="B17" s="11">
        <v>1111092</v>
      </c>
      <c r="C17" s="15" t="s">
        <v>20</v>
      </c>
      <c r="D17" s="31">
        <f>บ่าย!D17+'เช้า '!D17+'เย็น '!D17</f>
        <v>0</v>
      </c>
      <c r="E17" s="31">
        <f>บ่าย!E17+'เช้า '!E17+'เย็น '!E17</f>
        <v>0</v>
      </c>
      <c r="F17" s="31">
        <f>บ่าย!F17+'เช้า '!F17+'เย็น '!F17</f>
        <v>0</v>
      </c>
      <c r="G17" s="31">
        <f>บ่าย!G17+'เช้า '!G17+'เย็น '!G17</f>
        <v>0</v>
      </c>
      <c r="H17" s="31">
        <f>บ่าย!H17+'เช้า '!H17+'เย็น '!H17</f>
        <v>0</v>
      </c>
      <c r="I17" s="31">
        <f>บ่าย!I17+'เช้า '!I17+'เย็น '!I17</f>
        <v>0</v>
      </c>
      <c r="J17" s="31">
        <f>บ่าย!J17+'เช้า '!J17+'เย็น '!J17</f>
        <v>0</v>
      </c>
      <c r="K17" s="37">
        <f t="shared" si="0"/>
        <v>0</v>
      </c>
      <c r="L17" s="11"/>
      <c r="M17" s="11"/>
      <c r="N17" s="11"/>
      <c r="O17" s="54">
        <f t="shared" si="1"/>
        <v>0</v>
      </c>
    </row>
    <row r="18" spans="2:15" hidden="1" x14ac:dyDescent="0.2">
      <c r="B18" s="11">
        <v>1111093</v>
      </c>
      <c r="C18" s="15" t="s">
        <v>21</v>
      </c>
      <c r="D18" s="31">
        <f>บ่าย!D18+'เช้า '!D18+'เย็น '!D18</f>
        <v>0</v>
      </c>
      <c r="E18" s="31">
        <f>บ่าย!E18+'เช้า '!E18+'เย็น '!E18</f>
        <v>0</v>
      </c>
      <c r="F18" s="31">
        <f>บ่าย!F18+'เช้า '!F18+'เย็น '!F18</f>
        <v>0</v>
      </c>
      <c r="G18" s="31">
        <f>บ่าย!G18+'เช้า '!G18+'เย็น '!G18</f>
        <v>0</v>
      </c>
      <c r="H18" s="31">
        <f>บ่าย!H18+'เช้า '!H18+'เย็น '!H18</f>
        <v>0</v>
      </c>
      <c r="I18" s="31">
        <f>บ่าย!I18+'เช้า '!I18+'เย็น '!I18</f>
        <v>0</v>
      </c>
      <c r="J18" s="31">
        <f>บ่าย!J18+'เช้า '!J18+'เย็น '!J18</f>
        <v>0</v>
      </c>
      <c r="K18" s="37">
        <f t="shared" si="0"/>
        <v>0</v>
      </c>
      <c r="L18" s="11"/>
      <c r="M18" s="11"/>
      <c r="N18" s="11"/>
      <c r="O18" s="54">
        <f t="shared" si="1"/>
        <v>0</v>
      </c>
    </row>
    <row r="19" spans="2:15" hidden="1" x14ac:dyDescent="0.2">
      <c r="B19" s="11">
        <v>1111094</v>
      </c>
      <c r="C19" s="15" t="s">
        <v>22</v>
      </c>
      <c r="D19" s="31">
        <f>บ่าย!D19+'เช้า '!D19+'เย็น '!D19</f>
        <v>0</v>
      </c>
      <c r="E19" s="31">
        <f>บ่าย!E19+'เช้า '!E19+'เย็น '!E19</f>
        <v>0</v>
      </c>
      <c r="F19" s="31">
        <f>บ่าย!F19+'เช้า '!F19+'เย็น '!F19</f>
        <v>0</v>
      </c>
      <c r="G19" s="31">
        <f>บ่าย!G19+'เช้า '!G19+'เย็น '!G19</f>
        <v>0</v>
      </c>
      <c r="H19" s="31">
        <f>บ่าย!H19+'เช้า '!H19+'เย็น '!H19</f>
        <v>0</v>
      </c>
      <c r="I19" s="31">
        <f>บ่าย!I19+'เช้า '!I19+'เย็น '!I19</f>
        <v>0</v>
      </c>
      <c r="J19" s="31">
        <f>บ่าย!J19+'เช้า '!J19+'เย็น '!J19</f>
        <v>0</v>
      </c>
      <c r="K19" s="37">
        <f t="shared" si="0"/>
        <v>0</v>
      </c>
      <c r="L19" s="11"/>
      <c r="M19" s="11"/>
      <c r="N19" s="11"/>
      <c r="O19" s="54">
        <f t="shared" si="1"/>
        <v>0</v>
      </c>
    </row>
    <row r="20" spans="2:15" hidden="1" x14ac:dyDescent="0.2">
      <c r="B20" s="11">
        <v>1111095</v>
      </c>
      <c r="C20" s="15" t="s">
        <v>23</v>
      </c>
      <c r="D20" s="31">
        <f>บ่าย!D20+'เช้า '!D20+'เย็น '!D20</f>
        <v>0</v>
      </c>
      <c r="E20" s="31">
        <f>บ่าย!E20+'เช้า '!E20+'เย็น '!E20</f>
        <v>0</v>
      </c>
      <c r="F20" s="31">
        <f>บ่าย!F20+'เช้า '!F20+'เย็น '!F20</f>
        <v>0</v>
      </c>
      <c r="G20" s="31">
        <f>บ่าย!G20+'เช้า '!G20+'เย็น '!G20</f>
        <v>0</v>
      </c>
      <c r="H20" s="31">
        <f>บ่าย!H20+'เช้า '!H20+'เย็น '!H20</f>
        <v>0</v>
      </c>
      <c r="I20" s="31">
        <f>บ่าย!I20+'เช้า '!I20+'เย็น '!I20</f>
        <v>0</v>
      </c>
      <c r="J20" s="31">
        <f>บ่าย!J20+'เช้า '!J20+'เย็น '!J20</f>
        <v>0</v>
      </c>
      <c r="K20" s="37">
        <f t="shared" si="0"/>
        <v>0</v>
      </c>
      <c r="L20" s="11"/>
      <c r="M20" s="11"/>
      <c r="N20" s="11"/>
      <c r="O20" s="54">
        <f t="shared" si="1"/>
        <v>0</v>
      </c>
    </row>
    <row r="21" spans="2:15" hidden="1" x14ac:dyDescent="0.2">
      <c r="B21" s="11">
        <v>1111096</v>
      </c>
      <c r="C21" s="15" t="s">
        <v>24</v>
      </c>
      <c r="D21" s="31">
        <f>บ่าย!D21+'เช้า '!D21+'เย็น '!D21</f>
        <v>0</v>
      </c>
      <c r="E21" s="31">
        <f>บ่าย!E21+'เช้า '!E21+'เย็น '!E21</f>
        <v>0</v>
      </c>
      <c r="F21" s="31">
        <f>บ่าย!F21+'เช้า '!F21+'เย็น '!F21</f>
        <v>0</v>
      </c>
      <c r="G21" s="31">
        <f>บ่าย!G21+'เช้า '!G21+'เย็น '!G21</f>
        <v>0</v>
      </c>
      <c r="H21" s="31">
        <f>บ่าย!H21+'เช้า '!H21+'เย็น '!H21</f>
        <v>0</v>
      </c>
      <c r="I21" s="31">
        <f>บ่าย!I21+'เช้า '!I21+'เย็น '!I21</f>
        <v>0</v>
      </c>
      <c r="J21" s="31">
        <f>บ่าย!J21+'เช้า '!J21+'เย็น '!J21</f>
        <v>0</v>
      </c>
      <c r="K21" s="37">
        <f t="shared" si="0"/>
        <v>0</v>
      </c>
      <c r="L21" s="11"/>
      <c r="M21" s="11"/>
      <c r="N21" s="11"/>
      <c r="O21" s="54">
        <f t="shared" si="1"/>
        <v>0</v>
      </c>
    </row>
    <row r="22" spans="2:15" hidden="1" x14ac:dyDescent="0.2">
      <c r="B22" s="11">
        <v>1111097</v>
      </c>
      <c r="C22" s="15" t="s">
        <v>25</v>
      </c>
      <c r="D22" s="31">
        <f>บ่าย!D22+'เช้า '!D22+'เย็น '!D22</f>
        <v>0</v>
      </c>
      <c r="E22" s="31">
        <f>บ่าย!E22+'เช้า '!E22+'เย็น '!E22</f>
        <v>0</v>
      </c>
      <c r="F22" s="31">
        <f>บ่าย!F22+'เช้า '!F22+'เย็น '!F22</f>
        <v>0</v>
      </c>
      <c r="G22" s="31">
        <f>บ่าย!G22+'เช้า '!G22+'เย็น '!G22</f>
        <v>0</v>
      </c>
      <c r="H22" s="31">
        <f>บ่าย!H22+'เช้า '!H22+'เย็น '!H22</f>
        <v>0</v>
      </c>
      <c r="I22" s="31">
        <f>บ่าย!I22+'เช้า '!I22+'เย็น '!I22</f>
        <v>0</v>
      </c>
      <c r="J22" s="31">
        <f>บ่าย!J22+'เช้า '!J22+'เย็น '!J22</f>
        <v>0</v>
      </c>
      <c r="K22" s="37">
        <f t="shared" si="0"/>
        <v>0</v>
      </c>
      <c r="L22" s="11"/>
      <c r="M22" s="11"/>
      <c r="N22" s="11"/>
      <c r="O22" s="54">
        <f t="shared" si="1"/>
        <v>0</v>
      </c>
    </row>
    <row r="23" spans="2:15" hidden="1" x14ac:dyDescent="0.2">
      <c r="B23" s="11">
        <v>1111098</v>
      </c>
      <c r="C23" s="15" t="s">
        <v>26</v>
      </c>
      <c r="D23" s="31">
        <f>บ่าย!D23+'เช้า '!D23+'เย็น '!D23</f>
        <v>0</v>
      </c>
      <c r="E23" s="31">
        <f>บ่าย!E23+'เช้า '!E23+'เย็น '!E23</f>
        <v>0</v>
      </c>
      <c r="F23" s="31">
        <f>บ่าย!F23+'เช้า '!F23+'เย็น '!F23</f>
        <v>0</v>
      </c>
      <c r="G23" s="31">
        <f>บ่าย!G23+'เช้า '!G23+'เย็น '!G23</f>
        <v>0</v>
      </c>
      <c r="H23" s="31">
        <f>บ่าย!H23+'เช้า '!H23+'เย็น '!H23</f>
        <v>0</v>
      </c>
      <c r="I23" s="31">
        <f>บ่าย!I23+'เช้า '!I23+'เย็น '!I23</f>
        <v>0</v>
      </c>
      <c r="J23" s="31">
        <f>บ่าย!J23+'เช้า '!J23+'เย็น '!J23</f>
        <v>0</v>
      </c>
      <c r="K23" s="37">
        <f t="shared" si="0"/>
        <v>0</v>
      </c>
      <c r="L23" s="11"/>
      <c r="M23" s="11"/>
      <c r="N23" s="11"/>
      <c r="O23" s="54">
        <f t="shared" si="1"/>
        <v>0</v>
      </c>
    </row>
    <row r="24" spans="2:15" hidden="1" x14ac:dyDescent="0.2">
      <c r="B24" s="11">
        <v>1111043</v>
      </c>
      <c r="C24" s="15" t="s">
        <v>27</v>
      </c>
      <c r="D24" s="31">
        <f>บ่าย!D24+'เช้า '!D24+'เย็น '!D24</f>
        <v>0</v>
      </c>
      <c r="E24" s="31">
        <f>บ่าย!E24+'เช้า '!E24+'เย็น '!E24</f>
        <v>0</v>
      </c>
      <c r="F24" s="31">
        <f>บ่าย!F24+'เช้า '!F24+'เย็น '!F24</f>
        <v>0</v>
      </c>
      <c r="G24" s="31">
        <f>บ่าย!G24+'เช้า '!G24+'เย็น '!G24</f>
        <v>0</v>
      </c>
      <c r="H24" s="31">
        <f>บ่าย!H24+'เช้า '!H24+'เย็น '!H24</f>
        <v>0</v>
      </c>
      <c r="I24" s="31">
        <f>บ่าย!I24+'เช้า '!I24+'เย็น '!I24</f>
        <v>0</v>
      </c>
      <c r="J24" s="31">
        <f>บ่าย!J24+'เช้า '!J24+'เย็น '!J24</f>
        <v>0</v>
      </c>
      <c r="K24" s="37">
        <f t="shared" si="0"/>
        <v>0</v>
      </c>
      <c r="L24" s="11"/>
      <c r="M24" s="11"/>
      <c r="N24" s="11"/>
      <c r="O24" s="54">
        <f t="shared" si="1"/>
        <v>0</v>
      </c>
    </row>
    <row r="25" spans="2:15" x14ac:dyDescent="0.2">
      <c r="B25" s="11">
        <v>1111056</v>
      </c>
      <c r="C25" s="15" t="s">
        <v>28</v>
      </c>
      <c r="D25" s="31">
        <f>บ่าย!D25+'เช้า '!D25+'เย็น '!D25</f>
        <v>0</v>
      </c>
      <c r="E25" s="31">
        <f>บ่าย!E25+'เช้า '!E25+'เย็น '!E25</f>
        <v>4</v>
      </c>
      <c r="F25" s="31">
        <f>บ่าย!F25+'เช้า '!F25+'เย็น '!F25</f>
        <v>19</v>
      </c>
      <c r="G25" s="31">
        <f>บ่าย!G25+'เช้า '!G25+'เย็น '!G25</f>
        <v>1</v>
      </c>
      <c r="H25" s="31">
        <f>บ่าย!H25+'เช้า '!H25+'เย็น '!H25</f>
        <v>0</v>
      </c>
      <c r="I25" s="31">
        <f>บ่าย!I25+'เช้า '!I25+'เย็น '!I25</f>
        <v>0</v>
      </c>
      <c r="J25" s="31">
        <f>บ่าย!J25+'เช้า '!J25+'เย็น '!J25</f>
        <v>0</v>
      </c>
      <c r="K25" s="37">
        <f t="shared" si="0"/>
        <v>24</v>
      </c>
      <c r="L25" s="11">
        <v>15</v>
      </c>
      <c r="M25" s="11"/>
      <c r="N25" s="11">
        <v>2</v>
      </c>
      <c r="O25" s="54">
        <f t="shared" si="1"/>
        <v>-7</v>
      </c>
    </row>
    <row r="26" spans="2:15" x14ac:dyDescent="0.2">
      <c r="B26" s="11">
        <v>1004055</v>
      </c>
      <c r="C26" s="15" t="s">
        <v>108</v>
      </c>
      <c r="D26" s="31">
        <f>บ่าย!D26+'เช้า '!D26+'เย็น '!D26</f>
        <v>0</v>
      </c>
      <c r="E26" s="31">
        <f>บ่าย!E26+'เช้า '!E26+'เย็น '!E26</f>
        <v>6</v>
      </c>
      <c r="F26" s="31">
        <f>บ่าย!F26+'เช้า '!F26+'เย็น '!F26</f>
        <v>0</v>
      </c>
      <c r="G26" s="31">
        <f>บ่าย!G26+'เช้า '!G26+'เย็น '!G26</f>
        <v>74</v>
      </c>
      <c r="H26" s="31">
        <f>บ่าย!H26+'เช้า '!H26+'เย็น '!H26</f>
        <v>3</v>
      </c>
      <c r="I26" s="31">
        <f>บ่าย!I26+'เช้า '!I26+'เย็น '!I26</f>
        <v>0</v>
      </c>
      <c r="J26" s="31">
        <f>บ่าย!J26+'เช้า '!J26+'เย็น '!J26</f>
        <v>0</v>
      </c>
      <c r="K26" s="37">
        <f t="shared" si="0"/>
        <v>83</v>
      </c>
      <c r="L26" s="11">
        <v>100</v>
      </c>
      <c r="M26" s="11"/>
      <c r="N26" s="11">
        <v>60</v>
      </c>
      <c r="O26" s="54">
        <f t="shared" si="1"/>
        <v>77</v>
      </c>
    </row>
    <row r="27" spans="2:15" hidden="1" x14ac:dyDescent="0.2">
      <c r="B27" s="11">
        <v>1004055</v>
      </c>
      <c r="C27" s="15" t="s">
        <v>109</v>
      </c>
      <c r="D27" s="31">
        <f>บ่าย!D27+'เช้า '!D27+'เย็น '!D27</f>
        <v>0</v>
      </c>
      <c r="E27" s="31">
        <f>บ่าย!E27+'เช้า '!E27+'เย็น '!E27</f>
        <v>0</v>
      </c>
      <c r="F27" s="31">
        <f>บ่าย!F27+'เช้า '!F27+'เย็น '!F27</f>
        <v>0</v>
      </c>
      <c r="G27" s="31">
        <f>บ่าย!G27+'เช้า '!G27+'เย็น '!G27</f>
        <v>0</v>
      </c>
      <c r="H27" s="31">
        <f>บ่าย!H27+'เช้า '!H27+'เย็น '!H27</f>
        <v>0</v>
      </c>
      <c r="I27" s="31">
        <f>บ่าย!I27+'เช้า '!I27+'เย็น '!I27</f>
        <v>0</v>
      </c>
      <c r="J27" s="31">
        <f>บ่าย!J27+'เช้า '!J27+'เย็น '!J27</f>
        <v>0</v>
      </c>
      <c r="K27" s="37">
        <f t="shared" si="0"/>
        <v>0</v>
      </c>
      <c r="L27" s="11"/>
      <c r="M27" s="11"/>
      <c r="N27" s="11"/>
      <c r="O27" s="54">
        <f t="shared" si="1"/>
        <v>0</v>
      </c>
    </row>
    <row r="28" spans="2:15" hidden="1" x14ac:dyDescent="0.2">
      <c r="B28" s="11">
        <v>1004055</v>
      </c>
      <c r="C28" s="15" t="s">
        <v>110</v>
      </c>
      <c r="D28" s="31">
        <f>บ่าย!D28+'เช้า '!D28+'เย็น '!D28</f>
        <v>0</v>
      </c>
      <c r="E28" s="31">
        <f>บ่าย!E28+'เช้า '!E28+'เย็น '!E28</f>
        <v>0</v>
      </c>
      <c r="F28" s="31">
        <f>บ่าย!F28+'เช้า '!F28+'เย็น '!F28</f>
        <v>0</v>
      </c>
      <c r="G28" s="31">
        <f>บ่าย!G28+'เช้า '!G28+'เย็น '!G28</f>
        <v>0</v>
      </c>
      <c r="H28" s="31">
        <f>บ่าย!H28+'เช้า '!H28+'เย็น '!H28</f>
        <v>0</v>
      </c>
      <c r="I28" s="31">
        <f>บ่าย!I28+'เช้า '!I28+'เย็น '!I28</f>
        <v>0</v>
      </c>
      <c r="J28" s="31">
        <f>บ่าย!J28+'เช้า '!J28+'เย็น '!J28</f>
        <v>0</v>
      </c>
      <c r="K28" s="37">
        <f t="shared" si="0"/>
        <v>0</v>
      </c>
      <c r="L28" s="11"/>
      <c r="M28" s="11"/>
      <c r="N28" s="11"/>
      <c r="O28" s="54">
        <f t="shared" si="1"/>
        <v>0</v>
      </c>
    </row>
    <row r="29" spans="2:15" hidden="1" x14ac:dyDescent="0.2">
      <c r="B29" s="11">
        <v>1004055</v>
      </c>
      <c r="C29" s="15" t="s">
        <v>111</v>
      </c>
      <c r="D29" s="31">
        <f>บ่าย!D29+'เช้า '!D29+'เย็น '!D29</f>
        <v>0</v>
      </c>
      <c r="E29" s="31">
        <f>บ่าย!E29+'เช้า '!E29+'เย็น '!E29</f>
        <v>0</v>
      </c>
      <c r="F29" s="31">
        <f>บ่าย!F29+'เช้า '!F29+'เย็น '!F29</f>
        <v>0</v>
      </c>
      <c r="G29" s="31">
        <f>บ่าย!G29+'เช้า '!G29+'เย็น '!G29</f>
        <v>0</v>
      </c>
      <c r="H29" s="31">
        <f>บ่าย!H29+'เช้า '!H29+'เย็น '!H29</f>
        <v>0</v>
      </c>
      <c r="I29" s="31">
        <f>บ่าย!I29+'เช้า '!I29+'เย็น '!I29</f>
        <v>0</v>
      </c>
      <c r="J29" s="31">
        <f>บ่าย!J29+'เช้า '!J29+'เย็น '!J29</f>
        <v>0</v>
      </c>
      <c r="K29" s="37">
        <f t="shared" si="0"/>
        <v>0</v>
      </c>
      <c r="L29" s="11"/>
      <c r="M29" s="11"/>
      <c r="N29" s="11"/>
      <c r="O29" s="54">
        <f t="shared" si="1"/>
        <v>0</v>
      </c>
    </row>
    <row r="30" spans="2:15" hidden="1" x14ac:dyDescent="0.2">
      <c r="B30" s="11">
        <v>1004055</v>
      </c>
      <c r="C30" s="15" t="s">
        <v>112</v>
      </c>
      <c r="D30" s="31">
        <f>บ่าย!D30+'เช้า '!D30+'เย็น '!D30</f>
        <v>0</v>
      </c>
      <c r="E30" s="31">
        <f>บ่าย!E30+'เช้า '!E30+'เย็น '!E30</f>
        <v>0</v>
      </c>
      <c r="F30" s="31">
        <f>บ่าย!F30+'เช้า '!F30+'เย็น '!F30</f>
        <v>0</v>
      </c>
      <c r="G30" s="31">
        <f>บ่าย!G30+'เช้า '!G30+'เย็น '!G30</f>
        <v>0</v>
      </c>
      <c r="H30" s="31">
        <f>บ่าย!H30+'เช้า '!H30+'เย็น '!H30</f>
        <v>0</v>
      </c>
      <c r="I30" s="31">
        <f>บ่าย!I30+'เช้า '!I30+'เย็น '!I30</f>
        <v>0</v>
      </c>
      <c r="J30" s="31">
        <f>บ่าย!J30+'เช้า '!J30+'เย็น '!J30</f>
        <v>0</v>
      </c>
      <c r="K30" s="37">
        <f t="shared" si="0"/>
        <v>0</v>
      </c>
      <c r="L30" s="11"/>
      <c r="M30" s="11"/>
      <c r="N30" s="11"/>
      <c r="O30" s="54">
        <f t="shared" si="1"/>
        <v>0</v>
      </c>
    </row>
    <row r="31" spans="2:15" hidden="1" x14ac:dyDescent="0.2">
      <c r="B31" s="11">
        <v>1004055</v>
      </c>
      <c r="C31" s="15" t="s">
        <v>113</v>
      </c>
      <c r="D31" s="31">
        <f>บ่าย!D31+'เช้า '!D31+'เย็น '!D31</f>
        <v>0</v>
      </c>
      <c r="E31" s="31">
        <f>บ่าย!E31+'เช้า '!E31+'เย็น '!E31</f>
        <v>0</v>
      </c>
      <c r="F31" s="31">
        <f>บ่าย!F31+'เช้า '!F31+'เย็น '!F31</f>
        <v>0</v>
      </c>
      <c r="G31" s="31">
        <f>บ่าย!G31+'เช้า '!G31+'เย็น '!G31</f>
        <v>0</v>
      </c>
      <c r="H31" s="31">
        <f>บ่าย!H31+'เช้า '!H31+'เย็น '!H31</f>
        <v>0</v>
      </c>
      <c r="I31" s="31">
        <f>บ่าย!I31+'เช้า '!I31+'เย็น '!I31</f>
        <v>0</v>
      </c>
      <c r="J31" s="31">
        <f>บ่าย!J31+'เช้า '!J31+'เย็น '!J31</f>
        <v>0</v>
      </c>
      <c r="K31" s="37">
        <f t="shared" si="0"/>
        <v>0</v>
      </c>
      <c r="L31" s="11"/>
      <c r="M31" s="11"/>
      <c r="N31" s="11"/>
      <c r="O31" s="54">
        <f t="shared" si="1"/>
        <v>0</v>
      </c>
    </row>
    <row r="32" spans="2:15" hidden="1" x14ac:dyDescent="0.2">
      <c r="B32" s="11">
        <v>1004055</v>
      </c>
      <c r="C32" s="15" t="s">
        <v>114</v>
      </c>
      <c r="D32" s="31">
        <f>บ่าย!D32+'เช้า '!D32+'เย็น '!D32</f>
        <v>0</v>
      </c>
      <c r="E32" s="31">
        <f>บ่าย!E32+'เช้า '!E32+'เย็น '!E32</f>
        <v>0</v>
      </c>
      <c r="F32" s="31">
        <f>บ่าย!F32+'เช้า '!F32+'เย็น '!F32</f>
        <v>0</v>
      </c>
      <c r="G32" s="31">
        <f>บ่าย!G32+'เช้า '!G32+'เย็น '!G32</f>
        <v>0</v>
      </c>
      <c r="H32" s="31">
        <f>บ่าย!H32+'เช้า '!H32+'เย็น '!H32</f>
        <v>0</v>
      </c>
      <c r="I32" s="31">
        <f>บ่าย!I32+'เช้า '!I32+'เย็น '!I32</f>
        <v>0</v>
      </c>
      <c r="J32" s="31">
        <f>บ่าย!J32+'เช้า '!J32+'เย็น '!J32</f>
        <v>0</v>
      </c>
      <c r="K32" s="37">
        <f t="shared" si="0"/>
        <v>0</v>
      </c>
      <c r="L32" s="11"/>
      <c r="M32" s="11"/>
      <c r="N32" s="11"/>
      <c r="O32" s="54">
        <f t="shared" si="1"/>
        <v>0</v>
      </c>
    </row>
    <row r="33" spans="2:15" hidden="1" x14ac:dyDescent="0.2">
      <c r="B33" s="11">
        <v>1004055</v>
      </c>
      <c r="C33" s="15" t="s">
        <v>115</v>
      </c>
      <c r="D33" s="31">
        <f>บ่าย!D33+'เช้า '!D33+'เย็น '!D33</f>
        <v>0</v>
      </c>
      <c r="E33" s="31">
        <f>บ่าย!E33+'เช้า '!E33+'เย็น '!E33</f>
        <v>0</v>
      </c>
      <c r="F33" s="31">
        <f>บ่าย!F33+'เช้า '!F33+'เย็น '!F33</f>
        <v>0</v>
      </c>
      <c r="G33" s="31">
        <f>บ่าย!G33+'เช้า '!G33+'เย็น '!G33</f>
        <v>0</v>
      </c>
      <c r="H33" s="31">
        <f>บ่าย!H33+'เช้า '!H33+'เย็น '!H33</f>
        <v>0</v>
      </c>
      <c r="I33" s="31">
        <f>บ่าย!I33+'เช้า '!I33+'เย็น '!I33</f>
        <v>0</v>
      </c>
      <c r="J33" s="31">
        <f>บ่าย!J33+'เช้า '!J33+'เย็น '!J33</f>
        <v>0</v>
      </c>
      <c r="K33" s="37">
        <f t="shared" si="0"/>
        <v>0</v>
      </c>
      <c r="L33" s="11"/>
      <c r="M33" s="11"/>
      <c r="N33" s="11"/>
      <c r="O33" s="54">
        <f t="shared" si="1"/>
        <v>0</v>
      </c>
    </row>
    <row r="34" spans="2:15" hidden="1" x14ac:dyDescent="0.2">
      <c r="B34" s="11">
        <v>1004055</v>
      </c>
      <c r="C34" s="15" t="s">
        <v>29</v>
      </c>
      <c r="D34" s="31">
        <f>บ่าย!D34+'เช้า '!D34+'เย็น '!D34</f>
        <v>0</v>
      </c>
      <c r="E34" s="31">
        <f>บ่าย!E34+'เช้า '!E34+'เย็น '!E34</f>
        <v>0</v>
      </c>
      <c r="F34" s="31">
        <f>บ่าย!F34+'เช้า '!F34+'เย็น '!F34</f>
        <v>0</v>
      </c>
      <c r="G34" s="31">
        <f>บ่าย!G34+'เช้า '!G34+'เย็น '!G34</f>
        <v>0</v>
      </c>
      <c r="H34" s="31">
        <f>บ่าย!H34+'เช้า '!H34+'เย็น '!H34</f>
        <v>0</v>
      </c>
      <c r="I34" s="31">
        <f>บ่าย!I34+'เช้า '!I34+'เย็น '!I34</f>
        <v>0</v>
      </c>
      <c r="J34" s="31">
        <f>บ่าย!J34+'เช้า '!J34+'เย็น '!J34</f>
        <v>0</v>
      </c>
      <c r="K34" s="37">
        <f t="shared" si="0"/>
        <v>0</v>
      </c>
      <c r="L34" s="11"/>
      <c r="M34" s="11"/>
      <c r="N34" s="11"/>
      <c r="O34" s="54">
        <f t="shared" si="1"/>
        <v>0</v>
      </c>
    </row>
    <row r="35" spans="2:15" hidden="1" x14ac:dyDescent="0.2">
      <c r="B35" s="11">
        <v>1004055</v>
      </c>
      <c r="C35" s="15" t="s">
        <v>116</v>
      </c>
      <c r="D35" s="31">
        <f>บ่าย!D35+'เช้า '!D35+'เย็น '!D35</f>
        <v>0</v>
      </c>
      <c r="E35" s="31">
        <f>บ่าย!E35+'เช้า '!E35+'เย็น '!E35</f>
        <v>0</v>
      </c>
      <c r="F35" s="31">
        <f>บ่าย!F35+'เช้า '!F35+'เย็น '!F35</f>
        <v>0</v>
      </c>
      <c r="G35" s="31">
        <f>บ่าย!G35+'เช้า '!G35+'เย็น '!G35</f>
        <v>0</v>
      </c>
      <c r="H35" s="31">
        <f>บ่าย!H35+'เช้า '!H35+'เย็น '!H35</f>
        <v>0</v>
      </c>
      <c r="I35" s="31">
        <f>บ่าย!I35+'เช้า '!I35+'เย็น '!I35</f>
        <v>0</v>
      </c>
      <c r="J35" s="31">
        <f>บ่าย!J35+'เช้า '!J35+'เย็น '!J35</f>
        <v>0</v>
      </c>
      <c r="K35" s="37">
        <f t="shared" si="0"/>
        <v>0</v>
      </c>
      <c r="L35" s="11"/>
      <c r="M35" s="11"/>
      <c r="N35" s="11"/>
      <c r="O35" s="54">
        <f t="shared" si="1"/>
        <v>0</v>
      </c>
    </row>
    <row r="36" spans="2:15" hidden="1" x14ac:dyDescent="0.2">
      <c r="B36" s="11">
        <v>1004055</v>
      </c>
      <c r="C36" s="15" t="s">
        <v>117</v>
      </c>
      <c r="D36" s="31">
        <f>บ่าย!D36+'เช้า '!D36+'เย็น '!D36</f>
        <v>0</v>
      </c>
      <c r="E36" s="31">
        <f>บ่าย!E36+'เช้า '!E36+'เย็น '!E36</f>
        <v>0</v>
      </c>
      <c r="F36" s="31">
        <f>บ่าย!F36+'เช้า '!F36+'เย็น '!F36</f>
        <v>0</v>
      </c>
      <c r="G36" s="31">
        <f>บ่าย!G36+'เช้า '!G36+'เย็น '!G36</f>
        <v>0</v>
      </c>
      <c r="H36" s="31">
        <f>บ่าย!H36+'เช้า '!H36+'เย็น '!H36</f>
        <v>0</v>
      </c>
      <c r="I36" s="31">
        <f>บ่าย!I36+'เช้า '!I36+'เย็น '!I36</f>
        <v>0</v>
      </c>
      <c r="J36" s="31">
        <f>บ่าย!J36+'เช้า '!J36+'เย็น '!J36</f>
        <v>0</v>
      </c>
      <c r="K36" s="37">
        <f t="shared" si="0"/>
        <v>0</v>
      </c>
      <c r="L36" s="11"/>
      <c r="M36" s="11"/>
      <c r="N36" s="11"/>
      <c r="O36" s="54">
        <f t="shared" si="1"/>
        <v>0</v>
      </c>
    </row>
    <row r="37" spans="2:15" hidden="1" x14ac:dyDescent="0.2">
      <c r="B37" s="11">
        <v>1004055</v>
      </c>
      <c r="C37" s="15" t="s">
        <v>118</v>
      </c>
      <c r="D37" s="31">
        <f>บ่าย!D37+'เช้า '!D37+'เย็น '!D37</f>
        <v>0</v>
      </c>
      <c r="E37" s="31">
        <f>บ่าย!E37+'เช้า '!E37+'เย็น '!E37</f>
        <v>0</v>
      </c>
      <c r="F37" s="31">
        <f>บ่าย!F37+'เช้า '!F37+'เย็น '!F37</f>
        <v>0</v>
      </c>
      <c r="G37" s="31">
        <f>บ่าย!G37+'เช้า '!G37+'เย็น '!G37</f>
        <v>0</v>
      </c>
      <c r="H37" s="31">
        <f>บ่าย!H37+'เช้า '!H37+'เย็น '!H37</f>
        <v>0</v>
      </c>
      <c r="I37" s="31">
        <f>บ่าย!I37+'เช้า '!I37+'เย็น '!I37</f>
        <v>0</v>
      </c>
      <c r="J37" s="31">
        <f>บ่าย!J37+'เช้า '!J37+'เย็น '!J37</f>
        <v>0</v>
      </c>
      <c r="K37" s="37">
        <f t="shared" si="0"/>
        <v>0</v>
      </c>
      <c r="L37" s="11"/>
      <c r="M37" s="11"/>
      <c r="N37" s="11"/>
      <c r="O37" s="54">
        <f t="shared" si="1"/>
        <v>0</v>
      </c>
    </row>
    <row r="38" spans="2:15" hidden="1" x14ac:dyDescent="0.2">
      <c r="B38" s="11">
        <v>1004055</v>
      </c>
      <c r="C38" s="15" t="s">
        <v>119</v>
      </c>
      <c r="D38" s="31">
        <f>บ่าย!D38+'เช้า '!D38+'เย็น '!D38</f>
        <v>0</v>
      </c>
      <c r="E38" s="31">
        <f>บ่าย!E38+'เช้า '!E38+'เย็น '!E38</f>
        <v>0</v>
      </c>
      <c r="F38" s="31">
        <f>บ่าย!F38+'เช้า '!F38+'เย็น '!F38</f>
        <v>0</v>
      </c>
      <c r="G38" s="31">
        <f>บ่าย!G38+'เช้า '!G38+'เย็น '!G38</f>
        <v>0</v>
      </c>
      <c r="H38" s="31">
        <f>บ่าย!H38+'เช้า '!H38+'เย็น '!H38</f>
        <v>0</v>
      </c>
      <c r="I38" s="31">
        <f>บ่าย!I38+'เช้า '!I38+'เย็น '!I38</f>
        <v>0</v>
      </c>
      <c r="J38" s="31">
        <f>บ่าย!J38+'เช้า '!J38+'เย็น '!J38</f>
        <v>0</v>
      </c>
      <c r="K38" s="37">
        <f t="shared" si="0"/>
        <v>0</v>
      </c>
      <c r="L38" s="11"/>
      <c r="M38" s="11"/>
      <c r="N38" s="11"/>
      <c r="O38" s="54">
        <f t="shared" si="1"/>
        <v>0</v>
      </c>
    </row>
    <row r="39" spans="2:15" hidden="1" x14ac:dyDescent="0.2">
      <c r="B39" s="11">
        <v>1004055</v>
      </c>
      <c r="C39" s="15" t="s">
        <v>120</v>
      </c>
      <c r="D39" s="31">
        <f>บ่าย!D39+'เช้า '!D39+'เย็น '!D39</f>
        <v>0</v>
      </c>
      <c r="E39" s="31">
        <f>บ่าย!E39+'เช้า '!E39+'เย็น '!E39</f>
        <v>0</v>
      </c>
      <c r="F39" s="31">
        <f>บ่าย!F39+'เช้า '!F39+'เย็น '!F39</f>
        <v>0</v>
      </c>
      <c r="G39" s="31">
        <f>บ่าย!G39+'เช้า '!G39+'เย็น '!G39</f>
        <v>0</v>
      </c>
      <c r="H39" s="31">
        <f>บ่าย!H39+'เช้า '!H39+'เย็น '!H39</f>
        <v>0</v>
      </c>
      <c r="I39" s="31">
        <f>บ่าย!I39+'เช้า '!I39+'เย็น '!I39</f>
        <v>0</v>
      </c>
      <c r="J39" s="31">
        <f>บ่าย!J39+'เช้า '!J39+'เย็น '!J39</f>
        <v>0</v>
      </c>
      <c r="K39" s="37">
        <f t="shared" si="0"/>
        <v>0</v>
      </c>
      <c r="L39" s="11"/>
      <c r="M39" s="11"/>
      <c r="N39" s="11"/>
      <c r="O39" s="54">
        <f t="shared" si="1"/>
        <v>0</v>
      </c>
    </row>
    <row r="40" spans="2:15" x14ac:dyDescent="0.2">
      <c r="B40" s="11">
        <v>1111057</v>
      </c>
      <c r="C40" s="15" t="s">
        <v>30</v>
      </c>
      <c r="D40" s="31">
        <f>บ่าย!D40+'เช้า '!D40+'เย็น '!D40</f>
        <v>0</v>
      </c>
      <c r="E40" s="31">
        <f>บ่าย!E40+'เช้า '!E40+'เย็น '!E40</f>
        <v>0</v>
      </c>
      <c r="F40" s="31">
        <f>บ่าย!F40+'เช้า '!F40+'เย็น '!F40</f>
        <v>1</v>
      </c>
      <c r="G40" s="31">
        <f>บ่าย!G40+'เช้า '!G40+'เย็น '!G40</f>
        <v>1</v>
      </c>
      <c r="H40" s="31">
        <f>บ่าย!H40+'เช้า '!H40+'เย็น '!H40</f>
        <v>0</v>
      </c>
      <c r="I40" s="31">
        <f>บ่าย!I40+'เช้า '!I40+'เย็น '!I40</f>
        <v>0</v>
      </c>
      <c r="J40" s="31">
        <f>บ่าย!J40+'เช้า '!J40+'เย็น '!J40</f>
        <v>0</v>
      </c>
      <c r="K40" s="37">
        <f t="shared" si="0"/>
        <v>2</v>
      </c>
      <c r="L40" s="11">
        <v>10</v>
      </c>
      <c r="M40" s="11"/>
      <c r="N40" s="11">
        <v>8</v>
      </c>
      <c r="O40" s="54">
        <f t="shared" si="1"/>
        <v>16</v>
      </c>
    </row>
    <row r="41" spans="2:15" x14ac:dyDescent="0.2">
      <c r="B41" s="11">
        <v>1111058</v>
      </c>
      <c r="C41" s="15" t="s">
        <v>31</v>
      </c>
      <c r="D41" s="31">
        <f>บ่าย!D41+'เช้า '!D41+'เย็น '!D41</f>
        <v>0</v>
      </c>
      <c r="E41" s="31">
        <f>บ่าย!E41+'เช้า '!E41+'เย็น '!E41</f>
        <v>0</v>
      </c>
      <c r="F41" s="31">
        <f>บ่าย!F41+'เช้า '!F41+'เย็น '!F41</f>
        <v>1</v>
      </c>
      <c r="G41" s="31">
        <f>บ่าย!G41+'เช้า '!G41+'เย็น '!G41</f>
        <v>1</v>
      </c>
      <c r="H41" s="31">
        <f>บ่าย!H41+'เช้า '!H41+'เย็น '!H41</f>
        <v>0</v>
      </c>
      <c r="I41" s="31">
        <f>บ่าย!I41+'เช้า '!I41+'เย็น '!I41</f>
        <v>0</v>
      </c>
      <c r="J41" s="31">
        <f>บ่าย!J41+'เช้า '!J41+'เย็น '!J41</f>
        <v>0</v>
      </c>
      <c r="K41" s="37">
        <f t="shared" si="0"/>
        <v>2</v>
      </c>
      <c r="L41" s="11">
        <v>10</v>
      </c>
      <c r="M41" s="11"/>
      <c r="N41" s="11"/>
      <c r="O41" s="54">
        <f t="shared" si="1"/>
        <v>8</v>
      </c>
    </row>
    <row r="42" spans="2:15" x14ac:dyDescent="0.2">
      <c r="B42" s="11">
        <v>1111059</v>
      </c>
      <c r="C42" s="15" t="s">
        <v>32</v>
      </c>
      <c r="D42" s="31">
        <f>บ่าย!D42+'เช้า '!D42+'เย็น '!D42</f>
        <v>0</v>
      </c>
      <c r="E42" s="31">
        <f>บ่าย!E42+'เช้า '!E42+'เย็น '!E42</f>
        <v>0</v>
      </c>
      <c r="F42" s="31">
        <f>บ่าย!F42+'เช้า '!F42+'เย็น '!F42</f>
        <v>1</v>
      </c>
      <c r="G42" s="31">
        <f>บ่าย!G42+'เช้า '!G42+'เย็น '!G42</f>
        <v>1</v>
      </c>
      <c r="H42" s="31">
        <f>บ่าย!H42+'เช้า '!H42+'เย็น '!H42</f>
        <v>0</v>
      </c>
      <c r="I42" s="31">
        <f>บ่าย!I42+'เช้า '!I42+'เย็น '!I42</f>
        <v>0</v>
      </c>
      <c r="J42" s="31">
        <f>บ่าย!J42+'เช้า '!J42+'เย็น '!J42</f>
        <v>0</v>
      </c>
      <c r="K42" s="37">
        <f t="shared" si="0"/>
        <v>2</v>
      </c>
      <c r="L42" s="11">
        <v>10</v>
      </c>
      <c r="M42" s="11"/>
      <c r="N42" s="11"/>
      <c r="O42" s="54">
        <f t="shared" si="1"/>
        <v>8</v>
      </c>
    </row>
    <row r="43" spans="2:15" x14ac:dyDescent="0.2">
      <c r="B43" s="11">
        <v>1111060</v>
      </c>
      <c r="C43" s="15" t="s">
        <v>33</v>
      </c>
      <c r="D43" s="31">
        <f>บ่าย!D43+'เช้า '!D43+'เย็น '!D43</f>
        <v>0</v>
      </c>
      <c r="E43" s="31">
        <f>บ่าย!E43+'เช้า '!E43+'เย็น '!E43</f>
        <v>0</v>
      </c>
      <c r="F43" s="31">
        <f>บ่าย!F43+'เช้า '!F43+'เย็น '!F43</f>
        <v>1</v>
      </c>
      <c r="G43" s="31">
        <f>บ่าย!G43+'เช้า '!G43+'เย็น '!G43</f>
        <v>1</v>
      </c>
      <c r="H43" s="31">
        <f>บ่าย!H43+'เช้า '!H43+'เย็น '!H43</f>
        <v>0</v>
      </c>
      <c r="I43" s="31">
        <f>บ่าย!I43+'เช้า '!I43+'เย็น '!I43</f>
        <v>0</v>
      </c>
      <c r="J43" s="31">
        <f>บ่าย!J43+'เช้า '!J43+'เย็น '!J43</f>
        <v>0</v>
      </c>
      <c r="K43" s="37">
        <f t="shared" si="0"/>
        <v>2</v>
      </c>
      <c r="L43" s="11">
        <v>10</v>
      </c>
      <c r="M43" s="11"/>
      <c r="N43" s="11"/>
      <c r="O43" s="54">
        <f t="shared" si="1"/>
        <v>8</v>
      </c>
    </row>
    <row r="44" spans="2:15" x14ac:dyDescent="0.2">
      <c r="B44" s="11">
        <v>1111061</v>
      </c>
      <c r="C44" s="15" t="s">
        <v>34</v>
      </c>
      <c r="D44" s="31">
        <f>บ่าย!D44+'เช้า '!D44+'เย็น '!D44</f>
        <v>0</v>
      </c>
      <c r="E44" s="31">
        <f>บ่าย!E44+'เช้า '!E44+'เย็น '!E44</f>
        <v>0</v>
      </c>
      <c r="F44" s="31">
        <f>บ่าย!F44+'เช้า '!F44+'เย็น '!F44</f>
        <v>0</v>
      </c>
      <c r="G44" s="31">
        <f>บ่าย!G44+'เช้า '!G44+'เย็น '!G44</f>
        <v>1</v>
      </c>
      <c r="H44" s="31">
        <f>บ่าย!H44+'เช้า '!H44+'เย็น '!H44</f>
        <v>0</v>
      </c>
      <c r="I44" s="31">
        <f>บ่าย!I44+'เช้า '!I44+'เย็น '!I44</f>
        <v>0</v>
      </c>
      <c r="J44" s="31">
        <f>บ่าย!J44+'เช้า '!J44+'เย็น '!J44</f>
        <v>0</v>
      </c>
      <c r="K44" s="37">
        <f t="shared" si="0"/>
        <v>1</v>
      </c>
      <c r="L44" s="11">
        <v>10</v>
      </c>
      <c r="M44" s="11"/>
      <c r="N44" s="11">
        <v>4</v>
      </c>
      <c r="O44" s="54">
        <f t="shared" si="1"/>
        <v>13</v>
      </c>
    </row>
    <row r="45" spans="2:15" x14ac:dyDescent="0.2">
      <c r="B45" s="11">
        <v>1111062</v>
      </c>
      <c r="C45" s="15" t="s">
        <v>35</v>
      </c>
      <c r="D45" s="31">
        <f>บ่าย!D45+'เช้า '!D45+'เย็น '!D45</f>
        <v>0</v>
      </c>
      <c r="E45" s="31">
        <f>บ่าย!E45+'เช้า '!E45+'เย็น '!E45</f>
        <v>0</v>
      </c>
      <c r="F45" s="31">
        <f>บ่าย!F45+'เช้า '!F45+'เย็น '!F45</f>
        <v>0</v>
      </c>
      <c r="G45" s="31">
        <f>บ่าย!G45+'เช้า '!G45+'เย็น '!G45</f>
        <v>1</v>
      </c>
      <c r="H45" s="31">
        <f>บ่าย!H45+'เช้า '!H45+'เย็น '!H45</f>
        <v>0</v>
      </c>
      <c r="I45" s="31">
        <f>บ่าย!I45+'เช้า '!I45+'เย็น '!I45</f>
        <v>0</v>
      </c>
      <c r="J45" s="31">
        <f>บ่าย!J45+'เช้า '!J45+'เย็น '!J45</f>
        <v>0</v>
      </c>
      <c r="K45" s="37">
        <f t="shared" si="0"/>
        <v>1</v>
      </c>
      <c r="L45" s="11">
        <v>10</v>
      </c>
      <c r="M45" s="11"/>
      <c r="N45" s="11"/>
      <c r="O45" s="54">
        <f t="shared" si="1"/>
        <v>9</v>
      </c>
    </row>
    <row r="46" spans="2:15" x14ac:dyDescent="0.2">
      <c r="B46" s="11">
        <v>1111063</v>
      </c>
      <c r="C46" s="15" t="s">
        <v>36</v>
      </c>
      <c r="D46" s="31">
        <f>บ่าย!D46+'เช้า '!D46+'เย็น '!D46</f>
        <v>0</v>
      </c>
      <c r="E46" s="31">
        <f>บ่าย!E46+'เช้า '!E46+'เย็น '!E46</f>
        <v>0</v>
      </c>
      <c r="F46" s="31">
        <f>บ่าย!F46+'เช้า '!F46+'เย็น '!F46</f>
        <v>1</v>
      </c>
      <c r="G46" s="31">
        <f>บ่าย!G46+'เช้า '!G46+'เย็น '!G46</f>
        <v>1</v>
      </c>
      <c r="H46" s="31">
        <f>บ่าย!H46+'เช้า '!H46+'เย็น '!H46</f>
        <v>0</v>
      </c>
      <c r="I46" s="31">
        <f>บ่าย!I46+'เช้า '!I46+'เย็น '!I46</f>
        <v>0</v>
      </c>
      <c r="J46" s="31">
        <f>บ่าย!J46+'เช้า '!J46+'เย็น '!J46</f>
        <v>0</v>
      </c>
      <c r="K46" s="37">
        <f t="shared" si="0"/>
        <v>2</v>
      </c>
      <c r="L46" s="11">
        <v>10</v>
      </c>
      <c r="M46" s="11"/>
      <c r="N46" s="11">
        <v>6</v>
      </c>
      <c r="O46" s="54">
        <f t="shared" si="1"/>
        <v>14</v>
      </c>
    </row>
    <row r="47" spans="2:15" x14ac:dyDescent="0.2">
      <c r="B47" s="11">
        <v>1111064</v>
      </c>
      <c r="C47" s="15" t="s">
        <v>37</v>
      </c>
      <c r="D47" s="31">
        <f>บ่าย!D47+'เช้า '!D47+'เย็น '!D47</f>
        <v>0</v>
      </c>
      <c r="E47" s="31">
        <f>บ่าย!E47+'เช้า '!E47+'เย็น '!E47</f>
        <v>0</v>
      </c>
      <c r="F47" s="31">
        <f>บ่าย!F47+'เช้า '!F47+'เย็น '!F47</f>
        <v>0</v>
      </c>
      <c r="G47" s="31">
        <f>บ่าย!G47+'เช้า '!G47+'เย็น '!G47</f>
        <v>1</v>
      </c>
      <c r="H47" s="31">
        <f>บ่าย!H47+'เช้า '!H47+'เย็น '!H47</f>
        <v>0</v>
      </c>
      <c r="I47" s="31">
        <f>บ่าย!I47+'เช้า '!I47+'เย็น '!I47</f>
        <v>0</v>
      </c>
      <c r="J47" s="31">
        <f>บ่าย!J47+'เช้า '!J47+'เย็น '!J47</f>
        <v>0</v>
      </c>
      <c r="K47" s="37">
        <f t="shared" si="0"/>
        <v>1</v>
      </c>
      <c r="L47" s="11">
        <v>10</v>
      </c>
      <c r="M47" s="11"/>
      <c r="N47" s="11"/>
      <c r="O47" s="54">
        <f t="shared" si="1"/>
        <v>9</v>
      </c>
    </row>
    <row r="48" spans="2:15" x14ac:dyDescent="0.2">
      <c r="B48" s="11">
        <v>1111065</v>
      </c>
      <c r="C48" s="15" t="s">
        <v>38</v>
      </c>
      <c r="D48" s="31">
        <f>บ่าย!D48+'เช้า '!D48+'เย็น '!D48</f>
        <v>0</v>
      </c>
      <c r="E48" s="31">
        <f>บ่าย!E48+'เช้า '!E48+'เย็น '!E48</f>
        <v>0</v>
      </c>
      <c r="F48" s="31">
        <f>บ่าย!F48+'เช้า '!F48+'เย็น '!F48</f>
        <v>1</v>
      </c>
      <c r="G48" s="31">
        <f>บ่าย!G48+'เช้า '!G48+'เย็น '!G48</f>
        <v>0</v>
      </c>
      <c r="H48" s="31">
        <f>บ่าย!H48+'เช้า '!H48+'เย็น '!H48</f>
        <v>0</v>
      </c>
      <c r="I48" s="31">
        <f>บ่าย!I48+'เช้า '!I48+'เย็น '!I48</f>
        <v>0</v>
      </c>
      <c r="J48" s="31">
        <f>บ่าย!J48+'เช้า '!J48+'เย็น '!J48</f>
        <v>0</v>
      </c>
      <c r="K48" s="37">
        <f t="shared" si="0"/>
        <v>1</v>
      </c>
      <c r="L48" s="11">
        <v>10</v>
      </c>
      <c r="M48" s="11"/>
      <c r="N48" s="11"/>
      <c r="O48" s="54">
        <f t="shared" si="1"/>
        <v>9</v>
      </c>
    </row>
    <row r="49" spans="2:18" x14ac:dyDescent="0.2">
      <c r="B49" s="11">
        <v>1111066</v>
      </c>
      <c r="C49" s="15" t="s">
        <v>39</v>
      </c>
      <c r="D49" s="31">
        <f>บ่าย!D49+'เช้า '!D49+'เย็น '!D49</f>
        <v>0</v>
      </c>
      <c r="E49" s="31">
        <f>บ่าย!E49+'เช้า '!E49+'เย็น '!E49</f>
        <v>0</v>
      </c>
      <c r="F49" s="31">
        <f>บ่าย!F49+'เช้า '!F49+'เย็น '!F49</f>
        <v>1</v>
      </c>
      <c r="G49" s="31">
        <f>บ่าย!G49+'เช้า '!G49+'เย็น '!G49</f>
        <v>0</v>
      </c>
      <c r="H49" s="31">
        <f>บ่าย!H49+'เช้า '!H49+'เย็น '!H49</f>
        <v>0</v>
      </c>
      <c r="I49" s="31">
        <f>บ่าย!I49+'เช้า '!I49+'เย็น '!I49</f>
        <v>0</v>
      </c>
      <c r="J49" s="31">
        <f>บ่าย!J49+'เช้า '!J49+'เย็น '!J49</f>
        <v>0</v>
      </c>
      <c r="K49" s="37">
        <f t="shared" si="0"/>
        <v>1</v>
      </c>
      <c r="L49" s="11">
        <v>10</v>
      </c>
      <c r="M49" s="11"/>
      <c r="N49" s="11"/>
      <c r="O49" s="54">
        <f t="shared" si="1"/>
        <v>9</v>
      </c>
    </row>
    <row r="50" spans="2:18" x14ac:dyDescent="0.2">
      <c r="B50" s="11">
        <v>1111067</v>
      </c>
      <c r="C50" s="15" t="s">
        <v>40</v>
      </c>
      <c r="D50" s="31">
        <f>บ่าย!D50+'เช้า '!D50+'เย็น '!D50</f>
        <v>0</v>
      </c>
      <c r="E50" s="31">
        <f>บ่าย!E50+'เช้า '!E50+'เย็น '!E50</f>
        <v>0</v>
      </c>
      <c r="F50" s="31">
        <f>บ่าย!F50+'เช้า '!F50+'เย็น '!F50</f>
        <v>1</v>
      </c>
      <c r="G50" s="31">
        <f>บ่าย!G50+'เช้า '!G50+'เย็น '!G50</f>
        <v>0</v>
      </c>
      <c r="H50" s="31">
        <f>บ่าย!H50+'เช้า '!H50+'เย็น '!H50</f>
        <v>0</v>
      </c>
      <c r="I50" s="31">
        <f>บ่าย!I50+'เช้า '!I50+'เย็น '!I50</f>
        <v>0</v>
      </c>
      <c r="J50" s="31">
        <f>บ่าย!J50+'เช้า '!J50+'เย็น '!J50</f>
        <v>0</v>
      </c>
      <c r="K50" s="37">
        <f t="shared" si="0"/>
        <v>1</v>
      </c>
      <c r="L50" s="11">
        <v>10</v>
      </c>
      <c r="M50" s="11"/>
      <c r="N50" s="11">
        <v>11</v>
      </c>
      <c r="O50" s="54">
        <f t="shared" si="1"/>
        <v>20</v>
      </c>
    </row>
    <row r="51" spans="2:18" x14ac:dyDescent="0.2">
      <c r="B51" s="11">
        <v>1111068</v>
      </c>
      <c r="C51" s="15" t="s">
        <v>41</v>
      </c>
      <c r="D51" s="31">
        <f>บ่าย!D51+'เช้า '!D51+'เย็น '!D51</f>
        <v>0</v>
      </c>
      <c r="E51" s="31">
        <f>บ่าย!E51+'เช้า '!E51+'เย็น '!E51</f>
        <v>0</v>
      </c>
      <c r="F51" s="31">
        <f>บ่าย!F51+'เช้า '!F51+'เย็น '!F51</f>
        <v>1</v>
      </c>
      <c r="G51" s="31">
        <f>บ่าย!G51+'เช้า '!G51+'เย็น '!G51</f>
        <v>0</v>
      </c>
      <c r="H51" s="31">
        <f>บ่าย!H51+'เช้า '!H51+'เย็น '!H51</f>
        <v>0</v>
      </c>
      <c r="I51" s="31">
        <f>บ่าย!I51+'เช้า '!I51+'เย็น '!I51</f>
        <v>0</v>
      </c>
      <c r="J51" s="31">
        <f>บ่าย!J51+'เช้า '!J51+'เย็น '!J51</f>
        <v>0</v>
      </c>
      <c r="K51" s="37">
        <f t="shared" si="0"/>
        <v>1</v>
      </c>
      <c r="L51" s="11">
        <v>10</v>
      </c>
      <c r="M51" s="11"/>
      <c r="N51" s="11">
        <v>7</v>
      </c>
      <c r="O51" s="54">
        <f t="shared" si="1"/>
        <v>16</v>
      </c>
    </row>
    <row r="52" spans="2:18" x14ac:dyDescent="0.25">
      <c r="B52" s="11">
        <v>1111069</v>
      </c>
      <c r="C52" s="15" t="s">
        <v>42</v>
      </c>
      <c r="D52" s="31">
        <f>บ่าย!D52+'เช้า '!D52+'เย็น '!D52</f>
        <v>0</v>
      </c>
      <c r="E52" s="31">
        <f>บ่าย!E52+'เช้า '!E52+'เย็น '!E52</f>
        <v>0</v>
      </c>
      <c r="F52" s="31">
        <f>บ่าย!F52+'เช้า '!F52+'เย็น '!F52</f>
        <v>1</v>
      </c>
      <c r="G52" s="31">
        <f>บ่าย!G52+'เช้า '!G52+'เย็น '!G52</f>
        <v>0</v>
      </c>
      <c r="H52" s="31">
        <f>บ่าย!H52+'เช้า '!H52+'เย็น '!H52</f>
        <v>0</v>
      </c>
      <c r="I52" s="31">
        <f>บ่าย!I52+'เช้า '!I52+'เย็น '!I52</f>
        <v>0</v>
      </c>
      <c r="J52" s="31">
        <f>บ่าย!J52+'เช้า '!J52+'เย็น '!J52</f>
        <v>0</v>
      </c>
      <c r="K52" s="37">
        <f t="shared" si="0"/>
        <v>1</v>
      </c>
      <c r="L52" s="11">
        <v>10</v>
      </c>
      <c r="M52" s="11"/>
      <c r="N52" s="11">
        <v>5</v>
      </c>
      <c r="O52" s="54">
        <f t="shared" si="1"/>
        <v>14</v>
      </c>
      <c r="Q52" s="56"/>
      <c r="R52" s="55"/>
    </row>
    <row r="53" spans="2:18" x14ac:dyDescent="0.2">
      <c r="B53" s="11">
        <v>1111070</v>
      </c>
      <c r="C53" s="15" t="s">
        <v>128</v>
      </c>
      <c r="D53" s="31">
        <f>บ่าย!D53+'เช้า '!D53+'เย็น '!D53</f>
        <v>0</v>
      </c>
      <c r="E53" s="31">
        <f>บ่าย!E53+'เช้า '!E53+'เย็น '!E53</f>
        <v>0</v>
      </c>
      <c r="F53" s="31">
        <f>บ่าย!F53+'เช้า '!F53+'เย็น '!F53</f>
        <v>0</v>
      </c>
      <c r="G53" s="31">
        <f>บ่าย!G53+'เช้า '!G53+'เย็น '!G53</f>
        <v>0</v>
      </c>
      <c r="H53" s="31">
        <f>บ่าย!H53+'เช้า '!H53+'เย็น '!H53</f>
        <v>0</v>
      </c>
      <c r="I53" s="31">
        <f>บ่าย!I53+'เช้า '!I53+'เย็น '!I53</f>
        <v>0</v>
      </c>
      <c r="J53" s="31">
        <f>บ่าย!J53+'เช้า '!J53+'เย็น '!J53</f>
        <v>0</v>
      </c>
      <c r="K53" s="37">
        <f t="shared" si="0"/>
        <v>0</v>
      </c>
      <c r="L53" s="11"/>
      <c r="M53" s="11"/>
      <c r="N53" s="11"/>
      <c r="O53" s="54">
        <f t="shared" si="1"/>
        <v>0</v>
      </c>
    </row>
    <row r="54" spans="2:18" x14ac:dyDescent="0.2">
      <c r="B54" s="11">
        <v>1111071</v>
      </c>
      <c r="C54" s="15" t="s">
        <v>129</v>
      </c>
      <c r="D54" s="31">
        <f>บ่าย!D54+'เช้า '!D54+'เย็น '!D54</f>
        <v>0</v>
      </c>
      <c r="E54" s="31">
        <f>บ่าย!E54+'เช้า '!E54+'เย็น '!E54</f>
        <v>0</v>
      </c>
      <c r="F54" s="31">
        <f>บ่าย!F54+'เช้า '!F54+'เย็น '!F54</f>
        <v>0</v>
      </c>
      <c r="G54" s="31">
        <f>บ่าย!G54+'เช้า '!G54+'เย็น '!G54</f>
        <v>0</v>
      </c>
      <c r="H54" s="31">
        <f>บ่าย!H54+'เช้า '!H54+'เย็น '!H54</f>
        <v>0</v>
      </c>
      <c r="I54" s="31">
        <f>บ่าย!I54+'เช้า '!I54+'เย็น '!I54</f>
        <v>0</v>
      </c>
      <c r="J54" s="31">
        <f>บ่าย!J54+'เช้า '!J54+'เย็น '!J54</f>
        <v>0</v>
      </c>
      <c r="K54" s="37">
        <f t="shared" si="0"/>
        <v>0</v>
      </c>
      <c r="L54" s="11"/>
      <c r="M54" s="11"/>
      <c r="N54" s="11"/>
      <c r="O54" s="54">
        <f t="shared" si="1"/>
        <v>0</v>
      </c>
    </row>
    <row r="55" spans="2:18" x14ac:dyDescent="0.2">
      <c r="B55" s="11">
        <v>1111001</v>
      </c>
      <c r="C55" s="15" t="s">
        <v>43</v>
      </c>
      <c r="D55" s="31">
        <f>บ่าย!D55+'เช้า '!D55+'เย็น '!D55</f>
        <v>0</v>
      </c>
      <c r="E55" s="31">
        <f>บ่าย!E55+'เช้า '!E55+'เย็น '!E55</f>
        <v>0</v>
      </c>
      <c r="F55" s="31">
        <f>บ่าย!F55+'เช้า '!F55+'เย็น '!F55</f>
        <v>0</v>
      </c>
      <c r="G55" s="31">
        <f>บ่าย!G55+'เช้า '!G55+'เย็น '!G55</f>
        <v>0</v>
      </c>
      <c r="H55" s="31">
        <f>บ่าย!H55+'เช้า '!H55+'เย็น '!H55</f>
        <v>0</v>
      </c>
      <c r="I55" s="31">
        <f>บ่าย!I55+'เช้า '!I55+'เย็น '!I55</f>
        <v>0</v>
      </c>
      <c r="J55" s="31">
        <f>บ่าย!J55+'เช้า '!J55+'เย็น '!J55</f>
        <v>0</v>
      </c>
      <c r="K55" s="37">
        <f t="shared" si="0"/>
        <v>0</v>
      </c>
      <c r="L55" s="11"/>
      <c r="M55" s="11"/>
      <c r="N55" s="11"/>
      <c r="O55" s="54">
        <f t="shared" si="1"/>
        <v>0</v>
      </c>
    </row>
    <row r="56" spans="2:18" x14ac:dyDescent="0.2">
      <c r="B56" s="11">
        <v>1111074</v>
      </c>
      <c r="C56" s="15" t="s">
        <v>44</v>
      </c>
      <c r="D56" s="31">
        <f>บ่าย!D56+'เช้า '!D56+'เย็น '!D56</f>
        <v>0</v>
      </c>
      <c r="E56" s="31">
        <f>บ่าย!E56+'เช้า '!E56+'เย็น '!E56</f>
        <v>2</v>
      </c>
      <c r="F56" s="31">
        <f>บ่าย!F56+'เช้า '!F56+'เย็น '!F56</f>
        <v>9</v>
      </c>
      <c r="G56" s="31">
        <f>บ่าย!G56+'เช้า '!G56+'เย็น '!G56</f>
        <v>7</v>
      </c>
      <c r="H56" s="31">
        <f>บ่าย!H56+'เช้า '!H56+'เย็น '!H56</f>
        <v>0</v>
      </c>
      <c r="I56" s="31">
        <f>บ่าย!I56+'เช้า '!I56+'เย็น '!I56</f>
        <v>0</v>
      </c>
      <c r="J56" s="31">
        <f>บ่าย!J56+'เช้า '!J56+'เย็น '!J56</f>
        <v>0</v>
      </c>
      <c r="K56" s="37">
        <f t="shared" si="0"/>
        <v>18</v>
      </c>
      <c r="L56" s="11">
        <v>10</v>
      </c>
      <c r="M56" s="11"/>
      <c r="N56" s="11">
        <v>1</v>
      </c>
      <c r="O56" s="54">
        <f t="shared" si="1"/>
        <v>-7</v>
      </c>
    </row>
    <row r="57" spans="2:18" x14ac:dyDescent="0.2">
      <c r="B57" s="11">
        <v>1111075</v>
      </c>
      <c r="C57" s="15" t="s">
        <v>45</v>
      </c>
      <c r="D57" s="31">
        <f>บ่าย!D57+'เช้า '!D57+'เย็น '!D57</f>
        <v>0</v>
      </c>
      <c r="E57" s="31">
        <f>บ่าย!E57+'เช้า '!E57+'เย็น '!E57</f>
        <v>2</v>
      </c>
      <c r="F57" s="31">
        <f>บ่าย!F57+'เช้า '!F57+'เย็น '!F57</f>
        <v>9</v>
      </c>
      <c r="G57" s="31">
        <f>บ่าย!G57+'เช้า '!G57+'เย็น '!G57</f>
        <v>7</v>
      </c>
      <c r="H57" s="31">
        <f>บ่าย!H57+'เช้า '!H57+'เย็น '!H57</f>
        <v>0</v>
      </c>
      <c r="I57" s="31">
        <f>บ่าย!I57+'เช้า '!I57+'เย็น '!I57</f>
        <v>0</v>
      </c>
      <c r="J57" s="31">
        <f>บ่าย!J57+'เช้า '!J57+'เย็น '!J57</f>
        <v>0</v>
      </c>
      <c r="K57" s="37">
        <f t="shared" si="0"/>
        <v>18</v>
      </c>
      <c r="L57" s="11">
        <v>10</v>
      </c>
      <c r="M57" s="11"/>
      <c r="N57" s="11">
        <v>6</v>
      </c>
      <c r="O57" s="54">
        <f t="shared" si="1"/>
        <v>-2</v>
      </c>
    </row>
    <row r="58" spans="2:18" x14ac:dyDescent="0.2">
      <c r="B58" s="11">
        <v>1111076</v>
      </c>
      <c r="C58" s="15" t="s">
        <v>46</v>
      </c>
      <c r="D58" s="31">
        <f>บ่าย!D58+'เช้า '!D58+'เย็น '!D58</f>
        <v>0</v>
      </c>
      <c r="E58" s="31">
        <f>บ่าย!E58+'เช้า '!E58+'เย็น '!E58</f>
        <v>2</v>
      </c>
      <c r="F58" s="31">
        <f>บ่าย!F58+'เช้า '!F58+'เย็น '!F58</f>
        <v>9</v>
      </c>
      <c r="G58" s="31">
        <f>บ่าย!G58+'เช้า '!G58+'เย็น '!G58</f>
        <v>7</v>
      </c>
      <c r="H58" s="31">
        <f>บ่าย!H58+'เช้า '!H58+'เย็น '!H58</f>
        <v>0</v>
      </c>
      <c r="I58" s="31">
        <f>บ่าย!I58+'เช้า '!I58+'เย็น '!I58</f>
        <v>0</v>
      </c>
      <c r="J58" s="31">
        <f>บ่าย!J58+'เช้า '!J58+'เย็น '!J58</f>
        <v>0</v>
      </c>
      <c r="K58" s="37">
        <f t="shared" si="0"/>
        <v>18</v>
      </c>
      <c r="L58" s="11">
        <v>10</v>
      </c>
      <c r="M58" s="11"/>
      <c r="N58" s="11">
        <v>13</v>
      </c>
      <c r="O58" s="54">
        <f t="shared" si="1"/>
        <v>5</v>
      </c>
    </row>
    <row r="59" spans="2:18" x14ac:dyDescent="0.2">
      <c r="B59" s="11">
        <v>1111077</v>
      </c>
      <c r="C59" s="15" t="s">
        <v>47</v>
      </c>
      <c r="D59" s="31">
        <f>บ่าย!D59+'เช้า '!D59+'เย็น '!D59</f>
        <v>0</v>
      </c>
      <c r="E59" s="31">
        <f>บ่าย!E59+'เช้า '!E59+'เย็น '!E59</f>
        <v>2</v>
      </c>
      <c r="F59" s="31">
        <f>บ่าย!F59+'เช้า '!F59+'เย็น '!F59</f>
        <v>9</v>
      </c>
      <c r="G59" s="31">
        <f>บ่าย!G59+'เช้า '!G59+'เย็น '!G59</f>
        <v>7</v>
      </c>
      <c r="H59" s="31">
        <f>บ่าย!H59+'เช้า '!H59+'เย็น '!H59</f>
        <v>0</v>
      </c>
      <c r="I59" s="31">
        <f>บ่าย!I59+'เช้า '!I59+'เย็น '!I59</f>
        <v>0</v>
      </c>
      <c r="J59" s="31">
        <f>บ่าย!J59+'เช้า '!J59+'เย็น '!J59</f>
        <v>0</v>
      </c>
      <c r="K59" s="37">
        <f t="shared" si="0"/>
        <v>18</v>
      </c>
      <c r="L59" s="11">
        <v>10</v>
      </c>
      <c r="M59" s="11"/>
      <c r="N59" s="11">
        <v>4</v>
      </c>
      <c r="O59" s="54">
        <f t="shared" si="1"/>
        <v>-4</v>
      </c>
    </row>
    <row r="60" spans="2:18" x14ac:dyDescent="0.2">
      <c r="B60" s="11">
        <v>1111078</v>
      </c>
      <c r="C60" s="15" t="s">
        <v>48</v>
      </c>
      <c r="D60" s="31">
        <f>บ่าย!D60+'เช้า '!D60+'เย็น '!D60</f>
        <v>0</v>
      </c>
      <c r="E60" s="31">
        <f>บ่าย!E60+'เช้า '!E60+'เย็น '!E60</f>
        <v>2</v>
      </c>
      <c r="F60" s="31">
        <f>บ่าย!F60+'เช้า '!F60+'เย็น '!F60</f>
        <v>9</v>
      </c>
      <c r="G60" s="31">
        <f>บ่าย!G60+'เช้า '!G60+'เย็น '!G60</f>
        <v>7</v>
      </c>
      <c r="H60" s="31">
        <f>บ่าย!H60+'เช้า '!H60+'เย็น '!H60</f>
        <v>0</v>
      </c>
      <c r="I60" s="31">
        <f>บ่าย!I60+'เช้า '!I60+'เย็น '!I60</f>
        <v>0</v>
      </c>
      <c r="J60" s="31">
        <f>บ่าย!J60+'เช้า '!J60+'เย็น '!J60</f>
        <v>0</v>
      </c>
      <c r="K60" s="37">
        <f t="shared" si="0"/>
        <v>18</v>
      </c>
      <c r="L60" s="11">
        <v>10</v>
      </c>
      <c r="M60" s="11"/>
      <c r="N60" s="11">
        <v>8</v>
      </c>
      <c r="O60" s="54">
        <f t="shared" si="1"/>
        <v>0</v>
      </c>
    </row>
    <row r="61" spans="2:18" x14ac:dyDescent="0.2">
      <c r="B61" s="11">
        <v>1111079</v>
      </c>
      <c r="C61" s="15" t="s">
        <v>49</v>
      </c>
      <c r="D61" s="31">
        <f>บ่าย!D61+'เช้า '!D61+'เย็น '!D61</f>
        <v>0</v>
      </c>
      <c r="E61" s="31">
        <f>บ่าย!E61+'เช้า '!E61+'เย็น '!E61</f>
        <v>2</v>
      </c>
      <c r="F61" s="31">
        <f>บ่าย!F61+'เช้า '!F61+'เย็น '!F61</f>
        <v>9</v>
      </c>
      <c r="G61" s="31">
        <f>บ่าย!G61+'เช้า '!G61+'เย็น '!G61</f>
        <v>7</v>
      </c>
      <c r="H61" s="31">
        <f>บ่าย!H61+'เช้า '!H61+'เย็น '!H61</f>
        <v>0</v>
      </c>
      <c r="I61" s="31">
        <f>บ่าย!I61+'เช้า '!I61+'เย็น '!I61</f>
        <v>0</v>
      </c>
      <c r="J61" s="31">
        <f>บ่าย!J61+'เช้า '!J61+'เย็น '!J61</f>
        <v>0</v>
      </c>
      <c r="K61" s="37">
        <f t="shared" si="0"/>
        <v>18</v>
      </c>
      <c r="L61" s="11">
        <v>10</v>
      </c>
      <c r="M61" s="11"/>
      <c r="N61" s="11">
        <v>9</v>
      </c>
      <c r="O61" s="54">
        <f t="shared" si="1"/>
        <v>1</v>
      </c>
    </row>
    <row r="62" spans="2:18" x14ac:dyDescent="0.2">
      <c r="B62" s="11">
        <v>1111080</v>
      </c>
      <c r="C62" s="15" t="s">
        <v>50</v>
      </c>
      <c r="D62" s="31">
        <f>บ่าย!D62+'เช้า '!D62+'เย็น '!D62</f>
        <v>0</v>
      </c>
      <c r="E62" s="31">
        <f>บ่าย!E62+'เช้า '!E62+'เย็น '!E62</f>
        <v>2</v>
      </c>
      <c r="F62" s="31">
        <f>บ่าย!F62+'เช้า '!F62+'เย็น '!F62</f>
        <v>9</v>
      </c>
      <c r="G62" s="31">
        <f>บ่าย!G62+'เช้า '!G62+'เย็น '!G62</f>
        <v>7</v>
      </c>
      <c r="H62" s="31">
        <f>บ่าย!H62+'เช้า '!H62+'เย็น '!H62</f>
        <v>0</v>
      </c>
      <c r="I62" s="31">
        <f>บ่าย!I62+'เช้า '!I62+'เย็น '!I62</f>
        <v>0</v>
      </c>
      <c r="J62" s="31">
        <f>บ่าย!J62+'เช้า '!J62+'เย็น '!J62</f>
        <v>0</v>
      </c>
      <c r="K62" s="37">
        <f t="shared" si="0"/>
        <v>18</v>
      </c>
      <c r="L62" s="11">
        <v>10</v>
      </c>
      <c r="M62" s="11"/>
      <c r="N62" s="11">
        <v>8</v>
      </c>
      <c r="O62" s="54">
        <f t="shared" si="1"/>
        <v>0</v>
      </c>
    </row>
    <row r="63" spans="2:18" x14ac:dyDescent="0.2">
      <c r="B63" s="11">
        <v>1111081</v>
      </c>
      <c r="C63" s="15" t="s">
        <v>51</v>
      </c>
      <c r="D63" s="31">
        <f>บ่าย!D63+'เช้า '!D63+'เย็น '!D63</f>
        <v>0</v>
      </c>
      <c r="E63" s="31">
        <f>บ่าย!E63+'เช้า '!E63+'เย็น '!E63</f>
        <v>2</v>
      </c>
      <c r="F63" s="31">
        <f>บ่าย!F63+'เช้า '!F63+'เย็น '!F63</f>
        <v>9</v>
      </c>
      <c r="G63" s="31">
        <f>บ่าย!G63+'เช้า '!G63+'เย็น '!G63</f>
        <v>7</v>
      </c>
      <c r="H63" s="31">
        <f>บ่าย!H63+'เช้า '!H63+'เย็น '!H63</f>
        <v>0</v>
      </c>
      <c r="I63" s="31">
        <f>บ่าย!I63+'เช้า '!I63+'เย็น '!I63</f>
        <v>0</v>
      </c>
      <c r="J63" s="31">
        <f>บ่าย!J63+'เช้า '!J63+'เย็น '!J63</f>
        <v>0</v>
      </c>
      <c r="K63" s="37">
        <f t="shared" si="0"/>
        <v>18</v>
      </c>
      <c r="L63" s="11">
        <v>10</v>
      </c>
      <c r="M63" s="11"/>
      <c r="N63" s="11">
        <v>2</v>
      </c>
      <c r="O63" s="54">
        <f t="shared" si="1"/>
        <v>-6</v>
      </c>
    </row>
    <row r="64" spans="2:18" x14ac:dyDescent="0.2">
      <c r="B64" s="11">
        <v>1111082</v>
      </c>
      <c r="C64" s="15" t="s">
        <v>52</v>
      </c>
      <c r="D64" s="31">
        <f>บ่าย!D64+'เช้า '!D64+'เย็น '!D64</f>
        <v>0</v>
      </c>
      <c r="E64" s="31">
        <f>บ่าย!E64+'เช้า '!E64+'เย็น '!E64</f>
        <v>2</v>
      </c>
      <c r="F64" s="31">
        <f>บ่าย!F64+'เช้า '!F64+'เย็น '!F64</f>
        <v>9</v>
      </c>
      <c r="G64" s="31">
        <f>บ่าย!G64+'เช้า '!G64+'เย็น '!G64</f>
        <v>7</v>
      </c>
      <c r="H64" s="31">
        <f>บ่าย!H64+'เช้า '!H64+'เย็น '!H64</f>
        <v>0</v>
      </c>
      <c r="I64" s="31">
        <f>บ่าย!I64+'เช้า '!I64+'เย็น '!I64</f>
        <v>0</v>
      </c>
      <c r="J64" s="31">
        <f>บ่าย!J64+'เช้า '!J64+'เย็น '!J64</f>
        <v>0</v>
      </c>
      <c r="K64" s="37">
        <f t="shared" si="0"/>
        <v>18</v>
      </c>
      <c r="L64" s="11">
        <v>10</v>
      </c>
      <c r="M64" s="11"/>
      <c r="N64" s="11">
        <v>3</v>
      </c>
      <c r="O64" s="54">
        <f t="shared" si="1"/>
        <v>-5</v>
      </c>
    </row>
    <row r="65" spans="2:18" x14ac:dyDescent="0.25">
      <c r="B65" s="11">
        <v>1111083</v>
      </c>
      <c r="C65" s="15" t="s">
        <v>53</v>
      </c>
      <c r="D65" s="31">
        <f>บ่าย!D65+'เช้า '!D65+'เย็น '!D65</f>
        <v>0</v>
      </c>
      <c r="E65" s="31">
        <f>บ่าย!E65+'เช้า '!E65+'เย็น '!E65</f>
        <v>2</v>
      </c>
      <c r="F65" s="31">
        <f>บ่าย!F65+'เช้า '!F65+'เย็น '!F65</f>
        <v>9</v>
      </c>
      <c r="G65" s="31">
        <f>บ่าย!G65+'เช้า '!G65+'เย็น '!G65</f>
        <v>7</v>
      </c>
      <c r="H65" s="31">
        <f>บ่าย!H65+'เช้า '!H65+'เย็น '!H65</f>
        <v>0</v>
      </c>
      <c r="I65" s="31">
        <f>บ่าย!I65+'เช้า '!I65+'เย็น '!I65</f>
        <v>0</v>
      </c>
      <c r="J65" s="31">
        <f>บ่าย!J65+'เช้า '!J65+'เย็น '!J65</f>
        <v>0</v>
      </c>
      <c r="K65" s="37">
        <f t="shared" si="0"/>
        <v>18</v>
      </c>
      <c r="L65" s="11">
        <v>10</v>
      </c>
      <c r="M65" s="11"/>
      <c r="N65" s="11"/>
      <c r="O65" s="54">
        <f t="shared" si="1"/>
        <v>-8</v>
      </c>
      <c r="Q65" s="57"/>
      <c r="R65" s="55"/>
    </row>
    <row r="66" spans="2:18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37">
        <f t="shared" si="0"/>
        <v>0</v>
      </c>
      <c r="L66" s="11"/>
      <c r="M66" s="11"/>
      <c r="N66" s="11"/>
      <c r="O66" s="54">
        <f t="shared" si="1"/>
        <v>0</v>
      </c>
    </row>
    <row r="67" spans="2:18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37">
        <f t="shared" si="0"/>
        <v>0</v>
      </c>
      <c r="L67" s="11"/>
      <c r="M67" s="11"/>
      <c r="N67" s="11"/>
      <c r="O67" s="54">
        <f t="shared" ref="O67" si="2">(L67+M67+N67)-K67</f>
        <v>0</v>
      </c>
    </row>
    <row r="68" spans="2:18" ht="19.5" x14ac:dyDescent="0.2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72"/>
    </row>
    <row r="69" spans="2:18" x14ac:dyDescent="0.2">
      <c r="B69" s="11">
        <v>1111009</v>
      </c>
      <c r="C69" s="20" t="s">
        <v>56</v>
      </c>
      <c r="D69" s="31">
        <f>บ่าย!D69+'เช้า '!D69+'เย็น '!D69</f>
        <v>0</v>
      </c>
      <c r="E69" s="31">
        <f>บ่าย!E69+'เช้า '!E69+'เย็น '!E69</f>
        <v>6</v>
      </c>
      <c r="F69" s="31">
        <f>บ่าย!F69+'เช้า '!F69+'เย็น '!F69</f>
        <v>8</v>
      </c>
      <c r="G69" s="31">
        <f>บ่าย!G69+'เช้า '!G69+'เย็น '!G69</f>
        <v>2</v>
      </c>
      <c r="H69" s="31">
        <f>บ่าย!H69+'เช้า '!H69+'เย็น '!H69</f>
        <v>0</v>
      </c>
      <c r="I69" s="31">
        <f>บ่าย!I69+'เช้า '!I69+'เย็น '!I69</f>
        <v>0</v>
      </c>
      <c r="J69" s="31">
        <f>บ่าย!J69+'เช้า '!J69+'เย็น '!J69</f>
        <v>0</v>
      </c>
      <c r="K69" s="37">
        <f>SUM(D69:J69)</f>
        <v>16</v>
      </c>
      <c r="L69" s="11">
        <v>15</v>
      </c>
      <c r="M69" s="11"/>
      <c r="N69" s="11">
        <v>1</v>
      </c>
      <c r="O69" s="54">
        <f t="shared" ref="O69:O111" si="3">(L69+M69+N69)-K69</f>
        <v>0</v>
      </c>
    </row>
    <row r="70" spans="2:18" hidden="1" x14ac:dyDescent="0.2">
      <c r="B70" s="11">
        <v>1111023</v>
      </c>
      <c r="C70" s="20" t="s">
        <v>57</v>
      </c>
      <c r="D70" s="31">
        <f>บ่าย!D70+'เช้า '!D70+'เย็น '!D70</f>
        <v>0</v>
      </c>
      <c r="E70" s="31">
        <f>บ่าย!E70+'เช้า '!E70+'เย็น '!E70</f>
        <v>0</v>
      </c>
      <c r="F70" s="31">
        <f>บ่าย!F70+'เช้า '!F70+'เย็น '!F70</f>
        <v>0</v>
      </c>
      <c r="G70" s="31">
        <f>บ่าย!G70+'เช้า '!G70+'เย็น '!G70</f>
        <v>0</v>
      </c>
      <c r="H70" s="31">
        <f>บ่าย!H70+'เช้า '!H70+'เย็น '!H70</f>
        <v>0</v>
      </c>
      <c r="I70" s="31">
        <f>บ่าย!I70+'เช้า '!I70+'เย็น '!I70</f>
        <v>0</v>
      </c>
      <c r="J70" s="31">
        <f>บ่าย!J70+'เช้า '!J70+'เย็น '!J70</f>
        <v>0</v>
      </c>
      <c r="K70" s="37">
        <f t="shared" ref="K70:K76" si="4">SUM(D70:J70)</f>
        <v>0</v>
      </c>
      <c r="L70" s="11"/>
      <c r="M70" s="11"/>
      <c r="N70" s="11"/>
      <c r="O70" s="54">
        <f t="shared" si="3"/>
        <v>0</v>
      </c>
    </row>
    <row r="71" spans="2:18" hidden="1" x14ac:dyDescent="0.2">
      <c r="B71" s="11">
        <v>1111016</v>
      </c>
      <c r="C71" s="20" t="s">
        <v>58</v>
      </c>
      <c r="D71" s="31">
        <f>บ่าย!D71+'เช้า '!D71+'เย็น '!D71</f>
        <v>0</v>
      </c>
      <c r="E71" s="31">
        <f>บ่าย!E71+'เช้า '!E71+'เย็น '!E71</f>
        <v>0</v>
      </c>
      <c r="F71" s="31">
        <f>บ่าย!F71+'เช้า '!F71+'เย็น '!F71</f>
        <v>0</v>
      </c>
      <c r="G71" s="31">
        <f>บ่าย!G71+'เช้า '!G71+'เย็น '!G71</f>
        <v>0</v>
      </c>
      <c r="H71" s="31">
        <f>บ่าย!H71+'เช้า '!H71+'เย็น '!H71</f>
        <v>0</v>
      </c>
      <c r="I71" s="31">
        <f>บ่าย!I71+'เช้า '!I71+'เย็น '!I71</f>
        <v>0</v>
      </c>
      <c r="J71" s="31">
        <f>บ่าย!J71+'เช้า '!J71+'เย็น '!J71</f>
        <v>0</v>
      </c>
      <c r="K71" s="37">
        <f t="shared" si="4"/>
        <v>0</v>
      </c>
      <c r="L71" s="11"/>
      <c r="M71" s="11"/>
      <c r="N71" s="11"/>
      <c r="O71" s="54">
        <f t="shared" si="3"/>
        <v>0</v>
      </c>
    </row>
    <row r="72" spans="2:18" hidden="1" x14ac:dyDescent="0.2">
      <c r="B72" s="11">
        <v>1111014</v>
      </c>
      <c r="C72" s="20" t="s">
        <v>59</v>
      </c>
      <c r="D72" s="31">
        <f>บ่าย!D72+'เช้า '!D72+'เย็น '!D72</f>
        <v>0</v>
      </c>
      <c r="E72" s="31">
        <f>บ่าย!E72+'เช้า '!E72+'เย็น '!E72</f>
        <v>0</v>
      </c>
      <c r="F72" s="31">
        <f>บ่าย!F72+'เช้า '!F72+'เย็น '!F72</f>
        <v>0</v>
      </c>
      <c r="G72" s="31">
        <f>บ่าย!G72+'เช้า '!G72+'เย็น '!G72</f>
        <v>0</v>
      </c>
      <c r="H72" s="31">
        <f>บ่าย!H72+'เช้า '!H72+'เย็น '!H72</f>
        <v>0</v>
      </c>
      <c r="I72" s="31">
        <f>บ่าย!I72+'เช้า '!I72+'เย็น '!I72</f>
        <v>0</v>
      </c>
      <c r="J72" s="31">
        <f>บ่าย!J72+'เช้า '!J72+'เย็น '!J72</f>
        <v>0</v>
      </c>
      <c r="K72" s="37">
        <f t="shared" si="4"/>
        <v>0</v>
      </c>
      <c r="L72" s="11"/>
      <c r="M72" s="11"/>
      <c r="N72" s="11"/>
      <c r="O72" s="54">
        <f t="shared" si="3"/>
        <v>0</v>
      </c>
    </row>
    <row r="73" spans="2:18" hidden="1" x14ac:dyDescent="0.2">
      <c r="B73" s="11">
        <v>1111025</v>
      </c>
      <c r="C73" s="20" t="s">
        <v>60</v>
      </c>
      <c r="D73" s="31">
        <f>บ่าย!D73+'เช้า '!D73+'เย็น '!D73</f>
        <v>0</v>
      </c>
      <c r="E73" s="31">
        <f>บ่าย!E73+'เช้า '!E73+'เย็น '!E73</f>
        <v>0</v>
      </c>
      <c r="F73" s="31">
        <f>บ่าย!F73+'เช้า '!F73+'เย็น '!F73</f>
        <v>0</v>
      </c>
      <c r="G73" s="31">
        <f>บ่าย!G73+'เช้า '!G73+'เย็น '!G73</f>
        <v>0</v>
      </c>
      <c r="H73" s="31">
        <f>บ่าย!H73+'เช้า '!H73+'เย็น '!H73</f>
        <v>0</v>
      </c>
      <c r="I73" s="31">
        <f>บ่าย!I73+'เช้า '!I73+'เย็น '!I73</f>
        <v>0</v>
      </c>
      <c r="J73" s="31">
        <f>บ่าย!J73+'เช้า '!J73+'เย็น '!J73</f>
        <v>0</v>
      </c>
      <c r="K73" s="37">
        <f t="shared" si="4"/>
        <v>0</v>
      </c>
      <c r="L73" s="11"/>
      <c r="M73" s="11"/>
      <c r="N73" s="11"/>
      <c r="O73" s="54">
        <f t="shared" si="3"/>
        <v>0</v>
      </c>
    </row>
    <row r="74" spans="2:18" hidden="1" x14ac:dyDescent="0.2">
      <c r="B74" s="11">
        <v>1111018</v>
      </c>
      <c r="C74" s="20" t="s">
        <v>61</v>
      </c>
      <c r="D74" s="31">
        <f>บ่าย!D74+'เช้า '!D74+'เย็น '!D74</f>
        <v>0</v>
      </c>
      <c r="E74" s="31">
        <f>บ่าย!E74+'เช้า '!E74+'เย็น '!E74</f>
        <v>0</v>
      </c>
      <c r="F74" s="31">
        <f>บ่าย!F74+'เช้า '!F74+'เย็น '!F74</f>
        <v>0</v>
      </c>
      <c r="G74" s="31">
        <f>บ่าย!G74+'เช้า '!G74+'เย็น '!G74</f>
        <v>0</v>
      </c>
      <c r="H74" s="31">
        <f>บ่าย!H74+'เช้า '!H74+'เย็น '!H74</f>
        <v>0</v>
      </c>
      <c r="I74" s="31">
        <f>บ่าย!I74+'เช้า '!I74+'เย็น '!I74</f>
        <v>0</v>
      </c>
      <c r="J74" s="31">
        <f>บ่าย!J74+'เช้า '!J74+'เย็น '!J74</f>
        <v>0</v>
      </c>
      <c r="K74" s="37">
        <f t="shared" si="4"/>
        <v>0</v>
      </c>
      <c r="L74" s="11"/>
      <c r="M74" s="11"/>
      <c r="N74" s="11"/>
      <c r="O74" s="54">
        <f t="shared" si="3"/>
        <v>0</v>
      </c>
    </row>
    <row r="75" spans="2:18" hidden="1" x14ac:dyDescent="0.2">
      <c r="B75" s="11">
        <v>1111012</v>
      </c>
      <c r="C75" s="20" t="s">
        <v>62</v>
      </c>
      <c r="D75" s="31">
        <f>บ่าย!D75+'เช้า '!D75+'เย็น '!D75</f>
        <v>0</v>
      </c>
      <c r="E75" s="31">
        <f>บ่าย!E75+'เช้า '!E75+'เย็น '!E75</f>
        <v>0</v>
      </c>
      <c r="F75" s="31">
        <f>บ่าย!F75+'เช้า '!F75+'เย็น '!F75</f>
        <v>0</v>
      </c>
      <c r="G75" s="31">
        <f>บ่าย!G75+'เช้า '!G75+'เย็น '!G75</f>
        <v>0</v>
      </c>
      <c r="H75" s="31">
        <f>บ่าย!H75+'เช้า '!H75+'เย็น '!H75</f>
        <v>0</v>
      </c>
      <c r="I75" s="31">
        <f>บ่าย!I75+'เช้า '!I75+'เย็น '!I75</f>
        <v>0</v>
      </c>
      <c r="J75" s="31">
        <f>บ่าย!J75+'เช้า '!J75+'เย็น '!J75</f>
        <v>0</v>
      </c>
      <c r="K75" s="37">
        <f t="shared" si="4"/>
        <v>0</v>
      </c>
      <c r="L75" s="11"/>
      <c r="M75" s="11"/>
      <c r="N75" s="11"/>
      <c r="O75" s="54">
        <f t="shared" si="3"/>
        <v>0</v>
      </c>
    </row>
    <row r="76" spans="2:18" hidden="1" x14ac:dyDescent="0.2">
      <c r="B76" s="11">
        <v>1111020</v>
      </c>
      <c r="C76" s="20" t="s">
        <v>63</v>
      </c>
      <c r="D76" s="31">
        <f>บ่าย!D76+'เช้า '!D76+'เย็น '!D76</f>
        <v>0</v>
      </c>
      <c r="E76" s="31">
        <f>บ่าย!E76+'เช้า '!E76+'เย็น '!E76</f>
        <v>0</v>
      </c>
      <c r="F76" s="31">
        <f>บ่าย!F76+'เช้า '!F76+'เย็น '!F76</f>
        <v>0</v>
      </c>
      <c r="G76" s="31">
        <f>บ่าย!G76+'เช้า '!G76+'เย็น '!G76</f>
        <v>0</v>
      </c>
      <c r="H76" s="31">
        <f>บ่าย!H76+'เช้า '!H76+'เย็น '!H76</f>
        <v>0</v>
      </c>
      <c r="I76" s="31">
        <f>บ่าย!I76+'เช้า '!I76+'เย็น '!I76</f>
        <v>0</v>
      </c>
      <c r="J76" s="31">
        <f>บ่าย!J76+'เช้า '!J76+'เย็น '!J76</f>
        <v>0</v>
      </c>
      <c r="K76" s="37">
        <f t="shared" si="4"/>
        <v>0</v>
      </c>
      <c r="L76" s="11"/>
      <c r="M76" s="11"/>
      <c r="N76" s="11"/>
      <c r="O76" s="54">
        <f t="shared" si="3"/>
        <v>0</v>
      </c>
    </row>
    <row r="77" spans="2:18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37"/>
      <c r="L77" s="11"/>
      <c r="M77" s="11"/>
      <c r="N77" s="11"/>
      <c r="O77" s="54">
        <f t="shared" si="3"/>
        <v>0</v>
      </c>
    </row>
    <row r="78" spans="2:18" ht="19.5" x14ac:dyDescent="0.2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72"/>
    </row>
    <row r="79" spans="2:18" hidden="1" x14ac:dyDescent="0.2">
      <c r="B79" s="11">
        <v>1111022</v>
      </c>
      <c r="C79" s="20" t="s">
        <v>65</v>
      </c>
      <c r="D79" s="31">
        <f>บ่าย!D79+'เช้า '!D79+'เย็น '!D79</f>
        <v>0</v>
      </c>
      <c r="E79" s="31">
        <f>บ่าย!E79+'เช้า '!E79+'เย็น '!E79</f>
        <v>0</v>
      </c>
      <c r="F79" s="31">
        <f>บ่าย!F79+'เช้า '!F79+'เย็น '!F79</f>
        <v>0</v>
      </c>
      <c r="G79" s="31">
        <f>บ่าย!G79+'เช้า '!G79+'เย็น '!G79</f>
        <v>0</v>
      </c>
      <c r="H79" s="31">
        <f>บ่าย!H79+'เช้า '!H79+'เย็น '!H79</f>
        <v>0</v>
      </c>
      <c r="I79" s="31">
        <f>บ่าย!I79+'เช้า '!I79+'เย็น '!I79</f>
        <v>0</v>
      </c>
      <c r="J79" s="31">
        <f>บ่าย!J79+'เช้า '!J79+'เย็น '!J79</f>
        <v>0</v>
      </c>
      <c r="K79" s="37">
        <f>SUM(D79:J79)</f>
        <v>0</v>
      </c>
      <c r="L79" s="11"/>
      <c r="M79" s="11"/>
      <c r="N79" s="11"/>
      <c r="O79" s="54">
        <f t="shared" si="3"/>
        <v>0</v>
      </c>
    </row>
    <row r="80" spans="2:18" hidden="1" x14ac:dyDescent="0.2">
      <c r="B80" s="11">
        <v>1111015</v>
      </c>
      <c r="C80" s="20" t="s">
        <v>66</v>
      </c>
      <c r="D80" s="31">
        <f>บ่าย!D80+'เช้า '!D80+'เย็น '!D80</f>
        <v>0</v>
      </c>
      <c r="E80" s="31">
        <f>บ่าย!E80+'เช้า '!E80+'เย็น '!E80</f>
        <v>0</v>
      </c>
      <c r="F80" s="31">
        <f>บ่าย!F80+'เช้า '!F80+'เย็น '!F80</f>
        <v>0</v>
      </c>
      <c r="G80" s="31">
        <f>บ่าย!G80+'เช้า '!G80+'เย็น '!G80</f>
        <v>0</v>
      </c>
      <c r="H80" s="31">
        <f>บ่าย!H80+'เช้า '!H80+'เย็น '!H80</f>
        <v>0</v>
      </c>
      <c r="I80" s="31">
        <f>บ่าย!I80+'เช้า '!I80+'เย็น '!I80</f>
        <v>0</v>
      </c>
      <c r="J80" s="31">
        <f>บ่าย!J80+'เช้า '!J80+'เย็น '!J80</f>
        <v>0</v>
      </c>
      <c r="K80" s="37">
        <f t="shared" ref="K80:K87" si="5">SUM(D80:J80)</f>
        <v>0</v>
      </c>
      <c r="L80" s="11"/>
      <c r="M80" s="11"/>
      <c r="N80" s="11"/>
      <c r="O80" s="54">
        <f t="shared" si="3"/>
        <v>0</v>
      </c>
    </row>
    <row r="81" spans="2:15" hidden="1" x14ac:dyDescent="0.2">
      <c r="B81" s="11">
        <v>1111013</v>
      </c>
      <c r="C81" s="20" t="s">
        <v>67</v>
      </c>
      <c r="D81" s="31">
        <f>บ่าย!D81+'เช้า '!D81+'เย็น '!D81</f>
        <v>0</v>
      </c>
      <c r="E81" s="31">
        <f>บ่าย!E81+'เช้า '!E81+'เย็น '!E81</f>
        <v>0</v>
      </c>
      <c r="F81" s="31">
        <f>บ่าย!F81+'เช้า '!F81+'เย็น '!F81</f>
        <v>0</v>
      </c>
      <c r="G81" s="31">
        <f>บ่าย!G81+'เช้า '!G81+'เย็น '!G81</f>
        <v>0</v>
      </c>
      <c r="H81" s="31">
        <f>บ่าย!H81+'เช้า '!H81+'เย็น '!H81</f>
        <v>0</v>
      </c>
      <c r="I81" s="31">
        <f>บ่าย!I81+'เช้า '!I81+'เย็น '!I81</f>
        <v>0</v>
      </c>
      <c r="J81" s="31">
        <f>บ่าย!J81+'เช้า '!J81+'เย็น '!J81</f>
        <v>0</v>
      </c>
      <c r="K81" s="37">
        <f t="shared" si="5"/>
        <v>0</v>
      </c>
      <c r="L81" s="11"/>
      <c r="M81" s="11"/>
      <c r="N81" s="11"/>
      <c r="O81" s="54">
        <f t="shared" si="3"/>
        <v>0</v>
      </c>
    </row>
    <row r="82" spans="2:15" hidden="1" x14ac:dyDescent="0.2">
      <c r="B82" s="11">
        <v>1111024</v>
      </c>
      <c r="C82" s="20" t="s">
        <v>68</v>
      </c>
      <c r="D82" s="31">
        <f>บ่าย!D82+'เช้า '!D82+'เย็น '!D82</f>
        <v>0</v>
      </c>
      <c r="E82" s="31">
        <f>บ่าย!E82+'เช้า '!E82+'เย็น '!E82</f>
        <v>0</v>
      </c>
      <c r="F82" s="31">
        <f>บ่าย!F82+'เช้า '!F82+'เย็น '!F82</f>
        <v>0</v>
      </c>
      <c r="G82" s="31">
        <f>บ่าย!G82+'เช้า '!G82+'เย็น '!G82</f>
        <v>0</v>
      </c>
      <c r="H82" s="31">
        <f>บ่าย!H82+'เช้า '!H82+'เย็น '!H82</f>
        <v>0</v>
      </c>
      <c r="I82" s="31">
        <f>บ่าย!I82+'เช้า '!I82+'เย็น '!I82</f>
        <v>0</v>
      </c>
      <c r="J82" s="31">
        <f>บ่าย!J82+'เช้า '!J82+'เย็น '!J82</f>
        <v>0</v>
      </c>
      <c r="K82" s="37">
        <f t="shared" si="5"/>
        <v>0</v>
      </c>
      <c r="L82" s="11"/>
      <c r="M82" s="11"/>
      <c r="N82" s="11"/>
      <c r="O82" s="54">
        <f t="shared" si="3"/>
        <v>0</v>
      </c>
    </row>
    <row r="83" spans="2:15" hidden="1" x14ac:dyDescent="0.2">
      <c r="B83" s="11">
        <v>1111017</v>
      </c>
      <c r="C83" s="20" t="s">
        <v>69</v>
      </c>
      <c r="D83" s="31">
        <f>บ่าย!D83+'เช้า '!D83+'เย็น '!D83</f>
        <v>0</v>
      </c>
      <c r="E83" s="31">
        <f>บ่าย!E83+'เช้า '!E83+'เย็น '!E83</f>
        <v>0</v>
      </c>
      <c r="F83" s="31">
        <f>บ่าย!F83+'เช้า '!F83+'เย็น '!F83</f>
        <v>0</v>
      </c>
      <c r="G83" s="31">
        <f>บ่าย!G83+'เช้า '!G83+'เย็น '!G83</f>
        <v>0</v>
      </c>
      <c r="H83" s="31">
        <f>บ่าย!H83+'เช้า '!H83+'เย็น '!H83</f>
        <v>0</v>
      </c>
      <c r="I83" s="31">
        <f>บ่าย!I83+'เช้า '!I83+'เย็น '!I83</f>
        <v>0</v>
      </c>
      <c r="J83" s="31">
        <f>บ่าย!J83+'เช้า '!J83+'เย็น '!J83</f>
        <v>0</v>
      </c>
      <c r="K83" s="37">
        <f t="shared" si="5"/>
        <v>0</v>
      </c>
      <c r="L83" s="11"/>
      <c r="M83" s="11"/>
      <c r="N83" s="11"/>
      <c r="O83" s="54">
        <f t="shared" si="3"/>
        <v>0</v>
      </c>
    </row>
    <row r="84" spans="2:15" hidden="1" x14ac:dyDescent="0.2">
      <c r="B84" s="11">
        <v>1111011</v>
      </c>
      <c r="C84" s="20" t="s">
        <v>70</v>
      </c>
      <c r="D84" s="31">
        <f>บ่าย!D84+'เช้า '!D84+'เย็น '!D84</f>
        <v>0</v>
      </c>
      <c r="E84" s="31">
        <f>บ่าย!E84+'เช้า '!E84+'เย็น '!E84</f>
        <v>0</v>
      </c>
      <c r="F84" s="31">
        <f>บ่าย!F84+'เช้า '!F84+'เย็น '!F84</f>
        <v>0</v>
      </c>
      <c r="G84" s="31">
        <f>บ่าย!G84+'เช้า '!G84+'เย็น '!G84</f>
        <v>0</v>
      </c>
      <c r="H84" s="31">
        <f>บ่าย!H84+'เช้า '!H84+'เย็น '!H84</f>
        <v>0</v>
      </c>
      <c r="I84" s="31">
        <f>บ่าย!I84+'เช้า '!I84+'เย็น '!I84</f>
        <v>0</v>
      </c>
      <c r="J84" s="31">
        <f>บ่าย!J84+'เช้า '!J84+'เย็น '!J84</f>
        <v>0</v>
      </c>
      <c r="K84" s="37">
        <f t="shared" si="5"/>
        <v>0</v>
      </c>
      <c r="L84" s="11"/>
      <c r="M84" s="11"/>
      <c r="N84" s="11"/>
      <c r="O84" s="54">
        <f t="shared" si="3"/>
        <v>0</v>
      </c>
    </row>
    <row r="85" spans="2:15" hidden="1" x14ac:dyDescent="0.2">
      <c r="B85" s="11">
        <v>1111019</v>
      </c>
      <c r="C85" s="20" t="s">
        <v>71</v>
      </c>
      <c r="D85" s="31">
        <f>บ่าย!D85+'เช้า '!D85+'เย็น '!D85</f>
        <v>0</v>
      </c>
      <c r="E85" s="31">
        <f>บ่าย!E85+'เช้า '!E85+'เย็น '!E85</f>
        <v>0</v>
      </c>
      <c r="F85" s="31">
        <f>บ่าย!F85+'เช้า '!F85+'เย็น '!F85</f>
        <v>0</v>
      </c>
      <c r="G85" s="31">
        <f>บ่าย!G85+'เช้า '!G85+'เย็น '!G85</f>
        <v>0</v>
      </c>
      <c r="H85" s="31">
        <f>บ่าย!H85+'เช้า '!H85+'เย็น '!H85</f>
        <v>0</v>
      </c>
      <c r="I85" s="31">
        <f>บ่าย!I85+'เช้า '!I85+'เย็น '!I85</f>
        <v>0</v>
      </c>
      <c r="J85" s="31">
        <f>บ่าย!J85+'เช้า '!J85+'เย็น '!J85</f>
        <v>0</v>
      </c>
      <c r="K85" s="37">
        <f t="shared" si="5"/>
        <v>0</v>
      </c>
      <c r="L85" s="11"/>
      <c r="M85" s="11"/>
      <c r="N85" s="11"/>
      <c r="O85" s="54">
        <f t="shared" si="3"/>
        <v>0</v>
      </c>
    </row>
    <row r="86" spans="2:15" hidden="1" x14ac:dyDescent="0.2">
      <c r="B86" s="11">
        <v>1113081</v>
      </c>
      <c r="C86" s="20" t="s">
        <v>72</v>
      </c>
      <c r="D86" s="31">
        <f>บ่าย!D86+'เช้า '!D86+'เย็น '!D86</f>
        <v>0</v>
      </c>
      <c r="E86" s="31">
        <f>บ่าย!E86+'เช้า '!E86+'เย็น '!E86</f>
        <v>0</v>
      </c>
      <c r="F86" s="31">
        <f>บ่าย!F86+'เช้า '!F86+'เย็น '!F86</f>
        <v>0</v>
      </c>
      <c r="G86" s="31">
        <f>บ่าย!G86+'เช้า '!G86+'เย็น '!G86</f>
        <v>0</v>
      </c>
      <c r="H86" s="31">
        <f>บ่าย!H86+'เช้า '!H86+'เย็น '!H86</f>
        <v>0</v>
      </c>
      <c r="I86" s="31">
        <f>บ่าย!I86+'เช้า '!I86+'เย็น '!I86</f>
        <v>0</v>
      </c>
      <c r="J86" s="31">
        <f>บ่าย!J86+'เช้า '!J86+'เย็น '!J86</f>
        <v>0</v>
      </c>
      <c r="K86" s="37">
        <f t="shared" si="5"/>
        <v>0</v>
      </c>
      <c r="L86" s="11"/>
      <c r="M86" s="11"/>
      <c r="N86" s="11"/>
      <c r="O86" s="54">
        <f t="shared" si="3"/>
        <v>0</v>
      </c>
    </row>
    <row r="87" spans="2:15" x14ac:dyDescent="0.2">
      <c r="B87" s="11">
        <v>1111008</v>
      </c>
      <c r="C87" s="20" t="s">
        <v>73</v>
      </c>
      <c r="D87" s="31">
        <f>บ่าย!D87+'เช้า '!D87+'เย็น '!D87</f>
        <v>0</v>
      </c>
      <c r="E87" s="31">
        <f>บ่าย!E87+'เช้า '!E87+'เย็น '!E87</f>
        <v>12</v>
      </c>
      <c r="F87" s="31">
        <f>บ่าย!F87+'เช้า '!F87+'เย็น '!F87</f>
        <v>0</v>
      </c>
      <c r="G87" s="31">
        <f>บ่าย!G87+'เช้า '!G87+'เย็น '!G87</f>
        <v>107</v>
      </c>
      <c r="H87" s="31">
        <f>บ่าย!H87+'เช้า '!H87+'เย็น '!H87</f>
        <v>9</v>
      </c>
      <c r="I87" s="31">
        <f>บ่าย!I87+'เช้า '!I87+'เย็น '!I87</f>
        <v>0</v>
      </c>
      <c r="J87" s="31">
        <f>บ่าย!J87+'เช้า '!J87+'เย็น '!J87</f>
        <v>0</v>
      </c>
      <c r="K87" s="37">
        <f t="shared" si="5"/>
        <v>128</v>
      </c>
      <c r="L87" s="11">
        <v>100</v>
      </c>
      <c r="M87" s="11"/>
      <c r="N87" s="11">
        <v>14</v>
      </c>
      <c r="O87" s="54">
        <f t="shared" si="3"/>
        <v>-14</v>
      </c>
    </row>
    <row r="88" spans="2:15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37">
        <f>SUM(D88:J88)</f>
        <v>0</v>
      </c>
      <c r="L88" s="11"/>
      <c r="M88" s="11"/>
      <c r="N88" s="11"/>
      <c r="O88" s="54">
        <f t="shared" si="3"/>
        <v>0</v>
      </c>
    </row>
    <row r="89" spans="2:15" ht="19.5" x14ac:dyDescent="0.2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72"/>
    </row>
    <row r="90" spans="2:15" x14ac:dyDescent="0.2">
      <c r="B90" s="11">
        <v>1112009</v>
      </c>
      <c r="C90" s="20" t="s">
        <v>75</v>
      </c>
      <c r="D90" s="31">
        <f>บ่าย!D90+'เช้า '!D90+'เย็น '!D90</f>
        <v>0</v>
      </c>
      <c r="E90" s="31">
        <f>บ่าย!E90+'เช้า '!E90+'เย็น '!E90</f>
        <v>2</v>
      </c>
      <c r="F90" s="31">
        <f>บ่าย!F90+'เช้า '!F90+'เย็น '!F90</f>
        <v>14</v>
      </c>
      <c r="G90" s="31">
        <f>บ่าย!G90+'เช้า '!G90+'เย็น '!G90</f>
        <v>41</v>
      </c>
      <c r="H90" s="31">
        <f>บ่าย!H90+'เช้า '!H90+'เย็น '!H90</f>
        <v>1</v>
      </c>
      <c r="I90" s="31">
        <f>บ่าย!I90+'เช้า '!I90+'เย็น '!I90</f>
        <v>0</v>
      </c>
      <c r="J90" s="31">
        <f>บ่าย!J90+'เช้า '!J90+'เย็น '!J90</f>
        <v>0</v>
      </c>
      <c r="K90" s="37">
        <f>SUM(D90:J90)</f>
        <v>58</v>
      </c>
      <c r="L90" s="11">
        <v>120</v>
      </c>
      <c r="M90" s="11"/>
      <c r="N90" s="11"/>
      <c r="O90" s="54">
        <f t="shared" si="3"/>
        <v>62</v>
      </c>
    </row>
    <row r="91" spans="2:15" x14ac:dyDescent="0.2">
      <c r="B91" s="11">
        <v>1112011</v>
      </c>
      <c r="C91" s="20" t="s">
        <v>76</v>
      </c>
      <c r="D91" s="31">
        <f>บ่าย!D91+'เช้า '!D91+'เย็น '!D91</f>
        <v>0</v>
      </c>
      <c r="E91" s="31">
        <f>บ่าย!E91+'เช้า '!E91+'เย็น '!E91</f>
        <v>3</v>
      </c>
      <c r="F91" s="31">
        <f>บ่าย!F91+'เช้า '!F91+'เย็น '!F91</f>
        <v>11</v>
      </c>
      <c r="G91" s="31">
        <f>บ่าย!G91+'เช้า '!G91+'เย็น '!G91</f>
        <v>41</v>
      </c>
      <c r="H91" s="31">
        <f>บ่าย!H91+'เช้า '!H91+'เย็น '!H91</f>
        <v>1</v>
      </c>
      <c r="I91" s="31">
        <f>บ่าย!I91+'เช้า '!I91+'เย็น '!I91</f>
        <v>0</v>
      </c>
      <c r="J91" s="31">
        <f>บ่าย!J91+'เช้า '!J91+'เย็น '!J91</f>
        <v>0</v>
      </c>
      <c r="K91" s="37">
        <f t="shared" ref="K91:K99" si="6">SUM(D91:J91)</f>
        <v>56</v>
      </c>
      <c r="L91" s="11">
        <v>120</v>
      </c>
      <c r="M91" s="11"/>
      <c r="N91" s="11"/>
      <c r="O91" s="54">
        <f t="shared" si="3"/>
        <v>64</v>
      </c>
    </row>
    <row r="92" spans="2:15" x14ac:dyDescent="0.2">
      <c r="B92" s="11">
        <v>1112003</v>
      </c>
      <c r="C92" s="20" t="s">
        <v>77</v>
      </c>
      <c r="D92" s="31">
        <f>บ่าย!D92+'เช้า '!D92+'เย็น '!D92</f>
        <v>0</v>
      </c>
      <c r="E92" s="31">
        <f>บ่าย!E92+'เช้า '!E92+'เย็น '!E92</f>
        <v>2</v>
      </c>
      <c r="F92" s="31">
        <f>บ่าย!F92+'เช้า '!F92+'เย็น '!F92</f>
        <v>2</v>
      </c>
      <c r="G92" s="31">
        <f>บ่าย!G92+'เช้า '!G92+'เย็น '!G92</f>
        <v>41</v>
      </c>
      <c r="H92" s="31">
        <f>บ่าย!H92+'เช้า '!H92+'เย็น '!H92</f>
        <v>1</v>
      </c>
      <c r="I92" s="31">
        <f>บ่าย!I92+'เช้า '!I92+'เย็น '!I92</f>
        <v>0</v>
      </c>
      <c r="J92" s="31">
        <f>บ่าย!J92+'เช้า '!J92+'เย็น '!J92</f>
        <v>0</v>
      </c>
      <c r="K92" s="37">
        <f t="shared" si="6"/>
        <v>46</v>
      </c>
      <c r="L92" s="11">
        <v>110</v>
      </c>
      <c r="M92" s="11"/>
      <c r="N92" s="11"/>
      <c r="O92" s="54">
        <f t="shared" si="3"/>
        <v>64</v>
      </c>
    </row>
    <row r="93" spans="2:15" x14ac:dyDescent="0.2">
      <c r="B93" s="11">
        <v>1112005</v>
      </c>
      <c r="C93" s="20" t="s">
        <v>78</v>
      </c>
      <c r="D93" s="31">
        <f>บ่าย!D93+'เช้า '!D93+'เย็น '!D93</f>
        <v>0</v>
      </c>
      <c r="E93" s="31">
        <f>บ่าย!E93+'เช้า '!E93+'เย็น '!E93</f>
        <v>2</v>
      </c>
      <c r="F93" s="31">
        <f>บ่าย!F93+'เช้า '!F93+'เย็น '!F93</f>
        <v>2</v>
      </c>
      <c r="G93" s="31">
        <f>บ่าย!G93+'เช้า '!G93+'เย็น '!G93</f>
        <v>6</v>
      </c>
      <c r="H93" s="31">
        <f>บ่าย!H93+'เช้า '!H93+'เย็น '!H93</f>
        <v>0</v>
      </c>
      <c r="I93" s="31">
        <f>บ่าย!I93+'เช้า '!I93+'เย็น '!I93</f>
        <v>0</v>
      </c>
      <c r="J93" s="31">
        <f>บ่าย!J93+'เช้า '!J93+'เย็น '!J93</f>
        <v>0</v>
      </c>
      <c r="K93" s="37">
        <f t="shared" si="6"/>
        <v>10</v>
      </c>
      <c r="L93" s="11">
        <v>110</v>
      </c>
      <c r="M93" s="11"/>
      <c r="N93" s="11">
        <v>13</v>
      </c>
      <c r="O93" s="54">
        <f t="shared" si="3"/>
        <v>113</v>
      </c>
    </row>
    <row r="94" spans="2:15" hidden="1" x14ac:dyDescent="0.2">
      <c r="B94" s="11">
        <v>1112007</v>
      </c>
      <c r="C94" s="20" t="s">
        <v>79</v>
      </c>
      <c r="D94" s="31">
        <f>บ่าย!D94+'เช้า '!D94+'เย็น '!D94</f>
        <v>0</v>
      </c>
      <c r="E94" s="31">
        <f>บ่าย!E94+'เช้า '!E94+'เย็น '!E94</f>
        <v>0</v>
      </c>
      <c r="F94" s="31">
        <f>บ่าย!F94+'เช้า '!F94+'เย็น '!F94</f>
        <v>0</v>
      </c>
      <c r="G94" s="31">
        <f>บ่าย!G94+'เช้า '!G94+'เย็น '!G94</f>
        <v>0</v>
      </c>
      <c r="H94" s="31">
        <f>บ่าย!H94+'เช้า '!H94+'เย็น '!H94</f>
        <v>0</v>
      </c>
      <c r="I94" s="31">
        <f>บ่าย!I94+'เช้า '!I94+'เย็น '!I94</f>
        <v>0</v>
      </c>
      <c r="J94" s="31">
        <f>บ่าย!J94+'เช้า '!J94+'เย็น '!J94</f>
        <v>0</v>
      </c>
      <c r="K94" s="37">
        <f t="shared" si="6"/>
        <v>0</v>
      </c>
      <c r="L94" s="11"/>
      <c r="M94" s="11"/>
      <c r="N94" s="11"/>
      <c r="O94" s="54">
        <f t="shared" si="3"/>
        <v>0</v>
      </c>
    </row>
    <row r="95" spans="2:15" hidden="1" x14ac:dyDescent="0.2">
      <c r="B95" s="11">
        <v>1112019</v>
      </c>
      <c r="C95" s="20" t="s">
        <v>80</v>
      </c>
      <c r="D95" s="31">
        <f>บ่าย!D95+'เช้า '!D95+'เย็น '!D95</f>
        <v>0</v>
      </c>
      <c r="E95" s="31">
        <f>บ่าย!E95+'เช้า '!E95+'เย็น '!E95</f>
        <v>0</v>
      </c>
      <c r="F95" s="31">
        <f>บ่าย!F95+'เช้า '!F95+'เย็น '!F95</f>
        <v>0</v>
      </c>
      <c r="G95" s="31">
        <f>บ่าย!G95+'เช้า '!G95+'เย็น '!G95</f>
        <v>0</v>
      </c>
      <c r="H95" s="31">
        <f>บ่าย!H95+'เช้า '!H95+'เย็น '!H95</f>
        <v>0</v>
      </c>
      <c r="I95" s="31">
        <f>บ่าย!I95+'เช้า '!I95+'เย็น '!I95</f>
        <v>0</v>
      </c>
      <c r="J95" s="31">
        <f>บ่าย!J95+'เช้า '!J95+'เย็น '!J95</f>
        <v>0</v>
      </c>
      <c r="K95" s="37">
        <f t="shared" si="6"/>
        <v>0</v>
      </c>
      <c r="L95" s="11"/>
      <c r="M95" s="11"/>
      <c r="N95" s="11"/>
      <c r="O95" s="54">
        <f t="shared" si="3"/>
        <v>0</v>
      </c>
    </row>
    <row r="96" spans="2:15" x14ac:dyDescent="0.2">
      <c r="B96" s="11">
        <v>1112017</v>
      </c>
      <c r="C96" s="20" t="s">
        <v>81</v>
      </c>
      <c r="D96" s="31">
        <f>บ่าย!D96+'เช้า '!D96+'เย็น '!D96</f>
        <v>0</v>
      </c>
      <c r="E96" s="31">
        <f>บ่าย!E96+'เช้า '!E96+'เย็น '!E96</f>
        <v>2</v>
      </c>
      <c r="F96" s="31">
        <f>บ่าย!F96+'เช้า '!F96+'เย็น '!F96</f>
        <v>2</v>
      </c>
      <c r="G96" s="31">
        <f>บ่าย!G96+'เช้า '!G96+'เย็น '!G96</f>
        <v>41</v>
      </c>
      <c r="H96" s="31">
        <f>บ่าย!H96+'เช้า '!H96+'เย็น '!H96</f>
        <v>1</v>
      </c>
      <c r="I96" s="31">
        <f>บ่าย!I96+'เช้า '!I96+'เย็น '!I96</f>
        <v>0</v>
      </c>
      <c r="J96" s="31">
        <f>บ่าย!J96+'เช้า '!J96+'เย็น '!J96</f>
        <v>0</v>
      </c>
      <c r="K96" s="37">
        <f t="shared" si="6"/>
        <v>46</v>
      </c>
      <c r="L96" s="11">
        <v>110</v>
      </c>
      <c r="M96" s="11"/>
      <c r="N96" s="11"/>
      <c r="O96" s="54">
        <f t="shared" si="3"/>
        <v>64</v>
      </c>
    </row>
    <row r="97" spans="2:15" x14ac:dyDescent="0.2">
      <c r="B97" s="11">
        <v>1112015</v>
      </c>
      <c r="C97" s="20" t="s">
        <v>82</v>
      </c>
      <c r="D97" s="31">
        <f>บ่าย!D97+'เช้า '!D97+'เย็น '!D97</f>
        <v>0</v>
      </c>
      <c r="E97" s="31">
        <f>บ่าย!E97+'เช้า '!E97+'เย็น '!E97</f>
        <v>2</v>
      </c>
      <c r="F97" s="31">
        <f>บ่าย!F97+'เช้า '!F97+'เย็น '!F97</f>
        <v>2</v>
      </c>
      <c r="G97" s="31">
        <f>บ่าย!G97+'เช้า '!G97+'เย็น '!G97</f>
        <v>41</v>
      </c>
      <c r="H97" s="31">
        <f>บ่าย!H97+'เช้า '!H97+'เย็น '!H97</f>
        <v>1</v>
      </c>
      <c r="I97" s="31">
        <f>บ่าย!I97+'เช้า '!I97+'เย็น '!I97</f>
        <v>0</v>
      </c>
      <c r="J97" s="31">
        <f>บ่าย!J97+'เช้า '!J97+'เย็น '!J97</f>
        <v>0</v>
      </c>
      <c r="K97" s="37">
        <f t="shared" si="6"/>
        <v>46</v>
      </c>
      <c r="L97" s="11">
        <v>110</v>
      </c>
      <c r="M97" s="11"/>
      <c r="N97" s="11"/>
      <c r="O97" s="54">
        <f t="shared" si="3"/>
        <v>64</v>
      </c>
    </row>
    <row r="98" spans="2:15" x14ac:dyDescent="0.2">
      <c r="B98" s="11">
        <v>1112013</v>
      </c>
      <c r="C98" s="20" t="s">
        <v>83</v>
      </c>
      <c r="D98" s="31">
        <f>บ่าย!D98+'เช้า '!D98+'เย็น '!D98</f>
        <v>0</v>
      </c>
      <c r="E98" s="31">
        <f>บ่าย!E98+'เช้า '!E98+'เย็น '!E98</f>
        <v>2</v>
      </c>
      <c r="F98" s="31">
        <f>บ่าย!F98+'เช้า '!F98+'เย็น '!F98</f>
        <v>9</v>
      </c>
      <c r="G98" s="31">
        <f>บ่าย!G98+'เช้า '!G98+'เย็น '!G98</f>
        <v>41</v>
      </c>
      <c r="H98" s="31">
        <f>บ่าย!H98+'เช้า '!H98+'เย็น '!H98</f>
        <v>1</v>
      </c>
      <c r="I98" s="31">
        <f>บ่าย!I98+'เช้า '!I98+'เย็น '!I98</f>
        <v>0</v>
      </c>
      <c r="J98" s="31">
        <f>บ่าย!J98+'เช้า '!J98+'เย็น '!J98</f>
        <v>0</v>
      </c>
      <c r="K98" s="37">
        <f t="shared" si="6"/>
        <v>53</v>
      </c>
      <c r="L98" s="11">
        <v>120</v>
      </c>
      <c r="M98" s="11"/>
      <c r="N98" s="11"/>
      <c r="O98" s="54">
        <f t="shared" si="3"/>
        <v>67</v>
      </c>
    </row>
    <row r="99" spans="2:15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37">
        <f t="shared" si="6"/>
        <v>0</v>
      </c>
      <c r="L99" s="11"/>
      <c r="M99" s="11"/>
      <c r="N99" s="11"/>
      <c r="O99" s="54">
        <f t="shared" si="3"/>
        <v>0</v>
      </c>
    </row>
    <row r="100" spans="2:15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7">
        <f>SUM(K90:K99)</f>
        <v>315</v>
      </c>
      <c r="L100" s="11"/>
      <c r="M100" s="11"/>
      <c r="N100" s="11"/>
      <c r="O100" s="54">
        <f t="shared" si="3"/>
        <v>-315</v>
      </c>
    </row>
    <row r="101" spans="2:15" ht="19.5" hidden="1" x14ac:dyDescent="0.2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72"/>
    </row>
    <row r="102" spans="2:15" hidden="1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37">
        <f>SUM(D102:J102)</f>
        <v>0</v>
      </c>
      <c r="L102" s="11"/>
      <c r="M102" s="11"/>
      <c r="N102" s="11"/>
      <c r="O102" s="54">
        <f t="shared" si="3"/>
        <v>0</v>
      </c>
    </row>
    <row r="103" spans="2:15" hidden="1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37">
        <f t="shared" ref="K103:K111" si="7">SUM(D103:J103)</f>
        <v>0</v>
      </c>
      <c r="L103" s="11"/>
      <c r="M103" s="11"/>
      <c r="N103" s="11"/>
      <c r="O103" s="54">
        <f t="shared" si="3"/>
        <v>0</v>
      </c>
    </row>
    <row r="104" spans="2:15" hidden="1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37">
        <f t="shared" si="7"/>
        <v>0</v>
      </c>
      <c r="L104" s="11"/>
      <c r="M104" s="11"/>
      <c r="N104" s="11"/>
      <c r="O104" s="54">
        <f t="shared" si="3"/>
        <v>0</v>
      </c>
    </row>
    <row r="105" spans="2:15" hidden="1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37">
        <f t="shared" si="7"/>
        <v>0</v>
      </c>
      <c r="L105" s="11"/>
      <c r="M105" s="11"/>
      <c r="N105" s="11"/>
      <c r="O105" s="54">
        <f t="shared" si="3"/>
        <v>0</v>
      </c>
    </row>
    <row r="106" spans="2:15" hidden="1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37">
        <f t="shared" si="7"/>
        <v>0</v>
      </c>
      <c r="L106" s="11"/>
      <c r="M106" s="11"/>
      <c r="N106" s="11"/>
      <c r="O106" s="54">
        <f t="shared" si="3"/>
        <v>0</v>
      </c>
    </row>
    <row r="107" spans="2:15" hidden="1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37">
        <f t="shared" si="7"/>
        <v>0</v>
      </c>
      <c r="L107" s="11"/>
      <c r="M107" s="11"/>
      <c r="N107" s="11"/>
      <c r="O107" s="54">
        <f t="shared" si="3"/>
        <v>0</v>
      </c>
    </row>
    <row r="108" spans="2:15" hidden="1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37">
        <f t="shared" si="7"/>
        <v>0</v>
      </c>
      <c r="L108" s="11"/>
      <c r="M108" s="11"/>
      <c r="N108" s="11"/>
      <c r="O108" s="54">
        <f t="shared" si="3"/>
        <v>0</v>
      </c>
    </row>
    <row r="109" spans="2:15" hidden="1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37">
        <f t="shared" si="7"/>
        <v>0</v>
      </c>
      <c r="L109" s="11"/>
      <c r="M109" s="11"/>
      <c r="N109" s="11"/>
      <c r="O109" s="54">
        <f t="shared" si="3"/>
        <v>0</v>
      </c>
    </row>
    <row r="110" spans="2:15" hidden="1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37">
        <f t="shared" si="7"/>
        <v>0</v>
      </c>
      <c r="L110" s="11"/>
      <c r="M110" s="11"/>
      <c r="N110" s="11"/>
      <c r="O110" s="54">
        <f t="shared" si="3"/>
        <v>0</v>
      </c>
    </row>
    <row r="111" spans="2:15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37">
        <f t="shared" si="7"/>
        <v>0</v>
      </c>
      <c r="L111" s="11"/>
      <c r="M111" s="11"/>
      <c r="N111" s="11"/>
      <c r="O111" s="54">
        <f t="shared" si="3"/>
        <v>0</v>
      </c>
    </row>
    <row r="112" spans="2:15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37">
        <f t="shared" ref="K112" si="8">SUM(D112:J112)</f>
        <v>0</v>
      </c>
      <c r="L112" s="11"/>
      <c r="M112" s="11"/>
      <c r="N112" s="11"/>
      <c r="O112" s="54">
        <f t="shared" ref="O112" si="9">SUM(L112+N112)-K112</f>
        <v>0</v>
      </c>
    </row>
    <row r="113" spans="2:15" ht="19.5" x14ac:dyDescent="0.2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72"/>
    </row>
    <row r="114" spans="2:15" x14ac:dyDescent="0.2">
      <c r="B114" s="11">
        <v>1113170</v>
      </c>
      <c r="C114" s="22" t="s">
        <v>87</v>
      </c>
      <c r="D114" s="31">
        <f>บ่าย!D114+'เช้า '!D114+'เย็น '!D114</f>
        <v>0</v>
      </c>
      <c r="E114" s="31">
        <f>บ่าย!E114+'เช้า '!E114+'เย็น '!E114</f>
        <v>0</v>
      </c>
      <c r="F114" s="31">
        <f>บ่าย!F114+'เช้า '!F114+'เย็น '!F114</f>
        <v>0</v>
      </c>
      <c r="G114" s="31">
        <f>บ่าย!G114+'เช้า '!G114+'เย็น '!G114</f>
        <v>0</v>
      </c>
      <c r="H114" s="31">
        <f>บ่าย!H114+'เช้า '!H114+'เย็น '!H114</f>
        <v>0</v>
      </c>
      <c r="I114" s="31">
        <f>บ่าย!I114+'เช้า '!I114+'เย็น '!I114</f>
        <v>0</v>
      </c>
      <c r="J114" s="31">
        <f>บ่าย!J114+'เช้า '!J114+'เย็น '!J114</f>
        <v>0</v>
      </c>
      <c r="K114" s="37">
        <f>SUM(D114:J114)</f>
        <v>0</v>
      </c>
      <c r="L114" s="11"/>
      <c r="M114" s="11"/>
      <c r="N114" s="11">
        <v>4</v>
      </c>
      <c r="O114" s="54">
        <f t="shared" ref="O114:O137" si="10">(L114+M114+N114)-K114</f>
        <v>4</v>
      </c>
    </row>
    <row r="115" spans="2:15" x14ac:dyDescent="0.2">
      <c r="B115" s="11">
        <v>1113171</v>
      </c>
      <c r="C115" s="22" t="s">
        <v>88</v>
      </c>
      <c r="D115" s="31">
        <f>บ่าย!D115+'เช้า '!D115+'เย็น '!D115</f>
        <v>0</v>
      </c>
      <c r="E115" s="31">
        <f>บ่าย!E115+'เช้า '!E115+'เย็น '!E115</f>
        <v>0</v>
      </c>
      <c r="F115" s="31">
        <f>บ่าย!F115+'เช้า '!F115+'เย็น '!F115</f>
        <v>0</v>
      </c>
      <c r="G115" s="31">
        <f>บ่าย!G115+'เช้า '!G115+'เย็น '!G115</f>
        <v>0</v>
      </c>
      <c r="H115" s="31">
        <f>บ่าย!H115+'เช้า '!H115+'เย็น '!H115</f>
        <v>0</v>
      </c>
      <c r="I115" s="31">
        <f>บ่าย!I115+'เช้า '!I115+'เย็น '!I115</f>
        <v>0</v>
      </c>
      <c r="J115" s="31">
        <f>บ่าย!J115+'เช้า '!J115+'เย็น '!J115</f>
        <v>0</v>
      </c>
      <c r="K115" s="37">
        <f t="shared" ref="K115:K137" si="11">SUM(D115:J115)</f>
        <v>0</v>
      </c>
      <c r="L115" s="11"/>
      <c r="M115" s="11"/>
      <c r="N115" s="11">
        <v>5</v>
      </c>
      <c r="O115" s="54">
        <f t="shared" si="10"/>
        <v>5</v>
      </c>
    </row>
    <row r="116" spans="2:15" x14ac:dyDescent="0.2">
      <c r="B116" s="11">
        <v>1113172</v>
      </c>
      <c r="C116" s="22" t="s">
        <v>89</v>
      </c>
      <c r="D116" s="31">
        <f>บ่าย!D116+'เช้า '!D116+'เย็น '!D116</f>
        <v>0</v>
      </c>
      <c r="E116" s="31">
        <f>บ่าย!E116+'เช้า '!E116+'เย็น '!E116</f>
        <v>0</v>
      </c>
      <c r="F116" s="31">
        <f>บ่าย!F116+'เช้า '!F116+'เย็น '!F116</f>
        <v>0</v>
      </c>
      <c r="G116" s="31">
        <f>บ่าย!G116+'เช้า '!G116+'เย็น '!G116</f>
        <v>0</v>
      </c>
      <c r="H116" s="31">
        <f>บ่าย!H116+'เช้า '!H116+'เย็น '!H116</f>
        <v>0</v>
      </c>
      <c r="I116" s="31">
        <f>บ่าย!I116+'เช้า '!I116+'เย็น '!I116</f>
        <v>0</v>
      </c>
      <c r="J116" s="31">
        <f>บ่าย!J116+'เช้า '!J116+'เย็น '!J116</f>
        <v>0</v>
      </c>
      <c r="K116" s="37">
        <f t="shared" si="11"/>
        <v>0</v>
      </c>
      <c r="L116" s="11"/>
      <c r="M116" s="11"/>
      <c r="N116" s="11">
        <v>5</v>
      </c>
      <c r="O116" s="54">
        <f t="shared" si="10"/>
        <v>5</v>
      </c>
    </row>
    <row r="117" spans="2:15" x14ac:dyDescent="0.2">
      <c r="B117" s="11">
        <v>1113173</v>
      </c>
      <c r="C117" s="22" t="s">
        <v>90</v>
      </c>
      <c r="D117" s="31">
        <f>บ่าย!D117+'เช้า '!D117+'เย็น '!D117</f>
        <v>0</v>
      </c>
      <c r="E117" s="31">
        <f>บ่าย!E117+'เช้า '!E117+'เย็น '!E117</f>
        <v>0</v>
      </c>
      <c r="F117" s="31">
        <f>บ่าย!F117+'เช้า '!F117+'เย็น '!F117</f>
        <v>0</v>
      </c>
      <c r="G117" s="31">
        <f>บ่าย!G117+'เช้า '!G117+'เย็น '!G117</f>
        <v>0</v>
      </c>
      <c r="H117" s="31">
        <f>บ่าย!H117+'เช้า '!H117+'เย็น '!H117</f>
        <v>0</v>
      </c>
      <c r="I117" s="31">
        <f>บ่าย!I117+'เช้า '!I117+'เย็น '!I117</f>
        <v>0</v>
      </c>
      <c r="J117" s="31">
        <f>บ่าย!J117+'เช้า '!J117+'เย็น '!J117</f>
        <v>0</v>
      </c>
      <c r="K117" s="37">
        <f t="shared" si="11"/>
        <v>0</v>
      </c>
      <c r="L117" s="11"/>
      <c r="M117" s="11"/>
      <c r="N117" s="11"/>
      <c r="O117" s="54">
        <f t="shared" si="10"/>
        <v>0</v>
      </c>
    </row>
    <row r="118" spans="2:15" x14ac:dyDescent="0.2">
      <c r="B118" s="11">
        <v>1100003</v>
      </c>
      <c r="C118" s="22" t="s">
        <v>121</v>
      </c>
      <c r="D118" s="31">
        <f>บ่าย!D118+'เช้า '!D118+'เย็น '!D118</f>
        <v>0</v>
      </c>
      <c r="E118" s="31">
        <f>บ่าย!E118+'เช้า '!E118+'เย็น '!E118</f>
        <v>0</v>
      </c>
      <c r="F118" s="31">
        <f>บ่าย!F118+'เช้า '!F118+'เย็น '!F118</f>
        <v>0</v>
      </c>
      <c r="G118" s="31">
        <f>บ่าย!G118+'เช้า '!G118+'เย็น '!G118</f>
        <v>0</v>
      </c>
      <c r="H118" s="31">
        <f>บ่าย!H118+'เช้า '!H118+'เย็น '!H118</f>
        <v>0</v>
      </c>
      <c r="I118" s="31">
        <f>บ่าย!I118+'เช้า '!I118+'เย็น '!I118</f>
        <v>0</v>
      </c>
      <c r="J118" s="31">
        <f>บ่าย!J118+'เช้า '!J118+'เย็น '!J118</f>
        <v>0</v>
      </c>
      <c r="K118" s="37">
        <f t="shared" si="11"/>
        <v>0</v>
      </c>
      <c r="L118" s="11"/>
      <c r="M118" s="11"/>
      <c r="N118" s="11"/>
      <c r="O118" s="54">
        <f t="shared" si="10"/>
        <v>0</v>
      </c>
    </row>
    <row r="119" spans="2:15" x14ac:dyDescent="0.2">
      <c r="B119" s="11">
        <v>1100001</v>
      </c>
      <c r="C119" s="22" t="s">
        <v>122</v>
      </c>
      <c r="D119" s="31">
        <f>บ่าย!D119+'เช้า '!D119+'เย็น '!D119</f>
        <v>0</v>
      </c>
      <c r="E119" s="31">
        <f>บ่าย!E119+'เช้า '!E119+'เย็น '!E119</f>
        <v>0</v>
      </c>
      <c r="F119" s="31">
        <f>บ่าย!F119+'เช้า '!F119+'เย็น '!F119</f>
        <v>1</v>
      </c>
      <c r="G119" s="31">
        <f>บ่าย!G119+'เช้า '!G119+'เย็น '!G119</f>
        <v>0</v>
      </c>
      <c r="H119" s="31">
        <f>บ่าย!H119+'เช้า '!H119+'เย็น '!H119</f>
        <v>0</v>
      </c>
      <c r="I119" s="31">
        <f>บ่าย!I119+'เช้า '!I119+'เย็น '!I119</f>
        <v>0</v>
      </c>
      <c r="J119" s="31">
        <f>บ่าย!J119+'เช้า '!J119+'เย็น '!J119</f>
        <v>0</v>
      </c>
      <c r="K119" s="37">
        <f t="shared" si="11"/>
        <v>1</v>
      </c>
      <c r="L119" s="11">
        <v>100</v>
      </c>
      <c r="M119" s="11"/>
      <c r="N119" s="11">
        <v>81</v>
      </c>
      <c r="O119" s="54">
        <f t="shared" si="10"/>
        <v>180</v>
      </c>
    </row>
    <row r="120" spans="2:15" x14ac:dyDescent="0.2">
      <c r="B120" s="11">
        <v>1100002</v>
      </c>
      <c r="C120" s="22" t="s">
        <v>123</v>
      </c>
      <c r="D120" s="31">
        <f>บ่าย!D120+'เช้า '!D120+'เย็น '!D120</f>
        <v>0</v>
      </c>
      <c r="E120" s="31">
        <f>บ่าย!E120+'เช้า '!E120+'เย็น '!E120</f>
        <v>0</v>
      </c>
      <c r="F120" s="31">
        <f>บ่าย!F120+'เช้า '!F120+'เย็น '!F120</f>
        <v>1</v>
      </c>
      <c r="G120" s="31">
        <f>บ่าย!G120+'เช้า '!G120+'เย็น '!G120</f>
        <v>4</v>
      </c>
      <c r="H120" s="31">
        <f>บ่าย!H120+'เช้า '!H120+'เย็น '!H120</f>
        <v>0</v>
      </c>
      <c r="I120" s="31">
        <f>บ่าย!I120+'เช้า '!I120+'เย็น '!I120</f>
        <v>0</v>
      </c>
      <c r="J120" s="31">
        <f>บ่าย!J120+'เช้า '!J120+'เย็น '!J120</f>
        <v>0</v>
      </c>
      <c r="K120" s="37">
        <f t="shared" si="11"/>
        <v>5</v>
      </c>
      <c r="L120" s="11">
        <v>50</v>
      </c>
      <c r="M120" s="11"/>
      <c r="N120" s="11"/>
      <c r="O120" s="54">
        <f t="shared" si="10"/>
        <v>45</v>
      </c>
    </row>
    <row r="121" spans="2:15" x14ac:dyDescent="0.2">
      <c r="B121" s="11">
        <v>1200001</v>
      </c>
      <c r="C121" s="22" t="s">
        <v>93</v>
      </c>
      <c r="D121" s="31">
        <f>บ่าย!D121+'เช้า '!D121+'เย็น '!D121</f>
        <v>0</v>
      </c>
      <c r="E121" s="31">
        <f>บ่าย!E121+'เช้า '!E121+'เย็น '!E121</f>
        <v>0</v>
      </c>
      <c r="F121" s="31">
        <f>บ่าย!F121+'เช้า '!F121+'เย็น '!F121</f>
        <v>0</v>
      </c>
      <c r="G121" s="31">
        <f>บ่าย!G121+'เช้า '!G121+'เย็น '!G121</f>
        <v>0</v>
      </c>
      <c r="H121" s="31">
        <f>บ่าย!H121+'เช้า '!H121+'เย็น '!H121</f>
        <v>0</v>
      </c>
      <c r="I121" s="31">
        <f>บ่าย!I121+'เช้า '!I121+'เย็น '!I121</f>
        <v>0</v>
      </c>
      <c r="J121" s="31">
        <f>บ่าย!J121+'เช้า '!J121+'เย็น '!J121</f>
        <v>0</v>
      </c>
      <c r="K121" s="37">
        <f t="shared" si="11"/>
        <v>0</v>
      </c>
      <c r="L121" s="11">
        <v>20</v>
      </c>
      <c r="M121" s="11"/>
      <c r="N121" s="11">
        <v>1</v>
      </c>
      <c r="O121" s="54">
        <f t="shared" si="10"/>
        <v>21</v>
      </c>
    </row>
    <row r="122" spans="2:15" x14ac:dyDescent="0.2">
      <c r="B122" s="11">
        <v>1005761</v>
      </c>
      <c r="C122" s="22" t="s">
        <v>94</v>
      </c>
      <c r="D122" s="31">
        <f>บ่าย!D122+'เช้า '!D122+'เย็น '!D122</f>
        <v>0</v>
      </c>
      <c r="E122" s="31">
        <f>บ่าย!E122+'เช้า '!E122+'เย็น '!E122</f>
        <v>0</v>
      </c>
      <c r="F122" s="31">
        <f>บ่าย!F122+'เช้า '!F122+'เย็น '!F122</f>
        <v>0</v>
      </c>
      <c r="G122" s="31">
        <f>บ่าย!G122+'เช้า '!G122+'เย็น '!G122</f>
        <v>3</v>
      </c>
      <c r="H122" s="31">
        <f>บ่าย!H122+'เช้า '!H122+'เย็น '!H122</f>
        <v>0</v>
      </c>
      <c r="I122" s="31">
        <f>บ่าย!I122+'เช้า '!I122+'เย็น '!I122</f>
        <v>0</v>
      </c>
      <c r="J122" s="31">
        <f>บ่าย!J122+'เช้า '!J122+'เย็น '!J122</f>
        <v>0</v>
      </c>
      <c r="K122" s="37">
        <f t="shared" si="11"/>
        <v>3</v>
      </c>
      <c r="L122" s="11">
        <v>30</v>
      </c>
      <c r="M122" s="11"/>
      <c r="N122" s="11"/>
      <c r="O122" s="54">
        <f t="shared" si="10"/>
        <v>27</v>
      </c>
    </row>
    <row r="123" spans="2:15" x14ac:dyDescent="0.2">
      <c r="B123" s="11">
        <v>1114501</v>
      </c>
      <c r="C123" s="22" t="s">
        <v>95</v>
      </c>
      <c r="D123" s="31">
        <f>บ่าย!D123+'เช้า '!D123+'เย็น '!D123</f>
        <v>0</v>
      </c>
      <c r="E123" s="31">
        <f>บ่าย!E123+'เช้า '!E123+'เย็น '!E123</f>
        <v>19</v>
      </c>
      <c r="F123" s="31">
        <f>บ่าย!F123+'เช้า '!F123+'เย็น '!F123</f>
        <v>8</v>
      </c>
      <c r="G123" s="31">
        <f>บ่าย!G123+'เช้า '!G123+'เย็น '!G123</f>
        <v>166</v>
      </c>
      <c r="H123" s="31">
        <f>บ่าย!H123+'เช้า '!H123+'เย็น '!H123</f>
        <v>16</v>
      </c>
      <c r="I123" s="31">
        <f>บ่าย!I123+'เช้า '!I123+'เย็น '!I123</f>
        <v>0</v>
      </c>
      <c r="J123" s="31">
        <f>บ่าย!J123+'เช้า '!J123+'เย็น '!J123</f>
        <v>0</v>
      </c>
      <c r="K123" s="37">
        <f t="shared" si="11"/>
        <v>209</v>
      </c>
      <c r="L123" s="11">
        <v>300</v>
      </c>
      <c r="M123" s="11"/>
      <c r="N123" s="11">
        <v>106</v>
      </c>
      <c r="O123" s="54">
        <f t="shared" si="10"/>
        <v>197</v>
      </c>
    </row>
    <row r="124" spans="2:15" x14ac:dyDescent="0.2">
      <c r="B124" s="11">
        <v>1114502</v>
      </c>
      <c r="C124" s="22" t="s">
        <v>96</v>
      </c>
      <c r="D124" s="31">
        <f>บ่าย!D124+'เช้า '!D124+'เย็น '!D124</f>
        <v>0</v>
      </c>
      <c r="E124" s="31">
        <f>บ่าย!E124+'เช้า '!E124+'เย็น '!E124</f>
        <v>15</v>
      </c>
      <c r="F124" s="31">
        <f>บ่าย!F124+'เช้า '!F124+'เย็น '!F124</f>
        <v>8</v>
      </c>
      <c r="G124" s="31">
        <f>บ่าย!G124+'เช้า '!G124+'เย็น '!G124</f>
        <v>164</v>
      </c>
      <c r="H124" s="31">
        <f>บ่าย!H124+'เช้า '!H124+'เย็น '!H124</f>
        <v>16</v>
      </c>
      <c r="I124" s="31">
        <f>บ่าย!I124+'เช้า '!I124+'เย็น '!I124</f>
        <v>0</v>
      </c>
      <c r="J124" s="31">
        <f>บ่าย!J124+'เช้า '!J124+'เย็น '!J124</f>
        <v>0</v>
      </c>
      <c r="K124" s="37">
        <f t="shared" si="11"/>
        <v>203</v>
      </c>
      <c r="L124" s="11">
        <v>300</v>
      </c>
      <c r="M124" s="11"/>
      <c r="N124" s="11">
        <v>134</v>
      </c>
      <c r="O124" s="54">
        <f t="shared" si="10"/>
        <v>231</v>
      </c>
    </row>
    <row r="125" spans="2:15" x14ac:dyDescent="0.2">
      <c r="B125" s="11">
        <v>1114503</v>
      </c>
      <c r="C125" s="22" t="s">
        <v>97</v>
      </c>
      <c r="D125" s="31">
        <f>บ่าย!D125+'เช้า '!D125+'เย็น '!D125</f>
        <v>0</v>
      </c>
      <c r="E125" s="31">
        <f>บ่าย!E125+'เช้า '!E125+'เย็น '!E125</f>
        <v>19</v>
      </c>
      <c r="F125" s="31">
        <f>บ่าย!F125+'เช้า '!F125+'เย็น '!F125</f>
        <v>3</v>
      </c>
      <c r="G125" s="31">
        <f>บ่าย!G125+'เช้า '!G125+'เย็น '!G125</f>
        <v>164</v>
      </c>
      <c r="H125" s="31">
        <f>บ่าย!H125+'เช้า '!H125+'เย็น '!H125</f>
        <v>16</v>
      </c>
      <c r="I125" s="31">
        <f>บ่าย!I125+'เช้า '!I125+'เย็น '!I125</f>
        <v>0</v>
      </c>
      <c r="J125" s="31">
        <f>บ่าย!J125+'เช้า '!J125+'เย็น '!J125</f>
        <v>0</v>
      </c>
      <c r="K125" s="37">
        <f t="shared" si="11"/>
        <v>202</v>
      </c>
      <c r="L125" s="11">
        <v>300</v>
      </c>
      <c r="M125" s="11"/>
      <c r="N125" s="11">
        <v>141</v>
      </c>
      <c r="O125" s="54">
        <f t="shared" si="10"/>
        <v>239</v>
      </c>
    </row>
    <row r="126" spans="2:15" x14ac:dyDescent="0.2">
      <c r="B126" s="11">
        <v>1124021</v>
      </c>
      <c r="C126" s="22" t="s">
        <v>98</v>
      </c>
      <c r="D126" s="31">
        <f>บ่าย!D126+'เช้า '!D126+'เย็น '!D126</f>
        <v>0</v>
      </c>
      <c r="E126" s="31">
        <f>บ่าย!E126+'เช้า '!E126+'เย็น '!E126</f>
        <v>7</v>
      </c>
      <c r="F126" s="31">
        <f>บ่าย!F126+'เช้า '!F126+'เย็น '!F126</f>
        <v>73</v>
      </c>
      <c r="G126" s="31">
        <f>บ่าย!G126+'เช้า '!G126+'เย็น '!G126</f>
        <v>45</v>
      </c>
      <c r="H126" s="31">
        <f>บ่าย!H126+'เช้า '!H126+'เย็น '!H126</f>
        <v>0</v>
      </c>
      <c r="I126" s="31">
        <f>บ่าย!I126+'เช้า '!I126+'เย็น '!I126</f>
        <v>0</v>
      </c>
      <c r="J126" s="31">
        <f>บ่าย!J126+'เช้า '!J126+'เย็น '!J126</f>
        <v>0</v>
      </c>
      <c r="K126" s="37">
        <f t="shared" si="11"/>
        <v>125</v>
      </c>
      <c r="L126" s="11">
        <v>150</v>
      </c>
      <c r="M126" s="11"/>
      <c r="N126" s="11">
        <v>12</v>
      </c>
      <c r="O126" s="54">
        <f t="shared" si="10"/>
        <v>37</v>
      </c>
    </row>
    <row r="127" spans="2:15" x14ac:dyDescent="0.2">
      <c r="B127" s="11">
        <v>1113084</v>
      </c>
      <c r="C127" s="22" t="s">
        <v>99</v>
      </c>
      <c r="D127" s="31">
        <f>บ่าย!D127+'เช้า '!D127+'เย็น '!D127</f>
        <v>0</v>
      </c>
      <c r="E127" s="31">
        <f>บ่าย!E127+'เช้า '!E127+'เย็น '!E127</f>
        <v>0</v>
      </c>
      <c r="F127" s="31">
        <f>บ่าย!F127+'เช้า '!F127+'เย็น '!F127</f>
        <v>0</v>
      </c>
      <c r="G127" s="31">
        <f>บ่าย!G127+'เช้า '!G127+'เย็น '!G127</f>
        <v>0</v>
      </c>
      <c r="H127" s="31">
        <f>บ่าย!H127+'เช้า '!H127+'เย็น '!H127</f>
        <v>0</v>
      </c>
      <c r="I127" s="31">
        <f>บ่าย!I127+'เช้า '!I127+'เย็น '!I127</f>
        <v>0</v>
      </c>
      <c r="J127" s="31">
        <f>บ่าย!J127+'เช้า '!J127+'เย็น '!J127</f>
        <v>0</v>
      </c>
      <c r="K127" s="37">
        <f t="shared" si="11"/>
        <v>0</v>
      </c>
      <c r="L127" s="11"/>
      <c r="M127" s="11"/>
      <c r="N127" s="11"/>
      <c r="O127" s="54">
        <f t="shared" si="10"/>
        <v>0</v>
      </c>
    </row>
    <row r="128" spans="2:15" x14ac:dyDescent="0.2">
      <c r="B128" s="11">
        <v>900003</v>
      </c>
      <c r="C128" s="22" t="s">
        <v>133</v>
      </c>
      <c r="D128" s="31">
        <f>บ่าย!D128+'เช้า '!D128+'เย็น '!D128</f>
        <v>0</v>
      </c>
      <c r="E128" s="31">
        <f>บ่าย!E128+'เช้า '!E128+'เย็น '!E128</f>
        <v>0</v>
      </c>
      <c r="F128" s="31">
        <f>บ่าย!F128+'เช้า '!F128+'เย็น '!F128</f>
        <v>0</v>
      </c>
      <c r="G128" s="31">
        <f>บ่าย!G128+'เช้า '!G128+'เย็น '!G128</f>
        <v>0</v>
      </c>
      <c r="H128" s="31">
        <f>บ่าย!H128+'เช้า '!H128+'เย็น '!H128</f>
        <v>0</v>
      </c>
      <c r="I128" s="31">
        <f>บ่าย!I128+'เช้า '!I128+'เย็น '!I128</f>
        <v>0</v>
      </c>
      <c r="J128" s="31">
        <f>บ่าย!J128+'เช้า '!J128+'เย็น '!J128</f>
        <v>0</v>
      </c>
      <c r="K128" s="37">
        <f t="shared" si="11"/>
        <v>0</v>
      </c>
      <c r="L128" s="11"/>
      <c r="M128" s="11"/>
      <c r="N128" s="11"/>
      <c r="O128" s="54">
        <f t="shared" si="10"/>
        <v>0</v>
      </c>
    </row>
    <row r="129" spans="2:15" x14ac:dyDescent="0.2">
      <c r="B129" s="11">
        <v>900004</v>
      </c>
      <c r="C129" s="22" t="s">
        <v>100</v>
      </c>
      <c r="D129" s="31">
        <f>บ่าย!D129+'เช้า '!D129+'เย็น '!D129</f>
        <v>0</v>
      </c>
      <c r="E129" s="31">
        <f>บ่าย!E129+'เช้า '!E129+'เย็น '!E129</f>
        <v>0</v>
      </c>
      <c r="F129" s="31">
        <f>บ่าย!F129+'เช้า '!F129+'เย็น '!F129</f>
        <v>0</v>
      </c>
      <c r="G129" s="31">
        <f>บ่าย!G129+'เช้า '!G129+'เย็น '!G129</f>
        <v>0</v>
      </c>
      <c r="H129" s="31">
        <f>บ่าย!H129+'เช้า '!H129+'เย็น '!H129</f>
        <v>0</v>
      </c>
      <c r="I129" s="31">
        <f>บ่าย!I129+'เช้า '!I129+'เย็น '!I129</f>
        <v>0</v>
      </c>
      <c r="J129" s="31">
        <f>บ่าย!J129+'เช้า '!J129+'เย็น '!J129</f>
        <v>0</v>
      </c>
      <c r="K129" s="37">
        <f t="shared" si="11"/>
        <v>0</v>
      </c>
      <c r="L129" s="11"/>
      <c r="M129" s="11"/>
      <c r="N129" s="11"/>
      <c r="O129" s="54">
        <f t="shared" si="10"/>
        <v>0</v>
      </c>
    </row>
    <row r="130" spans="2:15" x14ac:dyDescent="0.2">
      <c r="B130" s="11">
        <v>1200002</v>
      </c>
      <c r="C130" s="22" t="s">
        <v>101</v>
      </c>
      <c r="D130" s="31">
        <f>บ่าย!D130+'เช้า '!D130+'เย็น '!D130</f>
        <v>0</v>
      </c>
      <c r="E130" s="31">
        <f>บ่าย!E130+'เช้า '!E130+'เย็น '!E130</f>
        <v>0</v>
      </c>
      <c r="F130" s="31">
        <f>บ่าย!F130+'เช้า '!F130+'เย็น '!F130</f>
        <v>0</v>
      </c>
      <c r="G130" s="31">
        <f>บ่าย!G130+'เช้า '!G130+'เย็น '!G130</f>
        <v>0</v>
      </c>
      <c r="H130" s="31">
        <f>บ่าย!H130+'เช้า '!H130+'เย็น '!H130</f>
        <v>0</v>
      </c>
      <c r="I130" s="31">
        <f>บ่าย!I130+'เช้า '!I130+'เย็น '!I130</f>
        <v>0</v>
      </c>
      <c r="J130" s="31">
        <f>บ่าย!J130+'เช้า '!J130+'เย็น '!J130</f>
        <v>0</v>
      </c>
      <c r="K130" s="37">
        <f t="shared" si="11"/>
        <v>0</v>
      </c>
      <c r="L130" s="11"/>
      <c r="M130" s="11"/>
      <c r="N130" s="11">
        <v>32</v>
      </c>
      <c r="O130" s="54">
        <f t="shared" si="10"/>
        <v>32</v>
      </c>
    </row>
    <row r="131" spans="2:15" x14ac:dyDescent="0.2">
      <c r="B131" s="11">
        <v>1200003</v>
      </c>
      <c r="C131" s="22" t="s">
        <v>102</v>
      </c>
      <c r="D131" s="31">
        <f>บ่าย!D131+'เช้า '!D131+'เย็น '!D131</f>
        <v>0</v>
      </c>
      <c r="E131" s="31">
        <f>บ่าย!E131+'เช้า '!E131+'เย็น '!E131</f>
        <v>0</v>
      </c>
      <c r="F131" s="31">
        <f>บ่าย!F131+'เช้า '!F131+'เย็น '!F131</f>
        <v>0</v>
      </c>
      <c r="G131" s="31">
        <f>บ่าย!G131+'เช้า '!G131+'เย็น '!G131</f>
        <v>0</v>
      </c>
      <c r="H131" s="31">
        <f>บ่าย!H131+'เช้า '!H131+'เย็น '!H131</f>
        <v>0</v>
      </c>
      <c r="I131" s="31">
        <f>บ่าย!I131+'เช้า '!I131+'เย็น '!I131</f>
        <v>0</v>
      </c>
      <c r="J131" s="31">
        <f>บ่าย!J131+'เช้า '!J131+'เย็น '!J131</f>
        <v>0</v>
      </c>
      <c r="K131" s="37">
        <f t="shared" si="11"/>
        <v>0</v>
      </c>
      <c r="L131" s="11"/>
      <c r="M131" s="11"/>
      <c r="N131" s="11"/>
      <c r="O131" s="54">
        <f t="shared" si="10"/>
        <v>0</v>
      </c>
    </row>
    <row r="132" spans="2:15" x14ac:dyDescent="0.2">
      <c r="B132" s="11">
        <v>1200004</v>
      </c>
      <c r="C132" s="22" t="s">
        <v>103</v>
      </c>
      <c r="D132" s="31">
        <f>บ่าย!D132+'เช้า '!D132+'เย็น '!D132</f>
        <v>0</v>
      </c>
      <c r="E132" s="31">
        <f>บ่าย!E132+'เช้า '!E132+'เย็น '!E132</f>
        <v>0</v>
      </c>
      <c r="F132" s="31">
        <f>บ่าย!F132+'เช้า '!F132+'เย็น '!F132</f>
        <v>0</v>
      </c>
      <c r="G132" s="31">
        <f>บ่าย!G132+'เช้า '!G132+'เย็น '!G132</f>
        <v>0</v>
      </c>
      <c r="H132" s="31">
        <f>บ่าย!H132+'เช้า '!H132+'เย็น '!H132</f>
        <v>0</v>
      </c>
      <c r="I132" s="31">
        <f>บ่าย!I132+'เช้า '!I132+'เย็น '!I132</f>
        <v>0</v>
      </c>
      <c r="J132" s="31">
        <f>บ่าย!J132+'เช้า '!J132+'เย็น '!J132</f>
        <v>0</v>
      </c>
      <c r="K132" s="37">
        <f t="shared" si="11"/>
        <v>0</v>
      </c>
      <c r="L132" s="11"/>
      <c r="M132" s="11"/>
      <c r="N132" s="11"/>
      <c r="O132" s="54">
        <f t="shared" si="10"/>
        <v>0</v>
      </c>
    </row>
    <row r="133" spans="2:15" x14ac:dyDescent="0.2">
      <c r="B133" s="11">
        <v>1200093</v>
      </c>
      <c r="C133" s="22" t="s">
        <v>91</v>
      </c>
      <c r="D133" s="31">
        <f>บ่าย!D133+'เช้า '!D133+'เย็น '!D133</f>
        <v>0</v>
      </c>
      <c r="E133" s="31">
        <f>บ่าย!E133+'เช้า '!E133+'เย็น '!E133</f>
        <v>0</v>
      </c>
      <c r="F133" s="31">
        <f>บ่าย!F133+'เช้า '!F133+'เย็น '!F133</f>
        <v>0</v>
      </c>
      <c r="G133" s="31">
        <f>บ่าย!G133+'เช้า '!G133+'เย็น '!G133</f>
        <v>0</v>
      </c>
      <c r="H133" s="31">
        <f>บ่าย!H133+'เช้า '!H133+'เย็น '!H133</f>
        <v>0</v>
      </c>
      <c r="I133" s="31">
        <f>บ่าย!I133+'เช้า '!I133+'เย็น '!I133</f>
        <v>0</v>
      </c>
      <c r="J133" s="31">
        <f>บ่าย!J133+'เช้า '!J133+'เย็น '!J133</f>
        <v>0</v>
      </c>
      <c r="K133" s="37">
        <f t="shared" si="11"/>
        <v>0</v>
      </c>
      <c r="L133" s="11"/>
      <c r="M133" s="11"/>
      <c r="N133" s="11"/>
      <c r="O133" s="54">
        <f t="shared" si="10"/>
        <v>0</v>
      </c>
    </row>
    <row r="134" spans="2:15" x14ac:dyDescent="0.2">
      <c r="B134" s="11">
        <v>1200092</v>
      </c>
      <c r="C134" s="20" t="s">
        <v>92</v>
      </c>
      <c r="D134" s="31">
        <f>บ่าย!D134+'เช้า '!D134+'เย็น '!D134</f>
        <v>0</v>
      </c>
      <c r="E134" s="31">
        <f>บ่าย!E134+'เช้า '!E134+'เย็น '!E134</f>
        <v>0</v>
      </c>
      <c r="F134" s="31">
        <f>บ่าย!F134+'เช้า '!F134+'เย็น '!F134</f>
        <v>0</v>
      </c>
      <c r="G134" s="31">
        <f>บ่าย!G134+'เช้า '!G134+'เย็น '!G134</f>
        <v>0</v>
      </c>
      <c r="H134" s="31">
        <f>บ่าย!H134+'เช้า '!H134+'เย็น '!H134</f>
        <v>0</v>
      </c>
      <c r="I134" s="31">
        <f>บ่าย!I134+'เช้า '!I134+'เย็น '!I134</f>
        <v>0</v>
      </c>
      <c r="J134" s="31">
        <f>บ่าย!J134+'เช้า '!J134+'เย็น '!J134</f>
        <v>0</v>
      </c>
      <c r="K134" s="37">
        <f t="shared" si="11"/>
        <v>0</v>
      </c>
      <c r="L134" s="11"/>
      <c r="M134" s="11"/>
      <c r="N134" s="11"/>
      <c r="O134" s="54">
        <f t="shared" si="10"/>
        <v>0</v>
      </c>
    </row>
    <row r="135" spans="2:15" x14ac:dyDescent="0.2">
      <c r="B135" s="23"/>
      <c r="C135" s="22" t="s">
        <v>124</v>
      </c>
      <c r="D135" s="31">
        <f>บ่าย!D135+'เช้า '!D135+'เย็น '!D135</f>
        <v>0</v>
      </c>
      <c r="E135" s="31">
        <f>บ่าย!E135+'เช้า '!E135+'เย็น '!E135</f>
        <v>0</v>
      </c>
      <c r="F135" s="31">
        <f>บ่าย!F135+'เช้า '!F135+'เย็น '!F135</f>
        <v>0</v>
      </c>
      <c r="G135" s="31">
        <f>บ่าย!G135+'เช้า '!G135+'เย็น '!G135</f>
        <v>0</v>
      </c>
      <c r="H135" s="31">
        <f>บ่าย!H135+'เช้า '!H135+'เย็น '!H135</f>
        <v>0</v>
      </c>
      <c r="I135" s="31">
        <f>บ่าย!I135+'เช้า '!I135+'เย็น '!I135</f>
        <v>0</v>
      </c>
      <c r="J135" s="31">
        <f>บ่าย!J135+'เช้า '!J135+'เย็น '!J135</f>
        <v>0</v>
      </c>
      <c r="K135" s="37">
        <f t="shared" si="11"/>
        <v>0</v>
      </c>
      <c r="L135" s="11"/>
      <c r="M135" s="11"/>
      <c r="N135" s="11"/>
      <c r="O135" s="54">
        <f t="shared" si="10"/>
        <v>0</v>
      </c>
    </row>
    <row r="136" spans="2:15" x14ac:dyDescent="0.2">
      <c r="B136" s="23"/>
      <c r="C136" s="22" t="s">
        <v>125</v>
      </c>
      <c r="D136" s="31">
        <f>บ่าย!D136+'เช้า '!D136+'เย็น '!D136</f>
        <v>0</v>
      </c>
      <c r="E136" s="31">
        <f>บ่าย!E136+'เช้า '!E136+'เย็น '!E136</f>
        <v>4</v>
      </c>
      <c r="F136" s="31">
        <f>บ่าย!F136+'เช้า '!F136+'เย็น '!F136</f>
        <v>0</v>
      </c>
      <c r="G136" s="31">
        <f>บ่าย!G136+'เช้า '!G136+'เย็น '!G136</f>
        <v>0</v>
      </c>
      <c r="H136" s="31">
        <f>บ่าย!H136+'เช้า '!H136+'เย็น '!H136</f>
        <v>0</v>
      </c>
      <c r="I136" s="31">
        <f>บ่าย!I136+'เช้า '!I136+'เย็น '!I136</f>
        <v>0</v>
      </c>
      <c r="J136" s="31">
        <f>บ่าย!J136+'เช้า '!J136+'เย็น '!J136</f>
        <v>3</v>
      </c>
      <c r="K136" s="37">
        <f t="shared" si="11"/>
        <v>7</v>
      </c>
      <c r="L136" s="11"/>
      <c r="M136" s="11"/>
      <c r="N136" s="11"/>
      <c r="O136" s="54">
        <f t="shared" si="10"/>
        <v>-7</v>
      </c>
    </row>
    <row r="137" spans="2:15" hidden="1" x14ac:dyDescent="0.2">
      <c r="B137" s="23">
        <v>20052721</v>
      </c>
      <c r="C137" s="22" t="s">
        <v>131</v>
      </c>
      <c r="D137" s="31">
        <f>บ่าย!D144+'เช้า '!D137+'เย็น '!D137</f>
        <v>0</v>
      </c>
      <c r="E137" s="31">
        <f>บ่าย!E144+'เช้า '!E137+'เย็น '!E137</f>
        <v>0</v>
      </c>
      <c r="F137" s="31">
        <f>บ่าย!F144+'เช้า '!F137+'เย็น '!F137</f>
        <v>0</v>
      </c>
      <c r="G137" s="31">
        <f>บ่าย!G144+'เช้า '!G137+'เย็น '!G137</f>
        <v>0</v>
      </c>
      <c r="H137" s="31">
        <f>บ่าย!H144+'เช้า '!H137+'เย็น '!H137</f>
        <v>0</v>
      </c>
      <c r="I137" s="31">
        <f>บ่าย!I144+'เช้า '!I137+'เย็น '!I137</f>
        <v>0</v>
      </c>
      <c r="J137" s="31">
        <f>บ่าย!J144+'เช้า '!J137+'เย็น '!J137</f>
        <v>0</v>
      </c>
      <c r="K137" s="37">
        <f t="shared" si="11"/>
        <v>0</v>
      </c>
      <c r="L137" s="11"/>
      <c r="M137" s="11"/>
      <c r="N137" s="11"/>
      <c r="O137" s="54">
        <f t="shared" si="10"/>
        <v>0</v>
      </c>
    </row>
    <row r="138" spans="2:15" ht="40.5" customHeight="1" x14ac:dyDescent="0.2">
      <c r="C138" s="36"/>
      <c r="D138" s="37">
        <f t="shared" ref="D138:K138" si="12">SUM(D114:D137,D90:D99,D79:D87,D69:D76,D7:D66)</f>
        <v>30</v>
      </c>
      <c r="E138" s="37">
        <f t="shared" si="12"/>
        <v>179</v>
      </c>
      <c r="F138" s="37">
        <f t="shared" si="12"/>
        <v>333</v>
      </c>
      <c r="G138" s="37">
        <f t="shared" si="12"/>
        <v>1062</v>
      </c>
      <c r="H138" s="37">
        <f t="shared" si="12"/>
        <v>66</v>
      </c>
      <c r="I138" s="37">
        <f t="shared" si="12"/>
        <v>0</v>
      </c>
      <c r="J138" s="37">
        <f t="shared" si="12"/>
        <v>3</v>
      </c>
      <c r="K138" s="37">
        <f t="shared" si="12"/>
        <v>1673</v>
      </c>
      <c r="L138" s="41">
        <f>SUM(L114:L137,L90:L98,L79:L87,L69:L76,L7:L66)</f>
        <v>2610</v>
      </c>
      <c r="M138" s="41"/>
      <c r="N138" s="41">
        <f>SUM(N114:N137,N90:N98,N79:N87,N69:N76,N7:N66)</f>
        <v>710</v>
      </c>
      <c r="O138" s="41">
        <f>SUM(O114:O137,O90:O98,O79:O87,O69:O76,O7:O66)</f>
        <v>1647</v>
      </c>
    </row>
    <row r="139" spans="2:15" x14ac:dyDescent="0.2">
      <c r="B139" s="40"/>
      <c r="C139" s="36"/>
      <c r="D139" s="41"/>
      <c r="E139" s="41"/>
      <c r="F139" s="41"/>
      <c r="G139" s="41"/>
      <c r="H139" s="41"/>
      <c r="I139" s="41"/>
      <c r="J139" s="41"/>
      <c r="K139" s="42"/>
    </row>
    <row r="140" spans="2:15" x14ac:dyDescent="0.2">
      <c r="B140" s="40"/>
      <c r="C140" s="36"/>
      <c r="D140" s="41"/>
      <c r="E140" s="41"/>
      <c r="F140" s="41"/>
      <c r="G140" s="41"/>
      <c r="H140" s="41"/>
      <c r="I140" s="41"/>
      <c r="J140" s="41"/>
      <c r="K140" s="42"/>
    </row>
    <row r="141" spans="2:15" x14ac:dyDescent="0.2">
      <c r="C141" s="25"/>
      <c r="D141" s="32"/>
      <c r="E141" s="60"/>
      <c r="F141" s="60"/>
      <c r="G141" s="27"/>
      <c r="K141" s="43"/>
    </row>
    <row r="142" spans="2:15" x14ac:dyDescent="0.2">
      <c r="B142" s="60" t="s">
        <v>104</v>
      </c>
      <c r="C142" s="60"/>
      <c r="D142" s="33"/>
      <c r="E142" s="58"/>
      <c r="F142" s="58"/>
      <c r="G142" s="28"/>
      <c r="H142" s="27"/>
      <c r="I142" s="60" t="s">
        <v>104</v>
      </c>
      <c r="J142" s="60"/>
      <c r="K142" s="60"/>
    </row>
    <row r="143" spans="2:15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</row>
    <row r="144" spans="2:15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5"/>
    </row>
    <row r="145" spans="2:11" ht="19.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5"/>
    </row>
    <row r="146" spans="2:11" ht="19.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5"/>
    </row>
    <row r="147" spans="2:11" ht="19.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5"/>
    </row>
    <row r="148" spans="2:11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5"/>
    </row>
    <row r="149" spans="2:11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5"/>
    </row>
    <row r="150" spans="2:11" x14ac:dyDescent="0.2">
      <c r="D150" s="32"/>
      <c r="E150" s="32"/>
      <c r="F150" s="32"/>
      <c r="G150" s="32"/>
      <c r="H150" s="32"/>
    </row>
    <row r="151" spans="2:11" x14ac:dyDescent="0.2">
      <c r="D151" s="32"/>
      <c r="E151" s="32"/>
      <c r="F151" s="32"/>
      <c r="G151" s="32"/>
      <c r="H151" s="32"/>
    </row>
    <row r="152" spans="2:11" x14ac:dyDescent="0.2">
      <c r="D152" s="32"/>
      <c r="E152" s="32"/>
      <c r="F152" s="32"/>
      <c r="G152" s="32"/>
      <c r="H152" s="32"/>
    </row>
    <row r="153" spans="2:11" x14ac:dyDescent="0.2">
      <c r="D153" s="32"/>
      <c r="E153" s="32"/>
      <c r="F153" s="32"/>
      <c r="G153" s="32"/>
      <c r="H153" s="32"/>
    </row>
    <row r="154" spans="2:11" x14ac:dyDescent="0.2">
      <c r="D154" s="32"/>
      <c r="E154" s="32"/>
      <c r="F154" s="32"/>
      <c r="G154" s="32"/>
      <c r="H154" s="32"/>
    </row>
    <row r="155" spans="2:11" x14ac:dyDescent="0.2">
      <c r="D155" s="32"/>
      <c r="E155" s="32"/>
      <c r="F155" s="32"/>
      <c r="G155" s="32"/>
      <c r="H155" s="32"/>
    </row>
    <row r="156" spans="2:11" x14ac:dyDescent="0.2">
      <c r="D156" s="32"/>
      <c r="E156" s="32"/>
      <c r="F156" s="32"/>
      <c r="G156" s="32"/>
      <c r="H156" s="32"/>
    </row>
    <row r="157" spans="2:11" x14ac:dyDescent="0.2">
      <c r="D157" s="32"/>
      <c r="E157" s="32"/>
      <c r="F157" s="32"/>
      <c r="G157" s="32"/>
      <c r="H157" s="32"/>
    </row>
    <row r="158" spans="2:11" x14ac:dyDescent="0.2">
      <c r="D158" s="32"/>
      <c r="E158" s="32"/>
      <c r="F158" s="32"/>
      <c r="G158" s="32"/>
      <c r="H158" s="32"/>
    </row>
    <row r="159" spans="2:11" x14ac:dyDescent="0.2">
      <c r="D159" s="32"/>
      <c r="E159" s="32"/>
      <c r="F159" s="32"/>
      <c r="G159" s="32"/>
      <c r="H159" s="32"/>
    </row>
    <row r="160" spans="2:11" x14ac:dyDescent="0.2">
      <c r="D160" s="32"/>
      <c r="E160" s="32"/>
      <c r="F160" s="32"/>
      <c r="G160" s="32"/>
      <c r="H160" s="32"/>
    </row>
  </sheetData>
  <mergeCells count="19">
    <mergeCell ref="B1:K1"/>
    <mergeCell ref="B2:C3"/>
    <mergeCell ref="E2:F3"/>
    <mergeCell ref="L2:L4"/>
    <mergeCell ref="M2:M4"/>
    <mergeCell ref="B143:C143"/>
    <mergeCell ref="I143:K143"/>
    <mergeCell ref="O2:O4"/>
    <mergeCell ref="B6:O6"/>
    <mergeCell ref="B68:O68"/>
    <mergeCell ref="B78:O78"/>
    <mergeCell ref="B89:O89"/>
    <mergeCell ref="B101:O101"/>
    <mergeCell ref="N2:N4"/>
    <mergeCell ref="B113:O113"/>
    <mergeCell ref="E141:F141"/>
    <mergeCell ref="B142:C142"/>
    <mergeCell ref="E142:F142"/>
    <mergeCell ref="I142:K142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2024-10-30T00:45:46Z</cp:lastPrinted>
  <dcterms:created xsi:type="dcterms:W3CDTF">2024-04-30T05:21:27Z</dcterms:created>
  <dcterms:modified xsi:type="dcterms:W3CDTF">2024-12-01T07:03:36Z</dcterms:modified>
</cp:coreProperties>
</file>