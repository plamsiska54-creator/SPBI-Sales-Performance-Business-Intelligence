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รวมโฟลเดอร์\ยอดจริง\67\"/>
    </mc:Choice>
  </mc:AlternateContent>
  <xr:revisionPtr revIDLastSave="0" documentId="13_ncr:1_{820F6969-5BCC-4879-AD64-AD73C6439E64}" xr6:coauthVersionLast="47" xr6:coauthVersionMax="47" xr10:uidLastSave="{00000000-0000-0000-0000-000000000000}"/>
  <bookViews>
    <workbookView xWindow="10875" yWindow="360" windowWidth="17550" windowHeight="13695" firstSheet="3" activeTab="3" xr2:uid="{55C9AAA3-F459-48EC-A639-AACFFC6390F5}"/>
  </bookViews>
  <sheets>
    <sheet name="เย็น  " sheetId="8" state="hidden" r:id="rId1"/>
    <sheet name="เช้า" sheetId="3" state="hidden" r:id="rId2"/>
    <sheet name="บ่าย" sheetId="10" state="hidden" r:id="rId3"/>
    <sheet name="รวม" sheetId="5" r:id="rId4"/>
  </sheets>
  <definedNames>
    <definedName name="shtlist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80" i="5" l="1"/>
  <c r="D80" i="5"/>
  <c r="E80" i="5"/>
  <c r="F80" i="5"/>
  <c r="G80" i="5"/>
  <c r="H80" i="5"/>
  <c r="I80" i="5"/>
  <c r="J80" i="5"/>
  <c r="K80" i="5"/>
  <c r="L57" i="5"/>
  <c r="L58" i="5"/>
  <c r="L59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D66" i="5"/>
  <c r="E66" i="5"/>
  <c r="F66" i="5"/>
  <c r="G66" i="5"/>
  <c r="H66" i="5"/>
  <c r="I66" i="5"/>
  <c r="J66" i="5"/>
  <c r="K66" i="5"/>
  <c r="D67" i="5"/>
  <c r="E67" i="5"/>
  <c r="F67" i="5"/>
  <c r="G67" i="5"/>
  <c r="H67" i="5"/>
  <c r="I67" i="5"/>
  <c r="J67" i="5"/>
  <c r="K67" i="5"/>
  <c r="D68" i="5"/>
  <c r="E68" i="5"/>
  <c r="F68" i="5"/>
  <c r="G68" i="5"/>
  <c r="H68" i="5"/>
  <c r="I68" i="5"/>
  <c r="J68" i="5"/>
  <c r="K68" i="5"/>
  <c r="D69" i="5"/>
  <c r="E69" i="5"/>
  <c r="F69" i="5"/>
  <c r="G69" i="5"/>
  <c r="H69" i="5"/>
  <c r="I69" i="5"/>
  <c r="J69" i="5"/>
  <c r="K6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D77" i="5"/>
  <c r="E77" i="5"/>
  <c r="F77" i="5"/>
  <c r="G77" i="5"/>
  <c r="H77" i="5"/>
  <c r="I77" i="5"/>
  <c r="J77" i="5"/>
  <c r="K77" i="5"/>
  <c r="D78" i="5"/>
  <c r="E78" i="5"/>
  <c r="F78" i="5"/>
  <c r="G78" i="5"/>
  <c r="H78" i="5"/>
  <c r="I78" i="5"/>
  <c r="J78" i="5"/>
  <c r="K78" i="5"/>
  <c r="D79" i="5"/>
  <c r="E79" i="5"/>
  <c r="F79" i="5"/>
  <c r="G79" i="5"/>
  <c r="H79" i="5"/>
  <c r="I79" i="5"/>
  <c r="J79" i="5"/>
  <c r="K79" i="5"/>
  <c r="E57" i="5"/>
  <c r="F57" i="5"/>
  <c r="G57" i="5"/>
  <c r="H57" i="5"/>
  <c r="I57" i="5"/>
  <c r="J57" i="5"/>
  <c r="K57" i="5"/>
  <c r="D57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L53" i="5" s="1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E46" i="5"/>
  <c r="F46" i="5"/>
  <c r="G46" i="5"/>
  <c r="H46" i="5"/>
  <c r="I46" i="5"/>
  <c r="J46" i="5"/>
  <c r="K46" i="5"/>
  <c r="D46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E40" i="5"/>
  <c r="F40" i="5"/>
  <c r="G40" i="5"/>
  <c r="H40" i="5"/>
  <c r="I40" i="5"/>
  <c r="J40" i="5"/>
  <c r="K40" i="5"/>
  <c r="D40" i="5"/>
  <c r="D38" i="5"/>
  <c r="E38" i="5"/>
  <c r="F38" i="5"/>
  <c r="G38" i="5"/>
  <c r="L38" i="5" s="1"/>
  <c r="H38" i="5"/>
  <c r="I38" i="5"/>
  <c r="J38" i="5"/>
  <c r="K38" i="5"/>
  <c r="E37" i="5"/>
  <c r="F37" i="5"/>
  <c r="G37" i="5"/>
  <c r="H37" i="5"/>
  <c r="I37" i="5"/>
  <c r="J37" i="5"/>
  <c r="K37" i="5"/>
  <c r="D37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E7" i="5"/>
  <c r="F7" i="5"/>
  <c r="G7" i="5"/>
  <c r="H7" i="5"/>
  <c r="I7" i="5"/>
  <c r="J7" i="5"/>
  <c r="K7" i="5"/>
  <c r="D7" i="5"/>
  <c r="L57" i="10"/>
  <c r="L58" i="10"/>
  <c r="L59" i="10"/>
  <c r="L61" i="10"/>
  <c r="L62" i="10"/>
  <c r="L63" i="10"/>
  <c r="L64" i="10"/>
  <c r="L65" i="10"/>
  <c r="L66" i="10"/>
  <c r="L67" i="10"/>
  <c r="L68" i="10"/>
  <c r="L69" i="10"/>
  <c r="L70" i="10"/>
  <c r="L71" i="10"/>
  <c r="L72" i="10"/>
  <c r="L73" i="10"/>
  <c r="L74" i="10"/>
  <c r="L75" i="10"/>
  <c r="L76" i="10"/>
  <c r="L77" i="10"/>
  <c r="L78" i="10"/>
  <c r="L79" i="10"/>
  <c r="L60" i="10"/>
  <c r="L47" i="10"/>
  <c r="L48" i="10"/>
  <c r="L49" i="10"/>
  <c r="L50" i="10"/>
  <c r="L51" i="10"/>
  <c r="L52" i="10"/>
  <c r="L53" i="10"/>
  <c r="L54" i="10"/>
  <c r="L55" i="10"/>
  <c r="L46" i="10"/>
  <c r="L41" i="10"/>
  <c r="L42" i="10"/>
  <c r="L43" i="10"/>
  <c r="L44" i="10"/>
  <c r="L40" i="10"/>
  <c r="L38" i="10"/>
  <c r="L3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7" i="10"/>
  <c r="L60" i="5" l="1"/>
  <c r="L54" i="5"/>
  <c r="L26" i="5"/>
  <c r="L76" i="5"/>
  <c r="L69" i="5"/>
  <c r="L62" i="5"/>
  <c r="L50" i="5"/>
  <c r="L49" i="5"/>
  <c r="L78" i="5"/>
  <c r="L73" i="5"/>
  <c r="L72" i="5"/>
  <c r="L70" i="5"/>
  <c r="L68" i="5"/>
  <c r="L65" i="5"/>
  <c r="L64" i="5"/>
  <c r="L61" i="5"/>
  <c r="L79" i="5"/>
  <c r="L66" i="5"/>
  <c r="L30" i="5"/>
  <c r="L18" i="5"/>
  <c r="L14" i="5"/>
  <c r="L10" i="5"/>
  <c r="L42" i="5"/>
  <c r="L7" i="5"/>
  <c r="L35" i="5"/>
  <c r="L33" i="5"/>
  <c r="L31" i="5"/>
  <c r="L28" i="5"/>
  <c r="L27" i="5"/>
  <c r="L25" i="5"/>
  <c r="L24" i="5"/>
  <c r="L23" i="5"/>
  <c r="L21" i="5"/>
  <c r="L19" i="5"/>
  <c r="L17" i="5"/>
  <c r="L16" i="5"/>
  <c r="L15" i="5"/>
  <c r="L12" i="5"/>
  <c r="L11" i="5"/>
  <c r="L37" i="5"/>
  <c r="L44" i="5"/>
  <c r="L41" i="5"/>
  <c r="L77" i="5"/>
  <c r="L75" i="5"/>
  <c r="L74" i="5"/>
  <c r="L71" i="5"/>
  <c r="L67" i="5"/>
  <c r="L63" i="5"/>
  <c r="L55" i="5"/>
  <c r="L52" i="5"/>
  <c r="L51" i="5"/>
  <c r="L48" i="5"/>
  <c r="L47" i="5"/>
  <c r="L32" i="5"/>
  <c r="L29" i="5"/>
  <c r="L20" i="5"/>
  <c r="L13" i="5"/>
  <c r="L8" i="5"/>
  <c r="L40" i="5"/>
  <c r="L43" i="5"/>
  <c r="L46" i="5"/>
  <c r="L34" i="5"/>
  <c r="L22" i="5"/>
  <c r="L9" i="5"/>
  <c r="L58" i="8" l="1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57" i="8"/>
  <c r="L47" i="8"/>
  <c r="L48" i="8"/>
  <c r="L49" i="8"/>
  <c r="L50" i="8"/>
  <c r="L51" i="8"/>
  <c r="L52" i="8"/>
  <c r="L53" i="8"/>
  <c r="L54" i="8"/>
  <c r="L55" i="8"/>
  <c r="L46" i="8"/>
  <c r="L41" i="8"/>
  <c r="L42" i="8"/>
  <c r="L43" i="8"/>
  <c r="L44" i="8"/>
  <c r="L40" i="8"/>
  <c r="L38" i="8"/>
  <c r="L3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7" i="8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60" i="3"/>
  <c r="L47" i="3"/>
  <c r="L48" i="3"/>
  <c r="L49" i="3"/>
  <c r="L50" i="3"/>
  <c r="L51" i="3"/>
  <c r="L52" i="3"/>
  <c r="L53" i="3"/>
  <c r="L54" i="3"/>
  <c r="L46" i="3"/>
  <c r="L41" i="3"/>
  <c r="L42" i="3"/>
  <c r="L43" i="3"/>
  <c r="L44" i="3"/>
  <c r="L40" i="3"/>
  <c r="L38" i="3"/>
  <c r="L3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7" i="3"/>
  <c r="R38" i="5" l="1"/>
  <c r="R42" i="5" l="1"/>
  <c r="R43" i="5"/>
  <c r="R41" i="5"/>
  <c r="R44" i="5"/>
  <c r="R8" i="5" l="1"/>
  <c r="R28" i="5"/>
  <c r="R20" i="5"/>
  <c r="R24" i="5"/>
  <c r="R32" i="5"/>
  <c r="R16" i="5"/>
  <c r="R12" i="5"/>
  <c r="R33" i="5"/>
  <c r="R29" i="5"/>
  <c r="R25" i="5"/>
  <c r="R21" i="5"/>
  <c r="R17" i="5"/>
  <c r="R13" i="5"/>
  <c r="R9" i="5"/>
  <c r="R7" i="5"/>
  <c r="R34" i="5"/>
  <c r="R30" i="5"/>
  <c r="R26" i="5"/>
  <c r="R22" i="5"/>
  <c r="R18" i="5"/>
  <c r="R14" i="5"/>
  <c r="R10" i="5"/>
  <c r="R35" i="5"/>
  <c r="R31" i="5"/>
  <c r="R27" i="5"/>
  <c r="R23" i="5"/>
  <c r="R19" i="5"/>
  <c r="R15" i="5"/>
  <c r="R11" i="5"/>
  <c r="R79" i="5"/>
  <c r="R57" i="5"/>
  <c r="R70" i="5"/>
  <c r="R37" i="5"/>
  <c r="R71" i="5"/>
  <c r="R69" i="5"/>
  <c r="R67" i="5"/>
  <c r="R63" i="5"/>
  <c r="R61" i="5"/>
  <c r="R59" i="5"/>
  <c r="R76" i="5"/>
  <c r="R72" i="5"/>
  <c r="R68" i="5"/>
  <c r="R64" i="5"/>
  <c r="R78" i="5"/>
  <c r="R74" i="5"/>
  <c r="R66" i="5"/>
  <c r="R62" i="5"/>
  <c r="R58" i="5"/>
  <c r="R77" i="5"/>
  <c r="R75" i="5"/>
  <c r="R73" i="5"/>
  <c r="R65" i="5"/>
  <c r="R52" i="5"/>
  <c r="R48" i="5"/>
  <c r="R54" i="5"/>
  <c r="R50" i="5"/>
  <c r="R53" i="5"/>
  <c r="R49" i="5"/>
  <c r="R51" i="5"/>
  <c r="R47" i="5"/>
  <c r="R40" i="5"/>
  <c r="L58" i="3"/>
  <c r="L59" i="3"/>
  <c r="L57" i="3"/>
  <c r="L55" i="3"/>
  <c r="R46" i="5" l="1"/>
  <c r="R55" i="5"/>
  <c r="R60" i="5"/>
  <c r="J81" i="10"/>
  <c r="I81" i="10"/>
  <c r="H81" i="10"/>
  <c r="G81" i="10"/>
  <c r="F81" i="10"/>
  <c r="E81" i="10"/>
  <c r="D81" i="10"/>
  <c r="L81" i="10" l="1"/>
  <c r="N80" i="5" l="1"/>
  <c r="O80" i="5"/>
  <c r="P80" i="5"/>
  <c r="M80" i="5" l="1"/>
  <c r="R80" i="5" l="1"/>
</calcChain>
</file>

<file path=xl/sharedStrings.xml><?xml version="1.0" encoding="utf-8"?>
<sst xmlns="http://schemas.openxmlformats.org/spreadsheetml/2006/main" count="361" uniqueCount="104">
  <si>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</si>
  <si>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</si>
  <si>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</si>
  <si>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</si>
  <si>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</si>
  <si>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</si>
  <si>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</si>
  <si>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</si>
  <si>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</si>
  <si>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</si>
  <si>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</si>
  <si>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</si>
  <si>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มะลิ</t>
  </si>
  <si>
    <t>ชิฟฟอน 8 ชิ้น รวมรสยอดฮิต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</si>
  <si>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</si>
  <si>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</si>
  <si>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</si>
  <si>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</si>
  <si>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</si>
  <si>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</si>
  <si>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</si>
  <si>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</si>
  <si>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</si>
  <si>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</si>
  <si>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</si>
  <si>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</si>
  <si>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</si>
  <si>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</si>
  <si>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</si>
  <si>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</si>
  <si>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</si>
  <si>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</si>
  <si>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</si>
  <si>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</si>
  <si>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</si>
  <si>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</si>
  <si>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</si>
  <si>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 6 ชิ้น</t>
  </si>
  <si>
    <t>ชิฟฟอนไส้แยมรวมรส 6 ชิ้น</t>
  </si>
  <si>
    <t>ชิฟฟอนไส้แยม 3 ชิ้น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</si>
  <si>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</si>
  <si>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</si>
  <si>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</si>
  <si>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</si>
  <si>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</si>
  <si>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</si>
  <si>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</si>
  <si>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</si>
  <si>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</si>
  <si>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</si>
  <si>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</si>
  <si>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</si>
  <si>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อื่นๆ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</si>
  <si>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</si>
  <si>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</si>
  <si>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</si>
  <si>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</si>
  <si>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</si>
  <si>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</si>
  <si>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</si>
  <si>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</si>
  <si>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</si>
  <si>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</si>
  <si>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</si>
  <si>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</si>
  <si>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</si>
  <si>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</si>
  <si>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</si>
  <si>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</si>
  <si>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</si>
  <si>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</si>
  <si>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</si>
  <si>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</si>
  <si>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</si>
  <si>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</si>
  <si>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</si>
  <si>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</si>
  <si>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</si>
  <si>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</si>
  <si>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</si>
  <si>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แซนวิชโบราณ</t>
  </si>
  <si>
    <t>กล่องเปล่าชิฟอน ล</t>
  </si>
  <si>
    <t>ชอยส์</t>
  </si>
  <si>
    <t>ติ๊กตอก2</t>
  </si>
  <si>
    <t>รับเกิน</t>
  </si>
  <si>
    <t>ยังไม่ได้รับเข้า</t>
  </si>
  <si>
    <t>กล่องทาร์ตสับปะรด</t>
  </si>
  <si>
    <t>ชิฟฟอนไส้แยมบลูเบอรี่ 3 ชิ้น</t>
  </si>
  <si>
    <t>ชิฟฟอนไส้แยมสตอเบอรี่ 3 ชิ้น</t>
  </si>
  <si>
    <t>ชิฟฟอนไส้แยมนมชมพู 3 ชิ้น</t>
  </si>
  <si>
    <t>ชิฟฟอนไส้แยมชอคโกแลต 3 ชิ้น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</si>
  <si>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</si>
  <si>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</si>
  <si>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</si>
  <si>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ชิฟฟอนไส้แยมฝอยทอง 3 ชิ้น</t>
  </si>
  <si>
    <t>ชิฟฟอนไส้แยมส้ม 3 ชิ้น</t>
  </si>
  <si>
    <t>ชิฟฟอน 8 ชิ้น มะพร้าวล้วน</t>
  </si>
  <si>
    <t>บิลค้าง</t>
  </si>
  <si>
    <t>ยอดจริง ออนไลน์ วันที่ 3/12/2567 - เย็น</t>
  </si>
  <si>
    <t>ชิฟฟอนไส้แยมฝอยทอง 6 ชิ้น</t>
  </si>
  <si>
    <t>บิลเส้น</t>
  </si>
  <si>
    <t>ยอดจริง ออนไลน์ วันที่ 4/12/2567 - เย็น</t>
  </si>
  <si>
    <t>ยอดจริง ออนไลน์ วันที่ 4/12/2567 - เช้า</t>
  </si>
  <si>
    <t>ยอดจริง ออนไลน์ วันที่ 4/12/2567 -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</si>
</sst>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0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5" fillId="5" borderId="0" xfId="0" applyNumberFormat="1" applyFont="1" applyFill="1" applyAlignment="1">
      <alignment horizontal="center" vertical="center"/>
    </xf>
    <xf numFmtId="187" fontId="5" fillId="9" borderId="0" xfId="0" applyNumberFormat="1" applyFont="1" applyFill="1" applyAlignment="1">
      <alignment horizontal="center" vertical="center"/>
    </xf>
    <xf numFmtId="187" fontId="5" fillId="5" borderId="2" xfId="0" applyNumberFormat="1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7" fillId="8" borderId="2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187" fontId="9" fillId="0" borderId="0" xfId="0" applyNumberFormat="1" applyFont="1"/>
    <xf numFmtId="0" fontId="9" fillId="0" borderId="0" xfId="0" applyFont="1"/>
    <xf numFmtId="187" fontId="3" fillId="0" borderId="2" xfId="0" applyNumberFormat="1" applyFont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7" fillId="8" borderId="8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EF843-C648-4CB7-B3D7-303D5ADA9983}">
  <dimension ref="B1:L87"/>
  <sheetViews>
    <sheetView zoomScale="60" zoomScaleNormal="60" workbookViewId="0">
      <selection activeCell="I73" sqref="I73"/>
    </sheetView>
  </sheetViews>
  <sheetFormatPr defaultRowHeight="22.5" x14ac:dyDescent="0.2"/>
  <cols>
    <col min="2" max="2" width="22.125" style="20" customWidth="1"/>
    <col min="3" max="3" width="59.125" style="20" customWidth="1"/>
    <col min="4" max="4" width="15" style="16" customWidth="1"/>
    <col min="5" max="11" width="14.375" style="16" customWidth="1"/>
    <col min="12" max="12" width="17.625" style="22" customWidth="1"/>
  </cols>
  <sheetData>
    <row r="1" spans="2:12" x14ac:dyDescent="0.2">
      <c r="B1" s="54" t="s">
        <v>101</v>
      </c>
      <c r="C1" s="54"/>
      <c r="D1" s="54"/>
      <c r="E1" s="54"/>
      <c r="F1" s="54"/>
      <c r="G1" s="54"/>
      <c r="H1" s="54"/>
      <c r="I1" s="54"/>
      <c r="J1" s="54"/>
      <c r="K1" s="54"/>
      <c r="L1" s="54"/>
    </row>
    <row r="2" spans="2:12" x14ac:dyDescent="0.2">
      <c r="B2" s="55"/>
      <c r="C2" s="56"/>
      <c r="D2" s="56"/>
      <c r="E2" s="56"/>
      <c r="F2" s="56"/>
      <c r="G2" s="56"/>
      <c r="H2" s="56"/>
      <c r="I2" s="56"/>
      <c r="J2" s="57"/>
      <c r="K2" s="47"/>
      <c r="L2" s="39" t="s">
        <v>0</v>
      </c>
    </row>
    <row r="3" spans="2:12" x14ac:dyDescent="0.2">
      <c r="B3" s="58"/>
      <c r="C3" s="59"/>
      <c r="D3" s="59"/>
      <c r="E3" s="59"/>
      <c r="F3" s="59"/>
      <c r="G3" s="59"/>
      <c r="H3" s="59"/>
      <c r="I3" s="59"/>
      <c r="J3" s="60"/>
      <c r="K3" s="48"/>
      <c r="L3" s="39" t="s">
        <v>2</v>
      </c>
    </row>
    <row r="4" spans="2:12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83</v>
      </c>
      <c r="I4" s="9" t="s">
        <v>9</v>
      </c>
      <c r="J4" s="9" t="s">
        <v>82</v>
      </c>
      <c r="K4" s="9" t="s">
        <v>100</v>
      </c>
      <c r="L4" s="39" t="s">
        <v>10</v>
      </c>
    </row>
    <row r="5" spans="2:12" x14ac:dyDescent="0.2">
      <c r="B5" s="11"/>
      <c r="C5" s="11"/>
      <c r="D5" s="9"/>
      <c r="E5" s="9"/>
      <c r="F5" s="9"/>
      <c r="G5" s="9"/>
      <c r="H5" s="9"/>
      <c r="I5" s="9"/>
      <c r="J5" s="9"/>
      <c r="K5" s="9"/>
      <c r="L5" s="40"/>
    </row>
    <row r="6" spans="2:12" ht="19.5" x14ac:dyDescent="0.2">
      <c r="B6" s="53" t="s">
        <v>11</v>
      </c>
      <c r="C6" s="53"/>
      <c r="D6" s="53"/>
      <c r="E6" s="53"/>
      <c r="F6" s="53"/>
      <c r="G6" s="53"/>
      <c r="H6" s="53"/>
      <c r="I6" s="53"/>
      <c r="J6" s="53"/>
      <c r="K6" s="53"/>
      <c r="L6" s="53"/>
    </row>
    <row r="7" spans="2:12" x14ac:dyDescent="0.2">
      <c r="B7" s="11">
        <v>1111002</v>
      </c>
      <c r="C7" s="15" t="s">
        <v>69</v>
      </c>
      <c r="D7" s="27"/>
      <c r="E7" s="27">
        <v>12</v>
      </c>
      <c r="F7" s="27">
        <v>4</v>
      </c>
      <c r="G7" s="27"/>
      <c r="H7" s="27"/>
      <c r="I7" s="27"/>
      <c r="J7" s="27"/>
      <c r="K7" s="27">
        <v>10</v>
      </c>
      <c r="L7" s="38">
        <f>SUM(D7:K7)</f>
        <v>26</v>
      </c>
    </row>
    <row r="8" spans="2:12" x14ac:dyDescent="0.2">
      <c r="B8" s="11">
        <v>1111086</v>
      </c>
      <c r="C8" s="15" t="s">
        <v>96</v>
      </c>
      <c r="D8" s="27"/>
      <c r="E8" s="27"/>
      <c r="F8" s="27"/>
      <c r="G8" s="27"/>
      <c r="H8" s="27"/>
      <c r="I8" s="27"/>
      <c r="J8" s="27"/>
      <c r="K8" s="27"/>
      <c r="L8" s="38">
        <f t="shared" ref="L8:L35" si="0">SUM(D8:K8)</f>
        <v>0</v>
      </c>
    </row>
    <row r="9" spans="2:12" x14ac:dyDescent="0.2">
      <c r="B9" s="11">
        <v>1111056</v>
      </c>
      <c r="C9" s="15" t="s">
        <v>13</v>
      </c>
      <c r="D9" s="27"/>
      <c r="E9" s="27">
        <v>3</v>
      </c>
      <c r="F9" s="27">
        <v>5</v>
      </c>
      <c r="G9" s="27">
        <v>8</v>
      </c>
      <c r="H9" s="27">
        <v>1</v>
      </c>
      <c r="I9" s="27"/>
      <c r="J9" s="27"/>
      <c r="K9" s="27"/>
      <c r="L9" s="38">
        <f t="shared" si="0"/>
        <v>17</v>
      </c>
    </row>
    <row r="10" spans="2:12" x14ac:dyDescent="0.2">
      <c r="B10" s="11">
        <v>1004055</v>
      </c>
      <c r="C10" s="15" t="s">
        <v>70</v>
      </c>
      <c r="D10" s="27"/>
      <c r="E10" s="27">
        <v>2</v>
      </c>
      <c r="F10" s="27"/>
      <c r="G10" s="27">
        <v>33</v>
      </c>
      <c r="H10" s="27">
        <v>49</v>
      </c>
      <c r="I10" s="27"/>
      <c r="J10" s="27"/>
      <c r="K10" s="27">
        <v>25</v>
      </c>
      <c r="L10" s="38">
        <f t="shared" si="0"/>
        <v>109</v>
      </c>
    </row>
    <row r="11" spans="2:12" x14ac:dyDescent="0.2">
      <c r="B11" s="11">
        <v>1111057</v>
      </c>
      <c r="C11" s="15" t="s">
        <v>14</v>
      </c>
      <c r="D11" s="27"/>
      <c r="E11" s="27"/>
      <c r="F11" s="27"/>
      <c r="G11" s="27"/>
      <c r="H11" s="27"/>
      <c r="I11" s="27"/>
      <c r="J11" s="27"/>
      <c r="K11" s="27"/>
      <c r="L11" s="38">
        <f t="shared" si="0"/>
        <v>0</v>
      </c>
    </row>
    <row r="12" spans="2:12" x14ac:dyDescent="0.2">
      <c r="B12" s="11">
        <v>1111058</v>
      </c>
      <c r="C12" s="15" t="s">
        <v>15</v>
      </c>
      <c r="D12" s="27"/>
      <c r="E12" s="27"/>
      <c r="F12" s="27"/>
      <c r="G12" s="27"/>
      <c r="H12" s="27"/>
      <c r="I12" s="27"/>
      <c r="J12" s="27"/>
      <c r="K12" s="27"/>
      <c r="L12" s="38">
        <f t="shared" si="0"/>
        <v>0</v>
      </c>
    </row>
    <row r="13" spans="2:12" x14ac:dyDescent="0.2">
      <c r="B13" s="11">
        <v>1111059</v>
      </c>
      <c r="C13" s="15" t="s">
        <v>16</v>
      </c>
      <c r="D13" s="27"/>
      <c r="E13" s="27"/>
      <c r="F13" s="27"/>
      <c r="G13" s="27"/>
      <c r="H13" s="27">
        <v>5</v>
      </c>
      <c r="I13" s="27"/>
      <c r="J13" s="27"/>
      <c r="K13" s="27"/>
      <c r="L13" s="38">
        <f t="shared" si="0"/>
        <v>5</v>
      </c>
    </row>
    <row r="14" spans="2:12" x14ac:dyDescent="0.2">
      <c r="B14" s="11">
        <v>1111060</v>
      </c>
      <c r="C14" s="15" t="s">
        <v>17</v>
      </c>
      <c r="D14" s="27"/>
      <c r="E14" s="27"/>
      <c r="F14" s="27"/>
      <c r="G14" s="27"/>
      <c r="H14" s="27"/>
      <c r="I14" s="27"/>
      <c r="J14" s="27"/>
      <c r="K14" s="27"/>
      <c r="L14" s="38">
        <f t="shared" si="0"/>
        <v>0</v>
      </c>
    </row>
    <row r="15" spans="2:12" x14ac:dyDescent="0.2">
      <c r="B15" s="11">
        <v>1111061</v>
      </c>
      <c r="C15" s="15" t="s">
        <v>18</v>
      </c>
      <c r="D15" s="27"/>
      <c r="E15" s="27"/>
      <c r="F15" s="27"/>
      <c r="G15" s="27"/>
      <c r="H15" s="27"/>
      <c r="I15" s="27"/>
      <c r="J15" s="27"/>
      <c r="K15" s="27"/>
      <c r="L15" s="38">
        <f t="shared" si="0"/>
        <v>0</v>
      </c>
    </row>
    <row r="16" spans="2:12" x14ac:dyDescent="0.2">
      <c r="B16" s="11">
        <v>1111062</v>
      </c>
      <c r="C16" s="15" t="s">
        <v>19</v>
      </c>
      <c r="D16" s="27"/>
      <c r="E16" s="27"/>
      <c r="F16" s="27"/>
      <c r="G16" s="27"/>
      <c r="H16" s="27"/>
      <c r="I16" s="27"/>
      <c r="J16" s="27"/>
      <c r="K16" s="27"/>
      <c r="L16" s="38">
        <f t="shared" si="0"/>
        <v>0</v>
      </c>
    </row>
    <row r="17" spans="2:12" x14ac:dyDescent="0.2">
      <c r="B17" s="11">
        <v>1111063</v>
      </c>
      <c r="C17" s="15" t="s">
        <v>20</v>
      </c>
      <c r="D17" s="27"/>
      <c r="E17" s="27"/>
      <c r="F17" s="27"/>
      <c r="G17" s="27"/>
      <c r="H17" s="27"/>
      <c r="I17" s="27"/>
      <c r="J17" s="27"/>
      <c r="K17" s="27"/>
      <c r="L17" s="38">
        <f t="shared" si="0"/>
        <v>0</v>
      </c>
    </row>
    <row r="18" spans="2:12" x14ac:dyDescent="0.2">
      <c r="B18" s="11">
        <v>1111064</v>
      </c>
      <c r="C18" s="15" t="s">
        <v>21</v>
      </c>
      <c r="D18" s="27"/>
      <c r="E18" s="27"/>
      <c r="F18" s="27"/>
      <c r="G18" s="27"/>
      <c r="H18" s="27"/>
      <c r="I18" s="27"/>
      <c r="J18" s="27"/>
      <c r="K18" s="27"/>
      <c r="L18" s="38">
        <f t="shared" si="0"/>
        <v>0</v>
      </c>
    </row>
    <row r="19" spans="2:12" x14ac:dyDescent="0.2">
      <c r="B19" s="11">
        <v>1111065</v>
      </c>
      <c r="C19" s="15" t="s">
        <v>22</v>
      </c>
      <c r="D19" s="27"/>
      <c r="E19" s="27"/>
      <c r="F19" s="27"/>
      <c r="G19" s="27"/>
      <c r="H19" s="27"/>
      <c r="I19" s="27"/>
      <c r="J19" s="27"/>
      <c r="K19" s="27"/>
      <c r="L19" s="38">
        <f t="shared" si="0"/>
        <v>0</v>
      </c>
    </row>
    <row r="20" spans="2:12" x14ac:dyDescent="0.2">
      <c r="B20" s="11">
        <v>1111066</v>
      </c>
      <c r="C20" s="15" t="s">
        <v>23</v>
      </c>
      <c r="D20" s="27"/>
      <c r="E20" s="27"/>
      <c r="F20" s="27"/>
      <c r="G20" s="27"/>
      <c r="H20" s="27"/>
      <c r="I20" s="27"/>
      <c r="J20" s="27"/>
      <c r="K20" s="27"/>
      <c r="L20" s="38">
        <f t="shared" si="0"/>
        <v>0</v>
      </c>
    </row>
    <row r="21" spans="2:12" x14ac:dyDescent="0.2">
      <c r="B21" s="11">
        <v>1111067</v>
      </c>
      <c r="C21" s="15" t="s">
        <v>24</v>
      </c>
      <c r="D21" s="27"/>
      <c r="E21" s="27"/>
      <c r="F21" s="27"/>
      <c r="G21" s="27"/>
      <c r="H21" s="27">
        <v>5</v>
      </c>
      <c r="I21" s="27"/>
      <c r="J21" s="27"/>
      <c r="K21" s="27"/>
      <c r="L21" s="38">
        <f t="shared" si="0"/>
        <v>5</v>
      </c>
    </row>
    <row r="22" spans="2:12" x14ac:dyDescent="0.2">
      <c r="B22" s="11">
        <v>1111068</v>
      </c>
      <c r="C22" s="15" t="s">
        <v>25</v>
      </c>
      <c r="D22" s="27"/>
      <c r="E22" s="27"/>
      <c r="F22" s="27"/>
      <c r="G22" s="27"/>
      <c r="H22" s="27"/>
      <c r="I22" s="27"/>
      <c r="J22" s="27"/>
      <c r="K22" s="27"/>
      <c r="L22" s="38">
        <f t="shared" si="0"/>
        <v>0</v>
      </c>
    </row>
    <row r="23" spans="2:12" x14ac:dyDescent="0.2">
      <c r="B23" s="11">
        <v>1111069</v>
      </c>
      <c r="C23" s="15" t="s">
        <v>26</v>
      </c>
      <c r="D23" s="27"/>
      <c r="E23" s="27"/>
      <c r="F23" s="27"/>
      <c r="G23" s="27"/>
      <c r="H23" s="27"/>
      <c r="I23" s="27"/>
      <c r="J23" s="27"/>
      <c r="K23" s="27"/>
      <c r="L23" s="38">
        <f t="shared" si="0"/>
        <v>0</v>
      </c>
    </row>
    <row r="24" spans="2:12" x14ac:dyDescent="0.2">
      <c r="B24" s="11">
        <v>1111070</v>
      </c>
      <c r="C24" s="15" t="s">
        <v>77</v>
      </c>
      <c r="D24" s="27"/>
      <c r="E24" s="27"/>
      <c r="F24" s="27"/>
      <c r="G24" s="27"/>
      <c r="H24" s="27"/>
      <c r="I24" s="27"/>
      <c r="J24" s="27"/>
      <c r="K24" s="27"/>
      <c r="L24" s="38">
        <f t="shared" si="0"/>
        <v>0</v>
      </c>
    </row>
    <row r="25" spans="2:12" x14ac:dyDescent="0.2">
      <c r="B25" s="11">
        <v>1111071</v>
      </c>
      <c r="C25" s="15" t="s">
        <v>78</v>
      </c>
      <c r="D25" s="27"/>
      <c r="E25" s="27"/>
      <c r="F25" s="27"/>
      <c r="G25" s="27"/>
      <c r="H25" s="27"/>
      <c r="I25" s="27"/>
      <c r="J25" s="27"/>
      <c r="K25" s="27"/>
      <c r="L25" s="38">
        <f t="shared" si="0"/>
        <v>0</v>
      </c>
    </row>
    <row r="26" spans="2:12" x14ac:dyDescent="0.2">
      <c r="B26" s="11">
        <v>1111074</v>
      </c>
      <c r="C26" s="15" t="s">
        <v>27</v>
      </c>
      <c r="D26" s="27"/>
      <c r="E26" s="27"/>
      <c r="F26" s="27"/>
      <c r="G26" s="27">
        <v>1</v>
      </c>
      <c r="H26" s="27">
        <v>2</v>
      </c>
      <c r="I26" s="27"/>
      <c r="J26" s="27"/>
      <c r="K26" s="27"/>
      <c r="L26" s="38">
        <f t="shared" si="0"/>
        <v>3</v>
      </c>
    </row>
    <row r="27" spans="2:12" x14ac:dyDescent="0.2">
      <c r="B27" s="11">
        <v>1111075</v>
      </c>
      <c r="C27" s="15" t="s">
        <v>28</v>
      </c>
      <c r="D27" s="27"/>
      <c r="E27" s="27"/>
      <c r="F27" s="27"/>
      <c r="G27" s="27"/>
      <c r="H27" s="27">
        <v>2</v>
      </c>
      <c r="I27" s="27"/>
      <c r="J27" s="27"/>
      <c r="K27" s="27"/>
      <c r="L27" s="38">
        <f t="shared" si="0"/>
        <v>2</v>
      </c>
    </row>
    <row r="28" spans="2:12" x14ac:dyDescent="0.2">
      <c r="B28" s="11">
        <v>1111076</v>
      </c>
      <c r="C28" s="15" t="s">
        <v>29</v>
      </c>
      <c r="D28" s="27"/>
      <c r="E28" s="27"/>
      <c r="F28" s="27"/>
      <c r="G28" s="27"/>
      <c r="H28" s="27">
        <v>2</v>
      </c>
      <c r="I28" s="27"/>
      <c r="J28" s="27"/>
      <c r="K28" s="27"/>
      <c r="L28" s="38">
        <f t="shared" si="0"/>
        <v>2</v>
      </c>
    </row>
    <row r="29" spans="2:12" x14ac:dyDescent="0.2">
      <c r="B29" s="11">
        <v>1111077</v>
      </c>
      <c r="C29" s="15" t="s">
        <v>30</v>
      </c>
      <c r="D29" s="27"/>
      <c r="E29" s="27"/>
      <c r="F29" s="27"/>
      <c r="G29" s="27"/>
      <c r="H29" s="27">
        <v>2</v>
      </c>
      <c r="I29" s="27"/>
      <c r="J29" s="27"/>
      <c r="K29" s="27"/>
      <c r="L29" s="38">
        <f t="shared" si="0"/>
        <v>2</v>
      </c>
    </row>
    <row r="30" spans="2:12" x14ac:dyDescent="0.2">
      <c r="B30" s="11">
        <v>1111078</v>
      </c>
      <c r="C30" s="15" t="s">
        <v>31</v>
      </c>
      <c r="D30" s="27"/>
      <c r="E30" s="27"/>
      <c r="F30" s="27"/>
      <c r="G30" s="27"/>
      <c r="H30" s="27">
        <v>2</v>
      </c>
      <c r="I30" s="27"/>
      <c r="J30" s="27"/>
      <c r="K30" s="27"/>
      <c r="L30" s="38">
        <f t="shared" si="0"/>
        <v>2</v>
      </c>
    </row>
    <row r="31" spans="2:12" x14ac:dyDescent="0.2">
      <c r="B31" s="11">
        <v>1111079</v>
      </c>
      <c r="C31" s="15" t="s">
        <v>32</v>
      </c>
      <c r="D31" s="27"/>
      <c r="E31" s="27"/>
      <c r="F31" s="27"/>
      <c r="G31" s="27"/>
      <c r="H31" s="27">
        <v>1</v>
      </c>
      <c r="I31" s="27"/>
      <c r="J31" s="27"/>
      <c r="K31" s="27"/>
      <c r="L31" s="38">
        <f t="shared" si="0"/>
        <v>1</v>
      </c>
    </row>
    <row r="32" spans="2:12" x14ac:dyDescent="0.2">
      <c r="B32" s="11">
        <v>1111080</v>
      </c>
      <c r="C32" s="15" t="s">
        <v>33</v>
      </c>
      <c r="D32" s="27"/>
      <c r="E32" s="27"/>
      <c r="F32" s="27"/>
      <c r="G32" s="27"/>
      <c r="H32" s="27">
        <v>1</v>
      </c>
      <c r="I32" s="27"/>
      <c r="J32" s="27"/>
      <c r="K32" s="27"/>
      <c r="L32" s="38">
        <f t="shared" si="0"/>
        <v>1</v>
      </c>
    </row>
    <row r="33" spans="2:12" x14ac:dyDescent="0.2">
      <c r="B33" s="11">
        <v>1111081</v>
      </c>
      <c r="C33" s="15" t="s">
        <v>34</v>
      </c>
      <c r="D33" s="27"/>
      <c r="E33" s="27"/>
      <c r="F33" s="27"/>
      <c r="G33" s="27"/>
      <c r="H33" s="27">
        <v>1</v>
      </c>
      <c r="I33" s="27"/>
      <c r="J33" s="27"/>
      <c r="K33" s="27"/>
      <c r="L33" s="38">
        <f t="shared" si="0"/>
        <v>1</v>
      </c>
    </row>
    <row r="34" spans="2:12" x14ac:dyDescent="0.2">
      <c r="B34" s="11">
        <v>1111082</v>
      </c>
      <c r="C34" s="15" t="s">
        <v>35</v>
      </c>
      <c r="D34" s="27"/>
      <c r="E34" s="27"/>
      <c r="F34" s="27"/>
      <c r="G34" s="27"/>
      <c r="H34" s="27">
        <v>1</v>
      </c>
      <c r="I34" s="27"/>
      <c r="J34" s="27"/>
      <c r="K34" s="27"/>
      <c r="L34" s="38">
        <f t="shared" si="0"/>
        <v>1</v>
      </c>
    </row>
    <row r="35" spans="2:12" x14ac:dyDescent="0.2">
      <c r="B35" s="11">
        <v>1111083</v>
      </c>
      <c r="C35" s="15" t="s">
        <v>36</v>
      </c>
      <c r="D35" s="27"/>
      <c r="E35" s="27"/>
      <c r="F35" s="27"/>
      <c r="G35" s="27"/>
      <c r="H35" s="27">
        <v>1</v>
      </c>
      <c r="I35" s="27"/>
      <c r="J35" s="27"/>
      <c r="K35" s="27"/>
      <c r="L35" s="38">
        <f t="shared" si="0"/>
        <v>1</v>
      </c>
    </row>
    <row r="36" spans="2:12" ht="19.5" x14ac:dyDescent="0.2">
      <c r="B36" s="53" t="s">
        <v>37</v>
      </c>
      <c r="C36" s="53"/>
      <c r="D36" s="53"/>
      <c r="E36" s="53"/>
      <c r="F36" s="53"/>
      <c r="G36" s="53"/>
      <c r="H36" s="53"/>
      <c r="I36" s="53"/>
      <c r="J36" s="53"/>
      <c r="K36" s="53"/>
      <c r="L36" s="53"/>
    </row>
    <row r="37" spans="2:12" x14ac:dyDescent="0.2">
      <c r="B37" s="11">
        <v>1111009</v>
      </c>
      <c r="C37" s="17" t="s">
        <v>38</v>
      </c>
      <c r="D37" s="27"/>
      <c r="E37" s="27"/>
      <c r="F37" s="27">
        <v>5</v>
      </c>
      <c r="G37" s="27"/>
      <c r="H37" s="27"/>
      <c r="I37" s="27"/>
      <c r="J37" s="27"/>
      <c r="K37" s="27"/>
      <c r="L37" s="38">
        <f>SUM(D37:K37)</f>
        <v>5</v>
      </c>
    </row>
    <row r="38" spans="2:12" x14ac:dyDescent="0.2">
      <c r="B38" s="11"/>
      <c r="C38" s="17"/>
      <c r="D38" s="27"/>
      <c r="E38" s="27"/>
      <c r="F38" s="27"/>
      <c r="G38" s="27"/>
      <c r="H38" s="27"/>
      <c r="I38" s="27"/>
      <c r="J38" s="27"/>
      <c r="K38" s="27"/>
      <c r="L38" s="38">
        <f>SUM(D38:K38)</f>
        <v>0</v>
      </c>
    </row>
    <row r="39" spans="2:12" ht="19.5" x14ac:dyDescent="0.2">
      <c r="B39" s="53" t="s">
        <v>39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</row>
    <row r="40" spans="2:12" x14ac:dyDescent="0.2">
      <c r="B40" s="11">
        <v>1111008</v>
      </c>
      <c r="C40" s="17" t="s">
        <v>40</v>
      </c>
      <c r="D40" s="27"/>
      <c r="E40" s="27"/>
      <c r="F40" s="27"/>
      <c r="G40" s="27">
        <v>59</v>
      </c>
      <c r="H40" s="27">
        <v>34</v>
      </c>
      <c r="I40" s="27"/>
      <c r="J40" s="27"/>
      <c r="K40" s="27"/>
      <c r="L40" s="38">
        <f>SUM(D40:K40)</f>
        <v>93</v>
      </c>
    </row>
    <row r="41" spans="2:12" x14ac:dyDescent="0.2">
      <c r="B41" s="11"/>
      <c r="C41" s="17"/>
      <c r="D41" s="27"/>
      <c r="E41" s="27"/>
      <c r="F41" s="27"/>
      <c r="G41" s="27"/>
      <c r="H41" s="27"/>
      <c r="I41" s="27"/>
      <c r="J41" s="27"/>
      <c r="K41" s="27"/>
      <c r="L41" s="38">
        <f t="shared" ref="L41:L44" si="1">SUM(D41:K41)</f>
        <v>0</v>
      </c>
    </row>
    <row r="42" spans="2:12" x14ac:dyDescent="0.2">
      <c r="B42" s="11"/>
      <c r="C42" s="17"/>
      <c r="D42" s="27"/>
      <c r="E42" s="27"/>
      <c r="F42" s="27"/>
      <c r="G42" s="27"/>
      <c r="H42" s="27"/>
      <c r="I42" s="27"/>
      <c r="J42" s="27"/>
      <c r="K42" s="27"/>
      <c r="L42" s="38">
        <f t="shared" si="1"/>
        <v>0</v>
      </c>
    </row>
    <row r="43" spans="2:12" x14ac:dyDescent="0.2">
      <c r="B43" s="11"/>
      <c r="C43" s="17"/>
      <c r="D43" s="27"/>
      <c r="E43" s="27"/>
      <c r="F43" s="27"/>
      <c r="G43" s="27"/>
      <c r="H43" s="27"/>
      <c r="I43" s="27"/>
      <c r="J43" s="27"/>
      <c r="K43" s="27"/>
      <c r="L43" s="38">
        <f t="shared" si="1"/>
        <v>0</v>
      </c>
    </row>
    <row r="44" spans="2:12" x14ac:dyDescent="0.2">
      <c r="B44" s="11"/>
      <c r="C44" s="17"/>
      <c r="D44" s="27"/>
      <c r="E44" s="27"/>
      <c r="F44" s="27"/>
      <c r="G44" s="27"/>
      <c r="H44" s="27"/>
      <c r="I44" s="27"/>
      <c r="J44" s="27"/>
      <c r="K44" s="27"/>
      <c r="L44" s="38">
        <f t="shared" si="1"/>
        <v>0</v>
      </c>
    </row>
    <row r="45" spans="2:12" ht="19.5" x14ac:dyDescent="0.2">
      <c r="B45" s="53" t="s">
        <v>41</v>
      </c>
      <c r="C45" s="53"/>
      <c r="D45" s="53"/>
      <c r="E45" s="53"/>
      <c r="F45" s="53"/>
      <c r="G45" s="53"/>
      <c r="H45" s="53"/>
      <c r="I45" s="53"/>
      <c r="J45" s="53"/>
      <c r="K45" s="53"/>
      <c r="L45" s="53"/>
    </row>
    <row r="46" spans="2:12" x14ac:dyDescent="0.2">
      <c r="B46" s="11">
        <v>1112009</v>
      </c>
      <c r="C46" s="17" t="s">
        <v>42</v>
      </c>
      <c r="D46" s="27"/>
      <c r="E46" s="27">
        <v>5</v>
      </c>
      <c r="F46" s="27">
        <v>1</v>
      </c>
      <c r="G46" s="27">
        <v>35</v>
      </c>
      <c r="H46" s="27">
        <v>32</v>
      </c>
      <c r="I46" s="27"/>
      <c r="J46" s="27"/>
      <c r="K46" s="27">
        <v>7</v>
      </c>
      <c r="L46" s="38">
        <f>SUM(D46:K46)</f>
        <v>80</v>
      </c>
    </row>
    <row r="47" spans="2:12" x14ac:dyDescent="0.2">
      <c r="B47" s="11">
        <v>1112011</v>
      </c>
      <c r="C47" s="17" t="s">
        <v>43</v>
      </c>
      <c r="D47" s="27"/>
      <c r="E47" s="27">
        <v>5</v>
      </c>
      <c r="F47" s="27"/>
      <c r="G47" s="27">
        <v>35</v>
      </c>
      <c r="H47" s="27">
        <v>32</v>
      </c>
      <c r="I47" s="27"/>
      <c r="J47" s="27"/>
      <c r="K47" s="27">
        <v>7</v>
      </c>
      <c r="L47" s="38">
        <f t="shared" ref="L47:L55" si="2">SUM(D47:K47)</f>
        <v>79</v>
      </c>
    </row>
    <row r="48" spans="2:12" x14ac:dyDescent="0.2">
      <c r="B48" s="11">
        <v>1112003</v>
      </c>
      <c r="C48" s="17" t="s">
        <v>44</v>
      </c>
      <c r="D48" s="27"/>
      <c r="E48" s="27"/>
      <c r="F48" s="27"/>
      <c r="G48" s="27">
        <v>29</v>
      </c>
      <c r="H48" s="27">
        <v>10</v>
      </c>
      <c r="I48" s="27"/>
      <c r="J48" s="27"/>
      <c r="K48" s="27"/>
      <c r="L48" s="38">
        <f t="shared" si="2"/>
        <v>39</v>
      </c>
    </row>
    <row r="49" spans="2:12" x14ac:dyDescent="0.2">
      <c r="B49" s="11">
        <v>1112005</v>
      </c>
      <c r="C49" s="17" t="s">
        <v>45</v>
      </c>
      <c r="D49" s="27"/>
      <c r="E49" s="27"/>
      <c r="F49" s="27"/>
      <c r="G49" s="27">
        <v>5</v>
      </c>
      <c r="H49" s="27">
        <v>1</v>
      </c>
      <c r="I49" s="27"/>
      <c r="J49" s="27"/>
      <c r="K49" s="27"/>
      <c r="L49" s="38">
        <f t="shared" si="2"/>
        <v>6</v>
      </c>
    </row>
    <row r="50" spans="2:12" x14ac:dyDescent="0.2">
      <c r="B50" s="11">
        <v>1112007</v>
      </c>
      <c r="C50" s="17" t="s">
        <v>46</v>
      </c>
      <c r="D50" s="27"/>
      <c r="E50" s="27"/>
      <c r="F50" s="27"/>
      <c r="G50" s="27"/>
      <c r="H50" s="27"/>
      <c r="I50" s="27"/>
      <c r="J50" s="27"/>
      <c r="K50" s="27"/>
      <c r="L50" s="38">
        <f t="shared" si="2"/>
        <v>0</v>
      </c>
    </row>
    <row r="51" spans="2:12" x14ac:dyDescent="0.2">
      <c r="B51" s="11">
        <v>1112019</v>
      </c>
      <c r="C51" s="17" t="s">
        <v>47</v>
      </c>
      <c r="D51" s="27"/>
      <c r="E51" s="27"/>
      <c r="F51" s="27"/>
      <c r="G51" s="27"/>
      <c r="H51" s="27"/>
      <c r="I51" s="27"/>
      <c r="J51" s="27"/>
      <c r="K51" s="27"/>
      <c r="L51" s="38">
        <f t="shared" si="2"/>
        <v>0</v>
      </c>
    </row>
    <row r="52" spans="2:12" x14ac:dyDescent="0.2">
      <c r="B52" s="11">
        <v>1112017</v>
      </c>
      <c r="C52" s="17" t="s">
        <v>48</v>
      </c>
      <c r="D52" s="27"/>
      <c r="E52" s="27"/>
      <c r="F52" s="27"/>
      <c r="G52" s="27">
        <v>28</v>
      </c>
      <c r="H52" s="27">
        <v>10</v>
      </c>
      <c r="I52" s="27"/>
      <c r="J52" s="27"/>
      <c r="K52" s="27"/>
      <c r="L52" s="38">
        <f t="shared" si="2"/>
        <v>38</v>
      </c>
    </row>
    <row r="53" spans="2:12" x14ac:dyDescent="0.2">
      <c r="B53" s="11">
        <v>1112015</v>
      </c>
      <c r="C53" s="17" t="s">
        <v>49</v>
      </c>
      <c r="D53" s="27"/>
      <c r="E53" s="27"/>
      <c r="F53" s="27"/>
      <c r="G53" s="27">
        <v>28</v>
      </c>
      <c r="H53" s="27">
        <v>10</v>
      </c>
      <c r="I53" s="27"/>
      <c r="J53" s="27"/>
      <c r="K53" s="27"/>
      <c r="L53" s="38">
        <f t="shared" si="2"/>
        <v>38</v>
      </c>
    </row>
    <row r="54" spans="2:12" x14ac:dyDescent="0.2">
      <c r="B54" s="11">
        <v>1112013</v>
      </c>
      <c r="C54" s="17" t="s">
        <v>50</v>
      </c>
      <c r="D54" s="27"/>
      <c r="E54" s="27">
        <v>7</v>
      </c>
      <c r="F54" s="27">
        <v>1</v>
      </c>
      <c r="G54" s="27">
        <v>35</v>
      </c>
      <c r="H54" s="27">
        <v>32</v>
      </c>
      <c r="I54" s="27"/>
      <c r="J54" s="27"/>
      <c r="K54" s="27">
        <v>7</v>
      </c>
      <c r="L54" s="38">
        <f t="shared" si="2"/>
        <v>82</v>
      </c>
    </row>
    <row r="55" spans="2:12" x14ac:dyDescent="0.2">
      <c r="B55" s="11">
        <v>1124043</v>
      </c>
      <c r="C55" s="17" t="s">
        <v>51</v>
      </c>
      <c r="D55" s="27"/>
      <c r="E55" s="27"/>
      <c r="F55" s="27"/>
      <c r="G55" s="27"/>
      <c r="H55" s="27"/>
      <c r="I55" s="27"/>
      <c r="J55" s="27"/>
      <c r="K55" s="27"/>
      <c r="L55" s="38">
        <f t="shared" si="2"/>
        <v>0</v>
      </c>
    </row>
    <row r="56" spans="2:12" ht="19.5" x14ac:dyDescent="0.2">
      <c r="B56" s="53" t="s">
        <v>52</v>
      </c>
      <c r="C56" s="53"/>
      <c r="D56" s="53"/>
      <c r="E56" s="53"/>
      <c r="F56" s="53"/>
      <c r="G56" s="53"/>
      <c r="H56" s="53"/>
      <c r="I56" s="53"/>
      <c r="J56" s="53"/>
      <c r="K56" s="53"/>
      <c r="L56" s="53"/>
    </row>
    <row r="57" spans="2:12" x14ac:dyDescent="0.2">
      <c r="B57" s="11">
        <v>1113170</v>
      </c>
      <c r="C57" s="17" t="s">
        <v>91</v>
      </c>
      <c r="D57" s="11"/>
      <c r="E57" s="11"/>
      <c r="F57" s="11"/>
      <c r="G57" s="11"/>
      <c r="H57" s="11"/>
      <c r="I57" s="11"/>
      <c r="J57" s="11"/>
      <c r="K57" s="11">
        <v>4</v>
      </c>
      <c r="L57" s="38">
        <f>SUM(D57:K57)</f>
        <v>4</v>
      </c>
    </row>
    <row r="58" spans="2:12" x14ac:dyDescent="0.2">
      <c r="B58" s="11">
        <v>1113171</v>
      </c>
      <c r="C58" s="17" t="s">
        <v>92</v>
      </c>
      <c r="D58" s="11"/>
      <c r="E58" s="11"/>
      <c r="F58" s="11"/>
      <c r="G58" s="11"/>
      <c r="H58" s="11"/>
      <c r="I58" s="11"/>
      <c r="J58" s="11"/>
      <c r="K58" s="11">
        <v>3</v>
      </c>
      <c r="L58" s="38">
        <f t="shared" ref="L58:L79" si="3">SUM(D58:K58)</f>
        <v>3</v>
      </c>
    </row>
    <row r="59" spans="2:12" x14ac:dyDescent="0.2">
      <c r="B59" s="11">
        <v>1113172</v>
      </c>
      <c r="C59" s="17" t="s">
        <v>93</v>
      </c>
      <c r="D59" s="11"/>
      <c r="E59" s="11"/>
      <c r="F59" s="11"/>
      <c r="G59" s="11"/>
      <c r="H59" s="11"/>
      <c r="I59" s="11"/>
      <c r="J59" s="11"/>
      <c r="K59" s="11">
        <v>3</v>
      </c>
      <c r="L59" s="38">
        <f t="shared" si="3"/>
        <v>3</v>
      </c>
    </row>
    <row r="60" spans="2:12" x14ac:dyDescent="0.2">
      <c r="B60" s="11">
        <v>1100003</v>
      </c>
      <c r="C60" s="18" t="s">
        <v>71</v>
      </c>
      <c r="D60" s="27"/>
      <c r="E60" s="27">
        <v>4</v>
      </c>
      <c r="F60" s="27"/>
      <c r="G60" s="27"/>
      <c r="H60" s="27"/>
      <c r="I60" s="27"/>
      <c r="J60" s="27"/>
      <c r="K60" s="27"/>
      <c r="L60" s="38">
        <f t="shared" si="3"/>
        <v>4</v>
      </c>
    </row>
    <row r="61" spans="2:12" x14ac:dyDescent="0.2">
      <c r="B61" s="11">
        <v>1100001</v>
      </c>
      <c r="C61" s="18" t="s">
        <v>72</v>
      </c>
      <c r="D61" s="27"/>
      <c r="E61" s="27"/>
      <c r="F61" s="27"/>
      <c r="G61" s="27"/>
      <c r="H61" s="27"/>
      <c r="I61" s="27"/>
      <c r="J61" s="27"/>
      <c r="K61" s="27"/>
      <c r="L61" s="38">
        <f t="shared" si="3"/>
        <v>0</v>
      </c>
    </row>
    <row r="62" spans="2:12" x14ac:dyDescent="0.2">
      <c r="B62" s="11">
        <v>1100002</v>
      </c>
      <c r="C62" s="18" t="s">
        <v>73</v>
      </c>
      <c r="D62" s="27"/>
      <c r="E62" s="27"/>
      <c r="F62" s="27"/>
      <c r="G62" s="27">
        <v>3</v>
      </c>
      <c r="H62" s="27"/>
      <c r="I62" s="27"/>
      <c r="J62" s="27"/>
      <c r="K62" s="27"/>
      <c r="L62" s="38">
        <f t="shared" si="3"/>
        <v>3</v>
      </c>
    </row>
    <row r="63" spans="2:12" x14ac:dyDescent="0.2">
      <c r="B63" s="11">
        <v>1200001</v>
      </c>
      <c r="C63" s="18" t="s">
        <v>55</v>
      </c>
      <c r="D63" s="27"/>
      <c r="E63" s="27"/>
      <c r="F63" s="27"/>
      <c r="G63" s="27"/>
      <c r="H63" s="27">
        <v>1</v>
      </c>
      <c r="I63" s="27"/>
      <c r="J63" s="27"/>
      <c r="K63" s="27">
        <v>5</v>
      </c>
      <c r="L63" s="38">
        <f t="shared" si="3"/>
        <v>6</v>
      </c>
    </row>
    <row r="64" spans="2:12" x14ac:dyDescent="0.2">
      <c r="B64" s="11">
        <v>1005761</v>
      </c>
      <c r="C64" s="18" t="s">
        <v>56</v>
      </c>
      <c r="D64" s="27"/>
      <c r="E64" s="27"/>
      <c r="F64" s="27"/>
      <c r="G64" s="27"/>
      <c r="H64" s="27"/>
      <c r="I64" s="27"/>
      <c r="J64" s="27"/>
      <c r="K64" s="27"/>
      <c r="L64" s="38">
        <f t="shared" si="3"/>
        <v>0</v>
      </c>
    </row>
    <row r="65" spans="2:12" x14ac:dyDescent="0.2">
      <c r="B65" s="11">
        <v>1114501</v>
      </c>
      <c r="C65" s="18" t="s">
        <v>57</v>
      </c>
      <c r="D65" s="27"/>
      <c r="E65" s="27">
        <v>4</v>
      </c>
      <c r="F65" s="27">
        <v>1</v>
      </c>
      <c r="G65" s="27">
        <v>178</v>
      </c>
      <c r="H65" s="27">
        <v>129</v>
      </c>
      <c r="I65" s="27"/>
      <c r="J65" s="27"/>
      <c r="K65" s="27"/>
      <c r="L65" s="38">
        <f t="shared" si="3"/>
        <v>312</v>
      </c>
    </row>
    <row r="66" spans="2:12" x14ac:dyDescent="0.2">
      <c r="B66" s="11">
        <v>1114502</v>
      </c>
      <c r="C66" s="18" t="s">
        <v>58</v>
      </c>
      <c r="D66" s="27"/>
      <c r="E66" s="27">
        <v>3</v>
      </c>
      <c r="F66" s="27">
        <v>1</v>
      </c>
      <c r="G66" s="27">
        <v>178</v>
      </c>
      <c r="H66" s="27">
        <v>129</v>
      </c>
      <c r="I66" s="27"/>
      <c r="J66" s="27"/>
      <c r="K66" s="27"/>
      <c r="L66" s="38">
        <f t="shared" si="3"/>
        <v>311</v>
      </c>
    </row>
    <row r="67" spans="2:12" x14ac:dyDescent="0.2">
      <c r="B67" s="11">
        <v>1114503</v>
      </c>
      <c r="C67" s="18" t="s">
        <v>59</v>
      </c>
      <c r="D67" s="27"/>
      <c r="E67" s="27">
        <v>3</v>
      </c>
      <c r="F67" s="27">
        <v>1</v>
      </c>
      <c r="G67" s="27">
        <v>178</v>
      </c>
      <c r="H67" s="27">
        <v>129</v>
      </c>
      <c r="I67" s="27"/>
      <c r="J67" s="27"/>
      <c r="K67" s="27"/>
      <c r="L67" s="38">
        <f t="shared" si="3"/>
        <v>311</v>
      </c>
    </row>
    <row r="68" spans="2:12" x14ac:dyDescent="0.2">
      <c r="B68" s="11">
        <v>1124021</v>
      </c>
      <c r="C68" s="18" t="s">
        <v>60</v>
      </c>
      <c r="D68" s="27"/>
      <c r="E68" s="27"/>
      <c r="F68" s="27">
        <v>1</v>
      </c>
      <c r="G68" s="27">
        <v>39</v>
      </c>
      <c r="H68" s="27">
        <v>39</v>
      </c>
      <c r="I68" s="27"/>
      <c r="J68" s="27"/>
      <c r="K68" s="27"/>
      <c r="L68" s="38">
        <f t="shared" si="3"/>
        <v>79</v>
      </c>
    </row>
    <row r="69" spans="2:12" x14ac:dyDescent="0.2">
      <c r="B69" s="11">
        <v>1113084</v>
      </c>
      <c r="C69" s="18" t="s">
        <v>61</v>
      </c>
      <c r="D69" s="27"/>
      <c r="E69" s="27"/>
      <c r="F69" s="27"/>
      <c r="G69" s="27"/>
      <c r="H69" s="27"/>
      <c r="I69" s="27"/>
      <c r="J69" s="27"/>
      <c r="K69" s="27"/>
      <c r="L69" s="38">
        <f t="shared" si="3"/>
        <v>0</v>
      </c>
    </row>
    <row r="70" spans="2:12" x14ac:dyDescent="0.2">
      <c r="B70" s="11">
        <v>900003</v>
      </c>
      <c r="C70" s="18" t="s">
        <v>81</v>
      </c>
      <c r="D70" s="27"/>
      <c r="E70" s="27"/>
      <c r="F70" s="27"/>
      <c r="G70" s="27"/>
      <c r="H70" s="27"/>
      <c r="I70" s="27"/>
      <c r="J70" s="27"/>
      <c r="K70" s="27"/>
      <c r="L70" s="38">
        <f t="shared" si="3"/>
        <v>0</v>
      </c>
    </row>
    <row r="71" spans="2:12" x14ac:dyDescent="0.2">
      <c r="B71" s="11">
        <v>900004</v>
      </c>
      <c r="C71" s="18" t="s">
        <v>62</v>
      </c>
      <c r="D71" s="27"/>
      <c r="E71" s="27"/>
      <c r="F71" s="27"/>
      <c r="G71" s="27"/>
      <c r="H71" s="27"/>
      <c r="I71" s="27"/>
      <c r="J71" s="27"/>
      <c r="K71" s="27"/>
      <c r="L71" s="38">
        <f t="shared" si="3"/>
        <v>0</v>
      </c>
    </row>
    <row r="72" spans="2:12" x14ac:dyDescent="0.2">
      <c r="B72" s="11">
        <v>1200002</v>
      </c>
      <c r="C72" s="18" t="s">
        <v>63</v>
      </c>
      <c r="D72" s="27"/>
      <c r="E72" s="27"/>
      <c r="F72" s="27"/>
      <c r="G72" s="27"/>
      <c r="H72" s="27"/>
      <c r="I72" s="27"/>
      <c r="J72" s="27"/>
      <c r="K72" s="27"/>
      <c r="L72" s="38">
        <f t="shared" si="3"/>
        <v>0</v>
      </c>
    </row>
    <row r="73" spans="2:12" x14ac:dyDescent="0.2">
      <c r="B73" s="11">
        <v>1200003</v>
      </c>
      <c r="C73" s="18" t="s">
        <v>64</v>
      </c>
      <c r="D73" s="27"/>
      <c r="E73" s="27"/>
      <c r="F73" s="27"/>
      <c r="G73" s="27"/>
      <c r="H73" s="27"/>
      <c r="I73" s="27"/>
      <c r="J73" s="27"/>
      <c r="K73" s="27"/>
      <c r="L73" s="38">
        <f t="shared" si="3"/>
        <v>0</v>
      </c>
    </row>
    <row r="74" spans="2:12" x14ac:dyDescent="0.2">
      <c r="B74" s="11">
        <v>1200004</v>
      </c>
      <c r="C74" s="18" t="s">
        <v>65</v>
      </c>
      <c r="D74" s="27"/>
      <c r="E74" s="27"/>
      <c r="F74" s="27"/>
      <c r="G74" s="27"/>
      <c r="H74" s="27"/>
      <c r="I74" s="27"/>
      <c r="J74" s="27"/>
      <c r="K74" s="27"/>
      <c r="L74" s="38">
        <f t="shared" si="3"/>
        <v>0</v>
      </c>
    </row>
    <row r="75" spans="2:12" x14ac:dyDescent="0.2">
      <c r="B75" s="11">
        <v>1200093</v>
      </c>
      <c r="C75" s="18" t="s">
        <v>53</v>
      </c>
      <c r="D75" s="27"/>
      <c r="E75" s="27"/>
      <c r="F75" s="27"/>
      <c r="G75" s="27"/>
      <c r="H75" s="27"/>
      <c r="I75" s="27"/>
      <c r="J75" s="27"/>
      <c r="K75" s="27"/>
      <c r="L75" s="38">
        <f t="shared" si="3"/>
        <v>0</v>
      </c>
    </row>
    <row r="76" spans="2:12" x14ac:dyDescent="0.2">
      <c r="B76" s="11">
        <v>1200092</v>
      </c>
      <c r="C76" s="17" t="s">
        <v>54</v>
      </c>
      <c r="D76" s="27"/>
      <c r="E76" s="27"/>
      <c r="F76" s="27"/>
      <c r="G76" s="27"/>
      <c r="H76" s="27"/>
      <c r="I76" s="27"/>
      <c r="J76" s="27"/>
      <c r="K76" s="27"/>
      <c r="L76" s="38">
        <f t="shared" si="3"/>
        <v>0</v>
      </c>
    </row>
    <row r="77" spans="2:12" x14ac:dyDescent="0.2">
      <c r="B77" s="19"/>
      <c r="C77" s="18" t="s">
        <v>74</v>
      </c>
      <c r="D77" s="27"/>
      <c r="E77" s="27"/>
      <c r="F77" s="27"/>
      <c r="G77" s="27"/>
      <c r="H77" s="27"/>
      <c r="I77" s="27"/>
      <c r="J77" s="27"/>
      <c r="K77" s="27"/>
      <c r="L77" s="38">
        <f t="shared" si="3"/>
        <v>0</v>
      </c>
    </row>
    <row r="78" spans="2:12" x14ac:dyDescent="0.2">
      <c r="B78" s="19"/>
      <c r="C78" s="18" t="s">
        <v>75</v>
      </c>
      <c r="D78" s="27"/>
      <c r="E78" s="27"/>
      <c r="F78" s="27"/>
      <c r="G78" s="27"/>
      <c r="H78" s="27"/>
      <c r="I78" s="27"/>
      <c r="J78" s="27"/>
      <c r="K78" s="27"/>
      <c r="L78" s="38">
        <f t="shared" si="3"/>
        <v>0</v>
      </c>
    </row>
    <row r="79" spans="2:12" x14ac:dyDescent="0.2">
      <c r="B79" s="19"/>
      <c r="C79" s="18" t="s">
        <v>86</v>
      </c>
      <c r="D79" s="27"/>
      <c r="E79" s="27"/>
      <c r="F79" s="27"/>
      <c r="G79" s="27"/>
      <c r="H79" s="27"/>
      <c r="I79" s="27"/>
      <c r="J79" s="27"/>
      <c r="K79" s="27"/>
      <c r="L79" s="38">
        <f t="shared" si="3"/>
        <v>0</v>
      </c>
    </row>
    <row r="80" spans="2:12" x14ac:dyDescent="0.2">
      <c r="C80" s="32"/>
      <c r="D80" s="35"/>
      <c r="E80" s="35"/>
      <c r="F80" s="35"/>
      <c r="G80" s="35"/>
      <c r="H80" s="35"/>
      <c r="I80" s="35"/>
      <c r="J80" s="35"/>
      <c r="K80" s="35"/>
      <c r="L80" s="36"/>
    </row>
    <row r="81" spans="3:12" ht="28.5" customHeight="1" x14ac:dyDescent="0.2">
      <c r="C81" s="32"/>
      <c r="D81" s="36"/>
      <c r="E81" s="36"/>
      <c r="F81" s="36"/>
      <c r="G81" s="36"/>
      <c r="H81" s="36"/>
      <c r="I81" s="36"/>
      <c r="J81" s="36"/>
      <c r="K81" s="36"/>
      <c r="L81" s="36"/>
    </row>
    <row r="82" spans="3:12" x14ac:dyDescent="0.2">
      <c r="D82" s="28"/>
      <c r="E82" s="28"/>
      <c r="F82" s="28"/>
      <c r="G82" s="28"/>
      <c r="H82" s="28"/>
    </row>
    <row r="83" spans="3:12" x14ac:dyDescent="0.2">
      <c r="D83" s="28"/>
      <c r="E83" s="28"/>
      <c r="F83" s="28"/>
      <c r="G83" s="28"/>
      <c r="H83" s="28"/>
    </row>
    <row r="84" spans="3:12" x14ac:dyDescent="0.2">
      <c r="D84" s="28"/>
      <c r="E84" s="28"/>
      <c r="F84" s="28"/>
      <c r="G84" s="28"/>
      <c r="H84" s="28"/>
    </row>
    <row r="85" spans="3:12" x14ac:dyDescent="0.2">
      <c r="D85" s="28"/>
      <c r="E85" s="28"/>
      <c r="F85" s="28"/>
      <c r="G85" s="28"/>
      <c r="H85" s="28"/>
    </row>
    <row r="86" spans="3:12" x14ac:dyDescent="0.2">
      <c r="D86" s="28"/>
      <c r="E86" s="28"/>
      <c r="F86" s="28"/>
      <c r="G86" s="28"/>
      <c r="H86" s="28"/>
    </row>
    <row r="87" spans="3:12" x14ac:dyDescent="0.2">
      <c r="D87" s="28"/>
      <c r="E87" s="28"/>
      <c r="F87" s="28"/>
      <c r="G87" s="28"/>
      <c r="H87" s="28"/>
    </row>
  </sheetData>
  <mergeCells count="7">
    <mergeCell ref="B45:L45"/>
    <mergeCell ref="B56:L56"/>
    <mergeCell ref="B1:L1"/>
    <mergeCell ref="B2:J3"/>
    <mergeCell ref="B6:L6"/>
    <mergeCell ref="B36:L36"/>
    <mergeCell ref="B39:L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89"/>
  <sheetViews>
    <sheetView topLeftCell="A11" zoomScale="60" zoomScaleNormal="60" workbookViewId="0">
      <selection activeCell="G33" sqref="G33"/>
    </sheetView>
  </sheetViews>
  <sheetFormatPr defaultRowHeight="22.5" x14ac:dyDescent="0.2"/>
  <cols>
    <col min="2" max="2" width="22.125" style="20" customWidth="1"/>
    <col min="3" max="3" width="59.125" style="20" customWidth="1"/>
    <col min="4" max="4" width="15" style="16" customWidth="1"/>
    <col min="5" max="11" width="14.375" style="16" customWidth="1"/>
    <col min="12" max="12" width="17.625" style="22" customWidth="1"/>
  </cols>
  <sheetData>
    <row r="1" spans="2:12" x14ac:dyDescent="0.2">
      <c r="B1" s="54" t="s">
        <v>102</v>
      </c>
      <c r="C1" s="54"/>
      <c r="D1" s="54"/>
      <c r="E1" s="54"/>
      <c r="F1" s="54"/>
      <c r="G1" s="54"/>
      <c r="H1" s="54"/>
      <c r="I1" s="54"/>
      <c r="J1" s="54"/>
      <c r="K1" s="54"/>
      <c r="L1" s="54"/>
    </row>
    <row r="2" spans="2:12" x14ac:dyDescent="0.2">
      <c r="B2" s="55"/>
      <c r="C2" s="56"/>
      <c r="D2" s="56"/>
      <c r="E2" s="56"/>
      <c r="F2" s="56"/>
      <c r="G2" s="56"/>
      <c r="H2" s="56"/>
      <c r="I2" s="56"/>
      <c r="J2" s="57"/>
      <c r="K2" s="47"/>
      <c r="L2" s="39" t="s">
        <v>0</v>
      </c>
    </row>
    <row r="3" spans="2:12" x14ac:dyDescent="0.2">
      <c r="B3" s="58"/>
      <c r="C3" s="59"/>
      <c r="D3" s="59"/>
      <c r="E3" s="59"/>
      <c r="F3" s="59"/>
      <c r="G3" s="59"/>
      <c r="H3" s="59"/>
      <c r="I3" s="59"/>
      <c r="J3" s="60"/>
      <c r="K3" s="48"/>
      <c r="L3" s="39" t="s">
        <v>2</v>
      </c>
    </row>
    <row r="4" spans="2:12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83</v>
      </c>
      <c r="I4" s="9" t="s">
        <v>9</v>
      </c>
      <c r="J4" s="9" t="s">
        <v>82</v>
      </c>
      <c r="K4" s="9" t="s">
        <v>100</v>
      </c>
      <c r="L4" s="39" t="s">
        <v>10</v>
      </c>
    </row>
    <row r="5" spans="2:12" x14ac:dyDescent="0.2">
      <c r="B5" s="11"/>
      <c r="C5" s="11"/>
      <c r="D5" s="9"/>
      <c r="E5" s="9"/>
      <c r="F5" s="9"/>
      <c r="G5" s="9"/>
      <c r="H5" s="9"/>
      <c r="I5" s="9"/>
      <c r="J5" s="9"/>
      <c r="K5" s="9"/>
      <c r="L5" s="40"/>
    </row>
    <row r="6" spans="2:12" ht="19.5" x14ac:dyDescent="0.2">
      <c r="B6" s="53" t="s">
        <v>11</v>
      </c>
      <c r="C6" s="53"/>
      <c r="D6" s="53"/>
      <c r="E6" s="53"/>
      <c r="F6" s="53"/>
      <c r="G6" s="53"/>
      <c r="H6" s="53"/>
      <c r="I6" s="53"/>
      <c r="J6" s="53"/>
      <c r="K6" s="53"/>
      <c r="L6" s="53"/>
    </row>
    <row r="7" spans="2:12" x14ac:dyDescent="0.2">
      <c r="B7" s="11">
        <v>1111002</v>
      </c>
      <c r="C7" s="15" t="s">
        <v>69</v>
      </c>
      <c r="D7" s="27">
        <v>10</v>
      </c>
      <c r="E7" s="27">
        <v>25</v>
      </c>
      <c r="F7" s="27">
        <v>20</v>
      </c>
      <c r="G7" s="27"/>
      <c r="H7" s="27"/>
      <c r="I7" s="27"/>
      <c r="J7" s="27"/>
      <c r="K7" s="27"/>
      <c r="L7" s="38">
        <f>SUM(D7:J7)</f>
        <v>55</v>
      </c>
    </row>
    <row r="8" spans="2:12" x14ac:dyDescent="0.2">
      <c r="B8" s="11">
        <v>1111086</v>
      </c>
      <c r="C8" s="15" t="s">
        <v>96</v>
      </c>
      <c r="D8" s="27"/>
      <c r="E8" s="27"/>
      <c r="F8" s="27"/>
      <c r="G8" s="27"/>
      <c r="H8" s="27"/>
      <c r="I8" s="27"/>
      <c r="J8" s="27"/>
      <c r="K8" s="27"/>
      <c r="L8" s="38">
        <f t="shared" ref="L8:L35" si="0">SUM(D8:J8)</f>
        <v>0</v>
      </c>
    </row>
    <row r="9" spans="2:12" x14ac:dyDescent="0.2">
      <c r="B9" s="11">
        <v>1111056</v>
      </c>
      <c r="C9" s="15" t="s">
        <v>13</v>
      </c>
      <c r="D9" s="27"/>
      <c r="E9" s="27">
        <v>3</v>
      </c>
      <c r="F9" s="27">
        <v>5</v>
      </c>
      <c r="G9" s="27"/>
      <c r="H9" s="27"/>
      <c r="I9" s="27"/>
      <c r="J9" s="27"/>
      <c r="K9" s="27"/>
      <c r="L9" s="38">
        <f t="shared" si="0"/>
        <v>8</v>
      </c>
    </row>
    <row r="10" spans="2:12" x14ac:dyDescent="0.2">
      <c r="B10" s="11">
        <v>1004055</v>
      </c>
      <c r="C10" s="15" t="s">
        <v>70</v>
      </c>
      <c r="D10" s="27">
        <v>21</v>
      </c>
      <c r="E10" s="27"/>
      <c r="F10" s="27">
        <v>6</v>
      </c>
      <c r="G10" s="27">
        <v>6</v>
      </c>
      <c r="H10" s="27"/>
      <c r="I10" s="27"/>
      <c r="J10" s="27"/>
      <c r="K10" s="27"/>
      <c r="L10" s="38">
        <f t="shared" si="0"/>
        <v>33</v>
      </c>
    </row>
    <row r="11" spans="2:12" x14ac:dyDescent="0.2">
      <c r="B11" s="11">
        <v>1111057</v>
      </c>
      <c r="C11" s="15" t="s">
        <v>14</v>
      </c>
      <c r="D11" s="27"/>
      <c r="E11" s="27"/>
      <c r="F11" s="27"/>
      <c r="G11" s="27">
        <v>1</v>
      </c>
      <c r="H11" s="27"/>
      <c r="I11" s="27"/>
      <c r="J11" s="27"/>
      <c r="K11" s="27"/>
      <c r="L11" s="38">
        <f t="shared" si="0"/>
        <v>1</v>
      </c>
    </row>
    <row r="12" spans="2:12" x14ac:dyDescent="0.2">
      <c r="B12" s="11">
        <v>1111058</v>
      </c>
      <c r="C12" s="15" t="s">
        <v>15</v>
      </c>
      <c r="D12" s="27"/>
      <c r="E12" s="27"/>
      <c r="F12" s="27"/>
      <c r="G12" s="27">
        <v>1</v>
      </c>
      <c r="H12" s="27"/>
      <c r="I12" s="27"/>
      <c r="J12" s="27"/>
      <c r="K12" s="27"/>
      <c r="L12" s="38">
        <f t="shared" si="0"/>
        <v>1</v>
      </c>
    </row>
    <row r="13" spans="2:12" x14ac:dyDescent="0.2">
      <c r="B13" s="11">
        <v>1111059</v>
      </c>
      <c r="C13" s="15" t="s">
        <v>16</v>
      </c>
      <c r="D13" s="27">
        <v>3</v>
      </c>
      <c r="E13" s="27"/>
      <c r="F13" s="27"/>
      <c r="G13" s="27">
        <v>1</v>
      </c>
      <c r="H13" s="27"/>
      <c r="I13" s="27"/>
      <c r="J13" s="27"/>
      <c r="K13" s="27"/>
      <c r="L13" s="38">
        <f t="shared" si="0"/>
        <v>4</v>
      </c>
    </row>
    <row r="14" spans="2:12" x14ac:dyDescent="0.2">
      <c r="B14" s="11">
        <v>1111060</v>
      </c>
      <c r="C14" s="15" t="s">
        <v>17</v>
      </c>
      <c r="D14" s="27"/>
      <c r="E14" s="27"/>
      <c r="F14" s="27"/>
      <c r="G14" s="27">
        <v>1</v>
      </c>
      <c r="H14" s="27"/>
      <c r="I14" s="27"/>
      <c r="J14" s="27"/>
      <c r="K14" s="27"/>
      <c r="L14" s="38">
        <f t="shared" si="0"/>
        <v>1</v>
      </c>
    </row>
    <row r="15" spans="2:12" x14ac:dyDescent="0.2">
      <c r="B15" s="11">
        <v>1111061</v>
      </c>
      <c r="C15" s="15" t="s">
        <v>18</v>
      </c>
      <c r="D15" s="27"/>
      <c r="E15" s="27"/>
      <c r="F15" s="27"/>
      <c r="G15" s="27">
        <v>1</v>
      </c>
      <c r="H15" s="27"/>
      <c r="I15" s="27"/>
      <c r="J15" s="27"/>
      <c r="K15" s="27"/>
      <c r="L15" s="38">
        <f t="shared" si="0"/>
        <v>1</v>
      </c>
    </row>
    <row r="16" spans="2:12" x14ac:dyDescent="0.2">
      <c r="B16" s="11">
        <v>1111062</v>
      </c>
      <c r="C16" s="15" t="s">
        <v>19</v>
      </c>
      <c r="D16" s="27"/>
      <c r="E16" s="27"/>
      <c r="F16" s="27"/>
      <c r="G16" s="27">
        <v>1</v>
      </c>
      <c r="H16" s="27"/>
      <c r="I16" s="27"/>
      <c r="J16" s="27"/>
      <c r="K16" s="27"/>
      <c r="L16" s="38">
        <f t="shared" si="0"/>
        <v>1</v>
      </c>
    </row>
    <row r="17" spans="2:12" x14ac:dyDescent="0.2">
      <c r="B17" s="11">
        <v>1111063</v>
      </c>
      <c r="C17" s="15" t="s">
        <v>20</v>
      </c>
      <c r="D17" s="27"/>
      <c r="E17" s="27"/>
      <c r="F17" s="27"/>
      <c r="G17" s="27">
        <v>1</v>
      </c>
      <c r="H17" s="27"/>
      <c r="I17" s="27"/>
      <c r="J17" s="27"/>
      <c r="K17" s="27"/>
      <c r="L17" s="38">
        <f t="shared" si="0"/>
        <v>1</v>
      </c>
    </row>
    <row r="18" spans="2:12" x14ac:dyDescent="0.2">
      <c r="B18" s="11">
        <v>1111064</v>
      </c>
      <c r="C18" s="15" t="s">
        <v>21</v>
      </c>
      <c r="D18" s="27">
        <v>5</v>
      </c>
      <c r="E18" s="27"/>
      <c r="F18" s="27"/>
      <c r="G18" s="27">
        <v>1</v>
      </c>
      <c r="H18" s="27"/>
      <c r="I18" s="27"/>
      <c r="J18" s="27"/>
      <c r="K18" s="27"/>
      <c r="L18" s="38">
        <f t="shared" si="0"/>
        <v>6</v>
      </c>
    </row>
    <row r="19" spans="2:12" x14ac:dyDescent="0.2">
      <c r="B19" s="11">
        <v>1111065</v>
      </c>
      <c r="C19" s="15" t="s">
        <v>22</v>
      </c>
      <c r="D19" s="27"/>
      <c r="E19" s="27"/>
      <c r="F19" s="27"/>
      <c r="G19" s="27">
        <v>1</v>
      </c>
      <c r="H19" s="27"/>
      <c r="I19" s="27"/>
      <c r="J19" s="27"/>
      <c r="K19" s="27"/>
      <c r="L19" s="38">
        <f t="shared" si="0"/>
        <v>1</v>
      </c>
    </row>
    <row r="20" spans="2:12" x14ac:dyDescent="0.2">
      <c r="B20" s="11">
        <v>1111066</v>
      </c>
      <c r="C20" s="15" t="s">
        <v>23</v>
      </c>
      <c r="D20" s="27"/>
      <c r="E20" s="27"/>
      <c r="F20" s="27"/>
      <c r="G20" s="27">
        <v>1</v>
      </c>
      <c r="H20" s="27"/>
      <c r="I20" s="27"/>
      <c r="J20" s="27"/>
      <c r="K20" s="27"/>
      <c r="L20" s="38">
        <f t="shared" si="0"/>
        <v>1</v>
      </c>
    </row>
    <row r="21" spans="2:12" x14ac:dyDescent="0.2">
      <c r="B21" s="11">
        <v>1111067</v>
      </c>
      <c r="C21" s="15" t="s">
        <v>24</v>
      </c>
      <c r="D21" s="27">
        <v>3</v>
      </c>
      <c r="E21" s="27"/>
      <c r="F21" s="27"/>
      <c r="G21" s="27"/>
      <c r="H21" s="27"/>
      <c r="I21" s="27"/>
      <c r="J21" s="27"/>
      <c r="K21" s="27"/>
      <c r="L21" s="38">
        <f t="shared" si="0"/>
        <v>3</v>
      </c>
    </row>
    <row r="22" spans="2:12" x14ac:dyDescent="0.2">
      <c r="B22" s="11">
        <v>1111068</v>
      </c>
      <c r="C22" s="15" t="s">
        <v>25</v>
      </c>
      <c r="D22" s="27"/>
      <c r="E22" s="27"/>
      <c r="F22" s="27"/>
      <c r="G22" s="27"/>
      <c r="H22" s="27"/>
      <c r="I22" s="27"/>
      <c r="J22" s="27"/>
      <c r="K22" s="27"/>
      <c r="L22" s="38">
        <f t="shared" si="0"/>
        <v>0</v>
      </c>
    </row>
    <row r="23" spans="2:12" x14ac:dyDescent="0.2">
      <c r="B23" s="11">
        <v>1111069</v>
      </c>
      <c r="C23" s="15" t="s">
        <v>26</v>
      </c>
      <c r="D23" s="27"/>
      <c r="E23" s="27"/>
      <c r="F23" s="27"/>
      <c r="G23" s="27"/>
      <c r="H23" s="27"/>
      <c r="I23" s="27"/>
      <c r="J23" s="27"/>
      <c r="K23" s="27"/>
      <c r="L23" s="38">
        <f t="shared" si="0"/>
        <v>0</v>
      </c>
    </row>
    <row r="24" spans="2:12" x14ac:dyDescent="0.2">
      <c r="B24" s="11">
        <v>1111070</v>
      </c>
      <c r="C24" s="15" t="s">
        <v>77</v>
      </c>
      <c r="D24" s="27"/>
      <c r="E24" s="27"/>
      <c r="F24" s="27"/>
      <c r="G24" s="27"/>
      <c r="H24" s="27"/>
      <c r="I24" s="27"/>
      <c r="J24" s="27"/>
      <c r="K24" s="27"/>
      <c r="L24" s="38">
        <f t="shared" si="0"/>
        <v>0</v>
      </c>
    </row>
    <row r="25" spans="2:12" x14ac:dyDescent="0.2">
      <c r="B25" s="11">
        <v>1111071</v>
      </c>
      <c r="C25" s="15" t="s">
        <v>78</v>
      </c>
      <c r="D25" s="27"/>
      <c r="E25" s="27"/>
      <c r="F25" s="27"/>
      <c r="G25" s="27"/>
      <c r="H25" s="27"/>
      <c r="I25" s="27"/>
      <c r="J25" s="27"/>
      <c r="K25" s="27"/>
      <c r="L25" s="38">
        <f t="shared" si="0"/>
        <v>0</v>
      </c>
    </row>
    <row r="26" spans="2:12" x14ac:dyDescent="0.2">
      <c r="B26" s="11">
        <v>1111074</v>
      </c>
      <c r="C26" s="15" t="s">
        <v>27</v>
      </c>
      <c r="D26" s="27"/>
      <c r="E26" s="27"/>
      <c r="F26" s="27"/>
      <c r="G26" s="27">
        <v>1</v>
      </c>
      <c r="H26" s="27"/>
      <c r="I26" s="27"/>
      <c r="J26" s="27"/>
      <c r="K26" s="27"/>
      <c r="L26" s="38">
        <f t="shared" si="0"/>
        <v>1</v>
      </c>
    </row>
    <row r="27" spans="2:12" x14ac:dyDescent="0.2">
      <c r="B27" s="11">
        <v>1111075</v>
      </c>
      <c r="C27" s="15" t="s">
        <v>28</v>
      </c>
      <c r="D27" s="27"/>
      <c r="E27" s="27"/>
      <c r="F27" s="27"/>
      <c r="G27" s="27">
        <v>1</v>
      </c>
      <c r="H27" s="27"/>
      <c r="I27" s="27"/>
      <c r="J27" s="27"/>
      <c r="K27" s="27"/>
      <c r="L27" s="38">
        <f t="shared" si="0"/>
        <v>1</v>
      </c>
    </row>
    <row r="28" spans="2:12" x14ac:dyDescent="0.2">
      <c r="B28" s="11">
        <v>1111076</v>
      </c>
      <c r="C28" s="15" t="s">
        <v>29</v>
      </c>
      <c r="D28" s="27"/>
      <c r="E28" s="27"/>
      <c r="F28" s="27"/>
      <c r="G28" s="27">
        <v>1</v>
      </c>
      <c r="H28" s="27"/>
      <c r="I28" s="27"/>
      <c r="J28" s="27"/>
      <c r="K28" s="27"/>
      <c r="L28" s="38">
        <f t="shared" si="0"/>
        <v>1</v>
      </c>
    </row>
    <row r="29" spans="2:12" x14ac:dyDescent="0.2">
      <c r="B29" s="11">
        <v>1111077</v>
      </c>
      <c r="C29" s="15" t="s">
        <v>30</v>
      </c>
      <c r="D29" s="27"/>
      <c r="E29" s="27"/>
      <c r="F29" s="27"/>
      <c r="G29" s="27">
        <v>1</v>
      </c>
      <c r="H29" s="27"/>
      <c r="I29" s="27"/>
      <c r="J29" s="27"/>
      <c r="K29" s="27"/>
      <c r="L29" s="38">
        <f t="shared" si="0"/>
        <v>1</v>
      </c>
    </row>
    <row r="30" spans="2:12" x14ac:dyDescent="0.2">
      <c r="B30" s="11">
        <v>1111078</v>
      </c>
      <c r="C30" s="15" t="s">
        <v>31</v>
      </c>
      <c r="D30" s="27"/>
      <c r="E30" s="27"/>
      <c r="F30" s="27"/>
      <c r="G30" s="27">
        <v>1</v>
      </c>
      <c r="H30" s="27"/>
      <c r="I30" s="27"/>
      <c r="J30" s="27"/>
      <c r="K30" s="27"/>
      <c r="L30" s="38">
        <f t="shared" si="0"/>
        <v>1</v>
      </c>
    </row>
    <row r="31" spans="2:12" x14ac:dyDescent="0.2">
      <c r="B31" s="11">
        <v>1111079</v>
      </c>
      <c r="C31" s="15" t="s">
        <v>32</v>
      </c>
      <c r="D31" s="27"/>
      <c r="E31" s="27"/>
      <c r="F31" s="27"/>
      <c r="G31" s="27">
        <v>1</v>
      </c>
      <c r="H31" s="27"/>
      <c r="I31" s="27"/>
      <c r="J31" s="27"/>
      <c r="K31" s="27"/>
      <c r="L31" s="38">
        <f t="shared" si="0"/>
        <v>1</v>
      </c>
    </row>
    <row r="32" spans="2:12" x14ac:dyDescent="0.2">
      <c r="B32" s="11">
        <v>1111080</v>
      </c>
      <c r="C32" s="15" t="s">
        <v>33</v>
      </c>
      <c r="D32" s="27"/>
      <c r="E32" s="27"/>
      <c r="F32" s="27"/>
      <c r="G32" s="27">
        <v>1</v>
      </c>
      <c r="H32" s="27"/>
      <c r="I32" s="27"/>
      <c r="J32" s="27"/>
      <c r="K32" s="27"/>
      <c r="L32" s="38">
        <f t="shared" si="0"/>
        <v>1</v>
      </c>
    </row>
    <row r="33" spans="2:12" x14ac:dyDescent="0.2">
      <c r="B33" s="11">
        <v>1111081</v>
      </c>
      <c r="C33" s="15" t="s">
        <v>34</v>
      </c>
      <c r="D33" s="27"/>
      <c r="E33" s="27"/>
      <c r="F33" s="27"/>
      <c r="G33" s="27"/>
      <c r="H33" s="27"/>
      <c r="I33" s="27"/>
      <c r="J33" s="27"/>
      <c r="K33" s="27"/>
      <c r="L33" s="38">
        <f t="shared" si="0"/>
        <v>0</v>
      </c>
    </row>
    <row r="34" spans="2:12" x14ac:dyDescent="0.2">
      <c r="B34" s="11">
        <v>1111082</v>
      </c>
      <c r="C34" s="15" t="s">
        <v>35</v>
      </c>
      <c r="D34" s="27"/>
      <c r="E34" s="27"/>
      <c r="F34" s="27"/>
      <c r="G34" s="27"/>
      <c r="H34" s="27"/>
      <c r="I34" s="27"/>
      <c r="J34" s="27"/>
      <c r="K34" s="27"/>
      <c r="L34" s="38">
        <f t="shared" si="0"/>
        <v>0</v>
      </c>
    </row>
    <row r="35" spans="2:12" x14ac:dyDescent="0.2">
      <c r="B35" s="11">
        <v>1111083</v>
      </c>
      <c r="C35" s="15" t="s">
        <v>36</v>
      </c>
      <c r="D35" s="27"/>
      <c r="E35" s="27"/>
      <c r="F35" s="27"/>
      <c r="G35" s="27"/>
      <c r="H35" s="27"/>
      <c r="I35" s="27"/>
      <c r="J35" s="27"/>
      <c r="K35" s="27"/>
      <c r="L35" s="38">
        <f t="shared" si="0"/>
        <v>0</v>
      </c>
    </row>
    <row r="36" spans="2:12" ht="19.5" x14ac:dyDescent="0.2">
      <c r="B36" s="53" t="s">
        <v>37</v>
      </c>
      <c r="C36" s="53"/>
      <c r="D36" s="53"/>
      <c r="E36" s="53"/>
      <c r="F36" s="53"/>
      <c r="G36" s="53"/>
      <c r="H36" s="53"/>
      <c r="I36" s="53"/>
      <c r="J36" s="53"/>
      <c r="K36" s="53"/>
      <c r="L36" s="53"/>
    </row>
    <row r="37" spans="2:12" x14ac:dyDescent="0.2">
      <c r="B37" s="11">
        <v>1111009</v>
      </c>
      <c r="C37" s="17" t="s">
        <v>38</v>
      </c>
      <c r="D37" s="27"/>
      <c r="E37" s="27">
        <v>3</v>
      </c>
      <c r="F37" s="27">
        <v>5</v>
      </c>
      <c r="G37" s="27">
        <v>9</v>
      </c>
      <c r="H37" s="27"/>
      <c r="I37" s="27"/>
      <c r="J37" s="27"/>
      <c r="K37" s="27"/>
      <c r="L37" s="38">
        <f>SUM(D37:J37)</f>
        <v>17</v>
      </c>
    </row>
    <row r="38" spans="2:12" x14ac:dyDescent="0.2">
      <c r="B38" s="11">
        <v>1111020</v>
      </c>
      <c r="C38" s="17" t="s">
        <v>99</v>
      </c>
      <c r="D38" s="27"/>
      <c r="E38" s="27"/>
      <c r="F38" s="27"/>
      <c r="G38" s="27"/>
      <c r="H38" s="27"/>
      <c r="I38" s="27"/>
      <c r="J38" s="27"/>
      <c r="K38" s="27"/>
      <c r="L38" s="38">
        <f>SUM(D38:J38)</f>
        <v>0</v>
      </c>
    </row>
    <row r="39" spans="2:12" ht="19.5" x14ac:dyDescent="0.2">
      <c r="B39" s="53" t="s">
        <v>39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</row>
    <row r="40" spans="2:12" x14ac:dyDescent="0.2">
      <c r="B40" s="11">
        <v>1111008</v>
      </c>
      <c r="C40" s="17" t="s">
        <v>40</v>
      </c>
      <c r="D40" s="27">
        <v>6</v>
      </c>
      <c r="E40" s="27">
        <v>3</v>
      </c>
      <c r="F40" s="27"/>
      <c r="G40" s="27"/>
      <c r="H40" s="27"/>
      <c r="I40" s="27"/>
      <c r="J40" s="27"/>
      <c r="K40" s="27"/>
      <c r="L40" s="38">
        <f>SUM(D40:J40)</f>
        <v>9</v>
      </c>
    </row>
    <row r="41" spans="2:12" x14ac:dyDescent="0.2">
      <c r="B41" s="11">
        <v>1111017</v>
      </c>
      <c r="C41" s="17" t="s">
        <v>87</v>
      </c>
      <c r="D41" s="27"/>
      <c r="E41" s="27"/>
      <c r="F41" s="27"/>
      <c r="G41" s="27"/>
      <c r="H41" s="27"/>
      <c r="I41" s="27"/>
      <c r="J41" s="27"/>
      <c r="K41" s="27"/>
      <c r="L41" s="38">
        <f t="shared" ref="L41:L44" si="1">SUM(D41:J41)</f>
        <v>0</v>
      </c>
    </row>
    <row r="42" spans="2:12" x14ac:dyDescent="0.2">
      <c r="B42" s="11">
        <v>1111019</v>
      </c>
      <c r="C42" s="17" t="s">
        <v>94</v>
      </c>
      <c r="D42" s="27"/>
      <c r="E42" s="27"/>
      <c r="F42" s="27"/>
      <c r="G42" s="27"/>
      <c r="H42" s="27"/>
      <c r="I42" s="27"/>
      <c r="J42" s="27"/>
      <c r="K42" s="27"/>
      <c r="L42" s="38">
        <f t="shared" si="1"/>
        <v>0</v>
      </c>
    </row>
    <row r="43" spans="2:12" x14ac:dyDescent="0.2">
      <c r="B43" s="11">
        <v>1111022</v>
      </c>
      <c r="C43" s="17" t="s">
        <v>88</v>
      </c>
      <c r="D43" s="27"/>
      <c r="E43" s="27"/>
      <c r="F43" s="27"/>
      <c r="G43" s="27"/>
      <c r="H43" s="27"/>
      <c r="I43" s="27"/>
      <c r="J43" s="27"/>
      <c r="K43" s="27"/>
      <c r="L43" s="38">
        <f t="shared" si="1"/>
        <v>0</v>
      </c>
    </row>
    <row r="44" spans="2:12" x14ac:dyDescent="0.2">
      <c r="B44" s="11">
        <v>1111024</v>
      </c>
      <c r="C44" s="17" t="s">
        <v>95</v>
      </c>
      <c r="D44" s="27"/>
      <c r="E44" s="27"/>
      <c r="F44" s="27"/>
      <c r="G44" s="27"/>
      <c r="H44" s="27"/>
      <c r="I44" s="27"/>
      <c r="J44" s="27"/>
      <c r="K44" s="27"/>
      <c r="L44" s="38">
        <f t="shared" si="1"/>
        <v>0</v>
      </c>
    </row>
    <row r="45" spans="2:12" ht="19.5" x14ac:dyDescent="0.2">
      <c r="B45" s="53" t="s">
        <v>41</v>
      </c>
      <c r="C45" s="53"/>
      <c r="D45" s="53"/>
      <c r="E45" s="53"/>
      <c r="F45" s="53"/>
      <c r="G45" s="53"/>
      <c r="H45" s="53"/>
      <c r="I45" s="53"/>
      <c r="J45" s="53"/>
      <c r="K45" s="53"/>
      <c r="L45" s="53"/>
    </row>
    <row r="46" spans="2:12" x14ac:dyDescent="0.2">
      <c r="B46" s="11">
        <v>1112009</v>
      </c>
      <c r="C46" s="17" t="s">
        <v>42</v>
      </c>
      <c r="D46" s="27">
        <v>8</v>
      </c>
      <c r="E46" s="27">
        <v>2</v>
      </c>
      <c r="F46" s="27"/>
      <c r="G46" s="27">
        <v>16</v>
      </c>
      <c r="H46" s="27"/>
      <c r="I46" s="27"/>
      <c r="J46" s="27"/>
      <c r="K46" s="27"/>
      <c r="L46" s="38">
        <f>SUM(D46:J46)</f>
        <v>26</v>
      </c>
    </row>
    <row r="47" spans="2:12" x14ac:dyDescent="0.2">
      <c r="B47" s="11">
        <v>1112011</v>
      </c>
      <c r="C47" s="17" t="s">
        <v>43</v>
      </c>
      <c r="D47" s="27">
        <v>12</v>
      </c>
      <c r="E47" s="27">
        <v>2</v>
      </c>
      <c r="F47" s="27"/>
      <c r="G47" s="27">
        <v>16</v>
      </c>
      <c r="H47" s="27"/>
      <c r="I47" s="27"/>
      <c r="J47" s="27"/>
      <c r="K47" s="27"/>
      <c r="L47" s="38">
        <f t="shared" ref="L47:L54" si="2">SUM(D47:J47)</f>
        <v>30</v>
      </c>
    </row>
    <row r="48" spans="2:12" x14ac:dyDescent="0.2">
      <c r="B48" s="11">
        <v>1112003</v>
      </c>
      <c r="C48" s="17" t="s">
        <v>44</v>
      </c>
      <c r="D48" s="27">
        <v>9</v>
      </c>
      <c r="E48" s="27"/>
      <c r="F48" s="27"/>
      <c r="G48" s="27">
        <v>13</v>
      </c>
      <c r="H48" s="27"/>
      <c r="I48" s="27"/>
      <c r="J48" s="27"/>
      <c r="K48" s="27"/>
      <c r="L48" s="38">
        <f t="shared" si="2"/>
        <v>22</v>
      </c>
    </row>
    <row r="49" spans="2:12" x14ac:dyDescent="0.2">
      <c r="B49" s="11">
        <v>1112005</v>
      </c>
      <c r="C49" s="17" t="s">
        <v>45</v>
      </c>
      <c r="D49" s="27">
        <v>11</v>
      </c>
      <c r="E49" s="27"/>
      <c r="F49" s="27"/>
      <c r="G49" s="27"/>
      <c r="H49" s="27"/>
      <c r="I49" s="27"/>
      <c r="J49" s="27"/>
      <c r="K49" s="27"/>
      <c r="L49" s="38">
        <f t="shared" si="2"/>
        <v>11</v>
      </c>
    </row>
    <row r="50" spans="2:12" x14ac:dyDescent="0.2">
      <c r="B50" s="11">
        <v>1112007</v>
      </c>
      <c r="C50" s="17" t="s">
        <v>46</v>
      </c>
      <c r="D50" s="27"/>
      <c r="E50" s="27"/>
      <c r="F50" s="27"/>
      <c r="G50" s="27"/>
      <c r="H50" s="27"/>
      <c r="I50" s="27"/>
      <c r="J50" s="27"/>
      <c r="K50" s="27"/>
      <c r="L50" s="38">
        <f t="shared" si="2"/>
        <v>0</v>
      </c>
    </row>
    <row r="51" spans="2:12" x14ac:dyDescent="0.2">
      <c r="B51" s="11">
        <v>1112019</v>
      </c>
      <c r="C51" s="17" t="s">
        <v>47</v>
      </c>
      <c r="D51" s="27"/>
      <c r="E51" s="27"/>
      <c r="F51" s="27"/>
      <c r="G51" s="27"/>
      <c r="H51" s="27"/>
      <c r="I51" s="27"/>
      <c r="J51" s="27"/>
      <c r="K51" s="27"/>
      <c r="L51" s="38">
        <f t="shared" si="2"/>
        <v>0</v>
      </c>
    </row>
    <row r="52" spans="2:12" x14ac:dyDescent="0.2">
      <c r="B52" s="11">
        <v>1112017</v>
      </c>
      <c r="C52" s="17" t="s">
        <v>48</v>
      </c>
      <c r="D52" s="27">
        <v>5</v>
      </c>
      <c r="E52" s="27"/>
      <c r="F52" s="27"/>
      <c r="G52" s="27">
        <v>13</v>
      </c>
      <c r="H52" s="27"/>
      <c r="I52" s="27"/>
      <c r="J52" s="27"/>
      <c r="K52" s="27"/>
      <c r="L52" s="38">
        <f t="shared" si="2"/>
        <v>18</v>
      </c>
    </row>
    <row r="53" spans="2:12" x14ac:dyDescent="0.2">
      <c r="B53" s="11">
        <v>1112015</v>
      </c>
      <c r="C53" s="17" t="s">
        <v>49</v>
      </c>
      <c r="D53" s="27">
        <v>6</v>
      </c>
      <c r="E53" s="27"/>
      <c r="F53" s="27"/>
      <c r="G53" s="27">
        <v>13</v>
      </c>
      <c r="H53" s="27"/>
      <c r="I53" s="27"/>
      <c r="J53" s="27"/>
      <c r="K53" s="27"/>
      <c r="L53" s="38">
        <f t="shared" si="2"/>
        <v>19</v>
      </c>
    </row>
    <row r="54" spans="2:12" x14ac:dyDescent="0.2">
      <c r="B54" s="11">
        <v>1112013</v>
      </c>
      <c r="C54" s="17" t="s">
        <v>50</v>
      </c>
      <c r="D54" s="27">
        <v>45</v>
      </c>
      <c r="E54" s="27">
        <v>2</v>
      </c>
      <c r="F54" s="27"/>
      <c r="G54" s="27">
        <v>16</v>
      </c>
      <c r="H54" s="27"/>
      <c r="I54" s="27"/>
      <c r="J54" s="27"/>
      <c r="K54" s="27"/>
      <c r="L54" s="38">
        <f t="shared" si="2"/>
        <v>63</v>
      </c>
    </row>
    <row r="55" spans="2:12" x14ac:dyDescent="0.2">
      <c r="B55" s="11">
        <v>1124043</v>
      </c>
      <c r="C55" s="17" t="s">
        <v>51</v>
      </c>
      <c r="D55" s="27"/>
      <c r="E55" s="27"/>
      <c r="F55" s="27"/>
      <c r="G55" s="27"/>
      <c r="H55" s="27"/>
      <c r="I55" s="27"/>
      <c r="J55" s="27"/>
      <c r="K55" s="27"/>
      <c r="L55" s="38">
        <f t="shared" ref="L55" si="3">SUM(D55:J55)</f>
        <v>0</v>
      </c>
    </row>
    <row r="56" spans="2:12" ht="19.5" x14ac:dyDescent="0.2">
      <c r="B56" s="53" t="s">
        <v>52</v>
      </c>
      <c r="C56" s="53"/>
      <c r="D56" s="53"/>
      <c r="E56" s="53"/>
      <c r="F56" s="53"/>
      <c r="G56" s="53"/>
      <c r="H56" s="53"/>
      <c r="I56" s="53"/>
      <c r="J56" s="53"/>
      <c r="K56" s="53"/>
      <c r="L56" s="53"/>
    </row>
    <row r="57" spans="2:12" x14ac:dyDescent="0.2">
      <c r="B57" s="11">
        <v>1113170</v>
      </c>
      <c r="C57" s="17" t="s">
        <v>91</v>
      </c>
      <c r="D57" s="11"/>
      <c r="E57" s="11"/>
      <c r="F57" s="11"/>
      <c r="G57" s="11"/>
      <c r="H57" s="11"/>
      <c r="I57" s="11"/>
      <c r="J57" s="11"/>
      <c r="K57" s="11"/>
      <c r="L57" s="38">
        <f>SUM(D57:J57)</f>
        <v>0</v>
      </c>
    </row>
    <row r="58" spans="2:12" x14ac:dyDescent="0.2">
      <c r="B58" s="11">
        <v>1113171</v>
      </c>
      <c r="C58" s="17" t="s">
        <v>92</v>
      </c>
      <c r="D58" s="11"/>
      <c r="E58" s="11"/>
      <c r="F58" s="11"/>
      <c r="G58" s="11"/>
      <c r="H58" s="11"/>
      <c r="I58" s="11"/>
      <c r="J58" s="11"/>
      <c r="K58" s="11"/>
      <c r="L58" s="38">
        <f t="shared" ref="L58:L59" si="4">SUM(D58:J58)</f>
        <v>0</v>
      </c>
    </row>
    <row r="59" spans="2:12" x14ac:dyDescent="0.2">
      <c r="B59" s="11">
        <v>1113172</v>
      </c>
      <c r="C59" s="17" t="s">
        <v>93</v>
      </c>
      <c r="D59" s="11"/>
      <c r="E59" s="11"/>
      <c r="F59" s="11"/>
      <c r="G59" s="11"/>
      <c r="H59" s="11"/>
      <c r="I59" s="11"/>
      <c r="J59" s="11"/>
      <c r="K59" s="11"/>
      <c r="L59" s="38">
        <f t="shared" si="4"/>
        <v>0</v>
      </c>
    </row>
    <row r="60" spans="2:12" x14ac:dyDescent="0.2">
      <c r="B60" s="11">
        <v>1100003</v>
      </c>
      <c r="C60" s="18" t="s">
        <v>71</v>
      </c>
      <c r="D60" s="27"/>
      <c r="E60" s="27"/>
      <c r="F60" s="27"/>
      <c r="G60" s="27"/>
      <c r="H60" s="27"/>
      <c r="I60" s="27"/>
      <c r="J60" s="27"/>
      <c r="K60" s="27"/>
      <c r="L60" s="38">
        <f>SUM(D60:J60)</f>
        <v>0</v>
      </c>
    </row>
    <row r="61" spans="2:12" x14ac:dyDescent="0.2">
      <c r="B61" s="11">
        <v>1100001</v>
      </c>
      <c r="C61" s="18" t="s">
        <v>72</v>
      </c>
      <c r="D61" s="27"/>
      <c r="E61" s="27"/>
      <c r="F61" s="27">
        <v>8</v>
      </c>
      <c r="G61" s="27"/>
      <c r="H61" s="27"/>
      <c r="I61" s="27"/>
      <c r="J61" s="27"/>
      <c r="K61" s="27"/>
      <c r="L61" s="38">
        <f t="shared" ref="L61:L79" si="5">SUM(D61:J61)</f>
        <v>8</v>
      </c>
    </row>
    <row r="62" spans="2:12" x14ac:dyDescent="0.2">
      <c r="B62" s="11">
        <v>1100002</v>
      </c>
      <c r="C62" s="18" t="s">
        <v>73</v>
      </c>
      <c r="D62" s="27"/>
      <c r="E62" s="27"/>
      <c r="F62" s="27"/>
      <c r="G62" s="27"/>
      <c r="H62" s="27"/>
      <c r="I62" s="27"/>
      <c r="J62" s="27"/>
      <c r="K62" s="27"/>
      <c r="L62" s="38">
        <f t="shared" si="5"/>
        <v>0</v>
      </c>
    </row>
    <row r="63" spans="2:12" x14ac:dyDescent="0.2">
      <c r="B63" s="11">
        <v>1200001</v>
      </c>
      <c r="C63" s="18" t="s">
        <v>55</v>
      </c>
      <c r="D63" s="27"/>
      <c r="E63" s="27"/>
      <c r="F63" s="27"/>
      <c r="G63" s="27">
        <v>1</v>
      </c>
      <c r="H63" s="27"/>
      <c r="I63" s="27"/>
      <c r="J63" s="27"/>
      <c r="K63" s="27"/>
      <c r="L63" s="38">
        <f t="shared" si="5"/>
        <v>1</v>
      </c>
    </row>
    <row r="64" spans="2:12" x14ac:dyDescent="0.2">
      <c r="B64" s="11">
        <v>1005761</v>
      </c>
      <c r="C64" s="18" t="s">
        <v>56</v>
      </c>
      <c r="D64" s="27"/>
      <c r="E64" s="27"/>
      <c r="F64" s="27"/>
      <c r="G64" s="27"/>
      <c r="H64" s="27"/>
      <c r="I64" s="27"/>
      <c r="J64" s="27"/>
      <c r="K64" s="27"/>
      <c r="L64" s="38">
        <f t="shared" si="5"/>
        <v>0</v>
      </c>
    </row>
    <row r="65" spans="2:12" x14ac:dyDescent="0.2">
      <c r="B65" s="11">
        <v>1114501</v>
      </c>
      <c r="C65" s="18" t="s">
        <v>57</v>
      </c>
      <c r="D65" s="27">
        <v>3</v>
      </c>
      <c r="E65" s="27">
        <v>3</v>
      </c>
      <c r="F65" s="27">
        <v>1</v>
      </c>
      <c r="G65" s="27">
        <v>52</v>
      </c>
      <c r="H65" s="27"/>
      <c r="I65" s="27"/>
      <c r="J65" s="27"/>
      <c r="K65" s="27"/>
      <c r="L65" s="38">
        <f t="shared" si="5"/>
        <v>59</v>
      </c>
    </row>
    <row r="66" spans="2:12" x14ac:dyDescent="0.2">
      <c r="B66" s="11">
        <v>1114502</v>
      </c>
      <c r="C66" s="18" t="s">
        <v>58</v>
      </c>
      <c r="D66" s="27">
        <v>3</v>
      </c>
      <c r="E66" s="27">
        <v>3</v>
      </c>
      <c r="F66" s="27"/>
      <c r="G66" s="27">
        <v>52</v>
      </c>
      <c r="H66" s="27"/>
      <c r="I66" s="27"/>
      <c r="J66" s="27"/>
      <c r="K66" s="27"/>
      <c r="L66" s="38">
        <f t="shared" si="5"/>
        <v>58</v>
      </c>
    </row>
    <row r="67" spans="2:12" x14ac:dyDescent="0.2">
      <c r="B67" s="11">
        <v>1114503</v>
      </c>
      <c r="C67" s="18" t="s">
        <v>59</v>
      </c>
      <c r="D67" s="27">
        <v>3</v>
      </c>
      <c r="E67" s="27">
        <v>3</v>
      </c>
      <c r="F67" s="27">
        <v>1</v>
      </c>
      <c r="G67" s="27">
        <v>52</v>
      </c>
      <c r="H67" s="27"/>
      <c r="I67" s="27"/>
      <c r="J67" s="27"/>
      <c r="K67" s="27"/>
      <c r="L67" s="38">
        <f t="shared" si="5"/>
        <v>59</v>
      </c>
    </row>
    <row r="68" spans="2:12" x14ac:dyDescent="0.2">
      <c r="B68" s="11">
        <v>1124021</v>
      </c>
      <c r="C68" s="18" t="s">
        <v>60</v>
      </c>
      <c r="D68" s="27">
        <v>3</v>
      </c>
      <c r="E68" s="27">
        <v>13</v>
      </c>
      <c r="F68" s="27">
        <v>50</v>
      </c>
      <c r="G68" s="27">
        <v>6</v>
      </c>
      <c r="H68" s="27"/>
      <c r="I68" s="27"/>
      <c r="J68" s="27"/>
      <c r="K68" s="27"/>
      <c r="L68" s="38">
        <f t="shared" si="5"/>
        <v>72</v>
      </c>
    </row>
    <row r="69" spans="2:12" x14ac:dyDescent="0.2">
      <c r="B69" s="11">
        <v>1113084</v>
      </c>
      <c r="C69" s="18" t="s">
        <v>61</v>
      </c>
      <c r="D69" s="27"/>
      <c r="E69" s="27"/>
      <c r="F69" s="27"/>
      <c r="G69" s="27"/>
      <c r="H69" s="27"/>
      <c r="I69" s="27"/>
      <c r="J69" s="27"/>
      <c r="K69" s="27"/>
      <c r="L69" s="38">
        <f t="shared" si="5"/>
        <v>0</v>
      </c>
    </row>
    <row r="70" spans="2:12" x14ac:dyDescent="0.2">
      <c r="B70" s="11">
        <v>900003</v>
      </c>
      <c r="C70" s="18" t="s">
        <v>81</v>
      </c>
      <c r="D70" s="27"/>
      <c r="E70" s="27"/>
      <c r="F70" s="27"/>
      <c r="G70" s="27"/>
      <c r="H70" s="27"/>
      <c r="I70" s="27"/>
      <c r="J70" s="27"/>
      <c r="K70" s="27"/>
      <c r="L70" s="38">
        <f t="shared" si="5"/>
        <v>0</v>
      </c>
    </row>
    <row r="71" spans="2:12" x14ac:dyDescent="0.2">
      <c r="B71" s="11">
        <v>900004</v>
      </c>
      <c r="C71" s="18" t="s">
        <v>62</v>
      </c>
      <c r="D71" s="27"/>
      <c r="E71" s="27"/>
      <c r="F71" s="27"/>
      <c r="G71" s="27"/>
      <c r="H71" s="27"/>
      <c r="I71" s="27"/>
      <c r="J71" s="27"/>
      <c r="K71" s="27"/>
      <c r="L71" s="38">
        <f t="shared" si="5"/>
        <v>0</v>
      </c>
    </row>
    <row r="72" spans="2:12" x14ac:dyDescent="0.2">
      <c r="B72" s="11">
        <v>1200002</v>
      </c>
      <c r="C72" s="18" t="s">
        <v>63</v>
      </c>
      <c r="D72" s="27"/>
      <c r="E72" s="27"/>
      <c r="F72" s="27"/>
      <c r="G72" s="27"/>
      <c r="H72" s="27"/>
      <c r="I72" s="27"/>
      <c r="J72" s="27"/>
      <c r="K72" s="27"/>
      <c r="L72" s="38">
        <f t="shared" si="5"/>
        <v>0</v>
      </c>
    </row>
    <row r="73" spans="2:12" x14ac:dyDescent="0.2">
      <c r="B73" s="11">
        <v>1200003</v>
      </c>
      <c r="C73" s="18" t="s">
        <v>64</v>
      </c>
      <c r="D73" s="27"/>
      <c r="E73" s="27"/>
      <c r="F73" s="27"/>
      <c r="G73" s="27"/>
      <c r="H73" s="27"/>
      <c r="I73" s="27"/>
      <c r="J73" s="27"/>
      <c r="K73" s="27"/>
      <c r="L73" s="38">
        <f t="shared" si="5"/>
        <v>0</v>
      </c>
    </row>
    <row r="74" spans="2:12" x14ac:dyDescent="0.2">
      <c r="B74" s="11">
        <v>1200004</v>
      </c>
      <c r="C74" s="18" t="s">
        <v>65</v>
      </c>
      <c r="D74" s="27"/>
      <c r="E74" s="27"/>
      <c r="F74" s="27"/>
      <c r="G74" s="27"/>
      <c r="H74" s="27"/>
      <c r="I74" s="27"/>
      <c r="J74" s="27"/>
      <c r="K74" s="27"/>
      <c r="L74" s="38">
        <f t="shared" si="5"/>
        <v>0</v>
      </c>
    </row>
    <row r="75" spans="2:12" x14ac:dyDescent="0.2">
      <c r="B75" s="11">
        <v>1200093</v>
      </c>
      <c r="C75" s="18" t="s">
        <v>53</v>
      </c>
      <c r="D75" s="27"/>
      <c r="E75" s="27"/>
      <c r="F75" s="27"/>
      <c r="G75" s="27"/>
      <c r="H75" s="27"/>
      <c r="I75" s="27"/>
      <c r="J75" s="27"/>
      <c r="K75" s="27"/>
      <c r="L75" s="38">
        <f t="shared" si="5"/>
        <v>0</v>
      </c>
    </row>
    <row r="76" spans="2:12" x14ac:dyDescent="0.2">
      <c r="B76" s="11">
        <v>1200092</v>
      </c>
      <c r="C76" s="17" t="s">
        <v>54</v>
      </c>
      <c r="D76" s="27"/>
      <c r="E76" s="27"/>
      <c r="F76" s="27"/>
      <c r="G76" s="27"/>
      <c r="H76" s="27"/>
      <c r="I76" s="27"/>
      <c r="J76" s="27"/>
      <c r="K76" s="27"/>
      <c r="L76" s="38">
        <f t="shared" si="5"/>
        <v>0</v>
      </c>
    </row>
    <row r="77" spans="2:12" x14ac:dyDescent="0.2">
      <c r="B77" s="19"/>
      <c r="C77" s="18" t="s">
        <v>74</v>
      </c>
      <c r="D77" s="27"/>
      <c r="E77" s="27"/>
      <c r="F77" s="27"/>
      <c r="G77" s="27"/>
      <c r="H77" s="27"/>
      <c r="I77" s="27"/>
      <c r="J77" s="27"/>
      <c r="K77" s="27"/>
      <c r="L77" s="38">
        <f t="shared" si="5"/>
        <v>0</v>
      </c>
    </row>
    <row r="78" spans="2:12" x14ac:dyDescent="0.2">
      <c r="B78" s="19"/>
      <c r="C78" s="18" t="s">
        <v>75</v>
      </c>
      <c r="D78" s="27"/>
      <c r="E78" s="27">
        <v>3</v>
      </c>
      <c r="F78" s="27"/>
      <c r="G78" s="27"/>
      <c r="H78" s="27"/>
      <c r="I78" s="27"/>
      <c r="J78" s="27">
        <v>7</v>
      </c>
      <c r="K78" s="27"/>
      <c r="L78" s="38">
        <f t="shared" si="5"/>
        <v>10</v>
      </c>
    </row>
    <row r="79" spans="2:12" hidden="1" x14ac:dyDescent="0.2">
      <c r="B79" s="19"/>
      <c r="C79" s="18" t="s">
        <v>86</v>
      </c>
      <c r="D79" s="27"/>
      <c r="E79" s="27"/>
      <c r="F79" s="27"/>
      <c r="G79" s="27"/>
      <c r="H79" s="27"/>
      <c r="I79" s="27"/>
      <c r="J79" s="27"/>
      <c r="K79" s="27"/>
      <c r="L79" s="38">
        <f t="shared" si="5"/>
        <v>0</v>
      </c>
    </row>
    <row r="80" spans="2:12" x14ac:dyDescent="0.2">
      <c r="C80" s="32"/>
      <c r="D80" s="35"/>
      <c r="E80" s="35"/>
      <c r="F80" s="35"/>
      <c r="G80" s="35"/>
      <c r="H80" s="35"/>
      <c r="I80" s="35"/>
      <c r="J80" s="35"/>
      <c r="K80" s="35"/>
      <c r="L80" s="36"/>
    </row>
    <row r="81" spans="3:12" x14ac:dyDescent="0.2">
      <c r="C81" s="32"/>
      <c r="D81" s="36"/>
      <c r="E81" s="36"/>
      <c r="F81" s="36"/>
      <c r="G81" s="36"/>
      <c r="H81" s="36"/>
      <c r="I81" s="36"/>
      <c r="J81" s="36"/>
      <c r="K81" s="36"/>
      <c r="L81" s="36"/>
    </row>
    <row r="82" spans="3:12" x14ac:dyDescent="0.2">
      <c r="C82" s="21"/>
      <c r="D82" s="28"/>
      <c r="E82" s="61"/>
      <c r="F82" s="61"/>
      <c r="G82" s="23"/>
    </row>
    <row r="83" spans="3:12" x14ac:dyDescent="0.2">
      <c r="D83" s="28"/>
      <c r="E83" s="28"/>
      <c r="F83" s="28"/>
      <c r="G83" s="28"/>
      <c r="H83" s="28"/>
    </row>
    <row r="84" spans="3:12" x14ac:dyDescent="0.2">
      <c r="D84" s="28"/>
      <c r="E84" s="28"/>
      <c r="F84" s="28"/>
      <c r="G84" s="28"/>
      <c r="H84" s="28"/>
    </row>
    <row r="85" spans="3:12" x14ac:dyDescent="0.2">
      <c r="D85" s="28"/>
      <c r="E85" s="28"/>
      <c r="F85" s="28"/>
      <c r="G85" s="28"/>
      <c r="H85" s="28"/>
    </row>
    <row r="86" spans="3:12" x14ac:dyDescent="0.2">
      <c r="D86" s="28"/>
      <c r="E86" s="28"/>
      <c r="F86" s="28"/>
      <c r="G86" s="28"/>
      <c r="H86" s="28"/>
    </row>
    <row r="87" spans="3:12" x14ac:dyDescent="0.2">
      <c r="D87" s="28"/>
      <c r="E87" s="28"/>
      <c r="F87" s="28"/>
      <c r="G87" s="28"/>
      <c r="H87" s="28"/>
    </row>
    <row r="88" spans="3:12" x14ac:dyDescent="0.2">
      <c r="D88" s="28"/>
      <c r="E88" s="28"/>
      <c r="F88" s="28"/>
      <c r="G88" s="28"/>
      <c r="H88" s="28"/>
    </row>
    <row r="89" spans="3:12" x14ac:dyDescent="0.2">
      <c r="D89" s="28"/>
      <c r="E89" s="28"/>
      <c r="F89" s="28"/>
      <c r="G89" s="28"/>
      <c r="H89" s="28"/>
    </row>
  </sheetData>
  <mergeCells count="8">
    <mergeCell ref="B45:L45"/>
    <mergeCell ref="B56:L56"/>
    <mergeCell ref="E82:F82"/>
    <mergeCell ref="B2:J3"/>
    <mergeCell ref="B1:L1"/>
    <mergeCell ref="B6:L6"/>
    <mergeCell ref="B36:L36"/>
    <mergeCell ref="B39:L39"/>
  </mergeCells>
  <phoneticPr fontId="8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45D1E-FE01-4F52-BA5E-E4BE507F9E04}">
  <dimension ref="B1:L101"/>
  <sheetViews>
    <sheetView topLeftCell="A11" zoomScale="50" zoomScaleNormal="50" workbookViewId="0">
      <selection activeCell="G44" sqref="G44"/>
    </sheetView>
  </sheetViews>
  <sheetFormatPr defaultRowHeight="22.5" x14ac:dyDescent="0.2"/>
  <cols>
    <col min="2" max="2" width="22.125" style="20" customWidth="1"/>
    <col min="3" max="3" width="59.125" style="20" customWidth="1"/>
    <col min="4" max="4" width="15" style="16" customWidth="1"/>
    <col min="5" max="11" width="14.375" style="16" customWidth="1"/>
    <col min="12" max="12" width="17.625" style="22" customWidth="1"/>
  </cols>
  <sheetData>
    <row r="1" spans="2:12" x14ac:dyDescent="0.2">
      <c r="B1" s="54" t="s">
        <v>98</v>
      </c>
      <c r="C1" s="54"/>
      <c r="D1" s="54"/>
      <c r="E1" s="54"/>
      <c r="F1" s="54"/>
      <c r="G1" s="54"/>
      <c r="H1" s="54"/>
      <c r="I1" s="54"/>
      <c r="J1" s="54"/>
      <c r="K1" s="54"/>
      <c r="L1" s="54"/>
    </row>
    <row r="2" spans="2:12" x14ac:dyDescent="0.2">
      <c r="B2" s="55"/>
      <c r="C2" s="56"/>
      <c r="D2" s="56"/>
      <c r="E2" s="56"/>
      <c r="F2" s="56"/>
      <c r="G2" s="56"/>
      <c r="H2" s="56"/>
      <c r="I2" s="56"/>
      <c r="J2" s="57"/>
      <c r="K2" s="47"/>
      <c r="L2" s="39" t="s">
        <v>0</v>
      </c>
    </row>
    <row r="3" spans="2:12" x14ac:dyDescent="0.2">
      <c r="B3" s="58"/>
      <c r="C3" s="59"/>
      <c r="D3" s="59"/>
      <c r="E3" s="59"/>
      <c r="F3" s="59"/>
      <c r="G3" s="59"/>
      <c r="H3" s="59"/>
      <c r="I3" s="59"/>
      <c r="J3" s="60"/>
      <c r="K3" s="48"/>
      <c r="L3" s="39" t="s">
        <v>2</v>
      </c>
    </row>
    <row r="4" spans="2:12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83</v>
      </c>
      <c r="I4" s="9" t="s">
        <v>9</v>
      </c>
      <c r="J4" s="9" t="s">
        <v>82</v>
      </c>
      <c r="K4" s="9" t="s">
        <v>100</v>
      </c>
      <c r="L4" s="39" t="s">
        <v>10</v>
      </c>
    </row>
    <row r="5" spans="2:12" x14ac:dyDescent="0.2">
      <c r="B5" s="11"/>
      <c r="C5" s="11"/>
      <c r="D5" s="9"/>
      <c r="E5" s="9"/>
      <c r="F5" s="9"/>
      <c r="G5" s="9"/>
      <c r="H5" s="9"/>
      <c r="I5" s="9"/>
      <c r="J5" s="9"/>
      <c r="K5" s="9"/>
      <c r="L5" s="40"/>
    </row>
    <row r="6" spans="2:12" ht="19.5" x14ac:dyDescent="0.2">
      <c r="B6" s="53" t="s">
        <v>11</v>
      </c>
      <c r="C6" s="53"/>
      <c r="D6" s="53"/>
      <c r="E6" s="53"/>
      <c r="F6" s="53"/>
      <c r="G6" s="53"/>
      <c r="H6" s="53"/>
      <c r="I6" s="53"/>
      <c r="J6" s="53"/>
      <c r="K6" s="53"/>
      <c r="L6" s="53"/>
    </row>
    <row r="7" spans="2:12" x14ac:dyDescent="0.2">
      <c r="B7" s="11">
        <v>1111002</v>
      </c>
      <c r="C7" s="15" t="s">
        <v>69</v>
      </c>
      <c r="D7" s="27"/>
      <c r="E7" s="27"/>
      <c r="F7" s="27"/>
      <c r="G7" s="27"/>
      <c r="H7" s="27"/>
      <c r="I7" s="27"/>
      <c r="J7" s="27"/>
      <c r="K7" s="27"/>
      <c r="L7" s="38">
        <f>SUM(D7:K7)</f>
        <v>0</v>
      </c>
    </row>
    <row r="8" spans="2:12" x14ac:dyDescent="0.2">
      <c r="B8" s="11">
        <v>1111043</v>
      </c>
      <c r="C8" s="15" t="s">
        <v>12</v>
      </c>
      <c r="D8" s="27"/>
      <c r="E8" s="27"/>
      <c r="F8" s="27"/>
      <c r="G8" s="27"/>
      <c r="H8" s="27"/>
      <c r="I8" s="27"/>
      <c r="J8" s="27"/>
      <c r="K8" s="27"/>
      <c r="L8" s="38">
        <f t="shared" ref="L8:L35" si="0">SUM(D8:K8)</f>
        <v>0</v>
      </c>
    </row>
    <row r="9" spans="2:12" x14ac:dyDescent="0.2">
      <c r="B9" s="11">
        <v>1111056</v>
      </c>
      <c r="C9" s="15" t="s">
        <v>13</v>
      </c>
      <c r="D9" s="27"/>
      <c r="E9" s="27"/>
      <c r="F9" s="27"/>
      <c r="G9" s="27"/>
      <c r="H9" s="27"/>
      <c r="I9" s="27"/>
      <c r="J9" s="27"/>
      <c r="K9" s="27"/>
      <c r="L9" s="38">
        <f t="shared" si="0"/>
        <v>0</v>
      </c>
    </row>
    <row r="10" spans="2:12" x14ac:dyDescent="0.2">
      <c r="B10" s="11">
        <v>1004055</v>
      </c>
      <c r="C10" s="15" t="s">
        <v>70</v>
      </c>
      <c r="D10" s="27"/>
      <c r="E10" s="27"/>
      <c r="F10" s="27"/>
      <c r="G10" s="27"/>
      <c r="H10" s="27"/>
      <c r="I10" s="27"/>
      <c r="J10" s="27"/>
      <c r="K10" s="27"/>
      <c r="L10" s="38">
        <f t="shared" si="0"/>
        <v>0</v>
      </c>
    </row>
    <row r="11" spans="2:12" x14ac:dyDescent="0.2">
      <c r="B11" s="11">
        <v>1111057</v>
      </c>
      <c r="C11" s="15" t="s">
        <v>14</v>
      </c>
      <c r="D11" s="27"/>
      <c r="E11" s="27"/>
      <c r="F11" s="27"/>
      <c r="G11" s="27"/>
      <c r="H11" s="27"/>
      <c r="I11" s="27"/>
      <c r="J11" s="27"/>
      <c r="K11" s="27"/>
      <c r="L11" s="38">
        <f t="shared" si="0"/>
        <v>0</v>
      </c>
    </row>
    <row r="12" spans="2:12" x14ac:dyDescent="0.2">
      <c r="B12" s="11">
        <v>1111058</v>
      </c>
      <c r="C12" s="15" t="s">
        <v>15</v>
      </c>
      <c r="D12" s="27"/>
      <c r="E12" s="27"/>
      <c r="F12" s="27"/>
      <c r="G12" s="27"/>
      <c r="H12" s="27"/>
      <c r="I12" s="27"/>
      <c r="J12" s="27"/>
      <c r="K12" s="27"/>
      <c r="L12" s="38">
        <f t="shared" si="0"/>
        <v>0</v>
      </c>
    </row>
    <row r="13" spans="2:12" x14ac:dyDescent="0.2">
      <c r="B13" s="11">
        <v>1111059</v>
      </c>
      <c r="C13" s="15" t="s">
        <v>16</v>
      </c>
      <c r="D13" s="27"/>
      <c r="E13" s="27"/>
      <c r="F13" s="27"/>
      <c r="G13" s="27"/>
      <c r="H13" s="27"/>
      <c r="I13" s="27"/>
      <c r="J13" s="27"/>
      <c r="K13" s="27"/>
      <c r="L13" s="38">
        <f t="shared" si="0"/>
        <v>0</v>
      </c>
    </row>
    <row r="14" spans="2:12" x14ac:dyDescent="0.2">
      <c r="B14" s="11">
        <v>1111060</v>
      </c>
      <c r="C14" s="15" t="s">
        <v>17</v>
      </c>
      <c r="D14" s="27"/>
      <c r="E14" s="27"/>
      <c r="F14" s="27"/>
      <c r="G14" s="27"/>
      <c r="H14" s="27"/>
      <c r="I14" s="27"/>
      <c r="J14" s="27"/>
      <c r="K14" s="27"/>
      <c r="L14" s="38">
        <f t="shared" si="0"/>
        <v>0</v>
      </c>
    </row>
    <row r="15" spans="2:12" x14ac:dyDescent="0.2">
      <c r="B15" s="11">
        <v>1111061</v>
      </c>
      <c r="C15" s="15" t="s">
        <v>18</v>
      </c>
      <c r="D15" s="27"/>
      <c r="E15" s="27"/>
      <c r="F15" s="27"/>
      <c r="G15" s="27"/>
      <c r="H15" s="27"/>
      <c r="I15" s="27"/>
      <c r="J15" s="27"/>
      <c r="K15" s="27"/>
      <c r="L15" s="38">
        <f t="shared" si="0"/>
        <v>0</v>
      </c>
    </row>
    <row r="16" spans="2:12" x14ac:dyDescent="0.2">
      <c r="B16" s="11">
        <v>1111062</v>
      </c>
      <c r="C16" s="15" t="s">
        <v>19</v>
      </c>
      <c r="D16" s="27"/>
      <c r="E16" s="27"/>
      <c r="F16" s="27"/>
      <c r="G16" s="27"/>
      <c r="H16" s="27"/>
      <c r="I16" s="27"/>
      <c r="J16" s="27"/>
      <c r="K16" s="27"/>
      <c r="L16" s="38">
        <f t="shared" si="0"/>
        <v>0</v>
      </c>
    </row>
    <row r="17" spans="2:12" x14ac:dyDescent="0.2">
      <c r="B17" s="11">
        <v>1111063</v>
      </c>
      <c r="C17" s="15" t="s">
        <v>20</v>
      </c>
      <c r="D17" s="27"/>
      <c r="E17" s="27"/>
      <c r="F17" s="27"/>
      <c r="G17" s="27"/>
      <c r="H17" s="27"/>
      <c r="I17" s="27"/>
      <c r="J17" s="27"/>
      <c r="K17" s="27"/>
      <c r="L17" s="38">
        <f t="shared" si="0"/>
        <v>0</v>
      </c>
    </row>
    <row r="18" spans="2:12" x14ac:dyDescent="0.2">
      <c r="B18" s="11">
        <v>1111064</v>
      </c>
      <c r="C18" s="15" t="s">
        <v>21</v>
      </c>
      <c r="D18" s="27"/>
      <c r="E18" s="27"/>
      <c r="F18" s="27"/>
      <c r="G18" s="27"/>
      <c r="H18" s="27"/>
      <c r="I18" s="27"/>
      <c r="J18" s="27"/>
      <c r="K18" s="27"/>
      <c r="L18" s="38">
        <f t="shared" si="0"/>
        <v>0</v>
      </c>
    </row>
    <row r="19" spans="2:12" x14ac:dyDescent="0.2">
      <c r="B19" s="11">
        <v>1111065</v>
      </c>
      <c r="C19" s="15" t="s">
        <v>22</v>
      </c>
      <c r="D19" s="27"/>
      <c r="E19" s="27"/>
      <c r="F19" s="27"/>
      <c r="G19" s="27"/>
      <c r="H19" s="27"/>
      <c r="I19" s="27"/>
      <c r="J19" s="27"/>
      <c r="K19" s="27"/>
      <c r="L19" s="38">
        <f t="shared" si="0"/>
        <v>0</v>
      </c>
    </row>
    <row r="20" spans="2:12" x14ac:dyDescent="0.2">
      <c r="B20" s="11">
        <v>1111066</v>
      </c>
      <c r="C20" s="15" t="s">
        <v>23</v>
      </c>
      <c r="D20" s="27"/>
      <c r="E20" s="27"/>
      <c r="F20" s="27"/>
      <c r="G20" s="27"/>
      <c r="H20" s="27"/>
      <c r="I20" s="27"/>
      <c r="J20" s="27"/>
      <c r="K20" s="27"/>
      <c r="L20" s="38">
        <f t="shared" si="0"/>
        <v>0</v>
      </c>
    </row>
    <row r="21" spans="2:12" x14ac:dyDescent="0.2">
      <c r="B21" s="11">
        <v>1111067</v>
      </c>
      <c r="C21" s="15" t="s">
        <v>24</v>
      </c>
      <c r="D21" s="27"/>
      <c r="E21" s="27"/>
      <c r="F21" s="27"/>
      <c r="G21" s="27"/>
      <c r="H21" s="27"/>
      <c r="I21" s="27"/>
      <c r="J21" s="27"/>
      <c r="K21" s="27"/>
      <c r="L21" s="38">
        <f t="shared" si="0"/>
        <v>0</v>
      </c>
    </row>
    <row r="22" spans="2:12" x14ac:dyDescent="0.2">
      <c r="B22" s="11">
        <v>1111068</v>
      </c>
      <c r="C22" s="15" t="s">
        <v>25</v>
      </c>
      <c r="D22" s="27"/>
      <c r="E22" s="27"/>
      <c r="F22" s="27"/>
      <c r="G22" s="27"/>
      <c r="H22" s="27"/>
      <c r="I22" s="27"/>
      <c r="J22" s="27"/>
      <c r="K22" s="27"/>
      <c r="L22" s="38">
        <f t="shared" si="0"/>
        <v>0</v>
      </c>
    </row>
    <row r="23" spans="2:12" x14ac:dyDescent="0.2">
      <c r="B23" s="11">
        <v>1111069</v>
      </c>
      <c r="C23" s="15" t="s">
        <v>26</v>
      </c>
      <c r="D23" s="27"/>
      <c r="E23" s="27"/>
      <c r="F23" s="27"/>
      <c r="G23" s="27"/>
      <c r="H23" s="27"/>
      <c r="I23" s="27"/>
      <c r="J23" s="27"/>
      <c r="K23" s="27"/>
      <c r="L23" s="38">
        <f t="shared" si="0"/>
        <v>0</v>
      </c>
    </row>
    <row r="24" spans="2:12" x14ac:dyDescent="0.2">
      <c r="B24" s="11">
        <v>1111070</v>
      </c>
      <c r="C24" s="15" t="s">
        <v>77</v>
      </c>
      <c r="D24" s="27"/>
      <c r="E24" s="27"/>
      <c r="F24" s="27"/>
      <c r="G24" s="27"/>
      <c r="H24" s="27"/>
      <c r="I24" s="27"/>
      <c r="J24" s="27"/>
      <c r="K24" s="27"/>
      <c r="L24" s="38">
        <f t="shared" si="0"/>
        <v>0</v>
      </c>
    </row>
    <row r="25" spans="2:12" x14ac:dyDescent="0.2">
      <c r="B25" s="11">
        <v>1111071</v>
      </c>
      <c r="C25" s="15" t="s">
        <v>78</v>
      </c>
      <c r="D25" s="27"/>
      <c r="E25" s="27"/>
      <c r="F25" s="27"/>
      <c r="G25" s="27"/>
      <c r="H25" s="27"/>
      <c r="I25" s="27"/>
      <c r="J25" s="27"/>
      <c r="K25" s="27"/>
      <c r="L25" s="38">
        <f t="shared" si="0"/>
        <v>0</v>
      </c>
    </row>
    <row r="26" spans="2:12" x14ac:dyDescent="0.2">
      <c r="B26" s="11">
        <v>1111074</v>
      </c>
      <c r="C26" s="15" t="s">
        <v>27</v>
      </c>
      <c r="D26" s="27"/>
      <c r="E26" s="27"/>
      <c r="F26" s="27"/>
      <c r="G26" s="27"/>
      <c r="H26" s="27"/>
      <c r="I26" s="27"/>
      <c r="J26" s="27"/>
      <c r="K26" s="27"/>
      <c r="L26" s="38">
        <f t="shared" si="0"/>
        <v>0</v>
      </c>
    </row>
    <row r="27" spans="2:12" x14ac:dyDescent="0.2">
      <c r="B27" s="11">
        <v>1111075</v>
      </c>
      <c r="C27" s="15" t="s">
        <v>28</v>
      </c>
      <c r="D27" s="27"/>
      <c r="E27" s="27"/>
      <c r="F27" s="27"/>
      <c r="G27" s="27"/>
      <c r="H27" s="27"/>
      <c r="I27" s="27"/>
      <c r="J27" s="27"/>
      <c r="K27" s="27"/>
      <c r="L27" s="38">
        <f t="shared" si="0"/>
        <v>0</v>
      </c>
    </row>
    <row r="28" spans="2:12" x14ac:dyDescent="0.2">
      <c r="B28" s="11">
        <v>1111076</v>
      </c>
      <c r="C28" s="15" t="s">
        <v>29</v>
      </c>
      <c r="D28" s="27"/>
      <c r="E28" s="27"/>
      <c r="F28" s="27"/>
      <c r="G28" s="27"/>
      <c r="H28" s="27"/>
      <c r="I28" s="27"/>
      <c r="J28" s="27"/>
      <c r="K28" s="27"/>
      <c r="L28" s="38">
        <f t="shared" si="0"/>
        <v>0</v>
      </c>
    </row>
    <row r="29" spans="2:12" x14ac:dyDescent="0.2">
      <c r="B29" s="11">
        <v>1111077</v>
      </c>
      <c r="C29" s="15" t="s">
        <v>30</v>
      </c>
      <c r="D29" s="27"/>
      <c r="E29" s="27"/>
      <c r="F29" s="27"/>
      <c r="G29" s="27"/>
      <c r="H29" s="27"/>
      <c r="I29" s="27"/>
      <c r="J29" s="27"/>
      <c r="K29" s="27"/>
      <c r="L29" s="38">
        <f t="shared" si="0"/>
        <v>0</v>
      </c>
    </row>
    <row r="30" spans="2:12" x14ac:dyDescent="0.2">
      <c r="B30" s="11">
        <v>1111078</v>
      </c>
      <c r="C30" s="15" t="s">
        <v>31</v>
      </c>
      <c r="D30" s="27"/>
      <c r="E30" s="27"/>
      <c r="F30" s="27"/>
      <c r="G30" s="27"/>
      <c r="H30" s="27"/>
      <c r="I30" s="27"/>
      <c r="J30" s="27"/>
      <c r="K30" s="27"/>
      <c r="L30" s="38">
        <f t="shared" si="0"/>
        <v>0</v>
      </c>
    </row>
    <row r="31" spans="2:12" x14ac:dyDescent="0.2">
      <c r="B31" s="11">
        <v>1111079</v>
      </c>
      <c r="C31" s="15" t="s">
        <v>32</v>
      </c>
      <c r="D31" s="27"/>
      <c r="E31" s="27"/>
      <c r="F31" s="27"/>
      <c r="G31" s="27"/>
      <c r="H31" s="27"/>
      <c r="I31" s="27"/>
      <c r="J31" s="27"/>
      <c r="K31" s="27"/>
      <c r="L31" s="38">
        <f t="shared" si="0"/>
        <v>0</v>
      </c>
    </row>
    <row r="32" spans="2:12" x14ac:dyDescent="0.2">
      <c r="B32" s="11">
        <v>1111080</v>
      </c>
      <c r="C32" s="15" t="s">
        <v>33</v>
      </c>
      <c r="D32" s="27"/>
      <c r="E32" s="27"/>
      <c r="F32" s="27"/>
      <c r="G32" s="27"/>
      <c r="H32" s="27"/>
      <c r="I32" s="27"/>
      <c r="J32" s="27"/>
      <c r="K32" s="27"/>
      <c r="L32" s="38">
        <f t="shared" si="0"/>
        <v>0</v>
      </c>
    </row>
    <row r="33" spans="2:12" x14ac:dyDescent="0.2">
      <c r="B33" s="11">
        <v>1111081</v>
      </c>
      <c r="C33" s="15" t="s">
        <v>34</v>
      </c>
      <c r="D33" s="27"/>
      <c r="E33" s="27"/>
      <c r="F33" s="27"/>
      <c r="G33" s="27"/>
      <c r="H33" s="27"/>
      <c r="I33" s="27"/>
      <c r="J33" s="27"/>
      <c r="K33" s="27"/>
      <c r="L33" s="38">
        <f t="shared" si="0"/>
        <v>0</v>
      </c>
    </row>
    <row r="34" spans="2:12" x14ac:dyDescent="0.2">
      <c r="B34" s="11">
        <v>1111082</v>
      </c>
      <c r="C34" s="15" t="s">
        <v>35</v>
      </c>
      <c r="D34" s="27"/>
      <c r="E34" s="27"/>
      <c r="F34" s="27"/>
      <c r="G34" s="27"/>
      <c r="H34" s="27"/>
      <c r="I34" s="27"/>
      <c r="J34" s="27"/>
      <c r="K34" s="27"/>
      <c r="L34" s="38">
        <f t="shared" si="0"/>
        <v>0</v>
      </c>
    </row>
    <row r="35" spans="2:12" x14ac:dyDescent="0.2">
      <c r="B35" s="11">
        <v>1111083</v>
      </c>
      <c r="C35" s="15" t="s">
        <v>36</v>
      </c>
      <c r="D35" s="27"/>
      <c r="E35" s="27"/>
      <c r="F35" s="27"/>
      <c r="G35" s="27"/>
      <c r="H35" s="27"/>
      <c r="I35" s="27"/>
      <c r="J35" s="27"/>
      <c r="K35" s="27"/>
      <c r="L35" s="38">
        <f t="shared" si="0"/>
        <v>0</v>
      </c>
    </row>
    <row r="36" spans="2:12" ht="19.5" x14ac:dyDescent="0.2">
      <c r="B36" s="53" t="s">
        <v>37</v>
      </c>
      <c r="C36" s="53"/>
      <c r="D36" s="53"/>
      <c r="E36" s="53"/>
      <c r="F36" s="53"/>
      <c r="G36" s="53"/>
      <c r="H36" s="53"/>
      <c r="I36" s="53"/>
      <c r="J36" s="53"/>
      <c r="K36" s="53"/>
      <c r="L36" s="53"/>
    </row>
    <row r="37" spans="2:12" x14ac:dyDescent="0.2">
      <c r="B37" s="11">
        <v>1111009</v>
      </c>
      <c r="C37" s="17" t="s">
        <v>38</v>
      </c>
      <c r="D37" s="27"/>
      <c r="E37" s="27"/>
      <c r="F37" s="27"/>
      <c r="G37" s="27"/>
      <c r="H37" s="27"/>
      <c r="I37" s="27"/>
      <c r="J37" s="27"/>
      <c r="K37" s="27"/>
      <c r="L37" s="38">
        <f>SUM(D37:K37)</f>
        <v>0</v>
      </c>
    </row>
    <row r="38" spans="2:12" x14ac:dyDescent="0.2">
      <c r="B38" s="11">
        <v>1111020</v>
      </c>
      <c r="C38" s="17" t="s">
        <v>99</v>
      </c>
      <c r="D38" s="27"/>
      <c r="E38" s="27"/>
      <c r="F38" s="27"/>
      <c r="G38" s="27"/>
      <c r="H38" s="27"/>
      <c r="I38" s="27"/>
      <c r="J38" s="27"/>
      <c r="K38" s="27"/>
      <c r="L38" s="38">
        <f>SUM(D38:K38)</f>
        <v>0</v>
      </c>
    </row>
    <row r="39" spans="2:12" ht="19.5" x14ac:dyDescent="0.2">
      <c r="B39" s="53" t="s">
        <v>39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</row>
    <row r="40" spans="2:12" x14ac:dyDescent="0.2">
      <c r="B40" s="11">
        <v>1111008</v>
      </c>
      <c r="C40" s="17" t="s">
        <v>40</v>
      </c>
      <c r="D40" s="27"/>
      <c r="E40" s="27"/>
      <c r="F40" s="27"/>
      <c r="G40" s="27"/>
      <c r="H40" s="27"/>
      <c r="I40" s="27"/>
      <c r="J40" s="27"/>
      <c r="K40" s="27"/>
      <c r="L40" s="38">
        <f>SUM(D40:K40)</f>
        <v>0</v>
      </c>
    </row>
    <row r="41" spans="2:12" x14ac:dyDescent="0.2">
      <c r="B41" s="11">
        <v>1111011</v>
      </c>
      <c r="C41" s="17" t="s">
        <v>89</v>
      </c>
      <c r="D41" s="27"/>
      <c r="E41" s="27"/>
      <c r="F41" s="27"/>
      <c r="G41" s="27"/>
      <c r="H41" s="27"/>
      <c r="I41" s="27"/>
      <c r="J41" s="27"/>
      <c r="K41" s="27"/>
      <c r="L41" s="38">
        <f t="shared" ref="L41:L44" si="1">SUM(D41:K41)</f>
        <v>0</v>
      </c>
    </row>
    <row r="42" spans="2:12" x14ac:dyDescent="0.2">
      <c r="B42" s="11">
        <v>1111013</v>
      </c>
      <c r="C42" s="17" t="s">
        <v>90</v>
      </c>
      <c r="D42" s="27"/>
      <c r="E42" s="27"/>
      <c r="F42" s="27"/>
      <c r="G42" s="27"/>
      <c r="H42" s="27"/>
      <c r="I42" s="27"/>
      <c r="J42" s="27"/>
      <c r="K42" s="27"/>
      <c r="L42" s="38">
        <f t="shared" si="1"/>
        <v>0</v>
      </c>
    </row>
    <row r="43" spans="2:12" x14ac:dyDescent="0.2">
      <c r="B43" s="11">
        <v>1111017</v>
      </c>
      <c r="C43" s="17" t="s">
        <v>87</v>
      </c>
      <c r="D43" s="27"/>
      <c r="E43" s="27"/>
      <c r="F43" s="27"/>
      <c r="G43" s="27"/>
      <c r="H43" s="27"/>
      <c r="I43" s="27"/>
      <c r="J43" s="27"/>
      <c r="K43" s="27"/>
      <c r="L43" s="38">
        <f t="shared" si="1"/>
        <v>0</v>
      </c>
    </row>
    <row r="44" spans="2:12" x14ac:dyDescent="0.2">
      <c r="B44" s="11">
        <v>1111022</v>
      </c>
      <c r="C44" s="17" t="s">
        <v>88</v>
      </c>
      <c r="D44" s="27"/>
      <c r="E44" s="27"/>
      <c r="F44" s="27"/>
      <c r="G44" s="27"/>
      <c r="H44" s="27"/>
      <c r="I44" s="27"/>
      <c r="J44" s="27"/>
      <c r="K44" s="27"/>
      <c r="L44" s="38">
        <f t="shared" si="1"/>
        <v>0</v>
      </c>
    </row>
    <row r="45" spans="2:12" ht="19.5" x14ac:dyDescent="0.2">
      <c r="B45" s="53" t="s">
        <v>41</v>
      </c>
      <c r="C45" s="53"/>
      <c r="D45" s="53"/>
      <c r="E45" s="53"/>
      <c r="F45" s="53"/>
      <c r="G45" s="53"/>
      <c r="H45" s="53"/>
      <c r="I45" s="53"/>
      <c r="J45" s="53"/>
      <c r="K45" s="53"/>
      <c r="L45" s="53"/>
    </row>
    <row r="46" spans="2:12" x14ac:dyDescent="0.2">
      <c r="B46" s="11">
        <v>1112009</v>
      </c>
      <c r="C46" s="17" t="s">
        <v>42</v>
      </c>
      <c r="D46" s="27"/>
      <c r="E46" s="27"/>
      <c r="F46" s="27"/>
      <c r="G46" s="27"/>
      <c r="H46" s="27"/>
      <c r="I46" s="27"/>
      <c r="J46" s="27"/>
      <c r="K46" s="27"/>
      <c r="L46" s="38">
        <f>SUM(D46:K46)</f>
        <v>0</v>
      </c>
    </row>
    <row r="47" spans="2:12" x14ac:dyDescent="0.2">
      <c r="B47" s="11">
        <v>1112011</v>
      </c>
      <c r="C47" s="17" t="s">
        <v>43</v>
      </c>
      <c r="D47" s="27"/>
      <c r="E47" s="27"/>
      <c r="F47" s="27"/>
      <c r="G47" s="27"/>
      <c r="H47" s="27"/>
      <c r="I47" s="27"/>
      <c r="J47" s="27"/>
      <c r="K47" s="27"/>
      <c r="L47" s="38">
        <f t="shared" ref="L47:L55" si="2">SUM(D47:K47)</f>
        <v>0</v>
      </c>
    </row>
    <row r="48" spans="2:12" x14ac:dyDescent="0.2">
      <c r="B48" s="11">
        <v>1112003</v>
      </c>
      <c r="C48" s="17" t="s">
        <v>44</v>
      </c>
      <c r="D48" s="27"/>
      <c r="E48" s="27"/>
      <c r="F48" s="27"/>
      <c r="G48" s="27"/>
      <c r="H48" s="27"/>
      <c r="I48" s="27"/>
      <c r="J48" s="27"/>
      <c r="K48" s="27"/>
      <c r="L48" s="38">
        <f t="shared" si="2"/>
        <v>0</v>
      </c>
    </row>
    <row r="49" spans="2:12" x14ac:dyDescent="0.2">
      <c r="B49" s="11">
        <v>1112005</v>
      </c>
      <c r="C49" s="17" t="s">
        <v>45</v>
      </c>
      <c r="D49" s="27"/>
      <c r="E49" s="27"/>
      <c r="F49" s="27"/>
      <c r="G49" s="27"/>
      <c r="H49" s="27"/>
      <c r="I49" s="27"/>
      <c r="J49" s="27"/>
      <c r="K49" s="27"/>
      <c r="L49" s="38">
        <f t="shared" si="2"/>
        <v>0</v>
      </c>
    </row>
    <row r="50" spans="2:12" x14ac:dyDescent="0.2">
      <c r="B50" s="11">
        <v>1112007</v>
      </c>
      <c r="C50" s="17" t="s">
        <v>46</v>
      </c>
      <c r="D50" s="27"/>
      <c r="E50" s="27"/>
      <c r="F50" s="27"/>
      <c r="G50" s="27"/>
      <c r="H50" s="27"/>
      <c r="I50" s="27"/>
      <c r="J50" s="27"/>
      <c r="K50" s="27"/>
      <c r="L50" s="38">
        <f t="shared" si="2"/>
        <v>0</v>
      </c>
    </row>
    <row r="51" spans="2:12" x14ac:dyDescent="0.2">
      <c r="B51" s="11">
        <v>1112019</v>
      </c>
      <c r="C51" s="17" t="s">
        <v>47</v>
      </c>
      <c r="D51" s="27"/>
      <c r="E51" s="27"/>
      <c r="F51" s="27"/>
      <c r="G51" s="27"/>
      <c r="H51" s="27"/>
      <c r="I51" s="27"/>
      <c r="J51" s="27"/>
      <c r="K51" s="27"/>
      <c r="L51" s="38">
        <f t="shared" si="2"/>
        <v>0</v>
      </c>
    </row>
    <row r="52" spans="2:12" x14ac:dyDescent="0.2">
      <c r="B52" s="11">
        <v>1112017</v>
      </c>
      <c r="C52" s="17" t="s">
        <v>48</v>
      </c>
      <c r="D52" s="27"/>
      <c r="E52" s="27"/>
      <c r="F52" s="27"/>
      <c r="G52" s="27"/>
      <c r="H52" s="27"/>
      <c r="I52" s="27"/>
      <c r="J52" s="27"/>
      <c r="K52" s="27"/>
      <c r="L52" s="38">
        <f t="shared" si="2"/>
        <v>0</v>
      </c>
    </row>
    <row r="53" spans="2:12" x14ac:dyDescent="0.2">
      <c r="B53" s="11">
        <v>1112015</v>
      </c>
      <c r="C53" s="17" t="s">
        <v>49</v>
      </c>
      <c r="D53" s="27"/>
      <c r="E53" s="27"/>
      <c r="F53" s="27"/>
      <c r="G53" s="27"/>
      <c r="H53" s="27"/>
      <c r="I53" s="27"/>
      <c r="J53" s="27"/>
      <c r="K53" s="27"/>
      <c r="L53" s="38">
        <f t="shared" si="2"/>
        <v>0</v>
      </c>
    </row>
    <row r="54" spans="2:12" x14ac:dyDescent="0.2">
      <c r="B54" s="11">
        <v>1112013</v>
      </c>
      <c r="C54" s="17" t="s">
        <v>50</v>
      </c>
      <c r="D54" s="27"/>
      <c r="E54" s="27"/>
      <c r="F54" s="27"/>
      <c r="G54" s="27"/>
      <c r="H54" s="27"/>
      <c r="I54" s="27"/>
      <c r="J54" s="27"/>
      <c r="K54" s="27"/>
      <c r="L54" s="38">
        <f t="shared" si="2"/>
        <v>0</v>
      </c>
    </row>
    <row r="55" spans="2:12" x14ac:dyDescent="0.2">
      <c r="B55" s="11">
        <v>1124043</v>
      </c>
      <c r="C55" s="17" t="s">
        <v>51</v>
      </c>
      <c r="D55" s="27"/>
      <c r="E55" s="27"/>
      <c r="F55" s="27"/>
      <c r="G55" s="27"/>
      <c r="H55" s="27"/>
      <c r="I55" s="27"/>
      <c r="J55" s="27"/>
      <c r="K55" s="27"/>
      <c r="L55" s="38">
        <f t="shared" si="2"/>
        <v>0</v>
      </c>
    </row>
    <row r="56" spans="2:12" ht="19.5" x14ac:dyDescent="0.2">
      <c r="B56" s="53" t="s">
        <v>52</v>
      </c>
      <c r="C56" s="53"/>
      <c r="D56" s="53"/>
      <c r="E56" s="53"/>
      <c r="F56" s="53"/>
      <c r="G56" s="53"/>
      <c r="H56" s="53"/>
      <c r="I56" s="53"/>
      <c r="J56" s="53"/>
      <c r="K56" s="53"/>
      <c r="L56" s="53"/>
    </row>
    <row r="57" spans="2:12" x14ac:dyDescent="0.2">
      <c r="B57" s="11">
        <v>1113170</v>
      </c>
      <c r="C57" s="17" t="s">
        <v>91</v>
      </c>
      <c r="D57" s="11"/>
      <c r="E57" s="11"/>
      <c r="F57" s="11"/>
      <c r="G57" s="11"/>
      <c r="H57" s="11"/>
      <c r="I57" s="11"/>
      <c r="J57" s="11"/>
      <c r="K57" s="11"/>
      <c r="L57" s="38">
        <f t="shared" ref="L57:L59" si="3">SUM(D57:K57)</f>
        <v>0</v>
      </c>
    </row>
    <row r="58" spans="2:12" x14ac:dyDescent="0.2">
      <c r="B58" s="11">
        <v>1113171</v>
      </c>
      <c r="C58" s="17" t="s">
        <v>92</v>
      </c>
      <c r="D58" s="11"/>
      <c r="E58" s="11"/>
      <c r="F58" s="11"/>
      <c r="G58" s="11"/>
      <c r="H58" s="11"/>
      <c r="I58" s="11"/>
      <c r="J58" s="11"/>
      <c r="K58" s="11"/>
      <c r="L58" s="38">
        <f t="shared" si="3"/>
        <v>0</v>
      </c>
    </row>
    <row r="59" spans="2:12" x14ac:dyDescent="0.2">
      <c r="B59" s="11">
        <v>1113172</v>
      </c>
      <c r="C59" s="17" t="s">
        <v>93</v>
      </c>
      <c r="D59" s="11"/>
      <c r="E59" s="11"/>
      <c r="F59" s="11"/>
      <c r="G59" s="11"/>
      <c r="H59" s="11"/>
      <c r="I59" s="11"/>
      <c r="J59" s="11"/>
      <c r="K59" s="11"/>
      <c r="L59" s="38">
        <f t="shared" si="3"/>
        <v>0</v>
      </c>
    </row>
    <row r="60" spans="2:12" x14ac:dyDescent="0.2">
      <c r="B60" s="11">
        <v>1100003</v>
      </c>
      <c r="C60" s="18" t="s">
        <v>71</v>
      </c>
      <c r="D60" s="27"/>
      <c r="E60" s="27"/>
      <c r="F60" s="27"/>
      <c r="G60" s="27"/>
      <c r="H60" s="27"/>
      <c r="I60" s="27"/>
      <c r="J60" s="27"/>
      <c r="K60" s="27"/>
      <c r="L60" s="38">
        <f>SUM(D60:K60)</f>
        <v>0</v>
      </c>
    </row>
    <row r="61" spans="2:12" x14ac:dyDescent="0.2">
      <c r="B61" s="11">
        <v>1100001</v>
      </c>
      <c r="C61" s="18" t="s">
        <v>72</v>
      </c>
      <c r="D61" s="27"/>
      <c r="E61" s="27"/>
      <c r="F61" s="27"/>
      <c r="G61" s="27"/>
      <c r="H61" s="27"/>
      <c r="I61" s="27"/>
      <c r="J61" s="27"/>
      <c r="K61" s="27"/>
      <c r="L61" s="38">
        <f t="shared" ref="L61:L79" si="4">SUM(D61:K61)</f>
        <v>0</v>
      </c>
    </row>
    <row r="62" spans="2:12" x14ac:dyDescent="0.2">
      <c r="B62" s="11">
        <v>1100002</v>
      </c>
      <c r="C62" s="18" t="s">
        <v>73</v>
      </c>
      <c r="D62" s="27"/>
      <c r="E62" s="27"/>
      <c r="F62" s="27"/>
      <c r="G62" s="27"/>
      <c r="H62" s="27"/>
      <c r="I62" s="27"/>
      <c r="J62" s="27"/>
      <c r="K62" s="27"/>
      <c r="L62" s="38">
        <f t="shared" si="4"/>
        <v>0</v>
      </c>
    </row>
    <row r="63" spans="2:12" x14ac:dyDescent="0.2">
      <c r="B63" s="11">
        <v>1200001</v>
      </c>
      <c r="C63" s="18" t="s">
        <v>55</v>
      </c>
      <c r="D63" s="27"/>
      <c r="E63" s="27"/>
      <c r="F63" s="27"/>
      <c r="G63" s="27"/>
      <c r="H63" s="27"/>
      <c r="I63" s="27"/>
      <c r="J63" s="27"/>
      <c r="K63" s="27"/>
      <c r="L63" s="38">
        <f t="shared" si="4"/>
        <v>0</v>
      </c>
    </row>
    <row r="64" spans="2:12" x14ac:dyDescent="0.2">
      <c r="B64" s="11">
        <v>1005761</v>
      </c>
      <c r="C64" s="18" t="s">
        <v>56</v>
      </c>
      <c r="D64" s="27"/>
      <c r="E64" s="27"/>
      <c r="F64" s="27"/>
      <c r="G64" s="27"/>
      <c r="H64" s="27"/>
      <c r="I64" s="27"/>
      <c r="J64" s="27"/>
      <c r="K64" s="27"/>
      <c r="L64" s="38">
        <f t="shared" si="4"/>
        <v>0</v>
      </c>
    </row>
    <row r="65" spans="2:12" x14ac:dyDescent="0.2">
      <c r="B65" s="11">
        <v>1114501</v>
      </c>
      <c r="C65" s="18" t="s">
        <v>57</v>
      </c>
      <c r="D65" s="27"/>
      <c r="E65" s="27"/>
      <c r="F65" s="27"/>
      <c r="G65" s="27"/>
      <c r="H65" s="27"/>
      <c r="I65" s="27"/>
      <c r="J65" s="27"/>
      <c r="K65" s="27"/>
      <c r="L65" s="38">
        <f t="shared" si="4"/>
        <v>0</v>
      </c>
    </row>
    <row r="66" spans="2:12" x14ac:dyDescent="0.2">
      <c r="B66" s="11">
        <v>1114502</v>
      </c>
      <c r="C66" s="18" t="s">
        <v>58</v>
      </c>
      <c r="D66" s="27"/>
      <c r="E66" s="27"/>
      <c r="F66" s="27"/>
      <c r="G66" s="27"/>
      <c r="H66" s="27"/>
      <c r="I66" s="27"/>
      <c r="J66" s="27"/>
      <c r="K66" s="27"/>
      <c r="L66" s="38">
        <f t="shared" si="4"/>
        <v>0</v>
      </c>
    </row>
    <row r="67" spans="2:12" x14ac:dyDescent="0.2">
      <c r="B67" s="11">
        <v>1114503</v>
      </c>
      <c r="C67" s="18" t="s">
        <v>59</v>
      </c>
      <c r="D67" s="27"/>
      <c r="E67" s="27"/>
      <c r="F67" s="27"/>
      <c r="G67" s="27"/>
      <c r="H67" s="27"/>
      <c r="I67" s="27"/>
      <c r="J67" s="27"/>
      <c r="K67" s="27"/>
      <c r="L67" s="38">
        <f t="shared" si="4"/>
        <v>0</v>
      </c>
    </row>
    <row r="68" spans="2:12" x14ac:dyDescent="0.2">
      <c r="B68" s="11">
        <v>1124021</v>
      </c>
      <c r="C68" s="18" t="s">
        <v>60</v>
      </c>
      <c r="D68" s="27"/>
      <c r="E68" s="27"/>
      <c r="F68" s="27"/>
      <c r="G68" s="27"/>
      <c r="H68" s="27"/>
      <c r="I68" s="27"/>
      <c r="J68" s="27"/>
      <c r="K68" s="27"/>
      <c r="L68" s="38">
        <f t="shared" si="4"/>
        <v>0</v>
      </c>
    </row>
    <row r="69" spans="2:12" x14ac:dyDescent="0.2">
      <c r="B69" s="11">
        <v>1113084</v>
      </c>
      <c r="C69" s="18" t="s">
        <v>61</v>
      </c>
      <c r="D69" s="27"/>
      <c r="E69" s="27"/>
      <c r="F69" s="27"/>
      <c r="G69" s="27"/>
      <c r="H69" s="27"/>
      <c r="I69" s="27"/>
      <c r="J69" s="27"/>
      <c r="K69" s="27"/>
      <c r="L69" s="38">
        <f t="shared" si="4"/>
        <v>0</v>
      </c>
    </row>
    <row r="70" spans="2:12" x14ac:dyDescent="0.2">
      <c r="B70" s="11">
        <v>900003</v>
      </c>
      <c r="C70" s="18" t="s">
        <v>81</v>
      </c>
      <c r="D70" s="27"/>
      <c r="E70" s="27"/>
      <c r="F70" s="27"/>
      <c r="G70" s="27"/>
      <c r="H70" s="27"/>
      <c r="I70" s="27"/>
      <c r="J70" s="27"/>
      <c r="K70" s="27"/>
      <c r="L70" s="38">
        <f t="shared" si="4"/>
        <v>0</v>
      </c>
    </row>
    <row r="71" spans="2:12" x14ac:dyDescent="0.2">
      <c r="B71" s="11">
        <v>900004</v>
      </c>
      <c r="C71" s="18" t="s">
        <v>62</v>
      </c>
      <c r="D71" s="27"/>
      <c r="E71" s="27"/>
      <c r="F71" s="27"/>
      <c r="G71" s="27"/>
      <c r="H71" s="27"/>
      <c r="I71" s="27"/>
      <c r="J71" s="27"/>
      <c r="K71" s="27"/>
      <c r="L71" s="38">
        <f t="shared" si="4"/>
        <v>0</v>
      </c>
    </row>
    <row r="72" spans="2:12" x14ac:dyDescent="0.2">
      <c r="B72" s="11">
        <v>1200002</v>
      </c>
      <c r="C72" s="18" t="s">
        <v>63</v>
      </c>
      <c r="D72" s="27"/>
      <c r="E72" s="27"/>
      <c r="F72" s="27"/>
      <c r="G72" s="27"/>
      <c r="H72" s="27"/>
      <c r="I72" s="27"/>
      <c r="J72" s="27"/>
      <c r="K72" s="27"/>
      <c r="L72" s="38">
        <f t="shared" si="4"/>
        <v>0</v>
      </c>
    </row>
    <row r="73" spans="2:12" x14ac:dyDescent="0.2">
      <c r="B73" s="11">
        <v>1200003</v>
      </c>
      <c r="C73" s="18" t="s">
        <v>64</v>
      </c>
      <c r="D73" s="27"/>
      <c r="E73" s="27"/>
      <c r="F73" s="27"/>
      <c r="G73" s="27"/>
      <c r="H73" s="27"/>
      <c r="I73" s="27"/>
      <c r="J73" s="27"/>
      <c r="K73" s="27"/>
      <c r="L73" s="38">
        <f t="shared" si="4"/>
        <v>0</v>
      </c>
    </row>
    <row r="74" spans="2:12" x14ac:dyDescent="0.2">
      <c r="B74" s="11">
        <v>1200004</v>
      </c>
      <c r="C74" s="18" t="s">
        <v>65</v>
      </c>
      <c r="D74" s="27"/>
      <c r="E74" s="27"/>
      <c r="F74" s="27"/>
      <c r="G74" s="27"/>
      <c r="H74" s="27"/>
      <c r="I74" s="27"/>
      <c r="J74" s="27"/>
      <c r="K74" s="27"/>
      <c r="L74" s="38">
        <f t="shared" si="4"/>
        <v>0</v>
      </c>
    </row>
    <row r="75" spans="2:12" x14ac:dyDescent="0.2">
      <c r="B75" s="11">
        <v>1200093</v>
      </c>
      <c r="C75" s="18" t="s">
        <v>53</v>
      </c>
      <c r="D75" s="27"/>
      <c r="E75" s="27"/>
      <c r="F75" s="27"/>
      <c r="G75" s="27"/>
      <c r="H75" s="27"/>
      <c r="I75" s="27"/>
      <c r="J75" s="27"/>
      <c r="K75" s="27"/>
      <c r="L75" s="38">
        <f t="shared" si="4"/>
        <v>0</v>
      </c>
    </row>
    <row r="76" spans="2:12" x14ac:dyDescent="0.2">
      <c r="B76" s="11">
        <v>1200092</v>
      </c>
      <c r="C76" s="17" t="s">
        <v>54</v>
      </c>
      <c r="D76" s="27"/>
      <c r="E76" s="27"/>
      <c r="F76" s="27"/>
      <c r="G76" s="27"/>
      <c r="H76" s="27"/>
      <c r="I76" s="27"/>
      <c r="J76" s="27"/>
      <c r="K76" s="27"/>
      <c r="L76" s="38">
        <f t="shared" si="4"/>
        <v>0</v>
      </c>
    </row>
    <row r="77" spans="2:12" x14ac:dyDescent="0.2">
      <c r="B77" s="19"/>
      <c r="C77" s="18" t="s">
        <v>74</v>
      </c>
      <c r="D77" s="27"/>
      <c r="E77" s="27"/>
      <c r="F77" s="27"/>
      <c r="G77" s="27"/>
      <c r="H77" s="27"/>
      <c r="I77" s="27"/>
      <c r="J77" s="27"/>
      <c r="K77" s="27"/>
      <c r="L77" s="38">
        <f t="shared" si="4"/>
        <v>0</v>
      </c>
    </row>
    <row r="78" spans="2:12" x14ac:dyDescent="0.2">
      <c r="B78" s="19"/>
      <c r="C78" s="18" t="s">
        <v>75</v>
      </c>
      <c r="D78" s="27"/>
      <c r="E78" s="27"/>
      <c r="F78" s="27"/>
      <c r="G78" s="27"/>
      <c r="H78" s="27"/>
      <c r="I78" s="27"/>
      <c r="J78" s="27"/>
      <c r="K78" s="27"/>
      <c r="L78" s="38">
        <f t="shared" si="4"/>
        <v>0</v>
      </c>
    </row>
    <row r="79" spans="2:12" x14ac:dyDescent="0.2">
      <c r="B79" s="19"/>
      <c r="C79" s="18" t="s">
        <v>86</v>
      </c>
      <c r="D79" s="27"/>
      <c r="E79" s="27"/>
      <c r="F79" s="27"/>
      <c r="G79" s="27"/>
      <c r="H79" s="27"/>
      <c r="I79" s="27"/>
      <c r="J79" s="27"/>
      <c r="K79" s="27"/>
      <c r="L79" s="38">
        <f t="shared" si="4"/>
        <v>0</v>
      </c>
    </row>
    <row r="80" spans="2:12" x14ac:dyDescent="0.2">
      <c r="C80" s="32"/>
      <c r="D80" s="35"/>
      <c r="E80" s="35"/>
      <c r="F80" s="35"/>
      <c r="G80" s="35"/>
      <c r="H80" s="35"/>
      <c r="I80" s="35"/>
      <c r="J80" s="35"/>
      <c r="K80" s="35"/>
      <c r="L80" s="36"/>
    </row>
    <row r="81" spans="2:12" x14ac:dyDescent="0.2">
      <c r="C81" s="32"/>
      <c r="D81" s="36">
        <f t="shared" ref="D81:J81" si="5">SUM(D7:D35,D37,D40,D46:D54,D60:D79)</f>
        <v>0</v>
      </c>
      <c r="E81" s="36">
        <f t="shared" si="5"/>
        <v>0</v>
      </c>
      <c r="F81" s="36">
        <f t="shared" si="5"/>
        <v>0</v>
      </c>
      <c r="G81" s="36">
        <f t="shared" si="5"/>
        <v>0</v>
      </c>
      <c r="H81" s="36">
        <f t="shared" si="5"/>
        <v>0</v>
      </c>
      <c r="I81" s="36">
        <f t="shared" si="5"/>
        <v>0</v>
      </c>
      <c r="J81" s="36">
        <f t="shared" si="5"/>
        <v>0</v>
      </c>
      <c r="K81" s="36"/>
      <c r="L81" s="36">
        <f>SUM(L7:L35,L37,L40,L46:L54,L60:L79)</f>
        <v>0</v>
      </c>
    </row>
    <row r="82" spans="2:12" x14ac:dyDescent="0.2">
      <c r="C82" s="21"/>
      <c r="D82" s="28"/>
      <c r="E82" s="61"/>
      <c r="F82" s="61"/>
      <c r="G82" s="23"/>
    </row>
    <row r="83" spans="2:12" x14ac:dyDescent="0.2">
      <c r="B83" s="61" t="s">
        <v>66</v>
      </c>
      <c r="C83" s="61"/>
      <c r="D83" s="29"/>
      <c r="E83" s="62"/>
      <c r="F83" s="62"/>
      <c r="G83" s="24"/>
      <c r="H83" s="23"/>
      <c r="I83" s="61" t="s">
        <v>66</v>
      </c>
      <c r="J83" s="61"/>
      <c r="K83" s="61"/>
      <c r="L83" s="61"/>
    </row>
    <row r="84" spans="2:12" x14ac:dyDescent="0.2">
      <c r="B84" s="62" t="s">
        <v>67</v>
      </c>
      <c r="C84" s="62"/>
      <c r="D84" s="30"/>
      <c r="E84" s="30"/>
      <c r="F84" s="30"/>
      <c r="G84" s="30"/>
      <c r="H84" s="30"/>
      <c r="I84" s="62" t="s">
        <v>68</v>
      </c>
      <c r="J84" s="62"/>
      <c r="K84" s="62"/>
      <c r="L84" s="62"/>
    </row>
    <row r="85" spans="2:12" x14ac:dyDescent="0.2">
      <c r="B85" s="28"/>
      <c r="C85" s="28"/>
      <c r="D85" s="30"/>
      <c r="E85" s="30"/>
      <c r="F85" s="30"/>
      <c r="G85" s="30"/>
      <c r="H85" s="30"/>
      <c r="I85" s="28"/>
      <c r="J85" s="28"/>
      <c r="K85" s="28"/>
      <c r="L85" s="31"/>
    </row>
    <row r="86" spans="2:12" ht="14.25" x14ac:dyDescent="0.2"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31"/>
    </row>
    <row r="87" spans="2:12" ht="14.25" x14ac:dyDescent="0.2"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31"/>
    </row>
    <row r="88" spans="2:12" ht="14.25" x14ac:dyDescent="0.2"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31"/>
    </row>
    <row r="89" spans="2:12" ht="14.25" x14ac:dyDescent="0.2"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31"/>
    </row>
    <row r="90" spans="2:12" ht="14.25" x14ac:dyDescent="0.2"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31"/>
    </row>
    <row r="91" spans="2:12" x14ac:dyDescent="0.2">
      <c r="D91" s="28"/>
      <c r="E91" s="28"/>
      <c r="F91" s="28"/>
      <c r="G91" s="28"/>
      <c r="H91" s="28"/>
    </row>
    <row r="92" spans="2:12" x14ac:dyDescent="0.2">
      <c r="D92" s="28"/>
      <c r="E92" s="28"/>
      <c r="F92" s="28"/>
      <c r="G92" s="28"/>
      <c r="H92" s="28"/>
    </row>
    <row r="93" spans="2:12" x14ac:dyDescent="0.2">
      <c r="D93" s="28"/>
      <c r="E93" s="28"/>
      <c r="F93" s="28"/>
      <c r="G93" s="28"/>
      <c r="H93" s="28"/>
    </row>
    <row r="94" spans="2:12" x14ac:dyDescent="0.2">
      <c r="D94" s="28"/>
      <c r="E94" s="28"/>
      <c r="F94" s="28"/>
      <c r="G94" s="28"/>
      <c r="H94" s="28"/>
    </row>
    <row r="95" spans="2:12" x14ac:dyDescent="0.2">
      <c r="D95" s="28"/>
      <c r="E95" s="28"/>
      <c r="F95" s="28"/>
      <c r="G95" s="28"/>
      <c r="H95" s="28"/>
    </row>
    <row r="96" spans="2:12" x14ac:dyDescent="0.2">
      <c r="D96" s="28"/>
      <c r="E96" s="28"/>
      <c r="F96" s="28"/>
      <c r="G96" s="28"/>
      <c r="H96" s="28"/>
    </row>
    <row r="97" spans="4:8" x14ac:dyDescent="0.2">
      <c r="D97" s="28"/>
      <c r="E97" s="28"/>
      <c r="F97" s="28"/>
      <c r="G97" s="28"/>
      <c r="H97" s="28"/>
    </row>
    <row r="98" spans="4:8" x14ac:dyDescent="0.2">
      <c r="D98" s="28"/>
      <c r="E98" s="28"/>
      <c r="F98" s="28"/>
      <c r="G98" s="28"/>
      <c r="H98" s="28"/>
    </row>
    <row r="99" spans="4:8" x14ac:dyDescent="0.2">
      <c r="D99" s="28"/>
      <c r="E99" s="28"/>
      <c r="F99" s="28"/>
      <c r="G99" s="28"/>
      <c r="H99" s="28"/>
    </row>
    <row r="100" spans="4:8" x14ac:dyDescent="0.2">
      <c r="D100" s="28"/>
      <c r="E100" s="28"/>
      <c r="F100" s="28"/>
      <c r="G100" s="28"/>
      <c r="H100" s="28"/>
    </row>
    <row r="101" spans="4:8" x14ac:dyDescent="0.2">
      <c r="D101" s="28"/>
      <c r="E101" s="28"/>
      <c r="F101" s="28"/>
      <c r="G101" s="28"/>
      <c r="H101" s="28"/>
    </row>
  </sheetData>
  <mergeCells count="13">
    <mergeCell ref="B84:C84"/>
    <mergeCell ref="I84:L84"/>
    <mergeCell ref="B1:L1"/>
    <mergeCell ref="B2:J3"/>
    <mergeCell ref="B6:L6"/>
    <mergeCell ref="B36:L36"/>
    <mergeCell ref="B39:L39"/>
    <mergeCell ref="B45:L45"/>
    <mergeCell ref="B56:L56"/>
    <mergeCell ref="E82:F82"/>
    <mergeCell ref="B83:C83"/>
    <mergeCell ref="E83:F83"/>
    <mergeCell ref="I83:L8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V102"/>
  <sheetViews>
    <sheetView tabSelected="1" zoomScale="50" zoomScaleNormal="50" workbookViewId="0">
      <selection activeCell="D78" sqref="D78"/>
    </sheetView>
  </sheetViews>
  <sheetFormatPr defaultRowHeight="22.5" x14ac:dyDescent="0.25"/>
  <cols>
    <col min="2" max="2" width="22.125" style="20" customWidth="1"/>
    <col min="3" max="3" width="59.125" style="20" customWidth="1"/>
    <col min="4" max="11" width="14.375" style="16" customWidth="1"/>
    <col min="12" max="12" width="17.625" style="22" customWidth="1"/>
    <col min="13" max="17" width="14.375" style="20" hidden="1" customWidth="1"/>
    <col min="18" max="18" width="14.375" style="25" hidden="1" customWidth="1"/>
    <col min="19" max="20" width="9" hidden="1" customWidth="1"/>
    <col min="21" max="21" width="9" customWidth="1"/>
    <col min="22" max="22" width="9" style="51" customWidth="1"/>
    <col min="23" max="23" width="19" customWidth="1"/>
    <col min="24" max="28" width="9" customWidth="1"/>
  </cols>
  <sheetData>
    <row r="1" spans="2:18" x14ac:dyDescent="0.25">
      <c r="B1" s="54" t="s">
        <v>103</v>
      </c>
      <c r="C1" s="54"/>
      <c r="D1" s="54"/>
      <c r="E1" s="54"/>
      <c r="F1" s="54"/>
      <c r="G1" s="54"/>
      <c r="H1" s="54"/>
      <c r="I1" s="54"/>
      <c r="J1" s="54"/>
      <c r="K1" s="54"/>
      <c r="L1" s="54"/>
    </row>
    <row r="2" spans="2:18" x14ac:dyDescent="0.25">
      <c r="B2" s="63"/>
      <c r="C2" s="64"/>
      <c r="D2" s="1"/>
      <c r="E2" s="65"/>
      <c r="F2" s="65"/>
      <c r="G2" s="2"/>
      <c r="H2" s="2"/>
      <c r="I2" s="2"/>
      <c r="J2" s="2"/>
      <c r="K2" s="2"/>
      <c r="L2" s="3" t="s">
        <v>0</v>
      </c>
      <c r="M2" s="67" t="s">
        <v>79</v>
      </c>
      <c r="N2" s="67" t="s">
        <v>76</v>
      </c>
      <c r="O2" s="67" t="s">
        <v>84</v>
      </c>
      <c r="P2" s="76" t="s">
        <v>85</v>
      </c>
      <c r="Q2" s="44"/>
      <c r="R2" s="70" t="s">
        <v>1</v>
      </c>
    </row>
    <row r="3" spans="2:18" x14ac:dyDescent="0.25">
      <c r="B3" s="63"/>
      <c r="C3" s="64"/>
      <c r="D3" s="4"/>
      <c r="E3" s="66"/>
      <c r="F3" s="66"/>
      <c r="G3" s="5"/>
      <c r="H3" s="5"/>
      <c r="I3" s="5"/>
      <c r="J3" s="41"/>
      <c r="K3" s="41"/>
      <c r="L3" s="6" t="s">
        <v>2</v>
      </c>
      <c r="M3" s="68"/>
      <c r="N3" s="68"/>
      <c r="O3" s="68"/>
      <c r="P3" s="77"/>
      <c r="Q3" s="45" t="s">
        <v>97</v>
      </c>
      <c r="R3" s="71"/>
    </row>
    <row r="4" spans="2:18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83</v>
      </c>
      <c r="I4" s="9" t="s">
        <v>9</v>
      </c>
      <c r="J4" s="9" t="s">
        <v>82</v>
      </c>
      <c r="K4" s="9" t="s">
        <v>100</v>
      </c>
      <c r="L4" s="10" t="s">
        <v>10</v>
      </c>
      <c r="M4" s="69"/>
      <c r="N4" s="69"/>
      <c r="O4" s="69"/>
      <c r="P4" s="78"/>
      <c r="Q4" s="46"/>
      <c r="R4" s="72"/>
    </row>
    <row r="5" spans="2:18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11"/>
      <c r="R5" s="26"/>
    </row>
    <row r="6" spans="2:18" ht="19.5" x14ac:dyDescent="0.25">
      <c r="B6" s="73" t="s">
        <v>11</v>
      </c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5"/>
    </row>
    <row r="7" spans="2:18" x14ac:dyDescent="0.25">
      <c r="B7" s="11">
        <v>1111002</v>
      </c>
      <c r="C7" s="15" t="s">
        <v>69</v>
      </c>
      <c r="D7" s="52">
        <f>'เย็น  '!D7+เช้า!D7+บ่าย!D7</f>
        <v>10</v>
      </c>
      <c r="E7" s="52">
        <f>'เย็น  '!E7+เช้า!E7+บ่าย!E7</f>
        <v>37</v>
      </c>
      <c r="F7" s="52">
        <f>'เย็น  '!F7+เช้า!F7+บ่าย!F7</f>
        <v>24</v>
      </c>
      <c r="G7" s="52">
        <f>'เย็น  '!G7+เช้า!G7+บ่าย!G7</f>
        <v>0</v>
      </c>
      <c r="H7" s="52">
        <f>'เย็น  '!H7+เช้า!H7+บ่าย!H7</f>
        <v>0</v>
      </c>
      <c r="I7" s="52">
        <f>'เย็น  '!I7+เช้า!I7+บ่าย!I7</f>
        <v>0</v>
      </c>
      <c r="J7" s="52">
        <f>'เย็น  '!J7+เช้า!J7+บ่าย!J7</f>
        <v>0</v>
      </c>
      <c r="K7" s="52">
        <f>'เย็น  '!K7+เช้า!K7+บ่าย!K7</f>
        <v>10</v>
      </c>
      <c r="L7" s="33">
        <f>SUM(D7:K7)</f>
        <v>81</v>
      </c>
      <c r="M7" s="11">
        <v>169</v>
      </c>
      <c r="N7" s="11"/>
      <c r="O7" s="11"/>
      <c r="P7" s="11"/>
      <c r="Q7" s="11"/>
      <c r="R7" s="43">
        <f>(M7+N7+O7+P7)-L7-Q7</f>
        <v>88</v>
      </c>
    </row>
    <row r="8" spans="2:18" x14ac:dyDescent="0.25">
      <c r="B8" s="11">
        <v>1111086</v>
      </c>
      <c r="C8" s="15" t="s">
        <v>96</v>
      </c>
      <c r="D8" s="52">
        <f>'เย็น  '!D8+เช้า!D8+บ่าย!D8</f>
        <v>0</v>
      </c>
      <c r="E8" s="52">
        <f>'เย็น  '!E8+เช้า!E8+บ่าย!E8</f>
        <v>0</v>
      </c>
      <c r="F8" s="52">
        <f>'เย็น  '!F8+เช้า!F8+บ่าย!F8</f>
        <v>0</v>
      </c>
      <c r="G8" s="52">
        <f>'เย็น  '!G8+เช้า!G8+บ่าย!G8</f>
        <v>0</v>
      </c>
      <c r="H8" s="52">
        <f>'เย็น  '!H8+เช้า!H8+บ่าย!H8</f>
        <v>0</v>
      </c>
      <c r="I8" s="52">
        <f>'เย็น  '!I8+เช้า!I8+บ่าย!I8</f>
        <v>0</v>
      </c>
      <c r="J8" s="52">
        <f>'เย็น  '!J8+เช้า!J8+บ่าย!J8</f>
        <v>0</v>
      </c>
      <c r="K8" s="52">
        <f>'เย็น  '!K8+เช้า!K8+บ่าย!K8</f>
        <v>0</v>
      </c>
      <c r="L8" s="33">
        <f t="shared" ref="L8:L35" si="0">SUM(D8:K8)</f>
        <v>0</v>
      </c>
      <c r="M8" s="11"/>
      <c r="N8" s="11"/>
      <c r="O8" s="11"/>
      <c r="P8" s="11"/>
      <c r="Q8" s="11"/>
      <c r="R8" s="43">
        <f t="shared" ref="R8:R72" si="1">(M8+N8+O8+P8)-L8-Q8</f>
        <v>0</v>
      </c>
    </row>
    <row r="9" spans="2:18" x14ac:dyDescent="0.25">
      <c r="B9" s="11">
        <v>1111056</v>
      </c>
      <c r="C9" s="15" t="s">
        <v>13</v>
      </c>
      <c r="D9" s="52">
        <f>'เย็น  '!D9+เช้า!D9+บ่าย!D9</f>
        <v>0</v>
      </c>
      <c r="E9" s="52">
        <f>'เย็น  '!E9+เช้า!E9+บ่าย!E9</f>
        <v>6</v>
      </c>
      <c r="F9" s="52">
        <f>'เย็น  '!F9+เช้า!F9+บ่าย!F9</f>
        <v>10</v>
      </c>
      <c r="G9" s="52">
        <f>'เย็น  '!G9+เช้า!G9+บ่าย!G9</f>
        <v>8</v>
      </c>
      <c r="H9" s="52">
        <f>'เย็น  '!H9+เช้า!H9+บ่าย!H9</f>
        <v>1</v>
      </c>
      <c r="I9" s="52">
        <f>'เย็น  '!I9+เช้า!I9+บ่าย!I9</f>
        <v>0</v>
      </c>
      <c r="J9" s="52">
        <f>'เย็น  '!J9+เช้า!J9+บ่าย!J9</f>
        <v>0</v>
      </c>
      <c r="K9" s="52">
        <f>'เย็น  '!K9+เช้า!K9+บ่าย!K9</f>
        <v>0</v>
      </c>
      <c r="L9" s="33">
        <f t="shared" si="0"/>
        <v>25</v>
      </c>
      <c r="M9" s="11">
        <v>13</v>
      </c>
      <c r="N9" s="11"/>
      <c r="O9" s="11"/>
      <c r="P9" s="11"/>
      <c r="Q9" s="11"/>
      <c r="R9" s="43">
        <f t="shared" si="1"/>
        <v>-12</v>
      </c>
    </row>
    <row r="10" spans="2:18" x14ac:dyDescent="0.25">
      <c r="B10" s="11">
        <v>1004055</v>
      </c>
      <c r="C10" s="15" t="s">
        <v>70</v>
      </c>
      <c r="D10" s="52">
        <f>'เย็น  '!D10+เช้า!D10+บ่าย!D10</f>
        <v>21</v>
      </c>
      <c r="E10" s="52">
        <f>'เย็น  '!E10+เช้า!E10+บ่าย!E10</f>
        <v>2</v>
      </c>
      <c r="F10" s="52">
        <f>'เย็น  '!F10+เช้า!F10+บ่าย!F10</f>
        <v>6</v>
      </c>
      <c r="G10" s="52">
        <f>'เย็น  '!G10+เช้า!G10+บ่าย!G10</f>
        <v>39</v>
      </c>
      <c r="H10" s="52">
        <f>'เย็น  '!H10+เช้า!H10+บ่าย!H10</f>
        <v>49</v>
      </c>
      <c r="I10" s="52">
        <f>'เย็น  '!I10+เช้า!I10+บ่าย!I10</f>
        <v>0</v>
      </c>
      <c r="J10" s="52">
        <f>'เย็น  '!J10+เช้า!J10+บ่าย!J10</f>
        <v>0</v>
      </c>
      <c r="K10" s="52">
        <f>'เย็น  '!K10+เช้า!K10+บ่าย!K10</f>
        <v>25</v>
      </c>
      <c r="L10" s="33">
        <f t="shared" si="0"/>
        <v>142</v>
      </c>
      <c r="M10" s="11">
        <v>110</v>
      </c>
      <c r="N10" s="11"/>
      <c r="O10" s="11"/>
      <c r="P10" s="11"/>
      <c r="Q10" s="11"/>
      <c r="R10" s="43">
        <f t="shared" si="1"/>
        <v>-32</v>
      </c>
    </row>
    <row r="11" spans="2:18" x14ac:dyDescent="0.25">
      <c r="B11" s="11">
        <v>1111057</v>
      </c>
      <c r="C11" s="15" t="s">
        <v>14</v>
      </c>
      <c r="D11" s="52">
        <f>'เย็น  '!D11+เช้า!D11+บ่าย!D11</f>
        <v>0</v>
      </c>
      <c r="E11" s="52">
        <f>'เย็น  '!E11+เช้า!E11+บ่าย!E11</f>
        <v>0</v>
      </c>
      <c r="F11" s="52">
        <f>'เย็น  '!F11+เช้า!F11+บ่าย!F11</f>
        <v>0</v>
      </c>
      <c r="G11" s="52">
        <f>'เย็น  '!G11+เช้า!G11+บ่าย!G11</f>
        <v>1</v>
      </c>
      <c r="H11" s="52">
        <f>'เย็น  '!H11+เช้า!H11+บ่าย!H11</f>
        <v>0</v>
      </c>
      <c r="I11" s="52">
        <f>'เย็น  '!I11+เช้า!I11+บ่าย!I11</f>
        <v>0</v>
      </c>
      <c r="J11" s="52">
        <f>'เย็น  '!J11+เช้า!J11+บ่าย!J11</f>
        <v>0</v>
      </c>
      <c r="K11" s="52">
        <f>'เย็น  '!K11+เช้า!K11+บ่าย!K11</f>
        <v>0</v>
      </c>
      <c r="L11" s="33">
        <f t="shared" si="0"/>
        <v>1</v>
      </c>
      <c r="M11" s="11"/>
      <c r="N11" s="11"/>
      <c r="O11" s="11"/>
      <c r="P11" s="11"/>
      <c r="Q11" s="11"/>
      <c r="R11" s="43">
        <f t="shared" si="1"/>
        <v>-1</v>
      </c>
    </row>
    <row r="12" spans="2:18" x14ac:dyDescent="0.25">
      <c r="B12" s="11">
        <v>1111058</v>
      </c>
      <c r="C12" s="15" t="s">
        <v>15</v>
      </c>
      <c r="D12" s="52">
        <f>'เย็น  '!D12+เช้า!D12+บ่าย!D12</f>
        <v>0</v>
      </c>
      <c r="E12" s="52">
        <f>'เย็น  '!E12+เช้า!E12+บ่าย!E12</f>
        <v>0</v>
      </c>
      <c r="F12" s="52">
        <f>'เย็น  '!F12+เช้า!F12+บ่าย!F12</f>
        <v>0</v>
      </c>
      <c r="G12" s="52">
        <f>'เย็น  '!G12+เช้า!G12+บ่าย!G12</f>
        <v>1</v>
      </c>
      <c r="H12" s="52">
        <f>'เย็น  '!H12+เช้า!H12+บ่าย!H12</f>
        <v>0</v>
      </c>
      <c r="I12" s="52">
        <f>'เย็น  '!I12+เช้า!I12+บ่าย!I12</f>
        <v>0</v>
      </c>
      <c r="J12" s="52">
        <f>'เย็น  '!J12+เช้า!J12+บ่าย!J12</f>
        <v>0</v>
      </c>
      <c r="K12" s="52">
        <f>'เย็น  '!K12+เช้า!K12+บ่าย!K12</f>
        <v>0</v>
      </c>
      <c r="L12" s="33">
        <f t="shared" si="0"/>
        <v>1</v>
      </c>
      <c r="M12" s="11"/>
      <c r="N12" s="11"/>
      <c r="O12" s="11"/>
      <c r="P12" s="11"/>
      <c r="Q12" s="11"/>
      <c r="R12" s="43">
        <f t="shared" si="1"/>
        <v>-1</v>
      </c>
    </row>
    <row r="13" spans="2:18" x14ac:dyDescent="0.25">
      <c r="B13" s="11">
        <v>1111059</v>
      </c>
      <c r="C13" s="15" t="s">
        <v>16</v>
      </c>
      <c r="D13" s="52">
        <f>'เย็น  '!D13+เช้า!D13+บ่าย!D13</f>
        <v>3</v>
      </c>
      <c r="E13" s="52">
        <f>'เย็น  '!E13+เช้า!E13+บ่าย!E13</f>
        <v>0</v>
      </c>
      <c r="F13" s="52">
        <f>'เย็น  '!F13+เช้า!F13+บ่าย!F13</f>
        <v>0</v>
      </c>
      <c r="G13" s="52">
        <f>'เย็น  '!G13+เช้า!G13+บ่าย!G13</f>
        <v>1</v>
      </c>
      <c r="H13" s="52">
        <f>'เย็น  '!H13+เช้า!H13+บ่าย!H13</f>
        <v>5</v>
      </c>
      <c r="I13" s="52">
        <f>'เย็น  '!I13+เช้า!I13+บ่าย!I13</f>
        <v>0</v>
      </c>
      <c r="J13" s="52">
        <f>'เย็น  '!J13+เช้า!J13+บ่าย!J13</f>
        <v>0</v>
      </c>
      <c r="K13" s="52">
        <f>'เย็น  '!K13+เช้า!K13+บ่าย!K13</f>
        <v>0</v>
      </c>
      <c r="L13" s="33">
        <f t="shared" si="0"/>
        <v>9</v>
      </c>
      <c r="M13" s="11"/>
      <c r="N13" s="11"/>
      <c r="O13" s="11"/>
      <c r="P13" s="11"/>
      <c r="Q13" s="11"/>
      <c r="R13" s="43">
        <f t="shared" si="1"/>
        <v>-9</v>
      </c>
    </row>
    <row r="14" spans="2:18" x14ac:dyDescent="0.25">
      <c r="B14" s="11">
        <v>1111060</v>
      </c>
      <c r="C14" s="15" t="s">
        <v>17</v>
      </c>
      <c r="D14" s="52">
        <f>'เย็น  '!D14+เช้า!D14+บ่าย!D14</f>
        <v>0</v>
      </c>
      <c r="E14" s="52">
        <f>'เย็น  '!E14+เช้า!E14+บ่าย!E14</f>
        <v>0</v>
      </c>
      <c r="F14" s="52">
        <f>'เย็น  '!F14+เช้า!F14+บ่าย!F14</f>
        <v>0</v>
      </c>
      <c r="G14" s="52">
        <f>'เย็น  '!G14+เช้า!G14+บ่าย!G14</f>
        <v>1</v>
      </c>
      <c r="H14" s="52">
        <f>'เย็น  '!H14+เช้า!H14+บ่าย!H14</f>
        <v>0</v>
      </c>
      <c r="I14" s="52">
        <f>'เย็น  '!I14+เช้า!I14+บ่าย!I14</f>
        <v>0</v>
      </c>
      <c r="J14" s="52">
        <f>'เย็น  '!J14+เช้า!J14+บ่าย!J14</f>
        <v>0</v>
      </c>
      <c r="K14" s="52">
        <f>'เย็น  '!K14+เช้า!K14+บ่าย!K14</f>
        <v>0</v>
      </c>
      <c r="L14" s="33">
        <f t="shared" si="0"/>
        <v>1</v>
      </c>
      <c r="M14" s="11"/>
      <c r="N14" s="11"/>
      <c r="O14" s="11"/>
      <c r="P14" s="11"/>
      <c r="Q14" s="11"/>
      <c r="R14" s="43">
        <f t="shared" si="1"/>
        <v>-1</v>
      </c>
    </row>
    <row r="15" spans="2:18" x14ac:dyDescent="0.25">
      <c r="B15" s="11">
        <v>1111061</v>
      </c>
      <c r="C15" s="15" t="s">
        <v>18</v>
      </c>
      <c r="D15" s="52">
        <f>'เย็น  '!D15+เช้า!D15+บ่าย!D15</f>
        <v>0</v>
      </c>
      <c r="E15" s="52">
        <f>'เย็น  '!E15+เช้า!E15+บ่าย!E15</f>
        <v>0</v>
      </c>
      <c r="F15" s="52">
        <f>'เย็น  '!F15+เช้า!F15+บ่าย!F15</f>
        <v>0</v>
      </c>
      <c r="G15" s="52">
        <f>'เย็น  '!G15+เช้า!G15+บ่าย!G15</f>
        <v>1</v>
      </c>
      <c r="H15" s="52">
        <f>'เย็น  '!H15+เช้า!H15+บ่าย!H15</f>
        <v>0</v>
      </c>
      <c r="I15" s="52">
        <f>'เย็น  '!I15+เช้า!I15+บ่าย!I15</f>
        <v>0</v>
      </c>
      <c r="J15" s="52">
        <f>'เย็น  '!J15+เช้า!J15+บ่าย!J15</f>
        <v>0</v>
      </c>
      <c r="K15" s="52">
        <f>'เย็น  '!K15+เช้า!K15+บ่าย!K15</f>
        <v>0</v>
      </c>
      <c r="L15" s="33">
        <f t="shared" si="0"/>
        <v>1</v>
      </c>
      <c r="M15" s="11">
        <v>2</v>
      </c>
      <c r="N15" s="11"/>
      <c r="O15" s="11"/>
      <c r="P15" s="11"/>
      <c r="Q15" s="11"/>
      <c r="R15" s="43">
        <f t="shared" si="1"/>
        <v>1</v>
      </c>
    </row>
    <row r="16" spans="2:18" x14ac:dyDescent="0.25">
      <c r="B16" s="11">
        <v>1111062</v>
      </c>
      <c r="C16" s="15" t="s">
        <v>19</v>
      </c>
      <c r="D16" s="52">
        <f>'เย็น  '!D16+เช้า!D16+บ่าย!D16</f>
        <v>0</v>
      </c>
      <c r="E16" s="52">
        <f>'เย็น  '!E16+เช้า!E16+บ่าย!E16</f>
        <v>0</v>
      </c>
      <c r="F16" s="52">
        <f>'เย็น  '!F16+เช้า!F16+บ่าย!F16</f>
        <v>0</v>
      </c>
      <c r="G16" s="52">
        <f>'เย็น  '!G16+เช้า!G16+บ่าย!G16</f>
        <v>1</v>
      </c>
      <c r="H16" s="52">
        <f>'เย็น  '!H16+เช้า!H16+บ่าย!H16</f>
        <v>0</v>
      </c>
      <c r="I16" s="52">
        <f>'เย็น  '!I16+เช้า!I16+บ่าย!I16</f>
        <v>0</v>
      </c>
      <c r="J16" s="52">
        <f>'เย็น  '!J16+เช้า!J16+บ่าย!J16</f>
        <v>0</v>
      </c>
      <c r="K16" s="52">
        <f>'เย็น  '!K16+เช้า!K16+บ่าย!K16</f>
        <v>0</v>
      </c>
      <c r="L16" s="33">
        <f t="shared" si="0"/>
        <v>1</v>
      </c>
      <c r="M16" s="11">
        <v>1</v>
      </c>
      <c r="N16" s="11"/>
      <c r="O16" s="11"/>
      <c r="P16" s="11"/>
      <c r="Q16" s="11"/>
      <c r="R16" s="43">
        <f t="shared" si="1"/>
        <v>0</v>
      </c>
    </row>
    <row r="17" spans="2:18" x14ac:dyDescent="0.25">
      <c r="B17" s="11">
        <v>1111063</v>
      </c>
      <c r="C17" s="15" t="s">
        <v>20</v>
      </c>
      <c r="D17" s="52">
        <f>'เย็น  '!D17+เช้า!D17+บ่าย!D17</f>
        <v>0</v>
      </c>
      <c r="E17" s="52">
        <f>'เย็น  '!E17+เช้า!E17+บ่าย!E17</f>
        <v>0</v>
      </c>
      <c r="F17" s="52">
        <f>'เย็น  '!F17+เช้า!F17+บ่าย!F17</f>
        <v>0</v>
      </c>
      <c r="G17" s="52">
        <f>'เย็น  '!G17+เช้า!G17+บ่าย!G17</f>
        <v>1</v>
      </c>
      <c r="H17" s="52">
        <f>'เย็น  '!H17+เช้า!H17+บ่าย!H17</f>
        <v>0</v>
      </c>
      <c r="I17" s="52">
        <f>'เย็น  '!I17+เช้า!I17+บ่าย!I17</f>
        <v>0</v>
      </c>
      <c r="J17" s="52">
        <f>'เย็น  '!J17+เช้า!J17+บ่าย!J17</f>
        <v>0</v>
      </c>
      <c r="K17" s="52">
        <f>'เย็น  '!K17+เช้า!K17+บ่าย!K17</f>
        <v>0</v>
      </c>
      <c r="L17" s="33">
        <f t="shared" si="0"/>
        <v>1</v>
      </c>
      <c r="M17" s="11">
        <v>17</v>
      </c>
      <c r="N17" s="11"/>
      <c r="O17" s="11"/>
      <c r="P17" s="11"/>
      <c r="Q17" s="11"/>
      <c r="R17" s="43">
        <f t="shared" si="1"/>
        <v>16</v>
      </c>
    </row>
    <row r="18" spans="2:18" x14ac:dyDescent="0.25">
      <c r="B18" s="11">
        <v>1111064</v>
      </c>
      <c r="C18" s="15" t="s">
        <v>21</v>
      </c>
      <c r="D18" s="52">
        <f>'เย็น  '!D18+เช้า!D18+บ่าย!D18</f>
        <v>5</v>
      </c>
      <c r="E18" s="52">
        <f>'เย็น  '!E18+เช้า!E18+บ่าย!E18</f>
        <v>0</v>
      </c>
      <c r="F18" s="52">
        <f>'เย็น  '!F18+เช้า!F18+บ่าย!F18</f>
        <v>0</v>
      </c>
      <c r="G18" s="52">
        <f>'เย็น  '!G18+เช้า!G18+บ่าย!G18</f>
        <v>1</v>
      </c>
      <c r="H18" s="52">
        <f>'เย็น  '!H18+เช้า!H18+บ่าย!H18</f>
        <v>0</v>
      </c>
      <c r="I18" s="52">
        <f>'เย็น  '!I18+เช้า!I18+บ่าย!I18</f>
        <v>0</v>
      </c>
      <c r="J18" s="52">
        <f>'เย็น  '!J18+เช้า!J18+บ่าย!J18</f>
        <v>0</v>
      </c>
      <c r="K18" s="52">
        <f>'เย็น  '!K18+เช้า!K18+บ่าย!K18</f>
        <v>0</v>
      </c>
      <c r="L18" s="33">
        <f t="shared" si="0"/>
        <v>6</v>
      </c>
      <c r="M18" s="11"/>
      <c r="N18" s="11"/>
      <c r="O18" s="11"/>
      <c r="P18" s="11"/>
      <c r="Q18" s="11"/>
      <c r="R18" s="43">
        <f t="shared" si="1"/>
        <v>-6</v>
      </c>
    </row>
    <row r="19" spans="2:18" x14ac:dyDescent="0.25">
      <c r="B19" s="11">
        <v>1111065</v>
      </c>
      <c r="C19" s="15" t="s">
        <v>22</v>
      </c>
      <c r="D19" s="52">
        <f>'เย็น  '!D19+เช้า!D19+บ่าย!D19</f>
        <v>0</v>
      </c>
      <c r="E19" s="52">
        <f>'เย็น  '!E19+เช้า!E19+บ่าย!E19</f>
        <v>0</v>
      </c>
      <c r="F19" s="52">
        <f>'เย็น  '!F19+เช้า!F19+บ่าย!F19</f>
        <v>0</v>
      </c>
      <c r="G19" s="52">
        <f>'เย็น  '!G19+เช้า!G19+บ่าย!G19</f>
        <v>1</v>
      </c>
      <c r="H19" s="52">
        <f>'เย็น  '!H19+เช้า!H19+บ่าย!H19</f>
        <v>0</v>
      </c>
      <c r="I19" s="52">
        <f>'เย็น  '!I19+เช้า!I19+บ่าย!I19</f>
        <v>0</v>
      </c>
      <c r="J19" s="52">
        <f>'เย็น  '!J19+เช้า!J19+บ่าย!J19</f>
        <v>0</v>
      </c>
      <c r="K19" s="52">
        <f>'เย็น  '!K19+เช้า!K19+บ่าย!K19</f>
        <v>0</v>
      </c>
      <c r="L19" s="33">
        <f t="shared" si="0"/>
        <v>1</v>
      </c>
      <c r="M19" s="11"/>
      <c r="N19" s="11"/>
      <c r="O19" s="11"/>
      <c r="P19" s="11"/>
      <c r="Q19" s="11"/>
      <c r="R19" s="43">
        <f t="shared" si="1"/>
        <v>-1</v>
      </c>
    </row>
    <row r="20" spans="2:18" x14ac:dyDescent="0.25">
      <c r="B20" s="11">
        <v>1111066</v>
      </c>
      <c r="C20" s="15" t="s">
        <v>23</v>
      </c>
      <c r="D20" s="52">
        <f>'เย็น  '!D20+เช้า!D20+บ่าย!D20</f>
        <v>0</v>
      </c>
      <c r="E20" s="52">
        <f>'เย็น  '!E20+เช้า!E20+บ่าย!E20</f>
        <v>0</v>
      </c>
      <c r="F20" s="52">
        <f>'เย็น  '!F20+เช้า!F20+บ่าย!F20</f>
        <v>0</v>
      </c>
      <c r="G20" s="52">
        <f>'เย็น  '!G20+เช้า!G20+บ่าย!G20</f>
        <v>1</v>
      </c>
      <c r="H20" s="52">
        <f>'เย็น  '!H20+เช้า!H20+บ่าย!H20</f>
        <v>0</v>
      </c>
      <c r="I20" s="52">
        <f>'เย็น  '!I20+เช้า!I20+บ่าย!I20</f>
        <v>0</v>
      </c>
      <c r="J20" s="52">
        <f>'เย็น  '!J20+เช้า!J20+บ่าย!J20</f>
        <v>0</v>
      </c>
      <c r="K20" s="52">
        <f>'เย็น  '!K20+เช้า!K20+บ่าย!K20</f>
        <v>0</v>
      </c>
      <c r="L20" s="33">
        <f t="shared" si="0"/>
        <v>1</v>
      </c>
      <c r="M20" s="11">
        <v>11</v>
      </c>
      <c r="N20" s="11"/>
      <c r="O20" s="11"/>
      <c r="P20" s="11"/>
      <c r="Q20" s="11"/>
      <c r="R20" s="43">
        <f t="shared" si="1"/>
        <v>10</v>
      </c>
    </row>
    <row r="21" spans="2:18" x14ac:dyDescent="0.25">
      <c r="B21" s="11">
        <v>1111067</v>
      </c>
      <c r="C21" s="15" t="s">
        <v>24</v>
      </c>
      <c r="D21" s="52">
        <f>'เย็น  '!D21+เช้า!D21+บ่าย!D21</f>
        <v>3</v>
      </c>
      <c r="E21" s="52">
        <f>'เย็น  '!E21+เช้า!E21+บ่าย!E21</f>
        <v>0</v>
      </c>
      <c r="F21" s="52">
        <f>'เย็น  '!F21+เช้า!F21+บ่าย!F21</f>
        <v>0</v>
      </c>
      <c r="G21" s="52">
        <f>'เย็น  '!G21+เช้า!G21+บ่าย!G21</f>
        <v>0</v>
      </c>
      <c r="H21" s="52">
        <f>'เย็น  '!H21+เช้า!H21+บ่าย!H21</f>
        <v>5</v>
      </c>
      <c r="I21" s="52">
        <f>'เย็น  '!I21+เช้า!I21+บ่าย!I21</f>
        <v>0</v>
      </c>
      <c r="J21" s="52">
        <f>'เย็น  '!J21+เช้า!J21+บ่าย!J21</f>
        <v>0</v>
      </c>
      <c r="K21" s="52">
        <f>'เย็น  '!K21+เช้า!K21+บ่าย!K21</f>
        <v>0</v>
      </c>
      <c r="L21" s="33">
        <f t="shared" si="0"/>
        <v>8</v>
      </c>
      <c r="M21" s="11">
        <v>8</v>
      </c>
      <c r="N21" s="11"/>
      <c r="O21" s="11"/>
      <c r="P21" s="11"/>
      <c r="Q21" s="11"/>
      <c r="R21" s="43">
        <f t="shared" si="1"/>
        <v>0</v>
      </c>
    </row>
    <row r="22" spans="2:18" x14ac:dyDescent="0.25">
      <c r="B22" s="11">
        <v>1111068</v>
      </c>
      <c r="C22" s="15" t="s">
        <v>25</v>
      </c>
      <c r="D22" s="52">
        <f>'เย็น  '!D22+เช้า!D22+บ่าย!D22</f>
        <v>0</v>
      </c>
      <c r="E22" s="52">
        <f>'เย็น  '!E22+เช้า!E22+บ่าย!E22</f>
        <v>0</v>
      </c>
      <c r="F22" s="52">
        <f>'เย็น  '!F22+เช้า!F22+บ่าย!F22</f>
        <v>0</v>
      </c>
      <c r="G22" s="52">
        <f>'เย็น  '!G22+เช้า!G22+บ่าย!G22</f>
        <v>0</v>
      </c>
      <c r="H22" s="52">
        <f>'เย็น  '!H22+เช้า!H22+บ่าย!H22</f>
        <v>0</v>
      </c>
      <c r="I22" s="52">
        <f>'เย็น  '!I22+เช้า!I22+บ่าย!I22</f>
        <v>0</v>
      </c>
      <c r="J22" s="52">
        <f>'เย็น  '!J22+เช้า!J22+บ่าย!J22</f>
        <v>0</v>
      </c>
      <c r="K22" s="52">
        <f>'เย็น  '!K22+เช้า!K22+บ่าย!K22</f>
        <v>0</v>
      </c>
      <c r="L22" s="33">
        <f t="shared" si="0"/>
        <v>0</v>
      </c>
      <c r="M22" s="11">
        <v>38</v>
      </c>
      <c r="N22" s="11"/>
      <c r="O22" s="11"/>
      <c r="P22" s="11"/>
      <c r="Q22" s="11"/>
      <c r="R22" s="43">
        <f t="shared" si="1"/>
        <v>38</v>
      </c>
    </row>
    <row r="23" spans="2:18" x14ac:dyDescent="0.25">
      <c r="B23" s="11">
        <v>1111069</v>
      </c>
      <c r="C23" s="15" t="s">
        <v>26</v>
      </c>
      <c r="D23" s="52">
        <f>'เย็น  '!D23+เช้า!D23+บ่าย!D23</f>
        <v>0</v>
      </c>
      <c r="E23" s="52">
        <f>'เย็น  '!E23+เช้า!E23+บ่าย!E23</f>
        <v>0</v>
      </c>
      <c r="F23" s="52">
        <f>'เย็น  '!F23+เช้า!F23+บ่าย!F23</f>
        <v>0</v>
      </c>
      <c r="G23" s="52">
        <f>'เย็น  '!G23+เช้า!G23+บ่าย!G23</f>
        <v>0</v>
      </c>
      <c r="H23" s="52">
        <f>'เย็น  '!H23+เช้า!H23+บ่าย!H23</f>
        <v>0</v>
      </c>
      <c r="I23" s="52">
        <f>'เย็น  '!I23+เช้า!I23+บ่าย!I23</f>
        <v>0</v>
      </c>
      <c r="J23" s="52">
        <f>'เย็น  '!J23+เช้า!J23+บ่าย!J23</f>
        <v>0</v>
      </c>
      <c r="K23" s="52">
        <f>'เย็น  '!K23+เช้า!K23+บ่าย!K23</f>
        <v>0</v>
      </c>
      <c r="L23" s="33">
        <f t="shared" si="0"/>
        <v>0</v>
      </c>
      <c r="M23" s="11"/>
      <c r="N23" s="11"/>
      <c r="O23" s="11"/>
      <c r="P23" s="11"/>
      <c r="Q23" s="11"/>
      <c r="R23" s="43">
        <f t="shared" si="1"/>
        <v>0</v>
      </c>
    </row>
    <row r="24" spans="2:18" x14ac:dyDescent="0.25">
      <c r="B24" s="11">
        <v>1111070</v>
      </c>
      <c r="C24" s="15" t="s">
        <v>77</v>
      </c>
      <c r="D24" s="52">
        <f>'เย็น  '!D24+เช้า!D24+บ่าย!D24</f>
        <v>0</v>
      </c>
      <c r="E24" s="52">
        <f>'เย็น  '!E24+เช้า!E24+บ่าย!E24</f>
        <v>0</v>
      </c>
      <c r="F24" s="52">
        <f>'เย็น  '!F24+เช้า!F24+บ่าย!F24</f>
        <v>0</v>
      </c>
      <c r="G24" s="52">
        <f>'เย็น  '!G24+เช้า!G24+บ่าย!G24</f>
        <v>0</v>
      </c>
      <c r="H24" s="52">
        <f>'เย็น  '!H24+เช้า!H24+บ่าย!H24</f>
        <v>0</v>
      </c>
      <c r="I24" s="52">
        <f>'เย็น  '!I24+เช้า!I24+บ่าย!I24</f>
        <v>0</v>
      </c>
      <c r="J24" s="52">
        <f>'เย็น  '!J24+เช้า!J24+บ่าย!J24</f>
        <v>0</v>
      </c>
      <c r="K24" s="52">
        <f>'เย็น  '!K24+เช้า!K24+บ่าย!K24</f>
        <v>0</v>
      </c>
      <c r="L24" s="33">
        <f t="shared" si="0"/>
        <v>0</v>
      </c>
      <c r="M24" s="11">
        <v>8</v>
      </c>
      <c r="N24" s="11"/>
      <c r="O24" s="11"/>
      <c r="P24" s="11"/>
      <c r="Q24" s="11"/>
      <c r="R24" s="43">
        <f t="shared" si="1"/>
        <v>8</v>
      </c>
    </row>
    <row r="25" spans="2:18" x14ac:dyDescent="0.25">
      <c r="B25" s="11">
        <v>1111071</v>
      </c>
      <c r="C25" s="15" t="s">
        <v>78</v>
      </c>
      <c r="D25" s="52">
        <f>'เย็น  '!D25+เช้า!D25+บ่าย!D25</f>
        <v>0</v>
      </c>
      <c r="E25" s="52">
        <f>'เย็น  '!E25+เช้า!E25+บ่าย!E25</f>
        <v>0</v>
      </c>
      <c r="F25" s="52">
        <f>'เย็น  '!F25+เช้า!F25+บ่าย!F25</f>
        <v>0</v>
      </c>
      <c r="G25" s="52">
        <f>'เย็น  '!G25+เช้า!G25+บ่าย!G25</f>
        <v>0</v>
      </c>
      <c r="H25" s="52">
        <f>'เย็น  '!H25+เช้า!H25+บ่าย!H25</f>
        <v>0</v>
      </c>
      <c r="I25" s="52">
        <f>'เย็น  '!I25+เช้า!I25+บ่าย!I25</f>
        <v>0</v>
      </c>
      <c r="J25" s="52">
        <f>'เย็น  '!J25+เช้า!J25+บ่าย!J25</f>
        <v>0</v>
      </c>
      <c r="K25" s="52">
        <f>'เย็น  '!K25+เช้า!K25+บ่าย!K25</f>
        <v>0</v>
      </c>
      <c r="L25" s="33">
        <f t="shared" si="0"/>
        <v>0</v>
      </c>
      <c r="M25" s="11"/>
      <c r="N25" s="11"/>
      <c r="O25" s="11"/>
      <c r="P25" s="11"/>
      <c r="Q25" s="11"/>
      <c r="R25" s="43">
        <f t="shared" si="1"/>
        <v>0</v>
      </c>
    </row>
    <row r="26" spans="2:18" x14ac:dyDescent="0.25">
      <c r="B26" s="11">
        <v>1111074</v>
      </c>
      <c r="C26" s="15" t="s">
        <v>27</v>
      </c>
      <c r="D26" s="52">
        <f>'เย็น  '!D26+เช้า!D26+บ่าย!D26</f>
        <v>0</v>
      </c>
      <c r="E26" s="52">
        <f>'เย็น  '!E26+เช้า!E26+บ่าย!E26</f>
        <v>0</v>
      </c>
      <c r="F26" s="52">
        <f>'เย็น  '!F26+เช้า!F26+บ่าย!F26</f>
        <v>0</v>
      </c>
      <c r="G26" s="52">
        <f>'เย็น  '!G26+เช้า!G26+บ่าย!G26</f>
        <v>2</v>
      </c>
      <c r="H26" s="52">
        <f>'เย็น  '!H26+เช้า!H26+บ่าย!H26</f>
        <v>2</v>
      </c>
      <c r="I26" s="52">
        <f>'เย็น  '!I26+เช้า!I26+บ่าย!I26</f>
        <v>0</v>
      </c>
      <c r="J26" s="52">
        <f>'เย็น  '!J26+เช้า!J26+บ่าย!J26</f>
        <v>0</v>
      </c>
      <c r="K26" s="52">
        <f>'เย็น  '!K26+เช้า!K26+บ่าย!K26</f>
        <v>0</v>
      </c>
      <c r="L26" s="33">
        <f t="shared" si="0"/>
        <v>4</v>
      </c>
      <c r="M26" s="11">
        <v>11</v>
      </c>
      <c r="N26" s="11"/>
      <c r="O26" s="11"/>
      <c r="P26" s="11"/>
      <c r="Q26" s="11"/>
      <c r="R26" s="43">
        <f t="shared" si="1"/>
        <v>7</v>
      </c>
    </row>
    <row r="27" spans="2:18" x14ac:dyDescent="0.25">
      <c r="B27" s="11">
        <v>1111075</v>
      </c>
      <c r="C27" s="15" t="s">
        <v>28</v>
      </c>
      <c r="D27" s="52">
        <f>'เย็น  '!D27+เช้า!D27+บ่าย!D27</f>
        <v>0</v>
      </c>
      <c r="E27" s="52">
        <f>'เย็น  '!E27+เช้า!E27+บ่าย!E27</f>
        <v>0</v>
      </c>
      <c r="F27" s="52">
        <f>'เย็น  '!F27+เช้า!F27+บ่าย!F27</f>
        <v>0</v>
      </c>
      <c r="G27" s="52">
        <f>'เย็น  '!G27+เช้า!G27+บ่าย!G27</f>
        <v>1</v>
      </c>
      <c r="H27" s="52">
        <f>'เย็น  '!H27+เช้า!H27+บ่าย!H27</f>
        <v>2</v>
      </c>
      <c r="I27" s="52">
        <f>'เย็น  '!I27+เช้า!I27+บ่าย!I27</f>
        <v>0</v>
      </c>
      <c r="J27" s="52">
        <f>'เย็น  '!J27+เช้า!J27+บ่าย!J27</f>
        <v>0</v>
      </c>
      <c r="K27" s="52">
        <f>'เย็น  '!K27+เช้า!K27+บ่าย!K27</f>
        <v>0</v>
      </c>
      <c r="L27" s="33">
        <f t="shared" si="0"/>
        <v>3</v>
      </c>
      <c r="M27" s="11"/>
      <c r="N27" s="11"/>
      <c r="O27" s="11"/>
      <c r="P27" s="11"/>
      <c r="Q27" s="11"/>
      <c r="R27" s="43">
        <f t="shared" si="1"/>
        <v>-3</v>
      </c>
    </row>
    <row r="28" spans="2:18" x14ac:dyDescent="0.25">
      <c r="B28" s="11">
        <v>1111076</v>
      </c>
      <c r="C28" s="15" t="s">
        <v>29</v>
      </c>
      <c r="D28" s="52">
        <f>'เย็น  '!D28+เช้า!D28+บ่าย!D28</f>
        <v>0</v>
      </c>
      <c r="E28" s="52">
        <f>'เย็น  '!E28+เช้า!E28+บ่าย!E28</f>
        <v>0</v>
      </c>
      <c r="F28" s="52">
        <f>'เย็น  '!F28+เช้า!F28+บ่าย!F28</f>
        <v>0</v>
      </c>
      <c r="G28" s="52">
        <f>'เย็น  '!G28+เช้า!G28+บ่าย!G28</f>
        <v>1</v>
      </c>
      <c r="H28" s="52">
        <f>'เย็น  '!H28+เช้า!H28+บ่าย!H28</f>
        <v>2</v>
      </c>
      <c r="I28" s="52">
        <f>'เย็น  '!I28+เช้า!I28+บ่าย!I28</f>
        <v>0</v>
      </c>
      <c r="J28" s="52">
        <f>'เย็น  '!J28+เช้า!J28+บ่าย!J28</f>
        <v>0</v>
      </c>
      <c r="K28" s="52">
        <f>'เย็น  '!K28+เช้า!K28+บ่าย!K28</f>
        <v>0</v>
      </c>
      <c r="L28" s="33">
        <f t="shared" si="0"/>
        <v>3</v>
      </c>
      <c r="M28" s="11">
        <v>2</v>
      </c>
      <c r="N28" s="11"/>
      <c r="O28" s="11"/>
      <c r="P28" s="11"/>
      <c r="Q28" s="11"/>
      <c r="R28" s="43">
        <f t="shared" si="1"/>
        <v>-1</v>
      </c>
    </row>
    <row r="29" spans="2:18" x14ac:dyDescent="0.25">
      <c r="B29" s="11">
        <v>1111077</v>
      </c>
      <c r="C29" s="15" t="s">
        <v>30</v>
      </c>
      <c r="D29" s="52">
        <f>'เย็น  '!D29+เช้า!D29+บ่าย!D29</f>
        <v>0</v>
      </c>
      <c r="E29" s="52">
        <f>'เย็น  '!E29+เช้า!E29+บ่าย!E29</f>
        <v>0</v>
      </c>
      <c r="F29" s="52">
        <f>'เย็น  '!F29+เช้า!F29+บ่าย!F29</f>
        <v>0</v>
      </c>
      <c r="G29" s="52">
        <f>'เย็น  '!G29+เช้า!G29+บ่าย!G29</f>
        <v>1</v>
      </c>
      <c r="H29" s="52">
        <f>'เย็น  '!H29+เช้า!H29+บ่าย!H29</f>
        <v>2</v>
      </c>
      <c r="I29" s="52">
        <f>'เย็น  '!I29+เช้า!I29+บ่าย!I29</f>
        <v>0</v>
      </c>
      <c r="J29" s="52">
        <f>'เย็น  '!J29+เช้า!J29+บ่าย!J29</f>
        <v>0</v>
      </c>
      <c r="K29" s="52">
        <f>'เย็น  '!K29+เช้า!K29+บ่าย!K29</f>
        <v>0</v>
      </c>
      <c r="L29" s="33">
        <f t="shared" si="0"/>
        <v>3</v>
      </c>
      <c r="M29" s="11"/>
      <c r="N29" s="11"/>
      <c r="O29" s="11"/>
      <c r="P29" s="11"/>
      <c r="Q29" s="11"/>
      <c r="R29" s="43">
        <f t="shared" si="1"/>
        <v>-3</v>
      </c>
    </row>
    <row r="30" spans="2:18" x14ac:dyDescent="0.25">
      <c r="B30" s="11">
        <v>1111078</v>
      </c>
      <c r="C30" s="15" t="s">
        <v>31</v>
      </c>
      <c r="D30" s="52">
        <f>'เย็น  '!D30+เช้า!D30+บ่าย!D30</f>
        <v>0</v>
      </c>
      <c r="E30" s="52">
        <f>'เย็น  '!E30+เช้า!E30+บ่าย!E30</f>
        <v>0</v>
      </c>
      <c r="F30" s="52">
        <f>'เย็น  '!F30+เช้า!F30+บ่าย!F30</f>
        <v>0</v>
      </c>
      <c r="G30" s="52">
        <f>'เย็น  '!G30+เช้า!G30+บ่าย!G30</f>
        <v>1</v>
      </c>
      <c r="H30" s="52">
        <f>'เย็น  '!H30+เช้า!H30+บ่าย!H30</f>
        <v>2</v>
      </c>
      <c r="I30" s="52">
        <f>'เย็น  '!I30+เช้า!I30+บ่าย!I30</f>
        <v>0</v>
      </c>
      <c r="J30" s="52">
        <f>'เย็น  '!J30+เช้า!J30+บ่าย!J30</f>
        <v>0</v>
      </c>
      <c r="K30" s="52">
        <f>'เย็น  '!K30+เช้า!K30+บ่าย!K30</f>
        <v>0</v>
      </c>
      <c r="L30" s="33">
        <f t="shared" si="0"/>
        <v>3</v>
      </c>
      <c r="M30" s="11">
        <v>4</v>
      </c>
      <c r="N30" s="11"/>
      <c r="O30" s="11"/>
      <c r="P30" s="11"/>
      <c r="Q30" s="11"/>
      <c r="R30" s="43">
        <f t="shared" si="1"/>
        <v>1</v>
      </c>
    </row>
    <row r="31" spans="2:18" x14ac:dyDescent="0.25">
      <c r="B31" s="11">
        <v>1111079</v>
      </c>
      <c r="C31" s="15" t="s">
        <v>32</v>
      </c>
      <c r="D31" s="52">
        <f>'เย็น  '!D31+เช้า!D31+บ่าย!D31</f>
        <v>0</v>
      </c>
      <c r="E31" s="52">
        <f>'เย็น  '!E31+เช้า!E31+บ่าย!E31</f>
        <v>0</v>
      </c>
      <c r="F31" s="52">
        <f>'เย็น  '!F31+เช้า!F31+บ่าย!F31</f>
        <v>0</v>
      </c>
      <c r="G31" s="52">
        <f>'เย็น  '!G31+เช้า!G31+บ่าย!G31</f>
        <v>1</v>
      </c>
      <c r="H31" s="52">
        <f>'เย็น  '!H31+เช้า!H31+บ่าย!H31</f>
        <v>1</v>
      </c>
      <c r="I31" s="52">
        <f>'เย็น  '!I31+เช้า!I31+บ่าย!I31</f>
        <v>0</v>
      </c>
      <c r="J31" s="52">
        <f>'เย็น  '!J31+เช้า!J31+บ่าย!J31</f>
        <v>0</v>
      </c>
      <c r="K31" s="52">
        <f>'เย็น  '!K31+เช้า!K31+บ่าย!K31</f>
        <v>0</v>
      </c>
      <c r="L31" s="33">
        <f t="shared" si="0"/>
        <v>2</v>
      </c>
      <c r="M31" s="11">
        <v>10</v>
      </c>
      <c r="N31" s="11"/>
      <c r="O31" s="11"/>
      <c r="P31" s="11"/>
      <c r="Q31" s="11"/>
      <c r="R31" s="43">
        <f t="shared" si="1"/>
        <v>8</v>
      </c>
    </row>
    <row r="32" spans="2:18" x14ac:dyDescent="0.25">
      <c r="B32" s="11">
        <v>1111080</v>
      </c>
      <c r="C32" s="15" t="s">
        <v>33</v>
      </c>
      <c r="D32" s="52">
        <f>'เย็น  '!D32+เช้า!D32+บ่าย!D32</f>
        <v>0</v>
      </c>
      <c r="E32" s="52">
        <f>'เย็น  '!E32+เช้า!E32+บ่าย!E32</f>
        <v>0</v>
      </c>
      <c r="F32" s="52">
        <f>'เย็น  '!F32+เช้า!F32+บ่าย!F32</f>
        <v>0</v>
      </c>
      <c r="G32" s="52">
        <f>'เย็น  '!G32+เช้า!G32+บ่าย!G32</f>
        <v>1</v>
      </c>
      <c r="H32" s="52">
        <f>'เย็น  '!H32+เช้า!H32+บ่าย!H32</f>
        <v>1</v>
      </c>
      <c r="I32" s="52">
        <f>'เย็น  '!I32+เช้า!I32+บ่าย!I32</f>
        <v>0</v>
      </c>
      <c r="J32" s="52">
        <f>'เย็น  '!J32+เช้า!J32+บ่าย!J32</f>
        <v>0</v>
      </c>
      <c r="K32" s="52">
        <f>'เย็น  '!K32+เช้า!K32+บ่าย!K32</f>
        <v>0</v>
      </c>
      <c r="L32" s="33">
        <f t="shared" si="0"/>
        <v>2</v>
      </c>
      <c r="M32" s="11">
        <v>2</v>
      </c>
      <c r="N32" s="11"/>
      <c r="O32" s="11"/>
      <c r="P32" s="11"/>
      <c r="Q32" s="11"/>
      <c r="R32" s="43">
        <f t="shared" si="1"/>
        <v>0</v>
      </c>
    </row>
    <row r="33" spans="2:22" x14ac:dyDescent="0.25">
      <c r="B33" s="11">
        <v>1111081</v>
      </c>
      <c r="C33" s="15" t="s">
        <v>34</v>
      </c>
      <c r="D33" s="52">
        <f>'เย็น  '!D33+เช้า!D33+บ่าย!D33</f>
        <v>0</v>
      </c>
      <c r="E33" s="52">
        <f>'เย็น  '!E33+เช้า!E33+บ่าย!E33</f>
        <v>0</v>
      </c>
      <c r="F33" s="52">
        <f>'เย็น  '!F33+เช้า!F33+บ่าย!F33</f>
        <v>0</v>
      </c>
      <c r="G33" s="52">
        <f>'เย็น  '!G33+เช้า!G33+บ่าย!G33</f>
        <v>0</v>
      </c>
      <c r="H33" s="52">
        <f>'เย็น  '!H33+เช้า!H33+บ่าย!H33</f>
        <v>1</v>
      </c>
      <c r="I33" s="52">
        <f>'เย็น  '!I33+เช้า!I33+บ่าย!I33</f>
        <v>0</v>
      </c>
      <c r="J33" s="52">
        <f>'เย็น  '!J33+เช้า!J33+บ่าย!J33</f>
        <v>0</v>
      </c>
      <c r="K33" s="52">
        <f>'เย็น  '!K33+เช้า!K33+บ่าย!K33</f>
        <v>0</v>
      </c>
      <c r="L33" s="33">
        <f t="shared" si="0"/>
        <v>1</v>
      </c>
      <c r="M33" s="11">
        <v>10</v>
      </c>
      <c r="N33" s="11"/>
      <c r="O33" s="11"/>
      <c r="P33" s="11"/>
      <c r="Q33" s="11"/>
      <c r="R33" s="43">
        <f t="shared" si="1"/>
        <v>9</v>
      </c>
    </row>
    <row r="34" spans="2:22" x14ac:dyDescent="0.25">
      <c r="B34" s="11">
        <v>1111082</v>
      </c>
      <c r="C34" s="15" t="s">
        <v>35</v>
      </c>
      <c r="D34" s="52">
        <f>'เย็น  '!D34+เช้า!D34+บ่าย!D34</f>
        <v>0</v>
      </c>
      <c r="E34" s="52">
        <f>'เย็น  '!E34+เช้า!E34+บ่าย!E34</f>
        <v>0</v>
      </c>
      <c r="F34" s="52">
        <f>'เย็น  '!F34+เช้า!F34+บ่าย!F34</f>
        <v>0</v>
      </c>
      <c r="G34" s="52">
        <f>'เย็น  '!G34+เช้า!G34+บ่าย!G34</f>
        <v>0</v>
      </c>
      <c r="H34" s="52">
        <f>'เย็น  '!H34+เช้า!H34+บ่าย!H34</f>
        <v>1</v>
      </c>
      <c r="I34" s="52">
        <f>'เย็น  '!I34+เช้า!I34+บ่าย!I34</f>
        <v>0</v>
      </c>
      <c r="J34" s="52">
        <f>'เย็น  '!J34+เช้า!J34+บ่าย!J34</f>
        <v>0</v>
      </c>
      <c r="K34" s="52">
        <f>'เย็น  '!K34+เช้า!K34+บ่าย!K34</f>
        <v>0</v>
      </c>
      <c r="L34" s="33">
        <f t="shared" si="0"/>
        <v>1</v>
      </c>
      <c r="M34" s="11">
        <v>10</v>
      </c>
      <c r="N34" s="11"/>
      <c r="O34" s="11"/>
      <c r="P34" s="11"/>
      <c r="Q34" s="11"/>
      <c r="R34" s="43">
        <f t="shared" si="1"/>
        <v>9</v>
      </c>
    </row>
    <row r="35" spans="2:22" x14ac:dyDescent="0.25">
      <c r="B35" s="11">
        <v>1111083</v>
      </c>
      <c r="C35" s="15" t="s">
        <v>36</v>
      </c>
      <c r="D35" s="52">
        <f>'เย็น  '!D35+เช้า!D35+บ่าย!D35</f>
        <v>0</v>
      </c>
      <c r="E35" s="52">
        <f>'เย็น  '!E35+เช้า!E35+บ่าย!E35</f>
        <v>0</v>
      </c>
      <c r="F35" s="52">
        <f>'เย็น  '!F35+เช้า!F35+บ่าย!F35</f>
        <v>0</v>
      </c>
      <c r="G35" s="52">
        <f>'เย็น  '!G35+เช้า!G35+บ่าย!G35</f>
        <v>0</v>
      </c>
      <c r="H35" s="52">
        <f>'เย็น  '!H35+เช้า!H35+บ่าย!H35</f>
        <v>1</v>
      </c>
      <c r="I35" s="52">
        <f>'เย็น  '!I35+เช้า!I35+บ่าย!I35</f>
        <v>0</v>
      </c>
      <c r="J35" s="52">
        <f>'เย็น  '!J35+เช้า!J35+บ่าย!J35</f>
        <v>0</v>
      </c>
      <c r="K35" s="52">
        <f>'เย็น  '!K35+เช้า!K35+บ่าย!K35</f>
        <v>0</v>
      </c>
      <c r="L35" s="33">
        <f t="shared" si="0"/>
        <v>1</v>
      </c>
      <c r="M35" s="11">
        <v>10</v>
      </c>
      <c r="N35" s="11"/>
      <c r="O35" s="11"/>
      <c r="P35" s="11"/>
      <c r="Q35" s="11"/>
      <c r="R35" s="43">
        <f t="shared" si="1"/>
        <v>9</v>
      </c>
    </row>
    <row r="36" spans="2:22" ht="19.5" x14ac:dyDescent="0.25">
      <c r="B36" s="73" t="s">
        <v>37</v>
      </c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5"/>
    </row>
    <row r="37" spans="2:22" x14ac:dyDescent="0.25">
      <c r="B37" s="11">
        <v>1111009</v>
      </c>
      <c r="C37" s="17" t="s">
        <v>38</v>
      </c>
      <c r="D37" s="27">
        <f>'เย็น  '!D37+เช้า!D37+บ่าย!D37</f>
        <v>0</v>
      </c>
      <c r="E37" s="27">
        <f>'เย็น  '!E37+เช้า!E37+บ่าย!E37</f>
        <v>3</v>
      </c>
      <c r="F37" s="27">
        <f>'เย็น  '!F37+เช้า!F37+บ่าย!F37</f>
        <v>10</v>
      </c>
      <c r="G37" s="27">
        <f>'เย็น  '!G37+เช้า!G37+บ่าย!G37</f>
        <v>9</v>
      </c>
      <c r="H37" s="27">
        <f>'เย็น  '!H37+เช้า!H37+บ่าย!H37</f>
        <v>0</v>
      </c>
      <c r="I37" s="27">
        <f>'เย็น  '!I37+เช้า!I37+บ่าย!I37</f>
        <v>0</v>
      </c>
      <c r="J37" s="27">
        <f>'เย็น  '!J37+เช้า!J37+บ่าย!J37</f>
        <v>0</v>
      </c>
      <c r="K37" s="27">
        <f>'เย็น  '!K37+เช้า!K37+บ่าย!K37</f>
        <v>0</v>
      </c>
      <c r="L37" s="33">
        <f>SUM(D37:K37)</f>
        <v>22</v>
      </c>
      <c r="M37" s="11">
        <v>19</v>
      </c>
      <c r="N37" s="11"/>
      <c r="O37" s="11"/>
      <c r="P37" s="11"/>
      <c r="Q37" s="11"/>
      <c r="R37" s="43">
        <f t="shared" si="1"/>
        <v>-3</v>
      </c>
    </row>
    <row r="38" spans="2:22" x14ac:dyDescent="0.25">
      <c r="B38" s="12">
        <v>1111020</v>
      </c>
      <c r="C38" s="49" t="s">
        <v>99</v>
      </c>
      <c r="D38" s="27">
        <f>'เย็น  '!D38+เช้า!D38+บ่าย!D38</f>
        <v>0</v>
      </c>
      <c r="E38" s="27">
        <f>'เย็น  '!E38+เช้า!E38+บ่าย!E38</f>
        <v>0</v>
      </c>
      <c r="F38" s="27">
        <f>'เย็น  '!F38+เช้า!F38+บ่าย!F38</f>
        <v>0</v>
      </c>
      <c r="G38" s="27">
        <f>'เย็น  '!G38+เช้า!G38+บ่าย!G38</f>
        <v>0</v>
      </c>
      <c r="H38" s="27">
        <f>'เย็น  '!H38+เช้า!H38+บ่าย!H38</f>
        <v>0</v>
      </c>
      <c r="I38" s="27">
        <f>'เย็น  '!I38+เช้า!I38+บ่าย!I38</f>
        <v>0</v>
      </c>
      <c r="J38" s="27">
        <f>'เย็น  '!J38+เช้า!J38+บ่าย!J38</f>
        <v>0</v>
      </c>
      <c r="K38" s="27">
        <f>'เย็น  '!K38+เช้า!K38+บ่าย!K38</f>
        <v>0</v>
      </c>
      <c r="L38" s="33">
        <f>SUM(D38:K38)</f>
        <v>0</v>
      </c>
      <c r="M38" s="11"/>
      <c r="N38" s="11"/>
      <c r="O38" s="11"/>
      <c r="P38" s="11"/>
      <c r="Q38" s="11"/>
      <c r="R38" s="43">
        <f t="shared" si="1"/>
        <v>0</v>
      </c>
    </row>
    <row r="39" spans="2:22" ht="19.5" x14ac:dyDescent="0.25">
      <c r="B39" s="73" t="s">
        <v>39</v>
      </c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5"/>
    </row>
    <row r="40" spans="2:22" x14ac:dyDescent="0.2">
      <c r="B40" s="11">
        <v>1111008</v>
      </c>
      <c r="C40" s="17" t="s">
        <v>40</v>
      </c>
      <c r="D40" s="52">
        <f>'เย็น  '!D40+เช้า!D40+บ่าย!D40</f>
        <v>6</v>
      </c>
      <c r="E40" s="52">
        <f>'เย็น  '!E40+เช้า!E40+บ่าย!E40</f>
        <v>3</v>
      </c>
      <c r="F40" s="52">
        <f>'เย็น  '!F40+เช้า!F40+บ่าย!F40</f>
        <v>0</v>
      </c>
      <c r="G40" s="52">
        <f>'เย็น  '!G40+เช้า!G40+บ่าย!G40</f>
        <v>59</v>
      </c>
      <c r="H40" s="52">
        <f>'เย็น  '!H40+เช้า!H40+บ่าย!H40</f>
        <v>34</v>
      </c>
      <c r="I40" s="52">
        <f>'เย็น  '!I40+เช้า!I40+บ่าย!I40</f>
        <v>0</v>
      </c>
      <c r="J40" s="52">
        <f>'เย็น  '!J40+เช้า!J40+บ่าย!J40</f>
        <v>0</v>
      </c>
      <c r="K40" s="52">
        <f>'เย็น  '!K40+เช้า!K40+บ่าย!K40</f>
        <v>0</v>
      </c>
      <c r="L40" s="38">
        <f>SUM(D40:K40)</f>
        <v>102</v>
      </c>
      <c r="M40" s="11">
        <v>100</v>
      </c>
      <c r="N40" s="11"/>
      <c r="O40" s="11"/>
      <c r="P40" s="11"/>
      <c r="Q40" s="11"/>
      <c r="R40" s="43">
        <f t="shared" si="1"/>
        <v>-2</v>
      </c>
      <c r="V40"/>
    </row>
    <row r="41" spans="2:22" x14ac:dyDescent="0.2">
      <c r="B41" s="11">
        <v>1111017</v>
      </c>
      <c r="C41" s="17" t="s">
        <v>87</v>
      </c>
      <c r="D41" s="52">
        <f>'เย็น  '!D41+เช้า!D41+บ่าย!D41</f>
        <v>0</v>
      </c>
      <c r="E41" s="52">
        <f>'เย็น  '!E41+เช้า!E41+บ่าย!E41</f>
        <v>0</v>
      </c>
      <c r="F41" s="52">
        <f>'เย็น  '!F41+เช้า!F41+บ่าย!F41</f>
        <v>0</v>
      </c>
      <c r="G41" s="52">
        <f>'เย็น  '!G41+เช้า!G41+บ่าย!G41</f>
        <v>0</v>
      </c>
      <c r="H41" s="52">
        <f>'เย็น  '!H41+เช้า!H41+บ่าย!H41</f>
        <v>0</v>
      </c>
      <c r="I41" s="52">
        <f>'เย็น  '!I41+เช้า!I41+บ่าย!I41</f>
        <v>0</v>
      </c>
      <c r="J41" s="52">
        <f>'เย็น  '!J41+เช้า!J41+บ่าย!J41</f>
        <v>0</v>
      </c>
      <c r="K41" s="52">
        <f>'เย็น  '!K41+เช้า!K41+บ่าย!K41</f>
        <v>0</v>
      </c>
      <c r="L41" s="38">
        <f t="shared" ref="L41:L44" si="2">SUM(D41:K41)</f>
        <v>0</v>
      </c>
      <c r="M41" s="11"/>
      <c r="N41" s="11"/>
      <c r="O41" s="11"/>
      <c r="P41" s="11"/>
      <c r="Q41" s="11"/>
      <c r="R41" s="43">
        <f t="shared" si="1"/>
        <v>0</v>
      </c>
      <c r="V41"/>
    </row>
    <row r="42" spans="2:22" x14ac:dyDescent="0.2">
      <c r="B42" s="11">
        <v>1111019</v>
      </c>
      <c r="C42" s="17" t="s">
        <v>94</v>
      </c>
      <c r="D42" s="52">
        <f>'เย็น  '!D42+เช้า!D42+บ่าย!D42</f>
        <v>0</v>
      </c>
      <c r="E42" s="52">
        <f>'เย็น  '!E42+เช้า!E42+บ่าย!E42</f>
        <v>0</v>
      </c>
      <c r="F42" s="52">
        <f>'เย็น  '!F42+เช้า!F42+บ่าย!F42</f>
        <v>0</v>
      </c>
      <c r="G42" s="52">
        <f>'เย็น  '!G42+เช้า!G42+บ่าย!G42</f>
        <v>0</v>
      </c>
      <c r="H42" s="52">
        <f>'เย็น  '!H42+เช้า!H42+บ่าย!H42</f>
        <v>0</v>
      </c>
      <c r="I42" s="52">
        <f>'เย็น  '!I42+เช้า!I42+บ่าย!I42</f>
        <v>0</v>
      </c>
      <c r="J42" s="52">
        <f>'เย็น  '!J42+เช้า!J42+บ่าย!J42</f>
        <v>0</v>
      </c>
      <c r="K42" s="52">
        <f>'เย็น  '!K42+เช้า!K42+บ่าย!K42</f>
        <v>0</v>
      </c>
      <c r="L42" s="38">
        <f t="shared" si="2"/>
        <v>0</v>
      </c>
      <c r="M42" s="11"/>
      <c r="N42" s="11"/>
      <c r="O42" s="11"/>
      <c r="P42" s="11"/>
      <c r="Q42" s="11"/>
      <c r="R42" s="43">
        <f t="shared" si="1"/>
        <v>0</v>
      </c>
      <c r="V42"/>
    </row>
    <row r="43" spans="2:22" x14ac:dyDescent="0.2">
      <c r="B43" s="11">
        <v>1111022</v>
      </c>
      <c r="C43" s="17" t="s">
        <v>88</v>
      </c>
      <c r="D43" s="52">
        <f>'เย็น  '!D43+เช้า!D43+บ่าย!D43</f>
        <v>0</v>
      </c>
      <c r="E43" s="52">
        <f>'เย็น  '!E43+เช้า!E43+บ่าย!E43</f>
        <v>0</v>
      </c>
      <c r="F43" s="52">
        <f>'เย็น  '!F43+เช้า!F43+บ่าย!F43</f>
        <v>0</v>
      </c>
      <c r="G43" s="52">
        <f>'เย็น  '!G43+เช้า!G43+บ่าย!G43</f>
        <v>0</v>
      </c>
      <c r="H43" s="52">
        <f>'เย็น  '!H43+เช้า!H43+บ่าย!H43</f>
        <v>0</v>
      </c>
      <c r="I43" s="52">
        <f>'เย็น  '!I43+เช้า!I43+บ่าย!I43</f>
        <v>0</v>
      </c>
      <c r="J43" s="52">
        <f>'เย็น  '!J43+เช้า!J43+บ่าย!J43</f>
        <v>0</v>
      </c>
      <c r="K43" s="52">
        <f>'เย็น  '!K43+เช้า!K43+บ่าย!K43</f>
        <v>0</v>
      </c>
      <c r="L43" s="38">
        <f t="shared" si="2"/>
        <v>0</v>
      </c>
      <c r="M43" s="11"/>
      <c r="N43" s="11"/>
      <c r="O43" s="11"/>
      <c r="P43" s="11"/>
      <c r="Q43" s="11"/>
      <c r="R43" s="43">
        <f t="shared" si="1"/>
        <v>0</v>
      </c>
      <c r="V43"/>
    </row>
    <row r="44" spans="2:22" x14ac:dyDescent="0.2">
      <c r="B44" s="11">
        <v>1111024</v>
      </c>
      <c r="C44" s="17" t="s">
        <v>95</v>
      </c>
      <c r="D44" s="52">
        <f>'เย็น  '!D44+เช้า!D44+บ่าย!D44</f>
        <v>0</v>
      </c>
      <c r="E44" s="52">
        <f>'เย็น  '!E44+เช้า!E44+บ่าย!E44</f>
        <v>0</v>
      </c>
      <c r="F44" s="52">
        <f>'เย็น  '!F44+เช้า!F44+บ่าย!F44</f>
        <v>0</v>
      </c>
      <c r="G44" s="52">
        <f>'เย็น  '!G44+เช้า!G44+บ่าย!G44</f>
        <v>0</v>
      </c>
      <c r="H44" s="52">
        <f>'เย็น  '!H44+เช้า!H44+บ่าย!H44</f>
        <v>0</v>
      </c>
      <c r="I44" s="52">
        <f>'เย็น  '!I44+เช้า!I44+บ่าย!I44</f>
        <v>0</v>
      </c>
      <c r="J44" s="52">
        <f>'เย็น  '!J44+เช้า!J44+บ่าย!J44</f>
        <v>0</v>
      </c>
      <c r="K44" s="52">
        <f>'เย็น  '!K44+เช้า!K44+บ่าย!K44</f>
        <v>0</v>
      </c>
      <c r="L44" s="38">
        <f t="shared" si="2"/>
        <v>0</v>
      </c>
      <c r="M44" s="11"/>
      <c r="N44" s="11"/>
      <c r="O44" s="11"/>
      <c r="P44" s="11"/>
      <c r="Q44" s="11"/>
      <c r="R44" s="43">
        <f t="shared" si="1"/>
        <v>0</v>
      </c>
      <c r="V44"/>
    </row>
    <row r="45" spans="2:22" ht="19.5" x14ac:dyDescent="0.2">
      <c r="B45" s="73" t="s">
        <v>41</v>
      </c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5"/>
      <c r="V45"/>
    </row>
    <row r="46" spans="2:22" x14ac:dyDescent="0.25">
      <c r="B46" s="11">
        <v>1112009</v>
      </c>
      <c r="C46" s="17" t="s">
        <v>42</v>
      </c>
      <c r="D46" s="52">
        <f>'เย็น  '!D46+เช้า!D46+บ่าย!D46</f>
        <v>8</v>
      </c>
      <c r="E46" s="52">
        <f>'เย็น  '!E46+เช้า!E46+บ่าย!E46</f>
        <v>7</v>
      </c>
      <c r="F46" s="52">
        <f>'เย็น  '!F46+เช้า!F46+บ่าย!F46</f>
        <v>1</v>
      </c>
      <c r="G46" s="52">
        <f>'เย็น  '!G46+เช้า!G46+บ่าย!G46</f>
        <v>51</v>
      </c>
      <c r="H46" s="52">
        <f>'เย็น  '!H46+เช้า!H46+บ่าย!H46</f>
        <v>32</v>
      </c>
      <c r="I46" s="52">
        <f>'เย็น  '!I46+เช้า!I46+บ่าย!I46</f>
        <v>0</v>
      </c>
      <c r="J46" s="52">
        <f>'เย็น  '!J46+เช้า!J46+บ่าย!J46</f>
        <v>0</v>
      </c>
      <c r="K46" s="52">
        <f>'เย็น  '!K46+เช้า!K46+บ่าย!K46</f>
        <v>7</v>
      </c>
      <c r="L46" s="33">
        <f>SUM(D46:K46)</f>
        <v>106</v>
      </c>
      <c r="M46" s="11">
        <v>60</v>
      </c>
      <c r="N46" s="11"/>
      <c r="O46" s="11"/>
      <c r="P46" s="11"/>
      <c r="Q46" s="11"/>
      <c r="R46" s="43">
        <f t="shared" si="1"/>
        <v>-46</v>
      </c>
      <c r="T46" s="50"/>
      <c r="V46"/>
    </row>
    <row r="47" spans="2:22" x14ac:dyDescent="0.2">
      <c r="B47" s="11">
        <v>1112011</v>
      </c>
      <c r="C47" s="17" t="s">
        <v>43</v>
      </c>
      <c r="D47" s="52">
        <f>'เย็น  '!D47+เช้า!D47+บ่าย!D47</f>
        <v>12</v>
      </c>
      <c r="E47" s="52">
        <f>'เย็น  '!E47+เช้า!E47+บ่าย!E47</f>
        <v>7</v>
      </c>
      <c r="F47" s="52">
        <f>'เย็น  '!F47+เช้า!F47+บ่าย!F47</f>
        <v>0</v>
      </c>
      <c r="G47" s="52">
        <f>'เย็น  '!G47+เช้า!G47+บ่าย!G47</f>
        <v>51</v>
      </c>
      <c r="H47" s="52">
        <f>'เย็น  '!H47+เช้า!H47+บ่าย!H47</f>
        <v>32</v>
      </c>
      <c r="I47" s="52">
        <f>'เย็น  '!I47+เช้า!I47+บ่าย!I47</f>
        <v>0</v>
      </c>
      <c r="J47" s="52">
        <f>'เย็น  '!J47+เช้า!J47+บ่าย!J47</f>
        <v>0</v>
      </c>
      <c r="K47" s="52">
        <f>'เย็น  '!K47+เช้า!K47+บ่าย!K47</f>
        <v>7</v>
      </c>
      <c r="L47" s="33">
        <f t="shared" ref="L47:L55" si="3">SUM(D47:K47)</f>
        <v>109</v>
      </c>
      <c r="M47" s="11">
        <v>47</v>
      </c>
      <c r="N47" s="11"/>
      <c r="O47" s="11"/>
      <c r="P47" s="11"/>
      <c r="Q47" s="11"/>
      <c r="R47" s="43">
        <f t="shared" si="1"/>
        <v>-62</v>
      </c>
      <c r="V47"/>
    </row>
    <row r="48" spans="2:22" x14ac:dyDescent="0.2">
      <c r="B48" s="11">
        <v>1112003</v>
      </c>
      <c r="C48" s="17" t="s">
        <v>44</v>
      </c>
      <c r="D48" s="52">
        <f>'เย็น  '!D48+เช้า!D48+บ่าย!D48</f>
        <v>9</v>
      </c>
      <c r="E48" s="52">
        <f>'เย็น  '!E48+เช้า!E48+บ่าย!E48</f>
        <v>0</v>
      </c>
      <c r="F48" s="52">
        <f>'เย็น  '!F48+เช้า!F48+บ่าย!F48</f>
        <v>0</v>
      </c>
      <c r="G48" s="52">
        <f>'เย็น  '!G48+เช้า!G48+บ่าย!G48</f>
        <v>42</v>
      </c>
      <c r="H48" s="52">
        <f>'เย็น  '!H48+เช้า!H48+บ่าย!H48</f>
        <v>10</v>
      </c>
      <c r="I48" s="52">
        <f>'เย็น  '!I48+เช้า!I48+บ่าย!I48</f>
        <v>0</v>
      </c>
      <c r="J48" s="52">
        <f>'เย็น  '!J48+เช้า!J48+บ่าย!J48</f>
        <v>0</v>
      </c>
      <c r="K48" s="52">
        <f>'เย็น  '!K48+เช้า!K48+บ่าย!K48</f>
        <v>0</v>
      </c>
      <c r="L48" s="33">
        <f t="shared" si="3"/>
        <v>61</v>
      </c>
      <c r="M48" s="11">
        <v>58</v>
      </c>
      <c r="N48" s="11"/>
      <c r="O48" s="11"/>
      <c r="P48" s="11"/>
      <c r="Q48" s="11"/>
      <c r="R48" s="43">
        <f t="shared" si="1"/>
        <v>-3</v>
      </c>
      <c r="V48"/>
    </row>
    <row r="49" spans="2:22" x14ac:dyDescent="0.2">
      <c r="B49" s="11">
        <v>1112005</v>
      </c>
      <c r="C49" s="17" t="s">
        <v>45</v>
      </c>
      <c r="D49" s="52">
        <f>'เย็น  '!D49+เช้า!D49+บ่าย!D49</f>
        <v>11</v>
      </c>
      <c r="E49" s="52">
        <f>'เย็น  '!E49+เช้า!E49+บ่าย!E49</f>
        <v>0</v>
      </c>
      <c r="F49" s="52">
        <f>'เย็น  '!F49+เช้า!F49+บ่าย!F49</f>
        <v>0</v>
      </c>
      <c r="G49" s="52">
        <f>'เย็น  '!G49+เช้า!G49+บ่าย!G49</f>
        <v>5</v>
      </c>
      <c r="H49" s="52">
        <f>'เย็น  '!H49+เช้า!H49+บ่าย!H49</f>
        <v>1</v>
      </c>
      <c r="I49" s="52">
        <f>'เย็น  '!I49+เช้า!I49+บ่าย!I49</f>
        <v>0</v>
      </c>
      <c r="J49" s="52">
        <f>'เย็น  '!J49+เช้า!J49+บ่าย!J49</f>
        <v>0</v>
      </c>
      <c r="K49" s="52">
        <f>'เย็น  '!K49+เช้า!K49+บ่าย!K49</f>
        <v>0</v>
      </c>
      <c r="L49" s="33">
        <f t="shared" si="3"/>
        <v>17</v>
      </c>
      <c r="M49" s="11">
        <v>77</v>
      </c>
      <c r="N49" s="11"/>
      <c r="O49" s="11"/>
      <c r="P49" s="11"/>
      <c r="Q49" s="11"/>
      <c r="R49" s="43">
        <f t="shared" si="1"/>
        <v>60</v>
      </c>
      <c r="V49"/>
    </row>
    <row r="50" spans="2:22" x14ac:dyDescent="0.2">
      <c r="B50" s="11">
        <v>1112007</v>
      </c>
      <c r="C50" s="17" t="s">
        <v>46</v>
      </c>
      <c r="D50" s="52">
        <f>'เย็น  '!D50+เช้า!D50+บ่าย!D50</f>
        <v>0</v>
      </c>
      <c r="E50" s="52">
        <f>'เย็น  '!E50+เช้า!E50+บ่าย!E50</f>
        <v>0</v>
      </c>
      <c r="F50" s="52">
        <f>'เย็น  '!F50+เช้า!F50+บ่าย!F50</f>
        <v>0</v>
      </c>
      <c r="G50" s="52">
        <f>'เย็น  '!G50+เช้า!G50+บ่าย!G50</f>
        <v>0</v>
      </c>
      <c r="H50" s="52">
        <f>'เย็น  '!H50+เช้า!H50+บ่าย!H50</f>
        <v>0</v>
      </c>
      <c r="I50" s="52">
        <f>'เย็น  '!I50+เช้า!I50+บ่าย!I50</f>
        <v>0</v>
      </c>
      <c r="J50" s="52">
        <f>'เย็น  '!J50+เช้า!J50+บ่าย!J50</f>
        <v>0</v>
      </c>
      <c r="K50" s="52">
        <f>'เย็น  '!K50+เช้า!K50+บ่าย!K50</f>
        <v>0</v>
      </c>
      <c r="L50" s="33">
        <f t="shared" si="3"/>
        <v>0</v>
      </c>
      <c r="M50" s="11"/>
      <c r="N50" s="11"/>
      <c r="O50" s="11"/>
      <c r="P50" s="11"/>
      <c r="Q50" s="11"/>
      <c r="R50" s="43">
        <f t="shared" si="1"/>
        <v>0</v>
      </c>
      <c r="V50"/>
    </row>
    <row r="51" spans="2:22" x14ac:dyDescent="0.2">
      <c r="B51" s="11">
        <v>1112019</v>
      </c>
      <c r="C51" s="17" t="s">
        <v>47</v>
      </c>
      <c r="D51" s="52">
        <f>'เย็น  '!D51+เช้า!D51+บ่าย!D51</f>
        <v>0</v>
      </c>
      <c r="E51" s="52">
        <f>'เย็น  '!E51+เช้า!E51+บ่าย!E51</f>
        <v>0</v>
      </c>
      <c r="F51" s="52">
        <f>'เย็น  '!F51+เช้า!F51+บ่าย!F51</f>
        <v>0</v>
      </c>
      <c r="G51" s="52">
        <f>'เย็น  '!G51+เช้า!G51+บ่าย!G51</f>
        <v>0</v>
      </c>
      <c r="H51" s="52">
        <f>'เย็น  '!H51+เช้า!H51+บ่าย!H51</f>
        <v>0</v>
      </c>
      <c r="I51" s="52">
        <f>'เย็น  '!I51+เช้า!I51+บ่าย!I51</f>
        <v>0</v>
      </c>
      <c r="J51" s="52">
        <f>'เย็น  '!J51+เช้า!J51+บ่าย!J51</f>
        <v>0</v>
      </c>
      <c r="K51" s="52">
        <f>'เย็น  '!K51+เช้า!K51+บ่าย!K51</f>
        <v>0</v>
      </c>
      <c r="L51" s="33">
        <f t="shared" si="3"/>
        <v>0</v>
      </c>
      <c r="M51" s="11"/>
      <c r="N51" s="11"/>
      <c r="O51" s="11"/>
      <c r="P51" s="11"/>
      <c r="Q51" s="11"/>
      <c r="R51" s="43">
        <f t="shared" si="1"/>
        <v>0</v>
      </c>
      <c r="V51"/>
    </row>
    <row r="52" spans="2:22" x14ac:dyDescent="0.2">
      <c r="B52" s="11">
        <v>1112017</v>
      </c>
      <c r="C52" s="17" t="s">
        <v>48</v>
      </c>
      <c r="D52" s="52">
        <f>'เย็น  '!D52+เช้า!D52+บ่าย!D52</f>
        <v>5</v>
      </c>
      <c r="E52" s="52">
        <f>'เย็น  '!E52+เช้า!E52+บ่าย!E52</f>
        <v>0</v>
      </c>
      <c r="F52" s="52">
        <f>'เย็น  '!F52+เช้า!F52+บ่าย!F52</f>
        <v>0</v>
      </c>
      <c r="G52" s="52">
        <f>'เย็น  '!G52+เช้า!G52+บ่าย!G52</f>
        <v>41</v>
      </c>
      <c r="H52" s="52">
        <f>'เย็น  '!H52+เช้า!H52+บ่าย!H52</f>
        <v>10</v>
      </c>
      <c r="I52" s="52">
        <f>'เย็น  '!I52+เช้า!I52+บ่าย!I52</f>
        <v>0</v>
      </c>
      <c r="J52" s="52">
        <f>'เย็น  '!J52+เช้า!J52+บ่าย!J52</f>
        <v>0</v>
      </c>
      <c r="K52" s="52">
        <f>'เย็น  '!K52+เช้า!K52+บ่าย!K52</f>
        <v>0</v>
      </c>
      <c r="L52" s="33">
        <f t="shared" si="3"/>
        <v>56</v>
      </c>
      <c r="M52" s="11">
        <v>141</v>
      </c>
      <c r="N52" s="11"/>
      <c r="O52" s="11"/>
      <c r="P52" s="11"/>
      <c r="Q52" s="11"/>
      <c r="R52" s="43">
        <f t="shared" si="1"/>
        <v>85</v>
      </c>
      <c r="V52"/>
    </row>
    <row r="53" spans="2:22" x14ac:dyDescent="0.25">
      <c r="B53" s="11">
        <v>1112015</v>
      </c>
      <c r="C53" s="17" t="s">
        <v>49</v>
      </c>
      <c r="D53" s="52">
        <f>'เย็น  '!D53+เช้า!D53+บ่าย!D53</f>
        <v>6</v>
      </c>
      <c r="E53" s="52">
        <f>'เย็น  '!E53+เช้า!E53+บ่าย!E53</f>
        <v>0</v>
      </c>
      <c r="F53" s="52">
        <f>'เย็น  '!F53+เช้า!F53+บ่าย!F53</f>
        <v>0</v>
      </c>
      <c r="G53" s="52">
        <f>'เย็น  '!G53+เช้า!G53+บ่าย!G53</f>
        <v>41</v>
      </c>
      <c r="H53" s="52">
        <f>'เย็น  '!H53+เช้า!H53+บ่าย!H53</f>
        <v>10</v>
      </c>
      <c r="I53" s="52">
        <f>'เย็น  '!I53+เช้า!I53+บ่าย!I53</f>
        <v>0</v>
      </c>
      <c r="J53" s="52">
        <f>'เย็น  '!J53+เช้า!J53+บ่าย!J53</f>
        <v>0</v>
      </c>
      <c r="K53" s="52">
        <f>'เย็น  '!K53+เช้า!K53+บ่าย!K53</f>
        <v>0</v>
      </c>
      <c r="L53" s="33">
        <f t="shared" si="3"/>
        <v>57</v>
      </c>
      <c r="M53" s="11">
        <v>82</v>
      </c>
      <c r="N53" s="11"/>
      <c r="O53" s="11"/>
      <c r="P53" s="11"/>
      <c r="Q53" s="11"/>
      <c r="R53" s="43">
        <f t="shared" si="1"/>
        <v>25</v>
      </c>
    </row>
    <row r="54" spans="2:22" x14ac:dyDescent="0.2">
      <c r="B54" s="11">
        <v>1112013</v>
      </c>
      <c r="C54" s="17" t="s">
        <v>50</v>
      </c>
      <c r="D54" s="52">
        <f>'เย็น  '!D54+เช้า!D54+บ่าย!D54</f>
        <v>45</v>
      </c>
      <c r="E54" s="52">
        <f>'เย็น  '!E54+เช้า!E54+บ่าย!E54</f>
        <v>9</v>
      </c>
      <c r="F54" s="52">
        <f>'เย็น  '!F54+เช้า!F54+บ่าย!F54</f>
        <v>1</v>
      </c>
      <c r="G54" s="52">
        <f>'เย็น  '!G54+เช้า!G54+บ่าย!G54</f>
        <v>51</v>
      </c>
      <c r="H54" s="52">
        <f>'เย็น  '!H54+เช้า!H54+บ่าย!H54</f>
        <v>32</v>
      </c>
      <c r="I54" s="52">
        <f>'เย็น  '!I54+เช้า!I54+บ่าย!I54</f>
        <v>0</v>
      </c>
      <c r="J54" s="52">
        <f>'เย็น  '!J54+เช้า!J54+บ่าย!J54</f>
        <v>0</v>
      </c>
      <c r="K54" s="52">
        <f>'เย็น  '!K54+เช้า!K54+บ่าย!K54</f>
        <v>7</v>
      </c>
      <c r="L54" s="33">
        <f t="shared" si="3"/>
        <v>145</v>
      </c>
      <c r="M54" s="11">
        <v>45</v>
      </c>
      <c r="N54" s="11"/>
      <c r="O54" s="11"/>
      <c r="P54" s="11"/>
      <c r="Q54" s="11"/>
      <c r="R54" s="43">
        <f t="shared" si="1"/>
        <v>-100</v>
      </c>
      <c r="V54"/>
    </row>
    <row r="55" spans="2:22" x14ac:dyDescent="0.2">
      <c r="B55" s="11">
        <v>1124043</v>
      </c>
      <c r="C55" s="17" t="s">
        <v>51</v>
      </c>
      <c r="D55" s="52">
        <f>'เย็น  '!D55+เช้า!D55+บ่าย!D55</f>
        <v>0</v>
      </c>
      <c r="E55" s="52">
        <f>'เย็น  '!E55+เช้า!E55+บ่าย!E55</f>
        <v>0</v>
      </c>
      <c r="F55" s="52">
        <f>'เย็น  '!F55+เช้า!F55+บ่าย!F55</f>
        <v>0</v>
      </c>
      <c r="G55" s="52">
        <f>'เย็น  '!G55+เช้า!G55+บ่าย!G55</f>
        <v>0</v>
      </c>
      <c r="H55" s="52">
        <f>'เย็น  '!H55+เช้า!H55+บ่าย!H55</f>
        <v>0</v>
      </c>
      <c r="I55" s="52">
        <f>'เย็น  '!I55+เช้า!I55+บ่าย!I55</f>
        <v>0</v>
      </c>
      <c r="J55" s="52">
        <f>'เย็น  '!J55+เช้า!J55+บ่าย!J55</f>
        <v>0</v>
      </c>
      <c r="K55" s="52">
        <f>'เย็น  '!K55+เช้า!K55+บ่าย!K55</f>
        <v>0</v>
      </c>
      <c r="L55" s="33">
        <f t="shared" si="3"/>
        <v>0</v>
      </c>
      <c r="M55" s="11"/>
      <c r="N55" s="11"/>
      <c r="O55" s="11"/>
      <c r="P55" s="11"/>
      <c r="Q55" s="11"/>
      <c r="R55" s="43">
        <f t="shared" si="1"/>
        <v>0</v>
      </c>
      <c r="V55"/>
    </row>
    <row r="56" spans="2:22" ht="19.5" x14ac:dyDescent="0.2">
      <c r="B56" s="73" t="s">
        <v>52</v>
      </c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5"/>
      <c r="V56"/>
    </row>
    <row r="57" spans="2:22" x14ac:dyDescent="0.25">
      <c r="B57" s="11">
        <v>1113170</v>
      </c>
      <c r="C57" s="17" t="s">
        <v>91</v>
      </c>
      <c r="D57" s="27">
        <f>'เย็น  '!D57+เช้า!D57+บ่าย!D57</f>
        <v>0</v>
      </c>
      <c r="E57" s="27">
        <f>'เย็น  '!E57+เช้า!E57+บ่าย!E57</f>
        <v>0</v>
      </c>
      <c r="F57" s="27">
        <f>'เย็น  '!F57+เช้า!F57+บ่าย!F57</f>
        <v>0</v>
      </c>
      <c r="G57" s="27">
        <f>'เย็น  '!G57+เช้า!G57+บ่าย!G57</f>
        <v>0</v>
      </c>
      <c r="H57" s="27">
        <f>'เย็น  '!H57+เช้า!H57+บ่าย!H57</f>
        <v>0</v>
      </c>
      <c r="I57" s="27">
        <f>'เย็น  '!I57+เช้า!I57+บ่าย!I57</f>
        <v>0</v>
      </c>
      <c r="J57" s="27">
        <f>'เย็น  '!J57+เช้า!J57+บ่าย!J57</f>
        <v>0</v>
      </c>
      <c r="K57" s="27">
        <f>'เย็น  '!K57+เช้า!K57+บ่าย!K57</f>
        <v>4</v>
      </c>
      <c r="L57" s="33">
        <f t="shared" ref="L57:L59" si="4">SUM(D57:K57)</f>
        <v>4</v>
      </c>
      <c r="M57" s="11"/>
      <c r="N57" s="11"/>
      <c r="O57" s="11"/>
      <c r="P57" s="11"/>
      <c r="Q57" s="11"/>
      <c r="R57" s="43">
        <f t="shared" si="1"/>
        <v>-4</v>
      </c>
    </row>
    <row r="58" spans="2:22" x14ac:dyDescent="0.25">
      <c r="B58" s="11">
        <v>1113171</v>
      </c>
      <c r="C58" s="17" t="s">
        <v>92</v>
      </c>
      <c r="D58" s="52">
        <f>'เย็น  '!D58+เช้า!D58+บ่าย!D58</f>
        <v>0</v>
      </c>
      <c r="E58" s="52">
        <f>'เย็น  '!E58+เช้า!E58+บ่าย!E58</f>
        <v>0</v>
      </c>
      <c r="F58" s="52">
        <f>'เย็น  '!F58+เช้า!F58+บ่าย!F58</f>
        <v>0</v>
      </c>
      <c r="G58" s="52">
        <f>'เย็น  '!G58+เช้า!G58+บ่าย!G58</f>
        <v>0</v>
      </c>
      <c r="H58" s="52">
        <f>'เย็น  '!H58+เช้า!H58+บ่าย!H58</f>
        <v>0</v>
      </c>
      <c r="I58" s="52">
        <f>'เย็น  '!I58+เช้า!I58+บ่าย!I58</f>
        <v>0</v>
      </c>
      <c r="J58" s="52">
        <f>'เย็น  '!J58+เช้า!J58+บ่าย!J58</f>
        <v>0</v>
      </c>
      <c r="K58" s="52">
        <f>'เย็น  '!K58+เช้า!K58+บ่าย!K58</f>
        <v>3</v>
      </c>
      <c r="L58" s="33">
        <f t="shared" si="4"/>
        <v>3</v>
      </c>
      <c r="M58" s="11"/>
      <c r="N58" s="11"/>
      <c r="O58" s="11"/>
      <c r="P58" s="11"/>
      <c r="Q58" s="11"/>
      <c r="R58" s="43">
        <f t="shared" si="1"/>
        <v>-3</v>
      </c>
    </row>
    <row r="59" spans="2:22" x14ac:dyDescent="0.25">
      <c r="B59" s="11">
        <v>1113172</v>
      </c>
      <c r="C59" s="17" t="s">
        <v>93</v>
      </c>
      <c r="D59" s="52">
        <f>'เย็น  '!D59+เช้า!D59+บ่าย!D59</f>
        <v>0</v>
      </c>
      <c r="E59" s="52">
        <f>'เย็น  '!E59+เช้า!E59+บ่าย!E59</f>
        <v>0</v>
      </c>
      <c r="F59" s="52">
        <f>'เย็น  '!F59+เช้า!F59+บ่าย!F59</f>
        <v>0</v>
      </c>
      <c r="G59" s="52">
        <f>'เย็น  '!G59+เช้า!G59+บ่าย!G59</f>
        <v>0</v>
      </c>
      <c r="H59" s="52">
        <f>'เย็น  '!H59+เช้า!H59+บ่าย!H59</f>
        <v>0</v>
      </c>
      <c r="I59" s="52">
        <f>'เย็น  '!I59+เช้า!I59+บ่าย!I59</f>
        <v>0</v>
      </c>
      <c r="J59" s="52">
        <f>'เย็น  '!J59+เช้า!J59+บ่าย!J59</f>
        <v>0</v>
      </c>
      <c r="K59" s="52">
        <f>'เย็น  '!K59+เช้า!K59+บ่าย!K59</f>
        <v>3</v>
      </c>
      <c r="L59" s="33">
        <f t="shared" si="4"/>
        <v>3</v>
      </c>
      <c r="M59" s="11"/>
      <c r="N59" s="11"/>
      <c r="O59" s="11"/>
      <c r="P59" s="11"/>
      <c r="Q59" s="11"/>
      <c r="R59" s="43">
        <f t="shared" si="1"/>
        <v>-3</v>
      </c>
    </row>
    <row r="60" spans="2:22" x14ac:dyDescent="0.25">
      <c r="B60" s="11">
        <v>1100003</v>
      </c>
      <c r="C60" s="18" t="s">
        <v>71</v>
      </c>
      <c r="D60" s="52">
        <f>'เย็น  '!D60+เช้า!D60+บ่าย!D60</f>
        <v>0</v>
      </c>
      <c r="E60" s="52">
        <f>'เย็น  '!E60+เช้า!E60+บ่าย!E60</f>
        <v>4</v>
      </c>
      <c r="F60" s="52">
        <f>'เย็น  '!F60+เช้า!F60+บ่าย!F60</f>
        <v>0</v>
      </c>
      <c r="G60" s="52">
        <f>'เย็น  '!G60+เช้า!G60+บ่าย!G60</f>
        <v>0</v>
      </c>
      <c r="H60" s="52">
        <f>'เย็น  '!H60+เช้า!H60+บ่าย!H60</f>
        <v>0</v>
      </c>
      <c r="I60" s="52">
        <f>'เย็น  '!I60+เช้า!I60+บ่าย!I60</f>
        <v>0</v>
      </c>
      <c r="J60" s="52">
        <f>'เย็น  '!J60+เช้า!J60+บ่าย!J60</f>
        <v>0</v>
      </c>
      <c r="K60" s="52">
        <f>'เย็น  '!K60+เช้า!K60+บ่าย!K60</f>
        <v>0</v>
      </c>
      <c r="L60" s="33">
        <f>SUM(D60:K60)</f>
        <v>4</v>
      </c>
      <c r="M60" s="11">
        <v>2</v>
      </c>
      <c r="N60" s="11"/>
      <c r="O60" s="11"/>
      <c r="P60" s="11"/>
      <c r="Q60" s="11"/>
      <c r="R60" s="43">
        <f t="shared" si="1"/>
        <v>-2</v>
      </c>
    </row>
    <row r="61" spans="2:22" x14ac:dyDescent="0.25">
      <c r="B61" s="11">
        <v>1100001</v>
      </c>
      <c r="C61" s="18" t="s">
        <v>72</v>
      </c>
      <c r="D61" s="52">
        <f>'เย็น  '!D61+เช้า!D61+บ่าย!D61</f>
        <v>0</v>
      </c>
      <c r="E61" s="52">
        <f>'เย็น  '!E61+เช้า!E61+บ่าย!E61</f>
        <v>0</v>
      </c>
      <c r="F61" s="52">
        <f>'เย็น  '!F61+เช้า!F61+บ่าย!F61</f>
        <v>8</v>
      </c>
      <c r="G61" s="52">
        <f>'เย็น  '!G61+เช้า!G61+บ่าย!G61</f>
        <v>0</v>
      </c>
      <c r="H61" s="52">
        <f>'เย็น  '!H61+เช้า!H61+บ่าย!H61</f>
        <v>0</v>
      </c>
      <c r="I61" s="52">
        <f>'เย็น  '!I61+เช้า!I61+บ่าย!I61</f>
        <v>0</v>
      </c>
      <c r="J61" s="52">
        <f>'เย็น  '!J61+เช้า!J61+บ่าย!J61</f>
        <v>0</v>
      </c>
      <c r="K61" s="52">
        <f>'เย็น  '!K61+เช้า!K61+บ่าย!K61</f>
        <v>0</v>
      </c>
      <c r="L61" s="33">
        <f t="shared" ref="L61:L79" si="5">SUM(D61:K61)</f>
        <v>8</v>
      </c>
      <c r="M61" s="11">
        <v>154</v>
      </c>
      <c r="N61" s="11"/>
      <c r="O61" s="11"/>
      <c r="P61" s="11"/>
      <c r="Q61" s="11"/>
      <c r="R61" s="43">
        <f t="shared" si="1"/>
        <v>146</v>
      </c>
    </row>
    <row r="62" spans="2:22" x14ac:dyDescent="0.25">
      <c r="B62" s="11">
        <v>1100002</v>
      </c>
      <c r="C62" s="18" t="s">
        <v>73</v>
      </c>
      <c r="D62" s="52">
        <f>'เย็น  '!D62+เช้า!D62+บ่าย!D62</f>
        <v>0</v>
      </c>
      <c r="E62" s="52">
        <f>'เย็น  '!E62+เช้า!E62+บ่าย!E62</f>
        <v>0</v>
      </c>
      <c r="F62" s="52">
        <f>'เย็น  '!F62+เช้า!F62+บ่าย!F62</f>
        <v>0</v>
      </c>
      <c r="G62" s="52">
        <f>'เย็น  '!G62+เช้า!G62+บ่าย!G62</f>
        <v>3</v>
      </c>
      <c r="H62" s="52">
        <f>'เย็น  '!H62+เช้า!H62+บ่าย!H62</f>
        <v>0</v>
      </c>
      <c r="I62" s="52">
        <f>'เย็น  '!I62+เช้า!I62+บ่าย!I62</f>
        <v>0</v>
      </c>
      <c r="J62" s="52">
        <f>'เย็น  '!J62+เช้า!J62+บ่าย!J62</f>
        <v>0</v>
      </c>
      <c r="K62" s="52">
        <f>'เย็น  '!K62+เช้า!K62+บ่าย!K62</f>
        <v>0</v>
      </c>
      <c r="L62" s="33">
        <f t="shared" si="5"/>
        <v>3</v>
      </c>
      <c r="M62" s="11">
        <v>34</v>
      </c>
      <c r="N62" s="11"/>
      <c r="O62" s="11"/>
      <c r="P62" s="11"/>
      <c r="Q62" s="11"/>
      <c r="R62" s="43">
        <f t="shared" si="1"/>
        <v>31</v>
      </c>
    </row>
    <row r="63" spans="2:22" x14ac:dyDescent="0.25">
      <c r="B63" s="11">
        <v>1200001</v>
      </c>
      <c r="C63" s="18" t="s">
        <v>55</v>
      </c>
      <c r="D63" s="52">
        <f>'เย็น  '!D63+เช้า!D63+บ่าย!D63</f>
        <v>0</v>
      </c>
      <c r="E63" s="52">
        <f>'เย็น  '!E63+เช้า!E63+บ่าย!E63</f>
        <v>0</v>
      </c>
      <c r="F63" s="52">
        <f>'เย็น  '!F63+เช้า!F63+บ่าย!F63</f>
        <v>0</v>
      </c>
      <c r="G63" s="52">
        <f>'เย็น  '!G63+เช้า!G63+บ่าย!G63</f>
        <v>1</v>
      </c>
      <c r="H63" s="52">
        <f>'เย็น  '!H63+เช้า!H63+บ่าย!H63</f>
        <v>1</v>
      </c>
      <c r="I63" s="52">
        <f>'เย็น  '!I63+เช้า!I63+บ่าย!I63</f>
        <v>0</v>
      </c>
      <c r="J63" s="52">
        <f>'เย็น  '!J63+เช้า!J63+บ่าย!J63</f>
        <v>0</v>
      </c>
      <c r="K63" s="52">
        <f>'เย็น  '!K63+เช้า!K63+บ่าย!K63</f>
        <v>5</v>
      </c>
      <c r="L63" s="33">
        <f t="shared" si="5"/>
        <v>7</v>
      </c>
      <c r="M63" s="11">
        <v>18</v>
      </c>
      <c r="N63" s="11"/>
      <c r="O63" s="11"/>
      <c r="P63" s="11"/>
      <c r="Q63" s="11"/>
      <c r="R63" s="43">
        <f t="shared" si="1"/>
        <v>11</v>
      </c>
    </row>
    <row r="64" spans="2:22" x14ac:dyDescent="0.25">
      <c r="B64" s="11">
        <v>1005761</v>
      </c>
      <c r="C64" s="18" t="s">
        <v>56</v>
      </c>
      <c r="D64" s="52">
        <f>'เย็น  '!D64+เช้า!D64+บ่าย!D64</f>
        <v>0</v>
      </c>
      <c r="E64" s="52">
        <f>'เย็น  '!E64+เช้า!E64+บ่าย!E64</f>
        <v>0</v>
      </c>
      <c r="F64" s="52">
        <f>'เย็น  '!F64+เช้า!F64+บ่าย!F64</f>
        <v>0</v>
      </c>
      <c r="G64" s="52">
        <f>'เย็น  '!G64+เช้า!G64+บ่าย!G64</f>
        <v>0</v>
      </c>
      <c r="H64" s="52">
        <f>'เย็น  '!H64+เช้า!H64+บ่าย!H64</f>
        <v>0</v>
      </c>
      <c r="I64" s="52">
        <f>'เย็น  '!I64+เช้า!I64+บ่าย!I64</f>
        <v>0</v>
      </c>
      <c r="J64" s="52">
        <f>'เย็น  '!J64+เช้า!J64+บ่าย!J64</f>
        <v>0</v>
      </c>
      <c r="K64" s="52">
        <f>'เย็น  '!K64+เช้า!K64+บ่าย!K64</f>
        <v>0</v>
      </c>
      <c r="L64" s="33">
        <f t="shared" si="5"/>
        <v>0</v>
      </c>
      <c r="M64" s="11">
        <v>31</v>
      </c>
      <c r="N64" s="11"/>
      <c r="O64" s="11"/>
      <c r="P64" s="11"/>
      <c r="Q64" s="11"/>
      <c r="R64" s="43">
        <f t="shared" si="1"/>
        <v>31</v>
      </c>
    </row>
    <row r="65" spans="2:18" x14ac:dyDescent="0.25">
      <c r="B65" s="11">
        <v>1114501</v>
      </c>
      <c r="C65" s="18" t="s">
        <v>57</v>
      </c>
      <c r="D65" s="52">
        <f>'เย็น  '!D65+เช้า!D65+บ่าย!D65</f>
        <v>3</v>
      </c>
      <c r="E65" s="52">
        <f>'เย็น  '!E65+เช้า!E65+บ่าย!E65</f>
        <v>7</v>
      </c>
      <c r="F65" s="52">
        <f>'เย็น  '!F65+เช้า!F65+บ่าย!F65</f>
        <v>2</v>
      </c>
      <c r="G65" s="52">
        <f>'เย็น  '!G65+เช้า!G65+บ่าย!G65</f>
        <v>230</v>
      </c>
      <c r="H65" s="52">
        <f>'เย็น  '!H65+เช้า!H65+บ่าย!H65</f>
        <v>129</v>
      </c>
      <c r="I65" s="52">
        <f>'เย็น  '!I65+เช้า!I65+บ่าย!I65</f>
        <v>0</v>
      </c>
      <c r="J65" s="52">
        <f>'เย็น  '!J65+เช้า!J65+บ่าย!J65</f>
        <v>0</v>
      </c>
      <c r="K65" s="52">
        <f>'เย็น  '!K65+เช้า!K65+บ่าย!K65</f>
        <v>0</v>
      </c>
      <c r="L65" s="33">
        <f t="shared" si="5"/>
        <v>371</v>
      </c>
      <c r="M65" s="11">
        <v>303</v>
      </c>
      <c r="N65" s="11"/>
      <c r="O65" s="11"/>
      <c r="P65" s="11"/>
      <c r="Q65" s="11"/>
      <c r="R65" s="43">
        <f t="shared" si="1"/>
        <v>-68</v>
      </c>
    </row>
    <row r="66" spans="2:18" x14ac:dyDescent="0.25">
      <c r="B66" s="11">
        <v>1114502</v>
      </c>
      <c r="C66" s="18" t="s">
        <v>58</v>
      </c>
      <c r="D66" s="52">
        <f>'เย็น  '!D66+เช้า!D66+บ่าย!D66</f>
        <v>3</v>
      </c>
      <c r="E66" s="52">
        <f>'เย็น  '!E66+เช้า!E66+บ่าย!E66</f>
        <v>6</v>
      </c>
      <c r="F66" s="52">
        <f>'เย็น  '!F66+เช้า!F66+บ่าย!F66</f>
        <v>1</v>
      </c>
      <c r="G66" s="52">
        <f>'เย็น  '!G66+เช้า!G66+บ่าย!G66</f>
        <v>230</v>
      </c>
      <c r="H66" s="52">
        <f>'เย็น  '!H66+เช้า!H66+บ่าย!H66</f>
        <v>129</v>
      </c>
      <c r="I66" s="52">
        <f>'เย็น  '!I66+เช้า!I66+บ่าย!I66</f>
        <v>0</v>
      </c>
      <c r="J66" s="52">
        <f>'เย็น  '!J66+เช้า!J66+บ่าย!J66</f>
        <v>0</v>
      </c>
      <c r="K66" s="52">
        <f>'เย็น  '!K66+เช้า!K66+บ่าย!K66</f>
        <v>0</v>
      </c>
      <c r="L66" s="33">
        <f t="shared" si="5"/>
        <v>369</v>
      </c>
      <c r="M66" s="11">
        <v>326</v>
      </c>
      <c r="N66" s="11"/>
      <c r="O66" s="11"/>
      <c r="P66" s="11"/>
      <c r="Q66" s="11"/>
      <c r="R66" s="43">
        <f t="shared" si="1"/>
        <v>-43</v>
      </c>
    </row>
    <row r="67" spans="2:18" x14ac:dyDescent="0.25">
      <c r="B67" s="11">
        <v>1114503</v>
      </c>
      <c r="C67" s="18" t="s">
        <v>59</v>
      </c>
      <c r="D67" s="52">
        <f>'เย็น  '!D67+เช้า!D67+บ่าย!D67</f>
        <v>3</v>
      </c>
      <c r="E67" s="52">
        <f>'เย็น  '!E67+เช้า!E67+บ่าย!E67</f>
        <v>6</v>
      </c>
      <c r="F67" s="52">
        <f>'เย็น  '!F67+เช้า!F67+บ่าย!F67</f>
        <v>2</v>
      </c>
      <c r="G67" s="52">
        <f>'เย็น  '!G67+เช้า!G67+บ่าย!G67</f>
        <v>230</v>
      </c>
      <c r="H67" s="52">
        <f>'เย็น  '!H67+เช้า!H67+บ่าย!H67</f>
        <v>129</v>
      </c>
      <c r="I67" s="52">
        <f>'เย็น  '!I67+เช้า!I67+บ่าย!I67</f>
        <v>0</v>
      </c>
      <c r="J67" s="52">
        <f>'เย็น  '!J67+เช้า!J67+บ่าย!J67</f>
        <v>0</v>
      </c>
      <c r="K67" s="52">
        <f>'เย็น  '!K67+เช้า!K67+บ่าย!K67</f>
        <v>0</v>
      </c>
      <c r="L67" s="33">
        <f t="shared" si="5"/>
        <v>370</v>
      </c>
      <c r="M67" s="11">
        <v>396</v>
      </c>
      <c r="N67" s="11"/>
      <c r="O67" s="11"/>
      <c r="P67" s="11"/>
      <c r="Q67" s="11"/>
      <c r="R67" s="43">
        <f t="shared" si="1"/>
        <v>26</v>
      </c>
    </row>
    <row r="68" spans="2:18" x14ac:dyDescent="0.25">
      <c r="B68" s="11">
        <v>1124021</v>
      </c>
      <c r="C68" s="18" t="s">
        <v>60</v>
      </c>
      <c r="D68" s="52">
        <f>'เย็น  '!D68+เช้า!D68+บ่าย!D68</f>
        <v>3</v>
      </c>
      <c r="E68" s="52">
        <f>'เย็น  '!E68+เช้า!E68+บ่าย!E68</f>
        <v>13</v>
      </c>
      <c r="F68" s="52">
        <f>'เย็น  '!F68+เช้า!F68+บ่าย!F68</f>
        <v>51</v>
      </c>
      <c r="G68" s="52">
        <f>'เย็น  '!G68+เช้า!G68+บ่าย!G68</f>
        <v>45</v>
      </c>
      <c r="H68" s="52">
        <f>'เย็น  '!H68+เช้า!H68+บ่าย!H68</f>
        <v>39</v>
      </c>
      <c r="I68" s="52">
        <f>'เย็น  '!I68+เช้า!I68+บ่าย!I68</f>
        <v>0</v>
      </c>
      <c r="J68" s="52">
        <f>'เย็น  '!J68+เช้า!J68+บ่าย!J68</f>
        <v>0</v>
      </c>
      <c r="K68" s="52">
        <f>'เย็น  '!K68+เช้า!K68+บ่าย!K68</f>
        <v>0</v>
      </c>
      <c r="L68" s="33">
        <f t="shared" si="5"/>
        <v>151</v>
      </c>
      <c r="M68" s="11">
        <v>170</v>
      </c>
      <c r="N68" s="11"/>
      <c r="O68" s="11"/>
      <c r="P68" s="11"/>
      <c r="Q68" s="11"/>
      <c r="R68" s="43">
        <f t="shared" si="1"/>
        <v>19</v>
      </c>
    </row>
    <row r="69" spans="2:18" x14ac:dyDescent="0.25">
      <c r="B69" s="11">
        <v>1113084</v>
      </c>
      <c r="C69" s="18" t="s">
        <v>61</v>
      </c>
      <c r="D69" s="52">
        <f>'เย็น  '!D69+เช้า!D69+บ่าย!D69</f>
        <v>0</v>
      </c>
      <c r="E69" s="52">
        <f>'เย็น  '!E69+เช้า!E69+บ่าย!E69</f>
        <v>0</v>
      </c>
      <c r="F69" s="52">
        <f>'เย็น  '!F69+เช้า!F69+บ่าย!F69</f>
        <v>0</v>
      </c>
      <c r="G69" s="52">
        <f>'เย็น  '!G69+เช้า!G69+บ่าย!G69</f>
        <v>0</v>
      </c>
      <c r="H69" s="52">
        <f>'เย็น  '!H69+เช้า!H69+บ่าย!H69</f>
        <v>0</v>
      </c>
      <c r="I69" s="52">
        <f>'เย็น  '!I69+เช้า!I69+บ่าย!I69</f>
        <v>0</v>
      </c>
      <c r="J69" s="52">
        <f>'เย็น  '!J69+เช้า!J69+บ่าย!J69</f>
        <v>0</v>
      </c>
      <c r="K69" s="52">
        <f>'เย็น  '!K69+เช้า!K69+บ่าย!K69</f>
        <v>0</v>
      </c>
      <c r="L69" s="33">
        <f t="shared" si="5"/>
        <v>0</v>
      </c>
      <c r="M69" s="11"/>
      <c r="N69" s="11"/>
      <c r="O69" s="11"/>
      <c r="P69" s="11"/>
      <c r="Q69" s="11"/>
      <c r="R69" s="43">
        <f t="shared" si="1"/>
        <v>0</v>
      </c>
    </row>
    <row r="70" spans="2:18" x14ac:dyDescent="0.25">
      <c r="B70" s="11">
        <v>900003</v>
      </c>
      <c r="C70" s="18" t="s">
        <v>81</v>
      </c>
      <c r="D70" s="52">
        <f>'เย็น  '!D70+เช้า!D70+บ่าย!D70</f>
        <v>0</v>
      </c>
      <c r="E70" s="52">
        <f>'เย็น  '!E70+เช้า!E70+บ่าย!E70</f>
        <v>0</v>
      </c>
      <c r="F70" s="52">
        <f>'เย็น  '!F70+เช้า!F70+บ่าย!F70</f>
        <v>0</v>
      </c>
      <c r="G70" s="52">
        <f>'เย็น  '!G70+เช้า!G70+บ่าย!G70</f>
        <v>0</v>
      </c>
      <c r="H70" s="52">
        <f>'เย็น  '!H70+เช้า!H70+บ่าย!H70</f>
        <v>0</v>
      </c>
      <c r="I70" s="52">
        <f>'เย็น  '!I70+เช้า!I70+บ่าย!I70</f>
        <v>0</v>
      </c>
      <c r="J70" s="52">
        <f>'เย็น  '!J70+เช้า!J70+บ่าย!J70</f>
        <v>0</v>
      </c>
      <c r="K70" s="52">
        <f>'เย็น  '!K70+เช้า!K70+บ่าย!K70</f>
        <v>0</v>
      </c>
      <c r="L70" s="33">
        <f t="shared" si="5"/>
        <v>0</v>
      </c>
      <c r="M70" s="11"/>
      <c r="N70" s="11"/>
      <c r="O70" s="11"/>
      <c r="P70" s="11"/>
      <c r="Q70" s="11"/>
      <c r="R70" s="43">
        <f t="shared" si="1"/>
        <v>0</v>
      </c>
    </row>
    <row r="71" spans="2:18" x14ac:dyDescent="0.25">
      <c r="B71" s="11">
        <v>900004</v>
      </c>
      <c r="C71" s="18" t="s">
        <v>62</v>
      </c>
      <c r="D71" s="52">
        <f>'เย็น  '!D71+เช้า!D71+บ่าย!D71</f>
        <v>0</v>
      </c>
      <c r="E71" s="52">
        <f>'เย็น  '!E71+เช้า!E71+บ่าย!E71</f>
        <v>0</v>
      </c>
      <c r="F71" s="52">
        <f>'เย็น  '!F71+เช้า!F71+บ่าย!F71</f>
        <v>0</v>
      </c>
      <c r="G71" s="52">
        <f>'เย็น  '!G71+เช้า!G71+บ่าย!G71</f>
        <v>0</v>
      </c>
      <c r="H71" s="52">
        <f>'เย็น  '!H71+เช้า!H71+บ่าย!H71</f>
        <v>0</v>
      </c>
      <c r="I71" s="52">
        <f>'เย็น  '!I71+เช้า!I71+บ่าย!I71</f>
        <v>0</v>
      </c>
      <c r="J71" s="52">
        <f>'เย็น  '!J71+เช้า!J71+บ่าย!J71</f>
        <v>0</v>
      </c>
      <c r="K71" s="52">
        <f>'เย็น  '!K71+เช้า!K71+บ่าย!K71</f>
        <v>0</v>
      </c>
      <c r="L71" s="33">
        <f t="shared" si="5"/>
        <v>0</v>
      </c>
      <c r="M71" s="11"/>
      <c r="N71" s="11"/>
      <c r="O71" s="11"/>
      <c r="P71" s="11"/>
      <c r="Q71" s="11"/>
      <c r="R71" s="43">
        <f t="shared" si="1"/>
        <v>0</v>
      </c>
    </row>
    <row r="72" spans="2:18" x14ac:dyDescent="0.25">
      <c r="B72" s="11">
        <v>1200002</v>
      </c>
      <c r="C72" s="18" t="s">
        <v>63</v>
      </c>
      <c r="D72" s="52">
        <f>'เย็น  '!D72+เช้า!D72+บ่าย!D72</f>
        <v>0</v>
      </c>
      <c r="E72" s="52">
        <f>'เย็น  '!E72+เช้า!E72+บ่าย!E72</f>
        <v>0</v>
      </c>
      <c r="F72" s="52">
        <f>'เย็น  '!F72+เช้า!F72+บ่าย!F72</f>
        <v>0</v>
      </c>
      <c r="G72" s="52">
        <f>'เย็น  '!G72+เช้า!G72+บ่าย!G72</f>
        <v>0</v>
      </c>
      <c r="H72" s="52">
        <f>'เย็น  '!H72+เช้า!H72+บ่าย!H72</f>
        <v>0</v>
      </c>
      <c r="I72" s="52">
        <f>'เย็น  '!I72+เช้า!I72+บ่าย!I72</f>
        <v>0</v>
      </c>
      <c r="J72" s="52">
        <f>'เย็น  '!J72+เช้า!J72+บ่าย!J72</f>
        <v>0</v>
      </c>
      <c r="K72" s="52">
        <f>'เย็น  '!K72+เช้า!K72+บ่าย!K72</f>
        <v>0</v>
      </c>
      <c r="L72" s="33">
        <f t="shared" si="5"/>
        <v>0</v>
      </c>
      <c r="M72" s="11">
        <v>78</v>
      </c>
      <c r="N72" s="11"/>
      <c r="O72" s="11"/>
      <c r="P72" s="11"/>
      <c r="Q72" s="11"/>
      <c r="R72" s="43">
        <f t="shared" si="1"/>
        <v>78</v>
      </c>
    </row>
    <row r="73" spans="2:18" x14ac:dyDescent="0.25">
      <c r="B73" s="11">
        <v>1200003</v>
      </c>
      <c r="C73" s="18" t="s">
        <v>64</v>
      </c>
      <c r="D73" s="52">
        <f>'เย็น  '!D73+เช้า!D73+บ่าย!D73</f>
        <v>0</v>
      </c>
      <c r="E73" s="52">
        <f>'เย็น  '!E73+เช้า!E73+บ่าย!E73</f>
        <v>0</v>
      </c>
      <c r="F73" s="52">
        <f>'เย็น  '!F73+เช้า!F73+บ่าย!F73</f>
        <v>0</v>
      </c>
      <c r="G73" s="52">
        <f>'เย็น  '!G73+เช้า!G73+บ่าย!G73</f>
        <v>0</v>
      </c>
      <c r="H73" s="52">
        <f>'เย็น  '!H73+เช้า!H73+บ่าย!H73</f>
        <v>0</v>
      </c>
      <c r="I73" s="52">
        <f>'เย็น  '!I73+เช้า!I73+บ่าย!I73</f>
        <v>0</v>
      </c>
      <c r="J73" s="52">
        <f>'เย็น  '!J73+เช้า!J73+บ่าย!J73</f>
        <v>0</v>
      </c>
      <c r="K73" s="52">
        <f>'เย็น  '!K73+เช้า!K73+บ่าย!K73</f>
        <v>0</v>
      </c>
      <c r="L73" s="33">
        <f t="shared" si="5"/>
        <v>0</v>
      </c>
      <c r="M73" s="11"/>
      <c r="N73" s="11"/>
      <c r="O73" s="11"/>
      <c r="P73" s="11"/>
      <c r="Q73" s="11"/>
      <c r="R73" s="43">
        <f t="shared" ref="R73:R79" si="6">(M73+N73+O73+P73)-L73-Q73</f>
        <v>0</v>
      </c>
    </row>
    <row r="74" spans="2:18" x14ac:dyDescent="0.25">
      <c r="B74" s="11">
        <v>1200004</v>
      </c>
      <c r="C74" s="18" t="s">
        <v>65</v>
      </c>
      <c r="D74" s="52">
        <f>'เย็น  '!D74+เช้า!D74+บ่าย!D74</f>
        <v>0</v>
      </c>
      <c r="E74" s="52">
        <f>'เย็น  '!E74+เช้า!E74+บ่าย!E74</f>
        <v>0</v>
      </c>
      <c r="F74" s="52">
        <f>'เย็น  '!F74+เช้า!F74+บ่าย!F74</f>
        <v>0</v>
      </c>
      <c r="G74" s="52">
        <f>'เย็น  '!G74+เช้า!G74+บ่าย!G74</f>
        <v>0</v>
      </c>
      <c r="H74" s="52">
        <f>'เย็น  '!H74+เช้า!H74+บ่าย!H74</f>
        <v>0</v>
      </c>
      <c r="I74" s="52">
        <f>'เย็น  '!I74+เช้า!I74+บ่าย!I74</f>
        <v>0</v>
      </c>
      <c r="J74" s="52">
        <f>'เย็น  '!J74+เช้า!J74+บ่าย!J74</f>
        <v>0</v>
      </c>
      <c r="K74" s="52">
        <f>'เย็น  '!K74+เช้า!K74+บ่าย!K74</f>
        <v>0</v>
      </c>
      <c r="L74" s="33">
        <f t="shared" si="5"/>
        <v>0</v>
      </c>
      <c r="M74" s="11"/>
      <c r="N74" s="11"/>
      <c r="O74" s="11"/>
      <c r="P74" s="11"/>
      <c r="Q74" s="11"/>
      <c r="R74" s="43">
        <f t="shared" si="6"/>
        <v>0</v>
      </c>
    </row>
    <row r="75" spans="2:18" x14ac:dyDescent="0.25">
      <c r="B75" s="11">
        <v>1200093</v>
      </c>
      <c r="C75" s="18" t="s">
        <v>53</v>
      </c>
      <c r="D75" s="52">
        <f>'เย็น  '!D75+เช้า!D75+บ่าย!D75</f>
        <v>0</v>
      </c>
      <c r="E75" s="52">
        <f>'เย็น  '!E75+เช้า!E75+บ่าย!E75</f>
        <v>0</v>
      </c>
      <c r="F75" s="52">
        <f>'เย็น  '!F75+เช้า!F75+บ่าย!F75</f>
        <v>0</v>
      </c>
      <c r="G75" s="52">
        <f>'เย็น  '!G75+เช้า!G75+บ่าย!G75</f>
        <v>0</v>
      </c>
      <c r="H75" s="52">
        <f>'เย็น  '!H75+เช้า!H75+บ่าย!H75</f>
        <v>0</v>
      </c>
      <c r="I75" s="52">
        <f>'เย็น  '!I75+เช้า!I75+บ่าย!I75</f>
        <v>0</v>
      </c>
      <c r="J75" s="52">
        <f>'เย็น  '!J75+เช้า!J75+บ่าย!J75</f>
        <v>0</v>
      </c>
      <c r="K75" s="52">
        <f>'เย็น  '!K75+เช้า!K75+บ่าย!K75</f>
        <v>0</v>
      </c>
      <c r="L75" s="33">
        <f t="shared" si="5"/>
        <v>0</v>
      </c>
      <c r="M75" s="11"/>
      <c r="N75" s="11"/>
      <c r="O75" s="11"/>
      <c r="P75" s="11"/>
      <c r="Q75" s="11"/>
      <c r="R75" s="43">
        <f t="shared" si="6"/>
        <v>0</v>
      </c>
    </row>
    <row r="76" spans="2:18" x14ac:dyDescent="0.25">
      <c r="B76" s="11">
        <v>1200092</v>
      </c>
      <c r="C76" s="17" t="s">
        <v>54</v>
      </c>
      <c r="D76" s="52">
        <f>'เย็น  '!D76+เช้า!D76+บ่าย!D76</f>
        <v>0</v>
      </c>
      <c r="E76" s="52">
        <f>'เย็น  '!E76+เช้า!E76+บ่าย!E76</f>
        <v>0</v>
      </c>
      <c r="F76" s="52">
        <f>'เย็น  '!F76+เช้า!F76+บ่าย!F76</f>
        <v>0</v>
      </c>
      <c r="G76" s="52">
        <f>'เย็น  '!G76+เช้า!G76+บ่าย!G76</f>
        <v>0</v>
      </c>
      <c r="H76" s="52">
        <f>'เย็น  '!H76+เช้า!H76+บ่าย!H76</f>
        <v>0</v>
      </c>
      <c r="I76" s="52">
        <f>'เย็น  '!I76+เช้า!I76+บ่าย!I76</f>
        <v>0</v>
      </c>
      <c r="J76" s="52">
        <f>'เย็น  '!J76+เช้า!J76+บ่าย!J76</f>
        <v>0</v>
      </c>
      <c r="K76" s="52">
        <f>'เย็น  '!K76+เช้า!K76+บ่าย!K76</f>
        <v>0</v>
      </c>
      <c r="L76" s="33">
        <f t="shared" si="5"/>
        <v>0</v>
      </c>
      <c r="M76" s="11"/>
      <c r="N76" s="11"/>
      <c r="O76" s="11"/>
      <c r="P76" s="11"/>
      <c r="Q76" s="11"/>
      <c r="R76" s="43">
        <f t="shared" si="6"/>
        <v>0</v>
      </c>
    </row>
    <row r="77" spans="2:18" x14ac:dyDescent="0.25">
      <c r="B77" s="19"/>
      <c r="C77" s="18" t="s">
        <v>74</v>
      </c>
      <c r="D77" s="52">
        <f>'เย็น  '!D77+เช้า!D77+บ่าย!D77</f>
        <v>0</v>
      </c>
      <c r="E77" s="52">
        <f>'เย็น  '!E77+เช้า!E77+บ่าย!E77</f>
        <v>0</v>
      </c>
      <c r="F77" s="52">
        <f>'เย็น  '!F77+เช้า!F77+บ่าย!F77</f>
        <v>0</v>
      </c>
      <c r="G77" s="52">
        <f>'เย็น  '!G77+เช้า!G77+บ่าย!G77</f>
        <v>0</v>
      </c>
      <c r="H77" s="52">
        <f>'เย็น  '!H77+เช้า!H77+บ่าย!H77</f>
        <v>0</v>
      </c>
      <c r="I77" s="52">
        <f>'เย็น  '!I77+เช้า!I77+บ่าย!I77</f>
        <v>0</v>
      </c>
      <c r="J77" s="52">
        <f>'เย็น  '!J77+เช้า!J77+บ่าย!J77</f>
        <v>0</v>
      </c>
      <c r="K77" s="52">
        <f>'เย็น  '!K77+เช้า!K77+บ่าย!K77</f>
        <v>0</v>
      </c>
      <c r="L77" s="33">
        <f t="shared" si="5"/>
        <v>0</v>
      </c>
      <c r="M77" s="11"/>
      <c r="N77" s="11"/>
      <c r="O77" s="11"/>
      <c r="P77" s="11"/>
      <c r="Q77" s="11"/>
      <c r="R77" s="43">
        <f t="shared" si="6"/>
        <v>0</v>
      </c>
    </row>
    <row r="78" spans="2:18" x14ac:dyDescent="0.25">
      <c r="B78" s="19"/>
      <c r="C78" s="18" t="s">
        <v>75</v>
      </c>
      <c r="D78" s="52">
        <f>'เย็น  '!D78+เช้า!D78+บ่าย!D78</f>
        <v>0</v>
      </c>
      <c r="E78" s="52">
        <f>'เย็น  '!E78+เช้า!E78+บ่าย!E78</f>
        <v>3</v>
      </c>
      <c r="F78" s="52">
        <f>'เย็น  '!F78+เช้า!F78+บ่าย!F78</f>
        <v>0</v>
      </c>
      <c r="G78" s="52">
        <f>'เย็น  '!G78+เช้า!G78+บ่าย!G78</f>
        <v>0</v>
      </c>
      <c r="H78" s="52">
        <f>'เย็น  '!H78+เช้า!H78+บ่าย!H78</f>
        <v>0</v>
      </c>
      <c r="I78" s="52">
        <f>'เย็น  '!I78+เช้า!I78+บ่าย!I78</f>
        <v>0</v>
      </c>
      <c r="J78" s="52">
        <f>'เย็น  '!J78+เช้า!J78+บ่าย!J78</f>
        <v>7</v>
      </c>
      <c r="K78" s="52">
        <f>'เย็น  '!K78+เช้า!K78+บ่าย!K78</f>
        <v>0</v>
      </c>
      <c r="L78" s="33">
        <f t="shared" si="5"/>
        <v>10</v>
      </c>
      <c r="M78" s="11"/>
      <c r="N78" s="11"/>
      <c r="O78" s="11"/>
      <c r="P78" s="11"/>
      <c r="Q78" s="11"/>
      <c r="R78" s="43">
        <f t="shared" si="6"/>
        <v>-10</v>
      </c>
    </row>
    <row r="79" spans="2:18" x14ac:dyDescent="0.25">
      <c r="B79" s="19">
        <v>20052721</v>
      </c>
      <c r="C79" s="18" t="s">
        <v>80</v>
      </c>
      <c r="D79" s="52">
        <f>'เย็น  '!D79+เช้า!D79+บ่าย!D79</f>
        <v>0</v>
      </c>
      <c r="E79" s="52">
        <f>'เย็น  '!E79+เช้า!E79+บ่าย!E79</f>
        <v>0</v>
      </c>
      <c r="F79" s="52">
        <f>'เย็น  '!F79+เช้า!F79+บ่าย!F79</f>
        <v>0</v>
      </c>
      <c r="G79" s="52">
        <f>'เย็น  '!G79+เช้า!G79+บ่าย!G79</f>
        <v>0</v>
      </c>
      <c r="H79" s="52">
        <f>'เย็น  '!H79+เช้า!H79+บ่าย!H79</f>
        <v>0</v>
      </c>
      <c r="I79" s="52">
        <f>'เย็น  '!I79+เช้า!I79+บ่าย!I79</f>
        <v>0</v>
      </c>
      <c r="J79" s="52">
        <f>'เย็น  '!J79+เช้า!J79+บ่าย!J79</f>
        <v>0</v>
      </c>
      <c r="K79" s="52">
        <f>'เย็น  '!K79+เช้า!K79+บ่าย!K79</f>
        <v>0</v>
      </c>
      <c r="L79" s="33">
        <f t="shared" si="5"/>
        <v>0</v>
      </c>
      <c r="M79" s="11"/>
      <c r="N79" s="11"/>
      <c r="O79" s="11"/>
      <c r="P79" s="11"/>
      <c r="Q79" s="11"/>
      <c r="R79" s="43">
        <f t="shared" si="6"/>
        <v>0</v>
      </c>
    </row>
    <row r="80" spans="2:18" ht="40.5" customHeight="1" x14ac:dyDescent="0.25">
      <c r="C80" s="32"/>
      <c r="D80" s="36">
        <f t="shared" ref="D80:K80" si="7">SUM(D57:D79,D46:D54,D40,D37:D38,D7:D35)</f>
        <v>156</v>
      </c>
      <c r="E80" s="36">
        <f t="shared" si="7"/>
        <v>113</v>
      </c>
      <c r="F80" s="36">
        <f t="shared" si="7"/>
        <v>116</v>
      </c>
      <c r="G80" s="36">
        <f t="shared" si="7"/>
        <v>1154</v>
      </c>
      <c r="H80" s="36">
        <f t="shared" si="7"/>
        <v>663</v>
      </c>
      <c r="I80" s="36">
        <f t="shared" si="7"/>
        <v>0</v>
      </c>
      <c r="J80" s="36">
        <f t="shared" si="7"/>
        <v>7</v>
      </c>
      <c r="K80" s="36">
        <f t="shared" si="7"/>
        <v>71</v>
      </c>
      <c r="L80" s="36">
        <f>SUM(L57:L79,L46:L54,L40,L37:L38,L7:L35)</f>
        <v>2280</v>
      </c>
      <c r="M80" s="35">
        <f>SUM(M60:M79,M46:M54,M40:M40,M37:M37,M7:M35)</f>
        <v>2577</v>
      </c>
      <c r="N80" s="35">
        <f>SUM(N60:N79,N46:N54,N40:N40,N37:N37,N7:N35)</f>
        <v>0</v>
      </c>
      <c r="O80" s="35">
        <f>SUM(O60:O79,O46:O54,O40:O40,O37:O37,O7:O35)</f>
        <v>0</v>
      </c>
      <c r="P80" s="35">
        <f>SUM(P60:P79,P46:P54,P40:P40,P37:P37,P7:P35)</f>
        <v>0</v>
      </c>
      <c r="Q80" s="35"/>
      <c r="R80" s="35">
        <f>SUM(R60:R79,R46:R54,R40:R40,R37:R37,R7:R35)</f>
        <v>307</v>
      </c>
    </row>
    <row r="81" spans="2:12" x14ac:dyDescent="0.25">
      <c r="B81" s="34"/>
      <c r="C81" s="32"/>
      <c r="D81" s="35"/>
      <c r="E81" s="35"/>
      <c r="F81" s="35"/>
      <c r="G81" s="35"/>
      <c r="H81" s="35"/>
      <c r="I81" s="35"/>
      <c r="J81" s="35"/>
      <c r="K81" s="35"/>
      <c r="L81" s="36"/>
    </row>
    <row r="82" spans="2:12" x14ac:dyDescent="0.25">
      <c r="B82" s="34"/>
      <c r="C82" s="32"/>
      <c r="D82" s="35"/>
      <c r="E82" s="35"/>
      <c r="F82" s="35"/>
      <c r="G82" s="35"/>
      <c r="H82" s="35"/>
      <c r="I82" s="35"/>
      <c r="J82" s="35"/>
      <c r="K82" s="35"/>
      <c r="L82" s="36"/>
    </row>
    <row r="83" spans="2:12" x14ac:dyDescent="0.25">
      <c r="C83" s="21"/>
      <c r="D83" s="28"/>
      <c r="E83" s="61"/>
      <c r="F83" s="61"/>
      <c r="G83" s="23"/>
      <c r="L83" s="37"/>
    </row>
    <row r="84" spans="2:12" x14ac:dyDescent="0.25">
      <c r="B84" s="61" t="s">
        <v>66</v>
      </c>
      <c r="C84" s="61"/>
      <c r="D84" s="29"/>
      <c r="E84" s="62"/>
      <c r="F84" s="62"/>
      <c r="G84" s="24"/>
      <c r="H84" s="23"/>
      <c r="I84" s="61" t="s">
        <v>66</v>
      </c>
      <c r="J84" s="61"/>
      <c r="K84" s="61"/>
      <c r="L84" s="61"/>
    </row>
    <row r="85" spans="2:12" x14ac:dyDescent="0.25">
      <c r="B85" s="62" t="s">
        <v>67</v>
      </c>
      <c r="C85" s="62"/>
      <c r="D85" s="30"/>
      <c r="E85" s="30"/>
      <c r="F85" s="30"/>
      <c r="G85" s="30"/>
      <c r="H85" s="30"/>
      <c r="I85" s="62" t="s">
        <v>68</v>
      </c>
      <c r="J85" s="62"/>
      <c r="K85" s="62"/>
      <c r="L85" s="62"/>
    </row>
    <row r="86" spans="2:12" x14ac:dyDescent="0.25">
      <c r="B86" s="28"/>
      <c r="C86" s="28"/>
      <c r="D86" s="30"/>
      <c r="E86" s="30"/>
      <c r="F86" s="30"/>
      <c r="G86" s="30"/>
      <c r="H86" s="30"/>
      <c r="I86" s="28"/>
      <c r="J86" s="28"/>
      <c r="K86" s="28"/>
      <c r="L86" s="31"/>
    </row>
    <row r="87" spans="2:12" ht="19.5" x14ac:dyDescent="0.25"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31"/>
    </row>
    <row r="88" spans="2:12" ht="19.5" x14ac:dyDescent="0.25"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31"/>
    </row>
    <row r="89" spans="2:12" ht="19.5" x14ac:dyDescent="0.25"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31"/>
    </row>
    <row r="90" spans="2:12" ht="19.5" x14ac:dyDescent="0.25"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31"/>
    </row>
    <row r="91" spans="2:12" ht="19.5" x14ac:dyDescent="0.25"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31"/>
    </row>
    <row r="92" spans="2:12" x14ac:dyDescent="0.25">
      <c r="D92" s="28"/>
      <c r="E92" s="28"/>
      <c r="F92" s="28"/>
      <c r="G92" s="28"/>
      <c r="H92" s="28"/>
    </row>
    <row r="93" spans="2:12" x14ac:dyDescent="0.25">
      <c r="D93" s="28"/>
      <c r="E93" s="28"/>
      <c r="F93" s="28"/>
      <c r="G93" s="28"/>
      <c r="H93" s="28"/>
    </row>
    <row r="94" spans="2:12" x14ac:dyDescent="0.25">
      <c r="D94" s="28"/>
      <c r="E94" s="28"/>
      <c r="F94" s="28"/>
      <c r="G94" s="28"/>
      <c r="H94" s="28"/>
    </row>
    <row r="95" spans="2:12" x14ac:dyDescent="0.25">
      <c r="D95" s="28"/>
      <c r="E95" s="28"/>
      <c r="F95" s="28"/>
      <c r="G95" s="28"/>
      <c r="H95" s="28"/>
    </row>
    <row r="96" spans="2:12" x14ac:dyDescent="0.25">
      <c r="D96" s="28"/>
      <c r="E96" s="28"/>
      <c r="F96" s="28"/>
      <c r="G96" s="28"/>
      <c r="H96" s="28"/>
    </row>
    <row r="97" spans="4:8" x14ac:dyDescent="0.25">
      <c r="D97" s="28"/>
      <c r="E97" s="28"/>
      <c r="F97" s="28"/>
      <c r="G97" s="28"/>
      <c r="H97" s="28"/>
    </row>
    <row r="98" spans="4:8" x14ac:dyDescent="0.25">
      <c r="D98" s="28"/>
      <c r="E98" s="28"/>
      <c r="F98" s="28"/>
      <c r="G98" s="28"/>
      <c r="H98" s="28"/>
    </row>
    <row r="99" spans="4:8" x14ac:dyDescent="0.25">
      <c r="D99" s="28"/>
      <c r="E99" s="28"/>
      <c r="F99" s="28"/>
      <c r="G99" s="28"/>
      <c r="H99" s="28"/>
    </row>
    <row r="100" spans="4:8" x14ac:dyDescent="0.25">
      <c r="D100" s="28"/>
      <c r="E100" s="28"/>
      <c r="F100" s="28"/>
      <c r="G100" s="28"/>
      <c r="H100" s="28"/>
    </row>
    <row r="101" spans="4:8" x14ac:dyDescent="0.25">
      <c r="D101" s="28"/>
      <c r="E101" s="28"/>
      <c r="F101" s="28"/>
      <c r="G101" s="28"/>
      <c r="H101" s="28"/>
    </row>
    <row r="102" spans="4:8" x14ac:dyDescent="0.25">
      <c r="D102" s="28"/>
      <c r="E102" s="28"/>
      <c r="F102" s="28"/>
      <c r="G102" s="28"/>
      <c r="H102" s="28"/>
    </row>
  </sheetData>
  <mergeCells count="19">
    <mergeCell ref="B85:C85"/>
    <mergeCell ref="I85:L85"/>
    <mergeCell ref="R2:R4"/>
    <mergeCell ref="B6:R6"/>
    <mergeCell ref="B36:R36"/>
    <mergeCell ref="B39:R39"/>
    <mergeCell ref="B45:R45"/>
    <mergeCell ref="P2:P4"/>
    <mergeCell ref="B56:R56"/>
    <mergeCell ref="E83:F83"/>
    <mergeCell ref="B84:C84"/>
    <mergeCell ref="E84:F84"/>
    <mergeCell ref="I84:L84"/>
    <mergeCell ref="N2:N4"/>
    <mergeCell ref="B1:L1"/>
    <mergeCell ref="B2:C3"/>
    <mergeCell ref="E2:F3"/>
    <mergeCell ref="M2:M4"/>
    <mergeCell ref="O2:O4"/>
  </mergeCells>
  <phoneticPr fontId="8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เย็น  </vt:lpstr>
      <vt:lpstr>เช้า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Natchaya Sukjan</cp:lastModifiedBy>
  <cp:lastPrinted>2024-11-19T06:21:21Z</cp:lastPrinted>
  <dcterms:created xsi:type="dcterms:W3CDTF">2024-04-30T05:21:27Z</dcterms:created>
  <dcterms:modified xsi:type="dcterms:W3CDTF">2024-12-04T09:23:39Z</dcterms:modified>
</cp:coreProperties>
</file>