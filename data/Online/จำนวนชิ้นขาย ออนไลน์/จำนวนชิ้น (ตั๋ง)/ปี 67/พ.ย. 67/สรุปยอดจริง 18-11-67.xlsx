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6CA177E-8A79-424C-B098-7D16BF43C279}" xr6:coauthVersionLast="47" xr6:coauthVersionMax="47" xr10:uidLastSave="{00000000-0000-0000-0000-000000000000}"/>
  <bookViews>
    <workbookView xWindow="4200" yWindow="1920" windowWidth="17745" windowHeight="13560" firstSheet="1" activeTab="3" xr2:uid="{55C9AAA3-F459-48EC-A639-AACFFC6390F5}"/>
  </bookViews>
  <sheets>
    <sheet name="เย็น 102" sheetId="4" state="hidden" r:id="rId1"/>
    <sheet name="เช้า " sheetId="3" r:id="rId2"/>
    <sheet name="บ่าย" sheetId="6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5" l="1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E118" i="5"/>
  <c r="F118" i="5"/>
  <c r="G118" i="5"/>
  <c r="H118" i="5"/>
  <c r="I118" i="5"/>
  <c r="J118" i="5"/>
  <c r="D118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E90" i="5"/>
  <c r="F90" i="5"/>
  <c r="G90" i="5"/>
  <c r="H90" i="5"/>
  <c r="I90" i="5"/>
  <c r="J90" i="5"/>
  <c r="D90" i="5"/>
  <c r="E87" i="5"/>
  <c r="F87" i="5"/>
  <c r="G87" i="5"/>
  <c r="H87" i="5"/>
  <c r="I87" i="5"/>
  <c r="J87" i="5"/>
  <c r="D87" i="5"/>
  <c r="E69" i="5"/>
  <c r="F69" i="5"/>
  <c r="G69" i="5"/>
  <c r="H69" i="5"/>
  <c r="I69" i="5"/>
  <c r="J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N67" i="5"/>
  <c r="N7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37" i="5"/>
  <c r="E137" i="5"/>
  <c r="F137" i="5"/>
  <c r="G137" i="5"/>
  <c r="H137" i="5"/>
  <c r="I137" i="5"/>
  <c r="J137" i="5"/>
  <c r="D70" i="5"/>
  <c r="E70" i="5"/>
  <c r="F70" i="5"/>
  <c r="G70" i="5"/>
  <c r="H70" i="5"/>
  <c r="D71" i="5"/>
  <c r="E71" i="5"/>
  <c r="F71" i="5"/>
  <c r="G71" i="5"/>
  <c r="H71" i="5"/>
  <c r="D72" i="5"/>
  <c r="E72" i="5"/>
  <c r="F72" i="5"/>
  <c r="G72" i="5"/>
  <c r="H72" i="5"/>
  <c r="D73" i="5"/>
  <c r="E73" i="5"/>
  <c r="F73" i="5"/>
  <c r="G73" i="5"/>
  <c r="H73" i="5"/>
  <c r="D74" i="5"/>
  <c r="E74" i="5"/>
  <c r="F74" i="5"/>
  <c r="G74" i="5"/>
  <c r="H74" i="5"/>
  <c r="D75" i="5"/>
  <c r="E75" i="5"/>
  <c r="F75" i="5"/>
  <c r="G75" i="5"/>
  <c r="H75" i="5"/>
  <c r="D76" i="5"/>
  <c r="E76" i="5"/>
  <c r="F76" i="5"/>
  <c r="G76" i="5"/>
  <c r="H76" i="5"/>
  <c r="E114" i="5" l="1"/>
  <c r="F114" i="5"/>
  <c r="G114" i="5"/>
  <c r="H114" i="5"/>
  <c r="I114" i="5"/>
  <c r="J114" i="5"/>
  <c r="D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E79" i="5"/>
  <c r="F79" i="5"/>
  <c r="G79" i="5"/>
  <c r="H79" i="5"/>
  <c r="I79" i="5"/>
  <c r="J79" i="5"/>
  <c r="D7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K103" i="5"/>
  <c r="N103" i="5" s="1"/>
  <c r="K104" i="5"/>
  <c r="N104" i="5" s="1"/>
  <c r="K105" i="5"/>
  <c r="N105" i="5" s="1"/>
  <c r="K106" i="5"/>
  <c r="N106" i="5" s="1"/>
  <c r="K107" i="5"/>
  <c r="N107" i="5" s="1"/>
  <c r="K108" i="5"/>
  <c r="N108" i="5" s="1"/>
  <c r="K109" i="5"/>
  <c r="N109" i="5" s="1"/>
  <c r="K110" i="5"/>
  <c r="N110" i="5" s="1"/>
  <c r="K111" i="5"/>
  <c r="N111" i="5" s="1"/>
  <c r="K102" i="5"/>
  <c r="N102" i="5" s="1"/>
  <c r="K112" i="5" l="1"/>
  <c r="N112" i="5" s="1"/>
  <c r="K88" i="5"/>
  <c r="N88" i="5" s="1"/>
  <c r="K67" i="5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14" i="4"/>
  <c r="K91" i="4"/>
  <c r="K92" i="4"/>
  <c r="K93" i="4"/>
  <c r="K94" i="4"/>
  <c r="K95" i="4"/>
  <c r="K96" i="4"/>
  <c r="K97" i="4"/>
  <c r="K98" i="4"/>
  <c r="K99" i="4"/>
  <c r="K90" i="4"/>
  <c r="K80" i="4"/>
  <c r="K81" i="4"/>
  <c r="K82" i="4"/>
  <c r="K83" i="4"/>
  <c r="K84" i="4"/>
  <c r="K85" i="4"/>
  <c r="K86" i="4"/>
  <c r="K87" i="4"/>
  <c r="K79" i="4"/>
  <c r="K70" i="4"/>
  <c r="K71" i="4"/>
  <c r="K72" i="4"/>
  <c r="K73" i="4"/>
  <c r="K74" i="4"/>
  <c r="K75" i="4"/>
  <c r="K76" i="4"/>
  <c r="K69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7" i="4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N75" i="5" s="1"/>
  <c r="K114" i="5"/>
  <c r="N114" i="5" s="1"/>
  <c r="K115" i="5"/>
  <c r="N115" i="5" s="1"/>
  <c r="K137" i="5"/>
  <c r="N137" i="5" s="1"/>
  <c r="K66" i="5"/>
  <c r="N66" i="5" s="1"/>
  <c r="K127" i="5"/>
  <c r="N127" i="5" s="1"/>
  <c r="H138" i="5"/>
  <c r="J138" i="5"/>
  <c r="K76" i="5"/>
  <c r="N76" i="5" s="1"/>
  <c r="K72" i="5"/>
  <c r="N72" i="5" s="1"/>
  <c r="D138" i="5"/>
  <c r="G138" i="5"/>
  <c r="F138" i="5"/>
  <c r="I138" i="5"/>
  <c r="E138" i="5"/>
  <c r="K53" i="5"/>
  <c r="N53" i="5" s="1"/>
  <c r="K50" i="5"/>
  <c r="N50" i="5" s="1"/>
  <c r="K46" i="5"/>
  <c r="N46" i="5" s="1"/>
  <c r="K37" i="5"/>
  <c r="N37" i="5" s="1"/>
  <c r="K33" i="5"/>
  <c r="N33" i="5" s="1"/>
  <c r="K29" i="5"/>
  <c r="N29" i="5" s="1"/>
  <c r="K27" i="5"/>
  <c r="N27" i="5" s="1"/>
  <c r="K11" i="5"/>
  <c r="N11" i="5" s="1"/>
  <c r="K79" i="5"/>
  <c r="N79" i="5" s="1"/>
  <c r="K119" i="5"/>
  <c r="N119" i="5" s="1"/>
  <c r="K81" i="5"/>
  <c r="N81" i="5" s="1"/>
  <c r="K73" i="5"/>
  <c r="N73" i="5" s="1"/>
  <c r="K74" i="5"/>
  <c r="N74" i="5" s="1"/>
  <c r="K59" i="5"/>
  <c r="N59" i="5" s="1"/>
  <c r="K35" i="5"/>
  <c r="N35" i="5" s="1"/>
  <c r="K15" i="5"/>
  <c r="N15" i="5" s="1"/>
  <c r="K43" i="5"/>
  <c r="N43" i="5" s="1"/>
  <c r="K39" i="5"/>
  <c r="N39" i="5" s="1"/>
  <c r="K23" i="5"/>
  <c r="N23" i="5" s="1"/>
  <c r="K19" i="5"/>
  <c r="N19" i="5" s="1"/>
  <c r="K133" i="5"/>
  <c r="N133" i="5" s="1"/>
  <c r="K132" i="5"/>
  <c r="N132" i="5" s="1"/>
  <c r="K128" i="5"/>
  <c r="N128" i="5" s="1"/>
  <c r="K126" i="5"/>
  <c r="N126" i="5" s="1"/>
  <c r="K120" i="5"/>
  <c r="N120" i="5" s="1"/>
  <c r="K116" i="5"/>
  <c r="N116" i="5" s="1"/>
  <c r="K135" i="5"/>
  <c r="N135" i="5" s="1"/>
  <c r="K134" i="5"/>
  <c r="N134" i="5" s="1"/>
  <c r="K131" i="5"/>
  <c r="N131" i="5" s="1"/>
  <c r="K129" i="5"/>
  <c r="N129" i="5" s="1"/>
  <c r="K121" i="5"/>
  <c r="N121" i="5" s="1"/>
  <c r="K117" i="5"/>
  <c r="N117" i="5" s="1"/>
  <c r="K99" i="5"/>
  <c r="N99" i="5" s="1"/>
  <c r="K97" i="5"/>
  <c r="N97" i="5" s="1"/>
  <c r="K94" i="5"/>
  <c r="N94" i="5" s="1"/>
  <c r="K93" i="5"/>
  <c r="N93" i="5" s="1"/>
  <c r="K96" i="5"/>
  <c r="N96" i="5" s="1"/>
  <c r="K95" i="5"/>
  <c r="N95" i="5" s="1"/>
  <c r="K84" i="5"/>
  <c r="N84" i="5" s="1"/>
  <c r="K80" i="5"/>
  <c r="N80" i="5" s="1"/>
  <c r="K83" i="5"/>
  <c r="N83" i="5" s="1"/>
  <c r="K85" i="5"/>
  <c r="N85" i="5" s="1"/>
  <c r="K86" i="5"/>
  <c r="N86" i="5" s="1"/>
  <c r="K82" i="5"/>
  <c r="N82" i="5" s="1"/>
  <c r="K71" i="5"/>
  <c r="N71" i="5" s="1"/>
  <c r="K70" i="5"/>
  <c r="N70" i="5" s="1"/>
  <c r="K56" i="5"/>
  <c r="N56" i="5" s="1"/>
  <c r="K36" i="5"/>
  <c r="N36" i="5" s="1"/>
  <c r="K32" i="5"/>
  <c r="N32" i="5" s="1"/>
  <c r="K28" i="5"/>
  <c r="N28" i="5" s="1"/>
  <c r="K24" i="5"/>
  <c r="N24" i="5" s="1"/>
  <c r="K20" i="5"/>
  <c r="N20" i="5" s="1"/>
  <c r="K16" i="5"/>
  <c r="N16" i="5" s="1"/>
  <c r="K12" i="5"/>
  <c r="N12" i="5" s="1"/>
  <c r="K8" i="5"/>
  <c r="N8" i="5" s="1"/>
  <c r="K55" i="5"/>
  <c r="N55" i="5" s="1"/>
  <c r="K31" i="5"/>
  <c r="N31" i="5" s="1"/>
  <c r="K49" i="5"/>
  <c r="N49" i="5" s="1"/>
  <c r="K21" i="5"/>
  <c r="N21" i="5" s="1"/>
  <c r="K17" i="5"/>
  <c r="N17" i="5" s="1"/>
  <c r="K13" i="5"/>
  <c r="N13" i="5" s="1"/>
  <c r="K9" i="5"/>
  <c r="N9" i="5" s="1"/>
  <c r="K54" i="5"/>
  <c r="N54" i="5" s="1"/>
  <c r="K38" i="5"/>
  <c r="N38" i="5" s="1"/>
  <c r="K34" i="5"/>
  <c r="N34" i="5" s="1"/>
  <c r="K30" i="5"/>
  <c r="N30" i="5" s="1"/>
  <c r="K22" i="5"/>
  <c r="N22" i="5" s="1"/>
  <c r="K18" i="5"/>
  <c r="N18" i="5" s="1"/>
  <c r="K14" i="5"/>
  <c r="N14" i="5" s="1"/>
  <c r="K10" i="5"/>
  <c r="N10" i="5" s="1"/>
  <c r="K63" i="5"/>
  <c r="N63" i="5" s="1"/>
  <c r="K51" i="5"/>
  <c r="N51" i="5" s="1"/>
  <c r="K47" i="5"/>
  <c r="N47" i="5" s="1"/>
  <c r="K64" i="5"/>
  <c r="N64" i="5" s="1"/>
  <c r="K60" i="5"/>
  <c r="N60" i="5" s="1"/>
  <c r="K52" i="5"/>
  <c r="N52" i="5" s="1"/>
  <c r="K48" i="5"/>
  <c r="N48" i="5" s="1"/>
  <c r="K45" i="5"/>
  <c r="N45" i="5" s="1"/>
  <c r="K41" i="5"/>
  <c r="N41" i="5" s="1"/>
  <c r="K62" i="5"/>
  <c r="N62" i="5" s="1"/>
  <c r="K58" i="5"/>
  <c r="N58" i="5" s="1"/>
  <c r="K42" i="5"/>
  <c r="N42" i="5" s="1"/>
  <c r="K25" i="5"/>
  <c r="N25" i="5" s="1"/>
  <c r="K92" i="5"/>
  <c r="N92" i="5" s="1"/>
  <c r="K118" i="5"/>
  <c r="N118" i="5" s="1"/>
  <c r="K136" i="5"/>
  <c r="N136" i="5" s="1"/>
  <c r="K130" i="5"/>
  <c r="N130" i="5" s="1"/>
  <c r="K122" i="5"/>
  <c r="N122" i="5" s="1"/>
  <c r="K65" i="5"/>
  <c r="N65" i="5" s="1"/>
  <c r="K61" i="5"/>
  <c r="N61" i="5" s="1"/>
  <c r="K57" i="5"/>
  <c r="N57" i="5" s="1"/>
  <c r="K44" i="5"/>
  <c r="N44" i="5" s="1"/>
  <c r="K90" i="5"/>
  <c r="N90" i="5" s="1"/>
  <c r="K69" i="5"/>
  <c r="N69" i="5" s="1"/>
  <c r="K7" i="5"/>
  <c r="N7" i="5" s="1"/>
  <c r="K125" i="5"/>
  <c r="N125" i="5" s="1"/>
  <c r="K124" i="5"/>
  <c r="N124" i="5" s="1"/>
  <c r="K98" i="5"/>
  <c r="N98" i="5" s="1"/>
  <c r="K91" i="5"/>
  <c r="N91" i="5" s="1"/>
  <c r="K87" i="5"/>
  <c r="N87" i="5" s="1"/>
  <c r="K123" i="5"/>
  <c r="N123" i="5" s="1"/>
  <c r="K40" i="5"/>
  <c r="N40" i="5" s="1"/>
  <c r="K26" i="5"/>
  <c r="N26" i="5" s="1"/>
  <c r="L138" i="5"/>
  <c r="M138" i="5"/>
  <c r="K100" i="5" l="1"/>
  <c r="N100" i="5" s="1"/>
  <c r="K138" i="5"/>
  <c r="K103" i="3"/>
  <c r="K104" i="3"/>
  <c r="K105" i="3"/>
  <c r="K106" i="3"/>
  <c r="K107" i="3"/>
  <c r="K108" i="3"/>
  <c r="K109" i="3"/>
  <c r="K110" i="3"/>
  <c r="K111" i="3"/>
  <c r="K102" i="3"/>
  <c r="K103" i="4"/>
  <c r="K104" i="4"/>
  <c r="K105" i="4"/>
  <c r="K106" i="4"/>
  <c r="K107" i="4"/>
  <c r="K108" i="4"/>
  <c r="K109" i="4"/>
  <c r="K110" i="4"/>
  <c r="K111" i="4"/>
  <c r="K102" i="4"/>
  <c r="K67" i="3" l="1"/>
  <c r="K100" i="4"/>
  <c r="K112" i="3" l="1"/>
  <c r="K112" i="4"/>
  <c r="K139" i="3" l="1"/>
  <c r="N138" i="5" l="1"/>
</calcChain>
</file>

<file path=xl/sharedStrings.xml><?xml version="1.0" encoding="utf-8"?>
<sst xmlns="http://schemas.openxmlformats.org/spreadsheetml/2006/main" count="615" uniqueCount="156">
  <si>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</si>
  <si>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</si>
  <si>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</si>
  <si>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</si>
  <si>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</si>
  <si>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</si>
  <si>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</si>
  <si>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</si>
  <si>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</si>
  <si>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</si>
  <si>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</si>
  <si>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</si>
  <si>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</si>
  <si>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</si>
  <si>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</si>
  <si>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</si>
  <si>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</si>
  <si>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</si>
  <si>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</si>
  <si>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</si>
  <si>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</si>
  <si>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</si>
  <si>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</si>
  <si>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</si>
  <si>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</si>
  <si>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</si>
  <si>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</si>
  <si>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</si>
  <si>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</si>
  <si>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</si>
  <si>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</si>
  <si>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</si>
  <si>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</si>
  <si>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</si>
  <si>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</si>
  <si>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</si>
  <si>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</si>
  <si>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</si>
  <si>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</si>
  <si>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</si>
  <si>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</si>
  <si>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</si>
  <si>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</si>
  <si>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</si>
  <si>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</si>
  <si>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</si>
  <si>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</si>
  <si>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</si>
  <si>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</si>
  <si>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</si>
  <si>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</si>
  <si>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</si>
  <si>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</si>
  <si>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</si>
  <si>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</si>
  <si>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</si>
  <si>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</si>
  <si>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</si>
  <si>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</si>
  <si>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</si>
  <si>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</si>
  <si>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</si>
  <si>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</si>
  <si>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</si>
  <si>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</si>
  <si>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</si>
  <si>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</si>
  <si>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</si>
  <si>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</si>
  <si>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</si>
  <si>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</si>
  <si>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</si>
  <si>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</si>
  <si>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</si>
  <si>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</si>
  <si>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</si>
  <si>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</si>
  <si>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</si>
  <si>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</si>
  <si>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</si>
  <si>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</si>
  <si>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</si>
  <si>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</si>
  <si>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</si>
  <si>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</si>
  <si>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</si>
  <si>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</si>
  <si>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</si>
  <si>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</si>
  <si>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</si>
  <si>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</si>
  <si>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</si>
  <si>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</si>
  <si>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</si>
  <si>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</si>
  <si>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</si>
  <si>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</si>
  <si>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</si>
  <si>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</si>
  <si>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</si>
  <si>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</si>
  <si>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</si>
  <si>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</si>
  <si>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</si>
  <si>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</si>
  <si>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</si>
  <si>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</si>
  <si>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</si>
  <si>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</si>
  <si>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</si>
  <si>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</si>
  <si>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</si>
  <si>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</si>
  <si>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</si>
  <si>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</si>
  <si>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</si>
  <si>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</si>
  <si>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</si>
  <si>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</si>
  <si>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</si>
  <si>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</si>
  <si>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</si>
  <si>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</si>
  <si>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</si>
  <si>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</si>
  <si>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</si>
  <si>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</si>
  <si>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</si>
  <si>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</si>
  <si>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</si>
  <si>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</si>
  <si>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</si>
  <si>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</si>
  <si>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ชิฟฟอนไส้วิปครีมรวมรส 8 ชิ้น</t>
  </si>
  <si>
    <t>ครีมฮอร์นไส้เนย คละรสทั้งฝอยไม่ฝอย</t>
  </si>
  <si>
    <t>ชิฟฟอนแบบกล่องสุ่มอะไรก็ได้ที่มี</t>
  </si>
  <si>
    <t>เค้กลอดช่อง 1 ปอนด์</t>
  </si>
  <si>
    <t>เค้กลอดช่อง 2 ปอนด์</t>
  </si>
  <si>
    <t>ยอดฟอแคส</t>
  </si>
  <si>
    <t>ชิฟฟอนแยกชิ้น ทุเรียน</t>
  </si>
  <si>
    <t>ชิฟฟอนแยกชิ้น ตาล</t>
  </si>
  <si>
    <t>ชิฟฟอนเค้กฝอยทอง</t>
  </si>
  <si>
    <t>ยอดสตอค</t>
  </si>
  <si>
    <t>แซนวิชโบราณ</t>
  </si>
  <si>
    <t>ติ๊กตอก 2</t>
  </si>
  <si>
    <t>เค้กไข่ไต้หวัน</t>
  </si>
  <si>
    <t>กล่องเปล่าชิฟอน ล</t>
  </si>
  <si>
    <t>ปังไก่หยองน้ำสลัด</t>
  </si>
  <si>
    <t>ปังไก่หยองพริกเผา</t>
  </si>
  <si>
    <t>โดนัทไส้แยมสตอเบอรี่ 2 ชิ้น</t>
  </si>
  <si>
    <t>ชอยส์</t>
  </si>
  <si>
    <t>ติ๊กตอก2</t>
  </si>
  <si>
    <t>ยอดจริง ออนไลน์ วันที่  25/10/2567 - เย็น</t>
  </si>
  <si>
    <t>ยอดจริง ออนไลน์ วันที่ 18/11/2567 รวม</t>
  </si>
  <si>
    <t>ยอดจริง ออนไลน์ วันที่ 18/11/2567  เช้า</t>
  </si>
  <si>
    <t>ยอดจริง ออนไลน์ วันที่  18/11/2567 -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</si>
</sst>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1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K174"/>
  <sheetViews>
    <sheetView topLeftCell="A7" zoomScale="60" zoomScaleNormal="60" workbookViewId="0">
      <selection activeCell="F28" sqref="F2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7.5703125" style="26" customWidth="1"/>
  </cols>
  <sheetData>
    <row r="1" spans="2:11">
      <c r="B1" s="66" t="s">
        <v>152</v>
      </c>
      <c r="C1" s="66"/>
      <c r="D1" s="66"/>
      <c r="E1" s="66"/>
      <c r="F1" s="66"/>
      <c r="G1" s="66"/>
      <c r="H1" s="66"/>
      <c r="I1" s="66"/>
      <c r="J1" s="66"/>
      <c r="K1" s="66"/>
    </row>
    <row r="2" spans="2:11">
      <c r="B2" s="67"/>
      <c r="C2" s="68"/>
      <c r="D2" s="1"/>
      <c r="E2" s="69"/>
      <c r="F2" s="69"/>
      <c r="G2" s="2"/>
      <c r="H2" s="2"/>
      <c r="I2" s="2"/>
      <c r="J2" s="2"/>
      <c r="K2" s="3" t="s">
        <v>0</v>
      </c>
    </row>
    <row r="3" spans="2:11">
      <c r="B3" s="67"/>
      <c r="C3" s="68"/>
      <c r="D3" s="4"/>
      <c r="E3" s="70"/>
      <c r="F3" s="70"/>
      <c r="G3" s="5"/>
      <c r="H3" s="5"/>
      <c r="I3" s="5"/>
      <c r="J3" s="54"/>
      <c r="K3" s="6" t="s">
        <v>2</v>
      </c>
    </row>
    <row r="4" spans="2:11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144</v>
      </c>
      <c r="I4" s="9" t="s">
        <v>9</v>
      </c>
      <c r="J4" s="55" t="s">
        <v>150</v>
      </c>
      <c r="K4" s="10" t="s">
        <v>10</v>
      </c>
    </row>
    <row r="5" spans="2:11">
      <c r="B5" s="11"/>
      <c r="C5" s="12"/>
      <c r="D5" s="13"/>
      <c r="E5" s="9"/>
      <c r="F5" s="9"/>
      <c r="G5" s="9"/>
      <c r="H5" s="9"/>
      <c r="I5" s="9"/>
      <c r="J5" s="55"/>
      <c r="K5" s="14"/>
    </row>
    <row r="6" spans="2:11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</row>
    <row r="7" spans="2:11">
      <c r="B7" s="11">
        <v>1111002</v>
      </c>
      <c r="C7" s="15" t="s">
        <v>111</v>
      </c>
      <c r="D7" s="33"/>
      <c r="E7" s="33"/>
      <c r="F7" s="33"/>
      <c r="G7" s="33"/>
      <c r="H7" s="33"/>
      <c r="I7" s="33"/>
      <c r="J7" s="56"/>
      <c r="K7" s="39">
        <f>SUM(D7:J7)</f>
        <v>0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56"/>
      <c r="K8" s="39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56"/>
      <c r="K9" s="39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56"/>
      <c r="K10" s="39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56"/>
      <c r="K11" s="39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56"/>
      <c r="K12" s="39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56"/>
      <c r="K13" s="39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56"/>
      <c r="K14" s="39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56"/>
      <c r="K15" s="39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56"/>
      <c r="K16" s="39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56"/>
      <c r="K17" s="39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56"/>
      <c r="K18" s="39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56"/>
      <c r="K19" s="39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56"/>
      <c r="K20" s="39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56"/>
      <c r="K21" s="39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56"/>
      <c r="K22" s="39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56"/>
      <c r="K23" s="39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56"/>
      <c r="K24" s="39">
        <f t="shared" si="0"/>
        <v>0</v>
      </c>
    </row>
    <row r="25" spans="2:11">
      <c r="B25" s="11">
        <v>1111056</v>
      </c>
      <c r="C25" s="15" t="s">
        <v>28</v>
      </c>
      <c r="D25" s="33"/>
      <c r="E25" s="33"/>
      <c r="F25" s="33"/>
      <c r="G25" s="33"/>
      <c r="H25" s="33"/>
      <c r="I25" s="33"/>
      <c r="J25" s="56"/>
      <c r="K25" s="39">
        <f t="shared" si="0"/>
        <v>0</v>
      </c>
    </row>
    <row r="26" spans="2:11">
      <c r="B26" s="11">
        <v>1004055</v>
      </c>
      <c r="C26" s="15" t="s">
        <v>112</v>
      </c>
      <c r="D26" s="33"/>
      <c r="E26" s="33"/>
      <c r="F26" s="33"/>
      <c r="G26" s="33"/>
      <c r="H26" s="33"/>
      <c r="I26" s="33"/>
      <c r="J26" s="56"/>
      <c r="K26" s="39">
        <f t="shared" si="0"/>
        <v>0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56"/>
      <c r="K27" s="39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56"/>
      <c r="K28" s="39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56"/>
      <c r="K29" s="39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56"/>
      <c r="K30" s="39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56"/>
      <c r="K31" s="39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56"/>
      <c r="K32" s="39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56"/>
      <c r="K33" s="39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56"/>
      <c r="K34" s="39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56"/>
      <c r="K35" s="39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56"/>
      <c r="K36" s="39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56"/>
      <c r="K37" s="39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56"/>
      <c r="K38" s="39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56"/>
      <c r="K39" s="39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/>
      <c r="G40" s="33"/>
      <c r="H40" s="33"/>
      <c r="I40" s="33"/>
      <c r="J40" s="56"/>
      <c r="K40" s="39">
        <f t="shared" si="0"/>
        <v>0</v>
      </c>
    </row>
    <row r="41" spans="2:11">
      <c r="B41" s="11">
        <v>1111058</v>
      </c>
      <c r="C41" s="15" t="s">
        <v>31</v>
      </c>
      <c r="D41" s="33"/>
      <c r="E41" s="33"/>
      <c r="F41" s="33"/>
      <c r="G41" s="33"/>
      <c r="H41" s="33"/>
      <c r="I41" s="33"/>
      <c r="J41" s="56"/>
      <c r="K41" s="39">
        <f t="shared" si="0"/>
        <v>0</v>
      </c>
    </row>
    <row r="42" spans="2:11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56"/>
      <c r="K42" s="39">
        <f t="shared" si="0"/>
        <v>0</v>
      </c>
    </row>
    <row r="43" spans="2:11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56"/>
      <c r="K43" s="39">
        <f t="shared" si="0"/>
        <v>0</v>
      </c>
    </row>
    <row r="44" spans="2:11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56"/>
      <c r="K44" s="39">
        <f t="shared" si="0"/>
        <v>0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56"/>
      <c r="K45" s="39">
        <f t="shared" si="0"/>
        <v>0</v>
      </c>
    </row>
    <row r="46" spans="2:11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56"/>
      <c r="K46" s="39">
        <f t="shared" si="0"/>
        <v>0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56"/>
      <c r="K47" s="39">
        <f t="shared" si="0"/>
        <v>0</v>
      </c>
    </row>
    <row r="48" spans="2:11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56"/>
      <c r="K48" s="39">
        <f t="shared" si="0"/>
        <v>0</v>
      </c>
    </row>
    <row r="49" spans="2:11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56"/>
      <c r="K49" s="39">
        <f t="shared" si="0"/>
        <v>0</v>
      </c>
    </row>
    <row r="50" spans="2:11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56"/>
      <c r="K50" s="39">
        <f t="shared" si="0"/>
        <v>0</v>
      </c>
    </row>
    <row r="51" spans="2:11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56"/>
      <c r="K51" s="39">
        <f t="shared" si="0"/>
        <v>0</v>
      </c>
    </row>
    <row r="52" spans="2:11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56"/>
      <c r="K52" s="39">
        <f t="shared" si="0"/>
        <v>0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56"/>
      <c r="K53" s="39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56"/>
      <c r="K54" s="39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56"/>
      <c r="K55" s="39">
        <f t="shared" si="0"/>
        <v>0</v>
      </c>
    </row>
    <row r="56" spans="2:11">
      <c r="B56" s="11">
        <v>1111074</v>
      </c>
      <c r="C56" s="15" t="s">
        <v>44</v>
      </c>
      <c r="D56" s="33"/>
      <c r="E56" s="33"/>
      <c r="F56" s="33"/>
      <c r="G56" s="33"/>
      <c r="H56" s="33"/>
      <c r="I56" s="33"/>
      <c r="J56" s="56"/>
      <c r="K56" s="39">
        <f t="shared" si="0"/>
        <v>0</v>
      </c>
    </row>
    <row r="57" spans="2:11">
      <c r="B57" s="11">
        <v>1111075</v>
      </c>
      <c r="C57" s="15" t="s">
        <v>45</v>
      </c>
      <c r="D57" s="33"/>
      <c r="E57" s="33"/>
      <c r="F57" s="33"/>
      <c r="G57" s="33"/>
      <c r="H57" s="33"/>
      <c r="I57" s="33"/>
      <c r="J57" s="56"/>
      <c r="K57" s="39">
        <f t="shared" si="0"/>
        <v>0</v>
      </c>
    </row>
    <row r="58" spans="2:11">
      <c r="B58" s="11">
        <v>1111076</v>
      </c>
      <c r="C58" s="15" t="s">
        <v>46</v>
      </c>
      <c r="D58" s="33"/>
      <c r="E58" s="33"/>
      <c r="F58" s="33"/>
      <c r="G58" s="33"/>
      <c r="H58" s="33"/>
      <c r="I58" s="33"/>
      <c r="J58" s="56"/>
      <c r="K58" s="39">
        <f t="shared" si="0"/>
        <v>0</v>
      </c>
    </row>
    <row r="59" spans="2:11">
      <c r="B59" s="11">
        <v>1111077</v>
      </c>
      <c r="C59" s="15" t="s">
        <v>47</v>
      </c>
      <c r="D59" s="33"/>
      <c r="E59" s="33"/>
      <c r="F59" s="33"/>
      <c r="G59" s="33"/>
      <c r="H59" s="33"/>
      <c r="I59" s="33"/>
      <c r="J59" s="56"/>
      <c r="K59" s="39">
        <f t="shared" si="0"/>
        <v>0</v>
      </c>
    </row>
    <row r="60" spans="2:11">
      <c r="B60" s="11">
        <v>1111078</v>
      </c>
      <c r="C60" s="15" t="s">
        <v>48</v>
      </c>
      <c r="D60" s="33"/>
      <c r="E60" s="33"/>
      <c r="F60" s="33"/>
      <c r="G60" s="33"/>
      <c r="H60" s="33"/>
      <c r="I60" s="33"/>
      <c r="J60" s="56"/>
      <c r="K60" s="39">
        <f t="shared" si="0"/>
        <v>0</v>
      </c>
    </row>
    <row r="61" spans="2:11">
      <c r="B61" s="11">
        <v>1111079</v>
      </c>
      <c r="C61" s="15" t="s">
        <v>49</v>
      </c>
      <c r="D61" s="33"/>
      <c r="E61" s="33"/>
      <c r="F61" s="33"/>
      <c r="G61" s="33"/>
      <c r="H61" s="33"/>
      <c r="I61" s="33"/>
      <c r="J61" s="56"/>
      <c r="K61" s="39">
        <f t="shared" si="0"/>
        <v>0</v>
      </c>
    </row>
    <row r="62" spans="2:11">
      <c r="B62" s="11">
        <v>1111080</v>
      </c>
      <c r="C62" s="15" t="s">
        <v>50</v>
      </c>
      <c r="D62" s="33"/>
      <c r="E62" s="33"/>
      <c r="F62" s="33"/>
      <c r="G62" s="33"/>
      <c r="H62" s="33"/>
      <c r="I62" s="33"/>
      <c r="J62" s="56"/>
      <c r="K62" s="39">
        <f t="shared" si="0"/>
        <v>0</v>
      </c>
    </row>
    <row r="63" spans="2:11">
      <c r="B63" s="11">
        <v>1111081</v>
      </c>
      <c r="C63" s="15" t="s">
        <v>51</v>
      </c>
      <c r="D63" s="33"/>
      <c r="E63" s="33"/>
      <c r="F63" s="33"/>
      <c r="G63" s="33"/>
      <c r="H63" s="33"/>
      <c r="I63" s="33"/>
      <c r="J63" s="56"/>
      <c r="K63" s="39">
        <f t="shared" si="0"/>
        <v>0</v>
      </c>
    </row>
    <row r="64" spans="2:11">
      <c r="B64" s="11">
        <v>1111082</v>
      </c>
      <c r="C64" s="15" t="s">
        <v>52</v>
      </c>
      <c r="D64" s="33"/>
      <c r="E64" s="33"/>
      <c r="F64" s="33"/>
      <c r="G64" s="33"/>
      <c r="H64" s="33"/>
      <c r="I64" s="33"/>
      <c r="J64" s="56"/>
      <c r="K64" s="39">
        <f t="shared" si="0"/>
        <v>0</v>
      </c>
    </row>
    <row r="65" spans="2:11">
      <c r="B65" s="11">
        <v>1111083</v>
      </c>
      <c r="C65" s="15" t="s">
        <v>53</v>
      </c>
      <c r="D65" s="33"/>
      <c r="E65" s="33"/>
      <c r="F65" s="33"/>
      <c r="G65" s="33"/>
      <c r="H65" s="33"/>
      <c r="I65" s="33"/>
      <c r="J65" s="56"/>
      <c r="K65" s="39">
        <f t="shared" si="0"/>
        <v>0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56"/>
      <c r="K66" s="39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19"/>
    </row>
    <row r="68" spans="2:11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</row>
    <row r="69" spans="2:11">
      <c r="B69" s="11">
        <v>1111009</v>
      </c>
      <c r="C69" s="20" t="s">
        <v>56</v>
      </c>
      <c r="D69" s="33"/>
      <c r="E69" s="33"/>
      <c r="F69" s="33"/>
      <c r="G69" s="33"/>
      <c r="H69" s="33"/>
      <c r="I69" s="33"/>
      <c r="J69" s="56"/>
      <c r="K69" s="39">
        <f>SUM(D69:J69)</f>
        <v>0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56"/>
      <c r="K70" s="39">
        <f t="shared" ref="K70:K76" si="1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56"/>
      <c r="K71" s="39">
        <f t="shared" si="1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56"/>
      <c r="K72" s="39">
        <f t="shared" si="1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56"/>
      <c r="K73" s="39">
        <f t="shared" si="1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56"/>
      <c r="K74" s="39">
        <f t="shared" si="1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56"/>
      <c r="K75" s="39">
        <f t="shared" si="1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56"/>
      <c r="K76" s="39">
        <f t="shared" si="1"/>
        <v>0</v>
      </c>
    </row>
    <row r="77" spans="2:1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19"/>
    </row>
    <row r="78" spans="2:11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56"/>
      <c r="K79" s="39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56"/>
      <c r="K80" s="39">
        <f t="shared" ref="K80:K87" si="2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56"/>
      <c r="K81" s="39">
        <f t="shared" si="2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56"/>
      <c r="K82" s="39">
        <f t="shared" si="2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56"/>
      <c r="K83" s="39">
        <f t="shared" si="2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56"/>
      <c r="K84" s="39">
        <f t="shared" si="2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56"/>
      <c r="K85" s="39">
        <f t="shared" si="2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56"/>
      <c r="K86" s="39">
        <f t="shared" si="2"/>
        <v>0</v>
      </c>
    </row>
    <row r="87" spans="2:11">
      <c r="B87" s="11">
        <v>1111008</v>
      </c>
      <c r="C87" s="20" t="s">
        <v>73</v>
      </c>
      <c r="D87" s="33"/>
      <c r="E87" s="33"/>
      <c r="F87" s="33"/>
      <c r="G87" s="33"/>
      <c r="H87" s="33"/>
      <c r="I87" s="33"/>
      <c r="J87" s="56"/>
      <c r="K87" s="39">
        <f t="shared" si="2"/>
        <v>0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19"/>
    </row>
    <row r="89" spans="2:11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</row>
    <row r="90" spans="2:11">
      <c r="B90" s="11">
        <v>1112009</v>
      </c>
      <c r="C90" s="20" t="s">
        <v>75</v>
      </c>
      <c r="D90" s="33"/>
      <c r="E90" s="33"/>
      <c r="F90" s="33"/>
      <c r="G90" s="33"/>
      <c r="H90" s="33"/>
      <c r="I90" s="33"/>
      <c r="J90" s="56"/>
      <c r="K90" s="39">
        <f>SUM(D90:J90)</f>
        <v>0</v>
      </c>
    </row>
    <row r="91" spans="2:11">
      <c r="B91" s="11">
        <v>1112011</v>
      </c>
      <c r="C91" s="20" t="s">
        <v>76</v>
      </c>
      <c r="D91" s="33"/>
      <c r="E91" s="33"/>
      <c r="F91" s="33"/>
      <c r="G91" s="33"/>
      <c r="H91" s="33"/>
      <c r="I91" s="33"/>
      <c r="J91" s="56"/>
      <c r="K91" s="39">
        <f t="shared" ref="K91:K99" si="3">SUM(D91:J91)</f>
        <v>0</v>
      </c>
    </row>
    <row r="92" spans="2:11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56"/>
      <c r="K92" s="39">
        <f t="shared" si="3"/>
        <v>0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56"/>
      <c r="K93" s="39">
        <f t="shared" si="3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56"/>
      <c r="K94" s="39">
        <f t="shared" si="3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56"/>
      <c r="K95" s="39">
        <f t="shared" si="3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56"/>
      <c r="K96" s="39">
        <f t="shared" si="3"/>
        <v>0</v>
      </c>
    </row>
    <row r="97" spans="2:11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56"/>
      <c r="K97" s="39">
        <f t="shared" si="3"/>
        <v>0</v>
      </c>
    </row>
    <row r="98" spans="2:11">
      <c r="B98" s="11">
        <v>1112013</v>
      </c>
      <c r="C98" s="20" t="s">
        <v>83</v>
      </c>
      <c r="D98" s="33"/>
      <c r="E98" s="33"/>
      <c r="F98" s="33"/>
      <c r="G98" s="33"/>
      <c r="H98" s="33"/>
      <c r="I98" s="33"/>
      <c r="J98" s="56"/>
      <c r="K98" s="39">
        <f t="shared" si="3"/>
        <v>0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56"/>
      <c r="K99" s="39">
        <f t="shared" si="3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 t="shared" ref="K100" si="4">SUM(D100:I100)</f>
        <v>0</v>
      </c>
    </row>
    <row r="101" spans="2:11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56"/>
      <c r="K102" s="39">
        <f>SUM(D102:G102)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56"/>
      <c r="K103" s="39">
        <f t="shared" ref="K103:K111" si="5">SUM(D103:G103)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56"/>
      <c r="K104" s="39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56"/>
      <c r="K105" s="39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56"/>
      <c r="K106" s="39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56"/>
      <c r="K107" s="39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56"/>
      <c r="K108" s="39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56"/>
      <c r="K109" s="39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56"/>
      <c r="K110" s="39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56"/>
      <c r="K111" s="39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19">
        <f>SUM(K102:K110)</f>
        <v>0</v>
      </c>
    </row>
    <row r="113" spans="2:11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56"/>
      <c r="K114" s="39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56"/>
      <c r="K115" s="39">
        <f t="shared" ref="K115:K153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56"/>
      <c r="K116" s="39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56"/>
      <c r="K117" s="39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56"/>
      <c r="K118" s="39">
        <f t="shared" si="6"/>
        <v>0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56"/>
      <c r="K119" s="39">
        <f t="shared" si="6"/>
        <v>0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56"/>
      <c r="K120" s="39">
        <f t="shared" si="6"/>
        <v>0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56"/>
      <c r="K121" s="39">
        <f t="shared" si="6"/>
        <v>0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56"/>
      <c r="K122" s="39">
        <f t="shared" si="6"/>
        <v>0</v>
      </c>
    </row>
    <row r="123" spans="2:11">
      <c r="B123" s="11">
        <v>1114501</v>
      </c>
      <c r="C123" s="22" t="s">
        <v>95</v>
      </c>
      <c r="D123" s="33"/>
      <c r="E123" s="33"/>
      <c r="F123" s="33"/>
      <c r="G123" s="33"/>
      <c r="H123" s="33"/>
      <c r="I123" s="33"/>
      <c r="J123" s="56"/>
      <c r="K123" s="39">
        <f t="shared" si="6"/>
        <v>0</v>
      </c>
    </row>
    <row r="124" spans="2:11">
      <c r="B124" s="11">
        <v>1114502</v>
      </c>
      <c r="C124" s="22" t="s">
        <v>96</v>
      </c>
      <c r="D124" s="33"/>
      <c r="E124" s="33"/>
      <c r="F124" s="33"/>
      <c r="G124" s="33"/>
      <c r="H124" s="33"/>
      <c r="I124" s="33"/>
      <c r="J124" s="56"/>
      <c r="K124" s="39">
        <f t="shared" si="6"/>
        <v>0</v>
      </c>
    </row>
    <row r="125" spans="2:11">
      <c r="B125" s="11">
        <v>1114503</v>
      </c>
      <c r="C125" s="22" t="s">
        <v>97</v>
      </c>
      <c r="D125" s="33"/>
      <c r="E125" s="33"/>
      <c r="F125" s="33"/>
      <c r="G125" s="33"/>
      <c r="H125" s="33"/>
      <c r="I125" s="33"/>
      <c r="J125" s="56"/>
      <c r="K125" s="39">
        <f t="shared" si="6"/>
        <v>0</v>
      </c>
    </row>
    <row r="126" spans="2:11">
      <c r="B126" s="11">
        <v>1113175</v>
      </c>
      <c r="C126" s="22" t="s">
        <v>130</v>
      </c>
      <c r="D126" s="33"/>
      <c r="E126" s="33"/>
      <c r="F126" s="33"/>
      <c r="G126" s="33"/>
      <c r="H126" s="33"/>
      <c r="I126" s="33"/>
      <c r="J126" s="56"/>
      <c r="K126" s="39">
        <f t="shared" si="6"/>
        <v>0</v>
      </c>
    </row>
    <row r="127" spans="2:11">
      <c r="B127" s="11">
        <v>1113176</v>
      </c>
      <c r="C127" s="22" t="s">
        <v>131</v>
      </c>
      <c r="D127" s="33"/>
      <c r="E127" s="33"/>
      <c r="F127" s="33"/>
      <c r="G127" s="33"/>
      <c r="H127" s="33"/>
      <c r="I127" s="33"/>
      <c r="J127" s="56"/>
      <c r="K127" s="39">
        <f t="shared" si="6"/>
        <v>0</v>
      </c>
    </row>
    <row r="128" spans="2:11">
      <c r="B128" s="11">
        <v>1113177</v>
      </c>
      <c r="C128" s="22" t="s">
        <v>132</v>
      </c>
      <c r="D128" s="33"/>
      <c r="E128" s="33"/>
      <c r="F128" s="33"/>
      <c r="G128" s="33"/>
      <c r="H128" s="33"/>
      <c r="I128" s="33"/>
      <c r="J128" s="56"/>
      <c r="K128" s="39">
        <f t="shared" si="6"/>
        <v>0</v>
      </c>
    </row>
    <row r="129" spans="2:11">
      <c r="B129" s="11"/>
      <c r="C129" s="22" t="s">
        <v>134</v>
      </c>
      <c r="D129" s="33"/>
      <c r="E129" s="33"/>
      <c r="F129" s="33"/>
      <c r="G129" s="33"/>
      <c r="H129" s="33"/>
      <c r="I129" s="33"/>
      <c r="J129" s="56"/>
      <c r="K129" s="39">
        <f t="shared" si="6"/>
        <v>0</v>
      </c>
    </row>
    <row r="130" spans="2:11">
      <c r="B130" s="11">
        <v>1124021</v>
      </c>
      <c r="C130" s="22" t="s">
        <v>98</v>
      </c>
      <c r="D130" s="33"/>
      <c r="E130" s="33"/>
      <c r="F130" s="33"/>
      <c r="G130" s="33"/>
      <c r="H130" s="33"/>
      <c r="I130" s="33"/>
      <c r="J130" s="56"/>
      <c r="K130" s="39">
        <f t="shared" si="6"/>
        <v>0</v>
      </c>
    </row>
    <row r="131" spans="2:11">
      <c r="B131" s="11">
        <v>1113084</v>
      </c>
      <c r="C131" s="22" t="s">
        <v>99</v>
      </c>
      <c r="D131" s="33"/>
      <c r="E131" s="33"/>
      <c r="F131" s="33"/>
      <c r="G131" s="33"/>
      <c r="H131" s="33"/>
      <c r="I131" s="33"/>
      <c r="J131" s="56"/>
      <c r="K131" s="39">
        <f t="shared" si="6"/>
        <v>0</v>
      </c>
    </row>
    <row r="132" spans="2:11">
      <c r="B132" s="11">
        <v>900003</v>
      </c>
      <c r="C132" s="22" t="s">
        <v>146</v>
      </c>
      <c r="D132" s="33"/>
      <c r="E132" s="33"/>
      <c r="F132" s="33"/>
      <c r="G132" s="33"/>
      <c r="H132" s="33"/>
      <c r="I132" s="33"/>
      <c r="J132" s="56"/>
      <c r="K132" s="39">
        <f t="shared" si="6"/>
        <v>0</v>
      </c>
    </row>
    <row r="133" spans="2:11">
      <c r="B133" s="11">
        <v>900004</v>
      </c>
      <c r="C133" s="22" t="s">
        <v>100</v>
      </c>
      <c r="D133" s="33"/>
      <c r="E133" s="33"/>
      <c r="F133" s="33"/>
      <c r="G133" s="33"/>
      <c r="H133" s="33"/>
      <c r="I133" s="33"/>
      <c r="J133" s="56"/>
      <c r="K133" s="39">
        <f t="shared" si="6"/>
        <v>0</v>
      </c>
    </row>
    <row r="134" spans="2:11">
      <c r="B134" s="11">
        <v>1004093</v>
      </c>
      <c r="C134" s="22" t="s">
        <v>101</v>
      </c>
      <c r="D134" s="33"/>
      <c r="E134" s="33"/>
      <c r="F134" s="33"/>
      <c r="G134" s="33"/>
      <c r="H134" s="33"/>
      <c r="I134" s="33"/>
      <c r="J134" s="56"/>
      <c r="K134" s="39">
        <f t="shared" si="6"/>
        <v>0</v>
      </c>
    </row>
    <row r="135" spans="2:11">
      <c r="B135" s="11">
        <v>1004092</v>
      </c>
      <c r="C135" s="22" t="s">
        <v>102</v>
      </c>
      <c r="D135" s="33"/>
      <c r="E135" s="33"/>
      <c r="F135" s="33"/>
      <c r="G135" s="33"/>
      <c r="H135" s="33"/>
      <c r="I135" s="33"/>
      <c r="J135" s="56"/>
      <c r="K135" s="39">
        <f t="shared" si="6"/>
        <v>0</v>
      </c>
    </row>
    <row r="136" spans="2:11">
      <c r="B136" s="11">
        <v>1004091</v>
      </c>
      <c r="C136" s="22" t="s">
        <v>103</v>
      </c>
      <c r="D136" s="33"/>
      <c r="E136" s="33"/>
      <c r="F136" s="33"/>
      <c r="G136" s="33"/>
      <c r="H136" s="33"/>
      <c r="I136" s="33"/>
      <c r="J136" s="56"/>
      <c r="K136" s="39">
        <f t="shared" si="6"/>
        <v>0</v>
      </c>
    </row>
    <row r="137" spans="2:11">
      <c r="B137" s="11">
        <v>1200002</v>
      </c>
      <c r="C137" s="22" t="s">
        <v>104</v>
      </c>
      <c r="D137" s="33"/>
      <c r="E137" s="33"/>
      <c r="F137" s="33"/>
      <c r="G137" s="33"/>
      <c r="H137" s="33"/>
      <c r="I137" s="33"/>
      <c r="J137" s="56"/>
      <c r="K137" s="39">
        <f t="shared" si="6"/>
        <v>0</v>
      </c>
    </row>
    <row r="138" spans="2:11">
      <c r="B138" s="11">
        <v>1200003</v>
      </c>
      <c r="C138" s="22" t="s">
        <v>105</v>
      </c>
      <c r="D138" s="33"/>
      <c r="E138" s="33"/>
      <c r="F138" s="33"/>
      <c r="G138" s="33"/>
      <c r="H138" s="33"/>
      <c r="I138" s="33"/>
      <c r="J138" s="56"/>
      <c r="K138" s="39">
        <f t="shared" si="6"/>
        <v>0</v>
      </c>
    </row>
    <row r="139" spans="2:11">
      <c r="B139" s="11">
        <v>1200004</v>
      </c>
      <c r="C139" s="22" t="s">
        <v>106</v>
      </c>
      <c r="D139" s="33"/>
      <c r="E139" s="33"/>
      <c r="F139" s="33"/>
      <c r="G139" s="33"/>
      <c r="H139" s="33"/>
      <c r="I139" s="33"/>
      <c r="J139" s="56"/>
      <c r="K139" s="39">
        <f t="shared" si="6"/>
        <v>0</v>
      </c>
    </row>
    <row r="140" spans="2:11">
      <c r="B140" s="11">
        <v>1200093</v>
      </c>
      <c r="C140" s="22" t="s">
        <v>91</v>
      </c>
      <c r="D140" s="33"/>
      <c r="E140" s="33"/>
      <c r="F140" s="33"/>
      <c r="G140" s="33"/>
      <c r="H140" s="33"/>
      <c r="I140" s="33"/>
      <c r="J140" s="56"/>
      <c r="K140" s="39">
        <f t="shared" si="6"/>
        <v>0</v>
      </c>
    </row>
    <row r="141" spans="2:11">
      <c r="B141" s="11">
        <v>1200092</v>
      </c>
      <c r="C141" s="20" t="s">
        <v>92</v>
      </c>
      <c r="D141" s="33"/>
      <c r="E141" s="33"/>
      <c r="F141" s="33"/>
      <c r="G141" s="33"/>
      <c r="H141" s="33"/>
      <c r="I141" s="33"/>
      <c r="J141" s="56"/>
      <c r="K141" s="39">
        <f t="shared" si="6"/>
        <v>0</v>
      </c>
    </row>
    <row r="142" spans="2:11">
      <c r="B142" s="23"/>
      <c r="C142" s="22" t="s">
        <v>128</v>
      </c>
      <c r="D142" s="33"/>
      <c r="E142" s="33"/>
      <c r="F142" s="33"/>
      <c r="G142" s="33"/>
      <c r="H142" s="33"/>
      <c r="I142" s="33"/>
      <c r="J142" s="56"/>
      <c r="K142" s="39">
        <f t="shared" si="6"/>
        <v>0</v>
      </c>
    </row>
    <row r="143" spans="2:11">
      <c r="B143" s="23"/>
      <c r="C143" s="22" t="s">
        <v>129</v>
      </c>
      <c r="D143" s="33"/>
      <c r="E143" s="33"/>
      <c r="F143" s="33"/>
      <c r="G143" s="33"/>
      <c r="H143" s="33"/>
      <c r="I143" s="33"/>
      <c r="J143" s="56"/>
      <c r="K143" s="39">
        <f t="shared" si="6"/>
        <v>0</v>
      </c>
    </row>
    <row r="144" spans="2:11">
      <c r="B144" s="23">
        <v>1113157</v>
      </c>
      <c r="C144" s="22" t="s">
        <v>107</v>
      </c>
      <c r="D144" s="33"/>
      <c r="E144" s="33"/>
      <c r="F144" s="33"/>
      <c r="G144" s="33"/>
      <c r="H144" s="33"/>
      <c r="I144" s="33"/>
      <c r="J144" s="56"/>
      <c r="K144" s="39">
        <f t="shared" si="6"/>
        <v>0</v>
      </c>
    </row>
    <row r="145" spans="2:11">
      <c r="B145" s="27"/>
      <c r="C145" s="22" t="s">
        <v>136</v>
      </c>
      <c r="D145" s="33"/>
      <c r="E145" s="33"/>
      <c r="F145" s="33"/>
      <c r="G145" s="33"/>
      <c r="H145" s="33"/>
      <c r="I145" s="33"/>
      <c r="J145" s="56"/>
      <c r="K145" s="39">
        <f t="shared" si="6"/>
        <v>0</v>
      </c>
    </row>
    <row r="146" spans="2:11">
      <c r="B146" s="27"/>
      <c r="C146" s="22" t="s">
        <v>137</v>
      </c>
      <c r="D146" s="33"/>
      <c r="E146" s="33"/>
      <c r="F146" s="33"/>
      <c r="G146" s="33"/>
      <c r="H146" s="33"/>
      <c r="I146" s="33"/>
      <c r="J146" s="56"/>
      <c r="K146" s="39">
        <f t="shared" si="6"/>
        <v>0</v>
      </c>
    </row>
    <row r="147" spans="2:11">
      <c r="B147" s="27">
        <v>1111006</v>
      </c>
      <c r="C147" s="28" t="s">
        <v>133</v>
      </c>
      <c r="D147" s="33"/>
      <c r="E147" s="33"/>
      <c r="F147" s="33"/>
      <c r="G147" s="33"/>
      <c r="H147" s="33"/>
      <c r="I147" s="33"/>
      <c r="J147" s="56"/>
      <c r="K147" s="39">
        <f t="shared" si="6"/>
        <v>0</v>
      </c>
    </row>
    <row r="148" spans="2:11">
      <c r="B148" s="23"/>
      <c r="C148" s="22" t="s">
        <v>141</v>
      </c>
      <c r="D148" s="33"/>
      <c r="E148" s="33"/>
      <c r="F148" s="33"/>
      <c r="G148" s="33"/>
      <c r="H148" s="33"/>
      <c r="I148" s="33"/>
      <c r="J148" s="56"/>
      <c r="K148" s="39">
        <f t="shared" si="6"/>
        <v>0</v>
      </c>
    </row>
    <row r="149" spans="2:11">
      <c r="B149" s="23">
        <v>20052721</v>
      </c>
      <c r="C149" s="22" t="s">
        <v>143</v>
      </c>
      <c r="D149" s="33"/>
      <c r="E149" s="33"/>
      <c r="F149" s="33"/>
      <c r="G149" s="33"/>
      <c r="H149" s="33"/>
      <c r="I149" s="33"/>
      <c r="J149" s="56"/>
      <c r="K149" s="39">
        <f t="shared" si="6"/>
        <v>0</v>
      </c>
    </row>
    <row r="150" spans="2:11">
      <c r="B150" s="11">
        <v>1113023</v>
      </c>
      <c r="C150" s="22" t="s">
        <v>145</v>
      </c>
      <c r="D150" s="42"/>
      <c r="E150" s="42"/>
      <c r="F150" s="42"/>
      <c r="G150" s="42"/>
      <c r="H150" s="42"/>
      <c r="I150" s="42"/>
      <c r="J150" s="57"/>
      <c r="K150" s="39">
        <f t="shared" si="6"/>
        <v>0</v>
      </c>
    </row>
    <row r="151" spans="2:11">
      <c r="B151" s="11">
        <v>1300008</v>
      </c>
      <c r="C151" s="22" t="s">
        <v>147</v>
      </c>
      <c r="D151" s="42"/>
      <c r="E151" s="42"/>
      <c r="F151" s="42"/>
      <c r="G151" s="42"/>
      <c r="H151" s="42"/>
      <c r="I151" s="42"/>
      <c r="J151" s="57"/>
      <c r="K151" s="39">
        <f t="shared" si="6"/>
        <v>0</v>
      </c>
    </row>
    <row r="152" spans="2:11">
      <c r="B152" s="11">
        <v>1300009</v>
      </c>
      <c r="C152" s="22" t="s">
        <v>148</v>
      </c>
      <c r="D152" s="42"/>
      <c r="E152" s="42"/>
      <c r="F152" s="42"/>
      <c r="G152" s="42"/>
      <c r="H152" s="42"/>
      <c r="I152" s="42"/>
      <c r="J152" s="57"/>
      <c r="K152" s="39">
        <f t="shared" si="6"/>
        <v>0</v>
      </c>
    </row>
    <row r="153" spans="2:11">
      <c r="B153" s="11">
        <v>1124051</v>
      </c>
      <c r="C153" s="22" t="s">
        <v>149</v>
      </c>
      <c r="D153" s="42"/>
      <c r="E153" s="42"/>
      <c r="F153" s="42"/>
      <c r="G153" s="42"/>
      <c r="H153" s="42"/>
      <c r="I153" s="42"/>
      <c r="J153" s="57"/>
      <c r="K153" s="39">
        <f t="shared" si="6"/>
        <v>0</v>
      </c>
    </row>
    <row r="154" spans="2:11">
      <c r="C154" s="38"/>
      <c r="D154" s="40"/>
      <c r="E154" s="40"/>
      <c r="F154" s="40"/>
      <c r="G154" s="40"/>
      <c r="H154" s="40"/>
      <c r="I154" s="40"/>
      <c r="J154" s="40"/>
      <c r="K154" s="41"/>
    </row>
    <row r="155" spans="2:11">
      <c r="C155" s="25"/>
      <c r="D155" s="34"/>
      <c r="E155" s="63"/>
      <c r="F155" s="63"/>
      <c r="G155" s="29"/>
      <c r="K155" s="41"/>
    </row>
    <row r="156" spans="2:11">
      <c r="B156" s="63" t="s">
        <v>108</v>
      </c>
      <c r="C156" s="63"/>
      <c r="D156" s="35"/>
      <c r="E156" s="62"/>
      <c r="F156" s="62"/>
      <c r="G156" s="30"/>
      <c r="H156" s="29"/>
      <c r="I156" s="63" t="s">
        <v>108</v>
      </c>
      <c r="J156" s="63"/>
      <c r="K156" s="63"/>
    </row>
    <row r="157" spans="2:11">
      <c r="B157" s="62" t="s">
        <v>109</v>
      </c>
      <c r="C157" s="62"/>
      <c r="D157" s="36"/>
      <c r="E157" s="36"/>
      <c r="F157" s="36"/>
      <c r="G157" s="36"/>
      <c r="H157" s="36"/>
      <c r="I157" s="62" t="s">
        <v>110</v>
      </c>
      <c r="J157" s="62"/>
      <c r="K157" s="62"/>
    </row>
    <row r="158" spans="2:11">
      <c r="B158" s="34"/>
      <c r="C158" s="34"/>
      <c r="D158" s="36"/>
      <c r="E158" s="36"/>
      <c r="F158" s="36"/>
      <c r="G158" s="36"/>
      <c r="H158" s="36"/>
      <c r="I158" s="34"/>
      <c r="J158" s="34"/>
      <c r="K158" s="37"/>
    </row>
    <row r="159" spans="2:11" ht="15">
      <c r="B159" s="34"/>
      <c r="C159" s="34"/>
      <c r="D159" s="34"/>
      <c r="E159" s="34"/>
      <c r="F159" s="34"/>
      <c r="G159" s="34"/>
      <c r="H159" s="34"/>
      <c r="I159" s="34"/>
      <c r="J159" s="34"/>
      <c r="K159" s="37"/>
    </row>
    <row r="160" spans="2:11" ht="15">
      <c r="B160" s="34"/>
      <c r="C160" s="34"/>
      <c r="D160" s="34"/>
      <c r="E160" s="34"/>
      <c r="F160" s="34"/>
      <c r="G160" s="34"/>
      <c r="H160" s="34"/>
      <c r="I160" s="34"/>
      <c r="J160" s="34"/>
      <c r="K160" s="37"/>
    </row>
    <row r="161" spans="2:11" ht="15">
      <c r="B161" s="34"/>
      <c r="C161" s="34"/>
      <c r="D161" s="34"/>
      <c r="E161" s="34"/>
      <c r="F161" s="34"/>
      <c r="G161" s="34"/>
      <c r="H161" s="34"/>
      <c r="I161" s="34"/>
      <c r="J161" s="34"/>
      <c r="K161" s="37"/>
    </row>
    <row r="162" spans="2:11" ht="15">
      <c r="B162" s="34"/>
      <c r="C162" s="34"/>
      <c r="D162" s="34"/>
      <c r="E162" s="34"/>
      <c r="F162" s="34"/>
      <c r="G162" s="34"/>
      <c r="H162" s="34"/>
      <c r="I162" s="34"/>
      <c r="J162" s="34"/>
      <c r="K162" s="37"/>
    </row>
    <row r="163" spans="2:11" ht="15">
      <c r="B163" s="34"/>
      <c r="C163" s="34"/>
      <c r="D163" s="34"/>
      <c r="E163" s="34"/>
      <c r="F163" s="34"/>
      <c r="G163" s="34"/>
      <c r="H163" s="34"/>
      <c r="I163" s="34"/>
      <c r="J163" s="34"/>
      <c r="K163" s="37"/>
    </row>
    <row r="164" spans="2:11">
      <c r="D164" s="34"/>
      <c r="E164" s="34"/>
      <c r="F164" s="34"/>
      <c r="G164" s="34"/>
      <c r="H164" s="34"/>
    </row>
    <row r="165" spans="2:11">
      <c r="D165" s="34"/>
      <c r="E165" s="34"/>
      <c r="F165" s="34"/>
      <c r="G165" s="34"/>
      <c r="H165" s="34"/>
    </row>
    <row r="166" spans="2:11">
      <c r="D166" s="34"/>
      <c r="E166" s="34"/>
      <c r="F166" s="34"/>
      <c r="G166" s="34"/>
      <c r="H166" s="34"/>
    </row>
    <row r="167" spans="2:11">
      <c r="D167" s="34"/>
      <c r="E167" s="34"/>
      <c r="F167" s="34"/>
      <c r="G167" s="34"/>
      <c r="H167" s="34"/>
    </row>
    <row r="168" spans="2:11">
      <c r="D168" s="34"/>
      <c r="E168" s="34"/>
      <c r="F168" s="34"/>
      <c r="G168" s="34"/>
      <c r="H168" s="34"/>
    </row>
    <row r="169" spans="2:11">
      <c r="D169" s="34"/>
      <c r="E169" s="34"/>
      <c r="F169" s="34"/>
      <c r="G169" s="34"/>
      <c r="H169" s="34"/>
    </row>
    <row r="170" spans="2:11">
      <c r="D170" s="34"/>
      <c r="E170" s="34"/>
      <c r="F170" s="34"/>
      <c r="G170" s="34"/>
      <c r="H170" s="34"/>
    </row>
    <row r="171" spans="2:11">
      <c r="D171" s="34"/>
      <c r="E171" s="34"/>
      <c r="F171" s="34"/>
      <c r="G171" s="34"/>
      <c r="H171" s="34"/>
    </row>
    <row r="172" spans="2:11">
      <c r="D172" s="34"/>
      <c r="E172" s="34"/>
      <c r="F172" s="34"/>
      <c r="G172" s="34"/>
      <c r="H172" s="34"/>
    </row>
    <row r="173" spans="2:11">
      <c r="D173" s="34"/>
      <c r="E173" s="34"/>
      <c r="F173" s="34"/>
      <c r="G173" s="34"/>
      <c r="H173" s="34"/>
    </row>
    <row r="174" spans="2:11">
      <c r="D174" s="34"/>
      <c r="E174" s="34"/>
      <c r="F174" s="34"/>
      <c r="G174" s="34"/>
      <c r="H174" s="34"/>
    </row>
  </sheetData>
  <mergeCells count="15">
    <mergeCell ref="B6:K6"/>
    <mergeCell ref="B1:K1"/>
    <mergeCell ref="B2:C3"/>
    <mergeCell ref="E2:F3"/>
    <mergeCell ref="E155:F155"/>
    <mergeCell ref="B68:K68"/>
    <mergeCell ref="B78:K78"/>
    <mergeCell ref="B89:K89"/>
    <mergeCell ref="B101:K101"/>
    <mergeCell ref="B113:K113"/>
    <mergeCell ref="B157:C157"/>
    <mergeCell ref="I157:K157"/>
    <mergeCell ref="B156:C156"/>
    <mergeCell ref="E156:F156"/>
    <mergeCell ref="I156:K156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zoomScale="60" zoomScaleNormal="60" workbookViewId="0">
      <selection activeCell="H2" sqref="H1:K1048576"/>
    </sheetView>
  </sheetViews>
  <sheetFormatPr defaultRowHeight="23.25"/>
  <cols>
    <col min="2" max="2" width="22.140625" style="24" customWidth="1"/>
    <col min="3" max="3" width="59.140625" style="24" customWidth="1"/>
    <col min="4" max="8" width="14.42578125" style="16" customWidth="1"/>
    <col min="9" max="10" width="14.42578125" style="16" hidden="1" customWidth="1"/>
    <col min="11" max="11" width="17.5703125" style="26" customWidth="1"/>
  </cols>
  <sheetData>
    <row r="1" spans="2:11">
      <c r="B1" s="66" t="s">
        <v>154</v>
      </c>
      <c r="C1" s="66"/>
      <c r="D1" s="66"/>
      <c r="E1" s="66"/>
      <c r="F1" s="66"/>
      <c r="G1" s="66"/>
      <c r="H1" s="66"/>
      <c r="I1" s="66"/>
      <c r="J1" s="66"/>
      <c r="K1" s="66"/>
    </row>
    <row r="2" spans="2:11">
      <c r="B2" s="67"/>
      <c r="C2" s="67"/>
      <c r="D2" s="48"/>
      <c r="E2" s="72"/>
      <c r="F2" s="72"/>
      <c r="G2" s="49"/>
      <c r="H2" s="49"/>
      <c r="I2" s="49"/>
      <c r="J2" s="49"/>
      <c r="K2" s="50" t="s">
        <v>0</v>
      </c>
    </row>
    <row r="3" spans="2:11">
      <c r="B3" s="67"/>
      <c r="C3" s="67"/>
      <c r="D3" s="48"/>
      <c r="E3" s="72"/>
      <c r="F3" s="72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1" t="s">
        <v>11</v>
      </c>
      <c r="C6" s="71"/>
      <c r="D6" s="71"/>
      <c r="E6" s="71"/>
      <c r="F6" s="71"/>
      <c r="G6" s="71"/>
      <c r="H6" s="71"/>
      <c r="I6" s="71"/>
      <c r="J6" s="71"/>
      <c r="K6" s="71"/>
    </row>
    <row r="7" spans="2:11">
      <c r="B7" s="11">
        <v>1111002</v>
      </c>
      <c r="C7" s="15" t="s">
        <v>111</v>
      </c>
      <c r="D7" s="33"/>
      <c r="E7" s="33">
        <v>16</v>
      </c>
      <c r="F7" s="33">
        <v>64</v>
      </c>
      <c r="G7" s="33">
        <v>2</v>
      </c>
      <c r="H7" s="33"/>
      <c r="I7" s="33"/>
      <c r="J7" s="33"/>
      <c r="K7" s="47">
        <f>SUM(D7:J7)</f>
        <v>82</v>
      </c>
    </row>
    <row r="8" spans="2:11" hidden="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 hidden="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 hidden="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 hidden="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 hidden="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 hidden="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 hidden="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 hidden="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 hidden="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 hidden="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 hidden="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 hidden="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 hidden="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 hidden="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 hidden="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 hidden="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 hidden="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/>
      <c r="E25" s="33">
        <v>1</v>
      </c>
      <c r="F25" s="33"/>
      <c r="G25" s="33">
        <v>1</v>
      </c>
      <c r="H25" s="33"/>
      <c r="I25" s="33"/>
      <c r="J25" s="33"/>
      <c r="K25" s="47">
        <f t="shared" si="0"/>
        <v>2</v>
      </c>
    </row>
    <row r="26" spans="2:11">
      <c r="B26" s="11">
        <v>1004055</v>
      </c>
      <c r="C26" s="15" t="s">
        <v>112</v>
      </c>
      <c r="D26" s="33"/>
      <c r="E26" s="33"/>
      <c r="F26" s="33">
        <v>10</v>
      </c>
      <c r="G26" s="33">
        <v>18</v>
      </c>
      <c r="H26" s="33">
        <v>6</v>
      </c>
      <c r="I26" s="33"/>
      <c r="J26" s="33"/>
      <c r="K26" s="47">
        <f t="shared" si="0"/>
        <v>34</v>
      </c>
    </row>
    <row r="27" spans="2:11" hidden="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 hidden="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 hidden="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 hidden="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 hidden="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 hidden="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 hidden="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 hidden="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 hidden="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 hidden="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 hidden="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 hidden="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 hidden="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>
        <v>1</v>
      </c>
      <c r="E40" s="33"/>
      <c r="F40" s="33"/>
      <c r="G40" s="33">
        <v>1</v>
      </c>
      <c r="H40" s="33"/>
      <c r="I40" s="33"/>
      <c r="J40" s="33"/>
      <c r="K40" s="47">
        <f t="shared" si="0"/>
        <v>2</v>
      </c>
    </row>
    <row r="41" spans="2:11">
      <c r="B41" s="11">
        <v>1111058</v>
      </c>
      <c r="C41" s="15" t="s">
        <v>31</v>
      </c>
      <c r="D41" s="33">
        <v>1</v>
      </c>
      <c r="E41" s="33"/>
      <c r="F41" s="33"/>
      <c r="G41" s="33">
        <v>1</v>
      </c>
      <c r="H41" s="33"/>
      <c r="I41" s="33"/>
      <c r="J41" s="33"/>
      <c r="K41" s="47">
        <f t="shared" si="0"/>
        <v>2</v>
      </c>
    </row>
    <row r="42" spans="2:11">
      <c r="B42" s="11">
        <v>1111059</v>
      </c>
      <c r="C42" s="15" t="s">
        <v>32</v>
      </c>
      <c r="D42" s="33">
        <v>1</v>
      </c>
      <c r="E42" s="33"/>
      <c r="F42" s="33"/>
      <c r="G42" s="33">
        <v>1</v>
      </c>
      <c r="H42" s="33"/>
      <c r="I42" s="33"/>
      <c r="J42" s="33"/>
      <c r="K42" s="47">
        <f t="shared" si="0"/>
        <v>2</v>
      </c>
    </row>
    <row r="43" spans="2:11">
      <c r="B43" s="11">
        <v>1111060</v>
      </c>
      <c r="C43" s="15" t="s">
        <v>33</v>
      </c>
      <c r="D43" s="33">
        <v>1</v>
      </c>
      <c r="E43" s="33"/>
      <c r="F43" s="33"/>
      <c r="G43" s="33">
        <v>1</v>
      </c>
      <c r="H43" s="33"/>
      <c r="I43" s="33"/>
      <c r="J43" s="33"/>
      <c r="K43" s="47">
        <f t="shared" si="0"/>
        <v>2</v>
      </c>
    </row>
    <row r="44" spans="2:11">
      <c r="B44" s="11">
        <v>1111061</v>
      </c>
      <c r="C44" s="15" t="s">
        <v>34</v>
      </c>
      <c r="D44" s="33">
        <v>1</v>
      </c>
      <c r="E44" s="33"/>
      <c r="F44" s="33"/>
      <c r="G44" s="33">
        <v>1</v>
      </c>
      <c r="H44" s="33"/>
      <c r="I44" s="33"/>
      <c r="J44" s="33"/>
      <c r="K44" s="47">
        <f t="shared" si="0"/>
        <v>2</v>
      </c>
    </row>
    <row r="45" spans="2:11">
      <c r="B45" s="11">
        <v>1111062</v>
      </c>
      <c r="C45" s="15" t="s">
        <v>35</v>
      </c>
      <c r="D45" s="33">
        <v>1</v>
      </c>
      <c r="E45" s="33"/>
      <c r="F45" s="33"/>
      <c r="G45" s="33">
        <v>1</v>
      </c>
      <c r="H45" s="33"/>
      <c r="I45" s="33"/>
      <c r="J45" s="33"/>
      <c r="K45" s="47">
        <f t="shared" si="0"/>
        <v>2</v>
      </c>
    </row>
    <row r="46" spans="2:11">
      <c r="B46" s="11">
        <v>1111063</v>
      </c>
      <c r="C46" s="15" t="s">
        <v>36</v>
      </c>
      <c r="D46" s="33">
        <v>1</v>
      </c>
      <c r="E46" s="33"/>
      <c r="F46" s="33"/>
      <c r="G46" s="33">
        <v>1</v>
      </c>
      <c r="H46" s="33"/>
      <c r="I46" s="33"/>
      <c r="J46" s="33"/>
      <c r="K46" s="47">
        <f t="shared" si="0"/>
        <v>2</v>
      </c>
    </row>
    <row r="47" spans="2:11">
      <c r="B47" s="11">
        <v>1111064</v>
      </c>
      <c r="C47" s="15" t="s">
        <v>37</v>
      </c>
      <c r="D47" s="33">
        <v>1</v>
      </c>
      <c r="E47" s="33"/>
      <c r="F47" s="33"/>
      <c r="G47" s="33">
        <v>1</v>
      </c>
      <c r="H47" s="33"/>
      <c r="I47" s="33"/>
      <c r="J47" s="33"/>
      <c r="K47" s="47">
        <f t="shared" si="0"/>
        <v>2</v>
      </c>
    </row>
    <row r="48" spans="2:11">
      <c r="B48" s="11">
        <v>1111065</v>
      </c>
      <c r="C48" s="15" t="s">
        <v>38</v>
      </c>
      <c r="D48" s="33">
        <v>1</v>
      </c>
      <c r="E48" s="33"/>
      <c r="F48" s="33"/>
      <c r="G48" s="33">
        <v>1</v>
      </c>
      <c r="H48" s="33"/>
      <c r="I48" s="33"/>
      <c r="J48" s="33"/>
      <c r="K48" s="47">
        <f t="shared" si="0"/>
        <v>2</v>
      </c>
    </row>
    <row r="49" spans="2:11">
      <c r="B49" s="11">
        <v>1111066</v>
      </c>
      <c r="C49" s="15" t="s">
        <v>39</v>
      </c>
      <c r="D49" s="33">
        <v>1</v>
      </c>
      <c r="E49" s="33"/>
      <c r="F49" s="33"/>
      <c r="G49" s="33">
        <v>1</v>
      </c>
      <c r="H49" s="33"/>
      <c r="I49" s="33"/>
      <c r="J49" s="33"/>
      <c r="K49" s="47">
        <f t="shared" si="0"/>
        <v>2</v>
      </c>
    </row>
    <row r="50" spans="2:11">
      <c r="B50" s="11">
        <v>1111067</v>
      </c>
      <c r="C50" s="15" t="s">
        <v>40</v>
      </c>
      <c r="D50" s="33"/>
      <c r="E50" s="33"/>
      <c r="F50" s="33"/>
      <c r="G50" s="33">
        <v>1</v>
      </c>
      <c r="H50" s="33"/>
      <c r="I50" s="33"/>
      <c r="J50" s="33"/>
      <c r="K50" s="47">
        <f t="shared" si="0"/>
        <v>1</v>
      </c>
    </row>
    <row r="51" spans="2:11">
      <c r="B51" s="11">
        <v>1111068</v>
      </c>
      <c r="C51" s="15" t="s">
        <v>41</v>
      </c>
      <c r="D51" s="33"/>
      <c r="E51" s="33"/>
      <c r="F51" s="33"/>
      <c r="G51" s="33">
        <v>1</v>
      </c>
      <c r="H51" s="33"/>
      <c r="I51" s="33"/>
      <c r="J51" s="33"/>
      <c r="K51" s="47">
        <f t="shared" si="0"/>
        <v>1</v>
      </c>
    </row>
    <row r="52" spans="2:11">
      <c r="B52" s="11">
        <v>1111069</v>
      </c>
      <c r="C52" s="15" t="s">
        <v>42</v>
      </c>
      <c r="D52" s="33"/>
      <c r="E52" s="33"/>
      <c r="F52" s="33"/>
      <c r="G52" s="33">
        <v>1</v>
      </c>
      <c r="H52" s="33"/>
      <c r="I52" s="33"/>
      <c r="J52" s="33"/>
      <c r="K52" s="47">
        <f t="shared" si="0"/>
        <v>1</v>
      </c>
    </row>
    <row r="53" spans="2:11">
      <c r="B53" s="11">
        <v>1111070</v>
      </c>
      <c r="C53" s="15" t="s">
        <v>139</v>
      </c>
      <c r="D53" s="33"/>
      <c r="E53" s="33"/>
      <c r="F53" s="33"/>
      <c r="G53" s="33">
        <v>1</v>
      </c>
      <c r="H53" s="33"/>
      <c r="I53" s="33"/>
      <c r="J53" s="33"/>
      <c r="K53" s="47">
        <f t="shared" si="0"/>
        <v>1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 hidden="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>
        <v>1</v>
      </c>
      <c r="E56" s="33">
        <v>2</v>
      </c>
      <c r="F56" s="33">
        <v>17</v>
      </c>
      <c r="G56" s="33">
        <v>1</v>
      </c>
      <c r="H56" s="33"/>
      <c r="I56" s="33"/>
      <c r="J56" s="33"/>
      <c r="K56" s="47">
        <f t="shared" si="0"/>
        <v>21</v>
      </c>
    </row>
    <row r="57" spans="2:11">
      <c r="B57" s="11">
        <v>1111075</v>
      </c>
      <c r="C57" s="15" t="s">
        <v>45</v>
      </c>
      <c r="D57" s="33">
        <v>1</v>
      </c>
      <c r="E57" s="33">
        <v>2</v>
      </c>
      <c r="F57" s="33">
        <v>17</v>
      </c>
      <c r="G57" s="33">
        <v>1</v>
      </c>
      <c r="H57" s="33"/>
      <c r="I57" s="33"/>
      <c r="J57" s="33"/>
      <c r="K57" s="47">
        <f t="shared" si="0"/>
        <v>21</v>
      </c>
    </row>
    <row r="58" spans="2:11">
      <c r="B58" s="11">
        <v>1111076</v>
      </c>
      <c r="C58" s="15" t="s">
        <v>46</v>
      </c>
      <c r="D58" s="33">
        <v>1</v>
      </c>
      <c r="E58" s="33">
        <v>2</v>
      </c>
      <c r="F58" s="33">
        <v>17</v>
      </c>
      <c r="G58" s="33">
        <v>1</v>
      </c>
      <c r="H58" s="33"/>
      <c r="I58" s="33"/>
      <c r="J58" s="33"/>
      <c r="K58" s="47">
        <f t="shared" si="0"/>
        <v>21</v>
      </c>
    </row>
    <row r="59" spans="2:11">
      <c r="B59" s="11">
        <v>1111077</v>
      </c>
      <c r="C59" s="15" t="s">
        <v>47</v>
      </c>
      <c r="D59" s="33">
        <v>1</v>
      </c>
      <c r="E59" s="33">
        <v>2</v>
      </c>
      <c r="F59" s="33">
        <v>17</v>
      </c>
      <c r="G59" s="33"/>
      <c r="H59" s="33"/>
      <c r="I59" s="33"/>
      <c r="J59" s="33"/>
      <c r="K59" s="47">
        <f t="shared" si="0"/>
        <v>20</v>
      </c>
    </row>
    <row r="60" spans="2:11">
      <c r="B60" s="11">
        <v>1111078</v>
      </c>
      <c r="C60" s="15" t="s">
        <v>48</v>
      </c>
      <c r="D60" s="33">
        <v>1</v>
      </c>
      <c r="E60" s="33">
        <v>2</v>
      </c>
      <c r="F60" s="33">
        <v>17</v>
      </c>
      <c r="G60" s="33"/>
      <c r="H60" s="33"/>
      <c r="I60" s="33"/>
      <c r="J60" s="33"/>
      <c r="K60" s="47">
        <f t="shared" si="0"/>
        <v>20</v>
      </c>
    </row>
    <row r="61" spans="2:11">
      <c r="B61" s="11">
        <v>1111079</v>
      </c>
      <c r="C61" s="15" t="s">
        <v>49</v>
      </c>
      <c r="D61" s="33">
        <v>1</v>
      </c>
      <c r="E61" s="33">
        <v>2</v>
      </c>
      <c r="F61" s="33">
        <v>17</v>
      </c>
      <c r="G61" s="33"/>
      <c r="H61" s="33"/>
      <c r="I61" s="33"/>
      <c r="J61" s="33"/>
      <c r="K61" s="47">
        <f t="shared" si="0"/>
        <v>20</v>
      </c>
    </row>
    <row r="62" spans="2:11">
      <c r="B62" s="11">
        <v>1111080</v>
      </c>
      <c r="C62" s="15" t="s">
        <v>50</v>
      </c>
      <c r="D62" s="33">
        <v>1</v>
      </c>
      <c r="E62" s="33">
        <v>2</v>
      </c>
      <c r="F62" s="33">
        <v>17</v>
      </c>
      <c r="G62" s="33"/>
      <c r="H62" s="33"/>
      <c r="I62" s="33"/>
      <c r="J62" s="33"/>
      <c r="K62" s="47">
        <f t="shared" si="0"/>
        <v>20</v>
      </c>
    </row>
    <row r="63" spans="2:11">
      <c r="B63" s="11">
        <v>1111081</v>
      </c>
      <c r="C63" s="15" t="s">
        <v>51</v>
      </c>
      <c r="D63" s="33">
        <v>1</v>
      </c>
      <c r="E63" s="33">
        <v>2</v>
      </c>
      <c r="F63" s="33">
        <v>17</v>
      </c>
      <c r="G63" s="33"/>
      <c r="H63" s="33"/>
      <c r="I63" s="33"/>
      <c r="J63" s="33"/>
      <c r="K63" s="47">
        <f t="shared" si="0"/>
        <v>20</v>
      </c>
    </row>
    <row r="64" spans="2:11">
      <c r="B64" s="11">
        <v>1111082</v>
      </c>
      <c r="C64" s="15" t="s">
        <v>52</v>
      </c>
      <c r="D64" s="33">
        <v>1</v>
      </c>
      <c r="E64" s="33">
        <v>2</v>
      </c>
      <c r="F64" s="33">
        <v>17</v>
      </c>
      <c r="G64" s="33"/>
      <c r="H64" s="33"/>
      <c r="I64" s="33"/>
      <c r="J64" s="33"/>
      <c r="K64" s="47">
        <f t="shared" si="0"/>
        <v>20</v>
      </c>
    </row>
    <row r="65" spans="2:11">
      <c r="B65" s="11">
        <v>1111083</v>
      </c>
      <c r="C65" s="15" t="s">
        <v>53</v>
      </c>
      <c r="D65" s="33">
        <v>1</v>
      </c>
      <c r="E65" s="33">
        <v>2</v>
      </c>
      <c r="F65" s="33">
        <v>17</v>
      </c>
      <c r="G65" s="33"/>
      <c r="H65" s="33"/>
      <c r="I65" s="33"/>
      <c r="J65" s="33"/>
      <c r="K65" s="47">
        <f t="shared" si="0"/>
        <v>20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1" t="s">
        <v>55</v>
      </c>
      <c r="C68" s="71"/>
      <c r="D68" s="71"/>
      <c r="E68" s="71"/>
      <c r="F68" s="71"/>
      <c r="G68" s="71"/>
      <c r="H68" s="71"/>
      <c r="I68" s="71"/>
      <c r="J68" s="71"/>
      <c r="K68" s="71"/>
    </row>
    <row r="69" spans="2:11">
      <c r="B69" s="11">
        <v>1111009</v>
      </c>
      <c r="C69" s="20" t="s">
        <v>56</v>
      </c>
      <c r="D69" s="33"/>
      <c r="E69" s="33"/>
      <c r="F69" s="33">
        <v>2</v>
      </c>
      <c r="G69" s="33">
        <v>2</v>
      </c>
      <c r="H69" s="33"/>
      <c r="I69" s="33"/>
      <c r="J69" s="33"/>
      <c r="K69" s="47">
        <f>SUM(D69:J69)</f>
        <v>4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>
      <c r="B78" s="71" t="s">
        <v>64</v>
      </c>
      <c r="C78" s="71"/>
      <c r="D78" s="71"/>
      <c r="E78" s="71"/>
      <c r="F78" s="71"/>
      <c r="G78" s="71"/>
      <c r="H78" s="71"/>
      <c r="I78" s="71"/>
      <c r="J78" s="71"/>
      <c r="K78" s="71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>
        <v>6</v>
      </c>
      <c r="E87" s="33">
        <v>3</v>
      </c>
      <c r="F87" s="33">
        <v>3</v>
      </c>
      <c r="G87" s="33">
        <v>24</v>
      </c>
      <c r="H87" s="33">
        <v>18</v>
      </c>
      <c r="I87" s="33"/>
      <c r="J87" s="33"/>
      <c r="K87" s="47">
        <f t="shared" si="3"/>
        <v>54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1" t="s">
        <v>74</v>
      </c>
      <c r="C89" s="71"/>
      <c r="D89" s="71"/>
      <c r="E89" s="71"/>
      <c r="F89" s="71"/>
      <c r="G89" s="71"/>
      <c r="H89" s="71"/>
      <c r="I89" s="71"/>
      <c r="J89" s="71"/>
      <c r="K89" s="71"/>
    </row>
    <row r="90" spans="2:11">
      <c r="B90" s="11">
        <v>1112009</v>
      </c>
      <c r="C90" s="20" t="s">
        <v>75</v>
      </c>
      <c r="D90" s="33"/>
      <c r="E90" s="33">
        <v>4</v>
      </c>
      <c r="F90" s="33">
        <v>6</v>
      </c>
      <c r="G90" s="33">
        <v>19</v>
      </c>
      <c r="H90" s="33">
        <v>3</v>
      </c>
      <c r="I90" s="33"/>
      <c r="J90" s="33"/>
      <c r="K90" s="47">
        <f>SUM(D90:J90)</f>
        <v>32</v>
      </c>
    </row>
    <row r="91" spans="2:11">
      <c r="B91" s="11">
        <v>1112011</v>
      </c>
      <c r="C91" s="20" t="s">
        <v>76</v>
      </c>
      <c r="D91" s="33">
        <v>1</v>
      </c>
      <c r="E91" s="33">
        <v>5</v>
      </c>
      <c r="F91" s="33">
        <v>22</v>
      </c>
      <c r="G91" s="33">
        <v>18</v>
      </c>
      <c r="H91" s="33">
        <v>3</v>
      </c>
      <c r="I91" s="33"/>
      <c r="J91" s="33"/>
      <c r="K91" s="47">
        <f t="shared" ref="K91:K99" si="4">SUM(D91:J91)</f>
        <v>49</v>
      </c>
    </row>
    <row r="92" spans="2:11">
      <c r="B92" s="11">
        <v>1112003</v>
      </c>
      <c r="C92" s="20" t="s">
        <v>77</v>
      </c>
      <c r="D92" s="33"/>
      <c r="E92" s="33"/>
      <c r="F92" s="33">
        <v>1</v>
      </c>
      <c r="G92" s="33">
        <v>2</v>
      </c>
      <c r="H92" s="33"/>
      <c r="I92" s="33"/>
      <c r="J92" s="33"/>
      <c r="K92" s="47">
        <f t="shared" si="4"/>
        <v>3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33"/>
      <c r="K93" s="47">
        <f t="shared" si="4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/>
      <c r="E96" s="33"/>
      <c r="F96" s="33">
        <v>1</v>
      </c>
      <c r="G96" s="33">
        <v>2</v>
      </c>
      <c r="H96" s="33"/>
      <c r="I96" s="33"/>
      <c r="J96" s="33"/>
      <c r="K96" s="47">
        <f t="shared" si="4"/>
        <v>3</v>
      </c>
    </row>
    <row r="97" spans="2:11">
      <c r="B97" s="11">
        <v>1112015</v>
      </c>
      <c r="C97" s="20" t="s">
        <v>82</v>
      </c>
      <c r="D97" s="33"/>
      <c r="E97" s="33"/>
      <c r="F97" s="33">
        <v>1</v>
      </c>
      <c r="G97" s="33">
        <v>2</v>
      </c>
      <c r="H97" s="33"/>
      <c r="I97" s="33"/>
      <c r="J97" s="33"/>
      <c r="K97" s="47">
        <f t="shared" si="4"/>
        <v>3</v>
      </c>
    </row>
    <row r="98" spans="2:11">
      <c r="B98" s="11">
        <v>1112013</v>
      </c>
      <c r="C98" s="20" t="s">
        <v>83</v>
      </c>
      <c r="D98" s="33"/>
      <c r="E98" s="33">
        <v>3</v>
      </c>
      <c r="F98" s="33">
        <v>15</v>
      </c>
      <c r="G98" s="33">
        <v>18</v>
      </c>
      <c r="H98" s="33">
        <v>3</v>
      </c>
      <c r="I98" s="33"/>
      <c r="J98" s="33"/>
      <c r="K98" s="47">
        <f t="shared" si="4"/>
        <v>39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>
      <c r="B101" s="71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1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>
        <v>1</v>
      </c>
      <c r="F118" s="33">
        <v>1</v>
      </c>
      <c r="G118" s="33"/>
      <c r="H118" s="33"/>
      <c r="I118" s="33"/>
      <c r="J118" s="33"/>
      <c r="K118" s="47">
        <f t="shared" si="6"/>
        <v>2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33"/>
      <c r="K119" s="47">
        <f t="shared" si="6"/>
        <v>0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33"/>
      <c r="K120" s="47">
        <f t="shared" si="6"/>
        <v>0</v>
      </c>
    </row>
    <row r="121" spans="2:11">
      <c r="B121" s="11">
        <v>1200001</v>
      </c>
      <c r="C121" s="22" t="s">
        <v>93</v>
      </c>
      <c r="D121" s="33"/>
      <c r="E121" s="33">
        <v>2</v>
      </c>
      <c r="F121" s="33"/>
      <c r="G121" s="33"/>
      <c r="H121" s="33"/>
      <c r="I121" s="33"/>
      <c r="J121" s="33"/>
      <c r="K121" s="47">
        <f t="shared" si="6"/>
        <v>2</v>
      </c>
    </row>
    <row r="122" spans="2:11">
      <c r="B122" s="11">
        <v>1005761</v>
      </c>
      <c r="C122" s="22" t="s">
        <v>94</v>
      </c>
      <c r="D122" s="33"/>
      <c r="E122" s="33">
        <v>2</v>
      </c>
      <c r="F122" s="33">
        <v>2</v>
      </c>
      <c r="G122" s="33"/>
      <c r="H122" s="33"/>
      <c r="I122" s="33"/>
      <c r="J122" s="33"/>
      <c r="K122" s="47">
        <f t="shared" si="6"/>
        <v>4</v>
      </c>
    </row>
    <row r="123" spans="2:11">
      <c r="B123" s="11">
        <v>1114501</v>
      </c>
      <c r="C123" s="22" t="s">
        <v>95</v>
      </c>
      <c r="D123" s="33"/>
      <c r="E123" s="33">
        <v>3</v>
      </c>
      <c r="F123" s="33">
        <v>14</v>
      </c>
      <c r="G123" s="33">
        <v>107</v>
      </c>
      <c r="H123" s="33">
        <v>53</v>
      </c>
      <c r="I123" s="33"/>
      <c r="J123" s="33"/>
      <c r="K123" s="47">
        <f t="shared" si="6"/>
        <v>177</v>
      </c>
    </row>
    <row r="124" spans="2:11">
      <c r="B124" s="11">
        <v>1114502</v>
      </c>
      <c r="C124" s="22" t="s">
        <v>96</v>
      </c>
      <c r="D124" s="33"/>
      <c r="E124" s="33">
        <v>1</v>
      </c>
      <c r="F124" s="33">
        <v>10</v>
      </c>
      <c r="G124" s="33">
        <v>107</v>
      </c>
      <c r="H124" s="33">
        <v>53</v>
      </c>
      <c r="I124" s="33"/>
      <c r="J124" s="33"/>
      <c r="K124" s="47">
        <f t="shared" si="6"/>
        <v>171</v>
      </c>
    </row>
    <row r="125" spans="2:11">
      <c r="B125" s="11">
        <v>1114503</v>
      </c>
      <c r="C125" s="22" t="s">
        <v>97</v>
      </c>
      <c r="D125" s="33"/>
      <c r="E125" s="33">
        <v>2</v>
      </c>
      <c r="F125" s="33">
        <v>10</v>
      </c>
      <c r="G125" s="33">
        <v>107</v>
      </c>
      <c r="H125" s="33">
        <v>54</v>
      </c>
      <c r="I125" s="33"/>
      <c r="J125" s="33"/>
      <c r="K125" s="47">
        <f t="shared" si="6"/>
        <v>173</v>
      </c>
    </row>
    <row r="126" spans="2:11">
      <c r="B126" s="11">
        <v>1124021</v>
      </c>
      <c r="C126" s="22" t="s">
        <v>98</v>
      </c>
      <c r="D126" s="33"/>
      <c r="E126" s="33">
        <v>25</v>
      </c>
      <c r="F126" s="33">
        <v>56</v>
      </c>
      <c r="G126" s="33">
        <v>17</v>
      </c>
      <c r="H126" s="33">
        <v>18</v>
      </c>
      <c r="I126" s="33"/>
      <c r="J126" s="33"/>
      <c r="K126" s="47">
        <f t="shared" si="6"/>
        <v>116</v>
      </c>
    </row>
    <row r="127" spans="2:11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>
      <c r="B130" s="11">
        <v>1200002</v>
      </c>
      <c r="C130" s="22" t="s">
        <v>104</v>
      </c>
      <c r="D130" s="33"/>
      <c r="E130" s="33">
        <v>2</v>
      </c>
      <c r="F130" s="33"/>
      <c r="G130" s="33"/>
      <c r="H130" s="33"/>
      <c r="I130" s="33"/>
      <c r="J130" s="33"/>
      <c r="K130" s="47">
        <f t="shared" si="6"/>
        <v>2</v>
      </c>
    </row>
    <row r="131" spans="2:1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>
      <c r="B135" s="23"/>
      <c r="C135" s="22" t="s">
        <v>128</v>
      </c>
      <c r="D135" s="33"/>
      <c r="E135" s="33"/>
      <c r="F135" s="33"/>
      <c r="G135" s="33"/>
      <c r="H135" s="33"/>
      <c r="I135" s="33"/>
      <c r="J135" s="33"/>
      <c r="K135" s="47">
        <f t="shared" si="6"/>
        <v>0</v>
      </c>
    </row>
    <row r="136" spans="2:11">
      <c r="B136" s="23"/>
      <c r="C136" s="22" t="s">
        <v>129</v>
      </c>
      <c r="D136" s="33"/>
      <c r="E136" s="33">
        <v>2</v>
      </c>
      <c r="F136" s="33"/>
      <c r="G136" s="33"/>
      <c r="H136" s="33"/>
      <c r="I136" s="33"/>
      <c r="J136" s="33"/>
      <c r="K136" s="47">
        <f t="shared" si="6"/>
        <v>2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I139" si="7">SUM(D114:D137,D102:D111,D90:D99,D79:D87,D69:D76,D7:D66)</f>
        <v>27</v>
      </c>
      <c r="E139" s="45">
        <f t="shared" si="7"/>
        <v>92</v>
      </c>
      <c r="F139" s="45">
        <f t="shared" si="7"/>
        <v>388</v>
      </c>
      <c r="G139" s="45">
        <f t="shared" si="7"/>
        <v>463</v>
      </c>
      <c r="H139" s="45">
        <f t="shared" si="7"/>
        <v>211</v>
      </c>
      <c r="I139" s="45">
        <f t="shared" si="7"/>
        <v>0</v>
      </c>
      <c r="J139" s="45"/>
      <c r="K139" s="45">
        <f>SUM(K114:K137,K102:K111,K90:K99,K79:K87,K69:K76,K7:K66)</f>
        <v>1181</v>
      </c>
    </row>
    <row r="140" spans="2:11">
      <c r="C140" s="25"/>
      <c r="D140" s="34"/>
      <c r="E140" s="63"/>
      <c r="F140" s="63"/>
      <c r="G140" s="29"/>
    </row>
    <row r="141" spans="2:11">
      <c r="B141" s="63" t="s">
        <v>108</v>
      </c>
      <c r="C141" s="63"/>
      <c r="D141" s="35"/>
      <c r="E141" s="62"/>
      <c r="F141" s="62"/>
      <c r="G141" s="30"/>
      <c r="H141" s="29"/>
      <c r="I141" s="63" t="s">
        <v>108</v>
      </c>
      <c r="J141" s="63"/>
      <c r="K141" s="63"/>
    </row>
    <row r="142" spans="2:11">
      <c r="B142" s="62" t="s">
        <v>109</v>
      </c>
      <c r="C142" s="62"/>
      <c r="D142" s="36"/>
      <c r="E142" s="36"/>
      <c r="F142" s="36"/>
      <c r="G142" s="36"/>
      <c r="H142" s="36"/>
      <c r="I142" s="62" t="s">
        <v>110</v>
      </c>
      <c r="J142" s="62"/>
      <c r="K142" s="62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topLeftCell="A25" zoomScale="60" zoomScaleNormal="60" workbookViewId="0">
      <selection activeCell="J136" sqref="J13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9" width="14.42578125" style="16" hidden="1" customWidth="1"/>
    <col min="10" max="10" width="14.42578125" style="16" customWidth="1"/>
    <col min="11" max="11" width="17.5703125" style="26" customWidth="1"/>
  </cols>
  <sheetData>
    <row r="1" spans="2:11">
      <c r="B1" s="66" t="s">
        <v>155</v>
      </c>
      <c r="C1" s="66"/>
      <c r="D1" s="66"/>
      <c r="E1" s="66"/>
      <c r="F1" s="66"/>
      <c r="G1" s="66"/>
      <c r="H1" s="66"/>
      <c r="I1" s="66"/>
      <c r="J1" s="66"/>
      <c r="K1" s="66"/>
    </row>
    <row r="2" spans="2:11">
      <c r="B2" s="67"/>
      <c r="C2" s="67"/>
      <c r="D2" s="48"/>
      <c r="E2" s="72"/>
      <c r="F2" s="72"/>
      <c r="G2" s="49"/>
      <c r="H2" s="49"/>
      <c r="I2" s="49"/>
      <c r="J2" s="49"/>
      <c r="K2" s="50" t="s">
        <v>0</v>
      </c>
    </row>
    <row r="3" spans="2:11">
      <c r="B3" s="67"/>
      <c r="C3" s="67"/>
      <c r="D3" s="48"/>
      <c r="E3" s="72"/>
      <c r="F3" s="72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1" t="s">
        <v>11</v>
      </c>
      <c r="C6" s="71"/>
      <c r="D6" s="71"/>
      <c r="E6" s="71"/>
      <c r="F6" s="71"/>
      <c r="G6" s="71"/>
      <c r="H6" s="71"/>
      <c r="I6" s="71"/>
      <c r="J6" s="71"/>
      <c r="K6" s="71"/>
    </row>
    <row r="7" spans="2:11">
      <c r="B7" s="11">
        <v>1111002</v>
      </c>
      <c r="C7" s="15" t="s">
        <v>111</v>
      </c>
      <c r="D7" s="33"/>
      <c r="E7" s="33">
        <v>4</v>
      </c>
      <c r="F7" s="33">
        <v>2</v>
      </c>
      <c r="G7" s="33"/>
      <c r="H7" s="33"/>
      <c r="I7" s="33"/>
      <c r="J7" s="33"/>
      <c r="K7" s="47">
        <f>SUM(D7:J7)</f>
        <v>6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/>
      <c r="E25" s="33">
        <v>4</v>
      </c>
      <c r="F25" s="33">
        <v>3</v>
      </c>
      <c r="G25" s="33"/>
      <c r="H25" s="33"/>
      <c r="I25" s="33"/>
      <c r="J25" s="33"/>
      <c r="K25" s="47">
        <f t="shared" si="0"/>
        <v>7</v>
      </c>
    </row>
    <row r="26" spans="2:11">
      <c r="B26" s="11">
        <v>1004055</v>
      </c>
      <c r="C26" s="15" t="s">
        <v>112</v>
      </c>
      <c r="D26" s="33"/>
      <c r="E26" s="33"/>
      <c r="F26" s="33"/>
      <c r="G26" s="33">
        <v>27</v>
      </c>
      <c r="H26" s="33"/>
      <c r="I26" s="33"/>
      <c r="J26" s="33"/>
      <c r="K26" s="47">
        <f t="shared" si="0"/>
        <v>27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/>
      <c r="G40" s="33">
        <v>1</v>
      </c>
      <c r="H40" s="33"/>
      <c r="I40" s="33"/>
      <c r="J40" s="33"/>
      <c r="K40" s="47">
        <f t="shared" si="0"/>
        <v>1</v>
      </c>
    </row>
    <row r="41" spans="2:11">
      <c r="B41" s="11">
        <v>1111058</v>
      </c>
      <c r="C41" s="15" t="s">
        <v>31</v>
      </c>
      <c r="D41" s="33"/>
      <c r="E41" s="33"/>
      <c r="F41" s="33"/>
      <c r="G41" s="33">
        <v>1</v>
      </c>
      <c r="H41" s="33"/>
      <c r="I41" s="33"/>
      <c r="J41" s="33"/>
      <c r="K41" s="47">
        <f t="shared" si="0"/>
        <v>1</v>
      </c>
    </row>
    <row r="42" spans="2:11">
      <c r="B42" s="11">
        <v>1111059</v>
      </c>
      <c r="C42" s="15" t="s">
        <v>32</v>
      </c>
      <c r="D42" s="33"/>
      <c r="E42" s="33"/>
      <c r="F42" s="33"/>
      <c r="G42" s="33">
        <v>1</v>
      </c>
      <c r="H42" s="33"/>
      <c r="I42" s="33"/>
      <c r="J42" s="33"/>
      <c r="K42" s="47">
        <f t="shared" si="0"/>
        <v>1</v>
      </c>
    </row>
    <row r="43" spans="2:11">
      <c r="B43" s="11">
        <v>1111060</v>
      </c>
      <c r="C43" s="15" t="s">
        <v>33</v>
      </c>
      <c r="D43" s="33"/>
      <c r="E43" s="33"/>
      <c r="F43" s="33"/>
      <c r="G43" s="33">
        <v>1</v>
      </c>
      <c r="H43" s="33"/>
      <c r="I43" s="33"/>
      <c r="J43" s="33"/>
      <c r="K43" s="47">
        <f t="shared" si="0"/>
        <v>1</v>
      </c>
    </row>
    <row r="44" spans="2:11">
      <c r="B44" s="11">
        <v>1111061</v>
      </c>
      <c r="C44" s="15" t="s">
        <v>34</v>
      </c>
      <c r="D44" s="33"/>
      <c r="E44" s="33"/>
      <c r="F44" s="33"/>
      <c r="G44" s="33">
        <v>1</v>
      </c>
      <c r="H44" s="33"/>
      <c r="I44" s="33"/>
      <c r="J44" s="33"/>
      <c r="K44" s="47">
        <f t="shared" si="0"/>
        <v>1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33"/>
      <c r="K45" s="47">
        <f t="shared" si="0"/>
        <v>0</v>
      </c>
    </row>
    <row r="46" spans="2:11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33"/>
      <c r="K46" s="47">
        <f t="shared" si="0"/>
        <v>0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33"/>
      <c r="K47" s="47">
        <f t="shared" si="0"/>
        <v>0</v>
      </c>
    </row>
    <row r="48" spans="2:11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33"/>
      <c r="K48" s="47">
        <f t="shared" si="0"/>
        <v>0</v>
      </c>
    </row>
    <row r="49" spans="2:11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33"/>
      <c r="K49" s="47">
        <f t="shared" si="0"/>
        <v>0</v>
      </c>
    </row>
    <row r="50" spans="2:11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33"/>
      <c r="K50" s="47">
        <f t="shared" si="0"/>
        <v>0</v>
      </c>
    </row>
    <row r="51" spans="2:11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33"/>
      <c r="K51" s="47">
        <f t="shared" si="0"/>
        <v>0</v>
      </c>
    </row>
    <row r="52" spans="2:11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33"/>
      <c r="K52" s="47">
        <f t="shared" si="0"/>
        <v>0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/>
      <c r="E56" s="33"/>
      <c r="F56" s="33"/>
      <c r="G56" s="33">
        <v>2</v>
      </c>
      <c r="H56" s="33"/>
      <c r="I56" s="33"/>
      <c r="J56" s="33">
        <v>1</v>
      </c>
      <c r="K56" s="47">
        <f t="shared" si="0"/>
        <v>3</v>
      </c>
    </row>
    <row r="57" spans="2:11">
      <c r="B57" s="11">
        <v>1111075</v>
      </c>
      <c r="C57" s="15" t="s">
        <v>45</v>
      </c>
      <c r="D57" s="33"/>
      <c r="E57" s="33"/>
      <c r="F57" s="33"/>
      <c r="G57" s="33">
        <v>2</v>
      </c>
      <c r="H57" s="33"/>
      <c r="I57" s="33"/>
      <c r="J57" s="33">
        <v>1</v>
      </c>
      <c r="K57" s="47">
        <f t="shared" si="0"/>
        <v>3</v>
      </c>
    </row>
    <row r="58" spans="2:11">
      <c r="B58" s="11">
        <v>1111076</v>
      </c>
      <c r="C58" s="15" t="s">
        <v>46</v>
      </c>
      <c r="D58" s="33"/>
      <c r="E58" s="33"/>
      <c r="F58" s="33"/>
      <c r="G58" s="33">
        <v>2</v>
      </c>
      <c r="H58" s="33"/>
      <c r="I58" s="33"/>
      <c r="J58" s="33"/>
      <c r="K58" s="47">
        <f t="shared" si="0"/>
        <v>2</v>
      </c>
    </row>
    <row r="59" spans="2:11">
      <c r="B59" s="11">
        <v>1111077</v>
      </c>
      <c r="C59" s="15" t="s">
        <v>47</v>
      </c>
      <c r="D59" s="33"/>
      <c r="E59" s="33"/>
      <c r="F59" s="33"/>
      <c r="G59" s="33">
        <v>2</v>
      </c>
      <c r="H59" s="33"/>
      <c r="I59" s="33"/>
      <c r="J59" s="33"/>
      <c r="K59" s="47">
        <f t="shared" si="0"/>
        <v>2</v>
      </c>
    </row>
    <row r="60" spans="2:11">
      <c r="B60" s="11">
        <v>1111078</v>
      </c>
      <c r="C60" s="15" t="s">
        <v>48</v>
      </c>
      <c r="D60" s="33"/>
      <c r="E60" s="33"/>
      <c r="F60" s="33"/>
      <c r="G60" s="33">
        <v>2</v>
      </c>
      <c r="H60" s="33"/>
      <c r="I60" s="33"/>
      <c r="J60" s="33"/>
      <c r="K60" s="47">
        <f t="shared" si="0"/>
        <v>2</v>
      </c>
    </row>
    <row r="61" spans="2:11">
      <c r="B61" s="11">
        <v>1111079</v>
      </c>
      <c r="C61" s="15" t="s">
        <v>49</v>
      </c>
      <c r="D61" s="33"/>
      <c r="E61" s="33"/>
      <c r="F61" s="33"/>
      <c r="G61" s="33">
        <v>2</v>
      </c>
      <c r="H61" s="33"/>
      <c r="I61" s="33"/>
      <c r="J61" s="33"/>
      <c r="K61" s="47">
        <f t="shared" si="0"/>
        <v>2</v>
      </c>
    </row>
    <row r="62" spans="2:11">
      <c r="B62" s="11">
        <v>1111080</v>
      </c>
      <c r="C62" s="15" t="s">
        <v>50</v>
      </c>
      <c r="D62" s="33"/>
      <c r="E62" s="33"/>
      <c r="F62" s="33"/>
      <c r="G62" s="33">
        <v>2</v>
      </c>
      <c r="H62" s="33"/>
      <c r="I62" s="33"/>
      <c r="J62" s="33"/>
      <c r="K62" s="47">
        <f t="shared" si="0"/>
        <v>2</v>
      </c>
    </row>
    <row r="63" spans="2:11">
      <c r="B63" s="11">
        <v>1111081</v>
      </c>
      <c r="C63" s="15" t="s">
        <v>51</v>
      </c>
      <c r="D63" s="33"/>
      <c r="E63" s="33"/>
      <c r="F63" s="33"/>
      <c r="G63" s="33">
        <v>2</v>
      </c>
      <c r="H63" s="33"/>
      <c r="I63" s="33"/>
      <c r="J63" s="33"/>
      <c r="K63" s="47">
        <f t="shared" si="0"/>
        <v>2</v>
      </c>
    </row>
    <row r="64" spans="2:11">
      <c r="B64" s="11">
        <v>1111082</v>
      </c>
      <c r="C64" s="15" t="s">
        <v>52</v>
      </c>
      <c r="D64" s="33"/>
      <c r="E64" s="33"/>
      <c r="F64" s="33"/>
      <c r="G64" s="33">
        <v>2</v>
      </c>
      <c r="H64" s="33"/>
      <c r="I64" s="33"/>
      <c r="J64" s="33"/>
      <c r="K64" s="47">
        <f t="shared" si="0"/>
        <v>2</v>
      </c>
    </row>
    <row r="65" spans="2:11">
      <c r="B65" s="11">
        <v>1111083</v>
      </c>
      <c r="C65" s="15" t="s">
        <v>53</v>
      </c>
      <c r="D65" s="33"/>
      <c r="E65" s="33"/>
      <c r="F65" s="33"/>
      <c r="G65" s="33">
        <v>2</v>
      </c>
      <c r="H65" s="33"/>
      <c r="I65" s="33"/>
      <c r="J65" s="33"/>
      <c r="K65" s="47">
        <f t="shared" si="0"/>
        <v>2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1" t="s">
        <v>55</v>
      </c>
      <c r="C68" s="71"/>
      <c r="D68" s="71"/>
      <c r="E68" s="71"/>
      <c r="F68" s="71"/>
      <c r="G68" s="71"/>
      <c r="H68" s="71"/>
      <c r="I68" s="71"/>
      <c r="J68" s="71"/>
      <c r="K68" s="71"/>
    </row>
    <row r="69" spans="2:11">
      <c r="B69" s="11">
        <v>1111009</v>
      </c>
      <c r="C69" s="20" t="s">
        <v>56</v>
      </c>
      <c r="D69" s="33"/>
      <c r="E69" s="33"/>
      <c r="F69" s="33"/>
      <c r="G69" s="33"/>
      <c r="H69" s="33"/>
      <c r="I69" s="33"/>
      <c r="J69" s="33"/>
      <c r="K69" s="47">
        <f>SUM(D69:J69)</f>
        <v>0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>
      <c r="B78" s="71" t="s">
        <v>64</v>
      </c>
      <c r="C78" s="71"/>
      <c r="D78" s="71"/>
      <c r="E78" s="71"/>
      <c r="F78" s="71"/>
      <c r="G78" s="71"/>
      <c r="H78" s="71"/>
      <c r="I78" s="71"/>
      <c r="J78" s="71"/>
      <c r="K78" s="71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/>
      <c r="E87" s="33">
        <v>3</v>
      </c>
      <c r="F87" s="33"/>
      <c r="G87" s="33">
        <v>39</v>
      </c>
      <c r="H87" s="33"/>
      <c r="I87" s="33"/>
      <c r="J87" s="33"/>
      <c r="K87" s="47">
        <f t="shared" si="3"/>
        <v>42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1" t="s">
        <v>74</v>
      </c>
      <c r="C89" s="71"/>
      <c r="D89" s="71"/>
      <c r="E89" s="71"/>
      <c r="F89" s="71"/>
      <c r="G89" s="71"/>
      <c r="H89" s="71"/>
      <c r="I89" s="71"/>
      <c r="J89" s="71"/>
      <c r="K89" s="71"/>
    </row>
    <row r="90" spans="2:11">
      <c r="B90" s="11">
        <v>1112009</v>
      </c>
      <c r="C90" s="20" t="s">
        <v>75</v>
      </c>
      <c r="D90" s="33"/>
      <c r="E90" s="33">
        <v>2</v>
      </c>
      <c r="F90" s="33"/>
      <c r="G90" s="33">
        <v>19</v>
      </c>
      <c r="H90" s="33"/>
      <c r="I90" s="33"/>
      <c r="J90" s="33"/>
      <c r="K90" s="47">
        <f>SUM(D90:J90)</f>
        <v>21</v>
      </c>
    </row>
    <row r="91" spans="2:11">
      <c r="B91" s="11">
        <v>1112011</v>
      </c>
      <c r="C91" s="20" t="s">
        <v>76</v>
      </c>
      <c r="D91" s="33"/>
      <c r="E91" s="33">
        <v>3</v>
      </c>
      <c r="F91" s="33">
        <v>12</v>
      </c>
      <c r="G91" s="33">
        <v>18</v>
      </c>
      <c r="H91" s="33"/>
      <c r="I91" s="33"/>
      <c r="J91" s="33">
        <v>1</v>
      </c>
      <c r="K91" s="47">
        <f t="shared" ref="K91:K99" si="4">SUM(D91:J91)</f>
        <v>34</v>
      </c>
    </row>
    <row r="92" spans="2:11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33"/>
      <c r="K92" s="47">
        <f t="shared" si="4"/>
        <v>0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33"/>
      <c r="K93" s="47">
        <f t="shared" si="4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33"/>
      <c r="K96" s="47">
        <f t="shared" si="4"/>
        <v>0</v>
      </c>
    </row>
    <row r="97" spans="2:11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33"/>
      <c r="K97" s="47">
        <f t="shared" si="4"/>
        <v>0</v>
      </c>
    </row>
    <row r="98" spans="2:11">
      <c r="B98" s="11">
        <v>1112013</v>
      </c>
      <c r="C98" s="20" t="s">
        <v>83</v>
      </c>
      <c r="D98" s="33"/>
      <c r="E98" s="33">
        <v>1</v>
      </c>
      <c r="F98" s="33"/>
      <c r="G98" s="33">
        <v>18</v>
      </c>
      <c r="H98" s="33"/>
      <c r="I98" s="33"/>
      <c r="J98" s="33">
        <v>1</v>
      </c>
      <c r="K98" s="47">
        <f t="shared" si="4"/>
        <v>20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>
      <c r="B101" s="71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1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33">
        <v>1</v>
      </c>
      <c r="K118" s="47">
        <f t="shared" si="6"/>
        <v>1</v>
      </c>
    </row>
    <row r="119" spans="2:11">
      <c r="B119" s="11">
        <v>1100001</v>
      </c>
      <c r="C119" s="22" t="s">
        <v>126</v>
      </c>
      <c r="D119" s="33"/>
      <c r="E119" s="33">
        <v>13</v>
      </c>
      <c r="F119" s="33"/>
      <c r="G119" s="33"/>
      <c r="H119" s="33"/>
      <c r="I119" s="33"/>
      <c r="J119" s="33"/>
      <c r="K119" s="47">
        <f t="shared" si="6"/>
        <v>13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33"/>
      <c r="K120" s="47">
        <f t="shared" si="6"/>
        <v>0</v>
      </c>
    </row>
    <row r="121" spans="2:11">
      <c r="B121" s="11">
        <v>1200001</v>
      </c>
      <c r="C121" s="22" t="s">
        <v>93</v>
      </c>
      <c r="D121" s="33"/>
      <c r="E121" s="33">
        <v>2</v>
      </c>
      <c r="F121" s="33"/>
      <c r="G121" s="33"/>
      <c r="H121" s="33"/>
      <c r="I121" s="33"/>
      <c r="J121" s="33"/>
      <c r="K121" s="47">
        <f t="shared" si="6"/>
        <v>2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33"/>
      <c r="K122" s="47">
        <f t="shared" si="6"/>
        <v>0</v>
      </c>
    </row>
    <row r="123" spans="2:11">
      <c r="B123" s="11">
        <v>1114501</v>
      </c>
      <c r="C123" s="22" t="s">
        <v>95</v>
      </c>
      <c r="D123" s="33"/>
      <c r="E123" s="33">
        <v>1</v>
      </c>
      <c r="F123" s="33">
        <v>1</v>
      </c>
      <c r="G123" s="33">
        <v>58</v>
      </c>
      <c r="H123" s="33"/>
      <c r="I123" s="33"/>
      <c r="J123" s="33">
        <v>1</v>
      </c>
      <c r="K123" s="47">
        <f t="shared" si="6"/>
        <v>61</v>
      </c>
    </row>
    <row r="124" spans="2:11">
      <c r="B124" s="11">
        <v>1114502</v>
      </c>
      <c r="C124" s="22" t="s">
        <v>96</v>
      </c>
      <c r="D124" s="33"/>
      <c r="E124" s="33"/>
      <c r="F124" s="33">
        <v>1</v>
      </c>
      <c r="G124" s="33">
        <v>58</v>
      </c>
      <c r="H124" s="33"/>
      <c r="I124" s="33"/>
      <c r="J124" s="33"/>
      <c r="K124" s="47">
        <f t="shared" si="6"/>
        <v>59</v>
      </c>
    </row>
    <row r="125" spans="2:11">
      <c r="B125" s="11">
        <v>1114503</v>
      </c>
      <c r="C125" s="22" t="s">
        <v>97</v>
      </c>
      <c r="D125" s="33"/>
      <c r="E125" s="33"/>
      <c r="F125" s="33">
        <v>1</v>
      </c>
      <c r="G125" s="33">
        <v>58</v>
      </c>
      <c r="H125" s="33"/>
      <c r="I125" s="33"/>
      <c r="J125" s="33"/>
      <c r="K125" s="47">
        <f t="shared" si="6"/>
        <v>59</v>
      </c>
    </row>
    <row r="126" spans="2:11">
      <c r="B126" s="11">
        <v>1124021</v>
      </c>
      <c r="C126" s="22" t="s">
        <v>98</v>
      </c>
      <c r="D126" s="33"/>
      <c r="E126" s="33">
        <v>18</v>
      </c>
      <c r="F126" s="33">
        <v>34</v>
      </c>
      <c r="G126" s="33">
        <v>22</v>
      </c>
      <c r="H126" s="33"/>
      <c r="I126" s="33"/>
      <c r="J126" s="33"/>
      <c r="K126" s="47">
        <f t="shared" si="6"/>
        <v>74</v>
      </c>
    </row>
    <row r="127" spans="2:11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>
      <c r="B135" s="23"/>
      <c r="C135" s="22" t="s">
        <v>128</v>
      </c>
      <c r="D135" s="33"/>
      <c r="E135" s="33"/>
      <c r="F135" s="33"/>
      <c r="G135" s="33"/>
      <c r="H135" s="33"/>
      <c r="I135" s="33"/>
      <c r="J135" s="33">
        <v>7</v>
      </c>
      <c r="K135" s="47">
        <f t="shared" si="6"/>
        <v>7</v>
      </c>
    </row>
    <row r="136" spans="2:11">
      <c r="B136" s="23"/>
      <c r="C136" s="22" t="s">
        <v>129</v>
      </c>
      <c r="D136" s="33"/>
      <c r="E136" s="33"/>
      <c r="F136" s="33"/>
      <c r="G136" s="33"/>
      <c r="H136" s="33"/>
      <c r="I136" s="33"/>
      <c r="J136" s="33">
        <v>4</v>
      </c>
      <c r="K136" s="47">
        <f t="shared" si="6"/>
        <v>4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I139" si="7">SUM(D114:D137,D102:D111,D90:D99,D79:D87,D69:D76,D7:D66)</f>
        <v>0</v>
      </c>
      <c r="E139" s="45">
        <f t="shared" si="7"/>
        <v>51</v>
      </c>
      <c r="F139" s="45">
        <f t="shared" si="7"/>
        <v>54</v>
      </c>
      <c r="G139" s="45">
        <f t="shared" si="7"/>
        <v>342</v>
      </c>
      <c r="H139" s="45">
        <f t="shared" si="7"/>
        <v>0</v>
      </c>
      <c r="I139" s="45">
        <f t="shared" si="7"/>
        <v>0</v>
      </c>
      <c r="J139" s="45"/>
      <c r="K139" s="45">
        <f>SUM(K114:K137,K102:K111,K90:K99,K79:K87,K69:K76,K7:K66)</f>
        <v>464</v>
      </c>
    </row>
    <row r="140" spans="2:11">
      <c r="C140" s="25"/>
      <c r="D140" s="34"/>
      <c r="E140" s="63"/>
      <c r="F140" s="63"/>
      <c r="G140" s="29"/>
    </row>
    <row r="141" spans="2:11">
      <c r="B141" s="63" t="s">
        <v>108</v>
      </c>
      <c r="C141" s="63"/>
      <c r="D141" s="35"/>
      <c r="E141" s="62"/>
      <c r="F141" s="62"/>
      <c r="G141" s="30"/>
      <c r="H141" s="29"/>
      <c r="I141" s="63" t="s">
        <v>108</v>
      </c>
      <c r="J141" s="63"/>
      <c r="K141" s="63"/>
    </row>
    <row r="142" spans="2:11">
      <c r="B142" s="62" t="s">
        <v>109</v>
      </c>
      <c r="C142" s="62"/>
      <c r="D142" s="36"/>
      <c r="E142" s="36"/>
      <c r="F142" s="36"/>
      <c r="G142" s="36"/>
      <c r="H142" s="36"/>
      <c r="I142" s="62" t="s">
        <v>110</v>
      </c>
      <c r="J142" s="62"/>
      <c r="K142" s="62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78:K78"/>
    <mergeCell ref="B1:K1"/>
    <mergeCell ref="B2:C3"/>
    <mergeCell ref="E2:F3"/>
    <mergeCell ref="B6:K6"/>
    <mergeCell ref="B68:K68"/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Q160"/>
  <sheetViews>
    <sheetView tabSelected="1" zoomScale="50" zoomScaleNormal="50" workbookViewId="0">
      <selection activeCell="D118" sqref="D118:J136"/>
    </sheetView>
  </sheetViews>
  <sheetFormatPr defaultRowHeight="23.25"/>
  <cols>
    <col min="2" max="2" width="22.140625" style="24" customWidth="1"/>
    <col min="3" max="3" width="59.140625" style="24" customWidth="1"/>
    <col min="4" max="8" width="14.42578125" style="16" customWidth="1"/>
    <col min="9" max="9" width="14.42578125" style="16" hidden="1" customWidth="1"/>
    <col min="10" max="10" width="14.42578125" style="16" customWidth="1"/>
    <col min="11" max="11" width="17.5703125" style="26" customWidth="1"/>
    <col min="12" max="13" width="14.42578125" style="24" customWidth="1"/>
    <col min="14" max="14" width="14.42578125" style="31" customWidth="1"/>
    <col min="15" max="15" width="9.140625" customWidth="1"/>
    <col min="16" max="16" width="7.42578125" customWidth="1"/>
    <col min="17" max="17" width="22.7109375" customWidth="1"/>
  </cols>
  <sheetData>
    <row r="1" spans="2:14">
      <c r="B1" s="66" t="s">
        <v>153</v>
      </c>
      <c r="C1" s="66"/>
      <c r="D1" s="66"/>
      <c r="E1" s="66"/>
      <c r="F1" s="66"/>
      <c r="G1" s="66"/>
      <c r="H1" s="66"/>
      <c r="I1" s="66"/>
      <c r="J1" s="66"/>
      <c r="K1" s="66"/>
    </row>
    <row r="2" spans="2:14">
      <c r="B2" s="67"/>
      <c r="C2" s="68"/>
      <c r="D2" s="1"/>
      <c r="E2" s="69"/>
      <c r="F2" s="69"/>
      <c r="G2" s="2"/>
      <c r="H2" s="2"/>
      <c r="I2" s="2"/>
      <c r="J2" s="2"/>
      <c r="K2" s="3" t="s">
        <v>0</v>
      </c>
      <c r="L2" s="77" t="s">
        <v>138</v>
      </c>
      <c r="M2" s="77" t="s">
        <v>142</v>
      </c>
      <c r="N2" s="73" t="s">
        <v>1</v>
      </c>
    </row>
    <row r="3" spans="2:14">
      <c r="B3" s="67"/>
      <c r="C3" s="68"/>
      <c r="D3" s="4"/>
      <c r="E3" s="70"/>
      <c r="F3" s="70"/>
      <c r="G3" s="5"/>
      <c r="H3" s="5"/>
      <c r="I3" s="5"/>
      <c r="J3" s="54"/>
      <c r="K3" s="6" t="s">
        <v>2</v>
      </c>
      <c r="L3" s="78"/>
      <c r="M3" s="78"/>
      <c r="N3" s="74"/>
    </row>
    <row r="4" spans="2:14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55" t="s">
        <v>150</v>
      </c>
      <c r="K4" s="10" t="s">
        <v>10</v>
      </c>
      <c r="L4" s="79"/>
      <c r="M4" s="79"/>
      <c r="N4" s="75"/>
    </row>
    <row r="5" spans="2:14">
      <c r="B5" s="11"/>
      <c r="C5" s="12"/>
      <c r="D5" s="13"/>
      <c r="E5" s="9"/>
      <c r="F5" s="9"/>
      <c r="G5" s="9"/>
      <c r="H5" s="9"/>
      <c r="I5" s="9"/>
      <c r="J5" s="55"/>
      <c r="K5" s="14"/>
      <c r="L5" s="11"/>
      <c r="M5" s="11"/>
      <c r="N5" s="32"/>
    </row>
    <row r="6" spans="2:14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76"/>
    </row>
    <row r="7" spans="2:14">
      <c r="B7" s="11">
        <v>1111002</v>
      </c>
      <c r="C7" s="15" t="s">
        <v>111</v>
      </c>
      <c r="D7" s="33">
        <f>'เช้า '!D7+บ่าย!D7</f>
        <v>0</v>
      </c>
      <c r="E7" s="33">
        <f>'เช้า '!E7+บ่าย!E7</f>
        <v>20</v>
      </c>
      <c r="F7" s="33">
        <f>'เช้า '!F7+บ่าย!F7</f>
        <v>66</v>
      </c>
      <c r="G7" s="33">
        <f>'เช้า '!G7+บ่าย!G7</f>
        <v>2</v>
      </c>
      <c r="H7" s="33">
        <f>'เช้า '!H7+บ่าย!H7</f>
        <v>0</v>
      </c>
      <c r="I7" s="33">
        <f>'เช้า '!I7+บ่าย!I7</f>
        <v>0</v>
      </c>
      <c r="J7" s="33">
        <f>'เช้า '!J7+บ่าย!J7</f>
        <v>0</v>
      </c>
      <c r="K7" s="39">
        <f>SUM(D7:J7)</f>
        <v>88</v>
      </c>
      <c r="L7" s="11"/>
      <c r="M7" s="11"/>
      <c r="N7" s="58">
        <f>SUM(L7+M7)-K7</f>
        <v>-88</v>
      </c>
    </row>
    <row r="8" spans="2:14" hidden="1">
      <c r="B8" s="11"/>
      <c r="C8" s="15" t="s">
        <v>135</v>
      </c>
      <c r="D8" s="33">
        <f>'เช้า '!D8+บ่าย!D8</f>
        <v>0</v>
      </c>
      <c r="E8" s="33">
        <f>'เช้า '!E8+บ่าย!E8</f>
        <v>0</v>
      </c>
      <c r="F8" s="33">
        <f>'เช้า '!F8+บ่าย!F8</f>
        <v>0</v>
      </c>
      <c r="G8" s="33">
        <f>'เช้า '!G8+บ่าย!G8</f>
        <v>0</v>
      </c>
      <c r="H8" s="33">
        <f>'เช้า '!H8+บ่าย!H8</f>
        <v>0</v>
      </c>
      <c r="I8" s="33">
        <f>'เช้า '!I8+บ่าย!I8</f>
        <v>0</v>
      </c>
      <c r="J8" s="33">
        <f>'เช้า '!J8+บ่าย!J8</f>
        <v>0</v>
      </c>
      <c r="K8" s="39">
        <f t="shared" ref="K8:K67" si="0">SUM(D8:J8)</f>
        <v>0</v>
      </c>
      <c r="L8" s="11"/>
      <c r="M8" s="11"/>
      <c r="N8" s="58">
        <f t="shared" ref="N8:N67" si="1">SUM(L8+M8)-K8</f>
        <v>0</v>
      </c>
    </row>
    <row r="9" spans="2:14" hidden="1">
      <c r="B9" s="11">
        <v>1111084</v>
      </c>
      <c r="C9" s="15" t="s">
        <v>12</v>
      </c>
      <c r="D9" s="33">
        <f>'เช้า '!D9+บ่าย!D9</f>
        <v>0</v>
      </c>
      <c r="E9" s="33">
        <f>'เช้า '!E9+บ่าย!E9</f>
        <v>0</v>
      </c>
      <c r="F9" s="33">
        <f>'เช้า '!F9+บ่าย!F9</f>
        <v>0</v>
      </c>
      <c r="G9" s="33">
        <f>'เช้า '!G9+บ่าย!G9</f>
        <v>0</v>
      </c>
      <c r="H9" s="33">
        <f>'เช้า '!H9+บ่าย!H9</f>
        <v>0</v>
      </c>
      <c r="I9" s="33">
        <f>'เช้า '!I9+บ่าย!I9</f>
        <v>0</v>
      </c>
      <c r="J9" s="33">
        <f>'เช้า '!J9+บ่าย!J9</f>
        <v>0</v>
      </c>
      <c r="K9" s="39">
        <f t="shared" si="0"/>
        <v>0</v>
      </c>
      <c r="L9" s="11"/>
      <c r="M9" s="11"/>
      <c r="N9" s="58">
        <f t="shared" si="1"/>
        <v>0</v>
      </c>
    </row>
    <row r="10" spans="2:14" hidden="1">
      <c r="B10" s="11">
        <v>1111085</v>
      </c>
      <c r="C10" s="15" t="s">
        <v>13</v>
      </c>
      <c r="D10" s="33">
        <f>'เช้า '!D10+บ่าย!D10</f>
        <v>0</v>
      </c>
      <c r="E10" s="33">
        <f>'เช้า '!E10+บ่าย!E10</f>
        <v>0</v>
      </c>
      <c r="F10" s="33">
        <f>'เช้า '!F10+บ่าย!F10</f>
        <v>0</v>
      </c>
      <c r="G10" s="33">
        <f>'เช้า '!G10+บ่าย!G10</f>
        <v>0</v>
      </c>
      <c r="H10" s="33">
        <f>'เช้า '!H10+บ่าย!H10</f>
        <v>0</v>
      </c>
      <c r="I10" s="33">
        <f>'เช้า '!I10+บ่าย!I10</f>
        <v>0</v>
      </c>
      <c r="J10" s="33">
        <f>'เช้า '!J10+บ่าย!J10</f>
        <v>0</v>
      </c>
      <c r="K10" s="39">
        <f t="shared" si="0"/>
        <v>0</v>
      </c>
      <c r="L10" s="11"/>
      <c r="M10" s="11"/>
      <c r="N10" s="58">
        <f t="shared" si="1"/>
        <v>0</v>
      </c>
    </row>
    <row r="11" spans="2:14" hidden="1">
      <c r="B11" s="11">
        <v>1111086</v>
      </c>
      <c r="C11" s="15" t="s">
        <v>14</v>
      </c>
      <c r="D11" s="33">
        <f>'เช้า '!D11+บ่าย!D11</f>
        <v>0</v>
      </c>
      <c r="E11" s="33">
        <f>'เช้า '!E11+บ่าย!E11</f>
        <v>0</v>
      </c>
      <c r="F11" s="33">
        <f>'เช้า '!F11+บ่าย!F11</f>
        <v>0</v>
      </c>
      <c r="G11" s="33">
        <f>'เช้า '!G11+บ่าย!G11</f>
        <v>0</v>
      </c>
      <c r="H11" s="33">
        <f>'เช้า '!H11+บ่าย!H11</f>
        <v>0</v>
      </c>
      <c r="I11" s="33">
        <f>'เช้า '!I11+บ่าย!I11</f>
        <v>0</v>
      </c>
      <c r="J11" s="33">
        <f>'เช้า '!J11+บ่าย!J11</f>
        <v>0</v>
      </c>
      <c r="K11" s="39">
        <f t="shared" si="0"/>
        <v>0</v>
      </c>
      <c r="L11" s="11"/>
      <c r="M11" s="11"/>
      <c r="N11" s="58">
        <f t="shared" si="1"/>
        <v>0</v>
      </c>
    </row>
    <row r="12" spans="2:14" hidden="1">
      <c r="B12" s="11">
        <v>1111087</v>
      </c>
      <c r="C12" s="15" t="s">
        <v>15</v>
      </c>
      <c r="D12" s="33">
        <f>'เช้า '!D12+บ่าย!D12</f>
        <v>0</v>
      </c>
      <c r="E12" s="33">
        <f>'เช้า '!E12+บ่าย!E12</f>
        <v>0</v>
      </c>
      <c r="F12" s="33">
        <f>'เช้า '!F12+บ่าย!F12</f>
        <v>0</v>
      </c>
      <c r="G12" s="33">
        <f>'เช้า '!G12+บ่าย!G12</f>
        <v>0</v>
      </c>
      <c r="H12" s="33">
        <f>'เช้า '!H12+บ่าย!H12</f>
        <v>0</v>
      </c>
      <c r="I12" s="33">
        <f>'เช้า '!I12+บ่าย!I12</f>
        <v>0</v>
      </c>
      <c r="J12" s="33">
        <f>'เช้า '!J12+บ่าย!J12</f>
        <v>0</v>
      </c>
      <c r="K12" s="39">
        <f t="shared" si="0"/>
        <v>0</v>
      </c>
      <c r="L12" s="11"/>
      <c r="M12" s="11"/>
      <c r="N12" s="58">
        <f t="shared" si="1"/>
        <v>0</v>
      </c>
    </row>
    <row r="13" spans="2:14" hidden="1">
      <c r="B13" s="11">
        <v>1111088</v>
      </c>
      <c r="C13" s="15" t="s">
        <v>16</v>
      </c>
      <c r="D13" s="33">
        <f>'เช้า '!D13+บ่าย!D13</f>
        <v>0</v>
      </c>
      <c r="E13" s="33">
        <f>'เช้า '!E13+บ่าย!E13</f>
        <v>0</v>
      </c>
      <c r="F13" s="33">
        <f>'เช้า '!F13+บ่าย!F13</f>
        <v>0</v>
      </c>
      <c r="G13" s="33">
        <f>'เช้า '!G13+บ่าย!G13</f>
        <v>0</v>
      </c>
      <c r="H13" s="33">
        <f>'เช้า '!H13+บ่าย!H13</f>
        <v>0</v>
      </c>
      <c r="I13" s="33">
        <f>'เช้า '!I13+บ่าย!I13</f>
        <v>0</v>
      </c>
      <c r="J13" s="33">
        <f>'เช้า '!J13+บ่าย!J13</f>
        <v>0</v>
      </c>
      <c r="K13" s="39">
        <f t="shared" si="0"/>
        <v>0</v>
      </c>
      <c r="L13" s="11"/>
      <c r="M13" s="11"/>
      <c r="N13" s="58">
        <f t="shared" si="1"/>
        <v>0</v>
      </c>
    </row>
    <row r="14" spans="2:14" hidden="1">
      <c r="B14" s="11">
        <v>1111089</v>
      </c>
      <c r="C14" s="15" t="s">
        <v>17</v>
      </c>
      <c r="D14" s="33">
        <f>'เช้า '!D14+บ่าย!D14</f>
        <v>0</v>
      </c>
      <c r="E14" s="33">
        <f>'เช้า '!E14+บ่าย!E14</f>
        <v>0</v>
      </c>
      <c r="F14" s="33">
        <f>'เช้า '!F14+บ่าย!F14</f>
        <v>0</v>
      </c>
      <c r="G14" s="33">
        <f>'เช้า '!G14+บ่าย!G14</f>
        <v>0</v>
      </c>
      <c r="H14" s="33">
        <f>'เช้า '!H14+บ่าย!H14</f>
        <v>0</v>
      </c>
      <c r="I14" s="33">
        <f>'เช้า '!I14+บ่าย!I14</f>
        <v>0</v>
      </c>
      <c r="J14" s="33">
        <f>'เช้า '!J14+บ่าย!J14</f>
        <v>0</v>
      </c>
      <c r="K14" s="39">
        <f t="shared" si="0"/>
        <v>0</v>
      </c>
      <c r="L14" s="11"/>
      <c r="M14" s="11"/>
      <c r="N14" s="58">
        <f t="shared" si="1"/>
        <v>0</v>
      </c>
    </row>
    <row r="15" spans="2:14" hidden="1">
      <c r="B15" s="11">
        <v>1111090</v>
      </c>
      <c r="C15" s="15" t="s">
        <v>18</v>
      </c>
      <c r="D15" s="33">
        <f>'เช้า '!D15+บ่าย!D15</f>
        <v>0</v>
      </c>
      <c r="E15" s="33">
        <f>'เช้า '!E15+บ่าย!E15</f>
        <v>0</v>
      </c>
      <c r="F15" s="33">
        <f>'เช้า '!F15+บ่าย!F15</f>
        <v>0</v>
      </c>
      <c r="G15" s="33">
        <f>'เช้า '!G15+บ่าย!G15</f>
        <v>0</v>
      </c>
      <c r="H15" s="33">
        <f>'เช้า '!H15+บ่าย!H15</f>
        <v>0</v>
      </c>
      <c r="I15" s="33">
        <f>'เช้า '!I15+บ่าย!I15</f>
        <v>0</v>
      </c>
      <c r="J15" s="33">
        <f>'เช้า '!J15+บ่าย!J15</f>
        <v>0</v>
      </c>
      <c r="K15" s="39">
        <f t="shared" si="0"/>
        <v>0</v>
      </c>
      <c r="L15" s="11"/>
      <c r="M15" s="11"/>
      <c r="N15" s="58">
        <f t="shared" si="1"/>
        <v>0</v>
      </c>
    </row>
    <row r="16" spans="2:14" hidden="1">
      <c r="B16" s="11">
        <v>1111091</v>
      </c>
      <c r="C16" s="15" t="s">
        <v>19</v>
      </c>
      <c r="D16" s="33">
        <f>'เช้า '!D16+บ่าย!D16</f>
        <v>0</v>
      </c>
      <c r="E16" s="33">
        <f>'เช้า '!E16+บ่าย!E16</f>
        <v>0</v>
      </c>
      <c r="F16" s="33">
        <f>'เช้า '!F16+บ่าย!F16</f>
        <v>0</v>
      </c>
      <c r="G16" s="33">
        <f>'เช้า '!G16+บ่าย!G16</f>
        <v>0</v>
      </c>
      <c r="H16" s="33">
        <f>'เช้า '!H16+บ่าย!H16</f>
        <v>0</v>
      </c>
      <c r="I16" s="33">
        <f>'เช้า '!I16+บ่าย!I16</f>
        <v>0</v>
      </c>
      <c r="J16" s="33">
        <f>'เช้า '!J16+บ่าย!J16</f>
        <v>0</v>
      </c>
      <c r="K16" s="39">
        <f t="shared" si="0"/>
        <v>0</v>
      </c>
      <c r="L16" s="11"/>
      <c r="M16" s="11"/>
      <c r="N16" s="58">
        <f t="shared" si="1"/>
        <v>0</v>
      </c>
    </row>
    <row r="17" spans="2:14" hidden="1">
      <c r="B17" s="11">
        <v>1111092</v>
      </c>
      <c r="C17" s="15" t="s">
        <v>20</v>
      </c>
      <c r="D17" s="33">
        <f>'เช้า '!D17+บ่าย!D17</f>
        <v>0</v>
      </c>
      <c r="E17" s="33">
        <f>'เช้า '!E17+บ่าย!E17</f>
        <v>0</v>
      </c>
      <c r="F17" s="33">
        <f>'เช้า '!F17+บ่าย!F17</f>
        <v>0</v>
      </c>
      <c r="G17" s="33">
        <f>'เช้า '!G17+บ่าย!G17</f>
        <v>0</v>
      </c>
      <c r="H17" s="33">
        <f>'เช้า '!H17+บ่าย!H17</f>
        <v>0</v>
      </c>
      <c r="I17" s="33">
        <f>'เช้า '!I17+บ่าย!I17</f>
        <v>0</v>
      </c>
      <c r="J17" s="33">
        <f>'เช้า '!J17+บ่าย!J17</f>
        <v>0</v>
      </c>
      <c r="K17" s="39">
        <f t="shared" si="0"/>
        <v>0</v>
      </c>
      <c r="L17" s="11"/>
      <c r="M17" s="11"/>
      <c r="N17" s="58">
        <f t="shared" si="1"/>
        <v>0</v>
      </c>
    </row>
    <row r="18" spans="2:14" hidden="1">
      <c r="B18" s="11">
        <v>1111093</v>
      </c>
      <c r="C18" s="15" t="s">
        <v>21</v>
      </c>
      <c r="D18" s="33">
        <f>'เช้า '!D18+บ่าย!D18</f>
        <v>0</v>
      </c>
      <c r="E18" s="33">
        <f>'เช้า '!E18+บ่าย!E18</f>
        <v>0</v>
      </c>
      <c r="F18" s="33">
        <f>'เช้า '!F18+บ่าย!F18</f>
        <v>0</v>
      </c>
      <c r="G18" s="33">
        <f>'เช้า '!G18+บ่าย!G18</f>
        <v>0</v>
      </c>
      <c r="H18" s="33">
        <f>'เช้า '!H18+บ่าย!H18</f>
        <v>0</v>
      </c>
      <c r="I18" s="33">
        <f>'เช้า '!I18+บ่าย!I18</f>
        <v>0</v>
      </c>
      <c r="J18" s="33">
        <f>'เช้า '!J18+บ่าย!J18</f>
        <v>0</v>
      </c>
      <c r="K18" s="39">
        <f t="shared" si="0"/>
        <v>0</v>
      </c>
      <c r="L18" s="11"/>
      <c r="M18" s="11"/>
      <c r="N18" s="58">
        <f t="shared" si="1"/>
        <v>0</v>
      </c>
    </row>
    <row r="19" spans="2:14" hidden="1">
      <c r="B19" s="11">
        <v>1111094</v>
      </c>
      <c r="C19" s="15" t="s">
        <v>22</v>
      </c>
      <c r="D19" s="33">
        <f>'เช้า '!D19+บ่าย!D19</f>
        <v>0</v>
      </c>
      <c r="E19" s="33">
        <f>'เช้า '!E19+บ่าย!E19</f>
        <v>0</v>
      </c>
      <c r="F19" s="33">
        <f>'เช้า '!F19+บ่าย!F19</f>
        <v>0</v>
      </c>
      <c r="G19" s="33">
        <f>'เช้า '!G19+บ่าย!G19</f>
        <v>0</v>
      </c>
      <c r="H19" s="33">
        <f>'เช้า '!H19+บ่าย!H19</f>
        <v>0</v>
      </c>
      <c r="I19" s="33">
        <f>'เช้า '!I19+บ่าย!I19</f>
        <v>0</v>
      </c>
      <c r="J19" s="33">
        <f>'เช้า '!J19+บ่าย!J19</f>
        <v>0</v>
      </c>
      <c r="K19" s="39">
        <f t="shared" si="0"/>
        <v>0</v>
      </c>
      <c r="L19" s="11"/>
      <c r="M19" s="11"/>
      <c r="N19" s="58">
        <f t="shared" si="1"/>
        <v>0</v>
      </c>
    </row>
    <row r="20" spans="2:14" hidden="1">
      <c r="B20" s="11">
        <v>1111095</v>
      </c>
      <c r="C20" s="15" t="s">
        <v>23</v>
      </c>
      <c r="D20" s="33">
        <f>'เช้า '!D20+บ่าย!D20</f>
        <v>0</v>
      </c>
      <c r="E20" s="33">
        <f>'เช้า '!E20+บ่าย!E20</f>
        <v>0</v>
      </c>
      <c r="F20" s="33">
        <f>'เช้า '!F20+บ่าย!F20</f>
        <v>0</v>
      </c>
      <c r="G20" s="33">
        <f>'เช้า '!G20+บ่าย!G20</f>
        <v>0</v>
      </c>
      <c r="H20" s="33">
        <f>'เช้า '!H20+บ่าย!H20</f>
        <v>0</v>
      </c>
      <c r="I20" s="33">
        <f>'เช้า '!I20+บ่าย!I20</f>
        <v>0</v>
      </c>
      <c r="J20" s="33">
        <f>'เช้า '!J20+บ่าย!J20</f>
        <v>0</v>
      </c>
      <c r="K20" s="39">
        <f t="shared" si="0"/>
        <v>0</v>
      </c>
      <c r="L20" s="11"/>
      <c r="M20" s="11"/>
      <c r="N20" s="58">
        <f t="shared" si="1"/>
        <v>0</v>
      </c>
    </row>
    <row r="21" spans="2:14" hidden="1">
      <c r="B21" s="11">
        <v>1111096</v>
      </c>
      <c r="C21" s="15" t="s">
        <v>24</v>
      </c>
      <c r="D21" s="33">
        <f>'เช้า '!D21+บ่าย!D21</f>
        <v>0</v>
      </c>
      <c r="E21" s="33">
        <f>'เช้า '!E21+บ่าย!E21</f>
        <v>0</v>
      </c>
      <c r="F21" s="33">
        <f>'เช้า '!F21+บ่าย!F21</f>
        <v>0</v>
      </c>
      <c r="G21" s="33">
        <f>'เช้า '!G21+บ่าย!G21</f>
        <v>0</v>
      </c>
      <c r="H21" s="33">
        <f>'เช้า '!H21+บ่าย!H21</f>
        <v>0</v>
      </c>
      <c r="I21" s="33">
        <f>'เช้า '!I21+บ่าย!I21</f>
        <v>0</v>
      </c>
      <c r="J21" s="33">
        <f>'เช้า '!J21+บ่าย!J21</f>
        <v>0</v>
      </c>
      <c r="K21" s="39">
        <f t="shared" si="0"/>
        <v>0</v>
      </c>
      <c r="L21" s="11"/>
      <c r="M21" s="11"/>
      <c r="N21" s="58">
        <f t="shared" si="1"/>
        <v>0</v>
      </c>
    </row>
    <row r="22" spans="2:14" hidden="1">
      <c r="B22" s="11">
        <v>1111097</v>
      </c>
      <c r="C22" s="15" t="s">
        <v>25</v>
      </c>
      <c r="D22" s="33">
        <f>'เช้า '!D22+บ่าย!D22</f>
        <v>0</v>
      </c>
      <c r="E22" s="33">
        <f>'เช้า '!E22+บ่าย!E22</f>
        <v>0</v>
      </c>
      <c r="F22" s="33">
        <f>'เช้า '!F22+บ่าย!F22</f>
        <v>0</v>
      </c>
      <c r="G22" s="33">
        <f>'เช้า '!G22+บ่าย!G22</f>
        <v>0</v>
      </c>
      <c r="H22" s="33">
        <f>'เช้า '!H22+บ่าย!H22</f>
        <v>0</v>
      </c>
      <c r="I22" s="33">
        <f>'เช้า '!I22+บ่าย!I22</f>
        <v>0</v>
      </c>
      <c r="J22" s="33">
        <f>'เช้า '!J22+บ่าย!J22</f>
        <v>0</v>
      </c>
      <c r="K22" s="39">
        <f t="shared" si="0"/>
        <v>0</v>
      </c>
      <c r="L22" s="11"/>
      <c r="M22" s="11"/>
      <c r="N22" s="58">
        <f t="shared" si="1"/>
        <v>0</v>
      </c>
    </row>
    <row r="23" spans="2:14" hidden="1">
      <c r="B23" s="11">
        <v>1111098</v>
      </c>
      <c r="C23" s="15" t="s">
        <v>26</v>
      </c>
      <c r="D23" s="33">
        <f>'เช้า '!D23+บ่าย!D23</f>
        <v>0</v>
      </c>
      <c r="E23" s="33">
        <f>'เช้า '!E23+บ่าย!E23</f>
        <v>0</v>
      </c>
      <c r="F23" s="33">
        <f>'เช้า '!F23+บ่าย!F23</f>
        <v>0</v>
      </c>
      <c r="G23" s="33">
        <f>'เช้า '!G23+บ่าย!G23</f>
        <v>0</v>
      </c>
      <c r="H23" s="33">
        <f>'เช้า '!H23+บ่าย!H23</f>
        <v>0</v>
      </c>
      <c r="I23" s="33">
        <f>'เช้า '!I23+บ่าย!I23</f>
        <v>0</v>
      </c>
      <c r="J23" s="33">
        <f>'เช้า '!J23+บ่าย!J23</f>
        <v>0</v>
      </c>
      <c r="K23" s="39">
        <f t="shared" si="0"/>
        <v>0</v>
      </c>
      <c r="L23" s="11"/>
      <c r="M23" s="11"/>
      <c r="N23" s="58">
        <f t="shared" si="1"/>
        <v>0</v>
      </c>
    </row>
    <row r="24" spans="2:14" hidden="1">
      <c r="B24" s="11">
        <v>1111043</v>
      </c>
      <c r="C24" s="15" t="s">
        <v>27</v>
      </c>
      <c r="D24" s="33">
        <f>'เช้า '!D24+บ่าย!D24</f>
        <v>0</v>
      </c>
      <c r="E24" s="33">
        <f>'เช้า '!E24+บ่าย!E24</f>
        <v>0</v>
      </c>
      <c r="F24" s="33">
        <f>'เช้า '!F24+บ่าย!F24</f>
        <v>0</v>
      </c>
      <c r="G24" s="33">
        <f>'เช้า '!G24+บ่าย!G24</f>
        <v>0</v>
      </c>
      <c r="H24" s="33">
        <f>'เช้า '!H24+บ่าย!H24</f>
        <v>0</v>
      </c>
      <c r="I24" s="33">
        <f>'เช้า '!I24+บ่าย!I24</f>
        <v>0</v>
      </c>
      <c r="J24" s="33">
        <f>'เช้า '!J24+บ่าย!J24</f>
        <v>0</v>
      </c>
      <c r="K24" s="39">
        <f t="shared" si="0"/>
        <v>0</v>
      </c>
      <c r="L24" s="11"/>
      <c r="M24" s="11"/>
      <c r="N24" s="58">
        <f t="shared" si="1"/>
        <v>0</v>
      </c>
    </row>
    <row r="25" spans="2:14">
      <c r="B25" s="11">
        <v>1111056</v>
      </c>
      <c r="C25" s="15" t="s">
        <v>28</v>
      </c>
      <c r="D25" s="33">
        <f>'เช้า '!D25+บ่าย!D25</f>
        <v>0</v>
      </c>
      <c r="E25" s="33">
        <f>'เช้า '!E25+บ่าย!E25</f>
        <v>5</v>
      </c>
      <c r="F25" s="33">
        <f>'เช้า '!F25+บ่าย!F25</f>
        <v>3</v>
      </c>
      <c r="G25" s="33">
        <f>'เช้า '!G25+บ่าย!G25</f>
        <v>1</v>
      </c>
      <c r="H25" s="33">
        <f>'เช้า '!H25+บ่าย!H25</f>
        <v>0</v>
      </c>
      <c r="I25" s="33">
        <f>'เช้า '!I25+บ่าย!I25</f>
        <v>0</v>
      </c>
      <c r="J25" s="33">
        <f>'เช้า '!J25+บ่าย!J25</f>
        <v>0</v>
      </c>
      <c r="K25" s="39">
        <f t="shared" si="0"/>
        <v>9</v>
      </c>
      <c r="L25" s="11"/>
      <c r="M25" s="11"/>
      <c r="N25" s="58">
        <f t="shared" si="1"/>
        <v>-9</v>
      </c>
    </row>
    <row r="26" spans="2:14">
      <c r="B26" s="11">
        <v>1004055</v>
      </c>
      <c r="C26" s="15" t="s">
        <v>112</v>
      </c>
      <c r="D26" s="33">
        <f>'เช้า '!D26+บ่าย!D26</f>
        <v>0</v>
      </c>
      <c r="E26" s="33">
        <f>'เช้า '!E26+บ่าย!E26</f>
        <v>0</v>
      </c>
      <c r="F26" s="33">
        <f>'เช้า '!F26+บ่าย!F26</f>
        <v>10</v>
      </c>
      <c r="G26" s="33">
        <f>'เช้า '!G26+บ่าย!G26</f>
        <v>45</v>
      </c>
      <c r="H26" s="33">
        <f>'เช้า '!H26+บ่าย!H26</f>
        <v>6</v>
      </c>
      <c r="I26" s="33">
        <f>'เช้า '!I26+บ่าย!I26</f>
        <v>0</v>
      </c>
      <c r="J26" s="33">
        <f>'เช้า '!J26+บ่าย!J26</f>
        <v>0</v>
      </c>
      <c r="K26" s="39">
        <f t="shared" si="0"/>
        <v>61</v>
      </c>
      <c r="L26" s="11">
        <v>150</v>
      </c>
      <c r="M26" s="11"/>
      <c r="N26" s="58">
        <f t="shared" si="1"/>
        <v>89</v>
      </c>
    </row>
    <row r="27" spans="2:14" hidden="1">
      <c r="B27" s="11">
        <v>1004055</v>
      </c>
      <c r="C27" s="15" t="s">
        <v>113</v>
      </c>
      <c r="D27" s="33">
        <f>'เช้า '!D27+บ่าย!D27</f>
        <v>0</v>
      </c>
      <c r="E27" s="33">
        <f>'เช้า '!E27+บ่าย!E27</f>
        <v>0</v>
      </c>
      <c r="F27" s="33">
        <f>'เช้า '!F27+บ่าย!F27</f>
        <v>0</v>
      </c>
      <c r="G27" s="33">
        <f>'เช้า '!G27+บ่าย!G27</f>
        <v>0</v>
      </c>
      <c r="H27" s="33">
        <f>'เช้า '!H27+บ่าย!H27</f>
        <v>0</v>
      </c>
      <c r="I27" s="33">
        <f>'เช้า '!I27+บ่าย!I27</f>
        <v>0</v>
      </c>
      <c r="J27" s="33">
        <f>'เช้า '!J27+บ่าย!J27</f>
        <v>0</v>
      </c>
      <c r="K27" s="39">
        <f t="shared" si="0"/>
        <v>0</v>
      </c>
      <c r="L27" s="11"/>
      <c r="M27" s="11"/>
      <c r="N27" s="58">
        <f t="shared" si="1"/>
        <v>0</v>
      </c>
    </row>
    <row r="28" spans="2:14" hidden="1">
      <c r="B28" s="11">
        <v>1004055</v>
      </c>
      <c r="C28" s="15" t="s">
        <v>114</v>
      </c>
      <c r="D28" s="33">
        <f>'เช้า '!D28+บ่าย!D28</f>
        <v>0</v>
      </c>
      <c r="E28" s="33">
        <f>'เช้า '!E28+บ่าย!E28</f>
        <v>0</v>
      </c>
      <c r="F28" s="33">
        <f>'เช้า '!F28+บ่าย!F28</f>
        <v>0</v>
      </c>
      <c r="G28" s="33">
        <f>'เช้า '!G28+บ่าย!G28</f>
        <v>0</v>
      </c>
      <c r="H28" s="33">
        <f>'เช้า '!H28+บ่าย!H28</f>
        <v>0</v>
      </c>
      <c r="I28" s="33">
        <f>'เช้า '!I28+บ่าย!I28</f>
        <v>0</v>
      </c>
      <c r="J28" s="33">
        <f>'เช้า '!J28+บ่าย!J28</f>
        <v>0</v>
      </c>
      <c r="K28" s="39">
        <f t="shared" si="0"/>
        <v>0</v>
      </c>
      <c r="L28" s="11"/>
      <c r="M28" s="11"/>
      <c r="N28" s="58">
        <f t="shared" si="1"/>
        <v>0</v>
      </c>
    </row>
    <row r="29" spans="2:14" hidden="1">
      <c r="B29" s="11">
        <v>1004055</v>
      </c>
      <c r="C29" s="15" t="s">
        <v>115</v>
      </c>
      <c r="D29" s="33">
        <f>'เช้า '!D29+บ่าย!D29</f>
        <v>0</v>
      </c>
      <c r="E29" s="33">
        <f>'เช้า '!E29+บ่าย!E29</f>
        <v>0</v>
      </c>
      <c r="F29" s="33">
        <f>'เช้า '!F29+บ่าย!F29</f>
        <v>0</v>
      </c>
      <c r="G29" s="33">
        <f>'เช้า '!G29+บ่าย!G29</f>
        <v>0</v>
      </c>
      <c r="H29" s="33">
        <f>'เช้า '!H29+บ่าย!H29</f>
        <v>0</v>
      </c>
      <c r="I29" s="33">
        <f>'เช้า '!I29+บ่าย!I29</f>
        <v>0</v>
      </c>
      <c r="J29" s="33">
        <f>'เช้า '!J29+บ่าย!J29</f>
        <v>0</v>
      </c>
      <c r="K29" s="39">
        <f t="shared" si="0"/>
        <v>0</v>
      </c>
      <c r="L29" s="11"/>
      <c r="M29" s="11"/>
      <c r="N29" s="58">
        <f t="shared" si="1"/>
        <v>0</v>
      </c>
    </row>
    <row r="30" spans="2:14" hidden="1">
      <c r="B30" s="11">
        <v>1004055</v>
      </c>
      <c r="C30" s="15" t="s">
        <v>116</v>
      </c>
      <c r="D30" s="33">
        <f>'เช้า '!D30+บ่าย!D30</f>
        <v>0</v>
      </c>
      <c r="E30" s="33">
        <f>'เช้า '!E30+บ่าย!E30</f>
        <v>0</v>
      </c>
      <c r="F30" s="33">
        <f>'เช้า '!F30+บ่าย!F30</f>
        <v>0</v>
      </c>
      <c r="G30" s="33">
        <f>'เช้า '!G30+บ่าย!G30</f>
        <v>0</v>
      </c>
      <c r="H30" s="33">
        <f>'เช้า '!H30+บ่าย!H30</f>
        <v>0</v>
      </c>
      <c r="I30" s="33">
        <f>'เช้า '!I30+บ่าย!I30</f>
        <v>0</v>
      </c>
      <c r="J30" s="33">
        <f>'เช้า '!J30+บ่าย!J30</f>
        <v>0</v>
      </c>
      <c r="K30" s="39">
        <f t="shared" si="0"/>
        <v>0</v>
      </c>
      <c r="L30" s="11"/>
      <c r="M30" s="11"/>
      <c r="N30" s="58">
        <f t="shared" si="1"/>
        <v>0</v>
      </c>
    </row>
    <row r="31" spans="2:14" hidden="1">
      <c r="B31" s="11">
        <v>1004055</v>
      </c>
      <c r="C31" s="15" t="s">
        <v>117</v>
      </c>
      <c r="D31" s="33">
        <f>'เช้า '!D31+บ่าย!D31</f>
        <v>0</v>
      </c>
      <c r="E31" s="33">
        <f>'เช้า '!E31+บ่าย!E31</f>
        <v>0</v>
      </c>
      <c r="F31" s="33">
        <f>'เช้า '!F31+บ่าย!F31</f>
        <v>0</v>
      </c>
      <c r="G31" s="33">
        <f>'เช้า '!G31+บ่าย!G31</f>
        <v>0</v>
      </c>
      <c r="H31" s="33">
        <f>'เช้า '!H31+บ่าย!H31</f>
        <v>0</v>
      </c>
      <c r="I31" s="33">
        <f>'เช้า '!I31+บ่าย!I31</f>
        <v>0</v>
      </c>
      <c r="J31" s="33">
        <f>'เช้า '!J31+บ่าย!J31</f>
        <v>0</v>
      </c>
      <c r="K31" s="39">
        <f t="shared" si="0"/>
        <v>0</v>
      </c>
      <c r="L31" s="11"/>
      <c r="M31" s="11"/>
      <c r="N31" s="58">
        <f t="shared" si="1"/>
        <v>0</v>
      </c>
    </row>
    <row r="32" spans="2:14" hidden="1">
      <c r="B32" s="11">
        <v>1004055</v>
      </c>
      <c r="C32" s="15" t="s">
        <v>118</v>
      </c>
      <c r="D32" s="33">
        <f>'เช้า '!D32+บ่าย!D32</f>
        <v>0</v>
      </c>
      <c r="E32" s="33">
        <f>'เช้า '!E32+บ่าย!E32</f>
        <v>0</v>
      </c>
      <c r="F32" s="33">
        <f>'เช้า '!F32+บ่าย!F32</f>
        <v>0</v>
      </c>
      <c r="G32" s="33">
        <f>'เช้า '!G32+บ่าย!G32</f>
        <v>0</v>
      </c>
      <c r="H32" s="33">
        <f>'เช้า '!H32+บ่าย!H32</f>
        <v>0</v>
      </c>
      <c r="I32" s="33">
        <f>'เช้า '!I32+บ่าย!I32</f>
        <v>0</v>
      </c>
      <c r="J32" s="33">
        <f>'เช้า '!J32+บ่าย!J32</f>
        <v>0</v>
      </c>
      <c r="K32" s="39">
        <f t="shared" si="0"/>
        <v>0</v>
      </c>
      <c r="L32" s="11"/>
      <c r="M32" s="11"/>
      <c r="N32" s="58">
        <f t="shared" si="1"/>
        <v>0</v>
      </c>
    </row>
    <row r="33" spans="2:14" hidden="1">
      <c r="B33" s="11">
        <v>1004055</v>
      </c>
      <c r="C33" s="15" t="s">
        <v>119</v>
      </c>
      <c r="D33" s="33">
        <f>'เช้า '!D33+บ่าย!D33</f>
        <v>0</v>
      </c>
      <c r="E33" s="33">
        <f>'เช้า '!E33+บ่าย!E33</f>
        <v>0</v>
      </c>
      <c r="F33" s="33">
        <f>'เช้า '!F33+บ่าย!F33</f>
        <v>0</v>
      </c>
      <c r="G33" s="33">
        <f>'เช้า '!G33+บ่าย!G33</f>
        <v>0</v>
      </c>
      <c r="H33" s="33">
        <f>'เช้า '!H33+บ่าย!H33</f>
        <v>0</v>
      </c>
      <c r="I33" s="33">
        <f>'เช้า '!I33+บ่าย!I33</f>
        <v>0</v>
      </c>
      <c r="J33" s="33">
        <f>'เช้า '!J33+บ่าย!J33</f>
        <v>0</v>
      </c>
      <c r="K33" s="39">
        <f t="shared" si="0"/>
        <v>0</v>
      </c>
      <c r="L33" s="11"/>
      <c r="M33" s="11"/>
      <c r="N33" s="58">
        <f t="shared" si="1"/>
        <v>0</v>
      </c>
    </row>
    <row r="34" spans="2:14" hidden="1">
      <c r="B34" s="11">
        <v>1004055</v>
      </c>
      <c r="C34" s="15" t="s">
        <v>29</v>
      </c>
      <c r="D34" s="33">
        <f>'เช้า '!D34+บ่าย!D34</f>
        <v>0</v>
      </c>
      <c r="E34" s="33">
        <f>'เช้า '!E34+บ่าย!E34</f>
        <v>0</v>
      </c>
      <c r="F34" s="33">
        <f>'เช้า '!F34+บ่าย!F34</f>
        <v>0</v>
      </c>
      <c r="G34" s="33">
        <f>'เช้า '!G34+บ่าย!G34</f>
        <v>0</v>
      </c>
      <c r="H34" s="33">
        <f>'เช้า '!H34+บ่าย!H34</f>
        <v>0</v>
      </c>
      <c r="I34" s="33">
        <f>'เช้า '!I34+บ่าย!I34</f>
        <v>0</v>
      </c>
      <c r="J34" s="33">
        <f>'เช้า '!J34+บ่าย!J34</f>
        <v>0</v>
      </c>
      <c r="K34" s="39">
        <f t="shared" si="0"/>
        <v>0</v>
      </c>
      <c r="L34" s="11"/>
      <c r="M34" s="11"/>
      <c r="N34" s="58">
        <f t="shared" si="1"/>
        <v>0</v>
      </c>
    </row>
    <row r="35" spans="2:14" hidden="1">
      <c r="B35" s="11">
        <v>1004055</v>
      </c>
      <c r="C35" s="15" t="s">
        <v>120</v>
      </c>
      <c r="D35" s="33">
        <f>'เช้า '!D35+บ่าย!D35</f>
        <v>0</v>
      </c>
      <c r="E35" s="33">
        <f>'เช้า '!E35+บ่าย!E35</f>
        <v>0</v>
      </c>
      <c r="F35" s="33">
        <f>'เช้า '!F35+บ่าย!F35</f>
        <v>0</v>
      </c>
      <c r="G35" s="33">
        <f>'เช้า '!G35+บ่าย!G35</f>
        <v>0</v>
      </c>
      <c r="H35" s="33">
        <f>'เช้า '!H35+บ่าย!H35</f>
        <v>0</v>
      </c>
      <c r="I35" s="33">
        <f>'เช้า '!I35+บ่าย!I35</f>
        <v>0</v>
      </c>
      <c r="J35" s="33">
        <f>'เช้า '!J35+บ่าย!J35</f>
        <v>0</v>
      </c>
      <c r="K35" s="39">
        <f t="shared" si="0"/>
        <v>0</v>
      </c>
      <c r="L35" s="11"/>
      <c r="M35" s="11"/>
      <c r="N35" s="58">
        <f t="shared" si="1"/>
        <v>0</v>
      </c>
    </row>
    <row r="36" spans="2:14" hidden="1">
      <c r="B36" s="11">
        <v>1004055</v>
      </c>
      <c r="C36" s="15" t="s">
        <v>121</v>
      </c>
      <c r="D36" s="33">
        <f>'เช้า '!D36+บ่าย!D36</f>
        <v>0</v>
      </c>
      <c r="E36" s="33">
        <f>'เช้า '!E36+บ่าย!E36</f>
        <v>0</v>
      </c>
      <c r="F36" s="33">
        <f>'เช้า '!F36+บ่าย!F36</f>
        <v>0</v>
      </c>
      <c r="G36" s="33">
        <f>'เช้า '!G36+บ่าย!G36</f>
        <v>0</v>
      </c>
      <c r="H36" s="33">
        <f>'เช้า '!H36+บ่าย!H36</f>
        <v>0</v>
      </c>
      <c r="I36" s="33">
        <f>'เช้า '!I36+บ่าย!I36</f>
        <v>0</v>
      </c>
      <c r="J36" s="33">
        <f>'เช้า '!J36+บ่าย!J36</f>
        <v>0</v>
      </c>
      <c r="K36" s="39">
        <f t="shared" si="0"/>
        <v>0</v>
      </c>
      <c r="L36" s="11"/>
      <c r="M36" s="11"/>
      <c r="N36" s="58">
        <f t="shared" si="1"/>
        <v>0</v>
      </c>
    </row>
    <row r="37" spans="2:14" hidden="1">
      <c r="B37" s="11">
        <v>1004055</v>
      </c>
      <c r="C37" s="15" t="s">
        <v>122</v>
      </c>
      <c r="D37" s="33">
        <f>'เช้า '!D37+บ่าย!D37</f>
        <v>0</v>
      </c>
      <c r="E37" s="33">
        <f>'เช้า '!E37+บ่าย!E37</f>
        <v>0</v>
      </c>
      <c r="F37" s="33">
        <f>'เช้า '!F37+บ่าย!F37</f>
        <v>0</v>
      </c>
      <c r="G37" s="33">
        <f>'เช้า '!G37+บ่าย!G37</f>
        <v>0</v>
      </c>
      <c r="H37" s="33">
        <f>'เช้า '!H37+บ่าย!H37</f>
        <v>0</v>
      </c>
      <c r="I37" s="33">
        <f>'เช้า '!I37+บ่าย!I37</f>
        <v>0</v>
      </c>
      <c r="J37" s="33">
        <f>'เช้า '!J37+บ่าย!J37</f>
        <v>0</v>
      </c>
      <c r="K37" s="39">
        <f t="shared" si="0"/>
        <v>0</v>
      </c>
      <c r="L37" s="11"/>
      <c r="M37" s="11"/>
      <c r="N37" s="58">
        <f t="shared" si="1"/>
        <v>0</v>
      </c>
    </row>
    <row r="38" spans="2:14" hidden="1">
      <c r="B38" s="11">
        <v>1004055</v>
      </c>
      <c r="C38" s="15" t="s">
        <v>123</v>
      </c>
      <c r="D38" s="33">
        <f>'เช้า '!D38+บ่าย!D38</f>
        <v>0</v>
      </c>
      <c r="E38" s="33">
        <f>'เช้า '!E38+บ่าย!E38</f>
        <v>0</v>
      </c>
      <c r="F38" s="33">
        <f>'เช้า '!F38+บ่าย!F38</f>
        <v>0</v>
      </c>
      <c r="G38" s="33">
        <f>'เช้า '!G38+บ่าย!G38</f>
        <v>0</v>
      </c>
      <c r="H38" s="33">
        <f>'เช้า '!H38+บ่าย!H38</f>
        <v>0</v>
      </c>
      <c r="I38" s="33">
        <f>'เช้า '!I38+บ่าย!I38</f>
        <v>0</v>
      </c>
      <c r="J38" s="33">
        <f>'เช้า '!J38+บ่าย!J38</f>
        <v>0</v>
      </c>
      <c r="K38" s="39">
        <f t="shared" si="0"/>
        <v>0</v>
      </c>
      <c r="L38" s="11"/>
      <c r="M38" s="11"/>
      <c r="N38" s="58">
        <f t="shared" si="1"/>
        <v>0</v>
      </c>
    </row>
    <row r="39" spans="2:14" hidden="1">
      <c r="B39" s="11">
        <v>1004055</v>
      </c>
      <c r="C39" s="15" t="s">
        <v>124</v>
      </c>
      <c r="D39" s="33">
        <f>'เช้า '!D39+บ่าย!D39</f>
        <v>0</v>
      </c>
      <c r="E39" s="33">
        <f>'เช้า '!E39+บ่าย!E39</f>
        <v>0</v>
      </c>
      <c r="F39" s="33">
        <f>'เช้า '!F39+บ่าย!F39</f>
        <v>0</v>
      </c>
      <c r="G39" s="33">
        <f>'เช้า '!G39+บ่าย!G39</f>
        <v>0</v>
      </c>
      <c r="H39" s="33">
        <f>'เช้า '!H39+บ่าย!H39</f>
        <v>0</v>
      </c>
      <c r="I39" s="33">
        <f>'เช้า '!I39+บ่าย!I39</f>
        <v>0</v>
      </c>
      <c r="J39" s="33">
        <f>'เช้า '!J39+บ่าย!J39</f>
        <v>0</v>
      </c>
      <c r="K39" s="39">
        <f t="shared" si="0"/>
        <v>0</v>
      </c>
      <c r="L39" s="11"/>
      <c r="M39" s="11"/>
      <c r="N39" s="58">
        <f t="shared" si="1"/>
        <v>0</v>
      </c>
    </row>
    <row r="40" spans="2:14">
      <c r="B40" s="11">
        <v>1111057</v>
      </c>
      <c r="C40" s="15" t="s">
        <v>30</v>
      </c>
      <c r="D40" s="33">
        <f>'เช้า '!D40+บ่าย!D40</f>
        <v>1</v>
      </c>
      <c r="E40" s="33">
        <f>'เช้า '!E40+บ่าย!E40</f>
        <v>0</v>
      </c>
      <c r="F40" s="33">
        <f>'เช้า '!F40+บ่าย!F40</f>
        <v>0</v>
      </c>
      <c r="G40" s="33">
        <f>'เช้า '!G40+บ่าย!G40</f>
        <v>2</v>
      </c>
      <c r="H40" s="33">
        <f>'เช้า '!H40+บ่าย!H40</f>
        <v>0</v>
      </c>
      <c r="I40" s="33">
        <f>'เช้า '!I40+บ่าย!I40</f>
        <v>0</v>
      </c>
      <c r="J40" s="33">
        <f>'เช้า '!J40+บ่าย!J40</f>
        <v>0</v>
      </c>
      <c r="K40" s="39">
        <f t="shared" si="0"/>
        <v>3</v>
      </c>
      <c r="L40" s="11"/>
      <c r="M40" s="11"/>
      <c r="N40" s="58">
        <f t="shared" si="1"/>
        <v>-3</v>
      </c>
    </row>
    <row r="41" spans="2:14">
      <c r="B41" s="11">
        <v>1111058</v>
      </c>
      <c r="C41" s="15" t="s">
        <v>31</v>
      </c>
      <c r="D41" s="33">
        <f>'เช้า '!D41+บ่าย!D41</f>
        <v>1</v>
      </c>
      <c r="E41" s="33">
        <f>'เช้า '!E41+บ่าย!E41</f>
        <v>0</v>
      </c>
      <c r="F41" s="33">
        <f>'เช้า '!F41+บ่าย!F41</f>
        <v>0</v>
      </c>
      <c r="G41" s="33">
        <f>'เช้า '!G41+บ่าย!G41</f>
        <v>2</v>
      </c>
      <c r="H41" s="33">
        <f>'เช้า '!H41+บ่าย!H41</f>
        <v>0</v>
      </c>
      <c r="I41" s="33">
        <f>'เช้า '!I41+บ่าย!I41</f>
        <v>0</v>
      </c>
      <c r="J41" s="33">
        <f>'เช้า '!J41+บ่าย!J41</f>
        <v>0</v>
      </c>
      <c r="K41" s="39">
        <f t="shared" si="0"/>
        <v>3</v>
      </c>
      <c r="L41" s="11"/>
      <c r="M41" s="11"/>
      <c r="N41" s="58">
        <f t="shared" si="1"/>
        <v>-3</v>
      </c>
    </row>
    <row r="42" spans="2:14">
      <c r="B42" s="11">
        <v>1111059</v>
      </c>
      <c r="C42" s="15" t="s">
        <v>32</v>
      </c>
      <c r="D42" s="33">
        <f>'เช้า '!D42+บ่าย!D42</f>
        <v>1</v>
      </c>
      <c r="E42" s="33">
        <f>'เช้า '!E42+บ่าย!E42</f>
        <v>0</v>
      </c>
      <c r="F42" s="33">
        <f>'เช้า '!F42+บ่าย!F42</f>
        <v>0</v>
      </c>
      <c r="G42" s="33">
        <f>'เช้า '!G42+บ่าย!G42</f>
        <v>2</v>
      </c>
      <c r="H42" s="33">
        <f>'เช้า '!H42+บ่าย!H42</f>
        <v>0</v>
      </c>
      <c r="I42" s="33">
        <f>'เช้า '!I42+บ่าย!I42</f>
        <v>0</v>
      </c>
      <c r="J42" s="33">
        <f>'เช้า '!J42+บ่าย!J42</f>
        <v>0</v>
      </c>
      <c r="K42" s="39">
        <f t="shared" si="0"/>
        <v>3</v>
      </c>
      <c r="L42" s="11"/>
      <c r="M42" s="11"/>
      <c r="N42" s="58">
        <f t="shared" si="1"/>
        <v>-3</v>
      </c>
    </row>
    <row r="43" spans="2:14">
      <c r="B43" s="11">
        <v>1111060</v>
      </c>
      <c r="C43" s="15" t="s">
        <v>33</v>
      </c>
      <c r="D43" s="33">
        <f>'เช้า '!D43+บ่าย!D43</f>
        <v>1</v>
      </c>
      <c r="E43" s="33">
        <f>'เช้า '!E43+บ่าย!E43</f>
        <v>0</v>
      </c>
      <c r="F43" s="33">
        <f>'เช้า '!F43+บ่าย!F43</f>
        <v>0</v>
      </c>
      <c r="G43" s="33">
        <f>'เช้า '!G43+บ่าย!G43</f>
        <v>2</v>
      </c>
      <c r="H43" s="33">
        <f>'เช้า '!H43+บ่าย!H43</f>
        <v>0</v>
      </c>
      <c r="I43" s="33">
        <f>'เช้า '!I43+บ่าย!I43</f>
        <v>0</v>
      </c>
      <c r="J43" s="33">
        <f>'เช้า '!J43+บ่าย!J43</f>
        <v>0</v>
      </c>
      <c r="K43" s="39">
        <f t="shared" si="0"/>
        <v>3</v>
      </c>
      <c r="L43" s="11"/>
      <c r="M43" s="11"/>
      <c r="N43" s="58">
        <f t="shared" si="1"/>
        <v>-3</v>
      </c>
    </row>
    <row r="44" spans="2:14">
      <c r="B44" s="11">
        <v>1111061</v>
      </c>
      <c r="C44" s="15" t="s">
        <v>34</v>
      </c>
      <c r="D44" s="33">
        <f>'เช้า '!D44+บ่าย!D44</f>
        <v>1</v>
      </c>
      <c r="E44" s="33">
        <f>'เช้า '!E44+บ่าย!E44</f>
        <v>0</v>
      </c>
      <c r="F44" s="33">
        <f>'เช้า '!F44+บ่าย!F44</f>
        <v>0</v>
      </c>
      <c r="G44" s="33">
        <f>'เช้า '!G44+บ่าย!G44</f>
        <v>2</v>
      </c>
      <c r="H44" s="33">
        <f>'เช้า '!H44+บ่าย!H44</f>
        <v>0</v>
      </c>
      <c r="I44" s="33">
        <f>'เช้า '!I44+บ่าย!I44</f>
        <v>0</v>
      </c>
      <c r="J44" s="33">
        <f>'เช้า '!J44+บ่าย!J44</f>
        <v>0</v>
      </c>
      <c r="K44" s="39">
        <f t="shared" si="0"/>
        <v>3</v>
      </c>
      <c r="L44" s="11"/>
      <c r="M44" s="11"/>
      <c r="N44" s="58">
        <f t="shared" si="1"/>
        <v>-3</v>
      </c>
    </row>
    <row r="45" spans="2:14">
      <c r="B45" s="11">
        <v>1111062</v>
      </c>
      <c r="C45" s="15" t="s">
        <v>35</v>
      </c>
      <c r="D45" s="33">
        <f>'เช้า '!D45+บ่าย!D45</f>
        <v>1</v>
      </c>
      <c r="E45" s="33">
        <f>'เช้า '!E45+บ่าย!E45</f>
        <v>0</v>
      </c>
      <c r="F45" s="33">
        <f>'เช้า '!F45+บ่าย!F45</f>
        <v>0</v>
      </c>
      <c r="G45" s="33">
        <f>'เช้า '!G45+บ่าย!G45</f>
        <v>1</v>
      </c>
      <c r="H45" s="33">
        <f>'เช้า '!H45+บ่าย!H45</f>
        <v>0</v>
      </c>
      <c r="I45" s="33">
        <f>'เช้า '!I45+บ่าย!I45</f>
        <v>0</v>
      </c>
      <c r="J45" s="33">
        <f>'เช้า '!J45+บ่าย!J45</f>
        <v>0</v>
      </c>
      <c r="K45" s="39">
        <f t="shared" si="0"/>
        <v>2</v>
      </c>
      <c r="L45" s="11"/>
      <c r="M45" s="11"/>
      <c r="N45" s="58">
        <f t="shared" si="1"/>
        <v>-2</v>
      </c>
    </row>
    <row r="46" spans="2:14">
      <c r="B46" s="11">
        <v>1111063</v>
      </c>
      <c r="C46" s="15" t="s">
        <v>36</v>
      </c>
      <c r="D46" s="33">
        <f>'เช้า '!D46+บ่าย!D46</f>
        <v>1</v>
      </c>
      <c r="E46" s="33">
        <f>'เช้า '!E46+บ่าย!E46</f>
        <v>0</v>
      </c>
      <c r="F46" s="33">
        <f>'เช้า '!F46+บ่าย!F46</f>
        <v>0</v>
      </c>
      <c r="G46" s="33">
        <f>'เช้า '!G46+บ่าย!G46</f>
        <v>1</v>
      </c>
      <c r="H46" s="33">
        <f>'เช้า '!H46+บ่าย!H46</f>
        <v>0</v>
      </c>
      <c r="I46" s="33">
        <f>'เช้า '!I46+บ่าย!I46</f>
        <v>0</v>
      </c>
      <c r="J46" s="33">
        <f>'เช้า '!J46+บ่าย!J46</f>
        <v>0</v>
      </c>
      <c r="K46" s="39">
        <f t="shared" si="0"/>
        <v>2</v>
      </c>
      <c r="L46" s="11"/>
      <c r="M46" s="11"/>
      <c r="N46" s="58">
        <f t="shared" si="1"/>
        <v>-2</v>
      </c>
    </row>
    <row r="47" spans="2:14">
      <c r="B47" s="11">
        <v>1111064</v>
      </c>
      <c r="C47" s="15" t="s">
        <v>37</v>
      </c>
      <c r="D47" s="33">
        <f>'เช้า '!D47+บ่าย!D47</f>
        <v>1</v>
      </c>
      <c r="E47" s="33">
        <f>'เช้า '!E47+บ่าย!E47</f>
        <v>0</v>
      </c>
      <c r="F47" s="33">
        <f>'เช้า '!F47+บ่าย!F47</f>
        <v>0</v>
      </c>
      <c r="G47" s="33">
        <f>'เช้า '!G47+บ่าย!G47</f>
        <v>1</v>
      </c>
      <c r="H47" s="33">
        <f>'เช้า '!H47+บ่าย!H47</f>
        <v>0</v>
      </c>
      <c r="I47" s="33">
        <f>'เช้า '!I47+บ่าย!I47</f>
        <v>0</v>
      </c>
      <c r="J47" s="33">
        <f>'เช้า '!J47+บ่าย!J47</f>
        <v>0</v>
      </c>
      <c r="K47" s="39">
        <f t="shared" si="0"/>
        <v>2</v>
      </c>
      <c r="L47" s="11"/>
      <c r="M47" s="11"/>
      <c r="N47" s="58">
        <f t="shared" si="1"/>
        <v>-2</v>
      </c>
    </row>
    <row r="48" spans="2:14">
      <c r="B48" s="11">
        <v>1111065</v>
      </c>
      <c r="C48" s="15" t="s">
        <v>38</v>
      </c>
      <c r="D48" s="33">
        <f>'เช้า '!D48+บ่าย!D48</f>
        <v>1</v>
      </c>
      <c r="E48" s="33">
        <f>'เช้า '!E48+บ่าย!E48</f>
        <v>0</v>
      </c>
      <c r="F48" s="33">
        <f>'เช้า '!F48+บ่าย!F48</f>
        <v>0</v>
      </c>
      <c r="G48" s="33">
        <f>'เช้า '!G48+บ่าย!G48</f>
        <v>1</v>
      </c>
      <c r="H48" s="33">
        <f>'เช้า '!H48+บ่าย!H48</f>
        <v>0</v>
      </c>
      <c r="I48" s="33">
        <f>'เช้า '!I48+บ่าย!I48</f>
        <v>0</v>
      </c>
      <c r="J48" s="33">
        <f>'เช้า '!J48+บ่าย!J48</f>
        <v>0</v>
      </c>
      <c r="K48" s="39">
        <f t="shared" si="0"/>
        <v>2</v>
      </c>
      <c r="L48" s="11"/>
      <c r="M48" s="11"/>
      <c r="N48" s="58">
        <f t="shared" si="1"/>
        <v>-2</v>
      </c>
    </row>
    <row r="49" spans="2:17">
      <c r="B49" s="11">
        <v>1111066</v>
      </c>
      <c r="C49" s="15" t="s">
        <v>39</v>
      </c>
      <c r="D49" s="33">
        <f>'เช้า '!D49+บ่าย!D49</f>
        <v>1</v>
      </c>
      <c r="E49" s="33">
        <f>'เช้า '!E49+บ่าย!E49</f>
        <v>0</v>
      </c>
      <c r="F49" s="33">
        <f>'เช้า '!F49+บ่าย!F49</f>
        <v>0</v>
      </c>
      <c r="G49" s="33">
        <f>'เช้า '!G49+บ่าย!G49</f>
        <v>1</v>
      </c>
      <c r="H49" s="33">
        <f>'เช้า '!H49+บ่าย!H49</f>
        <v>0</v>
      </c>
      <c r="I49" s="33">
        <f>'เช้า '!I49+บ่าย!I49</f>
        <v>0</v>
      </c>
      <c r="J49" s="33">
        <f>'เช้า '!J49+บ่าย!J49</f>
        <v>0</v>
      </c>
      <c r="K49" s="39">
        <f t="shared" si="0"/>
        <v>2</v>
      </c>
      <c r="L49" s="11"/>
      <c r="M49" s="11"/>
      <c r="N49" s="58">
        <f t="shared" si="1"/>
        <v>-2</v>
      </c>
    </row>
    <row r="50" spans="2:17">
      <c r="B50" s="11">
        <v>1111067</v>
      </c>
      <c r="C50" s="15" t="s">
        <v>40</v>
      </c>
      <c r="D50" s="33">
        <f>'เช้า '!D50+บ่าย!D50</f>
        <v>0</v>
      </c>
      <c r="E50" s="33">
        <f>'เช้า '!E50+บ่าย!E50</f>
        <v>0</v>
      </c>
      <c r="F50" s="33">
        <f>'เช้า '!F50+บ่าย!F50</f>
        <v>0</v>
      </c>
      <c r="G50" s="33">
        <f>'เช้า '!G50+บ่าย!G50</f>
        <v>1</v>
      </c>
      <c r="H50" s="33">
        <f>'เช้า '!H50+บ่าย!H50</f>
        <v>0</v>
      </c>
      <c r="I50" s="33">
        <f>'เช้า '!I50+บ่าย!I50</f>
        <v>0</v>
      </c>
      <c r="J50" s="33">
        <f>'เช้า '!J50+บ่าย!J50</f>
        <v>0</v>
      </c>
      <c r="K50" s="39">
        <f t="shared" si="0"/>
        <v>1</v>
      </c>
      <c r="L50" s="11"/>
      <c r="M50" s="11"/>
      <c r="N50" s="58">
        <f t="shared" si="1"/>
        <v>-1</v>
      </c>
    </row>
    <row r="51" spans="2:17">
      <c r="B51" s="11">
        <v>1111068</v>
      </c>
      <c r="C51" s="15" t="s">
        <v>41</v>
      </c>
      <c r="D51" s="33">
        <f>'เช้า '!D51+บ่าย!D51</f>
        <v>0</v>
      </c>
      <c r="E51" s="33">
        <f>'เช้า '!E51+บ่าย!E51</f>
        <v>0</v>
      </c>
      <c r="F51" s="33">
        <f>'เช้า '!F51+บ่าย!F51</f>
        <v>0</v>
      </c>
      <c r="G51" s="33">
        <f>'เช้า '!G51+บ่าย!G51</f>
        <v>1</v>
      </c>
      <c r="H51" s="33">
        <f>'เช้า '!H51+บ่าย!H51</f>
        <v>0</v>
      </c>
      <c r="I51" s="33">
        <f>'เช้า '!I51+บ่าย!I51</f>
        <v>0</v>
      </c>
      <c r="J51" s="33">
        <f>'เช้า '!J51+บ่าย!J51</f>
        <v>0</v>
      </c>
      <c r="K51" s="39">
        <f t="shared" si="0"/>
        <v>1</v>
      </c>
      <c r="L51" s="11"/>
      <c r="M51" s="11"/>
      <c r="N51" s="58">
        <f t="shared" si="1"/>
        <v>-1</v>
      </c>
    </row>
    <row r="52" spans="2:17">
      <c r="B52" s="11">
        <v>1111069</v>
      </c>
      <c r="C52" s="15" t="s">
        <v>42</v>
      </c>
      <c r="D52" s="33">
        <f>'เช้า '!D52+บ่าย!D52</f>
        <v>0</v>
      </c>
      <c r="E52" s="33">
        <f>'เช้า '!E52+บ่าย!E52</f>
        <v>0</v>
      </c>
      <c r="F52" s="33">
        <f>'เช้า '!F52+บ่าย!F52</f>
        <v>0</v>
      </c>
      <c r="G52" s="33">
        <f>'เช้า '!G52+บ่าย!G52</f>
        <v>1</v>
      </c>
      <c r="H52" s="33">
        <f>'เช้า '!H52+บ่าย!H52</f>
        <v>0</v>
      </c>
      <c r="I52" s="33">
        <f>'เช้า '!I52+บ่าย!I52</f>
        <v>0</v>
      </c>
      <c r="J52" s="33">
        <f>'เช้า '!J52+บ่าย!J52</f>
        <v>0</v>
      </c>
      <c r="K52" s="39">
        <f t="shared" si="0"/>
        <v>1</v>
      </c>
      <c r="L52" s="11"/>
      <c r="M52" s="11"/>
      <c r="N52" s="58">
        <f t="shared" si="1"/>
        <v>-1</v>
      </c>
      <c r="P52" s="60"/>
      <c r="Q52" s="59"/>
    </row>
    <row r="53" spans="2:17">
      <c r="B53" s="11">
        <v>1111070</v>
      </c>
      <c r="C53" s="15" t="s">
        <v>139</v>
      </c>
      <c r="D53" s="33">
        <f>'เช้า '!D53+บ่าย!D53</f>
        <v>0</v>
      </c>
      <c r="E53" s="33">
        <f>'เช้า '!E53+บ่าย!E53</f>
        <v>0</v>
      </c>
      <c r="F53" s="33">
        <f>'เช้า '!F53+บ่าย!F53</f>
        <v>0</v>
      </c>
      <c r="G53" s="33">
        <f>'เช้า '!G53+บ่าย!G53</f>
        <v>1</v>
      </c>
      <c r="H53" s="33">
        <f>'เช้า '!H53+บ่าย!H53</f>
        <v>0</v>
      </c>
      <c r="I53" s="33">
        <f>'เช้า '!I53+บ่าย!I53</f>
        <v>0</v>
      </c>
      <c r="J53" s="33">
        <f>'เช้า '!J53+บ่าย!J53</f>
        <v>0</v>
      </c>
      <c r="K53" s="39">
        <f t="shared" si="0"/>
        <v>1</v>
      </c>
      <c r="L53" s="11"/>
      <c r="M53" s="11"/>
      <c r="N53" s="58">
        <f t="shared" si="1"/>
        <v>-1</v>
      </c>
    </row>
    <row r="54" spans="2:17">
      <c r="B54" s="11">
        <v>1111071</v>
      </c>
      <c r="C54" s="15" t="s">
        <v>140</v>
      </c>
      <c r="D54" s="33">
        <f>'เช้า '!D54+บ่าย!D54</f>
        <v>0</v>
      </c>
      <c r="E54" s="33">
        <f>'เช้า '!E54+บ่าย!E54</f>
        <v>0</v>
      </c>
      <c r="F54" s="33">
        <f>'เช้า '!F54+บ่าย!F54</f>
        <v>0</v>
      </c>
      <c r="G54" s="33">
        <f>'เช้า '!G54+บ่าย!G54</f>
        <v>0</v>
      </c>
      <c r="H54" s="33">
        <f>'เช้า '!H54+บ่าย!H54</f>
        <v>0</v>
      </c>
      <c r="I54" s="33">
        <f>'เช้า '!I54+บ่าย!I54</f>
        <v>0</v>
      </c>
      <c r="J54" s="33">
        <f>'เช้า '!J54+บ่าย!J54</f>
        <v>0</v>
      </c>
      <c r="K54" s="39">
        <f t="shared" si="0"/>
        <v>0</v>
      </c>
      <c r="L54" s="11"/>
      <c r="M54" s="11"/>
      <c r="N54" s="58">
        <f t="shared" si="1"/>
        <v>0</v>
      </c>
    </row>
    <row r="55" spans="2:17">
      <c r="B55" s="11">
        <v>1111001</v>
      </c>
      <c r="C55" s="15" t="s">
        <v>43</v>
      </c>
      <c r="D55" s="33">
        <f>'เช้า '!D55+บ่าย!D55</f>
        <v>0</v>
      </c>
      <c r="E55" s="33">
        <f>'เช้า '!E55+บ่าย!E55</f>
        <v>0</v>
      </c>
      <c r="F55" s="33">
        <f>'เช้า '!F55+บ่าย!F55</f>
        <v>0</v>
      </c>
      <c r="G55" s="33">
        <f>'เช้า '!G55+บ่าย!G55</f>
        <v>0</v>
      </c>
      <c r="H55" s="33">
        <f>'เช้า '!H55+บ่าย!H55</f>
        <v>0</v>
      </c>
      <c r="I55" s="33">
        <f>'เช้า '!I55+บ่าย!I55</f>
        <v>0</v>
      </c>
      <c r="J55" s="33">
        <f>'เช้า '!J55+บ่าย!J55</f>
        <v>0</v>
      </c>
      <c r="K55" s="39">
        <f t="shared" si="0"/>
        <v>0</v>
      </c>
      <c r="L55" s="11"/>
      <c r="M55" s="11"/>
      <c r="N55" s="58">
        <f t="shared" si="1"/>
        <v>0</v>
      </c>
    </row>
    <row r="56" spans="2:17">
      <c r="B56" s="11">
        <v>1111074</v>
      </c>
      <c r="C56" s="15" t="s">
        <v>44</v>
      </c>
      <c r="D56" s="33">
        <f>'เช้า '!D56+บ่าย!D56</f>
        <v>1</v>
      </c>
      <c r="E56" s="33">
        <f>'เช้า '!E56+บ่าย!E56</f>
        <v>2</v>
      </c>
      <c r="F56" s="33">
        <f>'เช้า '!F56+บ่าย!F56</f>
        <v>17</v>
      </c>
      <c r="G56" s="33">
        <f>'เช้า '!G56+บ่าย!G56</f>
        <v>3</v>
      </c>
      <c r="H56" s="33">
        <f>'เช้า '!H56+บ่าย!H56</f>
        <v>0</v>
      </c>
      <c r="I56" s="33">
        <f>'เช้า '!I56+บ่าย!I56</f>
        <v>0</v>
      </c>
      <c r="J56" s="33">
        <f>'เช้า '!J56+บ่าย!J56</f>
        <v>1</v>
      </c>
      <c r="K56" s="39">
        <f t="shared" si="0"/>
        <v>24</v>
      </c>
      <c r="L56" s="11"/>
      <c r="M56" s="11"/>
      <c r="N56" s="58">
        <f t="shared" si="1"/>
        <v>-24</v>
      </c>
    </row>
    <row r="57" spans="2:17">
      <c r="B57" s="11">
        <v>1111075</v>
      </c>
      <c r="C57" s="15" t="s">
        <v>45</v>
      </c>
      <c r="D57" s="33">
        <f>'เช้า '!D57+บ่าย!D57</f>
        <v>1</v>
      </c>
      <c r="E57" s="33">
        <f>'เช้า '!E57+บ่าย!E57</f>
        <v>2</v>
      </c>
      <c r="F57" s="33">
        <f>'เช้า '!F57+บ่าย!F57</f>
        <v>17</v>
      </c>
      <c r="G57" s="33">
        <f>'เช้า '!G57+บ่าย!G57</f>
        <v>3</v>
      </c>
      <c r="H57" s="33">
        <f>'เช้า '!H57+บ่าย!H57</f>
        <v>0</v>
      </c>
      <c r="I57" s="33">
        <f>'เช้า '!I57+บ่าย!I57</f>
        <v>0</v>
      </c>
      <c r="J57" s="33">
        <f>'เช้า '!J57+บ่าย!J57</f>
        <v>1</v>
      </c>
      <c r="K57" s="39">
        <f t="shared" si="0"/>
        <v>24</v>
      </c>
      <c r="L57" s="11"/>
      <c r="M57" s="11"/>
      <c r="N57" s="58">
        <f t="shared" si="1"/>
        <v>-24</v>
      </c>
    </row>
    <row r="58" spans="2:17">
      <c r="B58" s="11">
        <v>1111076</v>
      </c>
      <c r="C58" s="15" t="s">
        <v>46</v>
      </c>
      <c r="D58" s="33">
        <f>'เช้า '!D58+บ่าย!D58</f>
        <v>1</v>
      </c>
      <c r="E58" s="33">
        <f>'เช้า '!E58+บ่าย!E58</f>
        <v>2</v>
      </c>
      <c r="F58" s="33">
        <f>'เช้า '!F58+บ่าย!F58</f>
        <v>17</v>
      </c>
      <c r="G58" s="33">
        <f>'เช้า '!G58+บ่าย!G58</f>
        <v>3</v>
      </c>
      <c r="H58" s="33">
        <f>'เช้า '!H58+บ่าย!H58</f>
        <v>0</v>
      </c>
      <c r="I58" s="33">
        <f>'เช้า '!I58+บ่าย!I58</f>
        <v>0</v>
      </c>
      <c r="J58" s="33">
        <f>'เช้า '!J58+บ่าย!J58</f>
        <v>0</v>
      </c>
      <c r="K58" s="39">
        <f t="shared" si="0"/>
        <v>23</v>
      </c>
      <c r="L58" s="11"/>
      <c r="M58" s="11"/>
      <c r="N58" s="58">
        <f t="shared" si="1"/>
        <v>-23</v>
      </c>
    </row>
    <row r="59" spans="2:17">
      <c r="B59" s="11">
        <v>1111077</v>
      </c>
      <c r="C59" s="15" t="s">
        <v>47</v>
      </c>
      <c r="D59" s="33">
        <f>'เช้า '!D59+บ่าย!D59</f>
        <v>1</v>
      </c>
      <c r="E59" s="33">
        <f>'เช้า '!E59+บ่าย!E59</f>
        <v>2</v>
      </c>
      <c r="F59" s="33">
        <f>'เช้า '!F59+บ่าย!F59</f>
        <v>17</v>
      </c>
      <c r="G59" s="33">
        <f>'เช้า '!G59+บ่าย!G59</f>
        <v>2</v>
      </c>
      <c r="H59" s="33">
        <f>'เช้า '!H59+บ่าย!H59</f>
        <v>0</v>
      </c>
      <c r="I59" s="33">
        <f>'เช้า '!I59+บ่าย!I59</f>
        <v>0</v>
      </c>
      <c r="J59" s="33">
        <f>'เช้า '!J59+บ่าย!J59</f>
        <v>0</v>
      </c>
      <c r="K59" s="39">
        <f t="shared" si="0"/>
        <v>22</v>
      </c>
      <c r="L59" s="11"/>
      <c r="M59" s="11"/>
      <c r="N59" s="58">
        <f t="shared" si="1"/>
        <v>-22</v>
      </c>
    </row>
    <row r="60" spans="2:17">
      <c r="B60" s="11">
        <v>1111078</v>
      </c>
      <c r="C60" s="15" t="s">
        <v>48</v>
      </c>
      <c r="D60" s="33">
        <f>'เช้า '!D60+บ่าย!D60</f>
        <v>1</v>
      </c>
      <c r="E60" s="33">
        <f>'เช้า '!E60+บ่าย!E60</f>
        <v>2</v>
      </c>
      <c r="F60" s="33">
        <f>'เช้า '!F60+บ่าย!F60</f>
        <v>17</v>
      </c>
      <c r="G60" s="33">
        <f>'เช้า '!G60+บ่าย!G60</f>
        <v>2</v>
      </c>
      <c r="H60" s="33">
        <f>'เช้า '!H60+บ่าย!H60</f>
        <v>0</v>
      </c>
      <c r="I60" s="33">
        <f>'เช้า '!I60+บ่าย!I60</f>
        <v>0</v>
      </c>
      <c r="J60" s="33">
        <f>'เช้า '!J60+บ่าย!J60</f>
        <v>0</v>
      </c>
      <c r="K60" s="39">
        <f t="shared" si="0"/>
        <v>22</v>
      </c>
      <c r="L60" s="11"/>
      <c r="M60" s="11"/>
      <c r="N60" s="58">
        <f t="shared" si="1"/>
        <v>-22</v>
      </c>
    </row>
    <row r="61" spans="2:17">
      <c r="B61" s="11">
        <v>1111079</v>
      </c>
      <c r="C61" s="15" t="s">
        <v>49</v>
      </c>
      <c r="D61" s="33">
        <f>'เช้า '!D61+บ่าย!D61</f>
        <v>1</v>
      </c>
      <c r="E61" s="33">
        <f>'เช้า '!E61+บ่าย!E61</f>
        <v>2</v>
      </c>
      <c r="F61" s="33">
        <f>'เช้า '!F61+บ่าย!F61</f>
        <v>17</v>
      </c>
      <c r="G61" s="33">
        <f>'เช้า '!G61+บ่าย!G61</f>
        <v>2</v>
      </c>
      <c r="H61" s="33">
        <f>'เช้า '!H61+บ่าย!H61</f>
        <v>0</v>
      </c>
      <c r="I61" s="33">
        <f>'เช้า '!I61+บ่าย!I61</f>
        <v>0</v>
      </c>
      <c r="J61" s="33">
        <f>'เช้า '!J61+บ่าย!J61</f>
        <v>0</v>
      </c>
      <c r="K61" s="39">
        <f t="shared" si="0"/>
        <v>22</v>
      </c>
      <c r="L61" s="11"/>
      <c r="M61" s="11"/>
      <c r="N61" s="58">
        <f t="shared" si="1"/>
        <v>-22</v>
      </c>
    </row>
    <row r="62" spans="2:17">
      <c r="B62" s="11">
        <v>1111080</v>
      </c>
      <c r="C62" s="15" t="s">
        <v>50</v>
      </c>
      <c r="D62" s="33">
        <f>'เช้า '!D62+บ่าย!D62</f>
        <v>1</v>
      </c>
      <c r="E62" s="33">
        <f>'เช้า '!E62+บ่าย!E62</f>
        <v>2</v>
      </c>
      <c r="F62" s="33">
        <f>'เช้า '!F62+บ่าย!F62</f>
        <v>17</v>
      </c>
      <c r="G62" s="33">
        <f>'เช้า '!G62+บ่าย!G62</f>
        <v>2</v>
      </c>
      <c r="H62" s="33">
        <f>'เช้า '!H62+บ่าย!H62</f>
        <v>0</v>
      </c>
      <c r="I62" s="33">
        <f>'เช้า '!I62+บ่าย!I62</f>
        <v>0</v>
      </c>
      <c r="J62" s="33">
        <f>'เช้า '!J62+บ่าย!J62</f>
        <v>0</v>
      </c>
      <c r="K62" s="39">
        <f t="shared" si="0"/>
        <v>22</v>
      </c>
      <c r="L62" s="11"/>
      <c r="M62" s="11"/>
      <c r="N62" s="58">
        <f t="shared" si="1"/>
        <v>-22</v>
      </c>
    </row>
    <row r="63" spans="2:17">
      <c r="B63" s="11">
        <v>1111081</v>
      </c>
      <c r="C63" s="15" t="s">
        <v>51</v>
      </c>
      <c r="D63" s="33">
        <f>'เช้า '!D63+บ่าย!D63</f>
        <v>1</v>
      </c>
      <c r="E63" s="33">
        <f>'เช้า '!E63+บ่าย!E63</f>
        <v>2</v>
      </c>
      <c r="F63" s="33">
        <f>'เช้า '!F63+บ่าย!F63</f>
        <v>17</v>
      </c>
      <c r="G63" s="33">
        <f>'เช้า '!G63+บ่าย!G63</f>
        <v>2</v>
      </c>
      <c r="H63" s="33">
        <f>'เช้า '!H63+บ่าย!H63</f>
        <v>0</v>
      </c>
      <c r="I63" s="33">
        <f>'เช้า '!I63+บ่าย!I63</f>
        <v>0</v>
      </c>
      <c r="J63" s="33">
        <f>'เช้า '!J63+บ่าย!J63</f>
        <v>0</v>
      </c>
      <c r="K63" s="39">
        <f t="shared" si="0"/>
        <v>22</v>
      </c>
      <c r="L63" s="11"/>
      <c r="M63" s="11"/>
      <c r="N63" s="58">
        <f t="shared" si="1"/>
        <v>-22</v>
      </c>
    </row>
    <row r="64" spans="2:17">
      <c r="B64" s="11">
        <v>1111082</v>
      </c>
      <c r="C64" s="15" t="s">
        <v>52</v>
      </c>
      <c r="D64" s="33">
        <f>'เช้า '!D64+บ่าย!D64</f>
        <v>1</v>
      </c>
      <c r="E64" s="33">
        <f>'เช้า '!E64+บ่าย!E64</f>
        <v>2</v>
      </c>
      <c r="F64" s="33">
        <f>'เช้า '!F64+บ่าย!F64</f>
        <v>17</v>
      </c>
      <c r="G64" s="33">
        <f>'เช้า '!G64+บ่าย!G64</f>
        <v>2</v>
      </c>
      <c r="H64" s="33">
        <f>'เช้า '!H64+บ่าย!H64</f>
        <v>0</v>
      </c>
      <c r="I64" s="33">
        <f>'เช้า '!I64+บ่าย!I64</f>
        <v>0</v>
      </c>
      <c r="J64" s="33">
        <f>'เช้า '!J64+บ่าย!J64</f>
        <v>0</v>
      </c>
      <c r="K64" s="39">
        <f t="shared" si="0"/>
        <v>22</v>
      </c>
      <c r="L64" s="11"/>
      <c r="M64" s="11"/>
      <c r="N64" s="58">
        <f t="shared" si="1"/>
        <v>-22</v>
      </c>
    </row>
    <row r="65" spans="2:17">
      <c r="B65" s="11">
        <v>1111083</v>
      </c>
      <c r="C65" s="15" t="s">
        <v>53</v>
      </c>
      <c r="D65" s="33">
        <f>'เช้า '!D65+บ่าย!D65</f>
        <v>1</v>
      </c>
      <c r="E65" s="33">
        <f>'เช้า '!E65+บ่าย!E65</f>
        <v>2</v>
      </c>
      <c r="F65" s="33">
        <f>'เช้า '!F65+บ่าย!F65</f>
        <v>17</v>
      </c>
      <c r="G65" s="33">
        <f>'เช้า '!G65+บ่าย!G65</f>
        <v>2</v>
      </c>
      <c r="H65" s="33">
        <f>'เช้า '!H65+บ่าย!H65</f>
        <v>0</v>
      </c>
      <c r="I65" s="33">
        <f>'เช้า '!I65+บ่าย!I65</f>
        <v>0</v>
      </c>
      <c r="J65" s="33">
        <f>'เช้า '!J65+บ่าย!J65</f>
        <v>0</v>
      </c>
      <c r="K65" s="39">
        <f t="shared" si="0"/>
        <v>22</v>
      </c>
      <c r="L65" s="11"/>
      <c r="M65" s="11"/>
      <c r="N65" s="58">
        <f t="shared" si="1"/>
        <v>-22</v>
      </c>
      <c r="P65" s="61"/>
      <c r="Q65" s="59"/>
    </row>
    <row r="66" spans="2:17">
      <c r="B66" s="11">
        <v>1111010</v>
      </c>
      <c r="C66" s="15" t="s">
        <v>54</v>
      </c>
      <c r="D66" s="33">
        <f>'เช้า '!D66+บ่าย!D66</f>
        <v>0</v>
      </c>
      <c r="E66" s="33">
        <f>'เช้า '!E66+บ่าย!E66</f>
        <v>0</v>
      </c>
      <c r="F66" s="33">
        <f>'เช้า '!F66+บ่าย!F66</f>
        <v>0</v>
      </c>
      <c r="G66" s="33">
        <f>'เช้า '!G66+บ่าย!G66</f>
        <v>0</v>
      </c>
      <c r="H66" s="33">
        <f>'เช้า '!H66+บ่าย!H66</f>
        <v>0</v>
      </c>
      <c r="I66" s="33">
        <f>'เช้า '!I66+บ่าย!I66</f>
        <v>0</v>
      </c>
      <c r="J66" s="33">
        <f>'เช้า '!J66+บ่าย!J66</f>
        <v>0</v>
      </c>
      <c r="K66" s="39">
        <f t="shared" si="0"/>
        <v>0</v>
      </c>
      <c r="L66" s="11"/>
      <c r="M66" s="11"/>
      <c r="N66" s="58">
        <f t="shared" si="1"/>
        <v>0</v>
      </c>
    </row>
    <row r="67" spans="2:17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39">
        <f t="shared" si="0"/>
        <v>0</v>
      </c>
      <c r="L67" s="11"/>
      <c r="M67" s="11"/>
      <c r="N67" s="58">
        <f t="shared" si="1"/>
        <v>0</v>
      </c>
    </row>
    <row r="68" spans="2:17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76"/>
    </row>
    <row r="69" spans="2:17">
      <c r="B69" s="11">
        <v>1111009</v>
      </c>
      <c r="C69" s="20" t="s">
        <v>56</v>
      </c>
      <c r="D69" s="33">
        <f>'เช้า '!D69+บ่าย!D69</f>
        <v>0</v>
      </c>
      <c r="E69" s="33">
        <f>'เช้า '!E69+บ่าย!E69</f>
        <v>0</v>
      </c>
      <c r="F69" s="33">
        <f>'เช้า '!F69+บ่าย!F69</f>
        <v>2</v>
      </c>
      <c r="G69" s="33">
        <f>'เช้า '!G69+บ่าย!G69</f>
        <v>2</v>
      </c>
      <c r="H69" s="33">
        <f>'เช้า '!H69+บ่าย!H69</f>
        <v>0</v>
      </c>
      <c r="I69" s="33">
        <f>'เช้า '!I69+บ่าย!I69</f>
        <v>0</v>
      </c>
      <c r="J69" s="33">
        <f>'เช้า '!J69+บ่าย!J69</f>
        <v>0</v>
      </c>
      <c r="K69" s="39">
        <f>SUM(D69:J69)</f>
        <v>4</v>
      </c>
      <c r="L69" s="11"/>
      <c r="M69" s="11"/>
      <c r="N69" s="58">
        <f t="shared" ref="N69:N132" si="2">SUM(L69+M69)-K69</f>
        <v>-4</v>
      </c>
    </row>
    <row r="70" spans="2:17" hidden="1">
      <c r="B70" s="11">
        <v>1111023</v>
      </c>
      <c r="C70" s="20" t="s">
        <v>57</v>
      </c>
      <c r="D70" s="33">
        <f>'เย็น 102'!D70+'เช้า '!D70+บ่าย!D70</f>
        <v>0</v>
      </c>
      <c r="E70" s="33">
        <f>'เย็น 102'!E70+'เช้า '!E70+บ่าย!E70</f>
        <v>0</v>
      </c>
      <c r="F70" s="33">
        <f>'เย็น 102'!F70+'เช้า '!F70+บ่าย!F70</f>
        <v>0</v>
      </c>
      <c r="G70" s="33">
        <f>'เย็น 102'!G70+'เช้า '!G70+บ่าย!G70</f>
        <v>0</v>
      </c>
      <c r="H70" s="33">
        <f>'เย็น 102'!H70+'เช้า '!H70+บ่าย!H70</f>
        <v>0</v>
      </c>
      <c r="I70" s="33">
        <f>'เย็น 102'!I70+'เช้า '!I70+บ่าย!I70</f>
        <v>0</v>
      </c>
      <c r="J70" s="33">
        <f>'เย็น 102'!J70+'เช้า '!J70+บ่าย!J70</f>
        <v>0</v>
      </c>
      <c r="K70" s="39">
        <f t="shared" ref="K70:K76" si="3">SUM(D70:J70)</f>
        <v>0</v>
      </c>
      <c r="L70" s="11"/>
      <c r="M70" s="11"/>
      <c r="N70" s="58">
        <f t="shared" si="2"/>
        <v>0</v>
      </c>
    </row>
    <row r="71" spans="2:17" hidden="1">
      <c r="B71" s="11">
        <v>1111016</v>
      </c>
      <c r="C71" s="20" t="s">
        <v>58</v>
      </c>
      <c r="D71" s="33">
        <f>'เย็น 102'!D71+'เช้า '!D71+บ่าย!D71</f>
        <v>0</v>
      </c>
      <c r="E71" s="33">
        <f>'เย็น 102'!E71+'เช้า '!E71+บ่าย!E71</f>
        <v>0</v>
      </c>
      <c r="F71" s="33">
        <f>'เย็น 102'!F71+'เช้า '!F71+บ่าย!F71</f>
        <v>0</v>
      </c>
      <c r="G71" s="33">
        <f>'เย็น 102'!G71+'เช้า '!G71+บ่าย!G71</f>
        <v>0</v>
      </c>
      <c r="H71" s="33">
        <f>'เย็น 102'!H71+'เช้า '!H71+บ่าย!H71</f>
        <v>0</v>
      </c>
      <c r="I71" s="33">
        <f>'เย็น 102'!I71+'เช้า '!I71+บ่าย!I71</f>
        <v>0</v>
      </c>
      <c r="J71" s="33">
        <f>'เย็น 102'!J71+'เช้า '!J71+บ่าย!J71</f>
        <v>0</v>
      </c>
      <c r="K71" s="39">
        <f t="shared" si="3"/>
        <v>0</v>
      </c>
      <c r="L71" s="11"/>
      <c r="M71" s="11"/>
      <c r="N71" s="58">
        <f t="shared" si="2"/>
        <v>0</v>
      </c>
    </row>
    <row r="72" spans="2:17" hidden="1">
      <c r="B72" s="11">
        <v>1111014</v>
      </c>
      <c r="C72" s="20" t="s">
        <v>59</v>
      </c>
      <c r="D72" s="33">
        <f>'เย็น 102'!D72+'เช้า '!D72+บ่าย!D72</f>
        <v>0</v>
      </c>
      <c r="E72" s="33">
        <f>'เย็น 102'!E72+'เช้า '!E72+บ่าย!E72</f>
        <v>0</v>
      </c>
      <c r="F72" s="33">
        <f>'เย็น 102'!F72+'เช้า '!F72+บ่าย!F72</f>
        <v>0</v>
      </c>
      <c r="G72" s="33">
        <f>'เย็น 102'!G72+'เช้า '!G72+บ่าย!G72</f>
        <v>0</v>
      </c>
      <c r="H72" s="33">
        <f>'เย็น 102'!H72+'เช้า '!H72+บ่าย!H72</f>
        <v>0</v>
      </c>
      <c r="I72" s="33">
        <f>'เย็น 102'!I72+'เช้า '!I72+บ่าย!I72</f>
        <v>0</v>
      </c>
      <c r="J72" s="33">
        <f>'เย็น 102'!J72+'เช้า '!J72+บ่าย!J72</f>
        <v>0</v>
      </c>
      <c r="K72" s="39">
        <f t="shared" si="3"/>
        <v>0</v>
      </c>
      <c r="L72" s="11"/>
      <c r="M72" s="11"/>
      <c r="N72" s="58">
        <f t="shared" si="2"/>
        <v>0</v>
      </c>
    </row>
    <row r="73" spans="2:17" hidden="1">
      <c r="B73" s="11">
        <v>1111025</v>
      </c>
      <c r="C73" s="20" t="s">
        <v>60</v>
      </c>
      <c r="D73" s="33">
        <f>'เย็น 102'!D73+'เช้า '!D73+บ่าย!D73</f>
        <v>0</v>
      </c>
      <c r="E73" s="33">
        <f>'เย็น 102'!E73+'เช้า '!E73+บ่าย!E73</f>
        <v>0</v>
      </c>
      <c r="F73" s="33">
        <f>'เย็น 102'!F73+'เช้า '!F73+บ่าย!F73</f>
        <v>0</v>
      </c>
      <c r="G73" s="33">
        <f>'เย็น 102'!G73+'เช้า '!G73+บ่าย!G73</f>
        <v>0</v>
      </c>
      <c r="H73" s="33">
        <f>'เย็น 102'!H73+'เช้า '!H73+บ่าย!H73</f>
        <v>0</v>
      </c>
      <c r="I73" s="33">
        <f>'เย็น 102'!I73+'เช้า '!I73+บ่าย!I73</f>
        <v>0</v>
      </c>
      <c r="J73" s="33">
        <f>'เย็น 102'!J73+'เช้า '!J73+บ่าย!J73</f>
        <v>0</v>
      </c>
      <c r="K73" s="39">
        <f t="shared" si="3"/>
        <v>0</v>
      </c>
      <c r="L73" s="11"/>
      <c r="M73" s="11"/>
      <c r="N73" s="58">
        <f t="shared" si="2"/>
        <v>0</v>
      </c>
    </row>
    <row r="74" spans="2:17" hidden="1">
      <c r="B74" s="11">
        <v>1111018</v>
      </c>
      <c r="C74" s="20" t="s">
        <v>61</v>
      </c>
      <c r="D74" s="33">
        <f>'เย็น 102'!D74+'เช้า '!D74+บ่าย!D74</f>
        <v>0</v>
      </c>
      <c r="E74" s="33">
        <f>'เย็น 102'!E74+'เช้า '!E74+บ่าย!E74</f>
        <v>0</v>
      </c>
      <c r="F74" s="33">
        <f>'เย็น 102'!F74+'เช้า '!F74+บ่าย!F74</f>
        <v>0</v>
      </c>
      <c r="G74" s="33">
        <f>'เย็น 102'!G74+'เช้า '!G74+บ่าย!G74</f>
        <v>0</v>
      </c>
      <c r="H74" s="33">
        <f>'เย็น 102'!H74+'เช้า '!H74+บ่าย!H74</f>
        <v>0</v>
      </c>
      <c r="I74" s="33">
        <f>'เย็น 102'!I74+'เช้า '!I74+บ่าย!I74</f>
        <v>0</v>
      </c>
      <c r="J74" s="33">
        <f>'เย็น 102'!J74+'เช้า '!J74+บ่าย!J74</f>
        <v>0</v>
      </c>
      <c r="K74" s="39">
        <f t="shared" si="3"/>
        <v>0</v>
      </c>
      <c r="L74" s="11"/>
      <c r="M74" s="11"/>
      <c r="N74" s="58">
        <f t="shared" si="2"/>
        <v>0</v>
      </c>
    </row>
    <row r="75" spans="2:17" hidden="1">
      <c r="B75" s="11">
        <v>1111012</v>
      </c>
      <c r="C75" s="20" t="s">
        <v>62</v>
      </c>
      <c r="D75" s="33">
        <f>'เย็น 102'!D75+'เช้า '!D75+บ่าย!D75</f>
        <v>0</v>
      </c>
      <c r="E75" s="33">
        <f>'เย็น 102'!E75+'เช้า '!E75+บ่าย!E75</f>
        <v>0</v>
      </c>
      <c r="F75" s="33">
        <f>'เย็น 102'!F75+'เช้า '!F75+บ่าย!F75</f>
        <v>0</v>
      </c>
      <c r="G75" s="33">
        <f>'เย็น 102'!G75+'เช้า '!G75+บ่าย!G75</f>
        <v>0</v>
      </c>
      <c r="H75" s="33">
        <f>'เย็น 102'!H75+'เช้า '!H75+บ่าย!H75</f>
        <v>0</v>
      </c>
      <c r="I75" s="33">
        <f>'เย็น 102'!I75+'เช้า '!I75+บ่าย!I75</f>
        <v>0</v>
      </c>
      <c r="J75" s="33">
        <f>'เย็น 102'!J75+'เช้า '!J75+บ่าย!J75</f>
        <v>0</v>
      </c>
      <c r="K75" s="39">
        <f t="shared" si="3"/>
        <v>0</v>
      </c>
      <c r="L75" s="11"/>
      <c r="M75" s="11"/>
      <c r="N75" s="58">
        <f t="shared" si="2"/>
        <v>0</v>
      </c>
    </row>
    <row r="76" spans="2:17" hidden="1">
      <c r="B76" s="11">
        <v>1111020</v>
      </c>
      <c r="C76" s="20" t="s">
        <v>63</v>
      </c>
      <c r="D76" s="33">
        <f>'เย็น 102'!D76+'เช้า '!D76+บ่าย!D76</f>
        <v>0</v>
      </c>
      <c r="E76" s="33">
        <f>'เย็น 102'!E76+'เช้า '!E76+บ่าย!E76</f>
        <v>0</v>
      </c>
      <c r="F76" s="33">
        <f>'เย็น 102'!F76+'เช้า '!F76+บ่าย!F76</f>
        <v>0</v>
      </c>
      <c r="G76" s="33">
        <f>'เย็น 102'!G76+'เช้า '!G76+บ่าย!G76</f>
        <v>0</v>
      </c>
      <c r="H76" s="33">
        <f>'เย็น 102'!H76+'เช้า '!H76+บ่าย!H76</f>
        <v>0</v>
      </c>
      <c r="I76" s="33">
        <f>'เย็น 102'!I76+'เช้า '!I76+บ่าย!I76</f>
        <v>0</v>
      </c>
      <c r="J76" s="33">
        <f>'เย็น 102'!J76+'เช้า '!J76+บ่าย!J76</f>
        <v>0</v>
      </c>
      <c r="K76" s="39">
        <f t="shared" si="3"/>
        <v>0</v>
      </c>
      <c r="L76" s="11"/>
      <c r="M76" s="11"/>
      <c r="N76" s="58">
        <f t="shared" si="2"/>
        <v>0</v>
      </c>
    </row>
    <row r="77" spans="2:17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39"/>
      <c r="L77" s="11"/>
      <c r="M77" s="11"/>
      <c r="N77" s="58">
        <f t="shared" si="2"/>
        <v>0</v>
      </c>
    </row>
    <row r="78" spans="2:17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76"/>
    </row>
    <row r="79" spans="2:17" hidden="1">
      <c r="B79" s="11">
        <v>1111022</v>
      </c>
      <c r="C79" s="20" t="s">
        <v>65</v>
      </c>
      <c r="D79" s="33">
        <f>'เย็น 102'!D79+'เช้า '!D79+บ่าย!D79</f>
        <v>0</v>
      </c>
      <c r="E79" s="33">
        <f>'เย็น 102'!E79+'เช้า '!E79+บ่าย!E79</f>
        <v>0</v>
      </c>
      <c r="F79" s="33">
        <f>'เย็น 102'!F79+'เช้า '!F79+บ่าย!F79</f>
        <v>0</v>
      </c>
      <c r="G79" s="33">
        <f>'เย็น 102'!G79+'เช้า '!G79+บ่าย!G79</f>
        <v>0</v>
      </c>
      <c r="H79" s="33">
        <f>'เย็น 102'!H79+'เช้า '!H79+บ่าย!H79</f>
        <v>0</v>
      </c>
      <c r="I79" s="33">
        <f>'เย็น 102'!I79+'เช้า '!I79+บ่าย!I79</f>
        <v>0</v>
      </c>
      <c r="J79" s="33">
        <f>'เย็น 102'!J79+'เช้า '!J79+บ่าย!J79</f>
        <v>0</v>
      </c>
      <c r="K79" s="39">
        <f>SUM(D79:J79)</f>
        <v>0</v>
      </c>
      <c r="L79" s="11"/>
      <c r="M79" s="11"/>
      <c r="N79" s="58">
        <f t="shared" si="2"/>
        <v>0</v>
      </c>
    </row>
    <row r="80" spans="2:17" hidden="1">
      <c r="B80" s="11">
        <v>1111015</v>
      </c>
      <c r="C80" s="20" t="s">
        <v>66</v>
      </c>
      <c r="D80" s="33">
        <f>'เย็น 102'!D80+'เช้า '!D80+บ่าย!D80</f>
        <v>0</v>
      </c>
      <c r="E80" s="33">
        <f>'เย็น 102'!E80+'เช้า '!E80+บ่าย!E80</f>
        <v>0</v>
      </c>
      <c r="F80" s="33">
        <f>'เย็น 102'!F80+'เช้า '!F80+บ่าย!F80</f>
        <v>0</v>
      </c>
      <c r="G80" s="33">
        <f>'เย็น 102'!G80+'เช้า '!G80+บ่าย!G80</f>
        <v>0</v>
      </c>
      <c r="H80" s="33">
        <f>'เย็น 102'!H80+'เช้า '!H80+บ่าย!H80</f>
        <v>0</v>
      </c>
      <c r="I80" s="33">
        <f>'เย็น 102'!I80+'เช้า '!I80+บ่าย!I80</f>
        <v>0</v>
      </c>
      <c r="J80" s="33">
        <f>'เย็น 102'!J80+'เช้า '!J80+บ่าย!J80</f>
        <v>0</v>
      </c>
      <c r="K80" s="39">
        <f t="shared" ref="K80:K87" si="4">SUM(D80:J80)</f>
        <v>0</v>
      </c>
      <c r="L80" s="11"/>
      <c r="M80" s="11"/>
      <c r="N80" s="58">
        <f t="shared" si="2"/>
        <v>0</v>
      </c>
    </row>
    <row r="81" spans="2:14" hidden="1">
      <c r="B81" s="11">
        <v>1111013</v>
      </c>
      <c r="C81" s="20" t="s">
        <v>67</v>
      </c>
      <c r="D81" s="33">
        <f>'เย็น 102'!D81+'เช้า '!D81+บ่าย!D81</f>
        <v>0</v>
      </c>
      <c r="E81" s="33">
        <f>'เย็น 102'!E81+'เช้า '!E81+บ่าย!E81</f>
        <v>0</v>
      </c>
      <c r="F81" s="33">
        <f>'เย็น 102'!F81+'เช้า '!F81+บ่าย!F81</f>
        <v>0</v>
      </c>
      <c r="G81" s="33">
        <f>'เย็น 102'!G81+'เช้า '!G81+บ่าย!G81</f>
        <v>0</v>
      </c>
      <c r="H81" s="33">
        <f>'เย็น 102'!H81+'เช้า '!H81+บ่าย!H81</f>
        <v>0</v>
      </c>
      <c r="I81" s="33">
        <f>'เย็น 102'!I81+'เช้า '!I81+บ่าย!I81</f>
        <v>0</v>
      </c>
      <c r="J81" s="33">
        <f>'เย็น 102'!J81+'เช้า '!J81+บ่าย!J81</f>
        <v>0</v>
      </c>
      <c r="K81" s="39">
        <f t="shared" si="4"/>
        <v>0</v>
      </c>
      <c r="L81" s="11"/>
      <c r="M81" s="11"/>
      <c r="N81" s="58">
        <f t="shared" si="2"/>
        <v>0</v>
      </c>
    </row>
    <row r="82" spans="2:14" hidden="1">
      <c r="B82" s="11">
        <v>1111024</v>
      </c>
      <c r="C82" s="20" t="s">
        <v>68</v>
      </c>
      <c r="D82" s="33">
        <f>'เย็น 102'!D82+'เช้า '!D82+บ่าย!D82</f>
        <v>0</v>
      </c>
      <c r="E82" s="33">
        <f>'เย็น 102'!E82+'เช้า '!E82+บ่าย!E82</f>
        <v>0</v>
      </c>
      <c r="F82" s="33">
        <f>'เย็น 102'!F82+'เช้า '!F82+บ่าย!F82</f>
        <v>0</v>
      </c>
      <c r="G82" s="33">
        <f>'เย็น 102'!G82+'เช้า '!G82+บ่าย!G82</f>
        <v>0</v>
      </c>
      <c r="H82" s="33">
        <f>'เย็น 102'!H82+'เช้า '!H82+บ่าย!H82</f>
        <v>0</v>
      </c>
      <c r="I82" s="33">
        <f>'เย็น 102'!I82+'เช้า '!I82+บ่าย!I82</f>
        <v>0</v>
      </c>
      <c r="J82" s="33">
        <f>'เย็น 102'!J82+'เช้า '!J82+บ่าย!J82</f>
        <v>0</v>
      </c>
      <c r="K82" s="39">
        <f t="shared" si="4"/>
        <v>0</v>
      </c>
      <c r="L82" s="11"/>
      <c r="M82" s="11"/>
      <c r="N82" s="58">
        <f t="shared" si="2"/>
        <v>0</v>
      </c>
    </row>
    <row r="83" spans="2:14" hidden="1">
      <c r="B83" s="11">
        <v>1111017</v>
      </c>
      <c r="C83" s="20" t="s">
        <v>69</v>
      </c>
      <c r="D83" s="33">
        <f>'เย็น 102'!D83+'เช้า '!D83+บ่าย!D83</f>
        <v>0</v>
      </c>
      <c r="E83" s="33">
        <f>'เย็น 102'!E83+'เช้า '!E83+บ่าย!E83</f>
        <v>0</v>
      </c>
      <c r="F83" s="33">
        <f>'เย็น 102'!F83+'เช้า '!F83+บ่าย!F83</f>
        <v>0</v>
      </c>
      <c r="G83" s="33">
        <f>'เย็น 102'!G83+'เช้า '!G83+บ่าย!G83</f>
        <v>0</v>
      </c>
      <c r="H83" s="33">
        <f>'เย็น 102'!H83+'เช้า '!H83+บ่าย!H83</f>
        <v>0</v>
      </c>
      <c r="I83" s="33">
        <f>'เย็น 102'!I83+'เช้า '!I83+บ่าย!I83</f>
        <v>0</v>
      </c>
      <c r="J83" s="33">
        <f>'เย็น 102'!J83+'เช้า '!J83+บ่าย!J83</f>
        <v>0</v>
      </c>
      <c r="K83" s="39">
        <f t="shared" si="4"/>
        <v>0</v>
      </c>
      <c r="L83" s="11"/>
      <c r="M83" s="11"/>
      <c r="N83" s="58">
        <f t="shared" si="2"/>
        <v>0</v>
      </c>
    </row>
    <row r="84" spans="2:14" hidden="1">
      <c r="B84" s="11">
        <v>1111011</v>
      </c>
      <c r="C84" s="20" t="s">
        <v>70</v>
      </c>
      <c r="D84" s="33">
        <f>'เย็น 102'!D84+'เช้า '!D84+บ่าย!D84</f>
        <v>0</v>
      </c>
      <c r="E84" s="33">
        <f>'เย็น 102'!E84+'เช้า '!E84+บ่าย!E84</f>
        <v>0</v>
      </c>
      <c r="F84" s="33">
        <f>'เย็น 102'!F84+'เช้า '!F84+บ่าย!F84</f>
        <v>0</v>
      </c>
      <c r="G84" s="33">
        <f>'เย็น 102'!G84+'เช้า '!G84+บ่าย!G84</f>
        <v>0</v>
      </c>
      <c r="H84" s="33">
        <f>'เย็น 102'!H84+'เช้า '!H84+บ่าย!H84</f>
        <v>0</v>
      </c>
      <c r="I84" s="33">
        <f>'เย็น 102'!I84+'เช้า '!I84+บ่าย!I84</f>
        <v>0</v>
      </c>
      <c r="J84" s="33">
        <f>'เย็น 102'!J84+'เช้า '!J84+บ่าย!J84</f>
        <v>0</v>
      </c>
      <c r="K84" s="39">
        <f t="shared" si="4"/>
        <v>0</v>
      </c>
      <c r="L84" s="11"/>
      <c r="M84" s="11"/>
      <c r="N84" s="58">
        <f t="shared" si="2"/>
        <v>0</v>
      </c>
    </row>
    <row r="85" spans="2:14" hidden="1">
      <c r="B85" s="11">
        <v>1111019</v>
      </c>
      <c r="C85" s="20" t="s">
        <v>71</v>
      </c>
      <c r="D85" s="33">
        <f>'เย็น 102'!D85+'เช้า '!D85+บ่าย!D85</f>
        <v>0</v>
      </c>
      <c r="E85" s="33">
        <f>'เย็น 102'!E85+'เช้า '!E85+บ่าย!E85</f>
        <v>0</v>
      </c>
      <c r="F85" s="33">
        <f>'เย็น 102'!F85+'เช้า '!F85+บ่าย!F85</f>
        <v>0</v>
      </c>
      <c r="G85" s="33">
        <f>'เย็น 102'!G85+'เช้า '!G85+บ่าย!G85</f>
        <v>0</v>
      </c>
      <c r="H85" s="33">
        <f>'เย็น 102'!H85+'เช้า '!H85+บ่าย!H85</f>
        <v>0</v>
      </c>
      <c r="I85" s="33">
        <f>'เย็น 102'!I85+'เช้า '!I85+บ่าย!I85</f>
        <v>0</v>
      </c>
      <c r="J85" s="33">
        <f>'เย็น 102'!J85+'เช้า '!J85+บ่าย!J85</f>
        <v>0</v>
      </c>
      <c r="K85" s="39">
        <f t="shared" si="4"/>
        <v>0</v>
      </c>
      <c r="L85" s="11"/>
      <c r="M85" s="11"/>
      <c r="N85" s="58">
        <f t="shared" si="2"/>
        <v>0</v>
      </c>
    </row>
    <row r="86" spans="2:14" hidden="1">
      <c r="B86" s="11">
        <v>1113081</v>
      </c>
      <c r="C86" s="20" t="s">
        <v>72</v>
      </c>
      <c r="D86" s="33">
        <f>'เย็น 102'!D86+'เช้า '!D86+บ่าย!D86</f>
        <v>0</v>
      </c>
      <c r="E86" s="33">
        <f>'เย็น 102'!E86+'เช้า '!E86+บ่าย!E86</f>
        <v>0</v>
      </c>
      <c r="F86" s="33">
        <f>'เย็น 102'!F86+'เช้า '!F86+บ่าย!F86</f>
        <v>0</v>
      </c>
      <c r="G86" s="33">
        <f>'เย็น 102'!G86+'เช้า '!G86+บ่าย!G86</f>
        <v>0</v>
      </c>
      <c r="H86" s="33">
        <f>'เย็น 102'!H86+'เช้า '!H86+บ่าย!H86</f>
        <v>0</v>
      </c>
      <c r="I86" s="33">
        <f>'เย็น 102'!I86+'เช้า '!I86+บ่าย!I86</f>
        <v>0</v>
      </c>
      <c r="J86" s="33">
        <f>'เย็น 102'!J86+'เช้า '!J86+บ่าย!J86</f>
        <v>0</v>
      </c>
      <c r="K86" s="39">
        <f t="shared" si="4"/>
        <v>0</v>
      </c>
      <c r="L86" s="11"/>
      <c r="M86" s="11"/>
      <c r="N86" s="58">
        <f t="shared" si="2"/>
        <v>0</v>
      </c>
    </row>
    <row r="87" spans="2:14">
      <c r="B87" s="11">
        <v>1111008</v>
      </c>
      <c r="C87" s="20" t="s">
        <v>73</v>
      </c>
      <c r="D87" s="33">
        <f>'เช้า '!D87+บ่าย!D87</f>
        <v>6</v>
      </c>
      <c r="E87" s="33">
        <f>'เช้า '!E87+บ่าย!E87</f>
        <v>6</v>
      </c>
      <c r="F87" s="33">
        <f>'เช้า '!F87+บ่าย!F87</f>
        <v>3</v>
      </c>
      <c r="G87" s="33">
        <f>'เช้า '!G87+บ่าย!G87</f>
        <v>63</v>
      </c>
      <c r="H87" s="33">
        <f>'เช้า '!H87+บ่าย!H87</f>
        <v>18</v>
      </c>
      <c r="I87" s="33">
        <f>'เช้า '!I87+บ่าย!I87</f>
        <v>0</v>
      </c>
      <c r="J87" s="33">
        <f>'เช้า '!J87+บ่าย!J87</f>
        <v>0</v>
      </c>
      <c r="K87" s="39">
        <f t="shared" si="4"/>
        <v>96</v>
      </c>
      <c r="L87" s="11"/>
      <c r="M87" s="11"/>
      <c r="N87" s="58">
        <f t="shared" si="2"/>
        <v>-96</v>
      </c>
    </row>
    <row r="88" spans="2:14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39">
        <f>SUM(D88:J88)</f>
        <v>0</v>
      </c>
      <c r="L88" s="11"/>
      <c r="M88" s="11"/>
      <c r="N88" s="58">
        <f t="shared" si="2"/>
        <v>0</v>
      </c>
    </row>
    <row r="89" spans="2:14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76"/>
    </row>
    <row r="90" spans="2:14">
      <c r="B90" s="11">
        <v>1112009</v>
      </c>
      <c r="C90" s="20" t="s">
        <v>75</v>
      </c>
      <c r="D90" s="33">
        <f>'เช้า '!D90+บ่าย!D90</f>
        <v>0</v>
      </c>
      <c r="E90" s="33">
        <f>'เช้า '!E90+บ่าย!E90</f>
        <v>6</v>
      </c>
      <c r="F90" s="33">
        <f>'เช้า '!F90+บ่าย!F90</f>
        <v>6</v>
      </c>
      <c r="G90" s="33">
        <f>'เช้า '!G90+บ่าย!G90</f>
        <v>38</v>
      </c>
      <c r="H90" s="33">
        <f>'เช้า '!H90+บ่าย!H90</f>
        <v>3</v>
      </c>
      <c r="I90" s="33">
        <f>'เช้า '!I90+บ่าย!I90</f>
        <v>0</v>
      </c>
      <c r="J90" s="33">
        <f>'เช้า '!J90+บ่าย!J90</f>
        <v>0</v>
      </c>
      <c r="K90" s="39">
        <f>SUM(D90:J90)</f>
        <v>53</v>
      </c>
      <c r="L90" s="11"/>
      <c r="M90" s="11"/>
      <c r="N90" s="58">
        <f t="shared" si="2"/>
        <v>-53</v>
      </c>
    </row>
    <row r="91" spans="2:14">
      <c r="B91" s="11">
        <v>1112011</v>
      </c>
      <c r="C91" s="20" t="s">
        <v>76</v>
      </c>
      <c r="D91" s="33">
        <f>'เช้า '!D91+บ่าย!D91</f>
        <v>1</v>
      </c>
      <c r="E91" s="33">
        <f>'เช้า '!E91+บ่าย!E91</f>
        <v>8</v>
      </c>
      <c r="F91" s="33">
        <f>'เช้า '!F91+บ่าย!F91</f>
        <v>34</v>
      </c>
      <c r="G91" s="33">
        <f>'เช้า '!G91+บ่าย!G91</f>
        <v>36</v>
      </c>
      <c r="H91" s="33">
        <f>'เช้า '!H91+บ่าย!H91</f>
        <v>3</v>
      </c>
      <c r="I91" s="33">
        <f>'เช้า '!I91+บ่าย!I91</f>
        <v>0</v>
      </c>
      <c r="J91" s="33">
        <f>'เช้า '!J91+บ่าย!J91</f>
        <v>1</v>
      </c>
      <c r="K91" s="39">
        <f t="shared" ref="K91:K99" si="5">SUM(D91:J91)</f>
        <v>83</v>
      </c>
      <c r="L91" s="11"/>
      <c r="M91" s="11"/>
      <c r="N91" s="58">
        <f t="shared" si="2"/>
        <v>-83</v>
      </c>
    </row>
    <row r="92" spans="2:14">
      <c r="B92" s="11">
        <v>1112003</v>
      </c>
      <c r="C92" s="20" t="s">
        <v>77</v>
      </c>
      <c r="D92" s="33">
        <f>'เช้า '!D92+บ่าย!D92</f>
        <v>0</v>
      </c>
      <c r="E92" s="33">
        <f>'เช้า '!E92+บ่าย!E92</f>
        <v>0</v>
      </c>
      <c r="F92" s="33">
        <f>'เช้า '!F92+บ่าย!F92</f>
        <v>1</v>
      </c>
      <c r="G92" s="33">
        <f>'เช้า '!G92+บ่าย!G92</f>
        <v>2</v>
      </c>
      <c r="H92" s="33">
        <f>'เช้า '!H92+บ่าย!H92</f>
        <v>0</v>
      </c>
      <c r="I92" s="33">
        <f>'เช้า '!I92+บ่าย!I92</f>
        <v>0</v>
      </c>
      <c r="J92" s="33">
        <f>'เช้า '!J92+บ่าย!J92</f>
        <v>0</v>
      </c>
      <c r="K92" s="39">
        <f t="shared" si="5"/>
        <v>3</v>
      </c>
      <c r="L92" s="11"/>
      <c r="M92" s="11"/>
      <c r="N92" s="58">
        <f t="shared" si="2"/>
        <v>-3</v>
      </c>
    </row>
    <row r="93" spans="2:14">
      <c r="B93" s="11">
        <v>1112005</v>
      </c>
      <c r="C93" s="20" t="s">
        <v>78</v>
      </c>
      <c r="D93" s="33">
        <f>'เช้า '!D93+บ่าย!D93</f>
        <v>0</v>
      </c>
      <c r="E93" s="33">
        <f>'เช้า '!E93+บ่าย!E93</f>
        <v>0</v>
      </c>
      <c r="F93" s="33">
        <f>'เช้า '!F93+บ่าย!F93</f>
        <v>0</v>
      </c>
      <c r="G93" s="33">
        <f>'เช้า '!G93+บ่าย!G93</f>
        <v>0</v>
      </c>
      <c r="H93" s="33">
        <f>'เช้า '!H93+บ่าย!H93</f>
        <v>0</v>
      </c>
      <c r="I93" s="33">
        <f>'เช้า '!I93+บ่าย!I93</f>
        <v>0</v>
      </c>
      <c r="J93" s="33">
        <f>'เช้า '!J93+บ่าย!J93</f>
        <v>0</v>
      </c>
      <c r="K93" s="39">
        <f t="shared" si="5"/>
        <v>0</v>
      </c>
      <c r="L93" s="11"/>
      <c r="M93" s="11"/>
      <c r="N93" s="58">
        <f t="shared" si="2"/>
        <v>0</v>
      </c>
    </row>
    <row r="94" spans="2:14" hidden="1">
      <c r="B94" s="11">
        <v>1112007</v>
      </c>
      <c r="C94" s="20" t="s">
        <v>79</v>
      </c>
      <c r="D94" s="33">
        <f>'เช้า '!D94+บ่าย!D94</f>
        <v>0</v>
      </c>
      <c r="E94" s="33">
        <f>'เช้า '!E94+บ่าย!E94</f>
        <v>0</v>
      </c>
      <c r="F94" s="33">
        <f>'เช้า '!F94+บ่าย!F94</f>
        <v>0</v>
      </c>
      <c r="G94" s="33">
        <f>'เช้า '!G94+บ่าย!G94</f>
        <v>0</v>
      </c>
      <c r="H94" s="33">
        <f>'เช้า '!H94+บ่าย!H94</f>
        <v>0</v>
      </c>
      <c r="I94" s="33">
        <f>'เช้า '!I94+บ่าย!I94</f>
        <v>0</v>
      </c>
      <c r="J94" s="33">
        <f>'เช้า '!J94+บ่าย!J94</f>
        <v>0</v>
      </c>
      <c r="K94" s="39">
        <f t="shared" si="5"/>
        <v>0</v>
      </c>
      <c r="L94" s="11"/>
      <c r="M94" s="11"/>
      <c r="N94" s="58">
        <f t="shared" si="2"/>
        <v>0</v>
      </c>
    </row>
    <row r="95" spans="2:14" hidden="1">
      <c r="B95" s="11">
        <v>1112019</v>
      </c>
      <c r="C95" s="20" t="s">
        <v>80</v>
      </c>
      <c r="D95" s="33">
        <f>'เช้า '!D95+บ่าย!D95</f>
        <v>0</v>
      </c>
      <c r="E95" s="33">
        <f>'เช้า '!E95+บ่าย!E95</f>
        <v>0</v>
      </c>
      <c r="F95" s="33">
        <f>'เช้า '!F95+บ่าย!F95</f>
        <v>0</v>
      </c>
      <c r="G95" s="33">
        <f>'เช้า '!G95+บ่าย!G95</f>
        <v>0</v>
      </c>
      <c r="H95" s="33">
        <f>'เช้า '!H95+บ่าย!H95</f>
        <v>0</v>
      </c>
      <c r="I95" s="33">
        <f>'เช้า '!I95+บ่าย!I95</f>
        <v>0</v>
      </c>
      <c r="J95" s="33">
        <f>'เช้า '!J95+บ่าย!J95</f>
        <v>0</v>
      </c>
      <c r="K95" s="39">
        <f t="shared" si="5"/>
        <v>0</v>
      </c>
      <c r="L95" s="11"/>
      <c r="M95" s="11"/>
      <c r="N95" s="58">
        <f t="shared" si="2"/>
        <v>0</v>
      </c>
    </row>
    <row r="96" spans="2:14">
      <c r="B96" s="11">
        <v>1112017</v>
      </c>
      <c r="C96" s="20" t="s">
        <v>81</v>
      </c>
      <c r="D96" s="33">
        <f>'เช้า '!D96+บ่าย!D96</f>
        <v>0</v>
      </c>
      <c r="E96" s="33">
        <f>'เช้า '!E96+บ่าย!E96</f>
        <v>0</v>
      </c>
      <c r="F96" s="33">
        <f>'เช้า '!F96+บ่าย!F96</f>
        <v>1</v>
      </c>
      <c r="G96" s="33">
        <f>'เช้า '!G96+บ่าย!G96</f>
        <v>2</v>
      </c>
      <c r="H96" s="33">
        <f>'เช้า '!H96+บ่าย!H96</f>
        <v>0</v>
      </c>
      <c r="I96" s="33">
        <f>'เช้า '!I96+บ่าย!I96</f>
        <v>0</v>
      </c>
      <c r="J96" s="33">
        <f>'เช้า '!J96+บ่าย!J96</f>
        <v>0</v>
      </c>
      <c r="K96" s="39">
        <f t="shared" si="5"/>
        <v>3</v>
      </c>
      <c r="L96" s="11"/>
      <c r="M96" s="11"/>
      <c r="N96" s="58">
        <f t="shared" si="2"/>
        <v>-3</v>
      </c>
    </row>
    <row r="97" spans="2:14">
      <c r="B97" s="11">
        <v>1112015</v>
      </c>
      <c r="C97" s="20" t="s">
        <v>82</v>
      </c>
      <c r="D97" s="33">
        <f>'เช้า '!D97+บ่าย!D97</f>
        <v>0</v>
      </c>
      <c r="E97" s="33">
        <f>'เช้า '!E97+บ่าย!E97</f>
        <v>0</v>
      </c>
      <c r="F97" s="33">
        <f>'เช้า '!F97+บ่าย!F97</f>
        <v>1</v>
      </c>
      <c r="G97" s="33">
        <f>'เช้า '!G97+บ่าย!G97</f>
        <v>2</v>
      </c>
      <c r="H97" s="33">
        <f>'เช้า '!H97+บ่าย!H97</f>
        <v>0</v>
      </c>
      <c r="I97" s="33">
        <f>'เช้า '!I97+บ่าย!I97</f>
        <v>0</v>
      </c>
      <c r="J97" s="33">
        <f>'เช้า '!J97+บ่าย!J97</f>
        <v>0</v>
      </c>
      <c r="K97" s="39">
        <f t="shared" si="5"/>
        <v>3</v>
      </c>
      <c r="L97" s="11"/>
      <c r="M97" s="11"/>
      <c r="N97" s="58">
        <f t="shared" si="2"/>
        <v>-3</v>
      </c>
    </row>
    <row r="98" spans="2:14">
      <c r="B98" s="11">
        <v>1112013</v>
      </c>
      <c r="C98" s="20" t="s">
        <v>83</v>
      </c>
      <c r="D98" s="33">
        <f>'เช้า '!D98+บ่าย!D98</f>
        <v>0</v>
      </c>
      <c r="E98" s="33">
        <f>'เช้า '!E98+บ่าย!E98</f>
        <v>4</v>
      </c>
      <c r="F98" s="33">
        <f>'เช้า '!F98+บ่าย!F98</f>
        <v>15</v>
      </c>
      <c r="G98" s="33">
        <f>'เช้า '!G98+บ่าย!G98</f>
        <v>36</v>
      </c>
      <c r="H98" s="33">
        <f>'เช้า '!H98+บ่าย!H98</f>
        <v>3</v>
      </c>
      <c r="I98" s="33">
        <f>'เช้า '!I98+บ่าย!I98</f>
        <v>0</v>
      </c>
      <c r="J98" s="33">
        <f>'เช้า '!J98+บ่าย!J98</f>
        <v>1</v>
      </c>
      <c r="K98" s="39">
        <f t="shared" si="5"/>
        <v>59</v>
      </c>
      <c r="L98" s="11"/>
      <c r="M98" s="11"/>
      <c r="N98" s="58">
        <f t="shared" si="2"/>
        <v>-59</v>
      </c>
    </row>
    <row r="99" spans="2:14" hidden="1">
      <c r="B99" s="11">
        <v>1124043</v>
      </c>
      <c r="C99" s="20" t="s">
        <v>84</v>
      </c>
      <c r="D99" s="33">
        <f>'เย็น 102'!D99+'เช้า '!D99+บ่าย!D99</f>
        <v>0</v>
      </c>
      <c r="E99" s="33">
        <f>'เย็น 102'!E99+'เช้า '!E99+บ่าย!E99</f>
        <v>0</v>
      </c>
      <c r="F99" s="33">
        <f>'เย็น 102'!F99+'เช้า '!F99+บ่าย!F99</f>
        <v>0</v>
      </c>
      <c r="G99" s="33">
        <f>'เย็น 102'!G99+'เช้า '!G99+บ่าย!G99</f>
        <v>0</v>
      </c>
      <c r="H99" s="33">
        <f>'เย็น 102'!H99+'เช้า '!H99+บ่าย!H99</f>
        <v>0</v>
      </c>
      <c r="I99" s="33">
        <f>'เย็น 102'!I99+'เช้า '!I99+บ่าย!I99</f>
        <v>0</v>
      </c>
      <c r="J99" s="33">
        <f>'เย็น 102'!J99+'เช้า '!J99+บ่าย!J99</f>
        <v>0</v>
      </c>
      <c r="K99" s="39">
        <f t="shared" si="5"/>
        <v>0</v>
      </c>
      <c r="L99" s="11"/>
      <c r="M99" s="11"/>
      <c r="N99" s="58">
        <f t="shared" si="2"/>
        <v>0</v>
      </c>
    </row>
    <row r="100" spans="2:14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>SUM(K90:K99)</f>
        <v>204</v>
      </c>
      <c r="L100" s="11"/>
      <c r="M100" s="11"/>
      <c r="N100" s="58">
        <f t="shared" si="2"/>
        <v>-204</v>
      </c>
    </row>
    <row r="101" spans="2:14" ht="21" hidden="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76"/>
    </row>
    <row r="102" spans="2:14" hidden="1">
      <c r="B102" s="11">
        <v>1112008</v>
      </c>
      <c r="C102" s="20" t="s">
        <v>75</v>
      </c>
      <c r="D102" s="33">
        <f>'เย็น 102'!D102+'เช้า '!D102+บ่าย!D102</f>
        <v>0</v>
      </c>
      <c r="E102" s="33">
        <f>'เย็น 102'!E102+'เช้า '!E102+บ่าย!E102</f>
        <v>0</v>
      </c>
      <c r="F102" s="33">
        <f>'เย็น 102'!F102+'เช้า '!F102+บ่าย!F102</f>
        <v>0</v>
      </c>
      <c r="G102" s="33">
        <f>'เย็น 102'!G102+'เช้า '!G102+บ่าย!G102</f>
        <v>0</v>
      </c>
      <c r="H102" s="33">
        <f>'เย็น 102'!H102+'เช้า '!H102+บ่าย!H102</f>
        <v>0</v>
      </c>
      <c r="I102" s="33">
        <f>'เย็น 102'!I102+'เช้า '!I102+บ่าย!I102</f>
        <v>0</v>
      </c>
      <c r="J102" s="33">
        <f>'เย็น 102'!J102+'เช้า '!J102+บ่าย!J102</f>
        <v>0</v>
      </c>
      <c r="K102" s="39">
        <f>SUM(D102:J102)</f>
        <v>0</v>
      </c>
      <c r="L102" s="11"/>
      <c r="M102" s="11"/>
      <c r="N102" s="58">
        <f t="shared" si="2"/>
        <v>0</v>
      </c>
    </row>
    <row r="103" spans="2:14" hidden="1">
      <c r="B103" s="11">
        <v>1112010</v>
      </c>
      <c r="C103" s="20" t="s">
        <v>76</v>
      </c>
      <c r="D103" s="33">
        <f>'เย็น 102'!D103+'เช้า '!D103+บ่าย!D103</f>
        <v>0</v>
      </c>
      <c r="E103" s="33">
        <f>'เย็น 102'!E103+'เช้า '!E103+บ่าย!E103</f>
        <v>0</v>
      </c>
      <c r="F103" s="33">
        <f>'เย็น 102'!F103+'เช้า '!F103+บ่าย!F103</f>
        <v>0</v>
      </c>
      <c r="G103" s="33">
        <f>'เย็น 102'!G103+'เช้า '!G103+บ่าย!G103</f>
        <v>0</v>
      </c>
      <c r="H103" s="33">
        <f>'เย็น 102'!H103+'เช้า '!H103+บ่าย!H103</f>
        <v>0</v>
      </c>
      <c r="I103" s="33">
        <f>'เย็น 102'!I103+'เช้า '!I103+บ่าย!I103</f>
        <v>0</v>
      </c>
      <c r="J103" s="33">
        <f>'เย็น 102'!J103+'เช้า '!J103+บ่าย!J103</f>
        <v>0</v>
      </c>
      <c r="K103" s="39">
        <f t="shared" ref="K103:K111" si="6">SUM(D103:J103)</f>
        <v>0</v>
      </c>
      <c r="L103" s="11"/>
      <c r="M103" s="11"/>
      <c r="N103" s="58">
        <f t="shared" si="2"/>
        <v>0</v>
      </c>
    </row>
    <row r="104" spans="2:14" hidden="1">
      <c r="B104" s="11">
        <v>1112002</v>
      </c>
      <c r="C104" s="20" t="s">
        <v>77</v>
      </c>
      <c r="D104" s="33">
        <f>'เย็น 102'!D104+'เช้า '!D104+บ่าย!D104</f>
        <v>0</v>
      </c>
      <c r="E104" s="33">
        <f>'เย็น 102'!E104+'เช้า '!E104+บ่าย!E104</f>
        <v>0</v>
      </c>
      <c r="F104" s="33">
        <f>'เย็น 102'!F104+'เช้า '!F104+บ่าย!F104</f>
        <v>0</v>
      </c>
      <c r="G104" s="33">
        <f>'เย็น 102'!G104+'เช้า '!G104+บ่าย!G104</f>
        <v>0</v>
      </c>
      <c r="H104" s="33">
        <f>'เย็น 102'!H104+'เช้า '!H104+บ่าย!H104</f>
        <v>0</v>
      </c>
      <c r="I104" s="33">
        <f>'เย็น 102'!I104+'เช้า '!I104+บ่าย!I104</f>
        <v>0</v>
      </c>
      <c r="J104" s="33">
        <f>'เย็น 102'!J104+'เช้า '!J104+บ่าย!J104</f>
        <v>0</v>
      </c>
      <c r="K104" s="39">
        <f t="shared" si="6"/>
        <v>0</v>
      </c>
      <c r="L104" s="11"/>
      <c r="M104" s="11"/>
      <c r="N104" s="58">
        <f t="shared" si="2"/>
        <v>0</v>
      </c>
    </row>
    <row r="105" spans="2:14" hidden="1">
      <c r="B105" s="11">
        <v>1112004</v>
      </c>
      <c r="C105" s="20" t="s">
        <v>78</v>
      </c>
      <c r="D105" s="33">
        <f>'เย็น 102'!D105+'เช้า '!D105+บ่าย!D105</f>
        <v>0</v>
      </c>
      <c r="E105" s="33">
        <f>'เย็น 102'!E105+'เช้า '!E105+บ่าย!E105</f>
        <v>0</v>
      </c>
      <c r="F105" s="33">
        <f>'เย็น 102'!F105+'เช้า '!F105+บ่าย!F105</f>
        <v>0</v>
      </c>
      <c r="G105" s="33">
        <f>'เย็น 102'!G105+'เช้า '!G105+บ่าย!G105</f>
        <v>0</v>
      </c>
      <c r="H105" s="33">
        <f>'เย็น 102'!H105+'เช้า '!H105+บ่าย!H105</f>
        <v>0</v>
      </c>
      <c r="I105" s="33">
        <f>'เย็น 102'!I105+'เช้า '!I105+บ่าย!I105</f>
        <v>0</v>
      </c>
      <c r="J105" s="33">
        <f>'เย็น 102'!J105+'เช้า '!J105+บ่าย!J105</f>
        <v>0</v>
      </c>
      <c r="K105" s="39">
        <f t="shared" si="6"/>
        <v>0</v>
      </c>
      <c r="L105" s="11"/>
      <c r="M105" s="11"/>
      <c r="N105" s="58">
        <f t="shared" si="2"/>
        <v>0</v>
      </c>
    </row>
    <row r="106" spans="2:14" hidden="1">
      <c r="B106" s="11">
        <v>1112006</v>
      </c>
      <c r="C106" s="20" t="s">
        <v>79</v>
      </c>
      <c r="D106" s="33">
        <f>'เย็น 102'!D106+'เช้า '!D106+บ่าย!D106</f>
        <v>0</v>
      </c>
      <c r="E106" s="33">
        <f>'เย็น 102'!E106+'เช้า '!E106+บ่าย!E106</f>
        <v>0</v>
      </c>
      <c r="F106" s="33">
        <f>'เย็น 102'!F106+'เช้า '!F106+บ่าย!F106</f>
        <v>0</v>
      </c>
      <c r="G106" s="33">
        <f>'เย็น 102'!G106+'เช้า '!G106+บ่าย!G106</f>
        <v>0</v>
      </c>
      <c r="H106" s="33">
        <f>'เย็น 102'!H106+'เช้า '!H106+บ่าย!H106</f>
        <v>0</v>
      </c>
      <c r="I106" s="33">
        <f>'เย็น 102'!I106+'เช้า '!I106+บ่าย!I106</f>
        <v>0</v>
      </c>
      <c r="J106" s="33">
        <f>'เย็น 102'!J106+'เช้า '!J106+บ่าย!J106</f>
        <v>0</v>
      </c>
      <c r="K106" s="39">
        <f t="shared" si="6"/>
        <v>0</v>
      </c>
      <c r="L106" s="11"/>
      <c r="M106" s="11"/>
      <c r="N106" s="58">
        <f t="shared" si="2"/>
        <v>0</v>
      </c>
    </row>
    <row r="107" spans="2:14" hidden="1">
      <c r="B107" s="11">
        <v>1112018</v>
      </c>
      <c r="C107" s="20" t="s">
        <v>80</v>
      </c>
      <c r="D107" s="33">
        <f>'เย็น 102'!D107+'เช้า '!D107+บ่าย!D107</f>
        <v>0</v>
      </c>
      <c r="E107" s="33">
        <f>'เย็น 102'!E107+'เช้า '!E107+บ่าย!E107</f>
        <v>0</v>
      </c>
      <c r="F107" s="33">
        <f>'เย็น 102'!F107+'เช้า '!F107+บ่าย!F107</f>
        <v>0</v>
      </c>
      <c r="G107" s="33">
        <f>'เย็น 102'!G107+'เช้า '!G107+บ่าย!G107</f>
        <v>0</v>
      </c>
      <c r="H107" s="33">
        <f>'เย็น 102'!H107+'เช้า '!H107+บ่าย!H107</f>
        <v>0</v>
      </c>
      <c r="I107" s="33">
        <f>'เย็น 102'!I107+'เช้า '!I107+บ่าย!I107</f>
        <v>0</v>
      </c>
      <c r="J107" s="33">
        <f>'เย็น 102'!J107+'เช้า '!J107+บ่าย!J107</f>
        <v>0</v>
      </c>
      <c r="K107" s="39">
        <f t="shared" si="6"/>
        <v>0</v>
      </c>
      <c r="L107" s="11"/>
      <c r="M107" s="11"/>
      <c r="N107" s="58">
        <f t="shared" si="2"/>
        <v>0</v>
      </c>
    </row>
    <row r="108" spans="2:14" hidden="1">
      <c r="B108" s="11">
        <v>1112016</v>
      </c>
      <c r="C108" s="20" t="s">
        <v>81</v>
      </c>
      <c r="D108" s="33">
        <f>'เย็น 102'!D108+'เช้า '!D108+บ่าย!D108</f>
        <v>0</v>
      </c>
      <c r="E108" s="33">
        <f>'เย็น 102'!E108+'เช้า '!E108+บ่าย!E108</f>
        <v>0</v>
      </c>
      <c r="F108" s="33">
        <f>'เย็น 102'!F108+'เช้า '!F108+บ่าย!F108</f>
        <v>0</v>
      </c>
      <c r="G108" s="33">
        <f>'เย็น 102'!G108+'เช้า '!G108+บ่าย!G108</f>
        <v>0</v>
      </c>
      <c r="H108" s="33">
        <f>'เย็น 102'!H108+'เช้า '!H108+บ่าย!H108</f>
        <v>0</v>
      </c>
      <c r="I108" s="33">
        <f>'เย็น 102'!I108+'เช้า '!I108+บ่าย!I108</f>
        <v>0</v>
      </c>
      <c r="J108" s="33">
        <f>'เย็น 102'!J108+'เช้า '!J108+บ่าย!J108</f>
        <v>0</v>
      </c>
      <c r="K108" s="39">
        <f t="shared" si="6"/>
        <v>0</v>
      </c>
      <c r="L108" s="11"/>
      <c r="M108" s="11"/>
      <c r="N108" s="58">
        <f t="shared" si="2"/>
        <v>0</v>
      </c>
    </row>
    <row r="109" spans="2:14" hidden="1">
      <c r="B109" s="11">
        <v>1112014</v>
      </c>
      <c r="C109" s="20" t="s">
        <v>82</v>
      </c>
      <c r="D109" s="33">
        <f>'เย็น 102'!D109+'เช้า '!D109+บ่าย!D109</f>
        <v>0</v>
      </c>
      <c r="E109" s="33">
        <f>'เย็น 102'!E109+'เช้า '!E109+บ่าย!E109</f>
        <v>0</v>
      </c>
      <c r="F109" s="33">
        <f>'เย็น 102'!F109+'เช้า '!F109+บ่าย!F109</f>
        <v>0</v>
      </c>
      <c r="G109" s="33">
        <f>'เย็น 102'!G109+'เช้า '!G109+บ่าย!G109</f>
        <v>0</v>
      </c>
      <c r="H109" s="33">
        <f>'เย็น 102'!H109+'เช้า '!H109+บ่าย!H109</f>
        <v>0</v>
      </c>
      <c r="I109" s="33">
        <f>'เย็น 102'!I109+'เช้า '!I109+บ่าย!I109</f>
        <v>0</v>
      </c>
      <c r="J109" s="33">
        <f>'เย็น 102'!J109+'เช้า '!J109+บ่าย!J109</f>
        <v>0</v>
      </c>
      <c r="K109" s="39">
        <f t="shared" si="6"/>
        <v>0</v>
      </c>
      <c r="L109" s="11"/>
      <c r="M109" s="11"/>
      <c r="N109" s="58">
        <f t="shared" si="2"/>
        <v>0</v>
      </c>
    </row>
    <row r="110" spans="2:14" hidden="1">
      <c r="B110" s="11">
        <v>1112012</v>
      </c>
      <c r="C110" s="20" t="s">
        <v>83</v>
      </c>
      <c r="D110" s="33">
        <f>'เย็น 102'!D110+'เช้า '!D110+บ่าย!D110</f>
        <v>0</v>
      </c>
      <c r="E110" s="33">
        <f>'เย็น 102'!E110+'เช้า '!E110+บ่าย!E110</f>
        <v>0</v>
      </c>
      <c r="F110" s="33">
        <f>'เย็น 102'!F110+'เช้า '!F110+บ่าย!F110</f>
        <v>0</v>
      </c>
      <c r="G110" s="33">
        <f>'เย็น 102'!G110+'เช้า '!G110+บ่าย!G110</f>
        <v>0</v>
      </c>
      <c r="H110" s="33">
        <f>'เย็น 102'!H110+'เช้า '!H110+บ่าย!H110</f>
        <v>0</v>
      </c>
      <c r="I110" s="33">
        <f>'เย็น 102'!I110+'เช้า '!I110+บ่าย!I110</f>
        <v>0</v>
      </c>
      <c r="J110" s="33">
        <f>'เย็น 102'!J110+'เช้า '!J110+บ่าย!J110</f>
        <v>0</v>
      </c>
      <c r="K110" s="39">
        <f t="shared" si="6"/>
        <v>0</v>
      </c>
      <c r="L110" s="11"/>
      <c r="M110" s="11"/>
      <c r="N110" s="58">
        <f t="shared" si="2"/>
        <v>0</v>
      </c>
    </row>
    <row r="111" spans="2:14" hidden="1">
      <c r="B111" s="11"/>
      <c r="C111" s="20" t="s">
        <v>84</v>
      </c>
      <c r="D111" s="33">
        <f>'เย็น 102'!D111+'เช้า '!D111+บ่าย!D111</f>
        <v>0</v>
      </c>
      <c r="E111" s="33">
        <f>'เย็น 102'!E111+'เช้า '!E111+บ่าย!E111</f>
        <v>0</v>
      </c>
      <c r="F111" s="33">
        <f>'เย็น 102'!F111+'เช้า '!F111+บ่าย!F111</f>
        <v>0</v>
      </c>
      <c r="G111" s="33">
        <f>'เย็น 102'!G111+'เช้า '!G111+บ่าย!G111</f>
        <v>0</v>
      </c>
      <c r="H111" s="33">
        <f>'เย็น 102'!H111+'เช้า '!H111+บ่าย!H111</f>
        <v>0</v>
      </c>
      <c r="I111" s="33">
        <f>'เย็น 102'!I111+'เช้า '!I111+บ่าย!I111</f>
        <v>0</v>
      </c>
      <c r="J111" s="33">
        <f>'เย็น 102'!J111+'เช้า '!J111+บ่าย!J111</f>
        <v>0</v>
      </c>
      <c r="K111" s="39">
        <f t="shared" si="6"/>
        <v>0</v>
      </c>
      <c r="L111" s="11"/>
      <c r="M111" s="11"/>
      <c r="N111" s="58">
        <f t="shared" si="2"/>
        <v>0</v>
      </c>
    </row>
    <row r="112" spans="2:14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39">
        <f t="shared" ref="K112" si="7">SUM(D112:J112)</f>
        <v>0</v>
      </c>
      <c r="L112" s="11"/>
      <c r="M112" s="11"/>
      <c r="N112" s="58">
        <f t="shared" si="2"/>
        <v>0</v>
      </c>
    </row>
    <row r="113" spans="2:14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76"/>
    </row>
    <row r="114" spans="2:14" hidden="1">
      <c r="B114" s="11">
        <v>1113170</v>
      </c>
      <c r="C114" s="22" t="s">
        <v>87</v>
      </c>
      <c r="D114" s="33">
        <f>'เย็น 102'!D114+'เช้า '!D114+บ่าย!D114</f>
        <v>0</v>
      </c>
      <c r="E114" s="33">
        <f>'เย็น 102'!E114+'เช้า '!E114+บ่าย!E114</f>
        <v>0</v>
      </c>
      <c r="F114" s="33">
        <f>'เย็น 102'!F114+'เช้า '!F114+บ่าย!F114</f>
        <v>0</v>
      </c>
      <c r="G114" s="33">
        <f>'เย็น 102'!G114+'เช้า '!G114+บ่าย!G114</f>
        <v>0</v>
      </c>
      <c r="H114" s="33">
        <f>'เย็น 102'!H114+'เช้า '!H114+บ่าย!H114</f>
        <v>0</v>
      </c>
      <c r="I114" s="33">
        <f>'เย็น 102'!I114+'เช้า '!I114+บ่าย!I114</f>
        <v>0</v>
      </c>
      <c r="J114" s="33">
        <f>'เย็น 102'!J114+'เช้า '!J114+บ่าย!J114</f>
        <v>0</v>
      </c>
      <c r="K114" s="39">
        <f>SUM(D114:J114)</f>
        <v>0</v>
      </c>
      <c r="L114" s="11"/>
      <c r="M114" s="11"/>
      <c r="N114" s="58">
        <f t="shared" si="2"/>
        <v>0</v>
      </c>
    </row>
    <row r="115" spans="2:14" hidden="1">
      <c r="B115" s="11">
        <v>1113171</v>
      </c>
      <c r="C115" s="22" t="s">
        <v>88</v>
      </c>
      <c r="D115" s="33">
        <f>'เย็น 102'!D115+'เช้า '!D115+บ่าย!D115</f>
        <v>0</v>
      </c>
      <c r="E115" s="33">
        <f>'เย็น 102'!E115+'เช้า '!E115+บ่าย!E115</f>
        <v>0</v>
      </c>
      <c r="F115" s="33">
        <f>'เย็น 102'!F115+'เช้า '!F115+บ่าย!F115</f>
        <v>0</v>
      </c>
      <c r="G115" s="33">
        <f>'เย็น 102'!G115+'เช้า '!G115+บ่าย!G115</f>
        <v>0</v>
      </c>
      <c r="H115" s="33">
        <f>'เย็น 102'!H115+'เช้า '!H115+บ่าย!H115</f>
        <v>0</v>
      </c>
      <c r="I115" s="33">
        <f>'เย็น 102'!I115+'เช้า '!I115+บ่าย!I115</f>
        <v>0</v>
      </c>
      <c r="J115" s="33">
        <f>'เย็น 102'!J115+'เช้า '!J115+บ่าย!J115</f>
        <v>0</v>
      </c>
      <c r="K115" s="39">
        <f t="shared" ref="K115:K137" si="8">SUM(D115:J115)</f>
        <v>0</v>
      </c>
      <c r="L115" s="11"/>
      <c r="M115" s="11"/>
      <c r="N115" s="58">
        <f t="shared" si="2"/>
        <v>0</v>
      </c>
    </row>
    <row r="116" spans="2:14" hidden="1">
      <c r="B116" s="11">
        <v>1113172</v>
      </c>
      <c r="C116" s="22" t="s">
        <v>89</v>
      </c>
      <c r="D116" s="33">
        <f>'เย็น 102'!D116+'เช้า '!D116+บ่าย!D116</f>
        <v>0</v>
      </c>
      <c r="E116" s="33">
        <f>'เย็น 102'!E116+'เช้า '!E116+บ่าย!E116</f>
        <v>0</v>
      </c>
      <c r="F116" s="33">
        <f>'เย็น 102'!F116+'เช้า '!F116+บ่าย!F116</f>
        <v>0</v>
      </c>
      <c r="G116" s="33">
        <f>'เย็น 102'!G116+'เช้า '!G116+บ่าย!G116</f>
        <v>0</v>
      </c>
      <c r="H116" s="33">
        <f>'เย็น 102'!H116+'เช้า '!H116+บ่าย!H116</f>
        <v>0</v>
      </c>
      <c r="I116" s="33">
        <f>'เย็น 102'!I116+'เช้า '!I116+บ่าย!I116</f>
        <v>0</v>
      </c>
      <c r="J116" s="33">
        <f>'เย็น 102'!J116+'เช้า '!J116+บ่าย!J116</f>
        <v>0</v>
      </c>
      <c r="K116" s="39">
        <f t="shared" si="8"/>
        <v>0</v>
      </c>
      <c r="L116" s="11"/>
      <c r="M116" s="11"/>
      <c r="N116" s="58">
        <f t="shared" si="2"/>
        <v>0</v>
      </c>
    </row>
    <row r="117" spans="2:14" hidden="1">
      <c r="B117" s="11">
        <v>1113173</v>
      </c>
      <c r="C117" s="22" t="s">
        <v>90</v>
      </c>
      <c r="D117" s="33">
        <f>'เย็น 102'!D117+'เช้า '!D117+บ่าย!D117</f>
        <v>0</v>
      </c>
      <c r="E117" s="33">
        <f>'เย็น 102'!E117+'เช้า '!E117+บ่าย!E117</f>
        <v>0</v>
      </c>
      <c r="F117" s="33">
        <f>'เย็น 102'!F117+'เช้า '!F117+บ่าย!F117</f>
        <v>0</v>
      </c>
      <c r="G117" s="33">
        <f>'เย็น 102'!G117+'เช้า '!G117+บ่าย!G117</f>
        <v>0</v>
      </c>
      <c r="H117" s="33">
        <f>'เย็น 102'!H117+'เช้า '!H117+บ่าย!H117</f>
        <v>0</v>
      </c>
      <c r="I117" s="33">
        <f>'เย็น 102'!I117+'เช้า '!I117+บ่าย!I117</f>
        <v>0</v>
      </c>
      <c r="J117" s="33">
        <f>'เย็น 102'!J117+'เช้า '!J117+บ่าย!J117</f>
        <v>0</v>
      </c>
      <c r="K117" s="39">
        <f t="shared" si="8"/>
        <v>0</v>
      </c>
      <c r="L117" s="11"/>
      <c r="M117" s="11"/>
      <c r="N117" s="58">
        <f t="shared" si="2"/>
        <v>0</v>
      </c>
    </row>
    <row r="118" spans="2:14">
      <c r="B118" s="11">
        <v>1100003</v>
      </c>
      <c r="C118" s="22" t="s">
        <v>125</v>
      </c>
      <c r="D118" s="33">
        <f>'เช้า '!D118+บ่าย!D118</f>
        <v>0</v>
      </c>
      <c r="E118" s="33">
        <f>'เช้า '!E118+บ่าย!E118</f>
        <v>1</v>
      </c>
      <c r="F118" s="33">
        <f>'เช้า '!F118+บ่าย!F118</f>
        <v>1</v>
      </c>
      <c r="G118" s="33">
        <f>'เช้า '!G118+บ่าย!G118</f>
        <v>0</v>
      </c>
      <c r="H118" s="33">
        <f>'เช้า '!H118+บ่าย!H118</f>
        <v>0</v>
      </c>
      <c r="I118" s="33">
        <f>'เช้า '!I118+บ่าย!I118</f>
        <v>0</v>
      </c>
      <c r="J118" s="33">
        <f>'เช้า '!J118+บ่าย!J118</f>
        <v>1</v>
      </c>
      <c r="K118" s="39">
        <f t="shared" si="8"/>
        <v>3</v>
      </c>
      <c r="L118" s="11"/>
      <c r="M118" s="11"/>
      <c r="N118" s="58">
        <f t="shared" si="2"/>
        <v>-3</v>
      </c>
    </row>
    <row r="119" spans="2:14">
      <c r="B119" s="11">
        <v>1100001</v>
      </c>
      <c r="C119" s="22" t="s">
        <v>126</v>
      </c>
      <c r="D119" s="33">
        <f>'เช้า '!D119+บ่าย!D119</f>
        <v>0</v>
      </c>
      <c r="E119" s="33">
        <f>'เช้า '!E119+บ่าย!E119</f>
        <v>13</v>
      </c>
      <c r="F119" s="33">
        <f>'เช้า '!F119+บ่าย!F119</f>
        <v>0</v>
      </c>
      <c r="G119" s="33">
        <f>'เช้า '!G119+บ่าย!G119</f>
        <v>0</v>
      </c>
      <c r="H119" s="33">
        <f>'เช้า '!H119+บ่าย!H119</f>
        <v>0</v>
      </c>
      <c r="I119" s="33">
        <f>'เช้า '!I119+บ่าย!I119</f>
        <v>0</v>
      </c>
      <c r="J119" s="33">
        <f>'เช้า '!J119+บ่าย!J119</f>
        <v>0</v>
      </c>
      <c r="K119" s="39">
        <f t="shared" si="8"/>
        <v>13</v>
      </c>
      <c r="L119" s="11"/>
      <c r="M119" s="11"/>
      <c r="N119" s="58">
        <f t="shared" si="2"/>
        <v>-13</v>
      </c>
    </row>
    <row r="120" spans="2:14">
      <c r="B120" s="11">
        <v>1100002</v>
      </c>
      <c r="C120" s="22" t="s">
        <v>127</v>
      </c>
      <c r="D120" s="33">
        <f>'เช้า '!D120+บ่าย!D120</f>
        <v>0</v>
      </c>
      <c r="E120" s="33">
        <f>'เช้า '!E120+บ่าย!E120</f>
        <v>0</v>
      </c>
      <c r="F120" s="33">
        <f>'เช้า '!F120+บ่าย!F120</f>
        <v>0</v>
      </c>
      <c r="G120" s="33">
        <f>'เช้า '!G120+บ่าย!G120</f>
        <v>0</v>
      </c>
      <c r="H120" s="33">
        <f>'เช้า '!H120+บ่าย!H120</f>
        <v>0</v>
      </c>
      <c r="I120" s="33">
        <f>'เช้า '!I120+บ่าย!I120</f>
        <v>0</v>
      </c>
      <c r="J120" s="33">
        <f>'เช้า '!J120+บ่าย!J120</f>
        <v>0</v>
      </c>
      <c r="K120" s="39">
        <f t="shared" si="8"/>
        <v>0</v>
      </c>
      <c r="L120" s="11"/>
      <c r="M120" s="11"/>
      <c r="N120" s="58">
        <f t="shared" si="2"/>
        <v>0</v>
      </c>
    </row>
    <row r="121" spans="2:14">
      <c r="B121" s="11">
        <v>1200001</v>
      </c>
      <c r="C121" s="22" t="s">
        <v>93</v>
      </c>
      <c r="D121" s="33">
        <f>'เช้า '!D121+บ่าย!D121</f>
        <v>0</v>
      </c>
      <c r="E121" s="33">
        <f>'เช้า '!E121+บ่าย!E121</f>
        <v>4</v>
      </c>
      <c r="F121" s="33">
        <f>'เช้า '!F121+บ่าย!F121</f>
        <v>0</v>
      </c>
      <c r="G121" s="33">
        <f>'เช้า '!G121+บ่าย!G121</f>
        <v>0</v>
      </c>
      <c r="H121" s="33">
        <f>'เช้า '!H121+บ่าย!H121</f>
        <v>0</v>
      </c>
      <c r="I121" s="33">
        <f>'เช้า '!I121+บ่าย!I121</f>
        <v>0</v>
      </c>
      <c r="J121" s="33">
        <f>'เช้า '!J121+บ่าย!J121</f>
        <v>0</v>
      </c>
      <c r="K121" s="39">
        <f t="shared" si="8"/>
        <v>4</v>
      </c>
      <c r="L121" s="11"/>
      <c r="M121" s="11"/>
      <c r="N121" s="58">
        <f t="shared" si="2"/>
        <v>-4</v>
      </c>
    </row>
    <row r="122" spans="2:14">
      <c r="B122" s="11">
        <v>1005761</v>
      </c>
      <c r="C122" s="22" t="s">
        <v>94</v>
      </c>
      <c r="D122" s="33">
        <f>'เช้า '!D122+บ่าย!D122</f>
        <v>0</v>
      </c>
      <c r="E122" s="33">
        <f>'เช้า '!E122+บ่าย!E122</f>
        <v>2</v>
      </c>
      <c r="F122" s="33">
        <f>'เช้า '!F122+บ่าย!F122</f>
        <v>2</v>
      </c>
      <c r="G122" s="33">
        <f>'เช้า '!G122+บ่าย!G122</f>
        <v>0</v>
      </c>
      <c r="H122" s="33">
        <f>'เช้า '!H122+บ่าย!H122</f>
        <v>0</v>
      </c>
      <c r="I122" s="33">
        <f>'เช้า '!I122+บ่าย!I122</f>
        <v>0</v>
      </c>
      <c r="J122" s="33">
        <f>'เช้า '!J122+บ่าย!J122</f>
        <v>0</v>
      </c>
      <c r="K122" s="39">
        <f t="shared" si="8"/>
        <v>4</v>
      </c>
      <c r="L122" s="11"/>
      <c r="M122" s="11"/>
      <c r="N122" s="58">
        <f t="shared" si="2"/>
        <v>-4</v>
      </c>
    </row>
    <row r="123" spans="2:14">
      <c r="B123" s="11">
        <v>1114501</v>
      </c>
      <c r="C123" s="22" t="s">
        <v>95</v>
      </c>
      <c r="D123" s="33">
        <f>'เช้า '!D123+บ่าย!D123</f>
        <v>0</v>
      </c>
      <c r="E123" s="33">
        <f>'เช้า '!E123+บ่าย!E123</f>
        <v>4</v>
      </c>
      <c r="F123" s="33">
        <f>'เช้า '!F123+บ่าย!F123</f>
        <v>15</v>
      </c>
      <c r="G123" s="33">
        <f>'เช้า '!G123+บ่าย!G123</f>
        <v>165</v>
      </c>
      <c r="H123" s="33">
        <f>'เช้า '!H123+บ่าย!H123</f>
        <v>53</v>
      </c>
      <c r="I123" s="33">
        <f>'เช้า '!I123+บ่าย!I123</f>
        <v>0</v>
      </c>
      <c r="J123" s="33">
        <f>'เช้า '!J123+บ่าย!J123</f>
        <v>1</v>
      </c>
      <c r="K123" s="39">
        <f t="shared" si="8"/>
        <v>238</v>
      </c>
      <c r="L123" s="11">
        <v>50</v>
      </c>
      <c r="M123" s="11">
        <v>520</v>
      </c>
      <c r="N123" s="58">
        <f t="shared" si="2"/>
        <v>332</v>
      </c>
    </row>
    <row r="124" spans="2:14">
      <c r="B124" s="11">
        <v>1114502</v>
      </c>
      <c r="C124" s="22" t="s">
        <v>96</v>
      </c>
      <c r="D124" s="33">
        <f>'เช้า '!D124+บ่าย!D124</f>
        <v>0</v>
      </c>
      <c r="E124" s="33">
        <f>'เช้า '!E124+บ่าย!E124</f>
        <v>1</v>
      </c>
      <c r="F124" s="33">
        <f>'เช้า '!F124+บ่าย!F124</f>
        <v>11</v>
      </c>
      <c r="G124" s="33">
        <f>'เช้า '!G124+บ่าย!G124</f>
        <v>165</v>
      </c>
      <c r="H124" s="33">
        <f>'เช้า '!H124+บ่าย!H124</f>
        <v>53</v>
      </c>
      <c r="I124" s="33">
        <f>'เช้า '!I124+บ่าย!I124</f>
        <v>0</v>
      </c>
      <c r="J124" s="33">
        <f>'เช้า '!J124+บ่าย!J124</f>
        <v>0</v>
      </c>
      <c r="K124" s="39">
        <f t="shared" si="8"/>
        <v>230</v>
      </c>
      <c r="L124" s="11"/>
      <c r="M124" s="11">
        <v>224</v>
      </c>
      <c r="N124" s="58">
        <f t="shared" si="2"/>
        <v>-6</v>
      </c>
    </row>
    <row r="125" spans="2:14">
      <c r="B125" s="11">
        <v>1114503</v>
      </c>
      <c r="C125" s="22" t="s">
        <v>97</v>
      </c>
      <c r="D125" s="33">
        <f>'เช้า '!D125+บ่าย!D125</f>
        <v>0</v>
      </c>
      <c r="E125" s="33">
        <f>'เช้า '!E125+บ่าย!E125</f>
        <v>2</v>
      </c>
      <c r="F125" s="33">
        <f>'เช้า '!F125+บ่าย!F125</f>
        <v>11</v>
      </c>
      <c r="G125" s="33">
        <f>'เช้า '!G125+บ่าย!G125</f>
        <v>165</v>
      </c>
      <c r="H125" s="33">
        <f>'เช้า '!H125+บ่าย!H125</f>
        <v>54</v>
      </c>
      <c r="I125" s="33">
        <f>'เช้า '!I125+บ่าย!I125</f>
        <v>0</v>
      </c>
      <c r="J125" s="33">
        <f>'เช้า '!J125+บ่าย!J125</f>
        <v>0</v>
      </c>
      <c r="K125" s="39">
        <f t="shared" si="8"/>
        <v>232</v>
      </c>
      <c r="L125" s="11"/>
      <c r="M125" s="11">
        <v>545</v>
      </c>
      <c r="N125" s="58">
        <f t="shared" si="2"/>
        <v>313</v>
      </c>
    </row>
    <row r="126" spans="2:14">
      <c r="B126" s="11">
        <v>1124021</v>
      </c>
      <c r="C126" s="22" t="s">
        <v>98</v>
      </c>
      <c r="D126" s="33">
        <f>'เช้า '!D126+บ่าย!D126</f>
        <v>0</v>
      </c>
      <c r="E126" s="33">
        <f>'เช้า '!E126+บ่าย!E126</f>
        <v>43</v>
      </c>
      <c r="F126" s="33">
        <f>'เช้า '!F126+บ่าย!F126</f>
        <v>90</v>
      </c>
      <c r="G126" s="33">
        <f>'เช้า '!G126+บ่าย!G126</f>
        <v>39</v>
      </c>
      <c r="H126" s="33">
        <f>'เช้า '!H126+บ่าย!H126</f>
        <v>18</v>
      </c>
      <c r="I126" s="33">
        <f>'เช้า '!I126+บ่าย!I126</f>
        <v>0</v>
      </c>
      <c r="J126" s="33">
        <f>'เช้า '!J126+บ่าย!J126</f>
        <v>0</v>
      </c>
      <c r="K126" s="39">
        <f t="shared" si="8"/>
        <v>190</v>
      </c>
      <c r="L126" s="11">
        <v>200</v>
      </c>
      <c r="M126" s="11"/>
      <c r="N126" s="58">
        <f t="shared" si="2"/>
        <v>10</v>
      </c>
    </row>
    <row r="127" spans="2:14">
      <c r="B127" s="11">
        <v>1113084</v>
      </c>
      <c r="C127" s="22" t="s">
        <v>99</v>
      </c>
      <c r="D127" s="33">
        <f>'เช้า '!D127+บ่าย!D127</f>
        <v>0</v>
      </c>
      <c r="E127" s="33">
        <f>'เช้า '!E127+บ่าย!E127</f>
        <v>0</v>
      </c>
      <c r="F127" s="33">
        <f>'เช้า '!F127+บ่าย!F127</f>
        <v>0</v>
      </c>
      <c r="G127" s="33">
        <f>'เช้า '!G127+บ่าย!G127</f>
        <v>0</v>
      </c>
      <c r="H127" s="33">
        <f>'เช้า '!H127+บ่าย!H127</f>
        <v>0</v>
      </c>
      <c r="I127" s="33">
        <f>'เช้า '!I127+บ่าย!I127</f>
        <v>0</v>
      </c>
      <c r="J127" s="33">
        <f>'เช้า '!J127+บ่าย!J127</f>
        <v>0</v>
      </c>
      <c r="K127" s="39">
        <f t="shared" si="8"/>
        <v>0</v>
      </c>
      <c r="L127" s="11"/>
      <c r="M127" s="11"/>
      <c r="N127" s="58">
        <f t="shared" si="2"/>
        <v>0</v>
      </c>
    </row>
    <row r="128" spans="2:14" hidden="1">
      <c r="B128" s="11">
        <v>900003</v>
      </c>
      <c r="C128" s="22" t="s">
        <v>146</v>
      </c>
      <c r="D128" s="33">
        <f>'เช้า '!D128+บ่าย!D128</f>
        <v>0</v>
      </c>
      <c r="E128" s="33">
        <f>'เช้า '!E128+บ่าย!E128</f>
        <v>0</v>
      </c>
      <c r="F128" s="33">
        <f>'เช้า '!F128+บ่าย!F128</f>
        <v>0</v>
      </c>
      <c r="G128" s="33">
        <f>'เช้า '!G128+บ่าย!G128</f>
        <v>0</v>
      </c>
      <c r="H128" s="33">
        <f>'เช้า '!H128+บ่าย!H128</f>
        <v>0</v>
      </c>
      <c r="I128" s="33">
        <f>'เช้า '!I128+บ่าย!I128</f>
        <v>0</v>
      </c>
      <c r="J128" s="33">
        <f>'เช้า '!J128+บ่าย!J128</f>
        <v>0</v>
      </c>
      <c r="K128" s="39">
        <f t="shared" si="8"/>
        <v>0</v>
      </c>
      <c r="L128" s="11"/>
      <c r="M128" s="11"/>
      <c r="N128" s="58">
        <f t="shared" si="2"/>
        <v>0</v>
      </c>
    </row>
    <row r="129" spans="2:14" hidden="1">
      <c r="B129" s="11">
        <v>900004</v>
      </c>
      <c r="C129" s="22" t="s">
        <v>100</v>
      </c>
      <c r="D129" s="33">
        <f>'เช้า '!D129+บ่าย!D129</f>
        <v>0</v>
      </c>
      <c r="E129" s="33">
        <f>'เช้า '!E129+บ่าย!E129</f>
        <v>0</v>
      </c>
      <c r="F129" s="33">
        <f>'เช้า '!F129+บ่าย!F129</f>
        <v>0</v>
      </c>
      <c r="G129" s="33">
        <f>'เช้า '!G129+บ่าย!G129</f>
        <v>0</v>
      </c>
      <c r="H129" s="33">
        <f>'เช้า '!H129+บ่าย!H129</f>
        <v>0</v>
      </c>
      <c r="I129" s="33">
        <f>'เช้า '!I129+บ่าย!I129</f>
        <v>0</v>
      </c>
      <c r="J129" s="33">
        <f>'เช้า '!J129+บ่าย!J129</f>
        <v>0</v>
      </c>
      <c r="K129" s="39">
        <f t="shared" si="8"/>
        <v>0</v>
      </c>
      <c r="L129" s="11"/>
      <c r="M129" s="11"/>
      <c r="N129" s="58">
        <f t="shared" si="2"/>
        <v>0</v>
      </c>
    </row>
    <row r="130" spans="2:14">
      <c r="B130" s="11">
        <v>1200002</v>
      </c>
      <c r="C130" s="22" t="s">
        <v>104</v>
      </c>
      <c r="D130" s="33">
        <f>'เช้า '!D130+บ่าย!D130</f>
        <v>0</v>
      </c>
      <c r="E130" s="33">
        <f>'เช้า '!E130+บ่าย!E130</f>
        <v>2</v>
      </c>
      <c r="F130" s="33">
        <f>'เช้า '!F130+บ่าย!F130</f>
        <v>0</v>
      </c>
      <c r="G130" s="33">
        <f>'เช้า '!G130+บ่าย!G130</f>
        <v>0</v>
      </c>
      <c r="H130" s="33">
        <f>'เช้า '!H130+บ่าย!H130</f>
        <v>0</v>
      </c>
      <c r="I130" s="33">
        <f>'เช้า '!I130+บ่าย!I130</f>
        <v>0</v>
      </c>
      <c r="J130" s="33">
        <f>'เช้า '!J130+บ่าย!J130</f>
        <v>0</v>
      </c>
      <c r="K130" s="39">
        <f t="shared" si="8"/>
        <v>2</v>
      </c>
      <c r="L130" s="11"/>
      <c r="M130" s="11"/>
      <c r="N130" s="58">
        <f t="shared" si="2"/>
        <v>-2</v>
      </c>
    </row>
    <row r="131" spans="2:14" hidden="1">
      <c r="B131" s="11">
        <v>1200003</v>
      </c>
      <c r="C131" s="22" t="s">
        <v>105</v>
      </c>
      <c r="D131" s="33">
        <f>'เช้า '!D131+บ่าย!D131</f>
        <v>0</v>
      </c>
      <c r="E131" s="33">
        <f>'เช้า '!E131+บ่าย!E131</f>
        <v>0</v>
      </c>
      <c r="F131" s="33">
        <f>'เช้า '!F131+บ่าย!F131</f>
        <v>0</v>
      </c>
      <c r="G131" s="33">
        <f>'เช้า '!G131+บ่าย!G131</f>
        <v>0</v>
      </c>
      <c r="H131" s="33">
        <f>'เช้า '!H131+บ่าย!H131</f>
        <v>0</v>
      </c>
      <c r="I131" s="33">
        <f>'เช้า '!I131+บ่าย!I131</f>
        <v>0</v>
      </c>
      <c r="J131" s="33">
        <f>'เช้า '!J131+บ่าย!J131</f>
        <v>0</v>
      </c>
      <c r="K131" s="39">
        <f t="shared" si="8"/>
        <v>0</v>
      </c>
      <c r="L131" s="11"/>
      <c r="M131" s="11"/>
      <c r="N131" s="58">
        <f t="shared" si="2"/>
        <v>0</v>
      </c>
    </row>
    <row r="132" spans="2:14" hidden="1">
      <c r="B132" s="11">
        <v>1200004</v>
      </c>
      <c r="C132" s="22" t="s">
        <v>106</v>
      </c>
      <c r="D132" s="33">
        <f>'เช้า '!D132+บ่าย!D132</f>
        <v>0</v>
      </c>
      <c r="E132" s="33">
        <f>'เช้า '!E132+บ่าย!E132</f>
        <v>0</v>
      </c>
      <c r="F132" s="33">
        <f>'เช้า '!F132+บ่าย!F132</f>
        <v>0</v>
      </c>
      <c r="G132" s="33">
        <f>'เช้า '!G132+บ่าย!G132</f>
        <v>0</v>
      </c>
      <c r="H132" s="33">
        <f>'เช้า '!H132+บ่าย!H132</f>
        <v>0</v>
      </c>
      <c r="I132" s="33">
        <f>'เช้า '!I132+บ่าย!I132</f>
        <v>0</v>
      </c>
      <c r="J132" s="33">
        <f>'เช้า '!J132+บ่าย!J132</f>
        <v>0</v>
      </c>
      <c r="K132" s="39">
        <f t="shared" si="8"/>
        <v>0</v>
      </c>
      <c r="L132" s="11"/>
      <c r="M132" s="11"/>
      <c r="N132" s="58">
        <f t="shared" si="2"/>
        <v>0</v>
      </c>
    </row>
    <row r="133" spans="2:14" hidden="1">
      <c r="B133" s="11">
        <v>1200093</v>
      </c>
      <c r="C133" s="22" t="s">
        <v>91</v>
      </c>
      <c r="D133" s="33">
        <f>'เช้า '!D133+บ่าย!D133</f>
        <v>0</v>
      </c>
      <c r="E133" s="33">
        <f>'เช้า '!E133+บ่าย!E133</f>
        <v>0</v>
      </c>
      <c r="F133" s="33">
        <f>'เช้า '!F133+บ่าย!F133</f>
        <v>0</v>
      </c>
      <c r="G133" s="33">
        <f>'เช้า '!G133+บ่าย!G133</f>
        <v>0</v>
      </c>
      <c r="H133" s="33">
        <f>'เช้า '!H133+บ่าย!H133</f>
        <v>0</v>
      </c>
      <c r="I133" s="33">
        <f>'เช้า '!I133+บ่าย!I133</f>
        <v>0</v>
      </c>
      <c r="J133" s="33">
        <f>'เช้า '!J133+บ่าย!J133</f>
        <v>0</v>
      </c>
      <c r="K133" s="39">
        <f t="shared" si="8"/>
        <v>0</v>
      </c>
      <c r="L133" s="11"/>
      <c r="M133" s="11"/>
      <c r="N133" s="58">
        <f t="shared" ref="N133:N137" si="9">SUM(L133+M133)-K133</f>
        <v>0</v>
      </c>
    </row>
    <row r="134" spans="2:14" hidden="1">
      <c r="B134" s="11">
        <v>1200092</v>
      </c>
      <c r="C134" s="20" t="s">
        <v>92</v>
      </c>
      <c r="D134" s="33">
        <f>'เช้า '!D134+บ่าย!D134</f>
        <v>0</v>
      </c>
      <c r="E134" s="33">
        <f>'เช้า '!E134+บ่าย!E134</f>
        <v>0</v>
      </c>
      <c r="F134" s="33">
        <f>'เช้า '!F134+บ่าย!F134</f>
        <v>0</v>
      </c>
      <c r="G134" s="33">
        <f>'เช้า '!G134+บ่าย!G134</f>
        <v>0</v>
      </c>
      <c r="H134" s="33">
        <f>'เช้า '!H134+บ่าย!H134</f>
        <v>0</v>
      </c>
      <c r="I134" s="33">
        <f>'เช้า '!I134+บ่าย!I134</f>
        <v>0</v>
      </c>
      <c r="J134" s="33">
        <f>'เช้า '!J134+บ่าย!J134</f>
        <v>0</v>
      </c>
      <c r="K134" s="39">
        <f t="shared" si="8"/>
        <v>0</v>
      </c>
      <c r="L134" s="11"/>
      <c r="M134" s="11"/>
      <c r="N134" s="58">
        <f t="shared" si="9"/>
        <v>0</v>
      </c>
    </row>
    <row r="135" spans="2:14">
      <c r="B135" s="23"/>
      <c r="C135" s="22" t="s">
        <v>128</v>
      </c>
      <c r="D135" s="33">
        <f>'เช้า '!D135+บ่าย!D135</f>
        <v>0</v>
      </c>
      <c r="E135" s="33">
        <f>'เช้า '!E135+บ่าย!E135</f>
        <v>0</v>
      </c>
      <c r="F135" s="33">
        <f>'เช้า '!F135+บ่าย!F135</f>
        <v>0</v>
      </c>
      <c r="G135" s="33">
        <f>'เช้า '!G135+บ่าย!G135</f>
        <v>0</v>
      </c>
      <c r="H135" s="33">
        <f>'เช้า '!H135+บ่าย!H135</f>
        <v>0</v>
      </c>
      <c r="I135" s="33">
        <f>'เช้า '!I135+บ่าย!I135</f>
        <v>0</v>
      </c>
      <c r="J135" s="33">
        <f>'เช้า '!J135+บ่าย!J135</f>
        <v>7</v>
      </c>
      <c r="K135" s="39">
        <f t="shared" si="8"/>
        <v>7</v>
      </c>
      <c r="L135" s="11"/>
      <c r="M135" s="11"/>
      <c r="N135" s="58">
        <f t="shared" si="9"/>
        <v>-7</v>
      </c>
    </row>
    <row r="136" spans="2:14">
      <c r="B136" s="23"/>
      <c r="C136" s="22" t="s">
        <v>129</v>
      </c>
      <c r="D136" s="33">
        <f>'เช้า '!D136+บ่าย!D136</f>
        <v>0</v>
      </c>
      <c r="E136" s="33">
        <f>'เช้า '!E136+บ่าย!E136</f>
        <v>2</v>
      </c>
      <c r="F136" s="33">
        <f>'เช้า '!F136+บ่าย!F136</f>
        <v>0</v>
      </c>
      <c r="G136" s="33">
        <f>'เช้า '!G136+บ่าย!G136</f>
        <v>0</v>
      </c>
      <c r="H136" s="33">
        <f>'เช้า '!H136+บ่าย!H136</f>
        <v>0</v>
      </c>
      <c r="I136" s="33">
        <f>'เช้า '!I136+บ่าย!I136</f>
        <v>0</v>
      </c>
      <c r="J136" s="33">
        <f>'เช้า '!J136+บ่าย!J136</f>
        <v>4</v>
      </c>
      <c r="K136" s="39">
        <f t="shared" si="8"/>
        <v>6</v>
      </c>
      <c r="L136" s="11"/>
      <c r="M136" s="11"/>
      <c r="N136" s="58">
        <f t="shared" si="9"/>
        <v>-6</v>
      </c>
    </row>
    <row r="137" spans="2:14" hidden="1">
      <c r="B137" s="23">
        <v>20052721</v>
      </c>
      <c r="C137" s="22" t="s">
        <v>143</v>
      </c>
      <c r="D137" s="33">
        <f>'เย็น 102'!D149+'เช้า '!D137+บ่าย!D137</f>
        <v>0</v>
      </c>
      <c r="E137" s="33">
        <f>'เย็น 102'!E149+'เช้า '!E137+บ่าย!E137</f>
        <v>0</v>
      </c>
      <c r="F137" s="33">
        <f>'เย็น 102'!F149+'เช้า '!F137+บ่าย!F137</f>
        <v>0</v>
      </c>
      <c r="G137" s="33">
        <f>'เย็น 102'!G149+'เช้า '!G137+บ่าย!G137</f>
        <v>0</v>
      </c>
      <c r="H137" s="33">
        <f>'เย็น 102'!H149+'เช้า '!H137+บ่าย!H137</f>
        <v>0</v>
      </c>
      <c r="I137" s="33">
        <f>'เย็น 102'!I149+'เช้า '!I137+บ่าย!I137</f>
        <v>0</v>
      </c>
      <c r="J137" s="33">
        <f>'เย็น 102'!J149+'เช้า '!J137+บ่าย!J137</f>
        <v>0</v>
      </c>
      <c r="K137" s="39">
        <f t="shared" si="8"/>
        <v>0</v>
      </c>
      <c r="L137" s="11"/>
      <c r="M137" s="11"/>
      <c r="N137" s="58">
        <f t="shared" si="9"/>
        <v>0</v>
      </c>
    </row>
    <row r="138" spans="2:14" ht="40.5" customHeight="1">
      <c r="C138" s="38"/>
      <c r="D138" s="39">
        <f t="shared" ref="D138:K138" si="10">SUM(D114:D137,D90:D99,D79:D87,D69:D76,D7:D66)</f>
        <v>27</v>
      </c>
      <c r="E138" s="39">
        <f t="shared" si="10"/>
        <v>143</v>
      </c>
      <c r="F138" s="39">
        <f t="shared" si="10"/>
        <v>442</v>
      </c>
      <c r="G138" s="39">
        <f t="shared" si="10"/>
        <v>805</v>
      </c>
      <c r="H138" s="39">
        <f t="shared" si="10"/>
        <v>211</v>
      </c>
      <c r="I138" s="39">
        <f t="shared" si="10"/>
        <v>0</v>
      </c>
      <c r="J138" s="39">
        <f t="shared" si="10"/>
        <v>17</v>
      </c>
      <c r="K138" s="39">
        <f t="shared" si="10"/>
        <v>1645</v>
      </c>
      <c r="L138" s="44">
        <f>SUM(L114:L137,L90:L98,L79:L87,L69:L76,L7:L66)</f>
        <v>400</v>
      </c>
      <c r="M138" s="44">
        <f>SUM(M114:M137,M90:M98,M79:M87,M69:M76,M7:M66)</f>
        <v>1289</v>
      </c>
      <c r="N138" s="44">
        <f>SUM(N114:N137,N90:N98,N79:N87,N69:N76,N7:N66)</f>
        <v>44</v>
      </c>
    </row>
    <row r="139" spans="2:14">
      <c r="B139" s="43"/>
      <c r="C139" s="38"/>
      <c r="D139" s="44"/>
      <c r="E139" s="44"/>
      <c r="F139" s="44"/>
      <c r="G139" s="44"/>
      <c r="H139" s="44"/>
      <c r="I139" s="44"/>
      <c r="J139" s="44"/>
      <c r="K139" s="45"/>
    </row>
    <row r="140" spans="2:14">
      <c r="B140" s="43"/>
      <c r="C140" s="38"/>
      <c r="D140" s="44"/>
      <c r="E140" s="44"/>
      <c r="F140" s="44"/>
      <c r="G140" s="44"/>
      <c r="H140" s="44"/>
      <c r="I140" s="44"/>
      <c r="J140" s="44"/>
      <c r="K140" s="45"/>
    </row>
    <row r="141" spans="2:14">
      <c r="C141" s="25"/>
      <c r="D141" s="34"/>
      <c r="E141" s="63"/>
      <c r="F141" s="63"/>
      <c r="G141" s="29"/>
      <c r="K141" s="46"/>
    </row>
    <row r="142" spans="2:14">
      <c r="B142" s="63" t="s">
        <v>108</v>
      </c>
      <c r="C142" s="63"/>
      <c r="D142" s="35"/>
      <c r="E142" s="62"/>
      <c r="F142" s="62"/>
      <c r="G142" s="30"/>
      <c r="H142" s="29"/>
      <c r="I142" s="63" t="s">
        <v>108</v>
      </c>
      <c r="J142" s="63"/>
      <c r="K142" s="63"/>
    </row>
    <row r="143" spans="2:14">
      <c r="B143" s="62" t="s">
        <v>109</v>
      </c>
      <c r="C143" s="62"/>
      <c r="D143" s="36"/>
      <c r="E143" s="36"/>
      <c r="F143" s="36"/>
      <c r="G143" s="36"/>
      <c r="H143" s="36"/>
      <c r="I143" s="62" t="s">
        <v>110</v>
      </c>
      <c r="J143" s="62"/>
      <c r="K143" s="62"/>
    </row>
    <row r="144" spans="2:14">
      <c r="B144" s="34"/>
      <c r="C144" s="34"/>
      <c r="D144" s="36"/>
      <c r="E144" s="36"/>
      <c r="F144" s="36"/>
      <c r="G144" s="36"/>
      <c r="H144" s="36"/>
      <c r="I144" s="34"/>
      <c r="J144" s="34"/>
      <c r="K144" s="37"/>
    </row>
    <row r="145" spans="2:11" ht="21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21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21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21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 ht="21">
      <c r="B149" s="34"/>
      <c r="C149" s="34"/>
      <c r="D149" s="34"/>
      <c r="E149" s="34"/>
      <c r="F149" s="34"/>
      <c r="G149" s="34"/>
      <c r="H149" s="34"/>
      <c r="I149" s="34"/>
      <c r="J149" s="34"/>
      <c r="K149" s="37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  <row r="160" spans="2:11">
      <c r="D160" s="34"/>
      <c r="E160" s="34"/>
      <c r="F160" s="34"/>
      <c r="G160" s="34"/>
      <c r="H160" s="34"/>
    </row>
  </sheetData>
  <mergeCells count="18">
    <mergeCell ref="B1:K1"/>
    <mergeCell ref="B2:C3"/>
    <mergeCell ref="E2:F3"/>
    <mergeCell ref="L2:L4"/>
    <mergeCell ref="B143:C143"/>
    <mergeCell ref="I143:K143"/>
    <mergeCell ref="B101:N101"/>
    <mergeCell ref="B113:N113"/>
    <mergeCell ref="E141:F141"/>
    <mergeCell ref="B142:C142"/>
    <mergeCell ref="E142:F142"/>
    <mergeCell ref="I142:K142"/>
    <mergeCell ref="N2:N4"/>
    <mergeCell ref="B6:N6"/>
    <mergeCell ref="B68:N68"/>
    <mergeCell ref="B78:N78"/>
    <mergeCell ref="B89:N89"/>
    <mergeCell ref="M2:M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102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HP</cp:lastModifiedBy>
  <cp:lastPrinted>2024-10-30T00:45:46Z</cp:lastPrinted>
  <dcterms:created xsi:type="dcterms:W3CDTF">2024-04-30T05:21:27Z</dcterms:created>
  <dcterms:modified xsi:type="dcterms:W3CDTF">2024-11-18T06:18:36Z</dcterms:modified>
</cp:coreProperties>
</file>