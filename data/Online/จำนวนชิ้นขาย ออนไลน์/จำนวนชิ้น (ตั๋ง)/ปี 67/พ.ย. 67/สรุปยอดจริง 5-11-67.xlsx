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31260AC4-2CF0-44DF-A8A5-F93D49B94405}" xr6:coauthVersionLast="47" xr6:coauthVersionMax="47" xr10:uidLastSave="{00000000-0000-0000-0000-000000000000}"/>
  <bookViews>
    <workbookView xWindow="5100" yWindow="1485" windowWidth="21090" windowHeight="13080" firstSheet="1" activeTab="2" xr2:uid="{55C9AAA3-F459-48EC-A639-AACFFC6390F5}"/>
  </bookViews>
  <sheets>
    <sheet name="เย็น" sheetId="6" state="hidden" r:id="rId1"/>
    <sheet name="เช้า" sheetId="3" r:id="rId2"/>
    <sheet name="รวม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0" i="5" l="1"/>
  <c r="L100" i="5"/>
  <c r="D137" i="5"/>
  <c r="E137" i="5"/>
  <c r="F137" i="5"/>
  <c r="G137" i="5"/>
  <c r="H137" i="5"/>
  <c r="I137" i="5"/>
  <c r="J137" i="5"/>
  <c r="D115" i="5"/>
  <c r="E115" i="5"/>
  <c r="F115" i="5"/>
  <c r="G115" i="5"/>
  <c r="H115" i="5"/>
  <c r="I115" i="5"/>
  <c r="J115" i="5"/>
  <c r="D116" i="5"/>
  <c r="E116" i="5"/>
  <c r="F116" i="5"/>
  <c r="G116" i="5"/>
  <c r="H116" i="5"/>
  <c r="I116" i="5"/>
  <c r="J116" i="5"/>
  <c r="D117" i="5"/>
  <c r="E117" i="5"/>
  <c r="F117" i="5"/>
  <c r="G117" i="5"/>
  <c r="H117" i="5"/>
  <c r="I117" i="5"/>
  <c r="J117" i="5"/>
  <c r="D118" i="5"/>
  <c r="E118" i="5"/>
  <c r="F118" i="5"/>
  <c r="G118" i="5"/>
  <c r="H118" i="5"/>
  <c r="I118" i="5"/>
  <c r="J118" i="5"/>
  <c r="D119" i="5"/>
  <c r="E119" i="5"/>
  <c r="F119" i="5"/>
  <c r="G119" i="5"/>
  <c r="H119" i="5"/>
  <c r="I119" i="5"/>
  <c r="J119" i="5"/>
  <c r="D120" i="5"/>
  <c r="E120" i="5"/>
  <c r="F120" i="5"/>
  <c r="G120" i="5"/>
  <c r="H120" i="5"/>
  <c r="I120" i="5"/>
  <c r="J120" i="5"/>
  <c r="D121" i="5"/>
  <c r="E121" i="5"/>
  <c r="F121" i="5"/>
  <c r="G121" i="5"/>
  <c r="H121" i="5"/>
  <c r="I121" i="5"/>
  <c r="J121" i="5"/>
  <c r="D122" i="5"/>
  <c r="E122" i="5"/>
  <c r="F122" i="5"/>
  <c r="G122" i="5"/>
  <c r="H122" i="5"/>
  <c r="I122" i="5"/>
  <c r="J122" i="5"/>
  <c r="D123" i="5"/>
  <c r="E123" i="5"/>
  <c r="F123" i="5"/>
  <c r="G123" i="5"/>
  <c r="H123" i="5"/>
  <c r="I123" i="5"/>
  <c r="J123" i="5"/>
  <c r="D124" i="5"/>
  <c r="E124" i="5"/>
  <c r="F124" i="5"/>
  <c r="G124" i="5"/>
  <c r="H124" i="5"/>
  <c r="I124" i="5"/>
  <c r="J124" i="5"/>
  <c r="D125" i="5"/>
  <c r="E125" i="5"/>
  <c r="F125" i="5"/>
  <c r="G125" i="5"/>
  <c r="H125" i="5"/>
  <c r="I125" i="5"/>
  <c r="J125" i="5"/>
  <c r="D126" i="5"/>
  <c r="E126" i="5"/>
  <c r="F126" i="5"/>
  <c r="G126" i="5"/>
  <c r="H126" i="5"/>
  <c r="I126" i="5"/>
  <c r="J126" i="5"/>
  <c r="D127" i="5"/>
  <c r="E127" i="5"/>
  <c r="F127" i="5"/>
  <c r="G127" i="5"/>
  <c r="H127" i="5"/>
  <c r="I127" i="5"/>
  <c r="J127" i="5"/>
  <c r="D128" i="5"/>
  <c r="E128" i="5"/>
  <c r="F128" i="5"/>
  <c r="G128" i="5"/>
  <c r="H128" i="5"/>
  <c r="I128" i="5"/>
  <c r="J128" i="5"/>
  <c r="D129" i="5"/>
  <c r="E129" i="5"/>
  <c r="F129" i="5"/>
  <c r="G129" i="5"/>
  <c r="H129" i="5"/>
  <c r="I129" i="5"/>
  <c r="J129" i="5"/>
  <c r="D130" i="5"/>
  <c r="E130" i="5"/>
  <c r="F130" i="5"/>
  <c r="G130" i="5"/>
  <c r="H130" i="5"/>
  <c r="I130" i="5"/>
  <c r="J130" i="5"/>
  <c r="D131" i="5"/>
  <c r="E131" i="5"/>
  <c r="F131" i="5"/>
  <c r="G131" i="5"/>
  <c r="H131" i="5"/>
  <c r="I131" i="5"/>
  <c r="J131" i="5"/>
  <c r="D132" i="5"/>
  <c r="E132" i="5"/>
  <c r="F132" i="5"/>
  <c r="G132" i="5"/>
  <c r="H132" i="5"/>
  <c r="I132" i="5"/>
  <c r="J132" i="5"/>
  <c r="D133" i="5"/>
  <c r="E133" i="5"/>
  <c r="F133" i="5"/>
  <c r="G133" i="5"/>
  <c r="H133" i="5"/>
  <c r="I133" i="5"/>
  <c r="J133" i="5"/>
  <c r="D134" i="5"/>
  <c r="E134" i="5"/>
  <c r="F134" i="5"/>
  <c r="G134" i="5"/>
  <c r="H134" i="5"/>
  <c r="I134" i="5"/>
  <c r="J134" i="5"/>
  <c r="D135" i="5"/>
  <c r="E135" i="5"/>
  <c r="F135" i="5"/>
  <c r="G135" i="5"/>
  <c r="H135" i="5"/>
  <c r="I135" i="5"/>
  <c r="J135" i="5"/>
  <c r="D136" i="5"/>
  <c r="E136" i="5"/>
  <c r="F136" i="5"/>
  <c r="G136" i="5"/>
  <c r="H136" i="5"/>
  <c r="I136" i="5"/>
  <c r="J136" i="5"/>
  <c r="E114" i="5"/>
  <c r="F114" i="5"/>
  <c r="G114" i="5"/>
  <c r="H114" i="5"/>
  <c r="I114" i="5"/>
  <c r="J114" i="5"/>
  <c r="D114" i="5"/>
  <c r="D91" i="5"/>
  <c r="E91" i="5"/>
  <c r="F91" i="5"/>
  <c r="G91" i="5"/>
  <c r="H91" i="5"/>
  <c r="I91" i="5"/>
  <c r="J91" i="5"/>
  <c r="D92" i="5"/>
  <c r="E92" i="5"/>
  <c r="F92" i="5"/>
  <c r="G92" i="5"/>
  <c r="H92" i="5"/>
  <c r="I92" i="5"/>
  <c r="J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D95" i="5"/>
  <c r="E95" i="5"/>
  <c r="F95" i="5"/>
  <c r="G95" i="5"/>
  <c r="H95" i="5"/>
  <c r="I95" i="5"/>
  <c r="J95" i="5"/>
  <c r="D96" i="5"/>
  <c r="E96" i="5"/>
  <c r="F96" i="5"/>
  <c r="G96" i="5"/>
  <c r="H96" i="5"/>
  <c r="I96" i="5"/>
  <c r="J96" i="5"/>
  <c r="D97" i="5"/>
  <c r="E97" i="5"/>
  <c r="F97" i="5"/>
  <c r="G97" i="5"/>
  <c r="H97" i="5"/>
  <c r="I97" i="5"/>
  <c r="J97" i="5"/>
  <c r="D98" i="5"/>
  <c r="E98" i="5"/>
  <c r="F98" i="5"/>
  <c r="G98" i="5"/>
  <c r="H98" i="5"/>
  <c r="I98" i="5"/>
  <c r="J98" i="5"/>
  <c r="D99" i="5"/>
  <c r="E99" i="5"/>
  <c r="F99" i="5"/>
  <c r="G99" i="5"/>
  <c r="H99" i="5"/>
  <c r="I99" i="5"/>
  <c r="J99" i="5"/>
  <c r="E90" i="5"/>
  <c r="F90" i="5"/>
  <c r="G90" i="5"/>
  <c r="H90" i="5"/>
  <c r="I90" i="5"/>
  <c r="J90" i="5"/>
  <c r="D90" i="5"/>
  <c r="D80" i="5"/>
  <c r="E80" i="5"/>
  <c r="F80" i="5"/>
  <c r="G80" i="5"/>
  <c r="H80" i="5"/>
  <c r="I80" i="5"/>
  <c r="J80" i="5"/>
  <c r="D81" i="5"/>
  <c r="E81" i="5"/>
  <c r="F81" i="5"/>
  <c r="G81" i="5"/>
  <c r="H81" i="5"/>
  <c r="I81" i="5"/>
  <c r="J81" i="5"/>
  <c r="D82" i="5"/>
  <c r="E82" i="5"/>
  <c r="F82" i="5"/>
  <c r="G82" i="5"/>
  <c r="H82" i="5"/>
  <c r="I82" i="5"/>
  <c r="J82" i="5"/>
  <c r="D83" i="5"/>
  <c r="E83" i="5"/>
  <c r="F83" i="5"/>
  <c r="G83" i="5"/>
  <c r="H83" i="5"/>
  <c r="I83" i="5"/>
  <c r="J83" i="5"/>
  <c r="D84" i="5"/>
  <c r="E84" i="5"/>
  <c r="F84" i="5"/>
  <c r="G84" i="5"/>
  <c r="H84" i="5"/>
  <c r="I84" i="5"/>
  <c r="J84" i="5"/>
  <c r="D85" i="5"/>
  <c r="E85" i="5"/>
  <c r="F85" i="5"/>
  <c r="G85" i="5"/>
  <c r="H85" i="5"/>
  <c r="I85" i="5"/>
  <c r="J85" i="5"/>
  <c r="D86" i="5"/>
  <c r="E86" i="5"/>
  <c r="F86" i="5"/>
  <c r="G86" i="5"/>
  <c r="H86" i="5"/>
  <c r="I86" i="5"/>
  <c r="J86" i="5"/>
  <c r="D87" i="5"/>
  <c r="E87" i="5"/>
  <c r="F87" i="5"/>
  <c r="G87" i="5"/>
  <c r="H87" i="5"/>
  <c r="I87" i="5"/>
  <c r="J87" i="5"/>
  <c r="E79" i="5"/>
  <c r="F79" i="5"/>
  <c r="G79" i="5"/>
  <c r="H79" i="5"/>
  <c r="I79" i="5"/>
  <c r="J79" i="5"/>
  <c r="D7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D75" i="5"/>
  <c r="E75" i="5"/>
  <c r="F75" i="5"/>
  <c r="G75" i="5"/>
  <c r="H75" i="5"/>
  <c r="I75" i="5"/>
  <c r="J75" i="5"/>
  <c r="D76" i="5"/>
  <c r="E76" i="5"/>
  <c r="F76" i="5"/>
  <c r="G76" i="5"/>
  <c r="H76" i="5"/>
  <c r="I76" i="5"/>
  <c r="J76" i="5"/>
  <c r="D77" i="5"/>
  <c r="E77" i="5"/>
  <c r="F77" i="5"/>
  <c r="G77" i="5"/>
  <c r="H77" i="5"/>
  <c r="I77" i="5"/>
  <c r="J77" i="5"/>
  <c r="E69" i="5"/>
  <c r="F69" i="5"/>
  <c r="G69" i="5"/>
  <c r="H69" i="5"/>
  <c r="I69" i="5"/>
  <c r="J69" i="5"/>
  <c r="D69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D39" i="5"/>
  <c r="E39" i="5"/>
  <c r="F39" i="5"/>
  <c r="G39" i="5"/>
  <c r="H39" i="5"/>
  <c r="I39" i="5"/>
  <c r="J39" i="5"/>
  <c r="D40" i="5"/>
  <c r="E40" i="5"/>
  <c r="F40" i="5"/>
  <c r="G40" i="5"/>
  <c r="H40" i="5"/>
  <c r="I40" i="5"/>
  <c r="J40" i="5"/>
  <c r="D41" i="5"/>
  <c r="E41" i="5"/>
  <c r="F41" i="5"/>
  <c r="G41" i="5"/>
  <c r="H41" i="5"/>
  <c r="I41" i="5"/>
  <c r="J41" i="5"/>
  <c r="D42" i="5"/>
  <c r="E42" i="5"/>
  <c r="F42" i="5"/>
  <c r="G42" i="5"/>
  <c r="H42" i="5"/>
  <c r="I42" i="5"/>
  <c r="J42" i="5"/>
  <c r="D43" i="5"/>
  <c r="E43" i="5"/>
  <c r="F43" i="5"/>
  <c r="G43" i="5"/>
  <c r="H43" i="5"/>
  <c r="I43" i="5"/>
  <c r="J43" i="5"/>
  <c r="D44" i="5"/>
  <c r="E44" i="5"/>
  <c r="F44" i="5"/>
  <c r="G44" i="5"/>
  <c r="H44" i="5"/>
  <c r="I44" i="5"/>
  <c r="J44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D54" i="5"/>
  <c r="E54" i="5"/>
  <c r="F54" i="5"/>
  <c r="G54" i="5"/>
  <c r="H54" i="5"/>
  <c r="I54" i="5"/>
  <c r="J54" i="5"/>
  <c r="E55" i="5"/>
  <c r="F55" i="5"/>
  <c r="G55" i="5"/>
  <c r="H55" i="5"/>
  <c r="I55" i="5"/>
  <c r="J55" i="5"/>
  <c r="D56" i="5"/>
  <c r="E56" i="5"/>
  <c r="F56" i="5"/>
  <c r="G56" i="5"/>
  <c r="H56" i="5"/>
  <c r="I56" i="5"/>
  <c r="J56" i="5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E7" i="5"/>
  <c r="F7" i="5"/>
  <c r="G7" i="5"/>
  <c r="H7" i="5"/>
  <c r="I7" i="5"/>
  <c r="J7" i="5"/>
  <c r="D7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G138" i="5" l="1"/>
  <c r="J138" i="5"/>
  <c r="F138" i="5"/>
  <c r="I138" i="5"/>
  <c r="E138" i="5"/>
  <c r="D138" i="5"/>
  <c r="H138" i="5"/>
  <c r="K114" i="5"/>
  <c r="I139" i="6"/>
  <c r="H139" i="6"/>
  <c r="G139" i="6"/>
  <c r="F139" i="6"/>
  <c r="E139" i="6"/>
  <c r="D139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1" i="6"/>
  <c r="K110" i="6"/>
  <c r="K109" i="6"/>
  <c r="K108" i="6"/>
  <c r="K107" i="6"/>
  <c r="K106" i="6"/>
  <c r="K105" i="6"/>
  <c r="K104" i="6"/>
  <c r="K103" i="6"/>
  <c r="K102" i="6"/>
  <c r="K99" i="6"/>
  <c r="K98" i="6"/>
  <c r="K97" i="6"/>
  <c r="K96" i="6"/>
  <c r="K95" i="6"/>
  <c r="K94" i="6"/>
  <c r="K93" i="6"/>
  <c r="K92" i="6"/>
  <c r="K91" i="6"/>
  <c r="K90" i="6"/>
  <c r="K87" i="6"/>
  <c r="K86" i="6"/>
  <c r="K85" i="6"/>
  <c r="K84" i="6"/>
  <c r="K83" i="6"/>
  <c r="K82" i="6"/>
  <c r="K81" i="6"/>
  <c r="K80" i="6"/>
  <c r="K79" i="6"/>
  <c r="K76" i="6"/>
  <c r="K75" i="6"/>
  <c r="K74" i="6"/>
  <c r="K73" i="6"/>
  <c r="K72" i="6"/>
  <c r="K71" i="6"/>
  <c r="K70" i="6"/>
  <c r="K69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112" i="6" l="1"/>
  <c r="K139" i="6"/>
  <c r="P77" i="5"/>
  <c r="K103" i="5"/>
  <c r="P103" i="5" s="1"/>
  <c r="K104" i="5"/>
  <c r="P104" i="5" s="1"/>
  <c r="K105" i="5"/>
  <c r="P105" i="5" s="1"/>
  <c r="K106" i="5"/>
  <c r="P106" i="5" s="1"/>
  <c r="K107" i="5"/>
  <c r="P107" i="5" s="1"/>
  <c r="K108" i="5"/>
  <c r="P108" i="5" s="1"/>
  <c r="K109" i="5"/>
  <c r="P109" i="5" s="1"/>
  <c r="K110" i="5"/>
  <c r="P110" i="5" s="1"/>
  <c r="K111" i="5"/>
  <c r="P111" i="5" s="1"/>
  <c r="K102" i="5"/>
  <c r="P102" i="5" s="1"/>
  <c r="K112" i="5" l="1"/>
  <c r="P112" i="5" s="1"/>
  <c r="K88" i="5"/>
  <c r="P88" i="5" s="1"/>
  <c r="K67" i="5"/>
  <c r="P67" i="5" s="1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14" i="3"/>
  <c r="K91" i="3"/>
  <c r="K92" i="3"/>
  <c r="K93" i="3"/>
  <c r="K94" i="3"/>
  <c r="K95" i="3"/>
  <c r="K96" i="3"/>
  <c r="K97" i="3"/>
  <c r="K98" i="3"/>
  <c r="K99" i="3"/>
  <c r="K90" i="3"/>
  <c r="K80" i="3"/>
  <c r="K81" i="3"/>
  <c r="K82" i="3"/>
  <c r="K83" i="3"/>
  <c r="K84" i="3"/>
  <c r="K85" i="3"/>
  <c r="K86" i="3"/>
  <c r="K87" i="3"/>
  <c r="K79" i="3"/>
  <c r="K70" i="3"/>
  <c r="K71" i="3"/>
  <c r="K72" i="3"/>
  <c r="K73" i="3"/>
  <c r="K74" i="3"/>
  <c r="K75" i="3"/>
  <c r="K76" i="3"/>
  <c r="K69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7" i="3"/>
  <c r="D139" i="3"/>
  <c r="E139" i="3"/>
  <c r="F139" i="3"/>
  <c r="G139" i="3"/>
  <c r="H139" i="3"/>
  <c r="I139" i="3"/>
  <c r="K75" i="5" l="1"/>
  <c r="P75" i="5" s="1"/>
  <c r="P114" i="5"/>
  <c r="K115" i="5"/>
  <c r="P115" i="5" s="1"/>
  <c r="K137" i="5"/>
  <c r="P137" i="5" s="1"/>
  <c r="K66" i="5"/>
  <c r="P66" i="5" s="1"/>
  <c r="K127" i="5"/>
  <c r="P127" i="5" s="1"/>
  <c r="K76" i="5"/>
  <c r="P76" i="5" s="1"/>
  <c r="K72" i="5"/>
  <c r="P72" i="5" s="1"/>
  <c r="K53" i="5"/>
  <c r="P53" i="5" s="1"/>
  <c r="K50" i="5"/>
  <c r="P50" i="5" s="1"/>
  <c r="K46" i="5"/>
  <c r="P46" i="5" s="1"/>
  <c r="K37" i="5"/>
  <c r="P37" i="5" s="1"/>
  <c r="K33" i="5"/>
  <c r="P33" i="5" s="1"/>
  <c r="K29" i="5"/>
  <c r="P29" i="5" s="1"/>
  <c r="K27" i="5"/>
  <c r="K11" i="5"/>
  <c r="P11" i="5" s="1"/>
  <c r="K79" i="5"/>
  <c r="P79" i="5" s="1"/>
  <c r="K119" i="5"/>
  <c r="P119" i="5" s="1"/>
  <c r="K81" i="5"/>
  <c r="P81" i="5" s="1"/>
  <c r="K73" i="5"/>
  <c r="P73" i="5" s="1"/>
  <c r="K74" i="5"/>
  <c r="P74" i="5" s="1"/>
  <c r="K59" i="5"/>
  <c r="P59" i="5" s="1"/>
  <c r="K35" i="5"/>
  <c r="P35" i="5" s="1"/>
  <c r="K15" i="5"/>
  <c r="P15" i="5" s="1"/>
  <c r="K43" i="5"/>
  <c r="P43" i="5" s="1"/>
  <c r="K39" i="5"/>
  <c r="P39" i="5" s="1"/>
  <c r="K23" i="5"/>
  <c r="P23" i="5" s="1"/>
  <c r="K19" i="5"/>
  <c r="P19" i="5" s="1"/>
  <c r="K133" i="5"/>
  <c r="P133" i="5" s="1"/>
  <c r="K132" i="5"/>
  <c r="P132" i="5" s="1"/>
  <c r="K128" i="5"/>
  <c r="P128" i="5" s="1"/>
  <c r="K126" i="5"/>
  <c r="P126" i="5" s="1"/>
  <c r="K120" i="5"/>
  <c r="P120" i="5" s="1"/>
  <c r="K116" i="5"/>
  <c r="P116" i="5" s="1"/>
  <c r="K135" i="5"/>
  <c r="P135" i="5" s="1"/>
  <c r="K134" i="5"/>
  <c r="P134" i="5" s="1"/>
  <c r="K131" i="5"/>
  <c r="P131" i="5" s="1"/>
  <c r="K129" i="5"/>
  <c r="P129" i="5" s="1"/>
  <c r="K121" i="5"/>
  <c r="P121" i="5" s="1"/>
  <c r="K117" i="5"/>
  <c r="P117" i="5" s="1"/>
  <c r="K99" i="5"/>
  <c r="P99" i="5" s="1"/>
  <c r="K97" i="5"/>
  <c r="P97" i="5" s="1"/>
  <c r="K94" i="5"/>
  <c r="P94" i="5" s="1"/>
  <c r="K93" i="5"/>
  <c r="P93" i="5" s="1"/>
  <c r="K96" i="5"/>
  <c r="P96" i="5" s="1"/>
  <c r="K95" i="5"/>
  <c r="P95" i="5" s="1"/>
  <c r="K84" i="5"/>
  <c r="P84" i="5" s="1"/>
  <c r="K80" i="5"/>
  <c r="P80" i="5" s="1"/>
  <c r="K83" i="5"/>
  <c r="P83" i="5" s="1"/>
  <c r="K85" i="5"/>
  <c r="P85" i="5" s="1"/>
  <c r="K86" i="5"/>
  <c r="P86" i="5" s="1"/>
  <c r="K82" i="5"/>
  <c r="P82" i="5" s="1"/>
  <c r="K71" i="5"/>
  <c r="P71" i="5" s="1"/>
  <c r="K70" i="5"/>
  <c r="P70" i="5" s="1"/>
  <c r="K56" i="5"/>
  <c r="P56" i="5" s="1"/>
  <c r="K36" i="5"/>
  <c r="P36" i="5" s="1"/>
  <c r="K32" i="5"/>
  <c r="P32" i="5" s="1"/>
  <c r="K28" i="5"/>
  <c r="P28" i="5" s="1"/>
  <c r="K24" i="5"/>
  <c r="P24" i="5" s="1"/>
  <c r="K20" i="5"/>
  <c r="P20" i="5" s="1"/>
  <c r="K16" i="5"/>
  <c r="P16" i="5" s="1"/>
  <c r="K12" i="5"/>
  <c r="P12" i="5" s="1"/>
  <c r="K8" i="5"/>
  <c r="P8" i="5" s="1"/>
  <c r="K55" i="5"/>
  <c r="P55" i="5" s="1"/>
  <c r="K31" i="5"/>
  <c r="P31" i="5" s="1"/>
  <c r="K49" i="5"/>
  <c r="P49" i="5" s="1"/>
  <c r="K21" i="5"/>
  <c r="P21" i="5" s="1"/>
  <c r="K17" i="5"/>
  <c r="P17" i="5" s="1"/>
  <c r="K13" i="5"/>
  <c r="P13" i="5" s="1"/>
  <c r="K9" i="5"/>
  <c r="P9" i="5" s="1"/>
  <c r="K54" i="5"/>
  <c r="P54" i="5" s="1"/>
  <c r="K38" i="5"/>
  <c r="P38" i="5" s="1"/>
  <c r="K34" i="5"/>
  <c r="P34" i="5" s="1"/>
  <c r="K30" i="5"/>
  <c r="P30" i="5" s="1"/>
  <c r="K22" i="5"/>
  <c r="P22" i="5" s="1"/>
  <c r="K18" i="5"/>
  <c r="P18" i="5" s="1"/>
  <c r="K14" i="5"/>
  <c r="P14" i="5" s="1"/>
  <c r="K10" i="5"/>
  <c r="P10" i="5" s="1"/>
  <c r="K63" i="5"/>
  <c r="P63" i="5" s="1"/>
  <c r="K51" i="5"/>
  <c r="P51" i="5" s="1"/>
  <c r="K47" i="5"/>
  <c r="P47" i="5" s="1"/>
  <c r="K64" i="5"/>
  <c r="P64" i="5" s="1"/>
  <c r="K60" i="5"/>
  <c r="P60" i="5" s="1"/>
  <c r="K52" i="5"/>
  <c r="P52" i="5" s="1"/>
  <c r="K48" i="5"/>
  <c r="P48" i="5" s="1"/>
  <c r="K45" i="5"/>
  <c r="P45" i="5" s="1"/>
  <c r="K41" i="5"/>
  <c r="P41" i="5" s="1"/>
  <c r="K62" i="5"/>
  <c r="P62" i="5" s="1"/>
  <c r="K58" i="5"/>
  <c r="P58" i="5" s="1"/>
  <c r="K42" i="5"/>
  <c r="P42" i="5" s="1"/>
  <c r="K25" i="5"/>
  <c r="P25" i="5" s="1"/>
  <c r="K92" i="5"/>
  <c r="P92" i="5" s="1"/>
  <c r="K118" i="5"/>
  <c r="P118" i="5" s="1"/>
  <c r="K136" i="5"/>
  <c r="P136" i="5" s="1"/>
  <c r="K130" i="5"/>
  <c r="P130" i="5" s="1"/>
  <c r="K122" i="5"/>
  <c r="P122" i="5" s="1"/>
  <c r="K65" i="5"/>
  <c r="P65" i="5" s="1"/>
  <c r="K61" i="5"/>
  <c r="P61" i="5" s="1"/>
  <c r="K57" i="5"/>
  <c r="P57" i="5" s="1"/>
  <c r="K44" i="5"/>
  <c r="P44" i="5" s="1"/>
  <c r="K90" i="5"/>
  <c r="K69" i="5"/>
  <c r="P69" i="5" s="1"/>
  <c r="K7" i="5"/>
  <c r="P7" i="5" s="1"/>
  <c r="K125" i="5"/>
  <c r="P125" i="5" s="1"/>
  <c r="K124" i="5"/>
  <c r="P124" i="5" s="1"/>
  <c r="K98" i="5"/>
  <c r="P98" i="5" s="1"/>
  <c r="K91" i="5"/>
  <c r="P91" i="5" s="1"/>
  <c r="K87" i="5"/>
  <c r="P87" i="5" s="1"/>
  <c r="K123" i="5"/>
  <c r="P123" i="5" s="1"/>
  <c r="K40" i="5"/>
  <c r="P40" i="5" s="1"/>
  <c r="K26" i="5"/>
  <c r="P26" i="5" s="1"/>
  <c r="L138" i="5"/>
  <c r="N138" i="5"/>
  <c r="O138" i="5"/>
  <c r="P27" i="5" l="1"/>
  <c r="K138" i="5"/>
  <c r="P90" i="5"/>
  <c r="K100" i="5"/>
  <c r="K103" i="3"/>
  <c r="K104" i="3"/>
  <c r="K105" i="3"/>
  <c r="K106" i="3"/>
  <c r="K107" i="3"/>
  <c r="K108" i="3"/>
  <c r="K109" i="3"/>
  <c r="K110" i="3"/>
  <c r="K111" i="3"/>
  <c r="K102" i="3"/>
  <c r="P100" i="5" l="1"/>
  <c r="K67" i="3"/>
  <c r="K112" i="3" l="1"/>
  <c r="K139" i="3" l="1"/>
  <c r="P138" i="5" l="1"/>
</calcChain>
</file>

<file path=xl/sharedStrings.xml><?xml version="1.0" encoding="utf-8"?>
<sst xmlns="http://schemas.openxmlformats.org/spreadsheetml/2006/main" count="452" uniqueCount="140">
  <si>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</si>
  <si>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</si>
  <si>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</si>
  <si>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</si>
  <si>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</si>
  <si>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</si>
  <si>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</si>
  <si>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</si>
  <si>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</si>
  <si>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</si>
  <si>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</si>
  <si>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</si>
  <si>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</si>
  <si>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</si>
  <si>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</si>
  <si>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</si>
  <si>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</si>
  <si>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</si>
  <si>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</si>
  <si>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</si>
  <si>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</si>
  <si>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</si>
  <si>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</si>
  <si>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</si>
  <si>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</si>
  <si>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</si>
  <si>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</si>
  <si>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</si>
  <si>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</si>
  <si>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</si>
  <si>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</si>
  <si>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</si>
  <si>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</si>
  <si>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</si>
  <si>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</si>
  <si>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</si>
  <si>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</si>
  <si>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</si>
  <si>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</si>
  <si>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</si>
  <si>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</si>
  <si>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</si>
  <si>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</si>
  <si>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</si>
  <si>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</si>
  <si>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</si>
  <si>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</si>
  <si>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</si>
  <si>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</si>
  <si>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</si>
  <si>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</si>
  <si>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</si>
  <si>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</si>
  <si>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</si>
  <si>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</si>
  <si>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</si>
  <si>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</si>
  <si>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</si>
  <si>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</si>
  <si>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</si>
  <si>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</si>
  <si>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</si>
  <si>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</si>
  <si>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</si>
  <si>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</si>
  <si>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</si>
  <si>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</si>
  <si>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</si>
  <si>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</si>
  <si>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</si>
  <si>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</si>
  <si>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</si>
  <si>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</si>
  <si>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</si>
  <si>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</si>
  <si>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</si>
  <si>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</si>
  <si>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</si>
  <si>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</si>
  <si>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</si>
  <si>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</si>
  <si>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</si>
  <si>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</si>
  <si>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</si>
  <si>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</si>
  <si>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</si>
  <si>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</si>
  <si>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</si>
  <si>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</si>
  <si>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</si>
  <si>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</si>
  <si>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</si>
  <si>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</si>
  <si>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</si>
  <si>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</si>
  <si>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</si>
  <si>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</si>
  <si>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</si>
  <si>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</si>
  <si>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</si>
  <si>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</si>
  <si>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</si>
  <si>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</si>
  <si>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</si>
  <si>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</si>
  <si>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</si>
  <si>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</si>
  <si>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</si>
  <si>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</si>
  <si>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</si>
  <si>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</si>
  <si>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</si>
  <si>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</si>
  <si>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</si>
  <si>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</si>
  <si>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</si>
  <si>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</si>
  <si>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</si>
  <si>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</si>
  <si>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</si>
  <si>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</si>
  <si>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</si>
  <si>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</si>
  <si>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</si>
  <si>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</si>
  <si>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</si>
  <si>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</si>
  <si>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</si>
  <si>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</si>
  <si>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</si>
  <si>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</si>
  <si>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</si>
  <si>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</si>
  <si>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</si>
  <si>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</si>
  <si>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</si>
  <si>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</si>
  <si>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ยอดจริง ออนไลน์ วันที่  5/11/2567 - เย็น</t>
  </si>
  <si>
    <t>ยอดจริง ออนไลน์ วันที่  5/11/2567 - เช้า</t>
  </si>
  <si>
    <t>ยอดจริง ออนไลน์ วันที่ 5/11/2567 -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</si>
</sst>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0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K159"/>
  <sheetViews>
    <sheetView zoomScale="60" zoomScaleNormal="60" workbookViewId="0">
      <selection activeCell="C25" sqref="C25"/>
    </sheetView>
  </sheetViews>
  <sheetFormatPr defaultRowHeight="22.5" x14ac:dyDescent="0.2"/>
  <cols>
    <col min="2" max="2" width="22.125" style="23" customWidth="1"/>
    <col min="3" max="3" width="59.125" style="23" customWidth="1"/>
    <col min="4" max="8" width="14.375" style="16" customWidth="1"/>
    <col min="9" max="10" width="14.375" style="16" hidden="1" customWidth="1"/>
    <col min="11" max="11" width="17.625" style="25" customWidth="1"/>
  </cols>
  <sheetData>
    <row r="1" spans="2:11" x14ac:dyDescent="0.2">
      <c r="B1" s="54" t="s">
        <v>137</v>
      </c>
      <c r="C1" s="54"/>
      <c r="D1" s="54"/>
      <c r="E1" s="54"/>
      <c r="F1" s="54"/>
      <c r="G1" s="54"/>
      <c r="H1" s="54"/>
      <c r="I1" s="54"/>
      <c r="J1" s="54"/>
      <c r="K1" s="54"/>
    </row>
    <row r="2" spans="2:11" x14ac:dyDescent="0.2">
      <c r="B2" s="55"/>
      <c r="C2" s="55"/>
      <c r="D2" s="42"/>
      <c r="E2" s="56"/>
      <c r="F2" s="56"/>
      <c r="G2" s="43"/>
      <c r="H2" s="43"/>
      <c r="I2" s="43"/>
      <c r="J2" s="43"/>
      <c r="K2" s="44" t="s">
        <v>0</v>
      </c>
    </row>
    <row r="3" spans="2:11" x14ac:dyDescent="0.2">
      <c r="B3" s="55"/>
      <c r="C3" s="55"/>
      <c r="D3" s="42"/>
      <c r="E3" s="56"/>
      <c r="F3" s="56"/>
      <c r="G3" s="43"/>
      <c r="H3" s="43"/>
      <c r="I3" s="43"/>
      <c r="J3" s="43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9" t="s">
        <v>133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2" t="s">
        <v>11</v>
      </c>
      <c r="C6" s="52"/>
      <c r="D6" s="52"/>
      <c r="E6" s="52"/>
      <c r="F6" s="52"/>
      <c r="G6" s="52"/>
      <c r="H6" s="52"/>
      <c r="I6" s="52"/>
      <c r="J6" s="52"/>
      <c r="K6" s="52"/>
    </row>
    <row r="7" spans="2:11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30"/>
      <c r="K7" s="41">
        <f>SUM(D7:J7)</f>
        <v>0</v>
      </c>
    </row>
    <row r="8" spans="2:1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30"/>
      <c r="K8" s="41">
        <f t="shared" ref="K8:K66" si="0">SUM(D8:J8)</f>
        <v>0</v>
      </c>
    </row>
    <row r="9" spans="2:1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30"/>
      <c r="K38" s="41">
        <f t="shared" si="0"/>
        <v>0</v>
      </c>
    </row>
    <row r="39" spans="2:1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30"/>
      <c r="K39" s="41">
        <f t="shared" si="0"/>
        <v>0</v>
      </c>
    </row>
    <row r="40" spans="2:11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30"/>
      <c r="K40" s="41">
        <f t="shared" si="0"/>
        <v>0</v>
      </c>
    </row>
    <row r="41" spans="2:11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30"/>
      <c r="K41" s="41">
        <f t="shared" si="0"/>
        <v>0</v>
      </c>
    </row>
    <row r="42" spans="2:11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30"/>
      <c r="K42" s="41">
        <f t="shared" si="0"/>
        <v>0</v>
      </c>
    </row>
    <row r="43" spans="2:11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30"/>
      <c r="K43" s="41">
        <f t="shared" si="0"/>
        <v>0</v>
      </c>
    </row>
    <row r="44" spans="2:11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30"/>
      <c r="K44" s="41">
        <f t="shared" si="0"/>
        <v>0</v>
      </c>
    </row>
    <row r="45" spans="2:11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30"/>
      <c r="K45" s="41">
        <f t="shared" si="0"/>
        <v>0</v>
      </c>
    </row>
    <row r="46" spans="2:11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30"/>
      <c r="K46" s="41">
        <f t="shared" si="0"/>
        <v>0</v>
      </c>
    </row>
    <row r="47" spans="2:11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30"/>
      <c r="K47" s="41">
        <f t="shared" si="0"/>
        <v>0</v>
      </c>
    </row>
    <row r="48" spans="2:11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30"/>
      <c r="K48" s="41">
        <f t="shared" si="0"/>
        <v>0</v>
      </c>
    </row>
    <row r="49" spans="2:11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30"/>
      <c r="K49" s="41">
        <f t="shared" si="0"/>
        <v>0</v>
      </c>
    </row>
    <row r="50" spans="2:11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30"/>
      <c r="K50" s="41">
        <f t="shared" si="0"/>
        <v>0</v>
      </c>
    </row>
    <row r="51" spans="2:11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30"/>
      <c r="K51" s="41">
        <f t="shared" si="0"/>
        <v>0</v>
      </c>
    </row>
    <row r="52" spans="2:11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30"/>
      <c r="K52" s="41">
        <f t="shared" si="0"/>
        <v>0</v>
      </c>
    </row>
    <row r="53" spans="2:11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30"/>
      <c r="K53" s="41">
        <f t="shared" si="0"/>
        <v>0</v>
      </c>
    </row>
    <row r="54" spans="2:11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30"/>
      <c r="K54" s="41">
        <f t="shared" si="0"/>
        <v>0</v>
      </c>
    </row>
    <row r="55" spans="2:11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30"/>
      <c r="K55" s="41">
        <f t="shared" si="0"/>
        <v>0</v>
      </c>
    </row>
    <row r="56" spans="2:11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30"/>
      <c r="K56" s="41">
        <f t="shared" si="0"/>
        <v>0</v>
      </c>
    </row>
    <row r="57" spans="2:11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30"/>
      <c r="K57" s="41">
        <f t="shared" si="0"/>
        <v>0</v>
      </c>
    </row>
    <row r="58" spans="2:11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30"/>
      <c r="K58" s="41">
        <f t="shared" si="0"/>
        <v>0</v>
      </c>
    </row>
    <row r="59" spans="2:11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30"/>
      <c r="K59" s="41">
        <f t="shared" si="0"/>
        <v>0</v>
      </c>
    </row>
    <row r="60" spans="2:11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30"/>
      <c r="K60" s="41">
        <f t="shared" si="0"/>
        <v>0</v>
      </c>
    </row>
    <row r="61" spans="2:11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30"/>
      <c r="K61" s="41">
        <f t="shared" si="0"/>
        <v>0</v>
      </c>
    </row>
    <row r="62" spans="2:11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30"/>
      <c r="K62" s="41">
        <f t="shared" si="0"/>
        <v>0</v>
      </c>
    </row>
    <row r="63" spans="2:11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30"/>
      <c r="K63" s="41">
        <f t="shared" si="0"/>
        <v>0</v>
      </c>
    </row>
    <row r="64" spans="2:11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30"/>
      <c r="K64" s="41">
        <f t="shared" si="0"/>
        <v>0</v>
      </c>
    </row>
    <row r="65" spans="2:11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30"/>
      <c r="K65" s="41">
        <f t="shared" si="0"/>
        <v>0</v>
      </c>
    </row>
    <row r="66" spans="2:11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30"/>
      <c r="K66" s="41">
        <f t="shared" si="0"/>
        <v>0</v>
      </c>
    </row>
    <row r="67" spans="2:1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1">
        <f t="shared" ref="K67" si="1">SUM(D67:I67)</f>
        <v>0</v>
      </c>
    </row>
    <row r="68" spans="2:11" ht="19.5" x14ac:dyDescent="0.2">
      <c r="B68" s="52" t="s">
        <v>55</v>
      </c>
      <c r="C68" s="52"/>
      <c r="D68" s="52"/>
      <c r="E68" s="52"/>
      <c r="F68" s="52"/>
      <c r="G68" s="52"/>
      <c r="H68" s="52"/>
      <c r="I68" s="52"/>
      <c r="J68" s="52"/>
      <c r="K68" s="52"/>
    </row>
    <row r="69" spans="2:11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30"/>
      <c r="K69" s="41">
        <f>SUM(D69:J69)</f>
        <v>0</v>
      </c>
    </row>
    <row r="70" spans="2:11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30"/>
      <c r="K70" s="41">
        <f t="shared" ref="K70:K76" si="2">SUM(D70:J70)</f>
        <v>0</v>
      </c>
    </row>
    <row r="71" spans="2:11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30"/>
      <c r="K76" s="41">
        <f t="shared" si="2"/>
        <v>0</v>
      </c>
    </row>
    <row r="77" spans="2:11" x14ac:dyDescent="0.2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47"/>
    </row>
    <row r="78" spans="2:11" ht="19.5" x14ac:dyDescent="0.2">
      <c r="B78" s="52" t="s">
        <v>64</v>
      </c>
      <c r="C78" s="52"/>
      <c r="D78" s="52"/>
      <c r="E78" s="52"/>
      <c r="F78" s="52"/>
      <c r="G78" s="52"/>
      <c r="H78" s="52"/>
      <c r="I78" s="52"/>
      <c r="J78" s="52"/>
      <c r="K78" s="52"/>
    </row>
    <row r="79" spans="2:11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30"/>
      <c r="K79" s="41">
        <f>SUM(D79:J79)</f>
        <v>0</v>
      </c>
    </row>
    <row r="80" spans="2:11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30"/>
      <c r="K80" s="41">
        <f t="shared" ref="K80:K87" si="3">SUM(D80:J80)</f>
        <v>0</v>
      </c>
    </row>
    <row r="81" spans="2:11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30"/>
      <c r="K81" s="41">
        <f t="shared" si="3"/>
        <v>0</v>
      </c>
    </row>
    <row r="82" spans="2:11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30"/>
      <c r="K82" s="41">
        <f t="shared" si="3"/>
        <v>0</v>
      </c>
    </row>
    <row r="83" spans="2:11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30"/>
      <c r="K83" s="41">
        <f t="shared" si="3"/>
        <v>0</v>
      </c>
    </row>
    <row r="84" spans="2:11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30"/>
      <c r="K84" s="41">
        <f t="shared" si="3"/>
        <v>0</v>
      </c>
    </row>
    <row r="85" spans="2:11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30"/>
      <c r="K85" s="41">
        <f t="shared" si="3"/>
        <v>0</v>
      </c>
    </row>
    <row r="86" spans="2:11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30"/>
      <c r="K86" s="41">
        <f t="shared" si="3"/>
        <v>0</v>
      </c>
    </row>
    <row r="87" spans="2:11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30"/>
      <c r="K87" s="41">
        <f t="shared" si="3"/>
        <v>0</v>
      </c>
    </row>
    <row r="88" spans="2:1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47"/>
    </row>
    <row r="89" spans="2:11" ht="19.5" x14ac:dyDescent="0.2">
      <c r="B89" s="52" t="s">
        <v>74</v>
      </c>
      <c r="C89" s="52"/>
      <c r="D89" s="52"/>
      <c r="E89" s="52"/>
      <c r="F89" s="52"/>
      <c r="G89" s="52"/>
      <c r="H89" s="52"/>
      <c r="I89" s="52"/>
      <c r="J89" s="52"/>
      <c r="K89" s="52"/>
    </row>
    <row r="90" spans="2:11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30"/>
      <c r="K90" s="41">
        <f>SUM(D90:J90)</f>
        <v>0</v>
      </c>
    </row>
    <row r="91" spans="2:11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30"/>
      <c r="K91" s="41">
        <f t="shared" ref="K91:K99" si="4">SUM(D91:J91)</f>
        <v>0</v>
      </c>
    </row>
    <row r="92" spans="2:11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30"/>
      <c r="K92" s="41">
        <f t="shared" si="4"/>
        <v>0</v>
      </c>
    </row>
    <row r="93" spans="2:11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30"/>
      <c r="K93" s="41">
        <f t="shared" si="4"/>
        <v>0</v>
      </c>
    </row>
    <row r="94" spans="2:11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30"/>
      <c r="K94" s="41">
        <f t="shared" si="4"/>
        <v>0</v>
      </c>
    </row>
    <row r="95" spans="2:11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30"/>
      <c r="K95" s="41">
        <f t="shared" si="4"/>
        <v>0</v>
      </c>
    </row>
    <row r="96" spans="2:11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30"/>
      <c r="K96" s="41">
        <f t="shared" si="4"/>
        <v>0</v>
      </c>
    </row>
    <row r="97" spans="2:11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30"/>
      <c r="K97" s="41">
        <f t="shared" si="4"/>
        <v>0</v>
      </c>
    </row>
    <row r="98" spans="2:11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30"/>
      <c r="K98" s="41">
        <f t="shared" si="4"/>
        <v>0</v>
      </c>
    </row>
    <row r="99" spans="2:11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30"/>
      <c r="K99" s="41">
        <f t="shared" si="4"/>
        <v>0</v>
      </c>
    </row>
    <row r="100" spans="2:1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1"/>
    </row>
    <row r="101" spans="2:11" ht="19.5" x14ac:dyDescent="0.2">
      <c r="B101" s="52" t="s">
        <v>85</v>
      </c>
      <c r="C101" s="52"/>
      <c r="D101" s="52"/>
      <c r="E101" s="52"/>
      <c r="F101" s="52"/>
      <c r="G101" s="52"/>
      <c r="H101" s="52"/>
      <c r="I101" s="52"/>
      <c r="J101" s="52"/>
      <c r="K101" s="52"/>
    </row>
    <row r="102" spans="2:11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30"/>
      <c r="K102" s="41">
        <f>SUM(D102:H102)</f>
        <v>0</v>
      </c>
    </row>
    <row r="103" spans="2:11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30"/>
      <c r="K103" s="41">
        <f t="shared" ref="K103:K111" si="5">SUM(D103:H103)</f>
        <v>0</v>
      </c>
    </row>
    <row r="104" spans="2:11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30"/>
      <c r="K104" s="41">
        <f t="shared" si="5"/>
        <v>0</v>
      </c>
    </row>
    <row r="105" spans="2:11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30"/>
      <c r="K105" s="41">
        <f t="shared" si="5"/>
        <v>0</v>
      </c>
    </row>
    <row r="106" spans="2:11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30"/>
      <c r="K106" s="41">
        <f t="shared" si="5"/>
        <v>0</v>
      </c>
    </row>
    <row r="107" spans="2:11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30"/>
      <c r="K107" s="41">
        <f t="shared" si="5"/>
        <v>0</v>
      </c>
    </row>
    <row r="108" spans="2:11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30"/>
      <c r="K108" s="41">
        <f t="shared" si="5"/>
        <v>0</v>
      </c>
    </row>
    <row r="109" spans="2:11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30"/>
      <c r="K109" s="41">
        <f t="shared" si="5"/>
        <v>0</v>
      </c>
    </row>
    <row r="110" spans="2:11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30"/>
      <c r="K110" s="41">
        <f t="shared" si="5"/>
        <v>0</v>
      </c>
    </row>
    <row r="111" spans="2:11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30"/>
      <c r="K111" s="41">
        <f t="shared" si="5"/>
        <v>0</v>
      </c>
    </row>
    <row r="112" spans="2:1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46">
        <f>SUM(K102:K110)</f>
        <v>0</v>
      </c>
    </row>
    <row r="113" spans="2:11" ht="19.5" x14ac:dyDescent="0.2">
      <c r="B113" s="52" t="s">
        <v>86</v>
      </c>
      <c r="C113" s="52"/>
      <c r="D113" s="52"/>
      <c r="E113" s="52"/>
      <c r="F113" s="52"/>
      <c r="G113" s="52"/>
      <c r="H113" s="52"/>
      <c r="I113" s="52"/>
      <c r="J113" s="52"/>
      <c r="K113" s="52"/>
    </row>
    <row r="114" spans="2:11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30"/>
      <c r="K114" s="41">
        <f>SUM(D114:J114)</f>
        <v>0</v>
      </c>
    </row>
    <row r="115" spans="2:11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30"/>
      <c r="K115" s="41">
        <f t="shared" ref="K115:K137" si="6">SUM(D115:J115)</f>
        <v>0</v>
      </c>
    </row>
    <row r="116" spans="2:11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30"/>
      <c r="K116" s="41">
        <f t="shared" si="6"/>
        <v>0</v>
      </c>
    </row>
    <row r="117" spans="2:11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30"/>
      <c r="K117" s="41">
        <f t="shared" si="6"/>
        <v>0</v>
      </c>
    </row>
    <row r="118" spans="2:11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30"/>
      <c r="K118" s="41">
        <f t="shared" si="6"/>
        <v>0</v>
      </c>
    </row>
    <row r="119" spans="2:11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30"/>
      <c r="K119" s="41">
        <f t="shared" si="6"/>
        <v>0</v>
      </c>
    </row>
    <row r="120" spans="2:11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30"/>
      <c r="K120" s="41">
        <f t="shared" si="6"/>
        <v>0</v>
      </c>
    </row>
    <row r="121" spans="2:11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30"/>
      <c r="K121" s="41">
        <f t="shared" si="6"/>
        <v>0</v>
      </c>
    </row>
    <row r="122" spans="2:11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30"/>
      <c r="K122" s="41">
        <f t="shared" si="6"/>
        <v>0</v>
      </c>
    </row>
    <row r="123" spans="2:11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30"/>
      <c r="K123" s="41">
        <f t="shared" si="6"/>
        <v>0</v>
      </c>
    </row>
    <row r="124" spans="2:11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30"/>
      <c r="K124" s="41">
        <f t="shared" si="6"/>
        <v>0</v>
      </c>
    </row>
    <row r="125" spans="2:11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30"/>
      <c r="K125" s="41">
        <f t="shared" si="6"/>
        <v>0</v>
      </c>
    </row>
    <row r="126" spans="2:11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30"/>
      <c r="K126" s="41">
        <f t="shared" si="6"/>
        <v>0</v>
      </c>
    </row>
    <row r="127" spans="2:11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30"/>
      <c r="K127" s="41">
        <f t="shared" si="6"/>
        <v>0</v>
      </c>
    </row>
    <row r="128" spans="2:11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30"/>
      <c r="K128" s="41">
        <f t="shared" si="6"/>
        <v>0</v>
      </c>
    </row>
    <row r="129" spans="2:11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30"/>
      <c r="K129" s="41">
        <f t="shared" si="6"/>
        <v>0</v>
      </c>
    </row>
    <row r="130" spans="2:11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30"/>
      <c r="K130" s="41">
        <f t="shared" si="6"/>
        <v>0</v>
      </c>
    </row>
    <row r="131" spans="2:11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30"/>
      <c r="K131" s="41">
        <f t="shared" si="6"/>
        <v>0</v>
      </c>
    </row>
    <row r="132" spans="2:11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30"/>
      <c r="K132" s="41">
        <f t="shared" si="6"/>
        <v>0</v>
      </c>
    </row>
    <row r="133" spans="2:11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30"/>
      <c r="K133" s="41">
        <f t="shared" si="6"/>
        <v>0</v>
      </c>
    </row>
    <row r="134" spans="2:11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30"/>
      <c r="K134" s="41">
        <f t="shared" si="6"/>
        <v>0</v>
      </c>
    </row>
    <row r="135" spans="2:11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30"/>
      <c r="K135" s="41">
        <f t="shared" si="6"/>
        <v>0</v>
      </c>
    </row>
    <row r="136" spans="2:11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30"/>
      <c r="K136" s="41">
        <f t="shared" si="6"/>
        <v>0</v>
      </c>
    </row>
    <row r="137" spans="2:11" x14ac:dyDescent="0.2">
      <c r="B137" s="22">
        <v>20052721</v>
      </c>
      <c r="C137" s="21" t="s">
        <v>131</v>
      </c>
      <c r="D137" s="30"/>
      <c r="E137" s="30"/>
      <c r="F137" s="30"/>
      <c r="G137" s="30"/>
      <c r="H137" s="30"/>
      <c r="I137" s="30"/>
      <c r="J137" s="30"/>
      <c r="K137" s="41">
        <f t="shared" si="6"/>
        <v>0</v>
      </c>
    </row>
    <row r="138" spans="2:11" x14ac:dyDescent="0.2">
      <c r="C138" s="35"/>
      <c r="D138" s="38"/>
      <c r="E138" s="38"/>
      <c r="F138" s="38"/>
      <c r="G138" s="38"/>
      <c r="H138" s="38"/>
      <c r="I138" s="38"/>
      <c r="J138" s="38"/>
      <c r="K138" s="39"/>
    </row>
    <row r="139" spans="2:11" x14ac:dyDescent="0.2">
      <c r="C139" s="35"/>
      <c r="D139" s="39">
        <f t="shared" ref="D139:I139" si="7">SUM(D114:D137,D102:D111,D90:D99,D79:D87,D69:D76,D7:D66)</f>
        <v>0</v>
      </c>
      <c r="E139" s="39">
        <f t="shared" si="7"/>
        <v>0</v>
      </c>
      <c r="F139" s="39">
        <f t="shared" si="7"/>
        <v>0</v>
      </c>
      <c r="G139" s="39">
        <f t="shared" si="7"/>
        <v>0</v>
      </c>
      <c r="H139" s="39">
        <f t="shared" si="7"/>
        <v>0</v>
      </c>
      <c r="I139" s="39">
        <f t="shared" si="7"/>
        <v>0</v>
      </c>
      <c r="J139" s="39"/>
      <c r="K139" s="39">
        <f>SUM(K114:K137,K102:K111,K90:K99,K79:K87,K69:K76,K7:K66)</f>
        <v>0</v>
      </c>
    </row>
    <row r="140" spans="2:11" x14ac:dyDescent="0.2">
      <c r="C140" s="24"/>
      <c r="D140" s="31"/>
      <c r="E140" s="53"/>
      <c r="F140" s="53"/>
      <c r="G140" s="26"/>
    </row>
    <row r="141" spans="2:11" x14ac:dyDescent="0.2">
      <c r="B141" s="53" t="s">
        <v>104</v>
      </c>
      <c r="C141" s="53"/>
      <c r="D141" s="32"/>
      <c r="E141" s="51"/>
      <c r="F141" s="51"/>
      <c r="G141" s="27"/>
      <c r="H141" s="26"/>
      <c r="I141" s="53" t="s">
        <v>104</v>
      </c>
      <c r="J141" s="53"/>
      <c r="K141" s="53"/>
    </row>
    <row r="142" spans="2:11" x14ac:dyDescent="0.2">
      <c r="B142" s="51" t="s">
        <v>105</v>
      </c>
      <c r="C142" s="51"/>
      <c r="D142" s="33"/>
      <c r="E142" s="33"/>
      <c r="F142" s="33"/>
      <c r="G142" s="33"/>
      <c r="H142" s="33"/>
      <c r="I142" s="51" t="s">
        <v>106</v>
      </c>
      <c r="J142" s="51"/>
      <c r="K142" s="51"/>
    </row>
    <row r="143" spans="2:11" x14ac:dyDescent="0.2">
      <c r="B143" s="31"/>
      <c r="C143" s="31"/>
      <c r="D143" s="33"/>
      <c r="E143" s="33"/>
      <c r="F143" s="33"/>
      <c r="G143" s="33"/>
      <c r="H143" s="33"/>
      <c r="I143" s="31"/>
      <c r="J143" s="31"/>
      <c r="K143" s="34"/>
    </row>
    <row r="144" spans="2:11" ht="14.25" x14ac:dyDescent="0.2">
      <c r="B144" s="31"/>
      <c r="C144" s="31"/>
      <c r="D144" s="31"/>
      <c r="E144" s="31"/>
      <c r="F144" s="31"/>
      <c r="G144" s="31"/>
      <c r="H144" s="31"/>
      <c r="I144" s="31"/>
      <c r="J144" s="31"/>
      <c r="K144" s="34"/>
    </row>
    <row r="145" spans="2:11" ht="14.25" x14ac:dyDescent="0.2">
      <c r="B145" s="31"/>
      <c r="C145" s="31"/>
      <c r="D145" s="31"/>
      <c r="E145" s="31"/>
      <c r="F145" s="31"/>
      <c r="G145" s="31"/>
      <c r="H145" s="31"/>
      <c r="I145" s="31"/>
      <c r="J145" s="31"/>
      <c r="K145" s="34"/>
    </row>
    <row r="146" spans="2:11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4"/>
    </row>
    <row r="147" spans="2:11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4"/>
    </row>
    <row r="148" spans="2:11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4"/>
    </row>
    <row r="149" spans="2:11" x14ac:dyDescent="0.2">
      <c r="D149" s="31"/>
      <c r="E149" s="31"/>
      <c r="F149" s="31"/>
      <c r="G149" s="31"/>
      <c r="H149" s="31"/>
    </row>
    <row r="150" spans="2:11" x14ac:dyDescent="0.2">
      <c r="D150" s="31"/>
      <c r="E150" s="31"/>
      <c r="F150" s="31"/>
      <c r="G150" s="31"/>
      <c r="H150" s="31"/>
    </row>
    <row r="151" spans="2:11" x14ac:dyDescent="0.2">
      <c r="D151" s="31"/>
      <c r="E151" s="31"/>
      <c r="F151" s="31"/>
      <c r="G151" s="31"/>
      <c r="H151" s="31"/>
    </row>
    <row r="152" spans="2:11" x14ac:dyDescent="0.2">
      <c r="D152" s="31"/>
      <c r="E152" s="31"/>
      <c r="F152" s="31"/>
      <c r="G152" s="31"/>
      <c r="H152" s="31"/>
    </row>
    <row r="153" spans="2:11" x14ac:dyDescent="0.2">
      <c r="D153" s="31"/>
      <c r="E153" s="31"/>
      <c r="F153" s="31"/>
      <c r="G153" s="31"/>
      <c r="H153" s="31"/>
    </row>
    <row r="154" spans="2:11" x14ac:dyDescent="0.2">
      <c r="D154" s="31"/>
      <c r="E154" s="31"/>
      <c r="F154" s="31"/>
      <c r="G154" s="31"/>
      <c r="H154" s="31"/>
    </row>
    <row r="155" spans="2:11" x14ac:dyDescent="0.2">
      <c r="D155" s="31"/>
      <c r="E155" s="31"/>
      <c r="F155" s="31"/>
      <c r="G155" s="31"/>
      <c r="H155" s="31"/>
    </row>
    <row r="156" spans="2:11" x14ac:dyDescent="0.2">
      <c r="D156" s="31"/>
      <c r="E156" s="31"/>
      <c r="F156" s="31"/>
      <c r="G156" s="31"/>
      <c r="H156" s="31"/>
    </row>
    <row r="157" spans="2:11" x14ac:dyDescent="0.2">
      <c r="D157" s="31"/>
      <c r="E157" s="31"/>
      <c r="F157" s="31"/>
      <c r="G157" s="31"/>
      <c r="H157" s="31"/>
    </row>
    <row r="158" spans="2:11" x14ac:dyDescent="0.2">
      <c r="D158" s="31"/>
      <c r="E158" s="31"/>
      <c r="F158" s="31"/>
      <c r="G158" s="31"/>
      <c r="H158" s="31"/>
    </row>
    <row r="159" spans="2:11" x14ac:dyDescent="0.2">
      <c r="D159" s="31"/>
      <c r="E159" s="31"/>
      <c r="F159" s="31"/>
      <c r="G159" s="31"/>
      <c r="H159" s="31"/>
    </row>
  </sheetData>
  <mergeCells count="15">
    <mergeCell ref="B78:K78"/>
    <mergeCell ref="B1:K1"/>
    <mergeCell ref="B2:C3"/>
    <mergeCell ref="E2:F3"/>
    <mergeCell ref="B6:K6"/>
    <mergeCell ref="B68:K68"/>
    <mergeCell ref="B142:C142"/>
    <mergeCell ref="I142:K142"/>
    <mergeCell ref="B89:K89"/>
    <mergeCell ref="B101:K101"/>
    <mergeCell ref="B113:K113"/>
    <mergeCell ref="E140:F140"/>
    <mergeCell ref="B141:C141"/>
    <mergeCell ref="E141:F141"/>
    <mergeCell ref="I141:K1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159"/>
  <sheetViews>
    <sheetView topLeftCell="A79" zoomScale="60" zoomScaleNormal="60" workbookViewId="0">
      <selection activeCell="M1" sqref="K1:M1048576"/>
    </sheetView>
  </sheetViews>
  <sheetFormatPr defaultRowHeight="22.5" x14ac:dyDescent="0.2"/>
  <cols>
    <col min="2" max="2" width="22.125" style="23" customWidth="1"/>
    <col min="3" max="3" width="59.125" style="23" customWidth="1"/>
    <col min="4" max="8" width="14.375" style="16" customWidth="1"/>
    <col min="9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54" t="s">
        <v>138</v>
      </c>
      <c r="C1" s="54"/>
      <c r="D1" s="54"/>
      <c r="E1" s="54"/>
      <c r="F1" s="54"/>
      <c r="G1" s="54"/>
      <c r="H1" s="54"/>
      <c r="I1" s="54"/>
      <c r="J1" s="54"/>
      <c r="K1" s="54"/>
    </row>
    <row r="2" spans="2:11" x14ac:dyDescent="0.2">
      <c r="B2" s="57"/>
      <c r="C2" s="58"/>
      <c r="D2" s="58"/>
      <c r="E2" s="58"/>
      <c r="F2" s="58"/>
      <c r="G2" s="58"/>
      <c r="H2" s="58"/>
      <c r="I2" s="58"/>
      <c r="J2" s="59"/>
      <c r="K2" s="44" t="s">
        <v>0</v>
      </c>
    </row>
    <row r="3" spans="2:11" x14ac:dyDescent="0.2">
      <c r="B3" s="60"/>
      <c r="C3" s="61"/>
      <c r="D3" s="61"/>
      <c r="E3" s="61"/>
      <c r="F3" s="61"/>
      <c r="G3" s="61"/>
      <c r="H3" s="61"/>
      <c r="I3" s="61"/>
      <c r="J3" s="62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9" t="s">
        <v>133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2" t="s">
        <v>11</v>
      </c>
      <c r="C6" s="52"/>
      <c r="D6" s="52"/>
      <c r="E6" s="52"/>
      <c r="F6" s="52"/>
      <c r="G6" s="52"/>
      <c r="H6" s="52"/>
      <c r="I6" s="52"/>
      <c r="J6" s="52"/>
      <c r="K6" s="52"/>
    </row>
    <row r="7" spans="2:11" x14ac:dyDescent="0.2">
      <c r="B7" s="11">
        <v>1111002</v>
      </c>
      <c r="C7" s="15" t="s">
        <v>107</v>
      </c>
      <c r="D7" s="30">
        <v>1</v>
      </c>
      <c r="E7" s="30">
        <v>73</v>
      </c>
      <c r="F7" s="30">
        <v>187</v>
      </c>
      <c r="G7" s="30">
        <v>7</v>
      </c>
      <c r="H7" s="30"/>
      <c r="I7" s="30"/>
      <c r="J7" s="30"/>
      <c r="K7" s="41">
        <f>SUM(D7:J7)</f>
        <v>268</v>
      </c>
    </row>
    <row r="8" spans="2:11" hidden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30"/>
      <c r="K8" s="41">
        <f t="shared" ref="K8:K66" si="0">SUM(D8:J8)</f>
        <v>0</v>
      </c>
    </row>
    <row r="9" spans="2:11" hidden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hidden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hidden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hidden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hidden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hidden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hidden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hidden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hidden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hidden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hidden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hidden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hidden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hidden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hidden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hidden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1111056</v>
      </c>
      <c r="C25" s="15" t="s">
        <v>28</v>
      </c>
      <c r="D25" s="30"/>
      <c r="E25" s="30">
        <v>7</v>
      </c>
      <c r="F25" s="30">
        <v>9</v>
      </c>
      <c r="G25" s="30">
        <v>1</v>
      </c>
      <c r="H25" s="30">
        <v>1</v>
      </c>
      <c r="I25" s="30"/>
      <c r="J25" s="30"/>
      <c r="K25" s="41">
        <f t="shared" si="0"/>
        <v>18</v>
      </c>
    </row>
    <row r="26" spans="2:11" x14ac:dyDescent="0.2">
      <c r="B26" s="11">
        <v>1004055</v>
      </c>
      <c r="C26" s="15" t="s">
        <v>108</v>
      </c>
      <c r="D26" s="30">
        <v>4</v>
      </c>
      <c r="E26" s="30">
        <v>3</v>
      </c>
      <c r="F26" s="30"/>
      <c r="G26" s="30">
        <v>98</v>
      </c>
      <c r="H26" s="30">
        <v>84</v>
      </c>
      <c r="I26" s="30"/>
      <c r="J26" s="30"/>
      <c r="K26" s="41">
        <f t="shared" si="0"/>
        <v>189</v>
      </c>
    </row>
    <row r="27" spans="2:11" hidden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hidden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hidden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hidden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hidden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hidden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hidden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hidden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30"/>
      <c r="K38" s="41">
        <f t="shared" si="0"/>
        <v>0</v>
      </c>
    </row>
    <row r="39" spans="2:11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30"/>
      <c r="K39" s="41">
        <f t="shared" si="0"/>
        <v>0</v>
      </c>
    </row>
    <row r="40" spans="2:11" x14ac:dyDescent="0.2">
      <c r="B40" s="11">
        <v>1111057</v>
      </c>
      <c r="C40" s="15" t="s">
        <v>30</v>
      </c>
      <c r="D40" s="30">
        <v>30</v>
      </c>
      <c r="E40" s="30">
        <v>22</v>
      </c>
      <c r="F40" s="30">
        <v>7</v>
      </c>
      <c r="G40" s="30">
        <v>3</v>
      </c>
      <c r="H40" s="30"/>
      <c r="I40" s="30"/>
      <c r="J40" s="30">
        <v>2</v>
      </c>
      <c r="K40" s="41">
        <f t="shared" si="0"/>
        <v>64</v>
      </c>
    </row>
    <row r="41" spans="2:11" x14ac:dyDescent="0.2">
      <c r="B41" s="11">
        <v>1111058</v>
      </c>
      <c r="C41" s="15" t="s">
        <v>31</v>
      </c>
      <c r="D41" s="30">
        <v>30</v>
      </c>
      <c r="E41" s="30">
        <v>13</v>
      </c>
      <c r="F41" s="30"/>
      <c r="G41" s="30">
        <v>3</v>
      </c>
      <c r="H41" s="30"/>
      <c r="I41" s="30"/>
      <c r="J41" s="30"/>
      <c r="K41" s="41">
        <f t="shared" si="0"/>
        <v>46</v>
      </c>
    </row>
    <row r="42" spans="2:11" x14ac:dyDescent="0.2">
      <c r="B42" s="11">
        <v>1111059</v>
      </c>
      <c r="C42" s="15" t="s">
        <v>32</v>
      </c>
      <c r="D42" s="30">
        <v>30</v>
      </c>
      <c r="E42" s="30">
        <v>13</v>
      </c>
      <c r="F42" s="30">
        <v>7</v>
      </c>
      <c r="G42" s="30">
        <v>3</v>
      </c>
      <c r="H42" s="30"/>
      <c r="I42" s="30"/>
      <c r="J42" s="30"/>
      <c r="K42" s="41">
        <f t="shared" si="0"/>
        <v>53</v>
      </c>
    </row>
    <row r="43" spans="2:11" x14ac:dyDescent="0.2">
      <c r="B43" s="11">
        <v>1111060</v>
      </c>
      <c r="C43" s="15" t="s">
        <v>33</v>
      </c>
      <c r="D43" s="30">
        <v>30</v>
      </c>
      <c r="E43" s="30">
        <v>2</v>
      </c>
      <c r="F43" s="30"/>
      <c r="G43" s="30">
        <v>1</v>
      </c>
      <c r="H43" s="30"/>
      <c r="I43" s="30"/>
      <c r="J43" s="30"/>
      <c r="K43" s="41">
        <f t="shared" si="0"/>
        <v>33</v>
      </c>
    </row>
    <row r="44" spans="2:11" x14ac:dyDescent="0.2">
      <c r="B44" s="11">
        <v>1111061</v>
      </c>
      <c r="C44" s="15" t="s">
        <v>34</v>
      </c>
      <c r="D44" s="30">
        <v>30</v>
      </c>
      <c r="E44" s="30">
        <v>13</v>
      </c>
      <c r="F44" s="30">
        <v>7</v>
      </c>
      <c r="G44" s="30">
        <v>3</v>
      </c>
      <c r="H44" s="30"/>
      <c r="I44" s="30"/>
      <c r="J44" s="30"/>
      <c r="K44" s="41">
        <f t="shared" si="0"/>
        <v>53</v>
      </c>
    </row>
    <row r="45" spans="2:11" x14ac:dyDescent="0.2">
      <c r="B45" s="11">
        <v>1111062</v>
      </c>
      <c r="C45" s="15" t="s">
        <v>35</v>
      </c>
      <c r="D45" s="30">
        <v>30</v>
      </c>
      <c r="E45" s="30">
        <v>11</v>
      </c>
      <c r="F45" s="30">
        <v>7</v>
      </c>
      <c r="G45" s="30">
        <v>1</v>
      </c>
      <c r="H45" s="30"/>
      <c r="I45" s="30"/>
      <c r="J45" s="30"/>
      <c r="K45" s="41">
        <f t="shared" si="0"/>
        <v>49</v>
      </c>
    </row>
    <row r="46" spans="2:11" x14ac:dyDescent="0.2">
      <c r="B46" s="11">
        <v>1111063</v>
      </c>
      <c r="C46" s="15" t="s">
        <v>36</v>
      </c>
      <c r="D46" s="30">
        <v>30</v>
      </c>
      <c r="E46" s="30">
        <v>15</v>
      </c>
      <c r="F46" s="30">
        <v>7</v>
      </c>
      <c r="G46" s="30">
        <v>2</v>
      </c>
      <c r="H46" s="30"/>
      <c r="I46" s="30"/>
      <c r="J46" s="30"/>
      <c r="K46" s="41">
        <f t="shared" si="0"/>
        <v>54</v>
      </c>
    </row>
    <row r="47" spans="2:11" x14ac:dyDescent="0.2">
      <c r="B47" s="11">
        <v>1111064</v>
      </c>
      <c r="C47" s="15" t="s">
        <v>37</v>
      </c>
      <c r="D47" s="30">
        <v>30</v>
      </c>
      <c r="E47" s="30">
        <v>15</v>
      </c>
      <c r="F47" s="30">
        <v>7</v>
      </c>
      <c r="G47" s="30">
        <v>2</v>
      </c>
      <c r="H47" s="30"/>
      <c r="I47" s="30"/>
      <c r="J47" s="30"/>
      <c r="K47" s="41">
        <f t="shared" si="0"/>
        <v>54</v>
      </c>
    </row>
    <row r="48" spans="2:11" x14ac:dyDescent="0.2">
      <c r="B48" s="11">
        <v>1111065</v>
      </c>
      <c r="C48" s="15" t="s">
        <v>38</v>
      </c>
      <c r="D48" s="30">
        <v>30</v>
      </c>
      <c r="E48" s="30">
        <v>10</v>
      </c>
      <c r="F48" s="30"/>
      <c r="G48" s="30">
        <v>5</v>
      </c>
      <c r="H48" s="30"/>
      <c r="I48" s="30"/>
      <c r="J48" s="30"/>
      <c r="K48" s="41">
        <f t="shared" si="0"/>
        <v>45</v>
      </c>
    </row>
    <row r="49" spans="2:11" x14ac:dyDescent="0.2">
      <c r="B49" s="11">
        <v>1111066</v>
      </c>
      <c r="C49" s="15" t="s">
        <v>39</v>
      </c>
      <c r="D49" s="30">
        <v>30</v>
      </c>
      <c r="E49" s="30">
        <v>15</v>
      </c>
      <c r="F49" s="30">
        <v>7</v>
      </c>
      <c r="G49" s="30">
        <v>2</v>
      </c>
      <c r="H49" s="30"/>
      <c r="I49" s="30"/>
      <c r="J49" s="30"/>
      <c r="K49" s="41">
        <f t="shared" si="0"/>
        <v>54</v>
      </c>
    </row>
    <row r="50" spans="2:11" x14ac:dyDescent="0.2">
      <c r="B50" s="11">
        <v>1111067</v>
      </c>
      <c r="C50" s="15" t="s">
        <v>40</v>
      </c>
      <c r="D50" s="30">
        <v>30</v>
      </c>
      <c r="E50" s="30">
        <v>25</v>
      </c>
      <c r="F50" s="30">
        <v>7</v>
      </c>
      <c r="G50" s="30">
        <v>2</v>
      </c>
      <c r="H50" s="30"/>
      <c r="I50" s="30"/>
      <c r="J50" s="30"/>
      <c r="K50" s="41">
        <f t="shared" si="0"/>
        <v>64</v>
      </c>
    </row>
    <row r="51" spans="2:11" x14ac:dyDescent="0.2">
      <c r="B51" s="11">
        <v>1111068</v>
      </c>
      <c r="C51" s="15" t="s">
        <v>41</v>
      </c>
      <c r="D51" s="30">
        <v>30</v>
      </c>
      <c r="E51" s="30">
        <v>17</v>
      </c>
      <c r="F51" s="30">
        <v>7</v>
      </c>
      <c r="G51" s="30">
        <v>2</v>
      </c>
      <c r="H51" s="30"/>
      <c r="I51" s="30"/>
      <c r="J51" s="30"/>
      <c r="K51" s="41">
        <f t="shared" si="0"/>
        <v>56</v>
      </c>
    </row>
    <row r="52" spans="2:11" x14ac:dyDescent="0.2">
      <c r="B52" s="11">
        <v>1111069</v>
      </c>
      <c r="C52" s="15" t="s">
        <v>42</v>
      </c>
      <c r="D52" s="30">
        <v>30</v>
      </c>
      <c r="E52" s="30">
        <v>15</v>
      </c>
      <c r="F52" s="30">
        <v>7</v>
      </c>
      <c r="G52" s="30">
        <v>2</v>
      </c>
      <c r="H52" s="30"/>
      <c r="I52" s="30"/>
      <c r="J52" s="30"/>
      <c r="K52" s="41">
        <f t="shared" si="0"/>
        <v>54</v>
      </c>
    </row>
    <row r="53" spans="2:11" x14ac:dyDescent="0.2">
      <c r="B53" s="11">
        <v>1111070</v>
      </c>
      <c r="C53" s="15" t="s">
        <v>128</v>
      </c>
      <c r="D53" s="30">
        <v>30</v>
      </c>
      <c r="E53" s="30">
        <v>2</v>
      </c>
      <c r="F53" s="30"/>
      <c r="G53" s="30"/>
      <c r="H53" s="30"/>
      <c r="I53" s="30"/>
      <c r="J53" s="30"/>
      <c r="K53" s="41">
        <f t="shared" si="0"/>
        <v>32</v>
      </c>
    </row>
    <row r="54" spans="2:11" x14ac:dyDescent="0.2">
      <c r="B54" s="11">
        <v>1111071</v>
      </c>
      <c r="C54" s="15" t="s">
        <v>129</v>
      </c>
      <c r="D54" s="30">
        <v>30</v>
      </c>
      <c r="E54" s="30">
        <v>2</v>
      </c>
      <c r="F54" s="30"/>
      <c r="G54" s="30"/>
      <c r="H54" s="30"/>
      <c r="I54" s="30"/>
      <c r="J54" s="30"/>
      <c r="K54" s="41">
        <f t="shared" si="0"/>
        <v>32</v>
      </c>
    </row>
    <row r="55" spans="2:11" hidden="1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30"/>
      <c r="K55" s="41">
        <f t="shared" si="0"/>
        <v>0</v>
      </c>
    </row>
    <row r="56" spans="2:11" x14ac:dyDescent="0.2">
      <c r="B56" s="11">
        <v>1111074</v>
      </c>
      <c r="C56" s="15" t="s">
        <v>44</v>
      </c>
      <c r="D56" s="30">
        <v>10</v>
      </c>
      <c r="E56" s="30">
        <v>28</v>
      </c>
      <c r="F56" s="30">
        <v>2</v>
      </c>
      <c r="G56" s="30">
        <v>3</v>
      </c>
      <c r="H56" s="30">
        <v>3</v>
      </c>
      <c r="I56" s="30"/>
      <c r="J56" s="30"/>
      <c r="K56" s="41">
        <f t="shared" si="0"/>
        <v>46</v>
      </c>
    </row>
    <row r="57" spans="2:11" x14ac:dyDescent="0.2">
      <c r="B57" s="11">
        <v>1111075</v>
      </c>
      <c r="C57" s="15" t="s">
        <v>45</v>
      </c>
      <c r="D57" s="30">
        <v>10</v>
      </c>
      <c r="E57" s="30">
        <v>28</v>
      </c>
      <c r="F57" s="30">
        <v>2</v>
      </c>
      <c r="G57" s="30">
        <v>3</v>
      </c>
      <c r="H57" s="30">
        <v>3</v>
      </c>
      <c r="I57" s="30"/>
      <c r="J57" s="30"/>
      <c r="K57" s="41">
        <f t="shared" si="0"/>
        <v>46</v>
      </c>
    </row>
    <row r="58" spans="2:11" x14ac:dyDescent="0.2">
      <c r="B58" s="11">
        <v>1111076</v>
      </c>
      <c r="C58" s="15" t="s">
        <v>46</v>
      </c>
      <c r="D58" s="30">
        <v>10</v>
      </c>
      <c r="E58" s="30">
        <v>28</v>
      </c>
      <c r="F58" s="30">
        <v>2</v>
      </c>
      <c r="G58" s="30">
        <v>3</v>
      </c>
      <c r="H58" s="30">
        <v>3</v>
      </c>
      <c r="I58" s="30"/>
      <c r="J58" s="30"/>
      <c r="K58" s="41">
        <f t="shared" si="0"/>
        <v>46</v>
      </c>
    </row>
    <row r="59" spans="2:11" x14ac:dyDescent="0.2">
      <c r="B59" s="11">
        <v>1111077</v>
      </c>
      <c r="C59" s="15" t="s">
        <v>47</v>
      </c>
      <c r="D59" s="30">
        <v>10</v>
      </c>
      <c r="E59" s="30">
        <v>28</v>
      </c>
      <c r="F59" s="30">
        <v>2</v>
      </c>
      <c r="G59" s="30">
        <v>3</v>
      </c>
      <c r="H59" s="30">
        <v>3</v>
      </c>
      <c r="I59" s="30"/>
      <c r="J59" s="30"/>
      <c r="K59" s="41">
        <f t="shared" si="0"/>
        <v>46</v>
      </c>
    </row>
    <row r="60" spans="2:11" x14ac:dyDescent="0.2">
      <c r="B60" s="11">
        <v>1111078</v>
      </c>
      <c r="C60" s="15" t="s">
        <v>48</v>
      </c>
      <c r="D60" s="30">
        <v>10</v>
      </c>
      <c r="E60" s="30">
        <v>28</v>
      </c>
      <c r="F60" s="30">
        <v>2</v>
      </c>
      <c r="G60" s="30">
        <v>3</v>
      </c>
      <c r="H60" s="30">
        <v>3</v>
      </c>
      <c r="I60" s="30"/>
      <c r="J60" s="30"/>
      <c r="K60" s="41">
        <f t="shared" si="0"/>
        <v>46</v>
      </c>
    </row>
    <row r="61" spans="2:11" x14ac:dyDescent="0.2">
      <c r="B61" s="11">
        <v>1111079</v>
      </c>
      <c r="C61" s="15" t="s">
        <v>49</v>
      </c>
      <c r="D61" s="30">
        <v>10</v>
      </c>
      <c r="E61" s="30">
        <v>28</v>
      </c>
      <c r="F61" s="30">
        <v>2</v>
      </c>
      <c r="G61" s="30">
        <v>2</v>
      </c>
      <c r="H61" s="30">
        <v>2</v>
      </c>
      <c r="I61" s="30"/>
      <c r="J61" s="30"/>
      <c r="K61" s="41">
        <f t="shared" si="0"/>
        <v>44</v>
      </c>
    </row>
    <row r="62" spans="2:11" x14ac:dyDescent="0.2">
      <c r="B62" s="11">
        <v>1111080</v>
      </c>
      <c r="C62" s="15" t="s">
        <v>50</v>
      </c>
      <c r="D62" s="30">
        <v>10</v>
      </c>
      <c r="E62" s="30">
        <v>28</v>
      </c>
      <c r="F62" s="30">
        <v>2</v>
      </c>
      <c r="G62" s="30">
        <v>2</v>
      </c>
      <c r="H62" s="30">
        <v>2</v>
      </c>
      <c r="I62" s="30"/>
      <c r="J62" s="30"/>
      <c r="K62" s="41">
        <f t="shared" si="0"/>
        <v>44</v>
      </c>
    </row>
    <row r="63" spans="2:11" x14ac:dyDescent="0.2">
      <c r="B63" s="11">
        <v>1111081</v>
      </c>
      <c r="C63" s="15" t="s">
        <v>51</v>
      </c>
      <c r="D63" s="30">
        <v>10</v>
      </c>
      <c r="E63" s="30">
        <v>18</v>
      </c>
      <c r="F63" s="30">
        <v>2</v>
      </c>
      <c r="G63" s="30">
        <v>2</v>
      </c>
      <c r="H63" s="30">
        <v>2</v>
      </c>
      <c r="I63" s="30"/>
      <c r="J63" s="30"/>
      <c r="K63" s="41">
        <f t="shared" si="0"/>
        <v>34</v>
      </c>
    </row>
    <row r="64" spans="2:11" x14ac:dyDescent="0.2">
      <c r="B64" s="11">
        <v>1111082</v>
      </c>
      <c r="C64" s="15" t="s">
        <v>52</v>
      </c>
      <c r="D64" s="30">
        <v>10</v>
      </c>
      <c r="E64" s="30">
        <v>28</v>
      </c>
      <c r="F64" s="30">
        <v>2</v>
      </c>
      <c r="G64" s="30">
        <v>2</v>
      </c>
      <c r="H64" s="30">
        <v>2</v>
      </c>
      <c r="I64" s="30"/>
      <c r="J64" s="30"/>
      <c r="K64" s="41">
        <f t="shared" si="0"/>
        <v>44</v>
      </c>
    </row>
    <row r="65" spans="2:11" x14ac:dyDescent="0.2">
      <c r="B65" s="11">
        <v>1111083</v>
      </c>
      <c r="C65" s="15" t="s">
        <v>53</v>
      </c>
      <c r="D65" s="30">
        <v>10</v>
      </c>
      <c r="E65" s="30">
        <v>18</v>
      </c>
      <c r="F65" s="30">
        <v>2</v>
      </c>
      <c r="G65" s="30">
        <v>2</v>
      </c>
      <c r="H65" s="30">
        <v>2</v>
      </c>
      <c r="I65" s="30"/>
      <c r="J65" s="30"/>
      <c r="K65" s="41">
        <f t="shared" si="0"/>
        <v>34</v>
      </c>
    </row>
    <row r="66" spans="2:11" hidden="1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30"/>
      <c r="K66" s="41">
        <f t="shared" si="0"/>
        <v>0</v>
      </c>
    </row>
    <row r="67" spans="2:11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1">
        <f t="shared" ref="K67" si="1">SUM(D67:I67)</f>
        <v>0</v>
      </c>
    </row>
    <row r="68" spans="2:11" ht="19.5" x14ac:dyDescent="0.2">
      <c r="B68" s="52" t="s">
        <v>55</v>
      </c>
      <c r="C68" s="52"/>
      <c r="D68" s="52"/>
      <c r="E68" s="52"/>
      <c r="F68" s="52"/>
      <c r="G68" s="52"/>
      <c r="H68" s="52"/>
      <c r="I68" s="52"/>
      <c r="J68" s="52"/>
      <c r="K68" s="52"/>
    </row>
    <row r="69" spans="2:11" x14ac:dyDescent="0.2">
      <c r="B69" s="11">
        <v>1111009</v>
      </c>
      <c r="C69" s="19" t="s">
        <v>56</v>
      </c>
      <c r="D69" s="30"/>
      <c r="E69" s="30"/>
      <c r="F69" s="30">
        <v>4</v>
      </c>
      <c r="G69" s="30">
        <v>2</v>
      </c>
      <c r="H69" s="30"/>
      <c r="I69" s="30"/>
      <c r="J69" s="30">
        <v>2</v>
      </c>
      <c r="K69" s="41">
        <f>SUM(D69:J69)</f>
        <v>8</v>
      </c>
    </row>
    <row r="70" spans="2:11" hidden="1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30"/>
      <c r="K70" s="41">
        <f t="shared" ref="K70:K76" si="2">SUM(D70:J70)</f>
        <v>0</v>
      </c>
    </row>
    <row r="71" spans="2:11" hidden="1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hidden="1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hidden="1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hidden="1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hidden="1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hidden="1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30"/>
      <c r="K76" s="41">
        <f t="shared" si="2"/>
        <v>0</v>
      </c>
    </row>
    <row r="77" spans="2:11" hidden="1" x14ac:dyDescent="0.2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47"/>
    </row>
    <row r="78" spans="2:11" ht="19.5" x14ac:dyDescent="0.2">
      <c r="B78" s="52" t="s">
        <v>64</v>
      </c>
      <c r="C78" s="52"/>
      <c r="D78" s="52"/>
      <c r="E78" s="52"/>
      <c r="F78" s="52"/>
      <c r="G78" s="52"/>
      <c r="H78" s="52"/>
      <c r="I78" s="52"/>
      <c r="J78" s="52"/>
      <c r="K78" s="52"/>
    </row>
    <row r="79" spans="2:11" x14ac:dyDescent="0.2">
      <c r="B79" s="11">
        <v>1111022</v>
      </c>
      <c r="C79" s="19" t="s">
        <v>65</v>
      </c>
      <c r="D79" s="30"/>
      <c r="E79" s="30">
        <v>1</v>
      </c>
      <c r="F79" s="30"/>
      <c r="G79" s="30"/>
      <c r="H79" s="30"/>
      <c r="I79" s="30"/>
      <c r="J79" s="30"/>
      <c r="K79" s="41">
        <f>SUM(D79:J79)</f>
        <v>1</v>
      </c>
    </row>
    <row r="80" spans="2:11" hidden="1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30"/>
      <c r="K80" s="41">
        <f t="shared" ref="K80:K87" si="3">SUM(D80:J80)</f>
        <v>0</v>
      </c>
    </row>
    <row r="81" spans="2:11" hidden="1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30"/>
      <c r="K81" s="41">
        <f t="shared" si="3"/>
        <v>0</v>
      </c>
    </row>
    <row r="82" spans="2:11" hidden="1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30"/>
      <c r="K82" s="41">
        <f t="shared" si="3"/>
        <v>0</v>
      </c>
    </row>
    <row r="83" spans="2:11" hidden="1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30"/>
      <c r="K83" s="41">
        <f t="shared" si="3"/>
        <v>0</v>
      </c>
    </row>
    <row r="84" spans="2:11" hidden="1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30"/>
      <c r="K84" s="41">
        <f t="shared" si="3"/>
        <v>0</v>
      </c>
    </row>
    <row r="85" spans="2:11" hidden="1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30"/>
      <c r="K85" s="41">
        <f t="shared" si="3"/>
        <v>0</v>
      </c>
    </row>
    <row r="86" spans="2:11" hidden="1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30"/>
      <c r="K86" s="41">
        <f t="shared" si="3"/>
        <v>0</v>
      </c>
    </row>
    <row r="87" spans="2:11" x14ac:dyDescent="0.2">
      <c r="B87" s="11">
        <v>1111008</v>
      </c>
      <c r="C87" s="19" t="s">
        <v>73</v>
      </c>
      <c r="D87" s="30">
        <v>6</v>
      </c>
      <c r="E87" s="30">
        <v>12</v>
      </c>
      <c r="F87" s="30"/>
      <c r="G87" s="30">
        <v>113</v>
      </c>
      <c r="H87" s="30">
        <v>129</v>
      </c>
      <c r="I87" s="30"/>
      <c r="J87" s="30"/>
      <c r="K87" s="41">
        <f t="shared" si="3"/>
        <v>260</v>
      </c>
    </row>
    <row r="88" spans="2:11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47"/>
    </row>
    <row r="89" spans="2:11" ht="19.5" x14ac:dyDescent="0.2">
      <c r="B89" s="52" t="s">
        <v>74</v>
      </c>
      <c r="C89" s="52"/>
      <c r="D89" s="52"/>
      <c r="E89" s="52"/>
      <c r="F89" s="52"/>
      <c r="G89" s="52"/>
      <c r="H89" s="52"/>
      <c r="I89" s="52"/>
      <c r="J89" s="52"/>
      <c r="K89" s="52"/>
    </row>
    <row r="90" spans="2:11" x14ac:dyDescent="0.2">
      <c r="B90" s="11">
        <v>1112009</v>
      </c>
      <c r="C90" s="19" t="s">
        <v>75</v>
      </c>
      <c r="D90" s="30">
        <v>11</v>
      </c>
      <c r="E90" s="30">
        <v>8</v>
      </c>
      <c r="F90" s="30">
        <v>15</v>
      </c>
      <c r="G90" s="30">
        <v>38</v>
      </c>
      <c r="H90" s="30">
        <v>35</v>
      </c>
      <c r="I90" s="30"/>
      <c r="J90" s="30">
        <v>1</v>
      </c>
      <c r="K90" s="41">
        <f>SUM(D90:J90)</f>
        <v>108</v>
      </c>
    </row>
    <row r="91" spans="2:11" x14ac:dyDescent="0.2">
      <c r="B91" s="11">
        <v>1112011</v>
      </c>
      <c r="C91" s="19" t="s">
        <v>76</v>
      </c>
      <c r="D91" s="30">
        <v>13</v>
      </c>
      <c r="E91" s="30">
        <v>9</v>
      </c>
      <c r="F91" s="30">
        <v>37</v>
      </c>
      <c r="G91" s="30">
        <v>63</v>
      </c>
      <c r="H91" s="30">
        <v>60</v>
      </c>
      <c r="I91" s="30"/>
      <c r="J91" s="30"/>
      <c r="K91" s="41">
        <f t="shared" ref="K91:K99" si="4">SUM(D91:J91)</f>
        <v>182</v>
      </c>
    </row>
    <row r="92" spans="2:11" x14ac:dyDescent="0.2">
      <c r="B92" s="11">
        <v>1112003</v>
      </c>
      <c r="C92" s="19" t="s">
        <v>77</v>
      </c>
      <c r="D92" s="30">
        <v>1</v>
      </c>
      <c r="E92" s="30"/>
      <c r="F92" s="30"/>
      <c r="G92" s="30"/>
      <c r="H92" s="30"/>
      <c r="I92" s="30"/>
      <c r="J92" s="30"/>
      <c r="K92" s="41">
        <f t="shared" si="4"/>
        <v>1</v>
      </c>
    </row>
    <row r="93" spans="2:11" x14ac:dyDescent="0.2">
      <c r="B93" s="11">
        <v>1112005</v>
      </c>
      <c r="C93" s="19" t="s">
        <v>78</v>
      </c>
      <c r="D93" s="30">
        <v>5</v>
      </c>
      <c r="E93" s="30"/>
      <c r="F93" s="30"/>
      <c r="G93" s="30"/>
      <c r="H93" s="30"/>
      <c r="I93" s="30"/>
      <c r="J93" s="30"/>
      <c r="K93" s="41">
        <f t="shared" si="4"/>
        <v>5</v>
      </c>
    </row>
    <row r="94" spans="2:11" hidden="1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30"/>
      <c r="K94" s="41">
        <f t="shared" si="4"/>
        <v>0</v>
      </c>
    </row>
    <row r="95" spans="2:11" hidden="1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30"/>
      <c r="K95" s="41">
        <f t="shared" si="4"/>
        <v>0</v>
      </c>
    </row>
    <row r="96" spans="2:11" x14ac:dyDescent="0.2">
      <c r="B96" s="11">
        <v>1112017</v>
      </c>
      <c r="C96" s="19" t="s">
        <v>81</v>
      </c>
      <c r="D96" s="30">
        <v>1</v>
      </c>
      <c r="E96" s="30"/>
      <c r="F96" s="30">
        <v>2</v>
      </c>
      <c r="G96" s="30">
        <v>25</v>
      </c>
      <c r="H96" s="30">
        <v>25</v>
      </c>
      <c r="I96" s="30"/>
      <c r="J96" s="30"/>
      <c r="K96" s="41">
        <f t="shared" si="4"/>
        <v>53</v>
      </c>
    </row>
    <row r="97" spans="2:11" hidden="1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30"/>
      <c r="K97" s="41">
        <f t="shared" si="4"/>
        <v>0</v>
      </c>
    </row>
    <row r="98" spans="2:11" x14ac:dyDescent="0.2">
      <c r="B98" s="11">
        <v>1112013</v>
      </c>
      <c r="C98" s="19" t="s">
        <v>83</v>
      </c>
      <c r="D98" s="30">
        <v>11</v>
      </c>
      <c r="E98" s="30">
        <v>8</v>
      </c>
      <c r="F98" s="30">
        <v>15</v>
      </c>
      <c r="G98" s="30">
        <v>61</v>
      </c>
      <c r="H98" s="30">
        <v>60</v>
      </c>
      <c r="I98" s="30"/>
      <c r="J98" s="30">
        <v>2</v>
      </c>
      <c r="K98" s="41">
        <f t="shared" si="4"/>
        <v>157</v>
      </c>
    </row>
    <row r="99" spans="2:11" hidden="1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30"/>
      <c r="K99" s="41">
        <f t="shared" si="4"/>
        <v>0</v>
      </c>
    </row>
    <row r="100" spans="2:11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1"/>
    </row>
    <row r="101" spans="2:11" ht="19.5" hidden="1" x14ac:dyDescent="0.2">
      <c r="B101" s="52" t="s">
        <v>85</v>
      </c>
      <c r="C101" s="52"/>
      <c r="D101" s="52"/>
      <c r="E101" s="52"/>
      <c r="F101" s="52"/>
      <c r="G101" s="52"/>
      <c r="H101" s="52"/>
      <c r="I101" s="52"/>
      <c r="J101" s="52"/>
      <c r="K101" s="52"/>
    </row>
    <row r="102" spans="2:11" hidden="1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30"/>
      <c r="K102" s="41">
        <f>SUM(D102:H102)</f>
        <v>0</v>
      </c>
    </row>
    <row r="103" spans="2:11" hidden="1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30"/>
      <c r="K103" s="41">
        <f t="shared" ref="K103:K111" si="5">SUM(D103:H103)</f>
        <v>0</v>
      </c>
    </row>
    <row r="104" spans="2:11" hidden="1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30"/>
      <c r="K104" s="41">
        <f t="shared" si="5"/>
        <v>0</v>
      </c>
    </row>
    <row r="105" spans="2:11" hidden="1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30"/>
      <c r="K105" s="41">
        <f t="shared" si="5"/>
        <v>0</v>
      </c>
    </row>
    <row r="106" spans="2:11" hidden="1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30"/>
      <c r="K106" s="41">
        <f t="shared" si="5"/>
        <v>0</v>
      </c>
    </row>
    <row r="107" spans="2:11" hidden="1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30"/>
      <c r="K107" s="41">
        <f t="shared" si="5"/>
        <v>0</v>
      </c>
    </row>
    <row r="108" spans="2:11" hidden="1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30"/>
      <c r="K108" s="41">
        <f t="shared" si="5"/>
        <v>0</v>
      </c>
    </row>
    <row r="109" spans="2:11" hidden="1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30"/>
      <c r="K109" s="41">
        <f t="shared" si="5"/>
        <v>0</v>
      </c>
    </row>
    <row r="110" spans="2:11" hidden="1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30"/>
      <c r="K110" s="41">
        <f t="shared" si="5"/>
        <v>0</v>
      </c>
    </row>
    <row r="111" spans="2:11" hidden="1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30"/>
      <c r="K111" s="41">
        <f t="shared" si="5"/>
        <v>0</v>
      </c>
    </row>
    <row r="112" spans="2:11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46">
        <f>SUM(K102:K110)</f>
        <v>0</v>
      </c>
    </row>
    <row r="113" spans="2:11" ht="19.5" x14ac:dyDescent="0.2">
      <c r="B113" s="52" t="s">
        <v>86</v>
      </c>
      <c r="C113" s="52"/>
      <c r="D113" s="52"/>
      <c r="E113" s="52"/>
      <c r="F113" s="52"/>
      <c r="G113" s="52"/>
      <c r="H113" s="52"/>
      <c r="I113" s="52"/>
      <c r="J113" s="52"/>
      <c r="K113" s="52"/>
    </row>
    <row r="114" spans="2:11" hidden="1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30"/>
      <c r="K114" s="41">
        <f>SUM(D114:J114)</f>
        <v>0</v>
      </c>
    </row>
    <row r="115" spans="2:11" hidden="1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30"/>
      <c r="K115" s="41">
        <f t="shared" ref="K115:K137" si="6">SUM(D115:J115)</f>
        <v>0</v>
      </c>
    </row>
    <row r="116" spans="2:11" hidden="1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30"/>
      <c r="K116" s="41">
        <f t="shared" si="6"/>
        <v>0</v>
      </c>
    </row>
    <row r="117" spans="2:11" hidden="1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30"/>
      <c r="K117" s="41">
        <f t="shared" si="6"/>
        <v>0</v>
      </c>
    </row>
    <row r="118" spans="2:11" x14ac:dyDescent="0.2">
      <c r="B118" s="11">
        <v>1100003</v>
      </c>
      <c r="C118" s="21" t="s">
        <v>121</v>
      </c>
      <c r="D118" s="30"/>
      <c r="E118" s="30">
        <v>1</v>
      </c>
      <c r="F118" s="30"/>
      <c r="G118" s="30"/>
      <c r="H118" s="30"/>
      <c r="I118" s="30"/>
      <c r="J118" s="30"/>
      <c r="K118" s="41">
        <f t="shared" si="6"/>
        <v>1</v>
      </c>
    </row>
    <row r="119" spans="2:11" x14ac:dyDescent="0.2">
      <c r="B119" s="11">
        <v>1100001</v>
      </c>
      <c r="C119" s="21" t="s">
        <v>122</v>
      </c>
      <c r="D119" s="30"/>
      <c r="E119" s="30">
        <v>10</v>
      </c>
      <c r="F119" s="30"/>
      <c r="G119" s="30"/>
      <c r="H119" s="30"/>
      <c r="I119" s="30"/>
      <c r="J119" s="30"/>
      <c r="K119" s="41">
        <f t="shared" si="6"/>
        <v>10</v>
      </c>
    </row>
    <row r="120" spans="2:11" hidden="1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30"/>
      <c r="K120" s="41">
        <f t="shared" si="6"/>
        <v>0</v>
      </c>
    </row>
    <row r="121" spans="2:11" x14ac:dyDescent="0.2">
      <c r="B121" s="11">
        <v>1200001</v>
      </c>
      <c r="C121" s="21" t="s">
        <v>93</v>
      </c>
      <c r="D121" s="30"/>
      <c r="E121" s="30">
        <v>1</v>
      </c>
      <c r="F121" s="30">
        <v>1</v>
      </c>
      <c r="G121" s="30"/>
      <c r="H121" s="30"/>
      <c r="I121" s="30"/>
      <c r="J121" s="30"/>
      <c r="K121" s="41">
        <f t="shared" si="6"/>
        <v>2</v>
      </c>
    </row>
    <row r="122" spans="2:11" x14ac:dyDescent="0.2">
      <c r="B122" s="11">
        <v>1005761</v>
      </c>
      <c r="C122" s="21" t="s">
        <v>94</v>
      </c>
      <c r="D122" s="30"/>
      <c r="E122" s="30"/>
      <c r="F122" s="30">
        <v>1</v>
      </c>
      <c r="G122" s="30"/>
      <c r="H122" s="30"/>
      <c r="I122" s="30"/>
      <c r="J122" s="30"/>
      <c r="K122" s="41">
        <f t="shared" si="6"/>
        <v>1</v>
      </c>
    </row>
    <row r="123" spans="2:11" x14ac:dyDescent="0.2">
      <c r="B123" s="11">
        <v>1114501</v>
      </c>
      <c r="C123" s="21" t="s">
        <v>95</v>
      </c>
      <c r="D123" s="30">
        <v>3</v>
      </c>
      <c r="E123" s="30">
        <v>24</v>
      </c>
      <c r="F123" s="30">
        <v>17</v>
      </c>
      <c r="G123" s="30">
        <v>151</v>
      </c>
      <c r="H123" s="30">
        <v>145</v>
      </c>
      <c r="I123" s="30"/>
      <c r="J123" s="30">
        <v>1</v>
      </c>
      <c r="K123" s="41">
        <f t="shared" si="6"/>
        <v>341</v>
      </c>
    </row>
    <row r="124" spans="2:11" x14ac:dyDescent="0.2">
      <c r="B124" s="11">
        <v>1114502</v>
      </c>
      <c r="C124" s="21" t="s">
        <v>96</v>
      </c>
      <c r="D124" s="30">
        <v>3</v>
      </c>
      <c r="E124" s="30">
        <v>24</v>
      </c>
      <c r="F124" s="30">
        <v>13</v>
      </c>
      <c r="G124" s="30">
        <v>152</v>
      </c>
      <c r="H124" s="30">
        <v>145</v>
      </c>
      <c r="I124" s="30"/>
      <c r="J124" s="30"/>
      <c r="K124" s="41">
        <f t="shared" si="6"/>
        <v>337</v>
      </c>
    </row>
    <row r="125" spans="2:11" x14ac:dyDescent="0.2">
      <c r="B125" s="11">
        <v>1114503</v>
      </c>
      <c r="C125" s="21" t="s">
        <v>97</v>
      </c>
      <c r="D125" s="30">
        <v>4</v>
      </c>
      <c r="E125" s="30">
        <v>21</v>
      </c>
      <c r="F125" s="30">
        <v>14</v>
      </c>
      <c r="G125" s="30">
        <v>151</v>
      </c>
      <c r="H125" s="30">
        <v>145</v>
      </c>
      <c r="I125" s="30"/>
      <c r="J125" s="30"/>
      <c r="K125" s="41">
        <f t="shared" si="6"/>
        <v>335</v>
      </c>
    </row>
    <row r="126" spans="2:11" x14ac:dyDescent="0.2">
      <c r="B126" s="11">
        <v>1124021</v>
      </c>
      <c r="C126" s="21" t="s">
        <v>98</v>
      </c>
      <c r="D126" s="30">
        <v>42</v>
      </c>
      <c r="E126" s="30">
        <v>84</v>
      </c>
      <c r="F126" s="30">
        <v>116</v>
      </c>
      <c r="G126" s="30">
        <v>63</v>
      </c>
      <c r="H126" s="30">
        <v>48</v>
      </c>
      <c r="I126" s="30"/>
      <c r="J126" s="30">
        <v>4</v>
      </c>
      <c r="K126" s="41">
        <f t="shared" si="6"/>
        <v>357</v>
      </c>
    </row>
    <row r="127" spans="2:11" x14ac:dyDescent="0.2">
      <c r="B127" s="11">
        <v>1113084</v>
      </c>
      <c r="C127" s="21" t="s">
        <v>99</v>
      </c>
      <c r="D127" s="30"/>
      <c r="E127" s="30">
        <v>2</v>
      </c>
      <c r="F127" s="30"/>
      <c r="G127" s="30">
        <v>2</v>
      </c>
      <c r="H127" s="30"/>
      <c r="I127" s="30"/>
      <c r="J127" s="30"/>
      <c r="K127" s="41">
        <f t="shared" si="6"/>
        <v>4</v>
      </c>
    </row>
    <row r="128" spans="2:11" hidden="1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30"/>
      <c r="K128" s="41">
        <f t="shared" si="6"/>
        <v>0</v>
      </c>
    </row>
    <row r="129" spans="2:11" hidden="1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30"/>
      <c r="K129" s="41">
        <f t="shared" si="6"/>
        <v>0</v>
      </c>
    </row>
    <row r="130" spans="2:11" x14ac:dyDescent="0.2">
      <c r="B130" s="11">
        <v>1200002</v>
      </c>
      <c r="C130" s="21" t="s">
        <v>101</v>
      </c>
      <c r="D130" s="30">
        <v>3</v>
      </c>
      <c r="E130" s="30"/>
      <c r="F130" s="30"/>
      <c r="G130" s="30"/>
      <c r="H130" s="30"/>
      <c r="I130" s="30"/>
      <c r="J130" s="30"/>
      <c r="K130" s="41">
        <f t="shared" si="6"/>
        <v>3</v>
      </c>
    </row>
    <row r="131" spans="2:11" hidden="1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30"/>
      <c r="K131" s="41">
        <f t="shared" si="6"/>
        <v>0</v>
      </c>
    </row>
    <row r="132" spans="2:11" hidden="1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30"/>
      <c r="K132" s="41">
        <f t="shared" si="6"/>
        <v>0</v>
      </c>
    </row>
    <row r="133" spans="2:11" hidden="1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30"/>
      <c r="K133" s="41">
        <f t="shared" si="6"/>
        <v>0</v>
      </c>
    </row>
    <row r="134" spans="2:11" hidden="1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30"/>
      <c r="K134" s="41">
        <f t="shared" si="6"/>
        <v>0</v>
      </c>
    </row>
    <row r="135" spans="2:11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30">
        <v>4</v>
      </c>
      <c r="K135" s="41">
        <f t="shared" si="6"/>
        <v>4</v>
      </c>
    </row>
    <row r="136" spans="2:11" x14ac:dyDescent="0.2">
      <c r="B136" s="22"/>
      <c r="C136" s="21" t="s">
        <v>125</v>
      </c>
      <c r="D136" s="30"/>
      <c r="E136" s="30">
        <v>4</v>
      </c>
      <c r="F136" s="30"/>
      <c r="G136" s="30"/>
      <c r="H136" s="30"/>
      <c r="I136" s="30"/>
      <c r="J136" s="30">
        <v>3</v>
      </c>
      <c r="K136" s="41">
        <f t="shared" si="6"/>
        <v>7</v>
      </c>
    </row>
    <row r="137" spans="2:11" hidden="1" x14ac:dyDescent="0.2">
      <c r="B137" s="22">
        <v>20052721</v>
      </c>
      <c r="C137" s="21" t="s">
        <v>131</v>
      </c>
      <c r="D137" s="30"/>
      <c r="E137" s="30"/>
      <c r="F137" s="30"/>
      <c r="G137" s="30"/>
      <c r="H137" s="30"/>
      <c r="I137" s="30"/>
      <c r="J137" s="30"/>
      <c r="K137" s="41">
        <f t="shared" si="6"/>
        <v>0</v>
      </c>
    </row>
    <row r="138" spans="2:11" x14ac:dyDescent="0.2">
      <c r="C138" s="35"/>
      <c r="D138" s="38"/>
      <c r="E138" s="38"/>
      <c r="F138" s="38"/>
      <c r="G138" s="38"/>
      <c r="H138" s="38"/>
      <c r="I138" s="38"/>
      <c r="J138" s="38"/>
      <c r="K138" s="39"/>
    </row>
    <row r="139" spans="2:11" x14ac:dyDescent="0.2">
      <c r="C139" s="35"/>
      <c r="D139" s="39">
        <f t="shared" ref="D139:I139" si="7">SUM(D114:D137,D102:D111,D90:D99,D79:D87,D69:D76,D7:D66)</f>
        <v>658</v>
      </c>
      <c r="E139" s="39">
        <f t="shared" si="7"/>
        <v>742</v>
      </c>
      <c r="F139" s="39">
        <f t="shared" si="7"/>
        <v>521</v>
      </c>
      <c r="G139" s="39">
        <f t="shared" si="7"/>
        <v>983</v>
      </c>
      <c r="H139" s="39">
        <f t="shared" si="7"/>
        <v>902</v>
      </c>
      <c r="I139" s="39">
        <f t="shared" si="7"/>
        <v>0</v>
      </c>
      <c r="J139" s="39"/>
      <c r="K139" s="39">
        <f>SUM(K114:K137,K102:K111,K90:K99,K79:K87,K69:K76,K7:K66)</f>
        <v>3825</v>
      </c>
    </row>
    <row r="140" spans="2:11" x14ac:dyDescent="0.2">
      <c r="C140" s="24"/>
      <c r="D140" s="31"/>
      <c r="E140" s="53"/>
      <c r="F140" s="53"/>
      <c r="G140" s="26"/>
    </row>
    <row r="141" spans="2:11" x14ac:dyDescent="0.2">
      <c r="B141" s="53" t="s">
        <v>104</v>
      </c>
      <c r="C141" s="53"/>
      <c r="D141" s="32"/>
      <c r="E141" s="51"/>
      <c r="F141" s="51"/>
      <c r="G141" s="27"/>
      <c r="H141" s="26"/>
      <c r="I141" s="53" t="s">
        <v>104</v>
      </c>
      <c r="J141" s="53"/>
      <c r="K141" s="53"/>
    </row>
    <row r="142" spans="2:11" x14ac:dyDescent="0.2">
      <c r="B142" s="51" t="s">
        <v>105</v>
      </c>
      <c r="C142" s="51"/>
      <c r="D142" s="33"/>
      <c r="E142" s="33"/>
      <c r="F142" s="33"/>
      <c r="G142" s="33"/>
      <c r="H142" s="33"/>
      <c r="I142" s="51" t="s">
        <v>106</v>
      </c>
      <c r="J142" s="51"/>
      <c r="K142" s="51"/>
    </row>
    <row r="143" spans="2:11" x14ac:dyDescent="0.2">
      <c r="B143" s="31"/>
      <c r="C143" s="31"/>
      <c r="D143" s="33"/>
      <c r="E143" s="33"/>
      <c r="F143" s="33"/>
      <c r="G143" s="33"/>
      <c r="H143" s="33"/>
      <c r="I143" s="31"/>
      <c r="J143" s="31"/>
      <c r="K143" s="34"/>
    </row>
    <row r="144" spans="2:11" ht="14.25" x14ac:dyDescent="0.2">
      <c r="B144" s="31"/>
      <c r="C144" s="31"/>
      <c r="D144" s="31"/>
      <c r="E144" s="31"/>
      <c r="F144" s="31"/>
      <c r="G144" s="31"/>
      <c r="H144" s="31"/>
      <c r="I144" s="31"/>
      <c r="J144" s="31"/>
      <c r="K144" s="34"/>
    </row>
    <row r="145" spans="2:11" ht="14.25" x14ac:dyDescent="0.2">
      <c r="B145" s="31"/>
      <c r="C145" s="31"/>
      <c r="D145" s="31"/>
      <c r="E145" s="31"/>
      <c r="F145" s="31"/>
      <c r="G145" s="31"/>
      <c r="H145" s="31"/>
      <c r="I145" s="31"/>
      <c r="J145" s="31"/>
      <c r="K145" s="34"/>
    </row>
    <row r="146" spans="2:11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4"/>
    </row>
    <row r="147" spans="2:11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4"/>
    </row>
    <row r="148" spans="2:11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4"/>
    </row>
    <row r="149" spans="2:11" x14ac:dyDescent="0.2">
      <c r="D149" s="31"/>
      <c r="E149" s="31"/>
      <c r="F149" s="31"/>
      <c r="G149" s="31"/>
      <c r="H149" s="31"/>
    </row>
    <row r="150" spans="2:11" x14ac:dyDescent="0.2">
      <c r="D150" s="31"/>
      <c r="E150" s="31"/>
      <c r="F150" s="31"/>
      <c r="G150" s="31"/>
      <c r="H150" s="31"/>
    </row>
    <row r="151" spans="2:11" x14ac:dyDescent="0.2">
      <c r="D151" s="31"/>
      <c r="E151" s="31"/>
      <c r="F151" s="31"/>
      <c r="G151" s="31"/>
      <c r="H151" s="31"/>
    </row>
    <row r="152" spans="2:11" x14ac:dyDescent="0.2">
      <c r="D152" s="31"/>
      <c r="E152" s="31"/>
      <c r="F152" s="31"/>
      <c r="G152" s="31"/>
      <c r="H152" s="31"/>
    </row>
    <row r="153" spans="2:11" x14ac:dyDescent="0.2">
      <c r="D153" s="31"/>
      <c r="E153" s="31"/>
      <c r="F153" s="31"/>
      <c r="G153" s="31"/>
      <c r="H153" s="31"/>
    </row>
    <row r="154" spans="2:11" x14ac:dyDescent="0.2">
      <c r="D154" s="31"/>
      <c r="E154" s="31"/>
      <c r="F154" s="31"/>
      <c r="G154" s="31"/>
      <c r="H154" s="31"/>
    </row>
    <row r="155" spans="2:11" x14ac:dyDescent="0.2">
      <c r="D155" s="31"/>
      <c r="E155" s="31"/>
      <c r="F155" s="31"/>
      <c r="G155" s="31"/>
      <c r="H155" s="31"/>
    </row>
    <row r="156" spans="2:11" x14ac:dyDescent="0.2">
      <c r="D156" s="31"/>
      <c r="E156" s="31"/>
      <c r="F156" s="31"/>
      <c r="G156" s="31"/>
      <c r="H156" s="31"/>
    </row>
    <row r="157" spans="2:11" x14ac:dyDescent="0.2">
      <c r="D157" s="31"/>
      <c r="E157" s="31"/>
      <c r="F157" s="31"/>
      <c r="G157" s="31"/>
      <c r="H157" s="31"/>
    </row>
    <row r="158" spans="2:11" x14ac:dyDescent="0.2">
      <c r="D158" s="31"/>
      <c r="E158" s="31"/>
      <c r="F158" s="31"/>
      <c r="G158" s="31"/>
      <c r="H158" s="31"/>
    </row>
    <row r="159" spans="2:11" x14ac:dyDescent="0.2">
      <c r="D159" s="31"/>
      <c r="E159" s="31"/>
      <c r="F159" s="31"/>
      <c r="G159" s="31"/>
      <c r="H159" s="31"/>
    </row>
  </sheetData>
  <mergeCells count="14">
    <mergeCell ref="B2:J3"/>
    <mergeCell ref="B1:K1"/>
    <mergeCell ref="B142:C142"/>
    <mergeCell ref="I142:K142"/>
    <mergeCell ref="B6:K6"/>
    <mergeCell ref="B68:K68"/>
    <mergeCell ref="B78:K78"/>
    <mergeCell ref="B89:K89"/>
    <mergeCell ref="B101:K101"/>
    <mergeCell ref="B113:K113"/>
    <mergeCell ref="E140:F140"/>
    <mergeCell ref="B141:C141"/>
    <mergeCell ref="E141:F141"/>
    <mergeCell ref="I141:K141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P160"/>
  <sheetViews>
    <sheetView tabSelected="1" topLeftCell="B88" zoomScale="60" zoomScaleNormal="60" workbookViewId="0">
      <selection activeCell="L119" sqref="L119"/>
    </sheetView>
  </sheetViews>
  <sheetFormatPr defaultRowHeight="22.5" x14ac:dyDescent="0.2"/>
  <cols>
    <col min="2" max="2" width="22.125" style="23" customWidth="1"/>
    <col min="3" max="3" width="59.125" style="23" customWidth="1"/>
    <col min="4" max="8" width="14.375" style="16" customWidth="1"/>
    <col min="9" max="9" width="14.375" style="16" hidden="1" customWidth="1"/>
    <col min="10" max="10" width="14.375" style="16" customWidth="1"/>
    <col min="11" max="11" width="17.625" style="25" customWidth="1"/>
    <col min="12" max="15" width="14.375" style="23" customWidth="1"/>
    <col min="16" max="16" width="14.375" style="28" customWidth="1"/>
    <col min="17" max="17" width="9" customWidth="1"/>
  </cols>
  <sheetData>
    <row r="1" spans="2:16" x14ac:dyDescent="0.2">
      <c r="B1" s="54" t="s">
        <v>139</v>
      </c>
      <c r="C1" s="54"/>
      <c r="D1" s="54"/>
      <c r="E1" s="54"/>
      <c r="F1" s="54"/>
      <c r="G1" s="54"/>
      <c r="H1" s="54"/>
      <c r="I1" s="54"/>
      <c r="J1" s="54"/>
      <c r="K1" s="54"/>
    </row>
    <row r="2" spans="2:16" x14ac:dyDescent="0.2">
      <c r="B2" s="55"/>
      <c r="C2" s="75"/>
      <c r="D2" s="1"/>
      <c r="E2" s="76"/>
      <c r="F2" s="76"/>
      <c r="G2" s="2"/>
      <c r="H2" s="2"/>
      <c r="I2" s="2"/>
      <c r="J2" s="2"/>
      <c r="K2" s="3" t="s">
        <v>0</v>
      </c>
      <c r="L2" s="72" t="s">
        <v>130</v>
      </c>
      <c r="M2" s="72" t="s">
        <v>127</v>
      </c>
      <c r="N2" s="72" t="s">
        <v>135</v>
      </c>
      <c r="O2" s="69" t="s">
        <v>136</v>
      </c>
      <c r="P2" s="63" t="s">
        <v>1</v>
      </c>
    </row>
    <row r="3" spans="2:16" x14ac:dyDescent="0.2">
      <c r="B3" s="55"/>
      <c r="C3" s="75"/>
      <c r="D3" s="4"/>
      <c r="E3" s="77"/>
      <c r="F3" s="77"/>
      <c r="G3" s="5"/>
      <c r="H3" s="5"/>
      <c r="I3" s="5"/>
      <c r="J3" s="48"/>
      <c r="K3" s="6" t="s">
        <v>2</v>
      </c>
      <c r="L3" s="73"/>
      <c r="M3" s="73"/>
      <c r="N3" s="73"/>
      <c r="O3" s="70"/>
      <c r="P3" s="64"/>
    </row>
    <row r="4" spans="2:16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9" t="s">
        <v>133</v>
      </c>
      <c r="K4" s="10" t="s">
        <v>10</v>
      </c>
      <c r="L4" s="74"/>
      <c r="M4" s="74"/>
      <c r="N4" s="74"/>
      <c r="O4" s="71"/>
      <c r="P4" s="65"/>
    </row>
    <row r="5" spans="2:16" x14ac:dyDescent="0.2">
      <c r="B5" s="11"/>
      <c r="C5" s="12"/>
      <c r="D5" s="13"/>
      <c r="E5" s="9"/>
      <c r="F5" s="9"/>
      <c r="G5" s="9"/>
      <c r="H5" s="9"/>
      <c r="I5" s="9"/>
      <c r="J5" s="49"/>
      <c r="K5" s="14"/>
      <c r="L5" s="11"/>
      <c r="M5" s="11"/>
      <c r="N5" s="11"/>
      <c r="O5" s="11"/>
      <c r="P5" s="29"/>
    </row>
    <row r="6" spans="2:16" ht="19.5" x14ac:dyDescent="0.2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8"/>
    </row>
    <row r="7" spans="2:16" x14ac:dyDescent="0.2">
      <c r="B7" s="11">
        <v>1111002</v>
      </c>
      <c r="C7" s="15" t="s">
        <v>107</v>
      </c>
      <c r="D7" s="30">
        <f>เย็น!D7+เช้า!D7</f>
        <v>1</v>
      </c>
      <c r="E7" s="30">
        <f>เย็น!E7+เช้า!E7</f>
        <v>73</v>
      </c>
      <c r="F7" s="30">
        <f>เย็น!F7+เช้า!F7</f>
        <v>187</v>
      </c>
      <c r="G7" s="30">
        <f>เย็น!G7+เช้า!G7</f>
        <v>7</v>
      </c>
      <c r="H7" s="30">
        <f>เย็น!H7+เช้า!H7</f>
        <v>0</v>
      </c>
      <c r="I7" s="30">
        <f>เย็น!I7+เช้า!I7</f>
        <v>0</v>
      </c>
      <c r="J7" s="30">
        <f>เย็น!J7+เช้า!J7</f>
        <v>0</v>
      </c>
      <c r="K7" s="36">
        <f>SUM(D7:J7)</f>
        <v>268</v>
      </c>
      <c r="L7" s="11">
        <v>30</v>
      </c>
      <c r="M7" s="11">
        <v>200</v>
      </c>
      <c r="N7" s="11"/>
      <c r="O7" s="11"/>
      <c r="P7" s="50">
        <f>(L7+M7+N7+O7)-K7</f>
        <v>-38</v>
      </c>
    </row>
    <row r="8" spans="2:16" hidden="1" x14ac:dyDescent="0.2">
      <c r="B8" s="11"/>
      <c r="C8" s="15" t="s">
        <v>126</v>
      </c>
      <c r="D8" s="30">
        <f>เย็น!D8+เช้า!D8</f>
        <v>0</v>
      </c>
      <c r="E8" s="30">
        <f>เย็น!E8+เช้า!E8</f>
        <v>0</v>
      </c>
      <c r="F8" s="30">
        <f>เย็น!F8+เช้า!F8</f>
        <v>0</v>
      </c>
      <c r="G8" s="30">
        <f>เย็น!G8+เช้า!G8</f>
        <v>0</v>
      </c>
      <c r="H8" s="30">
        <f>เย็น!H8+เช้า!H8</f>
        <v>0</v>
      </c>
      <c r="I8" s="30">
        <f>เย็น!I8+เช้า!I8</f>
        <v>0</v>
      </c>
      <c r="J8" s="30">
        <f>เย็น!J8+เช้า!J8</f>
        <v>0</v>
      </c>
      <c r="K8" s="36">
        <f t="shared" ref="K8:K67" si="0">SUM(D8:J8)</f>
        <v>0</v>
      </c>
      <c r="L8" s="11"/>
      <c r="M8" s="11"/>
      <c r="N8" s="11"/>
      <c r="O8" s="11"/>
      <c r="P8" s="50">
        <f t="shared" ref="P8:P46" si="1">(L8+M8+N8+O8)-K8</f>
        <v>0</v>
      </c>
    </row>
    <row r="9" spans="2:16" hidden="1" x14ac:dyDescent="0.2">
      <c r="B9" s="11">
        <v>1111084</v>
      </c>
      <c r="C9" s="15" t="s">
        <v>12</v>
      </c>
      <c r="D9" s="30">
        <f>เย็น!D9+เช้า!D9</f>
        <v>0</v>
      </c>
      <c r="E9" s="30">
        <f>เย็น!E9+เช้า!E9</f>
        <v>0</v>
      </c>
      <c r="F9" s="30">
        <f>เย็น!F9+เช้า!F9</f>
        <v>0</v>
      </c>
      <c r="G9" s="30">
        <f>เย็น!G9+เช้า!G9</f>
        <v>0</v>
      </c>
      <c r="H9" s="30">
        <f>เย็น!H9+เช้า!H9</f>
        <v>0</v>
      </c>
      <c r="I9" s="30">
        <f>เย็น!I9+เช้า!I9</f>
        <v>0</v>
      </c>
      <c r="J9" s="30">
        <f>เย็น!J9+เช้า!J9</f>
        <v>0</v>
      </c>
      <c r="K9" s="36">
        <f t="shared" si="0"/>
        <v>0</v>
      </c>
      <c r="L9" s="11"/>
      <c r="M9" s="11"/>
      <c r="N9" s="11"/>
      <c r="O9" s="11"/>
      <c r="P9" s="50">
        <f t="shared" si="1"/>
        <v>0</v>
      </c>
    </row>
    <row r="10" spans="2:16" hidden="1" x14ac:dyDescent="0.2">
      <c r="B10" s="11">
        <v>1111085</v>
      </c>
      <c r="C10" s="15" t="s">
        <v>13</v>
      </c>
      <c r="D10" s="30">
        <f>เย็น!D10+เช้า!D10</f>
        <v>0</v>
      </c>
      <c r="E10" s="30">
        <f>เย็น!E10+เช้า!E10</f>
        <v>0</v>
      </c>
      <c r="F10" s="30">
        <f>เย็น!F10+เช้า!F10</f>
        <v>0</v>
      </c>
      <c r="G10" s="30">
        <f>เย็น!G10+เช้า!G10</f>
        <v>0</v>
      </c>
      <c r="H10" s="30">
        <f>เย็น!H10+เช้า!H10</f>
        <v>0</v>
      </c>
      <c r="I10" s="30">
        <f>เย็น!I10+เช้า!I10</f>
        <v>0</v>
      </c>
      <c r="J10" s="30">
        <f>เย็น!J10+เช้า!J10</f>
        <v>0</v>
      </c>
      <c r="K10" s="36">
        <f t="shared" si="0"/>
        <v>0</v>
      </c>
      <c r="L10" s="11"/>
      <c r="M10" s="11"/>
      <c r="N10" s="11"/>
      <c r="O10" s="11"/>
      <c r="P10" s="50">
        <f t="shared" si="1"/>
        <v>0</v>
      </c>
    </row>
    <row r="11" spans="2:16" hidden="1" x14ac:dyDescent="0.2">
      <c r="B11" s="11">
        <v>1111086</v>
      </c>
      <c r="C11" s="15" t="s">
        <v>14</v>
      </c>
      <c r="D11" s="30">
        <f>เย็น!D11+เช้า!D11</f>
        <v>0</v>
      </c>
      <c r="E11" s="30">
        <f>เย็น!E11+เช้า!E11</f>
        <v>0</v>
      </c>
      <c r="F11" s="30">
        <f>เย็น!F11+เช้า!F11</f>
        <v>0</v>
      </c>
      <c r="G11" s="30">
        <f>เย็น!G11+เช้า!G11</f>
        <v>0</v>
      </c>
      <c r="H11" s="30">
        <f>เย็น!H11+เช้า!H11</f>
        <v>0</v>
      </c>
      <c r="I11" s="30">
        <f>เย็น!I11+เช้า!I11</f>
        <v>0</v>
      </c>
      <c r="J11" s="30">
        <f>เย็น!J11+เช้า!J11</f>
        <v>0</v>
      </c>
      <c r="K11" s="36">
        <f t="shared" si="0"/>
        <v>0</v>
      </c>
      <c r="L11" s="11"/>
      <c r="M11" s="11"/>
      <c r="N11" s="11"/>
      <c r="O11" s="11"/>
      <c r="P11" s="50">
        <f t="shared" si="1"/>
        <v>0</v>
      </c>
    </row>
    <row r="12" spans="2:16" hidden="1" x14ac:dyDescent="0.2">
      <c r="B12" s="11">
        <v>1111087</v>
      </c>
      <c r="C12" s="15" t="s">
        <v>15</v>
      </c>
      <c r="D12" s="30">
        <f>เย็น!D12+เช้า!D12</f>
        <v>0</v>
      </c>
      <c r="E12" s="30">
        <f>เย็น!E12+เช้า!E12</f>
        <v>0</v>
      </c>
      <c r="F12" s="30">
        <f>เย็น!F12+เช้า!F12</f>
        <v>0</v>
      </c>
      <c r="G12" s="30">
        <f>เย็น!G12+เช้า!G12</f>
        <v>0</v>
      </c>
      <c r="H12" s="30">
        <f>เย็น!H12+เช้า!H12</f>
        <v>0</v>
      </c>
      <c r="I12" s="30">
        <f>เย็น!I12+เช้า!I12</f>
        <v>0</v>
      </c>
      <c r="J12" s="30">
        <f>เย็น!J12+เช้า!J12</f>
        <v>0</v>
      </c>
      <c r="K12" s="36">
        <f t="shared" si="0"/>
        <v>0</v>
      </c>
      <c r="L12" s="11"/>
      <c r="M12" s="11"/>
      <c r="N12" s="11"/>
      <c r="O12" s="11"/>
      <c r="P12" s="50">
        <f t="shared" si="1"/>
        <v>0</v>
      </c>
    </row>
    <row r="13" spans="2:16" hidden="1" x14ac:dyDescent="0.2">
      <c r="B13" s="11">
        <v>1111088</v>
      </c>
      <c r="C13" s="15" t="s">
        <v>16</v>
      </c>
      <c r="D13" s="30">
        <f>เย็น!D13+เช้า!D13</f>
        <v>0</v>
      </c>
      <c r="E13" s="30">
        <f>เย็น!E13+เช้า!E13</f>
        <v>0</v>
      </c>
      <c r="F13" s="30">
        <f>เย็น!F13+เช้า!F13</f>
        <v>0</v>
      </c>
      <c r="G13" s="30">
        <f>เย็น!G13+เช้า!G13</f>
        <v>0</v>
      </c>
      <c r="H13" s="30">
        <f>เย็น!H13+เช้า!H13</f>
        <v>0</v>
      </c>
      <c r="I13" s="30">
        <f>เย็น!I13+เช้า!I13</f>
        <v>0</v>
      </c>
      <c r="J13" s="30">
        <f>เย็น!J13+เช้า!J13</f>
        <v>0</v>
      </c>
      <c r="K13" s="36">
        <f t="shared" si="0"/>
        <v>0</v>
      </c>
      <c r="L13" s="11"/>
      <c r="M13" s="11"/>
      <c r="N13" s="11"/>
      <c r="O13" s="11"/>
      <c r="P13" s="50">
        <f t="shared" si="1"/>
        <v>0</v>
      </c>
    </row>
    <row r="14" spans="2:16" hidden="1" x14ac:dyDescent="0.2">
      <c r="B14" s="11">
        <v>1111089</v>
      </c>
      <c r="C14" s="15" t="s">
        <v>17</v>
      </c>
      <c r="D14" s="30">
        <f>เย็น!D14+เช้า!D14</f>
        <v>0</v>
      </c>
      <c r="E14" s="30">
        <f>เย็น!E14+เช้า!E14</f>
        <v>0</v>
      </c>
      <c r="F14" s="30">
        <f>เย็น!F14+เช้า!F14</f>
        <v>0</v>
      </c>
      <c r="G14" s="30">
        <f>เย็น!G14+เช้า!G14</f>
        <v>0</v>
      </c>
      <c r="H14" s="30">
        <f>เย็น!H14+เช้า!H14</f>
        <v>0</v>
      </c>
      <c r="I14" s="30">
        <f>เย็น!I14+เช้า!I14</f>
        <v>0</v>
      </c>
      <c r="J14" s="30">
        <f>เย็น!J14+เช้า!J14</f>
        <v>0</v>
      </c>
      <c r="K14" s="36">
        <f t="shared" si="0"/>
        <v>0</v>
      </c>
      <c r="L14" s="11"/>
      <c r="M14" s="11"/>
      <c r="N14" s="11"/>
      <c r="O14" s="11"/>
      <c r="P14" s="50">
        <f t="shared" si="1"/>
        <v>0</v>
      </c>
    </row>
    <row r="15" spans="2:16" hidden="1" x14ac:dyDescent="0.2">
      <c r="B15" s="11">
        <v>1111090</v>
      </c>
      <c r="C15" s="15" t="s">
        <v>18</v>
      </c>
      <c r="D15" s="30">
        <f>เย็น!D15+เช้า!D15</f>
        <v>0</v>
      </c>
      <c r="E15" s="30">
        <f>เย็น!E15+เช้า!E15</f>
        <v>0</v>
      </c>
      <c r="F15" s="30">
        <f>เย็น!F15+เช้า!F15</f>
        <v>0</v>
      </c>
      <c r="G15" s="30">
        <f>เย็น!G15+เช้า!G15</f>
        <v>0</v>
      </c>
      <c r="H15" s="30">
        <f>เย็น!H15+เช้า!H15</f>
        <v>0</v>
      </c>
      <c r="I15" s="30">
        <f>เย็น!I15+เช้า!I15</f>
        <v>0</v>
      </c>
      <c r="J15" s="30">
        <f>เย็น!J15+เช้า!J15</f>
        <v>0</v>
      </c>
      <c r="K15" s="36">
        <f t="shared" si="0"/>
        <v>0</v>
      </c>
      <c r="L15" s="11"/>
      <c r="M15" s="11"/>
      <c r="N15" s="11"/>
      <c r="O15" s="11"/>
      <c r="P15" s="50">
        <f t="shared" si="1"/>
        <v>0</v>
      </c>
    </row>
    <row r="16" spans="2:16" hidden="1" x14ac:dyDescent="0.2">
      <c r="B16" s="11">
        <v>1111091</v>
      </c>
      <c r="C16" s="15" t="s">
        <v>19</v>
      </c>
      <c r="D16" s="30">
        <f>เย็น!D16+เช้า!D16</f>
        <v>0</v>
      </c>
      <c r="E16" s="30">
        <f>เย็น!E16+เช้า!E16</f>
        <v>0</v>
      </c>
      <c r="F16" s="30">
        <f>เย็น!F16+เช้า!F16</f>
        <v>0</v>
      </c>
      <c r="G16" s="30">
        <f>เย็น!G16+เช้า!G16</f>
        <v>0</v>
      </c>
      <c r="H16" s="30">
        <f>เย็น!H16+เช้า!H16</f>
        <v>0</v>
      </c>
      <c r="I16" s="30">
        <f>เย็น!I16+เช้า!I16</f>
        <v>0</v>
      </c>
      <c r="J16" s="30">
        <f>เย็น!J16+เช้า!J16</f>
        <v>0</v>
      </c>
      <c r="K16" s="36">
        <f t="shared" si="0"/>
        <v>0</v>
      </c>
      <c r="L16" s="11"/>
      <c r="M16" s="11"/>
      <c r="N16" s="11"/>
      <c r="O16" s="11"/>
      <c r="P16" s="50">
        <f t="shared" si="1"/>
        <v>0</v>
      </c>
    </row>
    <row r="17" spans="2:16" hidden="1" x14ac:dyDescent="0.2">
      <c r="B17" s="11">
        <v>1111092</v>
      </c>
      <c r="C17" s="15" t="s">
        <v>20</v>
      </c>
      <c r="D17" s="30">
        <f>เย็น!D17+เช้า!D17</f>
        <v>0</v>
      </c>
      <c r="E17" s="30">
        <f>เย็น!E17+เช้า!E17</f>
        <v>0</v>
      </c>
      <c r="F17" s="30">
        <f>เย็น!F17+เช้า!F17</f>
        <v>0</v>
      </c>
      <c r="G17" s="30">
        <f>เย็น!G17+เช้า!G17</f>
        <v>0</v>
      </c>
      <c r="H17" s="30">
        <f>เย็น!H17+เช้า!H17</f>
        <v>0</v>
      </c>
      <c r="I17" s="30">
        <f>เย็น!I17+เช้า!I17</f>
        <v>0</v>
      </c>
      <c r="J17" s="30">
        <f>เย็น!J17+เช้า!J17</f>
        <v>0</v>
      </c>
      <c r="K17" s="36">
        <f t="shared" si="0"/>
        <v>0</v>
      </c>
      <c r="L17" s="11"/>
      <c r="M17" s="11"/>
      <c r="N17" s="11"/>
      <c r="O17" s="11"/>
      <c r="P17" s="50">
        <f t="shared" si="1"/>
        <v>0</v>
      </c>
    </row>
    <row r="18" spans="2:16" hidden="1" x14ac:dyDescent="0.2">
      <c r="B18" s="11">
        <v>1111093</v>
      </c>
      <c r="C18" s="15" t="s">
        <v>21</v>
      </c>
      <c r="D18" s="30">
        <f>เย็น!D18+เช้า!D18</f>
        <v>0</v>
      </c>
      <c r="E18" s="30">
        <f>เย็น!E18+เช้า!E18</f>
        <v>0</v>
      </c>
      <c r="F18" s="30">
        <f>เย็น!F18+เช้า!F18</f>
        <v>0</v>
      </c>
      <c r="G18" s="30">
        <f>เย็น!G18+เช้า!G18</f>
        <v>0</v>
      </c>
      <c r="H18" s="30">
        <f>เย็น!H18+เช้า!H18</f>
        <v>0</v>
      </c>
      <c r="I18" s="30">
        <f>เย็น!I18+เช้า!I18</f>
        <v>0</v>
      </c>
      <c r="J18" s="30">
        <f>เย็น!J18+เช้า!J18</f>
        <v>0</v>
      </c>
      <c r="K18" s="36">
        <f t="shared" si="0"/>
        <v>0</v>
      </c>
      <c r="L18" s="11"/>
      <c r="M18" s="11"/>
      <c r="N18" s="11"/>
      <c r="O18" s="11"/>
      <c r="P18" s="50">
        <f t="shared" si="1"/>
        <v>0</v>
      </c>
    </row>
    <row r="19" spans="2:16" hidden="1" x14ac:dyDescent="0.2">
      <c r="B19" s="11">
        <v>1111094</v>
      </c>
      <c r="C19" s="15" t="s">
        <v>22</v>
      </c>
      <c r="D19" s="30">
        <f>เย็น!D19+เช้า!D19</f>
        <v>0</v>
      </c>
      <c r="E19" s="30">
        <f>เย็น!E19+เช้า!E19</f>
        <v>0</v>
      </c>
      <c r="F19" s="30">
        <f>เย็น!F19+เช้า!F19</f>
        <v>0</v>
      </c>
      <c r="G19" s="30">
        <f>เย็น!G19+เช้า!G19</f>
        <v>0</v>
      </c>
      <c r="H19" s="30">
        <f>เย็น!H19+เช้า!H19</f>
        <v>0</v>
      </c>
      <c r="I19" s="30">
        <f>เย็น!I19+เช้า!I19</f>
        <v>0</v>
      </c>
      <c r="J19" s="30">
        <f>เย็น!J19+เช้า!J19</f>
        <v>0</v>
      </c>
      <c r="K19" s="36">
        <f t="shared" si="0"/>
        <v>0</v>
      </c>
      <c r="L19" s="11"/>
      <c r="M19" s="11"/>
      <c r="N19" s="11"/>
      <c r="O19" s="11"/>
      <c r="P19" s="50">
        <f t="shared" si="1"/>
        <v>0</v>
      </c>
    </row>
    <row r="20" spans="2:16" hidden="1" x14ac:dyDescent="0.2">
      <c r="B20" s="11">
        <v>1111095</v>
      </c>
      <c r="C20" s="15" t="s">
        <v>23</v>
      </c>
      <c r="D20" s="30">
        <f>เย็น!D20+เช้า!D20</f>
        <v>0</v>
      </c>
      <c r="E20" s="30">
        <f>เย็น!E20+เช้า!E20</f>
        <v>0</v>
      </c>
      <c r="F20" s="30">
        <f>เย็น!F20+เช้า!F20</f>
        <v>0</v>
      </c>
      <c r="G20" s="30">
        <f>เย็น!G20+เช้า!G20</f>
        <v>0</v>
      </c>
      <c r="H20" s="30">
        <f>เย็น!H20+เช้า!H20</f>
        <v>0</v>
      </c>
      <c r="I20" s="30">
        <f>เย็น!I20+เช้า!I20</f>
        <v>0</v>
      </c>
      <c r="J20" s="30">
        <f>เย็น!J20+เช้า!J20</f>
        <v>0</v>
      </c>
      <c r="K20" s="36">
        <f t="shared" si="0"/>
        <v>0</v>
      </c>
      <c r="L20" s="11"/>
      <c r="M20" s="11"/>
      <c r="N20" s="11"/>
      <c r="O20" s="11"/>
      <c r="P20" s="50">
        <f t="shared" si="1"/>
        <v>0</v>
      </c>
    </row>
    <row r="21" spans="2:16" hidden="1" x14ac:dyDescent="0.2">
      <c r="B21" s="11">
        <v>1111096</v>
      </c>
      <c r="C21" s="15" t="s">
        <v>24</v>
      </c>
      <c r="D21" s="30">
        <f>เย็น!D21+เช้า!D21</f>
        <v>0</v>
      </c>
      <c r="E21" s="30">
        <f>เย็น!E21+เช้า!E21</f>
        <v>0</v>
      </c>
      <c r="F21" s="30">
        <f>เย็น!F21+เช้า!F21</f>
        <v>0</v>
      </c>
      <c r="G21" s="30">
        <f>เย็น!G21+เช้า!G21</f>
        <v>0</v>
      </c>
      <c r="H21" s="30">
        <f>เย็น!H21+เช้า!H21</f>
        <v>0</v>
      </c>
      <c r="I21" s="30">
        <f>เย็น!I21+เช้า!I21</f>
        <v>0</v>
      </c>
      <c r="J21" s="30">
        <f>เย็น!J21+เช้า!J21</f>
        <v>0</v>
      </c>
      <c r="K21" s="36">
        <f t="shared" si="0"/>
        <v>0</v>
      </c>
      <c r="L21" s="11"/>
      <c r="M21" s="11"/>
      <c r="N21" s="11"/>
      <c r="O21" s="11"/>
      <c r="P21" s="50">
        <f t="shared" si="1"/>
        <v>0</v>
      </c>
    </row>
    <row r="22" spans="2:16" hidden="1" x14ac:dyDescent="0.2">
      <c r="B22" s="11">
        <v>1111097</v>
      </c>
      <c r="C22" s="15" t="s">
        <v>25</v>
      </c>
      <c r="D22" s="30">
        <f>เย็น!D22+เช้า!D22</f>
        <v>0</v>
      </c>
      <c r="E22" s="30">
        <f>เย็น!E22+เช้า!E22</f>
        <v>0</v>
      </c>
      <c r="F22" s="30">
        <f>เย็น!F22+เช้า!F22</f>
        <v>0</v>
      </c>
      <c r="G22" s="30">
        <f>เย็น!G22+เช้า!G22</f>
        <v>0</v>
      </c>
      <c r="H22" s="30">
        <f>เย็น!H22+เช้า!H22</f>
        <v>0</v>
      </c>
      <c r="I22" s="30">
        <f>เย็น!I22+เช้า!I22</f>
        <v>0</v>
      </c>
      <c r="J22" s="30">
        <f>เย็น!J22+เช้า!J22</f>
        <v>0</v>
      </c>
      <c r="K22" s="36">
        <f t="shared" si="0"/>
        <v>0</v>
      </c>
      <c r="L22" s="11"/>
      <c r="M22" s="11"/>
      <c r="N22" s="11"/>
      <c r="O22" s="11"/>
      <c r="P22" s="50">
        <f t="shared" si="1"/>
        <v>0</v>
      </c>
    </row>
    <row r="23" spans="2:16" hidden="1" x14ac:dyDescent="0.2">
      <c r="B23" s="11">
        <v>1111098</v>
      </c>
      <c r="C23" s="15" t="s">
        <v>26</v>
      </c>
      <c r="D23" s="30">
        <f>เย็น!D23+เช้า!D23</f>
        <v>0</v>
      </c>
      <c r="E23" s="30">
        <f>เย็น!E23+เช้า!E23</f>
        <v>0</v>
      </c>
      <c r="F23" s="30">
        <f>เย็น!F23+เช้า!F23</f>
        <v>0</v>
      </c>
      <c r="G23" s="30">
        <f>เย็น!G23+เช้า!G23</f>
        <v>0</v>
      </c>
      <c r="H23" s="30">
        <f>เย็น!H23+เช้า!H23</f>
        <v>0</v>
      </c>
      <c r="I23" s="30">
        <f>เย็น!I23+เช้า!I23</f>
        <v>0</v>
      </c>
      <c r="J23" s="30">
        <f>เย็น!J23+เช้า!J23</f>
        <v>0</v>
      </c>
      <c r="K23" s="36">
        <f t="shared" si="0"/>
        <v>0</v>
      </c>
      <c r="L23" s="11"/>
      <c r="M23" s="11"/>
      <c r="N23" s="11"/>
      <c r="O23" s="11"/>
      <c r="P23" s="50">
        <f t="shared" si="1"/>
        <v>0</v>
      </c>
    </row>
    <row r="24" spans="2:16" hidden="1" x14ac:dyDescent="0.2">
      <c r="B24" s="11">
        <v>1111043</v>
      </c>
      <c r="C24" s="15" t="s">
        <v>27</v>
      </c>
      <c r="D24" s="30">
        <f>เย็น!D24+เช้า!D24</f>
        <v>0</v>
      </c>
      <c r="E24" s="30">
        <f>เย็น!E24+เช้า!E24</f>
        <v>0</v>
      </c>
      <c r="F24" s="30">
        <f>เย็น!F24+เช้า!F24</f>
        <v>0</v>
      </c>
      <c r="G24" s="30">
        <f>เย็น!G24+เช้า!G24</f>
        <v>0</v>
      </c>
      <c r="H24" s="30">
        <f>เย็น!H24+เช้า!H24</f>
        <v>0</v>
      </c>
      <c r="I24" s="30">
        <f>เย็น!I24+เช้า!I24</f>
        <v>0</v>
      </c>
      <c r="J24" s="30">
        <f>เย็น!J24+เช้า!J24</f>
        <v>0</v>
      </c>
      <c r="K24" s="36">
        <f t="shared" si="0"/>
        <v>0</v>
      </c>
      <c r="L24" s="11"/>
      <c r="M24" s="11"/>
      <c r="N24" s="11"/>
      <c r="O24" s="11"/>
      <c r="P24" s="50">
        <f t="shared" si="1"/>
        <v>0</v>
      </c>
    </row>
    <row r="25" spans="2:16" x14ac:dyDescent="0.2">
      <c r="B25" s="11">
        <v>1111056</v>
      </c>
      <c r="C25" s="15" t="s">
        <v>28</v>
      </c>
      <c r="D25" s="30">
        <f>เย็น!D25+เช้า!D25</f>
        <v>0</v>
      </c>
      <c r="E25" s="30">
        <f>เย็น!E25+เช้า!E25</f>
        <v>7</v>
      </c>
      <c r="F25" s="30">
        <f>เย็น!F25+เช้า!F25</f>
        <v>9</v>
      </c>
      <c r="G25" s="30">
        <f>เย็น!G25+เช้า!G25</f>
        <v>1</v>
      </c>
      <c r="H25" s="30">
        <f>เย็น!H25+เช้า!H25</f>
        <v>1</v>
      </c>
      <c r="I25" s="30">
        <f>เย็น!I25+เช้า!I25</f>
        <v>0</v>
      </c>
      <c r="J25" s="30">
        <f>เย็น!J25+เช้า!J25</f>
        <v>0</v>
      </c>
      <c r="K25" s="36">
        <f t="shared" si="0"/>
        <v>18</v>
      </c>
      <c r="L25" s="11">
        <v>10</v>
      </c>
      <c r="M25" s="11">
        <v>15</v>
      </c>
      <c r="N25" s="11"/>
      <c r="O25" s="11"/>
      <c r="P25" s="50">
        <f t="shared" si="1"/>
        <v>7</v>
      </c>
    </row>
    <row r="26" spans="2:16" x14ac:dyDescent="0.2">
      <c r="B26" s="11">
        <v>1004055</v>
      </c>
      <c r="C26" s="15" t="s">
        <v>108</v>
      </c>
      <c r="D26" s="30">
        <f>เย็น!D26+เช้า!D26</f>
        <v>4</v>
      </c>
      <c r="E26" s="30">
        <f>เย็น!E26+เช้า!E26</f>
        <v>3</v>
      </c>
      <c r="F26" s="30">
        <f>เย็น!F26+เช้า!F26</f>
        <v>0</v>
      </c>
      <c r="G26" s="30">
        <f>เย็น!G26+เช้า!G26</f>
        <v>98</v>
      </c>
      <c r="H26" s="30">
        <f>เย็น!H26+เช้า!H26</f>
        <v>84</v>
      </c>
      <c r="I26" s="30">
        <f>เย็น!I26+เช้า!I26</f>
        <v>0</v>
      </c>
      <c r="J26" s="30">
        <f>เย็น!J26+เช้า!J26</f>
        <v>0</v>
      </c>
      <c r="K26" s="36">
        <f t="shared" si="0"/>
        <v>189</v>
      </c>
      <c r="L26" s="11"/>
      <c r="M26" s="11">
        <v>100</v>
      </c>
      <c r="N26" s="11"/>
      <c r="O26" s="11"/>
      <c r="P26" s="50">
        <f t="shared" si="1"/>
        <v>-89</v>
      </c>
    </row>
    <row r="27" spans="2:16" hidden="1" x14ac:dyDescent="0.2">
      <c r="B27" s="11">
        <v>1004055</v>
      </c>
      <c r="C27" s="15" t="s">
        <v>109</v>
      </c>
      <c r="D27" s="30">
        <f>เย็น!D27+เช้า!D27</f>
        <v>0</v>
      </c>
      <c r="E27" s="30">
        <f>เย็น!E27+เช้า!E27</f>
        <v>0</v>
      </c>
      <c r="F27" s="30">
        <f>เย็น!F27+เช้า!F27</f>
        <v>0</v>
      </c>
      <c r="G27" s="30">
        <f>เย็น!G27+เช้า!G27</f>
        <v>0</v>
      </c>
      <c r="H27" s="30">
        <f>เย็น!H27+เช้า!H27</f>
        <v>0</v>
      </c>
      <c r="I27" s="30">
        <f>เย็น!I27+เช้า!I27</f>
        <v>0</v>
      </c>
      <c r="J27" s="30">
        <f>เย็น!J27+เช้า!J27</f>
        <v>0</v>
      </c>
      <c r="K27" s="36">
        <f t="shared" si="0"/>
        <v>0</v>
      </c>
      <c r="L27" s="11"/>
      <c r="M27" s="11"/>
      <c r="N27" s="11"/>
      <c r="O27" s="11"/>
      <c r="P27" s="50">
        <f t="shared" si="1"/>
        <v>0</v>
      </c>
    </row>
    <row r="28" spans="2:16" hidden="1" x14ac:dyDescent="0.2">
      <c r="B28" s="11">
        <v>1004055</v>
      </c>
      <c r="C28" s="15" t="s">
        <v>110</v>
      </c>
      <c r="D28" s="30">
        <f>เย็น!D28+เช้า!D28</f>
        <v>0</v>
      </c>
      <c r="E28" s="30">
        <f>เย็น!E28+เช้า!E28</f>
        <v>0</v>
      </c>
      <c r="F28" s="30">
        <f>เย็น!F28+เช้า!F28</f>
        <v>0</v>
      </c>
      <c r="G28" s="30">
        <f>เย็น!G28+เช้า!G28</f>
        <v>0</v>
      </c>
      <c r="H28" s="30">
        <f>เย็น!H28+เช้า!H28</f>
        <v>0</v>
      </c>
      <c r="I28" s="30">
        <f>เย็น!I28+เช้า!I28</f>
        <v>0</v>
      </c>
      <c r="J28" s="30">
        <f>เย็น!J28+เช้า!J28</f>
        <v>0</v>
      </c>
      <c r="K28" s="36">
        <f t="shared" si="0"/>
        <v>0</v>
      </c>
      <c r="L28" s="11"/>
      <c r="M28" s="11"/>
      <c r="N28" s="11"/>
      <c r="O28" s="11"/>
      <c r="P28" s="50">
        <f t="shared" si="1"/>
        <v>0</v>
      </c>
    </row>
    <row r="29" spans="2:16" hidden="1" x14ac:dyDescent="0.2">
      <c r="B29" s="11">
        <v>1004055</v>
      </c>
      <c r="C29" s="15" t="s">
        <v>111</v>
      </c>
      <c r="D29" s="30">
        <f>เย็น!D29+เช้า!D29</f>
        <v>0</v>
      </c>
      <c r="E29" s="30">
        <f>เย็น!E29+เช้า!E29</f>
        <v>0</v>
      </c>
      <c r="F29" s="30">
        <f>เย็น!F29+เช้า!F29</f>
        <v>0</v>
      </c>
      <c r="G29" s="30">
        <f>เย็น!G29+เช้า!G29</f>
        <v>0</v>
      </c>
      <c r="H29" s="30">
        <f>เย็น!H29+เช้า!H29</f>
        <v>0</v>
      </c>
      <c r="I29" s="30">
        <f>เย็น!I29+เช้า!I29</f>
        <v>0</v>
      </c>
      <c r="J29" s="30">
        <f>เย็น!J29+เช้า!J29</f>
        <v>0</v>
      </c>
      <c r="K29" s="36">
        <f t="shared" si="0"/>
        <v>0</v>
      </c>
      <c r="L29" s="11"/>
      <c r="M29" s="11"/>
      <c r="N29" s="11"/>
      <c r="O29" s="11"/>
      <c r="P29" s="50">
        <f t="shared" si="1"/>
        <v>0</v>
      </c>
    </row>
    <row r="30" spans="2:16" hidden="1" x14ac:dyDescent="0.2">
      <c r="B30" s="11">
        <v>1004055</v>
      </c>
      <c r="C30" s="15" t="s">
        <v>112</v>
      </c>
      <c r="D30" s="30">
        <f>เย็น!D30+เช้า!D30</f>
        <v>0</v>
      </c>
      <c r="E30" s="30">
        <f>เย็น!E30+เช้า!E30</f>
        <v>0</v>
      </c>
      <c r="F30" s="30">
        <f>เย็น!F30+เช้า!F30</f>
        <v>0</v>
      </c>
      <c r="G30" s="30">
        <f>เย็น!G30+เช้า!G30</f>
        <v>0</v>
      </c>
      <c r="H30" s="30">
        <f>เย็น!H30+เช้า!H30</f>
        <v>0</v>
      </c>
      <c r="I30" s="30">
        <f>เย็น!I30+เช้า!I30</f>
        <v>0</v>
      </c>
      <c r="J30" s="30">
        <f>เย็น!J30+เช้า!J30</f>
        <v>0</v>
      </c>
      <c r="K30" s="36">
        <f t="shared" si="0"/>
        <v>0</v>
      </c>
      <c r="L30" s="11"/>
      <c r="M30" s="11"/>
      <c r="N30" s="11"/>
      <c r="O30" s="11"/>
      <c r="P30" s="50">
        <f t="shared" si="1"/>
        <v>0</v>
      </c>
    </row>
    <row r="31" spans="2:16" hidden="1" x14ac:dyDescent="0.2">
      <c r="B31" s="11">
        <v>1004055</v>
      </c>
      <c r="C31" s="15" t="s">
        <v>113</v>
      </c>
      <c r="D31" s="30">
        <f>เย็น!D31+เช้า!D31</f>
        <v>0</v>
      </c>
      <c r="E31" s="30">
        <f>เย็น!E31+เช้า!E31</f>
        <v>0</v>
      </c>
      <c r="F31" s="30">
        <f>เย็น!F31+เช้า!F31</f>
        <v>0</v>
      </c>
      <c r="G31" s="30">
        <f>เย็น!G31+เช้า!G31</f>
        <v>0</v>
      </c>
      <c r="H31" s="30">
        <f>เย็น!H31+เช้า!H31</f>
        <v>0</v>
      </c>
      <c r="I31" s="30">
        <f>เย็น!I31+เช้า!I31</f>
        <v>0</v>
      </c>
      <c r="J31" s="30">
        <f>เย็น!J31+เช้า!J31</f>
        <v>0</v>
      </c>
      <c r="K31" s="36">
        <f t="shared" si="0"/>
        <v>0</v>
      </c>
      <c r="L31" s="11"/>
      <c r="M31" s="11"/>
      <c r="N31" s="11"/>
      <c r="O31" s="11"/>
      <c r="P31" s="50">
        <f t="shared" si="1"/>
        <v>0</v>
      </c>
    </row>
    <row r="32" spans="2:16" hidden="1" x14ac:dyDescent="0.2">
      <c r="B32" s="11">
        <v>1004055</v>
      </c>
      <c r="C32" s="15" t="s">
        <v>114</v>
      </c>
      <c r="D32" s="30">
        <f>เย็น!D32+เช้า!D32</f>
        <v>0</v>
      </c>
      <c r="E32" s="30">
        <f>เย็น!E32+เช้า!E32</f>
        <v>0</v>
      </c>
      <c r="F32" s="30">
        <f>เย็น!F32+เช้า!F32</f>
        <v>0</v>
      </c>
      <c r="G32" s="30">
        <f>เย็น!G32+เช้า!G32</f>
        <v>0</v>
      </c>
      <c r="H32" s="30">
        <f>เย็น!H32+เช้า!H32</f>
        <v>0</v>
      </c>
      <c r="I32" s="30">
        <f>เย็น!I32+เช้า!I32</f>
        <v>0</v>
      </c>
      <c r="J32" s="30">
        <f>เย็น!J32+เช้า!J32</f>
        <v>0</v>
      </c>
      <c r="K32" s="36">
        <f t="shared" si="0"/>
        <v>0</v>
      </c>
      <c r="L32" s="11"/>
      <c r="M32" s="11"/>
      <c r="N32" s="11"/>
      <c r="O32" s="11"/>
      <c r="P32" s="50">
        <f t="shared" si="1"/>
        <v>0</v>
      </c>
    </row>
    <row r="33" spans="2:16" hidden="1" x14ac:dyDescent="0.2">
      <c r="B33" s="11">
        <v>1004055</v>
      </c>
      <c r="C33" s="15" t="s">
        <v>115</v>
      </c>
      <c r="D33" s="30">
        <f>เย็น!D33+เช้า!D33</f>
        <v>0</v>
      </c>
      <c r="E33" s="30">
        <f>เย็น!E33+เช้า!E33</f>
        <v>0</v>
      </c>
      <c r="F33" s="30">
        <f>เย็น!F33+เช้า!F33</f>
        <v>0</v>
      </c>
      <c r="G33" s="30">
        <f>เย็น!G33+เช้า!G33</f>
        <v>0</v>
      </c>
      <c r="H33" s="30">
        <f>เย็น!H33+เช้า!H33</f>
        <v>0</v>
      </c>
      <c r="I33" s="30">
        <f>เย็น!I33+เช้า!I33</f>
        <v>0</v>
      </c>
      <c r="J33" s="30">
        <f>เย็น!J33+เช้า!J33</f>
        <v>0</v>
      </c>
      <c r="K33" s="36">
        <f t="shared" si="0"/>
        <v>0</v>
      </c>
      <c r="L33" s="11"/>
      <c r="M33" s="11"/>
      <c r="N33" s="11"/>
      <c r="O33" s="11"/>
      <c r="P33" s="50">
        <f t="shared" si="1"/>
        <v>0</v>
      </c>
    </row>
    <row r="34" spans="2:16" hidden="1" x14ac:dyDescent="0.2">
      <c r="B34" s="11">
        <v>1004055</v>
      </c>
      <c r="C34" s="15" t="s">
        <v>29</v>
      </c>
      <c r="D34" s="30">
        <f>เย็น!D34+เช้า!D34</f>
        <v>0</v>
      </c>
      <c r="E34" s="30">
        <f>เย็น!E34+เช้า!E34</f>
        <v>0</v>
      </c>
      <c r="F34" s="30">
        <f>เย็น!F34+เช้า!F34</f>
        <v>0</v>
      </c>
      <c r="G34" s="30">
        <f>เย็น!G34+เช้า!G34</f>
        <v>0</v>
      </c>
      <c r="H34" s="30">
        <f>เย็น!H34+เช้า!H34</f>
        <v>0</v>
      </c>
      <c r="I34" s="30">
        <f>เย็น!I34+เช้า!I34</f>
        <v>0</v>
      </c>
      <c r="J34" s="30">
        <f>เย็น!J34+เช้า!J34</f>
        <v>0</v>
      </c>
      <c r="K34" s="36">
        <f t="shared" si="0"/>
        <v>0</v>
      </c>
      <c r="L34" s="11"/>
      <c r="M34" s="11"/>
      <c r="N34" s="11"/>
      <c r="O34" s="11"/>
      <c r="P34" s="50">
        <f t="shared" si="1"/>
        <v>0</v>
      </c>
    </row>
    <row r="35" spans="2:16" hidden="1" x14ac:dyDescent="0.2">
      <c r="B35" s="11">
        <v>1004055</v>
      </c>
      <c r="C35" s="15" t="s">
        <v>116</v>
      </c>
      <c r="D35" s="30">
        <f>เย็น!D35+เช้า!D35</f>
        <v>0</v>
      </c>
      <c r="E35" s="30">
        <f>เย็น!E35+เช้า!E35</f>
        <v>0</v>
      </c>
      <c r="F35" s="30">
        <f>เย็น!F35+เช้า!F35</f>
        <v>0</v>
      </c>
      <c r="G35" s="30">
        <f>เย็น!G35+เช้า!G35</f>
        <v>0</v>
      </c>
      <c r="H35" s="30">
        <f>เย็น!H35+เช้า!H35</f>
        <v>0</v>
      </c>
      <c r="I35" s="30">
        <f>เย็น!I35+เช้า!I35</f>
        <v>0</v>
      </c>
      <c r="J35" s="30">
        <f>เย็น!J35+เช้า!J35</f>
        <v>0</v>
      </c>
      <c r="K35" s="36">
        <f t="shared" si="0"/>
        <v>0</v>
      </c>
      <c r="L35" s="11"/>
      <c r="M35" s="11"/>
      <c r="N35" s="11"/>
      <c r="O35" s="11"/>
      <c r="P35" s="50">
        <f t="shared" si="1"/>
        <v>0</v>
      </c>
    </row>
    <row r="36" spans="2:16" hidden="1" x14ac:dyDescent="0.2">
      <c r="B36" s="11">
        <v>1004055</v>
      </c>
      <c r="C36" s="15" t="s">
        <v>117</v>
      </c>
      <c r="D36" s="30">
        <f>เย็น!D36+เช้า!D36</f>
        <v>0</v>
      </c>
      <c r="E36" s="30">
        <f>เย็น!E36+เช้า!E36</f>
        <v>0</v>
      </c>
      <c r="F36" s="30">
        <f>เย็น!F36+เช้า!F36</f>
        <v>0</v>
      </c>
      <c r="G36" s="30">
        <f>เย็น!G36+เช้า!G36</f>
        <v>0</v>
      </c>
      <c r="H36" s="30">
        <f>เย็น!H36+เช้า!H36</f>
        <v>0</v>
      </c>
      <c r="I36" s="30">
        <f>เย็น!I36+เช้า!I36</f>
        <v>0</v>
      </c>
      <c r="J36" s="30">
        <f>เย็น!J36+เช้า!J36</f>
        <v>0</v>
      </c>
      <c r="K36" s="36">
        <f t="shared" si="0"/>
        <v>0</v>
      </c>
      <c r="L36" s="11"/>
      <c r="M36" s="11"/>
      <c r="N36" s="11"/>
      <c r="O36" s="11"/>
      <c r="P36" s="50">
        <f t="shared" si="1"/>
        <v>0</v>
      </c>
    </row>
    <row r="37" spans="2:16" hidden="1" x14ac:dyDescent="0.2">
      <c r="B37" s="11">
        <v>1004055</v>
      </c>
      <c r="C37" s="15" t="s">
        <v>118</v>
      </c>
      <c r="D37" s="30">
        <f>เย็น!D37+เช้า!D37</f>
        <v>0</v>
      </c>
      <c r="E37" s="30">
        <f>เย็น!E37+เช้า!E37</f>
        <v>0</v>
      </c>
      <c r="F37" s="30">
        <f>เย็น!F37+เช้า!F37</f>
        <v>0</v>
      </c>
      <c r="G37" s="30">
        <f>เย็น!G37+เช้า!G37</f>
        <v>0</v>
      </c>
      <c r="H37" s="30">
        <f>เย็น!H37+เช้า!H37</f>
        <v>0</v>
      </c>
      <c r="I37" s="30">
        <f>เย็น!I37+เช้า!I37</f>
        <v>0</v>
      </c>
      <c r="J37" s="30">
        <f>เย็น!J37+เช้า!J37</f>
        <v>0</v>
      </c>
      <c r="K37" s="36">
        <f t="shared" si="0"/>
        <v>0</v>
      </c>
      <c r="L37" s="11"/>
      <c r="M37" s="11"/>
      <c r="N37" s="11"/>
      <c r="O37" s="11"/>
      <c r="P37" s="50">
        <f t="shared" si="1"/>
        <v>0</v>
      </c>
    </row>
    <row r="38" spans="2:16" hidden="1" x14ac:dyDescent="0.2">
      <c r="B38" s="11">
        <v>1004055</v>
      </c>
      <c r="C38" s="15" t="s">
        <v>119</v>
      </c>
      <c r="D38" s="30">
        <f>เย็น!D38+เช้า!D38</f>
        <v>0</v>
      </c>
      <c r="E38" s="30">
        <f>เย็น!E38+เช้า!E38</f>
        <v>0</v>
      </c>
      <c r="F38" s="30">
        <f>เย็น!F38+เช้า!F38</f>
        <v>0</v>
      </c>
      <c r="G38" s="30">
        <f>เย็น!G38+เช้า!G38</f>
        <v>0</v>
      </c>
      <c r="H38" s="30">
        <f>เย็น!H38+เช้า!H38</f>
        <v>0</v>
      </c>
      <c r="I38" s="30">
        <f>เย็น!I38+เช้า!I38</f>
        <v>0</v>
      </c>
      <c r="J38" s="30">
        <f>เย็น!J38+เช้า!J38</f>
        <v>0</v>
      </c>
      <c r="K38" s="36">
        <f t="shared" si="0"/>
        <v>0</v>
      </c>
      <c r="L38" s="11"/>
      <c r="M38" s="11"/>
      <c r="N38" s="11"/>
      <c r="O38" s="11"/>
      <c r="P38" s="50">
        <f t="shared" si="1"/>
        <v>0</v>
      </c>
    </row>
    <row r="39" spans="2:16" hidden="1" x14ac:dyDescent="0.2">
      <c r="B39" s="11">
        <v>1004055</v>
      </c>
      <c r="C39" s="15" t="s">
        <v>120</v>
      </c>
      <c r="D39" s="30">
        <f>เย็น!D39+เช้า!D39</f>
        <v>0</v>
      </c>
      <c r="E39" s="30">
        <f>เย็น!E39+เช้า!E39</f>
        <v>0</v>
      </c>
      <c r="F39" s="30">
        <f>เย็น!F39+เช้า!F39</f>
        <v>0</v>
      </c>
      <c r="G39" s="30">
        <f>เย็น!G39+เช้า!G39</f>
        <v>0</v>
      </c>
      <c r="H39" s="30">
        <f>เย็น!H39+เช้า!H39</f>
        <v>0</v>
      </c>
      <c r="I39" s="30">
        <f>เย็น!I39+เช้า!I39</f>
        <v>0</v>
      </c>
      <c r="J39" s="30">
        <f>เย็น!J39+เช้า!J39</f>
        <v>0</v>
      </c>
      <c r="K39" s="36">
        <f t="shared" si="0"/>
        <v>0</v>
      </c>
      <c r="L39" s="11"/>
      <c r="M39" s="11"/>
      <c r="N39" s="11"/>
      <c r="O39" s="11"/>
      <c r="P39" s="50">
        <f t="shared" si="1"/>
        <v>0</v>
      </c>
    </row>
    <row r="40" spans="2:16" x14ac:dyDescent="0.2">
      <c r="B40" s="11">
        <v>1111057</v>
      </c>
      <c r="C40" s="15" t="s">
        <v>30</v>
      </c>
      <c r="D40" s="30">
        <f>เย็น!D40+เช้า!D40</f>
        <v>30</v>
      </c>
      <c r="E40" s="30">
        <f>เย็น!E40+เช้า!E40</f>
        <v>22</v>
      </c>
      <c r="F40" s="30">
        <f>เย็น!F40+เช้า!F40</f>
        <v>7</v>
      </c>
      <c r="G40" s="30">
        <f>เย็น!G40+เช้า!G40</f>
        <v>3</v>
      </c>
      <c r="H40" s="30">
        <f>เย็น!H40+เช้า!H40</f>
        <v>0</v>
      </c>
      <c r="I40" s="30">
        <f>เย็น!I40+เช้า!I40</f>
        <v>0</v>
      </c>
      <c r="J40" s="30">
        <f>เย็น!J40+เช้า!J40</f>
        <v>2</v>
      </c>
      <c r="K40" s="36">
        <f t="shared" si="0"/>
        <v>64</v>
      </c>
      <c r="L40" s="11"/>
      <c r="M40" s="11">
        <v>10</v>
      </c>
      <c r="N40" s="11"/>
      <c r="O40" s="11"/>
      <c r="P40" s="50">
        <f t="shared" si="1"/>
        <v>-54</v>
      </c>
    </row>
    <row r="41" spans="2:16" x14ac:dyDescent="0.2">
      <c r="B41" s="11">
        <v>1111058</v>
      </c>
      <c r="C41" s="15" t="s">
        <v>31</v>
      </c>
      <c r="D41" s="30">
        <f>เย็น!D41+เช้า!D41</f>
        <v>30</v>
      </c>
      <c r="E41" s="30">
        <f>เย็น!E41+เช้า!E41</f>
        <v>13</v>
      </c>
      <c r="F41" s="30">
        <f>เย็น!F41+เช้า!F41</f>
        <v>0</v>
      </c>
      <c r="G41" s="30">
        <f>เย็น!G41+เช้า!G41</f>
        <v>3</v>
      </c>
      <c r="H41" s="30">
        <f>เย็น!H41+เช้า!H41</f>
        <v>0</v>
      </c>
      <c r="I41" s="30">
        <f>เย็น!I41+เช้า!I41</f>
        <v>0</v>
      </c>
      <c r="J41" s="30">
        <f>เย็น!J41+เช้า!J41</f>
        <v>0</v>
      </c>
      <c r="K41" s="36">
        <f t="shared" si="0"/>
        <v>46</v>
      </c>
      <c r="L41" s="11"/>
      <c r="M41" s="11">
        <v>10</v>
      </c>
      <c r="N41" s="11"/>
      <c r="O41" s="11"/>
      <c r="P41" s="50">
        <f t="shared" si="1"/>
        <v>-36</v>
      </c>
    </row>
    <row r="42" spans="2:16" x14ac:dyDescent="0.2">
      <c r="B42" s="11">
        <v>1111059</v>
      </c>
      <c r="C42" s="15" t="s">
        <v>32</v>
      </c>
      <c r="D42" s="30">
        <f>เย็น!D42+เช้า!D42</f>
        <v>30</v>
      </c>
      <c r="E42" s="30">
        <f>เย็น!E42+เช้า!E42</f>
        <v>13</v>
      </c>
      <c r="F42" s="30">
        <f>เย็น!F42+เช้า!F42</f>
        <v>7</v>
      </c>
      <c r="G42" s="30">
        <f>เย็น!G42+เช้า!G42</f>
        <v>3</v>
      </c>
      <c r="H42" s="30">
        <f>เย็น!H42+เช้า!H42</f>
        <v>0</v>
      </c>
      <c r="I42" s="30">
        <f>เย็น!I42+เช้า!I42</f>
        <v>0</v>
      </c>
      <c r="J42" s="30">
        <f>เย็น!J42+เช้า!J42</f>
        <v>0</v>
      </c>
      <c r="K42" s="36">
        <f t="shared" si="0"/>
        <v>53</v>
      </c>
      <c r="L42" s="11"/>
      <c r="M42" s="11">
        <v>10</v>
      </c>
      <c r="N42" s="11"/>
      <c r="O42" s="11"/>
      <c r="P42" s="50">
        <f t="shared" si="1"/>
        <v>-43</v>
      </c>
    </row>
    <row r="43" spans="2:16" x14ac:dyDescent="0.2">
      <c r="B43" s="11">
        <v>1111060</v>
      </c>
      <c r="C43" s="15" t="s">
        <v>33</v>
      </c>
      <c r="D43" s="30">
        <f>เย็น!D43+เช้า!D43</f>
        <v>30</v>
      </c>
      <c r="E43" s="30">
        <f>เย็น!E43+เช้า!E43</f>
        <v>2</v>
      </c>
      <c r="F43" s="30">
        <f>เย็น!F43+เช้า!F43</f>
        <v>0</v>
      </c>
      <c r="G43" s="30">
        <f>เย็น!G43+เช้า!G43</f>
        <v>1</v>
      </c>
      <c r="H43" s="30">
        <f>เย็น!H43+เช้า!H43</f>
        <v>0</v>
      </c>
      <c r="I43" s="30">
        <f>เย็น!I43+เช้า!I43</f>
        <v>0</v>
      </c>
      <c r="J43" s="30">
        <f>เย็น!J43+เช้า!J43</f>
        <v>0</v>
      </c>
      <c r="K43" s="36">
        <f t="shared" si="0"/>
        <v>33</v>
      </c>
      <c r="L43" s="11"/>
      <c r="M43" s="11">
        <v>10</v>
      </c>
      <c r="N43" s="11"/>
      <c r="O43" s="11"/>
      <c r="P43" s="50">
        <f t="shared" si="1"/>
        <v>-23</v>
      </c>
    </row>
    <row r="44" spans="2:16" x14ac:dyDescent="0.2">
      <c r="B44" s="11">
        <v>1111061</v>
      </c>
      <c r="C44" s="15" t="s">
        <v>34</v>
      </c>
      <c r="D44" s="30">
        <f>เย็น!D44+เช้า!D44</f>
        <v>30</v>
      </c>
      <c r="E44" s="30">
        <f>เย็น!E44+เช้า!E44</f>
        <v>13</v>
      </c>
      <c r="F44" s="30">
        <f>เย็น!F44+เช้า!F44</f>
        <v>7</v>
      </c>
      <c r="G44" s="30">
        <f>เย็น!G44+เช้า!G44</f>
        <v>3</v>
      </c>
      <c r="H44" s="30">
        <f>เย็น!H44+เช้า!H44</f>
        <v>0</v>
      </c>
      <c r="I44" s="30">
        <f>เย็น!I44+เช้า!I44</f>
        <v>0</v>
      </c>
      <c r="J44" s="30">
        <f>เย็น!J44+เช้า!J44</f>
        <v>0</v>
      </c>
      <c r="K44" s="36">
        <f t="shared" si="0"/>
        <v>53</v>
      </c>
      <c r="L44" s="11"/>
      <c r="M44" s="11">
        <v>10</v>
      </c>
      <c r="N44" s="11"/>
      <c r="O44" s="11"/>
      <c r="P44" s="50">
        <f t="shared" si="1"/>
        <v>-43</v>
      </c>
    </row>
    <row r="45" spans="2:16" x14ac:dyDescent="0.2">
      <c r="B45" s="11">
        <v>1111062</v>
      </c>
      <c r="C45" s="15" t="s">
        <v>35</v>
      </c>
      <c r="D45" s="30">
        <f>เย็น!D45+เช้า!D45</f>
        <v>30</v>
      </c>
      <c r="E45" s="30">
        <f>เย็น!E45+เช้า!E45</f>
        <v>11</v>
      </c>
      <c r="F45" s="30">
        <f>เย็น!F45+เช้า!F45</f>
        <v>7</v>
      </c>
      <c r="G45" s="30">
        <f>เย็น!G45+เช้า!G45</f>
        <v>1</v>
      </c>
      <c r="H45" s="30">
        <f>เย็น!H45+เช้า!H45</f>
        <v>0</v>
      </c>
      <c r="I45" s="30">
        <f>เย็น!I45+เช้า!I45</f>
        <v>0</v>
      </c>
      <c r="J45" s="30">
        <f>เย็น!J45+เช้า!J45</f>
        <v>0</v>
      </c>
      <c r="K45" s="36">
        <f t="shared" si="0"/>
        <v>49</v>
      </c>
      <c r="L45" s="11"/>
      <c r="M45" s="11">
        <v>10</v>
      </c>
      <c r="N45" s="11"/>
      <c r="O45" s="11"/>
      <c r="P45" s="50">
        <f t="shared" si="1"/>
        <v>-39</v>
      </c>
    </row>
    <row r="46" spans="2:16" x14ac:dyDescent="0.2">
      <c r="B46" s="11">
        <v>1111063</v>
      </c>
      <c r="C46" s="15" t="s">
        <v>36</v>
      </c>
      <c r="D46" s="30">
        <f>เย็น!D46+เช้า!D46</f>
        <v>30</v>
      </c>
      <c r="E46" s="30">
        <f>เย็น!E46+เช้า!E46</f>
        <v>15</v>
      </c>
      <c r="F46" s="30">
        <f>เย็น!F46+เช้า!F46</f>
        <v>7</v>
      </c>
      <c r="G46" s="30">
        <f>เย็น!G46+เช้า!G46</f>
        <v>2</v>
      </c>
      <c r="H46" s="30">
        <f>เย็น!H46+เช้า!H46</f>
        <v>0</v>
      </c>
      <c r="I46" s="30">
        <f>เย็น!I46+เช้า!I46</f>
        <v>0</v>
      </c>
      <c r="J46" s="30">
        <f>เย็น!J46+เช้า!J46</f>
        <v>0</v>
      </c>
      <c r="K46" s="36">
        <f t="shared" si="0"/>
        <v>54</v>
      </c>
      <c r="L46" s="11"/>
      <c r="M46" s="11">
        <v>10</v>
      </c>
      <c r="N46" s="11"/>
      <c r="O46" s="11"/>
      <c r="P46" s="50">
        <f t="shared" si="1"/>
        <v>-44</v>
      </c>
    </row>
    <row r="47" spans="2:16" x14ac:dyDescent="0.2">
      <c r="B47" s="11">
        <v>1111064</v>
      </c>
      <c r="C47" s="15" t="s">
        <v>37</v>
      </c>
      <c r="D47" s="30">
        <f>เย็น!D47+เช้า!D47</f>
        <v>30</v>
      </c>
      <c r="E47" s="30">
        <f>เย็น!E47+เช้า!E47</f>
        <v>15</v>
      </c>
      <c r="F47" s="30">
        <f>เย็น!F47+เช้า!F47</f>
        <v>7</v>
      </c>
      <c r="G47" s="30">
        <f>เย็น!G47+เช้า!G47</f>
        <v>2</v>
      </c>
      <c r="H47" s="30">
        <f>เย็น!H47+เช้า!H47</f>
        <v>0</v>
      </c>
      <c r="I47" s="30">
        <f>เย็น!I47+เช้า!I47</f>
        <v>0</v>
      </c>
      <c r="J47" s="30">
        <f>เย็น!J47+เช้า!J47</f>
        <v>0</v>
      </c>
      <c r="K47" s="36">
        <f t="shared" si="0"/>
        <v>54</v>
      </c>
      <c r="L47" s="11"/>
      <c r="M47" s="11">
        <v>10</v>
      </c>
      <c r="N47" s="11"/>
      <c r="O47" s="11"/>
      <c r="P47" s="50">
        <f t="shared" ref="P47:P71" si="2">(L47+M47+N47+O47)-K47</f>
        <v>-44</v>
      </c>
    </row>
    <row r="48" spans="2:16" x14ac:dyDescent="0.2">
      <c r="B48" s="11">
        <v>1111065</v>
      </c>
      <c r="C48" s="15" t="s">
        <v>38</v>
      </c>
      <c r="D48" s="30">
        <f>เย็น!D48+เช้า!D48</f>
        <v>30</v>
      </c>
      <c r="E48" s="30">
        <f>เย็น!E48+เช้า!E48</f>
        <v>10</v>
      </c>
      <c r="F48" s="30">
        <f>เย็น!F48+เช้า!F48</f>
        <v>0</v>
      </c>
      <c r="G48" s="30">
        <f>เย็น!G48+เช้า!G48</f>
        <v>5</v>
      </c>
      <c r="H48" s="30">
        <f>เย็น!H48+เช้า!H48</f>
        <v>0</v>
      </c>
      <c r="I48" s="30">
        <f>เย็น!I48+เช้า!I48</f>
        <v>0</v>
      </c>
      <c r="J48" s="30">
        <f>เย็น!J48+เช้า!J48</f>
        <v>0</v>
      </c>
      <c r="K48" s="36">
        <f t="shared" si="0"/>
        <v>45</v>
      </c>
      <c r="L48" s="11"/>
      <c r="M48" s="11">
        <v>10</v>
      </c>
      <c r="N48" s="11"/>
      <c r="O48" s="11"/>
      <c r="P48" s="50">
        <f t="shared" si="2"/>
        <v>-35</v>
      </c>
    </row>
    <row r="49" spans="2:16" x14ac:dyDescent="0.2">
      <c r="B49" s="11">
        <v>1111066</v>
      </c>
      <c r="C49" s="15" t="s">
        <v>39</v>
      </c>
      <c r="D49" s="30">
        <f>เย็น!D49+เช้า!D49</f>
        <v>30</v>
      </c>
      <c r="E49" s="30">
        <f>เย็น!E49+เช้า!E49</f>
        <v>15</v>
      </c>
      <c r="F49" s="30">
        <f>เย็น!F49+เช้า!F49</f>
        <v>7</v>
      </c>
      <c r="G49" s="30">
        <f>เย็น!G49+เช้า!G49</f>
        <v>2</v>
      </c>
      <c r="H49" s="30">
        <f>เย็น!H49+เช้า!H49</f>
        <v>0</v>
      </c>
      <c r="I49" s="30">
        <f>เย็น!I49+เช้า!I49</f>
        <v>0</v>
      </c>
      <c r="J49" s="30">
        <f>เย็น!J49+เช้า!J49</f>
        <v>0</v>
      </c>
      <c r="K49" s="36">
        <f t="shared" si="0"/>
        <v>54</v>
      </c>
      <c r="L49" s="11"/>
      <c r="M49" s="11">
        <v>10</v>
      </c>
      <c r="N49" s="11"/>
      <c r="O49" s="11"/>
      <c r="P49" s="50">
        <f t="shared" si="2"/>
        <v>-44</v>
      </c>
    </row>
    <row r="50" spans="2:16" x14ac:dyDescent="0.2">
      <c r="B50" s="11">
        <v>1111067</v>
      </c>
      <c r="C50" s="15" t="s">
        <v>40</v>
      </c>
      <c r="D50" s="30">
        <f>เย็น!D50+เช้า!D50</f>
        <v>30</v>
      </c>
      <c r="E50" s="30">
        <f>เย็น!E50+เช้า!E50</f>
        <v>25</v>
      </c>
      <c r="F50" s="30">
        <f>เย็น!F50+เช้า!F50</f>
        <v>7</v>
      </c>
      <c r="G50" s="30">
        <f>เย็น!G50+เช้า!G50</f>
        <v>2</v>
      </c>
      <c r="H50" s="30">
        <f>เย็น!H50+เช้า!H50</f>
        <v>0</v>
      </c>
      <c r="I50" s="30">
        <f>เย็น!I50+เช้า!I50</f>
        <v>0</v>
      </c>
      <c r="J50" s="30">
        <f>เย็น!J50+เช้า!J50</f>
        <v>0</v>
      </c>
      <c r="K50" s="36">
        <f t="shared" si="0"/>
        <v>64</v>
      </c>
      <c r="L50" s="11"/>
      <c r="M50" s="11">
        <v>10</v>
      </c>
      <c r="N50" s="11"/>
      <c r="O50" s="11"/>
      <c r="P50" s="50">
        <f t="shared" si="2"/>
        <v>-54</v>
      </c>
    </row>
    <row r="51" spans="2:16" x14ac:dyDescent="0.2">
      <c r="B51" s="11">
        <v>1111068</v>
      </c>
      <c r="C51" s="15" t="s">
        <v>41</v>
      </c>
      <c r="D51" s="30">
        <f>เย็น!D51+เช้า!D51</f>
        <v>30</v>
      </c>
      <c r="E51" s="30">
        <f>เย็น!E51+เช้า!E51</f>
        <v>17</v>
      </c>
      <c r="F51" s="30">
        <f>เย็น!F51+เช้า!F51</f>
        <v>7</v>
      </c>
      <c r="G51" s="30">
        <f>เย็น!G51+เช้า!G51</f>
        <v>2</v>
      </c>
      <c r="H51" s="30">
        <f>เย็น!H51+เช้า!H51</f>
        <v>0</v>
      </c>
      <c r="I51" s="30">
        <f>เย็น!I51+เช้า!I51</f>
        <v>0</v>
      </c>
      <c r="J51" s="30">
        <f>เย็น!J51+เช้า!J51</f>
        <v>0</v>
      </c>
      <c r="K51" s="36">
        <f t="shared" si="0"/>
        <v>56</v>
      </c>
      <c r="L51" s="11"/>
      <c r="M51" s="11">
        <v>10</v>
      </c>
      <c r="N51" s="11"/>
      <c r="O51" s="11"/>
      <c r="P51" s="50">
        <f t="shared" si="2"/>
        <v>-46</v>
      </c>
    </row>
    <row r="52" spans="2:16" x14ac:dyDescent="0.2">
      <c r="B52" s="11">
        <v>1111069</v>
      </c>
      <c r="C52" s="15" t="s">
        <v>42</v>
      </c>
      <c r="D52" s="30">
        <f>เย็น!D52+เช้า!D52</f>
        <v>30</v>
      </c>
      <c r="E52" s="30">
        <f>เย็น!E52+เช้า!E52</f>
        <v>15</v>
      </c>
      <c r="F52" s="30">
        <f>เย็น!F52+เช้า!F52</f>
        <v>7</v>
      </c>
      <c r="G52" s="30">
        <f>เย็น!G52+เช้า!G52</f>
        <v>2</v>
      </c>
      <c r="H52" s="30">
        <f>เย็น!H52+เช้า!H52</f>
        <v>0</v>
      </c>
      <c r="I52" s="30">
        <f>เย็น!I52+เช้า!I52</f>
        <v>0</v>
      </c>
      <c r="J52" s="30">
        <f>เย็น!J52+เช้า!J52</f>
        <v>0</v>
      </c>
      <c r="K52" s="36">
        <f t="shared" si="0"/>
        <v>54</v>
      </c>
      <c r="L52" s="11"/>
      <c r="M52" s="11">
        <v>10</v>
      </c>
      <c r="N52" s="11"/>
      <c r="O52" s="11"/>
      <c r="P52" s="50">
        <f t="shared" si="2"/>
        <v>-44</v>
      </c>
    </row>
    <row r="53" spans="2:16" x14ac:dyDescent="0.2">
      <c r="B53" s="11">
        <v>1111070</v>
      </c>
      <c r="C53" s="15" t="s">
        <v>128</v>
      </c>
      <c r="D53" s="30">
        <f>เย็น!D53+เช้า!D53</f>
        <v>30</v>
      </c>
      <c r="E53" s="30">
        <f>เย็น!E53+เช้า!E53</f>
        <v>2</v>
      </c>
      <c r="F53" s="30">
        <f>เย็น!F53+เช้า!F53</f>
        <v>0</v>
      </c>
      <c r="G53" s="30">
        <f>เย็น!G53+เช้า!G53</f>
        <v>0</v>
      </c>
      <c r="H53" s="30">
        <f>เย็น!H53+เช้า!H53</f>
        <v>0</v>
      </c>
      <c r="I53" s="30">
        <f>เย็น!I53+เช้า!I53</f>
        <v>0</v>
      </c>
      <c r="J53" s="30">
        <f>เย็น!J53+เช้า!J53</f>
        <v>0</v>
      </c>
      <c r="K53" s="36">
        <f t="shared" si="0"/>
        <v>32</v>
      </c>
      <c r="L53" s="11"/>
      <c r="M53" s="11"/>
      <c r="N53" s="11"/>
      <c r="O53" s="11"/>
      <c r="P53" s="50">
        <f t="shared" si="2"/>
        <v>-32</v>
      </c>
    </row>
    <row r="54" spans="2:16" x14ac:dyDescent="0.2">
      <c r="B54" s="11">
        <v>1111071</v>
      </c>
      <c r="C54" s="15" t="s">
        <v>129</v>
      </c>
      <c r="D54" s="30">
        <f>เย็น!D54+เช้า!D54</f>
        <v>30</v>
      </c>
      <c r="E54" s="30">
        <f>เย็น!E54+เช้า!E54</f>
        <v>2</v>
      </c>
      <c r="F54" s="30">
        <f>เย็น!F54+เช้า!F54</f>
        <v>0</v>
      </c>
      <c r="G54" s="30">
        <f>เย็น!G54+เช้า!G54</f>
        <v>0</v>
      </c>
      <c r="H54" s="30">
        <f>เย็น!H54+เช้า!H54</f>
        <v>0</v>
      </c>
      <c r="I54" s="30">
        <f>เย็น!I54+เช้า!I54</f>
        <v>0</v>
      </c>
      <c r="J54" s="30">
        <f>เย็น!J54+เช้า!J54</f>
        <v>0</v>
      </c>
      <c r="K54" s="36">
        <f t="shared" si="0"/>
        <v>32</v>
      </c>
      <c r="L54" s="11"/>
      <c r="M54" s="11"/>
      <c r="N54" s="11"/>
      <c r="O54" s="11"/>
      <c r="P54" s="50">
        <f t="shared" si="2"/>
        <v>-32</v>
      </c>
    </row>
    <row r="55" spans="2:16" x14ac:dyDescent="0.2">
      <c r="B55" s="11">
        <v>1111001</v>
      </c>
      <c r="C55" s="15" t="s">
        <v>43</v>
      </c>
      <c r="D55" s="30"/>
      <c r="E55" s="30">
        <f>เย็น!E55+เช้า!E55</f>
        <v>0</v>
      </c>
      <c r="F55" s="30">
        <f>เย็น!F55+เช้า!F55</f>
        <v>0</v>
      </c>
      <c r="G55" s="30">
        <f>เย็น!G55+เช้า!G55</f>
        <v>0</v>
      </c>
      <c r="H55" s="30">
        <f>เย็น!H55+เช้า!H55</f>
        <v>0</v>
      </c>
      <c r="I55" s="30">
        <f>เย็น!I55+เช้า!I55</f>
        <v>0</v>
      </c>
      <c r="J55" s="30">
        <f>เย็น!J55+เช้า!J55</f>
        <v>0</v>
      </c>
      <c r="K55" s="36">
        <f t="shared" si="0"/>
        <v>0</v>
      </c>
      <c r="L55" s="11"/>
      <c r="M55" s="11"/>
      <c r="N55" s="11"/>
      <c r="O55" s="11"/>
      <c r="P55" s="50">
        <f t="shared" si="2"/>
        <v>0</v>
      </c>
    </row>
    <row r="56" spans="2:16" x14ac:dyDescent="0.2">
      <c r="B56" s="11">
        <v>1111074</v>
      </c>
      <c r="C56" s="15" t="s">
        <v>44</v>
      </c>
      <c r="D56" s="30">
        <f>เย็น!D56+เช้า!D56</f>
        <v>10</v>
      </c>
      <c r="E56" s="30">
        <f>เย็น!E56+เช้า!E56</f>
        <v>28</v>
      </c>
      <c r="F56" s="30">
        <f>เย็น!F56+เช้า!F56</f>
        <v>2</v>
      </c>
      <c r="G56" s="30">
        <f>เย็น!G56+เช้า!G56</f>
        <v>3</v>
      </c>
      <c r="H56" s="30">
        <f>เย็น!H56+เช้า!H56</f>
        <v>3</v>
      </c>
      <c r="I56" s="30">
        <f>เย็น!I56+เช้า!I56</f>
        <v>0</v>
      </c>
      <c r="J56" s="30">
        <f>เย็น!J56+เช้า!J56</f>
        <v>0</v>
      </c>
      <c r="K56" s="36">
        <f t="shared" si="0"/>
        <v>46</v>
      </c>
      <c r="L56" s="11"/>
      <c r="M56" s="11">
        <v>10</v>
      </c>
      <c r="N56" s="11"/>
      <c r="O56" s="11"/>
      <c r="P56" s="50">
        <f t="shared" si="2"/>
        <v>-36</v>
      </c>
    </row>
    <row r="57" spans="2:16" x14ac:dyDescent="0.2">
      <c r="B57" s="11">
        <v>1111075</v>
      </c>
      <c r="C57" s="15" t="s">
        <v>45</v>
      </c>
      <c r="D57" s="30">
        <f>เย็น!D57+เช้า!D57</f>
        <v>10</v>
      </c>
      <c r="E57" s="30">
        <f>เย็น!E57+เช้า!E57</f>
        <v>28</v>
      </c>
      <c r="F57" s="30">
        <f>เย็น!F57+เช้า!F57</f>
        <v>2</v>
      </c>
      <c r="G57" s="30">
        <f>เย็น!G57+เช้า!G57</f>
        <v>3</v>
      </c>
      <c r="H57" s="30">
        <f>เย็น!H57+เช้า!H57</f>
        <v>3</v>
      </c>
      <c r="I57" s="30">
        <f>เย็น!I57+เช้า!I57</f>
        <v>0</v>
      </c>
      <c r="J57" s="30">
        <f>เย็น!J57+เช้า!J57</f>
        <v>0</v>
      </c>
      <c r="K57" s="36">
        <f t="shared" si="0"/>
        <v>46</v>
      </c>
      <c r="L57" s="11"/>
      <c r="M57" s="11">
        <v>10</v>
      </c>
      <c r="N57" s="11"/>
      <c r="O57" s="11"/>
      <c r="P57" s="50">
        <f t="shared" si="2"/>
        <v>-36</v>
      </c>
    </row>
    <row r="58" spans="2:16" x14ac:dyDescent="0.2">
      <c r="B58" s="11">
        <v>1111076</v>
      </c>
      <c r="C58" s="15" t="s">
        <v>46</v>
      </c>
      <c r="D58" s="30">
        <f>เย็น!D58+เช้า!D58</f>
        <v>10</v>
      </c>
      <c r="E58" s="30">
        <f>เย็น!E58+เช้า!E58</f>
        <v>28</v>
      </c>
      <c r="F58" s="30">
        <f>เย็น!F58+เช้า!F58</f>
        <v>2</v>
      </c>
      <c r="G58" s="30">
        <f>เย็น!G58+เช้า!G58</f>
        <v>3</v>
      </c>
      <c r="H58" s="30">
        <f>เย็น!H58+เช้า!H58</f>
        <v>3</v>
      </c>
      <c r="I58" s="30">
        <f>เย็น!I58+เช้า!I58</f>
        <v>0</v>
      </c>
      <c r="J58" s="30">
        <f>เย็น!J58+เช้า!J58</f>
        <v>0</v>
      </c>
      <c r="K58" s="36">
        <f t="shared" si="0"/>
        <v>46</v>
      </c>
      <c r="L58" s="11"/>
      <c r="M58" s="11">
        <v>10</v>
      </c>
      <c r="N58" s="11"/>
      <c r="O58" s="11"/>
      <c r="P58" s="50">
        <f t="shared" si="2"/>
        <v>-36</v>
      </c>
    </row>
    <row r="59" spans="2:16" x14ac:dyDescent="0.2">
      <c r="B59" s="11">
        <v>1111077</v>
      </c>
      <c r="C59" s="15" t="s">
        <v>47</v>
      </c>
      <c r="D59" s="30">
        <f>เย็น!D59+เช้า!D59</f>
        <v>10</v>
      </c>
      <c r="E59" s="30">
        <f>เย็น!E59+เช้า!E59</f>
        <v>28</v>
      </c>
      <c r="F59" s="30">
        <f>เย็น!F59+เช้า!F59</f>
        <v>2</v>
      </c>
      <c r="G59" s="30">
        <f>เย็น!G59+เช้า!G59</f>
        <v>3</v>
      </c>
      <c r="H59" s="30">
        <f>เย็น!H59+เช้า!H59</f>
        <v>3</v>
      </c>
      <c r="I59" s="30">
        <f>เย็น!I59+เช้า!I59</f>
        <v>0</v>
      </c>
      <c r="J59" s="30">
        <f>เย็น!J59+เช้า!J59</f>
        <v>0</v>
      </c>
      <c r="K59" s="36">
        <f t="shared" si="0"/>
        <v>46</v>
      </c>
      <c r="L59" s="11"/>
      <c r="M59" s="11">
        <v>10</v>
      </c>
      <c r="N59" s="11"/>
      <c r="O59" s="11"/>
      <c r="P59" s="50">
        <f t="shared" si="2"/>
        <v>-36</v>
      </c>
    </row>
    <row r="60" spans="2:16" x14ac:dyDescent="0.2">
      <c r="B60" s="11">
        <v>1111078</v>
      </c>
      <c r="C60" s="15" t="s">
        <v>48</v>
      </c>
      <c r="D60" s="30">
        <f>เย็น!D60+เช้า!D60</f>
        <v>10</v>
      </c>
      <c r="E60" s="30">
        <f>เย็น!E60+เช้า!E60</f>
        <v>28</v>
      </c>
      <c r="F60" s="30">
        <f>เย็น!F60+เช้า!F60</f>
        <v>2</v>
      </c>
      <c r="G60" s="30">
        <f>เย็น!G60+เช้า!G60</f>
        <v>3</v>
      </c>
      <c r="H60" s="30">
        <f>เย็น!H60+เช้า!H60</f>
        <v>3</v>
      </c>
      <c r="I60" s="30">
        <f>เย็น!I60+เช้า!I60</f>
        <v>0</v>
      </c>
      <c r="J60" s="30">
        <f>เย็น!J60+เช้า!J60</f>
        <v>0</v>
      </c>
      <c r="K60" s="36">
        <f t="shared" si="0"/>
        <v>46</v>
      </c>
      <c r="L60" s="11"/>
      <c r="M60" s="11">
        <v>10</v>
      </c>
      <c r="N60" s="11"/>
      <c r="O60" s="11"/>
      <c r="P60" s="50">
        <f t="shared" si="2"/>
        <v>-36</v>
      </c>
    </row>
    <row r="61" spans="2:16" x14ac:dyDescent="0.2">
      <c r="B61" s="11">
        <v>1111079</v>
      </c>
      <c r="C61" s="15" t="s">
        <v>49</v>
      </c>
      <c r="D61" s="30">
        <f>เย็น!D61+เช้า!D61</f>
        <v>10</v>
      </c>
      <c r="E61" s="30">
        <f>เย็น!E61+เช้า!E61</f>
        <v>28</v>
      </c>
      <c r="F61" s="30">
        <f>เย็น!F61+เช้า!F61</f>
        <v>2</v>
      </c>
      <c r="G61" s="30">
        <f>เย็น!G61+เช้า!G61</f>
        <v>2</v>
      </c>
      <c r="H61" s="30">
        <f>เย็น!H61+เช้า!H61</f>
        <v>2</v>
      </c>
      <c r="I61" s="30">
        <f>เย็น!I61+เช้า!I61</f>
        <v>0</v>
      </c>
      <c r="J61" s="30">
        <f>เย็น!J61+เช้า!J61</f>
        <v>0</v>
      </c>
      <c r="K61" s="36">
        <f t="shared" si="0"/>
        <v>44</v>
      </c>
      <c r="L61" s="11"/>
      <c r="M61" s="11">
        <v>10</v>
      </c>
      <c r="N61" s="11"/>
      <c r="O61" s="11"/>
      <c r="P61" s="50">
        <f t="shared" si="2"/>
        <v>-34</v>
      </c>
    </row>
    <row r="62" spans="2:16" x14ac:dyDescent="0.2">
      <c r="B62" s="11">
        <v>1111080</v>
      </c>
      <c r="C62" s="15" t="s">
        <v>50</v>
      </c>
      <c r="D62" s="30">
        <f>เย็น!D62+เช้า!D62</f>
        <v>10</v>
      </c>
      <c r="E62" s="30">
        <f>เย็น!E62+เช้า!E62</f>
        <v>28</v>
      </c>
      <c r="F62" s="30">
        <f>เย็น!F62+เช้า!F62</f>
        <v>2</v>
      </c>
      <c r="G62" s="30">
        <f>เย็น!G62+เช้า!G62</f>
        <v>2</v>
      </c>
      <c r="H62" s="30">
        <f>เย็น!H62+เช้า!H62</f>
        <v>2</v>
      </c>
      <c r="I62" s="30">
        <f>เย็น!I62+เช้า!I62</f>
        <v>0</v>
      </c>
      <c r="J62" s="30">
        <f>เย็น!J62+เช้า!J62</f>
        <v>0</v>
      </c>
      <c r="K62" s="36">
        <f t="shared" si="0"/>
        <v>44</v>
      </c>
      <c r="L62" s="11"/>
      <c r="M62" s="11">
        <v>10</v>
      </c>
      <c r="N62" s="11"/>
      <c r="O62" s="11"/>
      <c r="P62" s="50">
        <f t="shared" si="2"/>
        <v>-34</v>
      </c>
    </row>
    <row r="63" spans="2:16" x14ac:dyDescent="0.2">
      <c r="B63" s="11">
        <v>1111081</v>
      </c>
      <c r="C63" s="15" t="s">
        <v>51</v>
      </c>
      <c r="D63" s="30">
        <f>เย็น!D63+เช้า!D63</f>
        <v>10</v>
      </c>
      <c r="E63" s="30">
        <f>เย็น!E63+เช้า!E63</f>
        <v>18</v>
      </c>
      <c r="F63" s="30">
        <f>เย็น!F63+เช้า!F63</f>
        <v>2</v>
      </c>
      <c r="G63" s="30">
        <f>เย็น!G63+เช้า!G63</f>
        <v>2</v>
      </c>
      <c r="H63" s="30">
        <f>เย็น!H63+เช้า!H63</f>
        <v>2</v>
      </c>
      <c r="I63" s="30">
        <f>เย็น!I63+เช้า!I63</f>
        <v>0</v>
      </c>
      <c r="J63" s="30">
        <f>เย็น!J63+เช้า!J63</f>
        <v>0</v>
      </c>
      <c r="K63" s="36">
        <f t="shared" si="0"/>
        <v>34</v>
      </c>
      <c r="L63" s="11"/>
      <c r="M63" s="11">
        <v>10</v>
      </c>
      <c r="N63" s="11"/>
      <c r="O63" s="11"/>
      <c r="P63" s="50">
        <f t="shared" si="2"/>
        <v>-24</v>
      </c>
    </row>
    <row r="64" spans="2:16" x14ac:dyDescent="0.2">
      <c r="B64" s="11">
        <v>1111082</v>
      </c>
      <c r="C64" s="15" t="s">
        <v>52</v>
      </c>
      <c r="D64" s="30">
        <f>เย็น!D64+เช้า!D64</f>
        <v>10</v>
      </c>
      <c r="E64" s="30">
        <f>เย็น!E64+เช้า!E64</f>
        <v>28</v>
      </c>
      <c r="F64" s="30">
        <f>เย็น!F64+เช้า!F64</f>
        <v>2</v>
      </c>
      <c r="G64" s="30">
        <f>เย็น!G64+เช้า!G64</f>
        <v>2</v>
      </c>
      <c r="H64" s="30">
        <f>เย็น!H64+เช้า!H64</f>
        <v>2</v>
      </c>
      <c r="I64" s="30">
        <f>เย็น!I64+เช้า!I64</f>
        <v>0</v>
      </c>
      <c r="J64" s="30">
        <f>เย็น!J64+เช้า!J64</f>
        <v>0</v>
      </c>
      <c r="K64" s="36">
        <f t="shared" si="0"/>
        <v>44</v>
      </c>
      <c r="L64" s="11"/>
      <c r="M64" s="11">
        <v>10</v>
      </c>
      <c r="N64" s="11"/>
      <c r="O64" s="11"/>
      <c r="P64" s="50">
        <f t="shared" si="2"/>
        <v>-34</v>
      </c>
    </row>
    <row r="65" spans="2:16" x14ac:dyDescent="0.2">
      <c r="B65" s="11">
        <v>1111083</v>
      </c>
      <c r="C65" s="15" t="s">
        <v>53</v>
      </c>
      <c r="D65" s="30">
        <f>เย็น!D65+เช้า!D65</f>
        <v>10</v>
      </c>
      <c r="E65" s="30">
        <f>เย็น!E65+เช้า!E65</f>
        <v>18</v>
      </c>
      <c r="F65" s="30">
        <f>เย็น!F65+เช้า!F65</f>
        <v>2</v>
      </c>
      <c r="G65" s="30">
        <f>เย็น!G65+เช้า!G65</f>
        <v>2</v>
      </c>
      <c r="H65" s="30">
        <f>เย็น!H65+เช้า!H65</f>
        <v>2</v>
      </c>
      <c r="I65" s="30">
        <f>เย็น!I65+เช้า!I65</f>
        <v>0</v>
      </c>
      <c r="J65" s="30">
        <f>เย็น!J65+เช้า!J65</f>
        <v>0</v>
      </c>
      <c r="K65" s="36">
        <f t="shared" si="0"/>
        <v>34</v>
      </c>
      <c r="L65" s="11"/>
      <c r="M65" s="11">
        <v>10</v>
      </c>
      <c r="N65" s="11"/>
      <c r="O65" s="11"/>
      <c r="P65" s="50">
        <f t="shared" si="2"/>
        <v>-24</v>
      </c>
    </row>
    <row r="66" spans="2:16" x14ac:dyDescent="0.2">
      <c r="B66" s="11">
        <v>1111010</v>
      </c>
      <c r="C66" s="15" t="s">
        <v>54</v>
      </c>
      <c r="D66" s="30">
        <f>เย็น!D66+เช้า!D66</f>
        <v>0</v>
      </c>
      <c r="E66" s="30">
        <f>เย็น!E66+เช้า!E66</f>
        <v>0</v>
      </c>
      <c r="F66" s="30">
        <f>เย็น!F66+เช้า!F66</f>
        <v>0</v>
      </c>
      <c r="G66" s="30">
        <f>เย็น!G66+เช้า!G66</f>
        <v>0</v>
      </c>
      <c r="H66" s="30">
        <f>เย็น!H66+เช้า!H66</f>
        <v>0</v>
      </c>
      <c r="I66" s="30">
        <f>เย็น!I66+เช้า!I66</f>
        <v>0</v>
      </c>
      <c r="J66" s="30">
        <f>เย็น!J66+เช้า!J66</f>
        <v>0</v>
      </c>
      <c r="K66" s="36">
        <f t="shared" si="0"/>
        <v>0</v>
      </c>
      <c r="L66" s="11"/>
      <c r="M66" s="11"/>
      <c r="N66" s="11"/>
      <c r="O66" s="11"/>
      <c r="P66" s="50">
        <f t="shared" si="2"/>
        <v>0</v>
      </c>
    </row>
    <row r="67" spans="2:16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36">
        <f t="shared" si="0"/>
        <v>0</v>
      </c>
      <c r="L67" s="11"/>
      <c r="M67" s="11"/>
      <c r="N67" s="11"/>
      <c r="O67" s="11"/>
      <c r="P67" s="50">
        <f t="shared" si="2"/>
        <v>0</v>
      </c>
    </row>
    <row r="68" spans="2:16" ht="19.5" x14ac:dyDescent="0.2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8"/>
    </row>
    <row r="69" spans="2:16" x14ac:dyDescent="0.2">
      <c r="B69" s="11">
        <v>1111009</v>
      </c>
      <c r="C69" s="19" t="s">
        <v>56</v>
      </c>
      <c r="D69" s="30">
        <f>เย็น!D69+เช้า!D69</f>
        <v>0</v>
      </c>
      <c r="E69" s="30">
        <f>เย็น!E69+เช้า!E69</f>
        <v>0</v>
      </c>
      <c r="F69" s="30">
        <f>เย็น!F69+เช้า!F69</f>
        <v>4</v>
      </c>
      <c r="G69" s="30">
        <f>เย็น!G69+เช้า!G69</f>
        <v>2</v>
      </c>
      <c r="H69" s="30">
        <f>เย็น!H69+เช้า!H69</f>
        <v>0</v>
      </c>
      <c r="I69" s="30">
        <f>เย็น!I69+เช้า!I69</f>
        <v>0</v>
      </c>
      <c r="J69" s="30">
        <f>เย็น!J69+เช้า!J69</f>
        <v>2</v>
      </c>
      <c r="K69" s="36">
        <f>SUM(D69:J69)</f>
        <v>8</v>
      </c>
      <c r="L69" s="11">
        <v>2</v>
      </c>
      <c r="M69" s="11">
        <v>20</v>
      </c>
      <c r="N69" s="11"/>
      <c r="O69" s="11"/>
      <c r="P69" s="50">
        <f t="shared" si="2"/>
        <v>14</v>
      </c>
    </row>
    <row r="70" spans="2:16" hidden="1" x14ac:dyDescent="0.2">
      <c r="B70" s="11">
        <v>1111023</v>
      </c>
      <c r="C70" s="19" t="s">
        <v>57</v>
      </c>
      <c r="D70" s="30">
        <f>เย็น!D70+เช้า!D70</f>
        <v>0</v>
      </c>
      <c r="E70" s="30">
        <f>เย็น!E70+เช้า!E70</f>
        <v>0</v>
      </c>
      <c r="F70" s="30">
        <f>เย็น!F70+เช้า!F70</f>
        <v>0</v>
      </c>
      <c r="G70" s="30">
        <f>เย็น!G70+เช้า!G70</f>
        <v>0</v>
      </c>
      <c r="H70" s="30">
        <f>เย็น!H70+เช้า!H70</f>
        <v>0</v>
      </c>
      <c r="I70" s="30">
        <f>เย็น!I70+เช้า!I70</f>
        <v>0</v>
      </c>
      <c r="J70" s="30">
        <f>เย็น!J70+เช้า!J70</f>
        <v>0</v>
      </c>
      <c r="K70" s="36">
        <f t="shared" ref="K70:K76" si="3">SUM(D70:J70)</f>
        <v>0</v>
      </c>
      <c r="L70" s="11"/>
      <c r="M70" s="11"/>
      <c r="N70" s="11"/>
      <c r="O70" s="11"/>
      <c r="P70" s="50">
        <f t="shared" si="2"/>
        <v>0</v>
      </c>
    </row>
    <row r="71" spans="2:16" hidden="1" x14ac:dyDescent="0.2">
      <c r="B71" s="11">
        <v>1111016</v>
      </c>
      <c r="C71" s="19" t="s">
        <v>58</v>
      </c>
      <c r="D71" s="30">
        <f>เย็น!D71+เช้า!D71</f>
        <v>0</v>
      </c>
      <c r="E71" s="30">
        <f>เย็น!E71+เช้า!E71</f>
        <v>0</v>
      </c>
      <c r="F71" s="30">
        <f>เย็น!F71+เช้า!F71</f>
        <v>0</v>
      </c>
      <c r="G71" s="30">
        <f>เย็น!G71+เช้า!G71</f>
        <v>0</v>
      </c>
      <c r="H71" s="30">
        <f>เย็น!H71+เช้า!H71</f>
        <v>0</v>
      </c>
      <c r="I71" s="30">
        <f>เย็น!I71+เช้า!I71</f>
        <v>0</v>
      </c>
      <c r="J71" s="30">
        <f>เย็น!J71+เช้า!J71</f>
        <v>0</v>
      </c>
      <c r="K71" s="36">
        <f t="shared" si="3"/>
        <v>0</v>
      </c>
      <c r="L71" s="11"/>
      <c r="M71" s="11"/>
      <c r="N71" s="11"/>
      <c r="O71" s="11"/>
      <c r="P71" s="50">
        <f t="shared" si="2"/>
        <v>0</v>
      </c>
    </row>
    <row r="72" spans="2:16" hidden="1" x14ac:dyDescent="0.2">
      <c r="B72" s="11">
        <v>1111014</v>
      </c>
      <c r="C72" s="19" t="s">
        <v>59</v>
      </c>
      <c r="D72" s="30">
        <f>เย็น!D72+เช้า!D72</f>
        <v>0</v>
      </c>
      <c r="E72" s="30">
        <f>เย็น!E72+เช้า!E72</f>
        <v>0</v>
      </c>
      <c r="F72" s="30">
        <f>เย็น!F72+เช้า!F72</f>
        <v>0</v>
      </c>
      <c r="G72" s="30">
        <f>เย็น!G72+เช้า!G72</f>
        <v>0</v>
      </c>
      <c r="H72" s="30">
        <f>เย็น!H72+เช้า!H72</f>
        <v>0</v>
      </c>
      <c r="I72" s="30">
        <f>เย็น!I72+เช้า!I72</f>
        <v>0</v>
      </c>
      <c r="J72" s="30">
        <f>เย็น!J72+เช้า!J72</f>
        <v>0</v>
      </c>
      <c r="K72" s="36">
        <f t="shared" si="3"/>
        <v>0</v>
      </c>
      <c r="L72" s="11"/>
      <c r="M72" s="11"/>
      <c r="N72" s="11"/>
      <c r="O72" s="11"/>
      <c r="P72" s="50">
        <f t="shared" ref="P72:P129" si="4">(L72+M72+N72+O72)-K72</f>
        <v>0</v>
      </c>
    </row>
    <row r="73" spans="2:16" hidden="1" x14ac:dyDescent="0.2">
      <c r="B73" s="11">
        <v>1111025</v>
      </c>
      <c r="C73" s="19" t="s">
        <v>60</v>
      </c>
      <c r="D73" s="30">
        <f>เย็น!D73+เช้า!D73</f>
        <v>0</v>
      </c>
      <c r="E73" s="30">
        <f>เย็น!E73+เช้า!E73</f>
        <v>0</v>
      </c>
      <c r="F73" s="30">
        <f>เย็น!F73+เช้า!F73</f>
        <v>0</v>
      </c>
      <c r="G73" s="30">
        <f>เย็น!G73+เช้า!G73</f>
        <v>0</v>
      </c>
      <c r="H73" s="30">
        <f>เย็น!H73+เช้า!H73</f>
        <v>0</v>
      </c>
      <c r="I73" s="30">
        <f>เย็น!I73+เช้า!I73</f>
        <v>0</v>
      </c>
      <c r="J73" s="30">
        <f>เย็น!J73+เช้า!J73</f>
        <v>0</v>
      </c>
      <c r="K73" s="36">
        <f t="shared" si="3"/>
        <v>0</v>
      </c>
      <c r="L73" s="11"/>
      <c r="M73" s="11"/>
      <c r="N73" s="11"/>
      <c r="O73" s="11"/>
      <c r="P73" s="50">
        <f t="shared" si="4"/>
        <v>0</v>
      </c>
    </row>
    <row r="74" spans="2:16" hidden="1" x14ac:dyDescent="0.2">
      <c r="B74" s="11">
        <v>1111018</v>
      </c>
      <c r="C74" s="19" t="s">
        <v>61</v>
      </c>
      <c r="D74" s="30">
        <f>เย็น!D74+เช้า!D74</f>
        <v>0</v>
      </c>
      <c r="E74" s="30">
        <f>เย็น!E74+เช้า!E74</f>
        <v>0</v>
      </c>
      <c r="F74" s="30">
        <f>เย็น!F74+เช้า!F74</f>
        <v>0</v>
      </c>
      <c r="G74" s="30">
        <f>เย็น!G74+เช้า!G74</f>
        <v>0</v>
      </c>
      <c r="H74" s="30">
        <f>เย็น!H74+เช้า!H74</f>
        <v>0</v>
      </c>
      <c r="I74" s="30">
        <f>เย็น!I74+เช้า!I74</f>
        <v>0</v>
      </c>
      <c r="J74" s="30">
        <f>เย็น!J74+เช้า!J74</f>
        <v>0</v>
      </c>
      <c r="K74" s="36">
        <f t="shared" si="3"/>
        <v>0</v>
      </c>
      <c r="L74" s="11"/>
      <c r="M74" s="11"/>
      <c r="N74" s="11"/>
      <c r="O74" s="11"/>
      <c r="P74" s="50">
        <f t="shared" si="4"/>
        <v>0</v>
      </c>
    </row>
    <row r="75" spans="2:16" hidden="1" x14ac:dyDescent="0.2">
      <c r="B75" s="11">
        <v>1111012</v>
      </c>
      <c r="C75" s="19" t="s">
        <v>62</v>
      </c>
      <c r="D75" s="30">
        <f>เย็น!D75+เช้า!D75</f>
        <v>0</v>
      </c>
      <c r="E75" s="30">
        <f>เย็น!E75+เช้า!E75</f>
        <v>0</v>
      </c>
      <c r="F75" s="30">
        <f>เย็น!F75+เช้า!F75</f>
        <v>0</v>
      </c>
      <c r="G75" s="30">
        <f>เย็น!G75+เช้า!G75</f>
        <v>0</v>
      </c>
      <c r="H75" s="30">
        <f>เย็น!H75+เช้า!H75</f>
        <v>0</v>
      </c>
      <c r="I75" s="30">
        <f>เย็น!I75+เช้า!I75</f>
        <v>0</v>
      </c>
      <c r="J75" s="30">
        <f>เย็น!J75+เช้า!J75</f>
        <v>0</v>
      </c>
      <c r="K75" s="36">
        <f t="shared" si="3"/>
        <v>0</v>
      </c>
      <c r="L75" s="11"/>
      <c r="M75" s="11"/>
      <c r="N75" s="11"/>
      <c r="O75" s="11"/>
      <c r="P75" s="50">
        <f t="shared" si="4"/>
        <v>0</v>
      </c>
    </row>
    <row r="76" spans="2:16" hidden="1" x14ac:dyDescent="0.2">
      <c r="B76" s="11">
        <v>1111020</v>
      </c>
      <c r="C76" s="19" t="s">
        <v>63</v>
      </c>
      <c r="D76" s="30">
        <f>เย็น!D76+เช้า!D76</f>
        <v>0</v>
      </c>
      <c r="E76" s="30">
        <f>เย็น!E76+เช้า!E76</f>
        <v>0</v>
      </c>
      <c r="F76" s="30">
        <f>เย็น!F76+เช้า!F76</f>
        <v>0</v>
      </c>
      <c r="G76" s="30">
        <f>เย็น!G76+เช้า!G76</f>
        <v>0</v>
      </c>
      <c r="H76" s="30">
        <f>เย็น!H76+เช้า!H76</f>
        <v>0</v>
      </c>
      <c r="I76" s="30">
        <f>เย็น!I76+เช้า!I76</f>
        <v>0</v>
      </c>
      <c r="J76" s="30">
        <f>เย็น!J76+เช้า!J76</f>
        <v>0</v>
      </c>
      <c r="K76" s="36">
        <f t="shared" si="3"/>
        <v>0</v>
      </c>
      <c r="L76" s="11"/>
      <c r="M76" s="11"/>
      <c r="N76" s="11"/>
      <c r="O76" s="11"/>
      <c r="P76" s="50">
        <f t="shared" si="4"/>
        <v>0</v>
      </c>
    </row>
    <row r="77" spans="2:16" hidden="1" x14ac:dyDescent="0.2">
      <c r="B77" s="18"/>
      <c r="C77" s="20" t="s">
        <v>1</v>
      </c>
      <c r="D77" s="30">
        <f>เย็น!D77+เช้า!D77</f>
        <v>0</v>
      </c>
      <c r="E77" s="30">
        <f>เย็น!E77+เช้า!E77</f>
        <v>0</v>
      </c>
      <c r="F77" s="30">
        <f>เย็น!F77+เช้า!F77</f>
        <v>0</v>
      </c>
      <c r="G77" s="30">
        <f>เย็น!G77+เช้า!G77</f>
        <v>0</v>
      </c>
      <c r="H77" s="30">
        <f>เย็น!H77+เช้า!H77</f>
        <v>0</v>
      </c>
      <c r="I77" s="30">
        <f>เย็น!I77+เช้า!I77</f>
        <v>0</v>
      </c>
      <c r="J77" s="30">
        <f>เย็น!J77+เช้า!J77</f>
        <v>0</v>
      </c>
      <c r="K77" s="36"/>
      <c r="L77" s="11"/>
      <c r="M77" s="11"/>
      <c r="N77" s="11"/>
      <c r="O77" s="11"/>
      <c r="P77" s="50">
        <f t="shared" si="4"/>
        <v>0</v>
      </c>
    </row>
    <row r="78" spans="2:16" ht="19.5" x14ac:dyDescent="0.2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8"/>
    </row>
    <row r="79" spans="2:16" x14ac:dyDescent="0.2">
      <c r="B79" s="11">
        <v>1111022</v>
      </c>
      <c r="C79" s="19" t="s">
        <v>65</v>
      </c>
      <c r="D79" s="30">
        <f>เย็น!D79+เช้า!D79</f>
        <v>0</v>
      </c>
      <c r="E79" s="30">
        <f>เย็น!E79+เช้า!E79</f>
        <v>1</v>
      </c>
      <c r="F79" s="30">
        <f>เย็น!F79+เช้า!F79</f>
        <v>0</v>
      </c>
      <c r="G79" s="30">
        <f>เย็น!G79+เช้า!G79</f>
        <v>0</v>
      </c>
      <c r="H79" s="30">
        <f>เย็น!H79+เช้า!H79</f>
        <v>0</v>
      </c>
      <c r="I79" s="30">
        <f>เย็น!I79+เช้า!I79</f>
        <v>0</v>
      </c>
      <c r="J79" s="30">
        <f>เย็น!J79+เช้า!J79</f>
        <v>0</v>
      </c>
      <c r="K79" s="36">
        <f>SUM(D79:J79)</f>
        <v>1</v>
      </c>
      <c r="L79" s="11"/>
      <c r="M79" s="11"/>
      <c r="N79" s="11"/>
      <c r="O79" s="11"/>
      <c r="P79" s="50">
        <f t="shared" si="4"/>
        <v>-1</v>
      </c>
    </row>
    <row r="80" spans="2:16" x14ac:dyDescent="0.2">
      <c r="B80" s="11">
        <v>1111015</v>
      </c>
      <c r="C80" s="19" t="s">
        <v>66</v>
      </c>
      <c r="D80" s="30">
        <f>เย็น!D80+เช้า!D80</f>
        <v>0</v>
      </c>
      <c r="E80" s="30">
        <f>เย็น!E80+เช้า!E80</f>
        <v>0</v>
      </c>
      <c r="F80" s="30">
        <f>เย็น!F80+เช้า!F80</f>
        <v>0</v>
      </c>
      <c r="G80" s="30">
        <f>เย็น!G80+เช้า!G80</f>
        <v>0</v>
      </c>
      <c r="H80" s="30">
        <f>เย็น!H80+เช้า!H80</f>
        <v>0</v>
      </c>
      <c r="I80" s="30">
        <f>เย็น!I80+เช้า!I80</f>
        <v>0</v>
      </c>
      <c r="J80" s="30">
        <f>เย็น!J80+เช้า!J80</f>
        <v>0</v>
      </c>
      <c r="K80" s="36">
        <f t="shared" ref="K80:K87" si="5">SUM(D80:J80)</f>
        <v>0</v>
      </c>
      <c r="L80" s="11"/>
      <c r="M80" s="11"/>
      <c r="N80" s="11"/>
      <c r="O80" s="11"/>
      <c r="P80" s="50">
        <f t="shared" si="4"/>
        <v>0</v>
      </c>
    </row>
    <row r="81" spans="2:16" x14ac:dyDescent="0.2">
      <c r="B81" s="11">
        <v>1111013</v>
      </c>
      <c r="C81" s="19" t="s">
        <v>67</v>
      </c>
      <c r="D81" s="30">
        <f>เย็น!D81+เช้า!D81</f>
        <v>0</v>
      </c>
      <c r="E81" s="30">
        <f>เย็น!E81+เช้า!E81</f>
        <v>0</v>
      </c>
      <c r="F81" s="30">
        <f>เย็น!F81+เช้า!F81</f>
        <v>0</v>
      </c>
      <c r="G81" s="30">
        <f>เย็น!G81+เช้า!G81</f>
        <v>0</v>
      </c>
      <c r="H81" s="30">
        <f>เย็น!H81+เช้า!H81</f>
        <v>0</v>
      </c>
      <c r="I81" s="30">
        <f>เย็น!I81+เช้า!I81</f>
        <v>0</v>
      </c>
      <c r="J81" s="30">
        <f>เย็น!J81+เช้า!J81</f>
        <v>0</v>
      </c>
      <c r="K81" s="36">
        <f t="shared" si="5"/>
        <v>0</v>
      </c>
      <c r="L81" s="11"/>
      <c r="M81" s="11"/>
      <c r="N81" s="11"/>
      <c r="O81" s="11"/>
      <c r="P81" s="50">
        <f t="shared" si="4"/>
        <v>0</v>
      </c>
    </row>
    <row r="82" spans="2:16" x14ac:dyDescent="0.2">
      <c r="B82" s="11">
        <v>1111024</v>
      </c>
      <c r="C82" s="19" t="s">
        <v>68</v>
      </c>
      <c r="D82" s="30">
        <f>เย็น!D82+เช้า!D82</f>
        <v>0</v>
      </c>
      <c r="E82" s="30">
        <f>เย็น!E82+เช้า!E82</f>
        <v>0</v>
      </c>
      <c r="F82" s="30">
        <f>เย็น!F82+เช้า!F82</f>
        <v>0</v>
      </c>
      <c r="G82" s="30">
        <f>เย็น!G82+เช้า!G82</f>
        <v>0</v>
      </c>
      <c r="H82" s="30">
        <f>เย็น!H82+เช้า!H82</f>
        <v>0</v>
      </c>
      <c r="I82" s="30">
        <f>เย็น!I82+เช้า!I82</f>
        <v>0</v>
      </c>
      <c r="J82" s="30">
        <f>เย็น!J82+เช้า!J82</f>
        <v>0</v>
      </c>
      <c r="K82" s="36">
        <f t="shared" si="5"/>
        <v>0</v>
      </c>
      <c r="L82" s="11"/>
      <c r="M82" s="11"/>
      <c r="N82" s="11"/>
      <c r="O82" s="11"/>
      <c r="P82" s="50">
        <f t="shared" si="4"/>
        <v>0</v>
      </c>
    </row>
    <row r="83" spans="2:16" x14ac:dyDescent="0.2">
      <c r="B83" s="11">
        <v>1111017</v>
      </c>
      <c r="C83" s="19" t="s">
        <v>69</v>
      </c>
      <c r="D83" s="30">
        <f>เย็น!D83+เช้า!D83</f>
        <v>0</v>
      </c>
      <c r="E83" s="30">
        <f>เย็น!E83+เช้า!E83</f>
        <v>0</v>
      </c>
      <c r="F83" s="30">
        <f>เย็น!F83+เช้า!F83</f>
        <v>0</v>
      </c>
      <c r="G83" s="30">
        <f>เย็น!G83+เช้า!G83</f>
        <v>0</v>
      </c>
      <c r="H83" s="30">
        <f>เย็น!H83+เช้า!H83</f>
        <v>0</v>
      </c>
      <c r="I83" s="30">
        <f>เย็น!I83+เช้า!I83</f>
        <v>0</v>
      </c>
      <c r="J83" s="30">
        <f>เย็น!J83+เช้า!J83</f>
        <v>0</v>
      </c>
      <c r="K83" s="36">
        <f t="shared" si="5"/>
        <v>0</v>
      </c>
      <c r="L83" s="11"/>
      <c r="M83" s="11"/>
      <c r="N83" s="11"/>
      <c r="O83" s="11"/>
      <c r="P83" s="50">
        <f t="shared" si="4"/>
        <v>0</v>
      </c>
    </row>
    <row r="84" spans="2:16" x14ac:dyDescent="0.2">
      <c r="B84" s="11">
        <v>1111011</v>
      </c>
      <c r="C84" s="19" t="s">
        <v>70</v>
      </c>
      <c r="D84" s="30">
        <f>เย็น!D84+เช้า!D84</f>
        <v>0</v>
      </c>
      <c r="E84" s="30">
        <f>เย็น!E84+เช้า!E84</f>
        <v>0</v>
      </c>
      <c r="F84" s="30">
        <f>เย็น!F84+เช้า!F84</f>
        <v>0</v>
      </c>
      <c r="G84" s="30">
        <f>เย็น!G84+เช้า!G84</f>
        <v>0</v>
      </c>
      <c r="H84" s="30">
        <f>เย็น!H84+เช้า!H84</f>
        <v>0</v>
      </c>
      <c r="I84" s="30">
        <f>เย็น!I84+เช้า!I84</f>
        <v>0</v>
      </c>
      <c r="J84" s="30">
        <f>เย็น!J84+เช้า!J84</f>
        <v>0</v>
      </c>
      <c r="K84" s="36">
        <f t="shared" si="5"/>
        <v>0</v>
      </c>
      <c r="L84" s="11"/>
      <c r="M84" s="11"/>
      <c r="N84" s="11"/>
      <c r="O84" s="11"/>
      <c r="P84" s="50">
        <f t="shared" si="4"/>
        <v>0</v>
      </c>
    </row>
    <row r="85" spans="2:16" x14ac:dyDescent="0.2">
      <c r="B85" s="11">
        <v>1111019</v>
      </c>
      <c r="C85" s="19" t="s">
        <v>71</v>
      </c>
      <c r="D85" s="30">
        <f>เย็น!D85+เช้า!D85</f>
        <v>0</v>
      </c>
      <c r="E85" s="30">
        <f>เย็น!E85+เช้า!E85</f>
        <v>0</v>
      </c>
      <c r="F85" s="30">
        <f>เย็น!F85+เช้า!F85</f>
        <v>0</v>
      </c>
      <c r="G85" s="30">
        <f>เย็น!G85+เช้า!G85</f>
        <v>0</v>
      </c>
      <c r="H85" s="30">
        <f>เย็น!H85+เช้า!H85</f>
        <v>0</v>
      </c>
      <c r="I85" s="30">
        <f>เย็น!I85+เช้า!I85</f>
        <v>0</v>
      </c>
      <c r="J85" s="30">
        <f>เย็น!J85+เช้า!J85</f>
        <v>0</v>
      </c>
      <c r="K85" s="36">
        <f t="shared" si="5"/>
        <v>0</v>
      </c>
      <c r="L85" s="11"/>
      <c r="M85" s="11"/>
      <c r="N85" s="11"/>
      <c r="O85" s="11"/>
      <c r="P85" s="50">
        <f t="shared" si="4"/>
        <v>0</v>
      </c>
    </row>
    <row r="86" spans="2:16" x14ac:dyDescent="0.2">
      <c r="B86" s="11">
        <v>1113081</v>
      </c>
      <c r="C86" s="19" t="s">
        <v>72</v>
      </c>
      <c r="D86" s="30">
        <f>เย็น!D86+เช้า!D86</f>
        <v>0</v>
      </c>
      <c r="E86" s="30">
        <f>เย็น!E86+เช้า!E86</f>
        <v>0</v>
      </c>
      <c r="F86" s="30">
        <f>เย็น!F86+เช้า!F86</f>
        <v>0</v>
      </c>
      <c r="G86" s="30">
        <f>เย็น!G86+เช้า!G86</f>
        <v>0</v>
      </c>
      <c r="H86" s="30">
        <f>เย็น!H86+เช้า!H86</f>
        <v>0</v>
      </c>
      <c r="I86" s="30">
        <f>เย็น!I86+เช้า!I86</f>
        <v>0</v>
      </c>
      <c r="J86" s="30">
        <f>เย็น!J86+เช้า!J86</f>
        <v>0</v>
      </c>
      <c r="K86" s="36">
        <f t="shared" si="5"/>
        <v>0</v>
      </c>
      <c r="L86" s="11"/>
      <c r="M86" s="11"/>
      <c r="N86" s="11"/>
      <c r="O86" s="11"/>
      <c r="P86" s="50">
        <f t="shared" si="4"/>
        <v>0</v>
      </c>
    </row>
    <row r="87" spans="2:16" x14ac:dyDescent="0.2">
      <c r="B87" s="11">
        <v>1111008</v>
      </c>
      <c r="C87" s="19" t="s">
        <v>73</v>
      </c>
      <c r="D87" s="30">
        <f>เย็น!D87+เช้า!D87</f>
        <v>6</v>
      </c>
      <c r="E87" s="30">
        <f>เย็น!E87+เช้า!E87</f>
        <v>12</v>
      </c>
      <c r="F87" s="30">
        <f>เย็น!F87+เช้า!F87</f>
        <v>0</v>
      </c>
      <c r="G87" s="30">
        <f>เย็น!G87+เช้า!G87</f>
        <v>113</v>
      </c>
      <c r="H87" s="30">
        <f>เย็น!H87+เช้า!H87</f>
        <v>129</v>
      </c>
      <c r="I87" s="30">
        <f>เย็น!I87+เช้า!I87</f>
        <v>0</v>
      </c>
      <c r="J87" s="30">
        <f>เย็น!J87+เช้า!J87</f>
        <v>0</v>
      </c>
      <c r="K87" s="36">
        <f t="shared" si="5"/>
        <v>260</v>
      </c>
      <c r="L87" s="11">
        <v>139</v>
      </c>
      <c r="M87" s="11">
        <v>100</v>
      </c>
      <c r="N87" s="11"/>
      <c r="O87" s="11"/>
      <c r="P87" s="50">
        <f t="shared" si="4"/>
        <v>-21</v>
      </c>
    </row>
    <row r="88" spans="2:16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36">
        <f>SUM(D88:J88)</f>
        <v>0</v>
      </c>
      <c r="L88" s="11"/>
      <c r="M88" s="11"/>
      <c r="N88" s="11"/>
      <c r="O88" s="11"/>
      <c r="P88" s="50">
        <f t="shared" si="4"/>
        <v>0</v>
      </c>
    </row>
    <row r="89" spans="2:16" ht="19.5" x14ac:dyDescent="0.2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8"/>
    </row>
    <row r="90" spans="2:16" x14ac:dyDescent="0.2">
      <c r="B90" s="11">
        <v>1112009</v>
      </c>
      <c r="C90" s="19" t="s">
        <v>75</v>
      </c>
      <c r="D90" s="30">
        <f>เย็น!D90+เช้า!D90</f>
        <v>11</v>
      </c>
      <c r="E90" s="30">
        <f>เย็น!E90+เช้า!E90</f>
        <v>8</v>
      </c>
      <c r="F90" s="30">
        <f>เย็น!F90+เช้า!F90</f>
        <v>15</v>
      </c>
      <c r="G90" s="30">
        <f>เย็น!G90+เช้า!G90</f>
        <v>38</v>
      </c>
      <c r="H90" s="30">
        <f>เย็น!H90+เช้า!H90</f>
        <v>35</v>
      </c>
      <c r="I90" s="30">
        <f>เย็น!I90+เช้า!I90</f>
        <v>0</v>
      </c>
      <c r="J90" s="30">
        <f>เย็น!J90+เช้า!J90</f>
        <v>1</v>
      </c>
      <c r="K90" s="36">
        <f>SUM(D90:J90)</f>
        <v>108</v>
      </c>
      <c r="L90" s="11">
        <v>1</v>
      </c>
      <c r="M90" s="11">
        <v>50</v>
      </c>
      <c r="N90" s="11"/>
      <c r="O90" s="11"/>
      <c r="P90" s="50">
        <f t="shared" si="4"/>
        <v>-57</v>
      </c>
    </row>
    <row r="91" spans="2:16" x14ac:dyDescent="0.2">
      <c r="B91" s="11">
        <v>1112011</v>
      </c>
      <c r="C91" s="19" t="s">
        <v>76</v>
      </c>
      <c r="D91" s="30">
        <f>เย็น!D91+เช้า!D91</f>
        <v>13</v>
      </c>
      <c r="E91" s="30">
        <f>เย็น!E91+เช้า!E91</f>
        <v>9</v>
      </c>
      <c r="F91" s="30">
        <f>เย็น!F91+เช้า!F91</f>
        <v>37</v>
      </c>
      <c r="G91" s="30">
        <f>เย็น!G91+เช้า!G91</f>
        <v>63</v>
      </c>
      <c r="H91" s="30">
        <f>เย็น!H91+เช้า!H91</f>
        <v>60</v>
      </c>
      <c r="I91" s="30">
        <f>เย็น!I91+เช้า!I91</f>
        <v>0</v>
      </c>
      <c r="J91" s="30">
        <f>เย็น!J91+เช้า!J91</f>
        <v>0</v>
      </c>
      <c r="K91" s="36">
        <f t="shared" ref="K91:K99" si="6">SUM(D91:J91)</f>
        <v>182</v>
      </c>
      <c r="L91" s="11">
        <v>3</v>
      </c>
      <c r="M91" s="11">
        <v>60</v>
      </c>
      <c r="N91" s="11"/>
      <c r="O91" s="11"/>
      <c r="P91" s="50">
        <f t="shared" si="4"/>
        <v>-119</v>
      </c>
    </row>
    <row r="92" spans="2:16" x14ac:dyDescent="0.2">
      <c r="B92" s="11">
        <v>1112003</v>
      </c>
      <c r="C92" s="19" t="s">
        <v>77</v>
      </c>
      <c r="D92" s="30">
        <f>เย็น!D92+เช้า!D92</f>
        <v>1</v>
      </c>
      <c r="E92" s="30">
        <f>เย็น!E92+เช้า!E92</f>
        <v>0</v>
      </c>
      <c r="F92" s="30">
        <f>เย็น!F92+เช้า!F92</f>
        <v>0</v>
      </c>
      <c r="G92" s="30">
        <f>เย็น!G92+เช้า!G92</f>
        <v>0</v>
      </c>
      <c r="H92" s="30">
        <f>เย็น!H92+เช้า!H92</f>
        <v>0</v>
      </c>
      <c r="I92" s="30">
        <f>เย็น!I92+เช้า!I92</f>
        <v>0</v>
      </c>
      <c r="J92" s="30">
        <f>เย็น!J92+เช้า!J92</f>
        <v>0</v>
      </c>
      <c r="K92" s="36">
        <f t="shared" si="6"/>
        <v>1</v>
      </c>
      <c r="L92" s="11">
        <v>1</v>
      </c>
      <c r="M92" s="11">
        <v>10</v>
      </c>
      <c r="N92" s="11"/>
      <c r="O92" s="11"/>
      <c r="P92" s="50">
        <f t="shared" si="4"/>
        <v>10</v>
      </c>
    </row>
    <row r="93" spans="2:16" x14ac:dyDescent="0.2">
      <c r="B93" s="11">
        <v>1112005</v>
      </c>
      <c r="C93" s="19" t="s">
        <v>78</v>
      </c>
      <c r="D93" s="30">
        <f>เย็น!D93+เช้า!D93</f>
        <v>5</v>
      </c>
      <c r="E93" s="30">
        <f>เย็น!E93+เช้า!E93</f>
        <v>0</v>
      </c>
      <c r="F93" s="30">
        <f>เย็น!F93+เช้า!F93</f>
        <v>0</v>
      </c>
      <c r="G93" s="30">
        <f>เย็น!G93+เช้า!G93</f>
        <v>0</v>
      </c>
      <c r="H93" s="30">
        <f>เย็น!H93+เช้า!H93</f>
        <v>0</v>
      </c>
      <c r="I93" s="30">
        <f>เย็น!I93+เช้า!I93</f>
        <v>0</v>
      </c>
      <c r="J93" s="30">
        <f>เย็น!J93+เช้า!J93</f>
        <v>0</v>
      </c>
      <c r="K93" s="36">
        <f t="shared" si="6"/>
        <v>5</v>
      </c>
      <c r="L93" s="11">
        <v>4</v>
      </c>
      <c r="M93" s="11">
        <v>10</v>
      </c>
      <c r="N93" s="11"/>
      <c r="O93" s="11"/>
      <c r="P93" s="50">
        <f t="shared" si="4"/>
        <v>9</v>
      </c>
    </row>
    <row r="94" spans="2:16" x14ac:dyDescent="0.2">
      <c r="B94" s="11">
        <v>1112007</v>
      </c>
      <c r="C94" s="19" t="s">
        <v>79</v>
      </c>
      <c r="D94" s="30">
        <f>เย็น!D94+เช้า!D94</f>
        <v>0</v>
      </c>
      <c r="E94" s="30">
        <f>เย็น!E94+เช้า!E94</f>
        <v>0</v>
      </c>
      <c r="F94" s="30">
        <f>เย็น!F94+เช้า!F94</f>
        <v>0</v>
      </c>
      <c r="G94" s="30">
        <f>เย็น!G94+เช้า!G94</f>
        <v>0</v>
      </c>
      <c r="H94" s="30">
        <f>เย็น!H94+เช้า!H94</f>
        <v>0</v>
      </c>
      <c r="I94" s="30">
        <f>เย็น!I94+เช้า!I94</f>
        <v>0</v>
      </c>
      <c r="J94" s="30">
        <f>เย็น!J94+เช้า!J94</f>
        <v>0</v>
      </c>
      <c r="K94" s="36">
        <f t="shared" si="6"/>
        <v>0</v>
      </c>
      <c r="L94" s="11"/>
      <c r="M94" s="11"/>
      <c r="N94" s="11"/>
      <c r="O94" s="11"/>
      <c r="P94" s="50">
        <f t="shared" si="4"/>
        <v>0</v>
      </c>
    </row>
    <row r="95" spans="2:16" x14ac:dyDescent="0.2">
      <c r="B95" s="11">
        <v>1112019</v>
      </c>
      <c r="C95" s="19" t="s">
        <v>80</v>
      </c>
      <c r="D95" s="30">
        <f>เย็น!D95+เช้า!D95</f>
        <v>0</v>
      </c>
      <c r="E95" s="30">
        <f>เย็น!E95+เช้า!E95</f>
        <v>0</v>
      </c>
      <c r="F95" s="30">
        <f>เย็น!F95+เช้า!F95</f>
        <v>0</v>
      </c>
      <c r="G95" s="30">
        <f>เย็น!G95+เช้า!G95</f>
        <v>0</v>
      </c>
      <c r="H95" s="30">
        <f>เย็น!H95+เช้า!H95</f>
        <v>0</v>
      </c>
      <c r="I95" s="30">
        <f>เย็น!I95+เช้า!I95</f>
        <v>0</v>
      </c>
      <c r="J95" s="30">
        <f>เย็น!J95+เช้า!J95</f>
        <v>0</v>
      </c>
      <c r="K95" s="36">
        <f t="shared" si="6"/>
        <v>0</v>
      </c>
      <c r="L95" s="11"/>
      <c r="M95" s="11"/>
      <c r="N95" s="11"/>
      <c r="O95" s="11"/>
      <c r="P95" s="50">
        <f t="shared" si="4"/>
        <v>0</v>
      </c>
    </row>
    <row r="96" spans="2:16" x14ac:dyDescent="0.2">
      <c r="B96" s="11">
        <v>1112017</v>
      </c>
      <c r="C96" s="19" t="s">
        <v>81</v>
      </c>
      <c r="D96" s="30">
        <f>เย็น!D96+เช้า!D96</f>
        <v>1</v>
      </c>
      <c r="E96" s="30">
        <f>เย็น!E96+เช้า!E96</f>
        <v>0</v>
      </c>
      <c r="F96" s="30">
        <f>เย็น!F96+เช้า!F96</f>
        <v>2</v>
      </c>
      <c r="G96" s="30">
        <f>เย็น!G96+เช้า!G96</f>
        <v>25</v>
      </c>
      <c r="H96" s="30">
        <f>เย็น!H96+เช้า!H96</f>
        <v>25</v>
      </c>
      <c r="I96" s="30">
        <f>เย็น!I96+เช้า!I96</f>
        <v>0</v>
      </c>
      <c r="J96" s="30">
        <f>เย็น!J96+เช้า!J96</f>
        <v>0</v>
      </c>
      <c r="K96" s="36">
        <f t="shared" si="6"/>
        <v>53</v>
      </c>
      <c r="L96" s="11"/>
      <c r="M96" s="11">
        <v>10</v>
      </c>
      <c r="N96" s="11"/>
      <c r="O96" s="11"/>
      <c r="P96" s="50">
        <f t="shared" si="4"/>
        <v>-43</v>
      </c>
    </row>
    <row r="97" spans="2:16" x14ac:dyDescent="0.2">
      <c r="B97" s="11">
        <v>1112015</v>
      </c>
      <c r="C97" s="19" t="s">
        <v>82</v>
      </c>
      <c r="D97" s="30">
        <f>เย็น!D97+เช้า!D97</f>
        <v>0</v>
      </c>
      <c r="E97" s="30">
        <f>เย็น!E97+เช้า!E97</f>
        <v>0</v>
      </c>
      <c r="F97" s="30">
        <f>เย็น!F97+เช้า!F97</f>
        <v>0</v>
      </c>
      <c r="G97" s="30">
        <f>เย็น!G97+เช้า!G97</f>
        <v>0</v>
      </c>
      <c r="H97" s="30">
        <f>เย็น!H97+เช้า!H97</f>
        <v>0</v>
      </c>
      <c r="I97" s="30">
        <f>เย็น!I97+เช้า!I97</f>
        <v>0</v>
      </c>
      <c r="J97" s="30">
        <f>เย็น!J97+เช้า!J97</f>
        <v>0</v>
      </c>
      <c r="K97" s="36">
        <f t="shared" si="6"/>
        <v>0</v>
      </c>
      <c r="L97" s="11">
        <v>32</v>
      </c>
      <c r="M97" s="11">
        <v>50</v>
      </c>
      <c r="N97" s="11"/>
      <c r="O97" s="11"/>
      <c r="P97" s="50">
        <f t="shared" si="4"/>
        <v>82</v>
      </c>
    </row>
    <row r="98" spans="2:16" x14ac:dyDescent="0.2">
      <c r="B98" s="11">
        <v>1112013</v>
      </c>
      <c r="C98" s="19" t="s">
        <v>83</v>
      </c>
      <c r="D98" s="30">
        <f>เย็น!D98+เช้า!D98</f>
        <v>11</v>
      </c>
      <c r="E98" s="30">
        <f>เย็น!E98+เช้า!E98</f>
        <v>8</v>
      </c>
      <c r="F98" s="30">
        <f>เย็น!F98+เช้า!F98</f>
        <v>15</v>
      </c>
      <c r="G98" s="30">
        <f>เย็น!G98+เช้า!G98</f>
        <v>61</v>
      </c>
      <c r="H98" s="30">
        <f>เย็น!H98+เช้า!H98</f>
        <v>60</v>
      </c>
      <c r="I98" s="30">
        <f>เย็น!I98+เช้า!I98</f>
        <v>0</v>
      </c>
      <c r="J98" s="30">
        <f>เย็น!J98+เช้า!J98</f>
        <v>2</v>
      </c>
      <c r="K98" s="36">
        <f t="shared" si="6"/>
        <v>157</v>
      </c>
      <c r="L98" s="11">
        <v>34</v>
      </c>
      <c r="M98" s="11">
        <v>10</v>
      </c>
      <c r="N98" s="11"/>
      <c r="O98" s="11"/>
      <c r="P98" s="50">
        <f t="shared" si="4"/>
        <v>-113</v>
      </c>
    </row>
    <row r="99" spans="2:16" x14ac:dyDescent="0.2">
      <c r="B99" s="11">
        <v>1124043</v>
      </c>
      <c r="C99" s="19" t="s">
        <v>84</v>
      </c>
      <c r="D99" s="30">
        <f>เย็น!D99+เช้า!D99</f>
        <v>0</v>
      </c>
      <c r="E99" s="30">
        <f>เย็น!E99+เช้า!E99</f>
        <v>0</v>
      </c>
      <c r="F99" s="30">
        <f>เย็น!F99+เช้า!F99</f>
        <v>0</v>
      </c>
      <c r="G99" s="30">
        <f>เย็น!G99+เช้า!G99</f>
        <v>0</v>
      </c>
      <c r="H99" s="30">
        <f>เย็น!H99+เช้า!H99</f>
        <v>0</v>
      </c>
      <c r="I99" s="30">
        <f>เย็น!I99+เช้า!I99</f>
        <v>0</v>
      </c>
      <c r="J99" s="30">
        <f>เย็น!J99+เช้า!J99</f>
        <v>0</v>
      </c>
      <c r="K99" s="36">
        <f t="shared" si="6"/>
        <v>0</v>
      </c>
      <c r="L99" s="11"/>
      <c r="M99" s="11"/>
      <c r="N99" s="11"/>
      <c r="O99" s="11"/>
      <c r="P99" s="50">
        <f t="shared" si="4"/>
        <v>0</v>
      </c>
    </row>
    <row r="100" spans="2:16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36">
        <f>SUM(K90:K99)</f>
        <v>506</v>
      </c>
      <c r="L100" s="11">
        <f>SUM(L91:L99)</f>
        <v>74</v>
      </c>
      <c r="M100" s="11">
        <f>SUM(M91:M99)</f>
        <v>150</v>
      </c>
      <c r="N100" s="11"/>
      <c r="O100" s="11"/>
      <c r="P100" s="50">
        <f>SUM(P90:P99)</f>
        <v>-231</v>
      </c>
    </row>
    <row r="101" spans="2:16" ht="19.5" x14ac:dyDescent="0.2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8"/>
    </row>
    <row r="102" spans="2:16" x14ac:dyDescent="0.2">
      <c r="B102" s="11">
        <v>1112008</v>
      </c>
      <c r="C102" s="19" t="s">
        <v>75</v>
      </c>
      <c r="D102" s="30">
        <f>เช้า!D102+เย็น!D102</f>
        <v>0</v>
      </c>
      <c r="E102" s="30">
        <f>เช้า!E102+เย็น!E102</f>
        <v>0</v>
      </c>
      <c r="F102" s="30">
        <f>เช้า!F102+เย็น!F102</f>
        <v>0</v>
      </c>
      <c r="G102" s="30">
        <f>เช้า!G102+เย็น!G102</f>
        <v>0</v>
      </c>
      <c r="H102" s="30">
        <f>เช้า!H102+เย็น!H102</f>
        <v>0</v>
      </c>
      <c r="I102" s="30">
        <f>เช้า!I102+เย็น!I102</f>
        <v>0</v>
      </c>
      <c r="J102" s="30">
        <f>เช้า!J102+เย็น!J102</f>
        <v>0</v>
      </c>
      <c r="K102" s="36">
        <f>SUM(D102:J102)</f>
        <v>0</v>
      </c>
      <c r="L102" s="11"/>
      <c r="M102" s="11"/>
      <c r="N102" s="11"/>
      <c r="O102" s="11"/>
      <c r="P102" s="50">
        <f t="shared" si="4"/>
        <v>0</v>
      </c>
    </row>
    <row r="103" spans="2:16" x14ac:dyDescent="0.2">
      <c r="B103" s="11">
        <v>1112010</v>
      </c>
      <c r="C103" s="19" t="s">
        <v>76</v>
      </c>
      <c r="D103" s="30">
        <f>เช้า!D103+เย็น!D103</f>
        <v>0</v>
      </c>
      <c r="E103" s="30">
        <f>เช้า!E103+เย็น!E103</f>
        <v>0</v>
      </c>
      <c r="F103" s="30">
        <f>เช้า!F103+เย็น!F103</f>
        <v>0</v>
      </c>
      <c r="G103" s="30">
        <f>เช้า!G103+เย็น!G103</f>
        <v>0</v>
      </c>
      <c r="H103" s="30">
        <f>เช้า!H103+เย็น!H103</f>
        <v>0</v>
      </c>
      <c r="I103" s="30">
        <f>เช้า!I103+เย็น!I103</f>
        <v>0</v>
      </c>
      <c r="J103" s="30">
        <f>เช้า!J103+เย็น!J103</f>
        <v>0</v>
      </c>
      <c r="K103" s="36">
        <f t="shared" ref="K103:K111" si="7">SUM(D103:J103)</f>
        <v>0</v>
      </c>
      <c r="L103" s="11"/>
      <c r="M103" s="11"/>
      <c r="N103" s="11"/>
      <c r="O103" s="11"/>
      <c r="P103" s="50">
        <f t="shared" si="4"/>
        <v>0</v>
      </c>
    </row>
    <row r="104" spans="2:16" x14ac:dyDescent="0.2">
      <c r="B104" s="11">
        <v>1112002</v>
      </c>
      <c r="C104" s="19" t="s">
        <v>77</v>
      </c>
      <c r="D104" s="30">
        <f>เช้า!D104+เย็น!D104</f>
        <v>0</v>
      </c>
      <c r="E104" s="30">
        <f>เช้า!E104+เย็น!E104</f>
        <v>0</v>
      </c>
      <c r="F104" s="30">
        <f>เช้า!F104+เย็น!F104</f>
        <v>0</v>
      </c>
      <c r="G104" s="30">
        <f>เช้า!G104+เย็น!G104</f>
        <v>0</v>
      </c>
      <c r="H104" s="30">
        <f>เช้า!H104+เย็น!H104</f>
        <v>0</v>
      </c>
      <c r="I104" s="30">
        <f>เช้า!I104+เย็น!I104</f>
        <v>0</v>
      </c>
      <c r="J104" s="30">
        <f>เช้า!J104+เย็น!J104</f>
        <v>0</v>
      </c>
      <c r="K104" s="36">
        <f t="shared" si="7"/>
        <v>0</v>
      </c>
      <c r="L104" s="11"/>
      <c r="M104" s="11"/>
      <c r="N104" s="11"/>
      <c r="O104" s="11"/>
      <c r="P104" s="50">
        <f t="shared" si="4"/>
        <v>0</v>
      </c>
    </row>
    <row r="105" spans="2:16" x14ac:dyDescent="0.2">
      <c r="B105" s="11">
        <v>1112004</v>
      </c>
      <c r="C105" s="19" t="s">
        <v>78</v>
      </c>
      <c r="D105" s="30">
        <f>เช้า!D105+เย็น!D105</f>
        <v>0</v>
      </c>
      <c r="E105" s="30">
        <f>เช้า!E105+เย็น!E105</f>
        <v>0</v>
      </c>
      <c r="F105" s="30">
        <f>เช้า!F105+เย็น!F105</f>
        <v>0</v>
      </c>
      <c r="G105" s="30">
        <f>เช้า!G105+เย็น!G105</f>
        <v>0</v>
      </c>
      <c r="H105" s="30">
        <f>เช้า!H105+เย็น!H105</f>
        <v>0</v>
      </c>
      <c r="I105" s="30">
        <f>เช้า!I105+เย็น!I105</f>
        <v>0</v>
      </c>
      <c r="J105" s="30">
        <f>เช้า!J105+เย็น!J105</f>
        <v>0</v>
      </c>
      <c r="K105" s="36">
        <f t="shared" si="7"/>
        <v>0</v>
      </c>
      <c r="L105" s="11"/>
      <c r="M105" s="11"/>
      <c r="N105" s="11"/>
      <c r="O105" s="11"/>
      <c r="P105" s="50">
        <f t="shared" si="4"/>
        <v>0</v>
      </c>
    </row>
    <row r="106" spans="2:16" x14ac:dyDescent="0.2">
      <c r="B106" s="11">
        <v>1112006</v>
      </c>
      <c r="C106" s="19" t="s">
        <v>79</v>
      </c>
      <c r="D106" s="30">
        <f>เช้า!D106+เย็น!D106</f>
        <v>0</v>
      </c>
      <c r="E106" s="30">
        <f>เช้า!E106+เย็น!E106</f>
        <v>0</v>
      </c>
      <c r="F106" s="30">
        <f>เช้า!F106+เย็น!F106</f>
        <v>0</v>
      </c>
      <c r="G106" s="30">
        <f>เช้า!G106+เย็น!G106</f>
        <v>0</v>
      </c>
      <c r="H106" s="30">
        <f>เช้า!H106+เย็น!H106</f>
        <v>0</v>
      </c>
      <c r="I106" s="30">
        <f>เช้า!I106+เย็น!I106</f>
        <v>0</v>
      </c>
      <c r="J106" s="30">
        <f>เช้า!J106+เย็น!J106</f>
        <v>0</v>
      </c>
      <c r="K106" s="36">
        <f t="shared" si="7"/>
        <v>0</v>
      </c>
      <c r="L106" s="11"/>
      <c r="M106" s="11"/>
      <c r="N106" s="11"/>
      <c r="O106" s="11"/>
      <c r="P106" s="50">
        <f t="shared" si="4"/>
        <v>0</v>
      </c>
    </row>
    <row r="107" spans="2:16" x14ac:dyDescent="0.2">
      <c r="B107" s="11">
        <v>1112018</v>
      </c>
      <c r="C107" s="19" t="s">
        <v>80</v>
      </c>
      <c r="D107" s="30">
        <f>เช้า!D107+เย็น!D107</f>
        <v>0</v>
      </c>
      <c r="E107" s="30">
        <f>เช้า!E107+เย็น!E107</f>
        <v>0</v>
      </c>
      <c r="F107" s="30">
        <f>เช้า!F107+เย็น!F107</f>
        <v>0</v>
      </c>
      <c r="G107" s="30">
        <f>เช้า!G107+เย็น!G107</f>
        <v>0</v>
      </c>
      <c r="H107" s="30">
        <f>เช้า!H107+เย็น!H107</f>
        <v>0</v>
      </c>
      <c r="I107" s="30">
        <f>เช้า!I107+เย็น!I107</f>
        <v>0</v>
      </c>
      <c r="J107" s="30">
        <f>เช้า!J107+เย็น!J107</f>
        <v>0</v>
      </c>
      <c r="K107" s="36">
        <f t="shared" si="7"/>
        <v>0</v>
      </c>
      <c r="L107" s="11"/>
      <c r="M107" s="11"/>
      <c r="N107" s="11"/>
      <c r="O107" s="11"/>
      <c r="P107" s="50">
        <f t="shared" si="4"/>
        <v>0</v>
      </c>
    </row>
    <row r="108" spans="2:16" x14ac:dyDescent="0.2">
      <c r="B108" s="11">
        <v>1112016</v>
      </c>
      <c r="C108" s="19" t="s">
        <v>81</v>
      </c>
      <c r="D108" s="30">
        <f>เช้า!D108+เย็น!D108</f>
        <v>0</v>
      </c>
      <c r="E108" s="30">
        <f>เช้า!E108+เย็น!E108</f>
        <v>0</v>
      </c>
      <c r="F108" s="30">
        <f>เช้า!F108+เย็น!F108</f>
        <v>0</v>
      </c>
      <c r="G108" s="30">
        <f>เช้า!G108+เย็น!G108</f>
        <v>0</v>
      </c>
      <c r="H108" s="30">
        <f>เช้า!H108+เย็น!H108</f>
        <v>0</v>
      </c>
      <c r="I108" s="30">
        <f>เช้า!I108+เย็น!I108</f>
        <v>0</v>
      </c>
      <c r="J108" s="30">
        <f>เช้า!J108+เย็น!J108</f>
        <v>0</v>
      </c>
      <c r="K108" s="36">
        <f t="shared" si="7"/>
        <v>0</v>
      </c>
      <c r="L108" s="11"/>
      <c r="M108" s="11"/>
      <c r="N108" s="11"/>
      <c r="O108" s="11"/>
      <c r="P108" s="50">
        <f t="shared" si="4"/>
        <v>0</v>
      </c>
    </row>
    <row r="109" spans="2:16" x14ac:dyDescent="0.2">
      <c r="B109" s="11">
        <v>1112014</v>
      </c>
      <c r="C109" s="19" t="s">
        <v>82</v>
      </c>
      <c r="D109" s="30">
        <f>เช้า!D109+เย็น!D109</f>
        <v>0</v>
      </c>
      <c r="E109" s="30">
        <f>เช้า!E109+เย็น!E109</f>
        <v>0</v>
      </c>
      <c r="F109" s="30">
        <f>เช้า!F109+เย็น!F109</f>
        <v>0</v>
      </c>
      <c r="G109" s="30">
        <f>เช้า!G109+เย็น!G109</f>
        <v>0</v>
      </c>
      <c r="H109" s="30">
        <f>เช้า!H109+เย็น!H109</f>
        <v>0</v>
      </c>
      <c r="I109" s="30">
        <f>เช้า!I109+เย็น!I109</f>
        <v>0</v>
      </c>
      <c r="J109" s="30">
        <f>เช้า!J109+เย็น!J109</f>
        <v>0</v>
      </c>
      <c r="K109" s="36">
        <f t="shared" si="7"/>
        <v>0</v>
      </c>
      <c r="L109" s="11"/>
      <c r="M109" s="11"/>
      <c r="N109" s="11"/>
      <c r="O109" s="11"/>
      <c r="P109" s="50">
        <f t="shared" si="4"/>
        <v>0</v>
      </c>
    </row>
    <row r="110" spans="2:16" x14ac:dyDescent="0.2">
      <c r="B110" s="11">
        <v>1112012</v>
      </c>
      <c r="C110" s="19" t="s">
        <v>83</v>
      </c>
      <c r="D110" s="30">
        <f>เช้า!D110+เย็น!D110</f>
        <v>0</v>
      </c>
      <c r="E110" s="30">
        <f>เช้า!E110+เย็น!E110</f>
        <v>0</v>
      </c>
      <c r="F110" s="30">
        <f>เช้า!F110+เย็น!F110</f>
        <v>0</v>
      </c>
      <c r="G110" s="30">
        <f>เช้า!G110+เย็น!G110</f>
        <v>0</v>
      </c>
      <c r="H110" s="30">
        <f>เช้า!H110+เย็น!H110</f>
        <v>0</v>
      </c>
      <c r="I110" s="30">
        <f>เช้า!I110+เย็น!I110</f>
        <v>0</v>
      </c>
      <c r="J110" s="30">
        <f>เช้า!J110+เย็น!J110</f>
        <v>0</v>
      </c>
      <c r="K110" s="36">
        <f t="shared" si="7"/>
        <v>0</v>
      </c>
      <c r="L110" s="11"/>
      <c r="M110" s="11"/>
      <c r="N110" s="11"/>
      <c r="O110" s="11"/>
      <c r="P110" s="50">
        <f t="shared" si="4"/>
        <v>0</v>
      </c>
    </row>
    <row r="111" spans="2:16" x14ac:dyDescent="0.2">
      <c r="B111" s="11"/>
      <c r="C111" s="19" t="s">
        <v>84</v>
      </c>
      <c r="D111" s="30">
        <f>เช้า!D111+เย็น!D111</f>
        <v>0</v>
      </c>
      <c r="E111" s="30">
        <f>เช้า!E111+เย็น!E111</f>
        <v>0</v>
      </c>
      <c r="F111" s="30">
        <f>เช้า!F111+เย็น!F111</f>
        <v>0</v>
      </c>
      <c r="G111" s="30">
        <f>เช้า!G111+เย็น!G111</f>
        <v>0</v>
      </c>
      <c r="H111" s="30">
        <f>เช้า!H111+เย็น!H111</f>
        <v>0</v>
      </c>
      <c r="I111" s="30">
        <f>เช้า!I111+เย็น!I111</f>
        <v>0</v>
      </c>
      <c r="J111" s="30">
        <f>เช้า!J111+เย็น!J111</f>
        <v>0</v>
      </c>
      <c r="K111" s="36">
        <f t="shared" si="7"/>
        <v>0</v>
      </c>
      <c r="L111" s="11"/>
      <c r="M111" s="11"/>
      <c r="N111" s="11"/>
      <c r="O111" s="11"/>
      <c r="P111" s="50">
        <f t="shared" si="4"/>
        <v>0</v>
      </c>
    </row>
    <row r="112" spans="2:16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36">
        <f t="shared" ref="K112" si="8">SUM(D112:J112)</f>
        <v>0</v>
      </c>
      <c r="L112" s="11"/>
      <c r="M112" s="11"/>
      <c r="N112" s="11"/>
      <c r="O112" s="11"/>
      <c r="P112" s="50">
        <f t="shared" si="4"/>
        <v>0</v>
      </c>
    </row>
    <row r="113" spans="2:16" ht="19.5" x14ac:dyDescent="0.2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8"/>
    </row>
    <row r="114" spans="2:16" x14ac:dyDescent="0.2">
      <c r="B114" s="11">
        <v>1113170</v>
      </c>
      <c r="C114" s="21" t="s">
        <v>87</v>
      </c>
      <c r="D114" s="30">
        <f>เย็น!D114+เช้า!D114</f>
        <v>0</v>
      </c>
      <c r="E114" s="30">
        <f>เย็น!E114+เช้า!E114</f>
        <v>0</v>
      </c>
      <c r="F114" s="30">
        <f>เย็น!F114+เช้า!F114</f>
        <v>0</v>
      </c>
      <c r="G114" s="30">
        <f>เย็น!G114+เช้า!G114</f>
        <v>0</v>
      </c>
      <c r="H114" s="30">
        <f>เย็น!H114+เช้า!H114</f>
        <v>0</v>
      </c>
      <c r="I114" s="30">
        <f>เย็น!I114+เช้า!I114</f>
        <v>0</v>
      </c>
      <c r="J114" s="30">
        <f>เย็น!J114+เช้า!J114</f>
        <v>0</v>
      </c>
      <c r="K114" s="36">
        <f>SUM(D114:J114)</f>
        <v>0</v>
      </c>
      <c r="L114" s="11"/>
      <c r="M114" s="11"/>
      <c r="N114" s="11"/>
      <c r="O114" s="11"/>
      <c r="P114" s="50">
        <f t="shared" si="4"/>
        <v>0</v>
      </c>
    </row>
    <row r="115" spans="2:16" hidden="1" x14ac:dyDescent="0.2">
      <c r="B115" s="11">
        <v>1113171</v>
      </c>
      <c r="C115" s="21" t="s">
        <v>88</v>
      </c>
      <c r="D115" s="30">
        <f>เย็น!D115+เช้า!D115</f>
        <v>0</v>
      </c>
      <c r="E115" s="30">
        <f>เย็น!E115+เช้า!E115</f>
        <v>0</v>
      </c>
      <c r="F115" s="30">
        <f>เย็น!F115+เช้า!F115</f>
        <v>0</v>
      </c>
      <c r="G115" s="30">
        <f>เย็น!G115+เช้า!G115</f>
        <v>0</v>
      </c>
      <c r="H115" s="30">
        <f>เย็น!H115+เช้า!H115</f>
        <v>0</v>
      </c>
      <c r="I115" s="30">
        <f>เย็น!I115+เช้า!I115</f>
        <v>0</v>
      </c>
      <c r="J115" s="30">
        <f>เย็น!J115+เช้า!J115</f>
        <v>0</v>
      </c>
      <c r="K115" s="36">
        <f t="shared" ref="K115:K137" si="9">SUM(D115:J115)</f>
        <v>0</v>
      </c>
      <c r="L115" s="11"/>
      <c r="M115" s="11"/>
      <c r="N115" s="11"/>
      <c r="O115" s="11"/>
      <c r="P115" s="50">
        <f t="shared" si="4"/>
        <v>0</v>
      </c>
    </row>
    <row r="116" spans="2:16" hidden="1" x14ac:dyDescent="0.2">
      <c r="B116" s="11">
        <v>1113172</v>
      </c>
      <c r="C116" s="21" t="s">
        <v>89</v>
      </c>
      <c r="D116" s="30">
        <f>เย็น!D116+เช้า!D116</f>
        <v>0</v>
      </c>
      <c r="E116" s="30">
        <f>เย็น!E116+เช้า!E116</f>
        <v>0</v>
      </c>
      <c r="F116" s="30">
        <f>เย็น!F116+เช้า!F116</f>
        <v>0</v>
      </c>
      <c r="G116" s="30">
        <f>เย็น!G116+เช้า!G116</f>
        <v>0</v>
      </c>
      <c r="H116" s="30">
        <f>เย็น!H116+เช้า!H116</f>
        <v>0</v>
      </c>
      <c r="I116" s="30">
        <f>เย็น!I116+เช้า!I116</f>
        <v>0</v>
      </c>
      <c r="J116" s="30">
        <f>เย็น!J116+เช้า!J116</f>
        <v>0</v>
      </c>
      <c r="K116" s="36">
        <f t="shared" si="9"/>
        <v>0</v>
      </c>
      <c r="L116" s="11"/>
      <c r="M116" s="11"/>
      <c r="N116" s="11"/>
      <c r="O116" s="11"/>
      <c r="P116" s="50">
        <f t="shared" si="4"/>
        <v>0</v>
      </c>
    </row>
    <row r="117" spans="2:16" hidden="1" x14ac:dyDescent="0.2">
      <c r="B117" s="11">
        <v>1113173</v>
      </c>
      <c r="C117" s="21" t="s">
        <v>90</v>
      </c>
      <c r="D117" s="30">
        <f>เย็น!D117+เช้า!D117</f>
        <v>0</v>
      </c>
      <c r="E117" s="30">
        <f>เย็น!E117+เช้า!E117</f>
        <v>0</v>
      </c>
      <c r="F117" s="30">
        <f>เย็น!F117+เช้า!F117</f>
        <v>0</v>
      </c>
      <c r="G117" s="30">
        <f>เย็น!G117+เช้า!G117</f>
        <v>0</v>
      </c>
      <c r="H117" s="30">
        <f>เย็น!H117+เช้า!H117</f>
        <v>0</v>
      </c>
      <c r="I117" s="30">
        <f>เย็น!I117+เช้า!I117</f>
        <v>0</v>
      </c>
      <c r="J117" s="30">
        <f>เย็น!J117+เช้า!J117</f>
        <v>0</v>
      </c>
      <c r="K117" s="36">
        <f t="shared" si="9"/>
        <v>0</v>
      </c>
      <c r="L117" s="11"/>
      <c r="M117" s="11"/>
      <c r="N117" s="11"/>
      <c r="O117" s="11"/>
      <c r="P117" s="50">
        <f t="shared" si="4"/>
        <v>0</v>
      </c>
    </row>
    <row r="118" spans="2:16" x14ac:dyDescent="0.2">
      <c r="B118" s="11">
        <v>1100003</v>
      </c>
      <c r="C118" s="21" t="s">
        <v>121</v>
      </c>
      <c r="D118" s="30">
        <f>เย็น!D118+เช้า!D118</f>
        <v>0</v>
      </c>
      <c r="E118" s="30">
        <f>เย็น!E118+เช้า!E118</f>
        <v>1</v>
      </c>
      <c r="F118" s="30">
        <f>เย็น!F118+เช้า!F118</f>
        <v>0</v>
      </c>
      <c r="G118" s="30">
        <f>เย็น!G118+เช้า!G118</f>
        <v>0</v>
      </c>
      <c r="H118" s="30">
        <f>เย็น!H118+เช้า!H118</f>
        <v>0</v>
      </c>
      <c r="I118" s="30">
        <f>เย็น!I118+เช้า!I118</f>
        <v>0</v>
      </c>
      <c r="J118" s="30">
        <f>เย็น!J118+เช้า!J118</f>
        <v>0</v>
      </c>
      <c r="K118" s="36">
        <f t="shared" si="9"/>
        <v>1</v>
      </c>
      <c r="L118" s="11">
        <v>28</v>
      </c>
      <c r="M118" s="11"/>
      <c r="N118" s="11"/>
      <c r="O118" s="11"/>
      <c r="P118" s="50">
        <f t="shared" si="4"/>
        <v>27</v>
      </c>
    </row>
    <row r="119" spans="2:16" x14ac:dyDescent="0.2">
      <c r="B119" s="11">
        <v>1100001</v>
      </c>
      <c r="C119" s="21" t="s">
        <v>122</v>
      </c>
      <c r="D119" s="30">
        <f>เย็น!D119+เช้า!D119</f>
        <v>0</v>
      </c>
      <c r="E119" s="30">
        <f>เย็น!E119+เช้า!E119</f>
        <v>10</v>
      </c>
      <c r="F119" s="30">
        <f>เย็น!F119+เช้า!F119</f>
        <v>0</v>
      </c>
      <c r="G119" s="30">
        <f>เย็น!G119+เช้า!G119</f>
        <v>0</v>
      </c>
      <c r="H119" s="30">
        <f>เย็น!H119+เช้า!H119</f>
        <v>0</v>
      </c>
      <c r="I119" s="30">
        <f>เย็น!I119+เช้า!I119</f>
        <v>0</v>
      </c>
      <c r="J119" s="30">
        <f>เย็น!J119+เช้า!J119</f>
        <v>0</v>
      </c>
      <c r="K119" s="36">
        <f t="shared" si="9"/>
        <v>10</v>
      </c>
      <c r="L119" s="11">
        <v>113</v>
      </c>
      <c r="M119" s="11"/>
      <c r="N119" s="11"/>
      <c r="O119" s="11"/>
      <c r="P119" s="50">
        <f t="shared" si="4"/>
        <v>103</v>
      </c>
    </row>
    <row r="120" spans="2:16" x14ac:dyDescent="0.2">
      <c r="B120" s="11">
        <v>1100002</v>
      </c>
      <c r="C120" s="21" t="s">
        <v>123</v>
      </c>
      <c r="D120" s="30">
        <f>เย็น!D120+เช้า!D120</f>
        <v>0</v>
      </c>
      <c r="E120" s="30">
        <f>เย็น!E120+เช้า!E120</f>
        <v>0</v>
      </c>
      <c r="F120" s="30">
        <f>เย็น!F120+เช้า!F120</f>
        <v>0</v>
      </c>
      <c r="G120" s="30">
        <f>เย็น!G120+เช้า!G120</f>
        <v>0</v>
      </c>
      <c r="H120" s="30">
        <f>เย็น!H120+เช้า!H120</f>
        <v>0</v>
      </c>
      <c r="I120" s="30">
        <f>เย็น!I120+เช้า!I120</f>
        <v>0</v>
      </c>
      <c r="J120" s="30">
        <f>เย็น!J120+เช้า!J120</f>
        <v>0</v>
      </c>
      <c r="K120" s="36">
        <f t="shared" si="9"/>
        <v>0</v>
      </c>
      <c r="L120" s="11">
        <v>1</v>
      </c>
      <c r="M120" s="11"/>
      <c r="N120" s="11"/>
      <c r="O120" s="11"/>
      <c r="P120" s="50">
        <f t="shared" si="4"/>
        <v>1</v>
      </c>
    </row>
    <row r="121" spans="2:16" x14ac:dyDescent="0.2">
      <c r="B121" s="11">
        <v>1200001</v>
      </c>
      <c r="C121" s="21" t="s">
        <v>93</v>
      </c>
      <c r="D121" s="30">
        <f>เย็น!D121+เช้า!D121</f>
        <v>0</v>
      </c>
      <c r="E121" s="30">
        <f>เย็น!E121+เช้า!E121</f>
        <v>1</v>
      </c>
      <c r="F121" s="30">
        <f>เย็น!F121+เช้า!F121</f>
        <v>1</v>
      </c>
      <c r="G121" s="30">
        <f>เย็น!G121+เช้า!G121</f>
        <v>0</v>
      </c>
      <c r="H121" s="30">
        <f>เย็น!H121+เช้า!H121</f>
        <v>0</v>
      </c>
      <c r="I121" s="30">
        <f>เย็น!I121+เช้า!I121</f>
        <v>0</v>
      </c>
      <c r="J121" s="30">
        <f>เย็น!J121+เช้า!J121</f>
        <v>0</v>
      </c>
      <c r="K121" s="36">
        <f t="shared" si="9"/>
        <v>2</v>
      </c>
      <c r="L121" s="11">
        <v>231</v>
      </c>
      <c r="M121" s="11"/>
      <c r="N121" s="11"/>
      <c r="O121" s="11"/>
      <c r="P121" s="50">
        <f t="shared" si="4"/>
        <v>229</v>
      </c>
    </row>
    <row r="122" spans="2:16" x14ac:dyDescent="0.2">
      <c r="B122" s="11">
        <v>1005761</v>
      </c>
      <c r="C122" s="21" t="s">
        <v>94</v>
      </c>
      <c r="D122" s="30">
        <f>เย็น!D122+เช้า!D122</f>
        <v>0</v>
      </c>
      <c r="E122" s="30">
        <f>เย็น!E122+เช้า!E122</f>
        <v>0</v>
      </c>
      <c r="F122" s="30">
        <f>เย็น!F122+เช้า!F122</f>
        <v>1</v>
      </c>
      <c r="G122" s="30">
        <f>เย็น!G122+เช้า!G122</f>
        <v>0</v>
      </c>
      <c r="H122" s="30">
        <f>เย็น!H122+เช้า!H122</f>
        <v>0</v>
      </c>
      <c r="I122" s="30">
        <f>เย็น!I122+เช้า!I122</f>
        <v>0</v>
      </c>
      <c r="J122" s="30">
        <f>เย็น!J122+เช้า!J122</f>
        <v>0</v>
      </c>
      <c r="K122" s="36">
        <f t="shared" si="9"/>
        <v>1</v>
      </c>
      <c r="L122" s="11">
        <v>63</v>
      </c>
      <c r="M122" s="11"/>
      <c r="N122" s="11"/>
      <c r="O122" s="11"/>
      <c r="P122" s="50">
        <f t="shared" si="4"/>
        <v>62</v>
      </c>
    </row>
    <row r="123" spans="2:16" x14ac:dyDescent="0.2">
      <c r="B123" s="11">
        <v>1114501</v>
      </c>
      <c r="C123" s="21" t="s">
        <v>95</v>
      </c>
      <c r="D123" s="30">
        <f>เย็น!D123+เช้า!D123</f>
        <v>3</v>
      </c>
      <c r="E123" s="30">
        <f>เย็น!E123+เช้า!E123</f>
        <v>24</v>
      </c>
      <c r="F123" s="30">
        <f>เย็น!F123+เช้า!F123</f>
        <v>17</v>
      </c>
      <c r="G123" s="30">
        <f>เย็น!G123+เช้า!G123</f>
        <v>151</v>
      </c>
      <c r="H123" s="30">
        <f>เย็น!H123+เช้า!H123</f>
        <v>145</v>
      </c>
      <c r="I123" s="30">
        <f>เย็น!I123+เช้า!I123</f>
        <v>0</v>
      </c>
      <c r="J123" s="30">
        <f>เย็น!J123+เช้า!J123</f>
        <v>1</v>
      </c>
      <c r="K123" s="36">
        <f t="shared" si="9"/>
        <v>341</v>
      </c>
      <c r="L123" s="11">
        <v>118</v>
      </c>
      <c r="M123" s="11">
        <v>400</v>
      </c>
      <c r="N123" s="11">
        <v>645</v>
      </c>
      <c r="O123" s="11">
        <v>400</v>
      </c>
      <c r="P123" s="50">
        <f t="shared" si="4"/>
        <v>1222</v>
      </c>
    </row>
    <row r="124" spans="2:16" x14ac:dyDescent="0.2">
      <c r="B124" s="11">
        <v>1114502</v>
      </c>
      <c r="C124" s="21" t="s">
        <v>96</v>
      </c>
      <c r="D124" s="30">
        <f>เย็น!D124+เช้า!D124</f>
        <v>3</v>
      </c>
      <c r="E124" s="30">
        <f>เย็น!E124+เช้า!E124</f>
        <v>24</v>
      </c>
      <c r="F124" s="30">
        <f>เย็น!F124+เช้า!F124</f>
        <v>13</v>
      </c>
      <c r="G124" s="30">
        <f>เย็น!G124+เช้า!G124</f>
        <v>152</v>
      </c>
      <c r="H124" s="30">
        <f>เย็น!H124+เช้า!H124</f>
        <v>145</v>
      </c>
      <c r="I124" s="30">
        <f>เย็น!I124+เช้า!I124</f>
        <v>0</v>
      </c>
      <c r="J124" s="30">
        <f>เย็น!J124+เช้า!J124</f>
        <v>0</v>
      </c>
      <c r="K124" s="36">
        <f t="shared" si="9"/>
        <v>337</v>
      </c>
      <c r="L124" s="11">
        <v>683</v>
      </c>
      <c r="M124" s="11">
        <v>400</v>
      </c>
      <c r="N124" s="11"/>
      <c r="O124" s="11">
        <v>400</v>
      </c>
      <c r="P124" s="50">
        <f t="shared" si="4"/>
        <v>1146</v>
      </c>
    </row>
    <row r="125" spans="2:16" x14ac:dyDescent="0.2">
      <c r="B125" s="11">
        <v>1114503</v>
      </c>
      <c r="C125" s="21" t="s">
        <v>97</v>
      </c>
      <c r="D125" s="30">
        <f>เย็น!D125+เช้า!D125</f>
        <v>4</v>
      </c>
      <c r="E125" s="30">
        <f>เย็น!E125+เช้า!E125</f>
        <v>21</v>
      </c>
      <c r="F125" s="30">
        <f>เย็น!F125+เช้า!F125</f>
        <v>14</v>
      </c>
      <c r="G125" s="30">
        <f>เย็น!G125+เช้า!G125</f>
        <v>151</v>
      </c>
      <c r="H125" s="30">
        <f>เย็น!H125+เช้า!H125</f>
        <v>145</v>
      </c>
      <c r="I125" s="30">
        <f>เย็น!I125+เช้า!I125</f>
        <v>0</v>
      </c>
      <c r="J125" s="30">
        <f>เย็น!J125+เช้า!J125</f>
        <v>0</v>
      </c>
      <c r="K125" s="36">
        <f t="shared" si="9"/>
        <v>335</v>
      </c>
      <c r="L125" s="11">
        <v>425</v>
      </c>
      <c r="M125" s="11">
        <v>400</v>
      </c>
      <c r="N125" s="11">
        <v>381</v>
      </c>
      <c r="O125" s="11">
        <v>400</v>
      </c>
      <c r="P125" s="50">
        <f t="shared" si="4"/>
        <v>1271</v>
      </c>
    </row>
    <row r="126" spans="2:16" x14ac:dyDescent="0.2">
      <c r="B126" s="11">
        <v>1124021</v>
      </c>
      <c r="C126" s="21" t="s">
        <v>98</v>
      </c>
      <c r="D126" s="30">
        <f>เย็น!D126+เช้า!D126</f>
        <v>42</v>
      </c>
      <c r="E126" s="30">
        <f>เย็น!E126+เช้า!E126</f>
        <v>84</v>
      </c>
      <c r="F126" s="30">
        <f>เย็น!F126+เช้า!F126</f>
        <v>116</v>
      </c>
      <c r="G126" s="30">
        <f>เย็น!G126+เช้า!G126</f>
        <v>63</v>
      </c>
      <c r="H126" s="30">
        <f>เย็น!H126+เช้า!H126</f>
        <v>48</v>
      </c>
      <c r="I126" s="30">
        <f>เย็น!I126+เช้า!I126</f>
        <v>0</v>
      </c>
      <c r="J126" s="30">
        <f>เย็น!J126+เช้า!J126</f>
        <v>4</v>
      </c>
      <c r="K126" s="36">
        <f t="shared" si="9"/>
        <v>357</v>
      </c>
      <c r="L126" s="11">
        <v>181</v>
      </c>
      <c r="M126" s="11">
        <v>300</v>
      </c>
      <c r="N126" s="11"/>
      <c r="O126" s="11"/>
      <c r="P126" s="50">
        <f t="shared" si="4"/>
        <v>124</v>
      </c>
    </row>
    <row r="127" spans="2:16" x14ac:dyDescent="0.2">
      <c r="B127" s="11">
        <v>1113084</v>
      </c>
      <c r="C127" s="21" t="s">
        <v>99</v>
      </c>
      <c r="D127" s="30">
        <f>เย็น!D127+เช้า!D127</f>
        <v>0</v>
      </c>
      <c r="E127" s="30">
        <f>เย็น!E127+เช้า!E127</f>
        <v>2</v>
      </c>
      <c r="F127" s="30">
        <f>เย็น!F127+เช้า!F127</f>
        <v>0</v>
      </c>
      <c r="G127" s="30">
        <f>เย็น!G127+เช้า!G127</f>
        <v>2</v>
      </c>
      <c r="H127" s="30">
        <f>เย็น!H127+เช้า!H127</f>
        <v>0</v>
      </c>
      <c r="I127" s="30">
        <f>เย็น!I127+เช้า!I127</f>
        <v>0</v>
      </c>
      <c r="J127" s="30">
        <f>เย็น!J127+เช้า!J127</f>
        <v>0</v>
      </c>
      <c r="K127" s="36">
        <f t="shared" si="9"/>
        <v>4</v>
      </c>
      <c r="L127" s="11">
        <v>26</v>
      </c>
      <c r="M127" s="11"/>
      <c r="N127" s="11"/>
      <c r="O127" s="11"/>
      <c r="P127" s="50">
        <f t="shared" si="4"/>
        <v>22</v>
      </c>
    </row>
    <row r="128" spans="2:16" hidden="1" x14ac:dyDescent="0.2">
      <c r="B128" s="11">
        <v>900003</v>
      </c>
      <c r="C128" s="21" t="s">
        <v>132</v>
      </c>
      <c r="D128" s="30">
        <f>เย็น!D128+เช้า!D128</f>
        <v>0</v>
      </c>
      <c r="E128" s="30">
        <f>เย็น!E128+เช้า!E128</f>
        <v>0</v>
      </c>
      <c r="F128" s="30">
        <f>เย็น!F128+เช้า!F128</f>
        <v>0</v>
      </c>
      <c r="G128" s="30">
        <f>เย็น!G128+เช้า!G128</f>
        <v>0</v>
      </c>
      <c r="H128" s="30">
        <f>เย็น!H128+เช้า!H128</f>
        <v>0</v>
      </c>
      <c r="I128" s="30">
        <f>เย็น!I128+เช้า!I128</f>
        <v>0</v>
      </c>
      <c r="J128" s="30">
        <f>เย็น!J128+เช้า!J128</f>
        <v>0</v>
      </c>
      <c r="K128" s="36">
        <f t="shared" si="9"/>
        <v>0</v>
      </c>
      <c r="L128" s="11"/>
      <c r="M128" s="11"/>
      <c r="N128" s="11"/>
      <c r="O128" s="11"/>
      <c r="P128" s="50">
        <f t="shared" si="4"/>
        <v>0</v>
      </c>
    </row>
    <row r="129" spans="2:16" hidden="1" x14ac:dyDescent="0.2">
      <c r="B129" s="11">
        <v>900004</v>
      </c>
      <c r="C129" s="21" t="s">
        <v>100</v>
      </c>
      <c r="D129" s="30">
        <f>เย็น!D129+เช้า!D129</f>
        <v>0</v>
      </c>
      <c r="E129" s="30">
        <f>เย็น!E129+เช้า!E129</f>
        <v>0</v>
      </c>
      <c r="F129" s="30">
        <f>เย็น!F129+เช้า!F129</f>
        <v>0</v>
      </c>
      <c r="G129" s="30">
        <f>เย็น!G129+เช้า!G129</f>
        <v>0</v>
      </c>
      <c r="H129" s="30">
        <f>เย็น!H129+เช้า!H129</f>
        <v>0</v>
      </c>
      <c r="I129" s="30">
        <f>เย็น!I129+เช้า!I129</f>
        <v>0</v>
      </c>
      <c r="J129" s="30">
        <f>เย็น!J129+เช้า!J129</f>
        <v>0</v>
      </c>
      <c r="K129" s="36">
        <f t="shared" si="9"/>
        <v>0</v>
      </c>
      <c r="L129" s="11"/>
      <c r="M129" s="11"/>
      <c r="N129" s="11"/>
      <c r="O129" s="11"/>
      <c r="P129" s="50">
        <f t="shared" si="4"/>
        <v>0</v>
      </c>
    </row>
    <row r="130" spans="2:16" x14ac:dyDescent="0.2">
      <c r="B130" s="11">
        <v>1200002</v>
      </c>
      <c r="C130" s="21" t="s">
        <v>101</v>
      </c>
      <c r="D130" s="30">
        <f>เย็น!D130+เช้า!D130</f>
        <v>3</v>
      </c>
      <c r="E130" s="30">
        <f>เย็น!E130+เช้า!E130</f>
        <v>0</v>
      </c>
      <c r="F130" s="30">
        <f>เย็น!F130+เช้า!F130</f>
        <v>0</v>
      </c>
      <c r="G130" s="30">
        <f>เย็น!G130+เช้า!G130</f>
        <v>0</v>
      </c>
      <c r="H130" s="30">
        <f>เย็น!H130+เช้า!H130</f>
        <v>0</v>
      </c>
      <c r="I130" s="30">
        <f>เย็น!I130+เช้า!I130</f>
        <v>0</v>
      </c>
      <c r="J130" s="30">
        <f>เย็น!J130+เช้า!J130</f>
        <v>0</v>
      </c>
      <c r="K130" s="36">
        <f t="shared" si="9"/>
        <v>3</v>
      </c>
      <c r="L130" s="11">
        <v>2</v>
      </c>
      <c r="M130" s="11"/>
      <c r="N130" s="11"/>
      <c r="O130" s="11"/>
      <c r="P130" s="50">
        <f t="shared" ref="P130:P137" si="10">(L130+M130+N130+O130)-K130</f>
        <v>-1</v>
      </c>
    </row>
    <row r="131" spans="2:16" hidden="1" x14ac:dyDescent="0.2">
      <c r="B131" s="11">
        <v>1200003</v>
      </c>
      <c r="C131" s="21" t="s">
        <v>102</v>
      </c>
      <c r="D131" s="30">
        <f>เย็น!D131+เช้า!D131</f>
        <v>0</v>
      </c>
      <c r="E131" s="30">
        <f>เย็น!E131+เช้า!E131</f>
        <v>0</v>
      </c>
      <c r="F131" s="30">
        <f>เย็น!F131+เช้า!F131</f>
        <v>0</v>
      </c>
      <c r="G131" s="30">
        <f>เย็น!G131+เช้า!G131</f>
        <v>0</v>
      </c>
      <c r="H131" s="30">
        <f>เย็น!H131+เช้า!H131</f>
        <v>0</v>
      </c>
      <c r="I131" s="30">
        <f>เย็น!I131+เช้า!I131</f>
        <v>0</v>
      </c>
      <c r="J131" s="30">
        <f>เย็น!J131+เช้า!J131</f>
        <v>0</v>
      </c>
      <c r="K131" s="36">
        <f t="shared" si="9"/>
        <v>0</v>
      </c>
      <c r="L131" s="11"/>
      <c r="M131" s="11"/>
      <c r="N131" s="11"/>
      <c r="O131" s="11"/>
      <c r="P131" s="50">
        <f t="shared" si="10"/>
        <v>0</v>
      </c>
    </row>
    <row r="132" spans="2:16" hidden="1" x14ac:dyDescent="0.2">
      <c r="B132" s="11">
        <v>1200004</v>
      </c>
      <c r="C132" s="21" t="s">
        <v>103</v>
      </c>
      <c r="D132" s="30">
        <f>เย็น!D132+เช้า!D132</f>
        <v>0</v>
      </c>
      <c r="E132" s="30">
        <f>เย็น!E132+เช้า!E132</f>
        <v>0</v>
      </c>
      <c r="F132" s="30">
        <f>เย็น!F132+เช้า!F132</f>
        <v>0</v>
      </c>
      <c r="G132" s="30">
        <f>เย็น!G132+เช้า!G132</f>
        <v>0</v>
      </c>
      <c r="H132" s="30">
        <f>เย็น!H132+เช้า!H132</f>
        <v>0</v>
      </c>
      <c r="I132" s="30">
        <f>เย็น!I132+เช้า!I132</f>
        <v>0</v>
      </c>
      <c r="J132" s="30">
        <f>เย็น!J132+เช้า!J132</f>
        <v>0</v>
      </c>
      <c r="K132" s="36">
        <f t="shared" si="9"/>
        <v>0</v>
      </c>
      <c r="L132" s="11"/>
      <c r="M132" s="11"/>
      <c r="N132" s="11"/>
      <c r="O132" s="11"/>
      <c r="P132" s="50">
        <f t="shared" si="10"/>
        <v>0</v>
      </c>
    </row>
    <row r="133" spans="2:16" hidden="1" x14ac:dyDescent="0.2">
      <c r="B133" s="11">
        <v>1200093</v>
      </c>
      <c r="C133" s="21" t="s">
        <v>91</v>
      </c>
      <c r="D133" s="30">
        <f>เย็น!D133+เช้า!D133</f>
        <v>0</v>
      </c>
      <c r="E133" s="30">
        <f>เย็น!E133+เช้า!E133</f>
        <v>0</v>
      </c>
      <c r="F133" s="30">
        <f>เย็น!F133+เช้า!F133</f>
        <v>0</v>
      </c>
      <c r="G133" s="30">
        <f>เย็น!G133+เช้า!G133</f>
        <v>0</v>
      </c>
      <c r="H133" s="30">
        <f>เย็น!H133+เช้า!H133</f>
        <v>0</v>
      </c>
      <c r="I133" s="30">
        <f>เย็น!I133+เช้า!I133</f>
        <v>0</v>
      </c>
      <c r="J133" s="30">
        <f>เย็น!J133+เช้า!J133</f>
        <v>0</v>
      </c>
      <c r="K133" s="36">
        <f t="shared" si="9"/>
        <v>0</v>
      </c>
      <c r="L133" s="11"/>
      <c r="M133" s="11"/>
      <c r="N133" s="11"/>
      <c r="O133" s="11"/>
      <c r="P133" s="50">
        <f t="shared" si="10"/>
        <v>0</v>
      </c>
    </row>
    <row r="134" spans="2:16" hidden="1" x14ac:dyDescent="0.2">
      <c r="B134" s="11">
        <v>1200092</v>
      </c>
      <c r="C134" s="19" t="s">
        <v>92</v>
      </c>
      <c r="D134" s="30">
        <f>เย็น!D134+เช้า!D134</f>
        <v>0</v>
      </c>
      <c r="E134" s="30">
        <f>เย็น!E134+เช้า!E134</f>
        <v>0</v>
      </c>
      <c r="F134" s="30">
        <f>เย็น!F134+เช้า!F134</f>
        <v>0</v>
      </c>
      <c r="G134" s="30">
        <f>เย็น!G134+เช้า!G134</f>
        <v>0</v>
      </c>
      <c r="H134" s="30">
        <f>เย็น!H134+เช้า!H134</f>
        <v>0</v>
      </c>
      <c r="I134" s="30">
        <f>เย็น!I134+เช้า!I134</f>
        <v>0</v>
      </c>
      <c r="J134" s="30">
        <f>เย็น!J134+เช้า!J134</f>
        <v>0</v>
      </c>
      <c r="K134" s="36">
        <f t="shared" si="9"/>
        <v>0</v>
      </c>
      <c r="L134" s="11"/>
      <c r="M134" s="11"/>
      <c r="N134" s="11"/>
      <c r="O134" s="11"/>
      <c r="P134" s="50">
        <f t="shared" si="10"/>
        <v>0</v>
      </c>
    </row>
    <row r="135" spans="2:16" x14ac:dyDescent="0.2">
      <c r="B135" s="22"/>
      <c r="C135" s="21" t="s">
        <v>124</v>
      </c>
      <c r="D135" s="30">
        <f>เย็น!D135+เช้า!D135</f>
        <v>0</v>
      </c>
      <c r="E135" s="30">
        <f>เย็น!E135+เช้า!E135</f>
        <v>0</v>
      </c>
      <c r="F135" s="30">
        <f>เย็น!F135+เช้า!F135</f>
        <v>0</v>
      </c>
      <c r="G135" s="30">
        <f>เย็น!G135+เช้า!G135</f>
        <v>0</v>
      </c>
      <c r="H135" s="30">
        <f>เย็น!H135+เช้า!H135</f>
        <v>0</v>
      </c>
      <c r="I135" s="30">
        <f>เย็น!I135+เช้า!I135</f>
        <v>0</v>
      </c>
      <c r="J135" s="30">
        <f>เย็น!J135+เช้า!J135</f>
        <v>4</v>
      </c>
      <c r="K135" s="36">
        <f t="shared" si="9"/>
        <v>4</v>
      </c>
      <c r="L135" s="11"/>
      <c r="M135" s="11"/>
      <c r="N135" s="11"/>
      <c r="O135" s="11"/>
      <c r="P135" s="50">
        <f t="shared" si="10"/>
        <v>-4</v>
      </c>
    </row>
    <row r="136" spans="2:16" x14ac:dyDescent="0.2">
      <c r="B136" s="22"/>
      <c r="C136" s="21" t="s">
        <v>125</v>
      </c>
      <c r="D136" s="30">
        <f>เย็น!D136+เช้า!D136</f>
        <v>0</v>
      </c>
      <c r="E136" s="30">
        <f>เย็น!E136+เช้า!E136</f>
        <v>4</v>
      </c>
      <c r="F136" s="30">
        <f>เย็น!F136+เช้า!F136</f>
        <v>0</v>
      </c>
      <c r="G136" s="30">
        <f>เย็น!G136+เช้า!G136</f>
        <v>0</v>
      </c>
      <c r="H136" s="30">
        <f>เย็น!H136+เช้า!H136</f>
        <v>0</v>
      </c>
      <c r="I136" s="30">
        <f>เย็น!I136+เช้า!I136</f>
        <v>0</v>
      </c>
      <c r="J136" s="30">
        <f>เย็น!J136+เช้า!J136</f>
        <v>3</v>
      </c>
      <c r="K136" s="36">
        <f t="shared" si="9"/>
        <v>7</v>
      </c>
      <c r="L136" s="11"/>
      <c r="M136" s="11"/>
      <c r="N136" s="11"/>
      <c r="O136" s="11"/>
      <c r="P136" s="50">
        <f t="shared" si="10"/>
        <v>-7</v>
      </c>
    </row>
    <row r="137" spans="2:16" x14ac:dyDescent="0.2">
      <c r="B137" s="22">
        <v>20052721</v>
      </c>
      <c r="C137" s="21" t="s">
        <v>131</v>
      </c>
      <c r="D137" s="30">
        <f>เย็น!D137+เช้า!D137</f>
        <v>0</v>
      </c>
      <c r="E137" s="30">
        <f>เย็น!E137+เช้า!E137</f>
        <v>0</v>
      </c>
      <c r="F137" s="30">
        <f>เย็น!F137+เช้า!F137</f>
        <v>0</v>
      </c>
      <c r="G137" s="30">
        <f>เย็น!G137+เช้า!G137</f>
        <v>0</v>
      </c>
      <c r="H137" s="30">
        <f>เย็น!H137+เช้า!H137</f>
        <v>0</v>
      </c>
      <c r="I137" s="30">
        <f>เย็น!I137+เช้า!I137</f>
        <v>0</v>
      </c>
      <c r="J137" s="30">
        <f>เย็น!J137+เช้า!J137</f>
        <v>0</v>
      </c>
      <c r="K137" s="36">
        <f t="shared" si="9"/>
        <v>0</v>
      </c>
      <c r="L137" s="11"/>
      <c r="M137" s="11"/>
      <c r="N137" s="11"/>
      <c r="O137" s="11"/>
      <c r="P137" s="50">
        <f t="shared" si="10"/>
        <v>0</v>
      </c>
    </row>
    <row r="138" spans="2:16" ht="40.5" customHeight="1" x14ac:dyDescent="0.2">
      <c r="C138" s="35"/>
      <c r="D138" s="36">
        <f t="shared" ref="D138:J138" si="11">SUM(D114:D137,D90:D99,D79:D87,D69:D76,D7:D65)</f>
        <v>658</v>
      </c>
      <c r="E138" s="36">
        <f t="shared" si="11"/>
        <v>742</v>
      </c>
      <c r="F138" s="36">
        <f t="shared" si="11"/>
        <v>521</v>
      </c>
      <c r="G138" s="36">
        <f t="shared" si="11"/>
        <v>983</v>
      </c>
      <c r="H138" s="36">
        <f t="shared" si="11"/>
        <v>902</v>
      </c>
      <c r="I138" s="36">
        <f t="shared" si="11"/>
        <v>0</v>
      </c>
      <c r="J138" s="36">
        <f t="shared" si="11"/>
        <v>19</v>
      </c>
      <c r="K138" s="36">
        <f>SUM(K114:K137,K90:K99,K79:K87,K69:K76,K7:K65)</f>
        <v>3825</v>
      </c>
      <c r="L138" s="38">
        <f>SUM(L114:L137,L90:L98,L79:L87,L69:L76,L7:L66)</f>
        <v>2127</v>
      </c>
      <c r="M138" s="38"/>
      <c r="N138" s="38">
        <f>SUM(N114:N137,N90:N98,N79:N87,N69:N76,N7:N66)</f>
        <v>1026</v>
      </c>
      <c r="O138" s="38">
        <f>SUM(O114:O137,O90:O98,O79:O87,O69:O76,O7:O66)</f>
        <v>1200</v>
      </c>
      <c r="P138" s="38">
        <f>SUM(P114:P137,P90:P98,P79:P87,P69:P76,P7:P66)</f>
        <v>2893</v>
      </c>
    </row>
    <row r="139" spans="2:16" x14ac:dyDescent="0.2">
      <c r="B139" s="37"/>
      <c r="C139" s="35"/>
      <c r="D139" s="38"/>
      <c r="E139" s="38"/>
      <c r="F139" s="38"/>
      <c r="G139" s="38"/>
      <c r="H139" s="38"/>
      <c r="I139" s="38"/>
      <c r="J139" s="38"/>
      <c r="K139" s="39"/>
    </row>
    <row r="140" spans="2:16" x14ac:dyDescent="0.2">
      <c r="B140" s="37"/>
      <c r="C140" s="35"/>
      <c r="D140" s="38"/>
      <c r="E140" s="38"/>
      <c r="F140" s="38"/>
      <c r="G140" s="38"/>
      <c r="H140" s="38"/>
      <c r="I140" s="38"/>
      <c r="J140" s="38"/>
      <c r="K140" s="39"/>
    </row>
    <row r="141" spans="2:16" x14ac:dyDescent="0.2">
      <c r="C141" s="24"/>
      <c r="D141" s="31"/>
      <c r="E141" s="53"/>
      <c r="F141" s="53"/>
      <c r="G141" s="26"/>
      <c r="K141" s="40"/>
    </row>
    <row r="142" spans="2:16" x14ac:dyDescent="0.2">
      <c r="B142" s="53" t="s">
        <v>104</v>
      </c>
      <c r="C142" s="53"/>
      <c r="D142" s="32"/>
      <c r="E142" s="51"/>
      <c r="F142" s="51"/>
      <c r="G142" s="27"/>
      <c r="H142" s="26"/>
      <c r="I142" s="53" t="s">
        <v>104</v>
      </c>
      <c r="J142" s="53"/>
      <c r="K142" s="53"/>
    </row>
    <row r="143" spans="2:16" x14ac:dyDescent="0.2">
      <c r="B143" s="51" t="s">
        <v>105</v>
      </c>
      <c r="C143" s="51"/>
      <c r="D143" s="33"/>
      <c r="E143" s="33"/>
      <c r="F143" s="33"/>
      <c r="G143" s="33"/>
      <c r="H143" s="33"/>
      <c r="I143" s="51" t="s">
        <v>106</v>
      </c>
      <c r="J143" s="51"/>
      <c r="K143" s="51"/>
    </row>
    <row r="144" spans="2:16" x14ac:dyDescent="0.2">
      <c r="B144" s="31"/>
      <c r="C144" s="31"/>
      <c r="D144" s="33"/>
      <c r="E144" s="33"/>
      <c r="F144" s="33"/>
      <c r="G144" s="33"/>
      <c r="H144" s="33"/>
      <c r="I144" s="31"/>
      <c r="J144" s="31"/>
      <c r="K144" s="34"/>
    </row>
    <row r="145" spans="2:11" ht="19.5" x14ac:dyDescent="0.2">
      <c r="B145" s="31"/>
      <c r="C145" s="31"/>
      <c r="D145" s="31"/>
      <c r="E145" s="31"/>
      <c r="F145" s="31"/>
      <c r="G145" s="31"/>
      <c r="H145" s="31"/>
      <c r="I145" s="31"/>
      <c r="J145" s="31"/>
      <c r="K145" s="34"/>
    </row>
    <row r="146" spans="2:11" ht="19.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4"/>
    </row>
    <row r="147" spans="2:11" ht="19.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4"/>
    </row>
    <row r="148" spans="2:11" ht="19.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4"/>
    </row>
    <row r="149" spans="2:11" ht="19.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4"/>
    </row>
    <row r="150" spans="2:11" x14ac:dyDescent="0.2">
      <c r="D150" s="31"/>
      <c r="E150" s="31"/>
      <c r="F150" s="31"/>
      <c r="G150" s="31"/>
      <c r="H150" s="31"/>
    </row>
    <row r="151" spans="2:11" x14ac:dyDescent="0.2">
      <c r="D151" s="31"/>
      <c r="E151" s="31"/>
      <c r="F151" s="31"/>
      <c r="G151" s="31"/>
      <c r="H151" s="31"/>
    </row>
    <row r="152" spans="2:11" x14ac:dyDescent="0.2">
      <c r="D152" s="31"/>
      <c r="E152" s="31"/>
      <c r="F152" s="31"/>
      <c r="G152" s="31"/>
      <c r="H152" s="31"/>
    </row>
    <row r="153" spans="2:11" x14ac:dyDescent="0.2">
      <c r="D153" s="31"/>
      <c r="E153" s="31"/>
      <c r="F153" s="31"/>
      <c r="G153" s="31"/>
      <c r="H153" s="31"/>
    </row>
    <row r="154" spans="2:11" x14ac:dyDescent="0.2">
      <c r="D154" s="31"/>
      <c r="E154" s="31"/>
      <c r="F154" s="31"/>
      <c r="G154" s="31"/>
      <c r="H154" s="31"/>
    </row>
    <row r="155" spans="2:11" x14ac:dyDescent="0.2">
      <c r="D155" s="31"/>
      <c r="E155" s="31"/>
      <c r="F155" s="31"/>
      <c r="G155" s="31"/>
      <c r="H155" s="31"/>
    </row>
    <row r="156" spans="2:11" x14ac:dyDescent="0.2">
      <c r="D156" s="31"/>
      <c r="E156" s="31"/>
      <c r="F156" s="31"/>
      <c r="G156" s="31"/>
      <c r="H156" s="31"/>
    </row>
    <row r="157" spans="2:11" x14ac:dyDescent="0.2">
      <c r="D157" s="31"/>
      <c r="E157" s="31"/>
      <c r="F157" s="31"/>
      <c r="G157" s="31"/>
      <c r="H157" s="31"/>
    </row>
    <row r="158" spans="2:11" x14ac:dyDescent="0.2">
      <c r="D158" s="31"/>
      <c r="E158" s="31"/>
      <c r="F158" s="31"/>
      <c r="G158" s="31"/>
      <c r="H158" s="31"/>
    </row>
    <row r="159" spans="2:11" x14ac:dyDescent="0.2">
      <c r="D159" s="31"/>
      <c r="E159" s="31"/>
      <c r="F159" s="31"/>
      <c r="G159" s="31"/>
      <c r="H159" s="31"/>
    </row>
    <row r="160" spans="2:11" x14ac:dyDescent="0.2">
      <c r="D160" s="31"/>
      <c r="E160" s="31"/>
      <c r="F160" s="31"/>
      <c r="G160" s="31"/>
      <c r="H160" s="31"/>
    </row>
  </sheetData>
  <mergeCells count="20">
    <mergeCell ref="B1:K1"/>
    <mergeCell ref="B2:C3"/>
    <mergeCell ref="E2:F3"/>
    <mergeCell ref="L2:L4"/>
    <mergeCell ref="N2:N4"/>
    <mergeCell ref="B143:C143"/>
    <mergeCell ref="I143:K143"/>
    <mergeCell ref="P2:P4"/>
    <mergeCell ref="B6:P6"/>
    <mergeCell ref="B68:P68"/>
    <mergeCell ref="B78:P78"/>
    <mergeCell ref="B89:P89"/>
    <mergeCell ref="B101:P101"/>
    <mergeCell ref="O2:O4"/>
    <mergeCell ref="B113:P113"/>
    <mergeCell ref="E141:F141"/>
    <mergeCell ref="B142:C142"/>
    <mergeCell ref="E142:F142"/>
    <mergeCell ref="I142:K142"/>
    <mergeCell ref="M2:M4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เย็น</vt:lpstr>
      <vt:lpstr>เช้า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2024-10-30T00:45:46Z</cp:lastPrinted>
  <dcterms:created xsi:type="dcterms:W3CDTF">2024-04-30T05:21:27Z</dcterms:created>
  <dcterms:modified xsi:type="dcterms:W3CDTF">2024-11-05T06:57:13Z</dcterms:modified>
</cp:coreProperties>
</file>