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68CA8556-D2B2-48CA-B3F5-BF703DC7CEC2}" xr6:coauthVersionLast="47" xr6:coauthVersionMax="47" xr10:uidLastSave="{00000000-0000-0000-0000-000000000000}"/>
  <bookViews>
    <workbookView xWindow="3480" yWindow="375" windowWidth="18180" windowHeight="13890" activeTab="3" xr2:uid="{55C9AAA3-F459-48EC-A639-AACFFC6390F5}"/>
  </bookViews>
  <sheets>
    <sheet name="เย็น" sheetId="6" r:id="rId1"/>
    <sheet name="เช้า" sheetId="3" r:id="rId2"/>
    <sheet name="บ่าย" sheetId="7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5" l="1"/>
  <c r="E76" i="5"/>
  <c r="F76" i="5"/>
  <c r="G76" i="5"/>
  <c r="H76" i="5"/>
  <c r="I76" i="5"/>
  <c r="J76" i="5"/>
  <c r="K7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E7" i="5"/>
  <c r="F7" i="5"/>
  <c r="G7" i="5"/>
  <c r="H7" i="5"/>
  <c r="I7" i="5"/>
  <c r="J7" i="5"/>
  <c r="D7" i="5"/>
  <c r="K54" i="5" l="1"/>
  <c r="D53" i="5"/>
  <c r="E53" i="5"/>
  <c r="F53" i="5"/>
  <c r="G53" i="5"/>
  <c r="H53" i="5"/>
  <c r="I53" i="5"/>
  <c r="J53" i="5"/>
  <c r="T39" i="5"/>
  <c r="T41" i="5"/>
  <c r="T43" i="5"/>
  <c r="T55" i="5"/>
  <c r="K48" i="5" l="1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D75" i="5"/>
  <c r="E75" i="5"/>
  <c r="F75" i="5"/>
  <c r="G75" i="5"/>
  <c r="H75" i="5"/>
  <c r="I75" i="5"/>
  <c r="J75" i="5"/>
  <c r="K75" i="5" l="1"/>
  <c r="J77" i="7"/>
  <c r="I77" i="7"/>
  <c r="H77" i="7"/>
  <c r="G77" i="7"/>
  <c r="F77" i="7"/>
  <c r="E77" i="7"/>
  <c r="D77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3" i="7"/>
  <c r="K52" i="7"/>
  <c r="K51" i="7"/>
  <c r="K50" i="7"/>
  <c r="K49" i="7"/>
  <c r="K48" i="7"/>
  <c r="K47" i="7"/>
  <c r="K46" i="7"/>
  <c r="K45" i="7"/>
  <c r="K44" i="7"/>
  <c r="K42" i="7"/>
  <c r="K40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77" i="7" l="1"/>
  <c r="D77" i="3"/>
  <c r="E77" i="3"/>
  <c r="F77" i="3"/>
  <c r="G77" i="3"/>
  <c r="H77" i="3"/>
  <c r="I77" i="3"/>
  <c r="J77" i="3"/>
  <c r="D77" i="6"/>
  <c r="E77" i="6"/>
  <c r="F77" i="6"/>
  <c r="G77" i="6"/>
  <c r="H77" i="6"/>
  <c r="I77" i="6"/>
  <c r="J77" i="6"/>
  <c r="D37" i="5"/>
  <c r="E37" i="5"/>
  <c r="F37" i="5"/>
  <c r="G37" i="5"/>
  <c r="M76" i="5"/>
  <c r="N76" i="5"/>
  <c r="O76" i="5"/>
  <c r="H37" i="5"/>
  <c r="I37" i="5"/>
  <c r="J37" i="5"/>
  <c r="K37" i="5" l="1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3" i="6"/>
  <c r="K52" i="6"/>
  <c r="K51" i="6"/>
  <c r="K50" i="6"/>
  <c r="K49" i="6"/>
  <c r="K48" i="6"/>
  <c r="K47" i="6"/>
  <c r="K46" i="6"/>
  <c r="K45" i="6"/>
  <c r="K44" i="6"/>
  <c r="K42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77" i="6" l="1"/>
  <c r="K38" i="5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<sst xmlns="http://schemas.openxmlformats.org/spreadsheetml/2006/main" count="392" uniqueCount="96">
  <si>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</si>
  <si>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</si>
  <si>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</si>
  <si>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</si>
  <si>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</si>
  <si>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</si>
  <si>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</si>
  <si>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</si>
  <si>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</si>
  <si>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</si>
  <si>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</si>
  <si>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</si>
  <si>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</si>
  <si>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</si>
  <si>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</si>
  <si>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</si>
  <si>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</si>
  <si>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</si>
  <si>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</si>
  <si>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</si>
  <si>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</si>
  <si>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</si>
  <si>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</si>
  <si>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</si>
  <si>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</si>
  <si>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</si>
  <si>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</si>
  <si>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</si>
  <si>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</si>
  <si>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</si>
  <si>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</si>
  <si>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</si>
  <si>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</si>
  <si>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</si>
  <si>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</si>
  <si>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</si>
  <si>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</si>
  <si>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</si>
  <si>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</si>
  <si>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</si>
  <si>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</si>
  <si>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</si>
  <si>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</si>
  <si>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</si>
  <si>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</si>
  <si>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</si>
  <si>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</si>
  <si>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</si>
  <si>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</si>
  <si>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</si>
  <si>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</si>
  <si>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</si>
  <si>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</si>
  <si>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</si>
  <si>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</si>
  <si>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</si>
  <si>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</si>
  <si>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</si>
  <si>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</si>
  <si>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</si>
  <si>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</si>
  <si>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</si>
  <si>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</si>
  <si>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</si>
  <si>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</si>
  <si>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</si>
  <si>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</si>
  <si>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</si>
  <si>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</si>
  <si>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</si>
  <si>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</si>
  <si>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</si>
  <si>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</si>
  <si>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</si>
  <si>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</si>
  <si>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</si>
  <si>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</si>
  <si>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</si>
  <si>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</si>
  <si>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</si>
  <si>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</si>
  <si>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</si>
  <si>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</si>
  <si>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</si>
  <si>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</si>
  <si>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</si>
  <si>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</si>
  <si>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</si>
  <si>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</si>
  <si>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</si>
  <si>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</si>
  <si>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</si>
  <si>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ยอดจริง ออนไลน์ วันที่ 10/11/2567 - บ่าย</t>
  </si>
  <si>
    <t>ยอดจริง ออนไลน์ วันที่ 12/11/2567 - เช้า</t>
  </si>
  <si>
    <t>ยอดจริง ออนไลน์ วันที่ 12/11/2567 - รวม</t>
  </si>
  <si>
    <t>ยอดจริง ออนไลน์ วันที่ 12/11/2567 - 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</si>
</sst>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97"/>
  <sheetViews>
    <sheetView zoomScale="60" zoomScaleNormal="60" workbookViewId="0">
      <selection activeCell="D9" sqref="D9:H10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7.625" style="25" customWidth="1"/>
  </cols>
  <sheetData>
    <row r="1" spans="2:11" x14ac:dyDescent="0.2">
      <c r="B1" s="52" t="s">
        <v>95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3"/>
      <c r="D2" s="42"/>
      <c r="E2" s="54"/>
      <c r="F2" s="54"/>
      <c r="G2" s="43"/>
      <c r="H2" s="43"/>
      <c r="I2" s="43"/>
      <c r="J2" s="43"/>
      <c r="K2" s="44" t="s">
        <v>0</v>
      </c>
    </row>
    <row r="3" spans="2:11" x14ac:dyDescent="0.2">
      <c r="B3" s="53"/>
      <c r="C3" s="53"/>
      <c r="D3" s="42"/>
      <c r="E3" s="54"/>
      <c r="F3" s="54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71</v>
      </c>
      <c r="D7" s="30"/>
      <c r="E7" s="30">
        <v>9</v>
      </c>
      <c r="F7" s="30">
        <v>62</v>
      </c>
      <c r="G7" s="30">
        <v>1</v>
      </c>
      <c r="H7" s="30">
        <v>3</v>
      </c>
      <c r="I7" s="30"/>
      <c r="J7" s="30"/>
      <c r="K7" s="41">
        <f>SUM(D7:J7)</f>
        <v>75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>
        <v>1</v>
      </c>
      <c r="F9" s="30">
        <v>8</v>
      </c>
      <c r="G9" s="30">
        <v>1</v>
      </c>
      <c r="H9" s="30"/>
      <c r="I9" s="30"/>
      <c r="J9" s="30"/>
      <c r="K9" s="41">
        <f t="shared" si="0"/>
        <v>10</v>
      </c>
    </row>
    <row r="10" spans="2:11" x14ac:dyDescent="0.2">
      <c r="B10" s="11">
        <v>1004055</v>
      </c>
      <c r="C10" s="15" t="s">
        <v>72</v>
      </c>
      <c r="D10" s="30"/>
      <c r="E10" s="30"/>
      <c r="F10" s="30">
        <v>1</v>
      </c>
      <c r="G10" s="30">
        <v>21</v>
      </c>
      <c r="H10" s="30">
        <v>60</v>
      </c>
      <c r="I10" s="30"/>
      <c r="J10" s="30"/>
      <c r="K10" s="41">
        <f t="shared" si="0"/>
        <v>82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 x14ac:dyDescent="0.2">
      <c r="B40" s="11">
        <v>1111009</v>
      </c>
      <c r="C40" s="19" t="s">
        <v>40</v>
      </c>
      <c r="D40" s="30"/>
      <c r="E40" s="30">
        <v>1</v>
      </c>
      <c r="F40" s="30">
        <v>5</v>
      </c>
      <c r="G40" s="30">
        <v>1</v>
      </c>
      <c r="H40" s="30"/>
      <c r="I40" s="30"/>
      <c r="J40" s="30"/>
      <c r="K40" s="41">
        <f>SUM(D40:J40)</f>
        <v>7</v>
      </c>
    </row>
    <row r="41" spans="2:11" ht="19.5" x14ac:dyDescent="0.2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 x14ac:dyDescent="0.2">
      <c r="B42" s="11">
        <v>1111008</v>
      </c>
      <c r="C42" s="19" t="s">
        <v>42</v>
      </c>
      <c r="D42" s="30"/>
      <c r="E42" s="30">
        <v>6</v>
      </c>
      <c r="F42" s="30"/>
      <c r="G42" s="30">
        <v>66</v>
      </c>
      <c r="H42" s="30">
        <v>12</v>
      </c>
      <c r="I42" s="30"/>
      <c r="J42" s="30"/>
      <c r="K42" s="41">
        <f t="shared" ref="K42" si="2">SUM(D42:J42)</f>
        <v>84</v>
      </c>
    </row>
    <row r="43" spans="2:11" ht="19.5" x14ac:dyDescent="0.2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 x14ac:dyDescent="0.2">
      <c r="B44" s="11">
        <v>1112009</v>
      </c>
      <c r="C44" s="19" t="s">
        <v>44</v>
      </c>
      <c r="D44" s="30"/>
      <c r="E44" s="30">
        <v>17</v>
      </c>
      <c r="F44" s="30">
        <v>7</v>
      </c>
      <c r="G44" s="30">
        <v>9</v>
      </c>
      <c r="H44" s="30"/>
      <c r="I44" s="30"/>
      <c r="J44" s="30"/>
      <c r="K44" s="41">
        <f>SUM(D44:J44)</f>
        <v>33</v>
      </c>
    </row>
    <row r="45" spans="2:11" x14ac:dyDescent="0.2">
      <c r="B45" s="11">
        <v>1112011</v>
      </c>
      <c r="C45" s="19" t="s">
        <v>45</v>
      </c>
      <c r="D45" s="30"/>
      <c r="E45" s="30">
        <v>17</v>
      </c>
      <c r="F45" s="30">
        <v>18</v>
      </c>
      <c r="G45" s="30">
        <v>9</v>
      </c>
      <c r="H45" s="30"/>
      <c r="I45" s="30"/>
      <c r="J45" s="30"/>
      <c r="K45" s="41">
        <f t="shared" ref="K45:K53" si="3">SUM(D45:J45)</f>
        <v>44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>
        <v>3</v>
      </c>
      <c r="H46" s="30"/>
      <c r="I46" s="30"/>
      <c r="J46" s="30"/>
      <c r="K46" s="41">
        <f t="shared" si="3"/>
        <v>3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>
        <v>3</v>
      </c>
      <c r="H50" s="30"/>
      <c r="I50" s="30"/>
      <c r="J50" s="30"/>
      <c r="K50" s="41">
        <f t="shared" si="3"/>
        <v>3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>
        <v>3</v>
      </c>
      <c r="H51" s="30"/>
      <c r="I51" s="30"/>
      <c r="J51" s="30"/>
      <c r="K51" s="41">
        <f t="shared" si="3"/>
        <v>3</v>
      </c>
    </row>
    <row r="52" spans="2:11" x14ac:dyDescent="0.2">
      <c r="B52" s="11">
        <v>1112013</v>
      </c>
      <c r="C52" s="19" t="s">
        <v>52</v>
      </c>
      <c r="D52" s="30"/>
      <c r="E52" s="30">
        <v>16</v>
      </c>
      <c r="F52" s="30">
        <v>10</v>
      </c>
      <c r="G52" s="30">
        <v>9</v>
      </c>
      <c r="H52" s="30"/>
      <c r="I52" s="30"/>
      <c r="J52" s="30"/>
      <c r="K52" s="41">
        <f t="shared" si="3"/>
        <v>35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 x14ac:dyDescent="0.2">
      <c r="B56" s="11">
        <v>1100003</v>
      </c>
      <c r="C56" s="21" t="s">
        <v>73</v>
      </c>
      <c r="D56" s="30"/>
      <c r="E56" s="30">
        <v>5</v>
      </c>
      <c r="F56" s="30">
        <v>1</v>
      </c>
      <c r="G56" s="30"/>
      <c r="H56" s="30"/>
      <c r="I56" s="30"/>
      <c r="J56" s="30"/>
      <c r="K56" s="41">
        <f t="shared" ref="K56:K75" si="4">SUM(D56:J56)</f>
        <v>6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>
        <v>10</v>
      </c>
      <c r="F58" s="30"/>
      <c r="G58" s="30">
        <v>1</v>
      </c>
      <c r="H58" s="30"/>
      <c r="I58" s="30"/>
      <c r="J58" s="30"/>
      <c r="K58" s="41">
        <f t="shared" si="4"/>
        <v>11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>
        <v>1</v>
      </c>
      <c r="G60" s="30"/>
      <c r="H60" s="30"/>
      <c r="I60" s="30"/>
      <c r="J60" s="30"/>
      <c r="K60" s="41">
        <f t="shared" si="4"/>
        <v>1</v>
      </c>
    </row>
    <row r="61" spans="2:11" x14ac:dyDescent="0.2">
      <c r="B61" s="11">
        <v>1114501</v>
      </c>
      <c r="C61" s="21" t="s">
        <v>59</v>
      </c>
      <c r="D61" s="30"/>
      <c r="E61" s="30">
        <v>9</v>
      </c>
      <c r="F61" s="30">
        <v>8</v>
      </c>
      <c r="G61" s="30">
        <v>210</v>
      </c>
      <c r="H61" s="30">
        <v>37</v>
      </c>
      <c r="I61" s="30"/>
      <c r="J61" s="30"/>
      <c r="K61" s="41">
        <f t="shared" si="4"/>
        <v>264</v>
      </c>
    </row>
    <row r="62" spans="2:11" x14ac:dyDescent="0.2">
      <c r="B62" s="11">
        <v>1114502</v>
      </c>
      <c r="C62" s="21" t="s">
        <v>60</v>
      </c>
      <c r="D62" s="30"/>
      <c r="E62" s="30">
        <v>7</v>
      </c>
      <c r="F62" s="30">
        <v>7</v>
      </c>
      <c r="G62" s="30">
        <v>210</v>
      </c>
      <c r="H62" s="30">
        <v>37</v>
      </c>
      <c r="I62" s="30"/>
      <c r="J62" s="30"/>
      <c r="K62" s="41">
        <f t="shared" si="4"/>
        <v>261</v>
      </c>
    </row>
    <row r="63" spans="2:11" x14ac:dyDescent="0.2">
      <c r="B63" s="11">
        <v>1114503</v>
      </c>
      <c r="C63" s="21" t="s">
        <v>61</v>
      </c>
      <c r="D63" s="30"/>
      <c r="E63" s="30">
        <v>7</v>
      </c>
      <c r="F63" s="30">
        <v>8</v>
      </c>
      <c r="G63" s="30">
        <v>210</v>
      </c>
      <c r="H63" s="30">
        <v>37</v>
      </c>
      <c r="I63" s="30"/>
      <c r="J63" s="30"/>
      <c r="K63" s="41">
        <f t="shared" si="4"/>
        <v>262</v>
      </c>
    </row>
    <row r="64" spans="2:11" x14ac:dyDescent="0.2">
      <c r="B64" s="11">
        <v>1124021</v>
      </c>
      <c r="C64" s="21" t="s">
        <v>62</v>
      </c>
      <c r="D64" s="30"/>
      <c r="E64" s="30">
        <v>6</v>
      </c>
      <c r="F64" s="30">
        <v>42</v>
      </c>
      <c r="G64" s="30">
        <v>6</v>
      </c>
      <c r="H64" s="30"/>
      <c r="I64" s="30"/>
      <c r="J64" s="30"/>
      <c r="K64" s="41">
        <f t="shared" si="4"/>
        <v>54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>
        <v>1</v>
      </c>
      <c r="F68" s="30">
        <v>2</v>
      </c>
      <c r="G68" s="30"/>
      <c r="H68" s="30"/>
      <c r="I68" s="30"/>
      <c r="J68" s="30"/>
      <c r="K68" s="41">
        <f t="shared" si="4"/>
        <v>3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>
        <v>1</v>
      </c>
      <c r="F74" s="30"/>
      <c r="G74" s="30"/>
      <c r="H74" s="30"/>
      <c r="I74" s="30"/>
      <c r="J74" s="30"/>
      <c r="K74" s="41">
        <f t="shared" si="4"/>
        <v>1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0</v>
      </c>
      <c r="E77" s="39">
        <f t="shared" si="5"/>
        <v>113</v>
      </c>
      <c r="F77" s="39">
        <f t="shared" si="5"/>
        <v>180</v>
      </c>
      <c r="G77" s="39">
        <f t="shared" si="5"/>
        <v>763</v>
      </c>
      <c r="H77" s="39">
        <f t="shared" si="5"/>
        <v>186</v>
      </c>
      <c r="I77" s="39">
        <f t="shared" si="5"/>
        <v>0</v>
      </c>
      <c r="J77" s="39">
        <f t="shared" si="5"/>
        <v>0</v>
      </c>
      <c r="K77" s="39">
        <f>SUM(K56:K75,K44:K53,K42,K40,K7:K37)</f>
        <v>1242</v>
      </c>
    </row>
    <row r="78" spans="2:11" x14ac:dyDescent="0.2">
      <c r="C78" s="24"/>
      <c r="D78" s="31"/>
      <c r="E78" s="56"/>
      <c r="F78" s="56"/>
      <c r="G78" s="26"/>
    </row>
    <row r="79" spans="2:11" x14ac:dyDescent="0.2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 x14ac:dyDescent="0.2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4">
    <mergeCell ref="B80:C80"/>
    <mergeCell ref="I80:K80"/>
    <mergeCell ref="B43:K43"/>
    <mergeCell ref="B55:K55"/>
    <mergeCell ref="E78:F78"/>
    <mergeCell ref="B79:C79"/>
    <mergeCell ref="E79:F79"/>
    <mergeCell ref="I79:K79"/>
    <mergeCell ref="B41:K41"/>
    <mergeCell ref="B1:K1"/>
    <mergeCell ref="B2:C3"/>
    <mergeCell ref="E2:F3"/>
    <mergeCell ref="B6:K6"/>
    <mergeCell ref="B39:K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zoomScale="60" zoomScaleNormal="60" workbookViewId="0">
      <selection activeCell="J74" sqref="J74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2" t="s">
        <v>93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71</v>
      </c>
      <c r="D7" s="30"/>
      <c r="E7" s="30">
        <v>25</v>
      </c>
      <c r="F7" s="30">
        <v>111</v>
      </c>
      <c r="G7" s="30">
        <v>2</v>
      </c>
      <c r="H7" s="30"/>
      <c r="I7" s="30"/>
      <c r="J7" s="30">
        <v>1</v>
      </c>
      <c r="K7" s="41">
        <f t="shared" ref="K7:K37" si="0">SUM(D7:J7)</f>
        <v>139</v>
      </c>
    </row>
    <row r="8" spans="2:11" hidden="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20</v>
      </c>
      <c r="G9" s="30">
        <v>3</v>
      </c>
      <c r="H9" s="30"/>
      <c r="I9" s="30"/>
      <c r="J9" s="30"/>
      <c r="K9" s="41">
        <f t="shared" si="0"/>
        <v>23</v>
      </c>
    </row>
    <row r="10" spans="2:11" x14ac:dyDescent="0.2">
      <c r="B10" s="11">
        <v>1004055</v>
      </c>
      <c r="C10" s="15" t="s">
        <v>72</v>
      </c>
      <c r="D10" s="30"/>
      <c r="E10" s="30">
        <v>4</v>
      </c>
      <c r="F10" s="30"/>
      <c r="G10" s="30">
        <v>50</v>
      </c>
      <c r="H10" s="30"/>
      <c r="I10" s="30"/>
      <c r="J10" s="30"/>
      <c r="K10" s="41">
        <f t="shared" si="0"/>
        <v>54</v>
      </c>
    </row>
    <row r="11" spans="2:11" x14ac:dyDescent="0.2">
      <c r="B11" s="11">
        <v>1111057</v>
      </c>
      <c r="C11" s="15" t="s">
        <v>14</v>
      </c>
      <c r="D11" s="30">
        <v>11</v>
      </c>
      <c r="E11" s="30">
        <v>6</v>
      </c>
      <c r="F11" s="30">
        <v>1</v>
      </c>
      <c r="G11" s="30">
        <v>1</v>
      </c>
      <c r="H11" s="30"/>
      <c r="I11" s="30"/>
      <c r="J11" s="30"/>
      <c r="K11" s="41">
        <f t="shared" si="0"/>
        <v>19</v>
      </c>
    </row>
    <row r="12" spans="2:11" x14ac:dyDescent="0.2">
      <c r="B12" s="11">
        <v>1111058</v>
      </c>
      <c r="C12" s="15" t="s">
        <v>15</v>
      </c>
      <c r="D12" s="30">
        <v>11</v>
      </c>
      <c r="E12" s="30">
        <v>3</v>
      </c>
      <c r="F12" s="30"/>
      <c r="G12" s="30">
        <v>1</v>
      </c>
      <c r="H12" s="30"/>
      <c r="I12" s="30"/>
      <c r="J12" s="30"/>
      <c r="K12" s="41">
        <f t="shared" si="0"/>
        <v>15</v>
      </c>
    </row>
    <row r="13" spans="2:11" x14ac:dyDescent="0.2">
      <c r="B13" s="11">
        <v>1111059</v>
      </c>
      <c r="C13" s="15" t="s">
        <v>16</v>
      </c>
      <c r="D13" s="30">
        <v>11</v>
      </c>
      <c r="E13" s="30">
        <v>3</v>
      </c>
      <c r="F13" s="30"/>
      <c r="G13" s="30">
        <v>1</v>
      </c>
      <c r="H13" s="30"/>
      <c r="I13" s="30"/>
      <c r="J13" s="30"/>
      <c r="K13" s="41">
        <f t="shared" si="0"/>
        <v>15</v>
      </c>
    </row>
    <row r="14" spans="2:11" x14ac:dyDescent="0.2">
      <c r="B14" s="11">
        <v>1111060</v>
      </c>
      <c r="C14" s="15" t="s">
        <v>17</v>
      </c>
      <c r="D14" s="30">
        <v>11</v>
      </c>
      <c r="E14" s="30"/>
      <c r="F14" s="30"/>
      <c r="G14" s="30">
        <v>1</v>
      </c>
      <c r="H14" s="30"/>
      <c r="I14" s="30"/>
      <c r="J14" s="30"/>
      <c r="K14" s="41">
        <f t="shared" si="0"/>
        <v>12</v>
      </c>
    </row>
    <row r="15" spans="2:11" x14ac:dyDescent="0.2">
      <c r="B15" s="11">
        <v>1111061</v>
      </c>
      <c r="C15" s="15" t="s">
        <v>18</v>
      </c>
      <c r="D15" s="30">
        <v>11</v>
      </c>
      <c r="E15" s="30">
        <v>3</v>
      </c>
      <c r="F15" s="30"/>
      <c r="G15" s="30">
        <v>1</v>
      </c>
      <c r="H15" s="30"/>
      <c r="I15" s="30"/>
      <c r="J15" s="30"/>
      <c r="K15" s="41">
        <f t="shared" si="0"/>
        <v>15</v>
      </c>
    </row>
    <row r="16" spans="2:11" x14ac:dyDescent="0.2">
      <c r="B16" s="11">
        <v>1111062</v>
      </c>
      <c r="C16" s="15" t="s">
        <v>19</v>
      </c>
      <c r="D16" s="30">
        <v>11</v>
      </c>
      <c r="E16" s="30">
        <v>3</v>
      </c>
      <c r="F16" s="30"/>
      <c r="G16" s="30">
        <v>1</v>
      </c>
      <c r="H16" s="30"/>
      <c r="I16" s="30"/>
      <c r="J16" s="30"/>
      <c r="K16" s="41">
        <f t="shared" si="0"/>
        <v>15</v>
      </c>
    </row>
    <row r="17" spans="2:11" x14ac:dyDescent="0.2">
      <c r="B17" s="11">
        <v>1111063</v>
      </c>
      <c r="C17" s="15" t="s">
        <v>20</v>
      </c>
      <c r="D17" s="30">
        <v>11</v>
      </c>
      <c r="E17" s="30">
        <v>3</v>
      </c>
      <c r="F17" s="30"/>
      <c r="G17" s="30">
        <v>1</v>
      </c>
      <c r="H17" s="30"/>
      <c r="I17" s="30"/>
      <c r="J17" s="30"/>
      <c r="K17" s="41">
        <f t="shared" si="0"/>
        <v>15</v>
      </c>
    </row>
    <row r="18" spans="2:11" x14ac:dyDescent="0.2">
      <c r="B18" s="11">
        <v>1111064</v>
      </c>
      <c r="C18" s="15" t="s">
        <v>21</v>
      </c>
      <c r="D18" s="30">
        <v>11</v>
      </c>
      <c r="E18" s="30">
        <v>3</v>
      </c>
      <c r="F18" s="30"/>
      <c r="G18" s="30"/>
      <c r="H18" s="30"/>
      <c r="I18" s="30"/>
      <c r="J18" s="30"/>
      <c r="K18" s="41">
        <f t="shared" si="0"/>
        <v>14</v>
      </c>
    </row>
    <row r="19" spans="2:11" x14ac:dyDescent="0.2">
      <c r="B19" s="11">
        <v>1111065</v>
      </c>
      <c r="C19" s="15" t="s">
        <v>22</v>
      </c>
      <c r="D19" s="30">
        <v>11</v>
      </c>
      <c r="E19" s="30"/>
      <c r="F19" s="30"/>
      <c r="G19" s="30"/>
      <c r="H19" s="30"/>
      <c r="I19" s="30"/>
      <c r="J19" s="30"/>
      <c r="K19" s="41">
        <f t="shared" si="0"/>
        <v>11</v>
      </c>
    </row>
    <row r="20" spans="2:11" x14ac:dyDescent="0.2">
      <c r="B20" s="11">
        <v>1111066</v>
      </c>
      <c r="C20" s="15" t="s">
        <v>23</v>
      </c>
      <c r="D20" s="30">
        <v>11</v>
      </c>
      <c r="E20" s="30">
        <v>3</v>
      </c>
      <c r="F20" s="30"/>
      <c r="G20" s="30"/>
      <c r="H20" s="30"/>
      <c r="I20" s="30"/>
      <c r="J20" s="30"/>
      <c r="K20" s="41">
        <f t="shared" si="0"/>
        <v>14</v>
      </c>
    </row>
    <row r="21" spans="2:11" x14ac:dyDescent="0.2">
      <c r="B21" s="11">
        <v>1111067</v>
      </c>
      <c r="C21" s="15" t="s">
        <v>24</v>
      </c>
      <c r="D21" s="30"/>
      <c r="E21" s="30">
        <v>7</v>
      </c>
      <c r="F21" s="30"/>
      <c r="G21" s="30"/>
      <c r="H21" s="30"/>
      <c r="I21" s="30"/>
      <c r="J21" s="30"/>
      <c r="K21" s="41">
        <f t="shared" si="0"/>
        <v>7</v>
      </c>
    </row>
    <row r="22" spans="2:11" x14ac:dyDescent="0.2">
      <c r="B22" s="11">
        <v>1111068</v>
      </c>
      <c r="C22" s="15" t="s">
        <v>25</v>
      </c>
      <c r="D22" s="30"/>
      <c r="E22" s="30">
        <v>3</v>
      </c>
      <c r="F22" s="30"/>
      <c r="G22" s="30"/>
      <c r="H22" s="30"/>
      <c r="I22" s="30"/>
      <c r="J22" s="30"/>
      <c r="K22" s="41">
        <f t="shared" si="0"/>
        <v>3</v>
      </c>
    </row>
    <row r="23" spans="2:11" x14ac:dyDescent="0.2">
      <c r="B23" s="11">
        <v>1111069</v>
      </c>
      <c r="C23" s="15" t="s">
        <v>26</v>
      </c>
      <c r="D23" s="30"/>
      <c r="E23" s="30">
        <v>3</v>
      </c>
      <c r="F23" s="30"/>
      <c r="G23" s="30"/>
      <c r="H23" s="30"/>
      <c r="I23" s="30"/>
      <c r="J23" s="30"/>
      <c r="K23" s="41">
        <f t="shared" si="0"/>
        <v>3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>
        <v>10</v>
      </c>
      <c r="G27" s="30">
        <v>11</v>
      </c>
      <c r="H27" s="30"/>
      <c r="I27" s="30"/>
      <c r="J27" s="30"/>
      <c r="K27" s="41">
        <f t="shared" si="0"/>
        <v>21</v>
      </c>
    </row>
    <row r="28" spans="2:11" x14ac:dyDescent="0.2">
      <c r="B28" s="11">
        <v>1111075</v>
      </c>
      <c r="C28" s="15" t="s">
        <v>29</v>
      </c>
      <c r="D28" s="30"/>
      <c r="E28" s="30"/>
      <c r="F28" s="30">
        <v>10</v>
      </c>
      <c r="G28" s="30">
        <v>11</v>
      </c>
      <c r="H28" s="30"/>
      <c r="I28" s="30"/>
      <c r="J28" s="30"/>
      <c r="K28" s="41">
        <f t="shared" si="0"/>
        <v>21</v>
      </c>
    </row>
    <row r="29" spans="2:11" x14ac:dyDescent="0.2">
      <c r="B29" s="11">
        <v>1111076</v>
      </c>
      <c r="C29" s="15" t="s">
        <v>30</v>
      </c>
      <c r="D29" s="30"/>
      <c r="E29" s="30"/>
      <c r="F29" s="30">
        <v>10</v>
      </c>
      <c r="G29" s="30">
        <v>11</v>
      </c>
      <c r="H29" s="30"/>
      <c r="I29" s="30"/>
      <c r="J29" s="30"/>
      <c r="K29" s="41">
        <f t="shared" si="0"/>
        <v>21</v>
      </c>
    </row>
    <row r="30" spans="2:11" x14ac:dyDescent="0.2">
      <c r="B30" s="11">
        <v>1111077</v>
      </c>
      <c r="C30" s="15" t="s">
        <v>31</v>
      </c>
      <c r="D30" s="30"/>
      <c r="E30" s="30"/>
      <c r="F30" s="30">
        <v>10</v>
      </c>
      <c r="G30" s="30">
        <v>11</v>
      </c>
      <c r="H30" s="30"/>
      <c r="I30" s="30"/>
      <c r="J30" s="30"/>
      <c r="K30" s="41">
        <f t="shared" si="0"/>
        <v>21</v>
      </c>
    </row>
    <row r="31" spans="2:11" x14ac:dyDescent="0.2">
      <c r="B31" s="11">
        <v>1111078</v>
      </c>
      <c r="C31" s="15" t="s">
        <v>32</v>
      </c>
      <c r="D31" s="30"/>
      <c r="E31" s="30"/>
      <c r="F31" s="30">
        <v>10</v>
      </c>
      <c r="G31" s="30">
        <v>11</v>
      </c>
      <c r="H31" s="30"/>
      <c r="I31" s="30"/>
      <c r="J31" s="30"/>
      <c r="K31" s="41">
        <f t="shared" si="0"/>
        <v>21</v>
      </c>
    </row>
    <row r="32" spans="2:11" x14ac:dyDescent="0.2">
      <c r="B32" s="11">
        <v>1111079</v>
      </c>
      <c r="C32" s="15" t="s">
        <v>33</v>
      </c>
      <c r="D32" s="30"/>
      <c r="E32" s="30"/>
      <c r="F32" s="30">
        <v>10</v>
      </c>
      <c r="G32" s="30">
        <v>11</v>
      </c>
      <c r="H32" s="30"/>
      <c r="I32" s="30"/>
      <c r="J32" s="30"/>
      <c r="K32" s="41">
        <f t="shared" si="0"/>
        <v>21</v>
      </c>
    </row>
    <row r="33" spans="2:11" x14ac:dyDescent="0.2">
      <c r="B33" s="11">
        <v>1111080</v>
      </c>
      <c r="C33" s="15" t="s">
        <v>34</v>
      </c>
      <c r="D33" s="30"/>
      <c r="E33" s="30"/>
      <c r="F33" s="30">
        <v>10</v>
      </c>
      <c r="G33" s="30">
        <v>1</v>
      </c>
      <c r="H33" s="30"/>
      <c r="I33" s="30"/>
      <c r="J33" s="30"/>
      <c r="K33" s="41">
        <f t="shared" si="0"/>
        <v>11</v>
      </c>
    </row>
    <row r="34" spans="2:11" x14ac:dyDescent="0.2">
      <c r="B34" s="11">
        <v>1111081</v>
      </c>
      <c r="C34" s="15" t="s">
        <v>35</v>
      </c>
      <c r="D34" s="30"/>
      <c r="E34" s="30"/>
      <c r="F34" s="30">
        <v>10</v>
      </c>
      <c r="G34" s="30">
        <v>1</v>
      </c>
      <c r="H34" s="30"/>
      <c r="I34" s="30"/>
      <c r="J34" s="30"/>
      <c r="K34" s="41">
        <f t="shared" si="0"/>
        <v>11</v>
      </c>
    </row>
    <row r="35" spans="2:11" x14ac:dyDescent="0.2">
      <c r="B35" s="11">
        <v>1111082</v>
      </c>
      <c r="C35" s="15" t="s">
        <v>36</v>
      </c>
      <c r="D35" s="30"/>
      <c r="E35" s="30"/>
      <c r="F35" s="30">
        <v>10</v>
      </c>
      <c r="G35" s="30">
        <v>1</v>
      </c>
      <c r="H35" s="30"/>
      <c r="I35" s="30"/>
      <c r="J35" s="30"/>
      <c r="K35" s="41">
        <f t="shared" si="0"/>
        <v>11</v>
      </c>
    </row>
    <row r="36" spans="2:11" x14ac:dyDescent="0.2">
      <c r="B36" s="11">
        <v>1111083</v>
      </c>
      <c r="C36" s="15" t="s">
        <v>37</v>
      </c>
      <c r="D36" s="30"/>
      <c r="E36" s="30"/>
      <c r="F36" s="30">
        <v>10</v>
      </c>
      <c r="G36" s="30">
        <v>1</v>
      </c>
      <c r="H36" s="30"/>
      <c r="I36" s="30"/>
      <c r="J36" s="30"/>
      <c r="K36" s="41">
        <f t="shared" si="0"/>
        <v>11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 x14ac:dyDescent="0.2">
      <c r="B40" s="11">
        <v>1111009</v>
      </c>
      <c r="C40" s="19" t="s">
        <v>40</v>
      </c>
      <c r="D40" s="30"/>
      <c r="E40" s="30"/>
      <c r="F40" s="30">
        <v>6</v>
      </c>
      <c r="G40" s="30">
        <v>1</v>
      </c>
      <c r="H40" s="30"/>
      <c r="I40" s="30"/>
      <c r="J40" s="30"/>
      <c r="K40" s="41">
        <f>SUM(D40:J40)</f>
        <v>7</v>
      </c>
    </row>
    <row r="41" spans="2:11" ht="19.5" x14ac:dyDescent="0.2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 x14ac:dyDescent="0.2">
      <c r="B42" s="11">
        <v>1111008</v>
      </c>
      <c r="C42" s="19" t="s">
        <v>42</v>
      </c>
      <c r="D42" s="30"/>
      <c r="E42" s="30">
        <v>6</v>
      </c>
      <c r="F42" s="30"/>
      <c r="G42" s="30">
        <v>33</v>
      </c>
      <c r="H42" s="30"/>
      <c r="I42" s="30"/>
      <c r="J42" s="30"/>
      <c r="K42" s="41">
        <f>SUM(D42:J42)</f>
        <v>39</v>
      </c>
    </row>
    <row r="43" spans="2:11" ht="19.5" x14ac:dyDescent="0.2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 x14ac:dyDescent="0.2">
      <c r="B44" s="11">
        <v>1112009</v>
      </c>
      <c r="C44" s="19" t="s">
        <v>44</v>
      </c>
      <c r="D44" s="30">
        <v>4</v>
      </c>
      <c r="E44" s="30">
        <v>3</v>
      </c>
      <c r="F44" s="30">
        <v>9</v>
      </c>
      <c r="G44" s="30">
        <v>18</v>
      </c>
      <c r="H44" s="30"/>
      <c r="I44" s="30"/>
      <c r="J44" s="30"/>
      <c r="K44" s="41">
        <f t="shared" ref="K44:K53" si="1">SUM(D44:J44)</f>
        <v>34</v>
      </c>
    </row>
    <row r="45" spans="2:11" x14ac:dyDescent="0.2">
      <c r="B45" s="11">
        <v>1112011</v>
      </c>
      <c r="C45" s="19" t="s">
        <v>45</v>
      </c>
      <c r="D45" s="30">
        <v>4</v>
      </c>
      <c r="E45" s="30">
        <v>5</v>
      </c>
      <c r="F45" s="30">
        <v>31</v>
      </c>
      <c r="G45" s="30">
        <v>18</v>
      </c>
      <c r="H45" s="30"/>
      <c r="I45" s="30"/>
      <c r="J45" s="30">
        <v>1</v>
      </c>
      <c r="K45" s="41">
        <f t="shared" si="1"/>
        <v>59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>
        <v>6</v>
      </c>
      <c r="H46" s="30"/>
      <c r="I46" s="30"/>
      <c r="J46" s="30"/>
      <c r="K46" s="41">
        <f t="shared" si="1"/>
        <v>6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>
        <v>6</v>
      </c>
      <c r="H50" s="30"/>
      <c r="I50" s="30"/>
      <c r="J50" s="30"/>
      <c r="K50" s="41">
        <f t="shared" si="1"/>
        <v>6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>
        <v>6</v>
      </c>
      <c r="H51" s="30"/>
      <c r="I51" s="30"/>
      <c r="J51" s="30"/>
      <c r="K51" s="41">
        <f t="shared" si="1"/>
        <v>6</v>
      </c>
    </row>
    <row r="52" spans="2:11" x14ac:dyDescent="0.2">
      <c r="B52" s="11">
        <v>1112013</v>
      </c>
      <c r="C52" s="19" t="s">
        <v>52</v>
      </c>
      <c r="D52" s="30">
        <v>4</v>
      </c>
      <c r="E52" s="30">
        <v>4</v>
      </c>
      <c r="F52" s="30">
        <v>9</v>
      </c>
      <c r="G52" s="30">
        <v>18</v>
      </c>
      <c r="H52" s="30"/>
      <c r="I52" s="30"/>
      <c r="J52" s="30"/>
      <c r="K52" s="41">
        <f t="shared" si="1"/>
        <v>35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 x14ac:dyDescent="0.2">
      <c r="B56" s="11">
        <v>1100003</v>
      </c>
      <c r="C56" s="21" t="s">
        <v>73</v>
      </c>
      <c r="D56" s="30"/>
      <c r="E56" s="30">
        <v>3</v>
      </c>
      <c r="F56" s="30">
        <v>1</v>
      </c>
      <c r="G56" s="30"/>
      <c r="H56" s="30"/>
      <c r="I56" s="30"/>
      <c r="J56" s="30"/>
      <c r="K56" s="41">
        <f t="shared" ref="K56:K75" si="2">SUM(D56:J56)</f>
        <v>4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>
        <v>1</v>
      </c>
      <c r="F58" s="30">
        <v>1</v>
      </c>
      <c r="G58" s="30">
        <v>1</v>
      </c>
      <c r="H58" s="30"/>
      <c r="I58" s="30"/>
      <c r="J58" s="30"/>
      <c r="K58" s="41">
        <f t="shared" si="2"/>
        <v>3</v>
      </c>
    </row>
    <row r="59" spans="2:11" x14ac:dyDescent="0.2">
      <c r="B59" s="11">
        <v>1200001</v>
      </c>
      <c r="C59" s="21" t="s">
        <v>57</v>
      </c>
      <c r="D59" s="30"/>
      <c r="E59" s="30">
        <v>1</v>
      </c>
      <c r="F59" s="30"/>
      <c r="G59" s="30"/>
      <c r="H59" s="30"/>
      <c r="I59" s="30"/>
      <c r="J59" s="30"/>
      <c r="K59" s="41">
        <f t="shared" si="2"/>
        <v>1</v>
      </c>
    </row>
    <row r="60" spans="2:11" x14ac:dyDescent="0.2">
      <c r="B60" s="11">
        <v>1005761</v>
      </c>
      <c r="C60" s="21" t="s">
        <v>58</v>
      </c>
      <c r="D60" s="30"/>
      <c r="E60" s="30">
        <v>1</v>
      </c>
      <c r="F60" s="30">
        <v>1</v>
      </c>
      <c r="G60" s="30"/>
      <c r="H60" s="30"/>
      <c r="I60" s="30"/>
      <c r="J60" s="30"/>
      <c r="K60" s="41">
        <f t="shared" si="2"/>
        <v>2</v>
      </c>
    </row>
    <row r="61" spans="2:11" x14ac:dyDescent="0.2">
      <c r="B61" s="11">
        <v>1114501</v>
      </c>
      <c r="C61" s="21" t="s">
        <v>59</v>
      </c>
      <c r="D61" s="30"/>
      <c r="E61" s="30">
        <v>15</v>
      </c>
      <c r="F61" s="30">
        <v>8</v>
      </c>
      <c r="G61" s="30">
        <v>163</v>
      </c>
      <c r="H61" s="30"/>
      <c r="I61" s="30"/>
      <c r="J61" s="30"/>
      <c r="K61" s="41">
        <f t="shared" si="2"/>
        <v>186</v>
      </c>
    </row>
    <row r="62" spans="2:11" x14ac:dyDescent="0.2">
      <c r="B62" s="11">
        <v>1114502</v>
      </c>
      <c r="C62" s="21" t="s">
        <v>60</v>
      </c>
      <c r="D62" s="30"/>
      <c r="E62" s="30">
        <v>11</v>
      </c>
      <c r="F62" s="30">
        <v>7</v>
      </c>
      <c r="G62" s="30">
        <v>163</v>
      </c>
      <c r="H62" s="30"/>
      <c r="I62" s="30"/>
      <c r="J62" s="30"/>
      <c r="K62" s="41">
        <f t="shared" si="2"/>
        <v>181</v>
      </c>
    </row>
    <row r="63" spans="2:11" x14ac:dyDescent="0.2">
      <c r="B63" s="11">
        <v>1114503</v>
      </c>
      <c r="C63" s="21" t="s">
        <v>61</v>
      </c>
      <c r="D63" s="30"/>
      <c r="E63" s="30">
        <v>12</v>
      </c>
      <c r="F63" s="30">
        <v>5</v>
      </c>
      <c r="G63" s="30">
        <v>164</v>
      </c>
      <c r="H63" s="30"/>
      <c r="I63" s="30"/>
      <c r="J63" s="30"/>
      <c r="K63" s="41">
        <f t="shared" si="2"/>
        <v>181</v>
      </c>
    </row>
    <row r="64" spans="2:11" x14ac:dyDescent="0.2">
      <c r="B64" s="11">
        <v>1124021</v>
      </c>
      <c r="C64" s="21" t="s">
        <v>62</v>
      </c>
      <c r="D64" s="30"/>
      <c r="E64" s="30">
        <v>31</v>
      </c>
      <c r="F64" s="30">
        <v>24</v>
      </c>
      <c r="G64" s="30">
        <v>12</v>
      </c>
      <c r="H64" s="30"/>
      <c r="I64" s="30"/>
      <c r="J64" s="30"/>
      <c r="K64" s="41">
        <f t="shared" si="2"/>
        <v>67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4</v>
      </c>
      <c r="K73" s="41">
        <f t="shared" si="2"/>
        <v>4</v>
      </c>
    </row>
    <row r="74" spans="2:11" x14ac:dyDescent="0.2">
      <c r="B74" s="22"/>
      <c r="C74" s="21" t="s">
        <v>77</v>
      </c>
      <c r="D74" s="30"/>
      <c r="E74" s="30">
        <v>2</v>
      </c>
      <c r="F74" s="30"/>
      <c r="G74" s="30"/>
      <c r="H74" s="30"/>
      <c r="I74" s="30"/>
      <c r="J74" s="30"/>
      <c r="K74" s="41">
        <f t="shared" si="2"/>
        <v>2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SUM(D56:D75,D44:D53,D42,D40,D7:D37)</f>
        <v>122</v>
      </c>
      <c r="E77" s="39">
        <f t="shared" si="3"/>
        <v>164</v>
      </c>
      <c r="F77" s="39">
        <f t="shared" si="3"/>
        <v>334</v>
      </c>
      <c r="G77" s="39">
        <f t="shared" si="3"/>
        <v>741</v>
      </c>
      <c r="H77" s="39">
        <f t="shared" si="3"/>
        <v>0</v>
      </c>
      <c r="I77" s="39">
        <f t="shared" si="3"/>
        <v>0</v>
      </c>
      <c r="J77" s="39">
        <f t="shared" si="3"/>
        <v>6</v>
      </c>
      <c r="K77" s="39">
        <f>SUM(K56:K75,K44:K53,K42,K40,K7:K37)</f>
        <v>1367</v>
      </c>
    </row>
    <row r="78" spans="2:11" x14ac:dyDescent="0.2">
      <c r="C78" s="24"/>
      <c r="D78" s="31"/>
      <c r="E78" s="56"/>
      <c r="F78" s="56"/>
      <c r="G78" s="26"/>
    </row>
    <row r="79" spans="2:11" x14ac:dyDescent="0.2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 x14ac:dyDescent="0.2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E64-F77F-401D-90F5-9F8C8A6BBCF2}">
  <sheetPr>
    <pageSetUpPr fitToPage="1"/>
  </sheetPr>
  <dimension ref="B1:K97"/>
  <sheetViews>
    <sheetView topLeftCell="A54" zoomScale="60" zoomScaleNormal="60" workbookViewId="0">
      <selection activeCell="D56" sqref="D56:J75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2" t="s">
        <v>92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19.5" x14ac:dyDescent="0.2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 x14ac:dyDescent="0.2">
      <c r="C78" s="24"/>
      <c r="D78" s="31"/>
      <c r="E78" s="56"/>
      <c r="F78" s="56"/>
      <c r="G78" s="26"/>
    </row>
    <row r="79" spans="2:11" x14ac:dyDescent="0.2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 x14ac:dyDescent="0.2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abSelected="1" topLeftCell="A34" zoomScale="60" zoomScaleNormal="60" workbookViewId="0">
      <selection activeCell="K76" sqref="D76:K76"/>
    </sheetView>
  </sheetViews>
  <sheetFormatPr defaultRowHeight="22.5" x14ac:dyDescent="0.25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5" style="49" hidden="1" customWidth="1"/>
    <col min="19" max="19" width="21.25" style="49" hidden="1" customWidth="1"/>
    <col min="20" max="20" width="26.25" style="49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2" t="s">
        <v>94</v>
      </c>
      <c r="C1" s="52"/>
      <c r="D1" s="52"/>
      <c r="E1" s="52"/>
      <c r="F1" s="52"/>
      <c r="G1" s="52"/>
      <c r="H1" s="52"/>
      <c r="I1" s="52"/>
      <c r="J1" s="52"/>
      <c r="K1" s="52"/>
    </row>
    <row r="2" spans="2:25" x14ac:dyDescent="0.25">
      <c r="B2" s="53"/>
      <c r="C2" s="63"/>
      <c r="D2" s="1"/>
      <c r="E2" s="64"/>
      <c r="F2" s="64"/>
      <c r="G2" s="2"/>
      <c r="H2" s="2"/>
      <c r="I2" s="2"/>
      <c r="J2" s="2"/>
      <c r="K2" s="3" t="s">
        <v>0</v>
      </c>
      <c r="L2" s="66" t="s">
        <v>81</v>
      </c>
      <c r="M2" s="66" t="s">
        <v>78</v>
      </c>
      <c r="N2" s="66" t="s">
        <v>86</v>
      </c>
      <c r="O2" s="75" t="s">
        <v>87</v>
      </c>
      <c r="P2" s="69" t="s">
        <v>1</v>
      </c>
    </row>
    <row r="3" spans="2:25" x14ac:dyDescent="0.25">
      <c r="B3" s="53"/>
      <c r="C3" s="63"/>
      <c r="D3" s="4"/>
      <c r="E3" s="65"/>
      <c r="F3" s="65"/>
      <c r="G3" s="5"/>
      <c r="H3" s="5"/>
      <c r="I3" s="5"/>
      <c r="J3" s="46"/>
      <c r="K3" s="6" t="s">
        <v>2</v>
      </c>
      <c r="L3" s="67"/>
      <c r="M3" s="67"/>
      <c r="N3" s="67"/>
      <c r="O3" s="76"/>
      <c r="P3" s="70"/>
      <c r="R3" s="49" t="s">
        <v>88</v>
      </c>
      <c r="S3" s="49" t="s">
        <v>89</v>
      </c>
      <c r="T3" s="49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7" t="s">
        <v>84</v>
      </c>
      <c r="K4" s="10" t="s">
        <v>10</v>
      </c>
      <c r="L4" s="68"/>
      <c r="M4" s="68"/>
      <c r="N4" s="68"/>
      <c r="O4" s="77"/>
      <c r="P4" s="71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7"/>
      <c r="K5" s="14"/>
      <c r="L5" s="11"/>
      <c r="M5" s="11"/>
      <c r="N5" s="11"/>
      <c r="O5" s="11"/>
      <c r="P5" s="29"/>
    </row>
    <row r="6" spans="2:25" ht="19.5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เย็น!D7+เช้า!D7</f>
        <v>0</v>
      </c>
      <c r="E7" s="30">
        <f>เย็น!E7+เช้า!E7</f>
        <v>34</v>
      </c>
      <c r="F7" s="30">
        <f>เย็น!F7+เช้า!F7</f>
        <v>173</v>
      </c>
      <c r="G7" s="30">
        <f>เย็น!G7+เช้า!G7</f>
        <v>3</v>
      </c>
      <c r="H7" s="30">
        <f>เย็น!H7+เช้า!H7</f>
        <v>3</v>
      </c>
      <c r="I7" s="30">
        <f>เย็น!I7+เช้า!I7</f>
        <v>0</v>
      </c>
      <c r="J7" s="30">
        <f>เย็น!J7+เช้า!J7</f>
        <v>1</v>
      </c>
      <c r="K7" s="36">
        <f>SUM(D7:J7)</f>
        <v>214</v>
      </c>
      <c r="L7" s="11"/>
      <c r="M7" s="11"/>
      <c r="N7" s="11"/>
      <c r="O7" s="11"/>
      <c r="P7" s="48">
        <f>(L7+M7+N7+O7)-K7</f>
        <v>-214</v>
      </c>
      <c r="R7" s="49">
        <v>250</v>
      </c>
      <c r="S7" s="49">
        <v>250</v>
      </c>
      <c r="T7" s="50">
        <f>S7+R7+P7</f>
        <v>286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36" si="0">SUM(D8:J8)</f>
        <v>0</v>
      </c>
      <c r="L8" s="11"/>
      <c r="M8" s="11"/>
      <c r="N8" s="11"/>
      <c r="O8" s="11"/>
      <c r="P8" s="48">
        <f t="shared" ref="P8:P17" si="1">(L8+M8+N8+O8)-K8</f>
        <v>0</v>
      </c>
      <c r="T8" s="50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เย็น!D9+เช้า!D9</f>
        <v>0</v>
      </c>
      <c r="E9" s="30">
        <f>เย็น!E9+เช้า!E9</f>
        <v>1</v>
      </c>
      <c r="F9" s="30">
        <f>เย็น!F9+เช้า!F9</f>
        <v>28</v>
      </c>
      <c r="G9" s="30">
        <f>เย็น!G9+เช้า!G9</f>
        <v>4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33</v>
      </c>
      <c r="L9" s="11"/>
      <c r="M9" s="11"/>
      <c r="N9" s="11"/>
      <c r="O9" s="11"/>
      <c r="P9" s="48">
        <f t="shared" si="1"/>
        <v>-33</v>
      </c>
      <c r="R9" s="49">
        <v>10</v>
      </c>
      <c r="T9" s="50">
        <f t="shared" si="2"/>
        <v>-23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เย็น!D10+เช้า!D10</f>
        <v>0</v>
      </c>
      <c r="E10" s="30">
        <f>เย็น!E10+เช้า!E10</f>
        <v>4</v>
      </c>
      <c r="F10" s="30">
        <f>เย็น!F10+เช้า!F10</f>
        <v>1</v>
      </c>
      <c r="G10" s="30">
        <f>เย็น!G10+เช้า!G10</f>
        <v>71</v>
      </c>
      <c r="H10" s="30">
        <f>เย็น!H10+เช้า!H10</f>
        <v>60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136</v>
      </c>
      <c r="L10" s="11"/>
      <c r="M10" s="11"/>
      <c r="N10" s="11"/>
      <c r="O10" s="11"/>
      <c r="P10" s="48">
        <f t="shared" si="1"/>
        <v>-136</v>
      </c>
      <c r="R10" s="49">
        <v>250</v>
      </c>
      <c r="S10" s="49">
        <v>250</v>
      </c>
      <c r="T10" s="50">
        <f t="shared" si="2"/>
        <v>364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เย็น!D11+เช้า!D11</f>
        <v>11</v>
      </c>
      <c r="E11" s="30">
        <f>เย็น!E11+เช้า!E11</f>
        <v>6</v>
      </c>
      <c r="F11" s="30">
        <f>เย็น!F11+เช้า!F11</f>
        <v>1</v>
      </c>
      <c r="G11" s="30">
        <f>เย็น!G11+เช้า!G11</f>
        <v>1</v>
      </c>
      <c r="H11" s="30">
        <f>เย็น!H11+เช้า!H11</f>
        <v>0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19</v>
      </c>
      <c r="L11" s="11"/>
      <c r="M11" s="11"/>
      <c r="N11" s="11"/>
      <c r="O11" s="11"/>
      <c r="P11" s="48">
        <f t="shared" si="1"/>
        <v>-19</v>
      </c>
      <c r="S11" s="49">
        <v>50</v>
      </c>
      <c r="T11" s="50">
        <f t="shared" si="2"/>
        <v>31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เย็น!D12+เช้า!D12</f>
        <v>11</v>
      </c>
      <c r="E12" s="30">
        <f>เย็น!E12+เช้า!E12</f>
        <v>3</v>
      </c>
      <c r="F12" s="30">
        <f>เย็น!F12+เช้า!F12</f>
        <v>0</v>
      </c>
      <c r="G12" s="30">
        <f>เย็น!G12+เช้า!G12</f>
        <v>1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15</v>
      </c>
      <c r="L12" s="11"/>
      <c r="M12" s="11"/>
      <c r="N12" s="11"/>
      <c r="O12" s="11"/>
      <c r="P12" s="48">
        <f t="shared" si="1"/>
        <v>-15</v>
      </c>
      <c r="S12" s="49">
        <v>50</v>
      </c>
      <c r="T12" s="50">
        <f t="shared" si="2"/>
        <v>35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เย็น!D13+เช้า!D13</f>
        <v>11</v>
      </c>
      <c r="E13" s="30">
        <f>เย็น!E13+เช้า!E13</f>
        <v>3</v>
      </c>
      <c r="F13" s="30">
        <f>เย็น!F13+เช้า!F13</f>
        <v>0</v>
      </c>
      <c r="G13" s="30">
        <f>เย็น!G13+เช้า!G13</f>
        <v>1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15</v>
      </c>
      <c r="L13" s="11"/>
      <c r="M13" s="11"/>
      <c r="N13" s="11"/>
      <c r="O13" s="11"/>
      <c r="P13" s="48">
        <f t="shared" si="1"/>
        <v>-15</v>
      </c>
      <c r="S13" s="49">
        <v>50</v>
      </c>
      <c r="T13" s="50">
        <f t="shared" si="2"/>
        <v>35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เย็น!D14+เช้า!D14</f>
        <v>11</v>
      </c>
      <c r="E14" s="30">
        <f>เย็น!E14+เช้า!E14</f>
        <v>0</v>
      </c>
      <c r="F14" s="30">
        <f>เย็น!F14+เช้า!F14</f>
        <v>0</v>
      </c>
      <c r="G14" s="30">
        <f>เย็น!G14+เช้า!G14</f>
        <v>1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12</v>
      </c>
      <c r="L14" s="11"/>
      <c r="M14" s="11"/>
      <c r="N14" s="11"/>
      <c r="O14" s="11"/>
      <c r="P14" s="48">
        <f t="shared" si="1"/>
        <v>-12</v>
      </c>
      <c r="S14" s="49">
        <v>50</v>
      </c>
      <c r="T14" s="50">
        <f t="shared" si="2"/>
        <v>38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เย็น!D15+เช้า!D15</f>
        <v>11</v>
      </c>
      <c r="E15" s="30">
        <f>เย็น!E15+เช้า!E15</f>
        <v>3</v>
      </c>
      <c r="F15" s="30">
        <f>เย็น!F15+เช้า!F15</f>
        <v>0</v>
      </c>
      <c r="G15" s="30">
        <f>เย็น!G15+เช้า!G15</f>
        <v>1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15</v>
      </c>
      <c r="L15" s="11"/>
      <c r="M15" s="11"/>
      <c r="N15" s="11"/>
      <c r="O15" s="11"/>
      <c r="P15" s="48">
        <f t="shared" si="1"/>
        <v>-15</v>
      </c>
      <c r="S15" s="49">
        <v>50</v>
      </c>
      <c r="T15" s="50">
        <f t="shared" si="2"/>
        <v>35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เย็น!D16+เช้า!D16</f>
        <v>11</v>
      </c>
      <c r="E16" s="30">
        <f>เย็น!E16+เช้า!E16</f>
        <v>3</v>
      </c>
      <c r="F16" s="30">
        <f>เย็น!F16+เช้า!F16</f>
        <v>0</v>
      </c>
      <c r="G16" s="30">
        <f>เย็น!G16+เช้า!G16</f>
        <v>1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15</v>
      </c>
      <c r="L16" s="11"/>
      <c r="M16" s="11"/>
      <c r="N16" s="11"/>
      <c r="O16" s="11"/>
      <c r="P16" s="48">
        <f t="shared" si="1"/>
        <v>-15</v>
      </c>
      <c r="S16" s="49">
        <v>50</v>
      </c>
      <c r="T16" s="50">
        <f t="shared" si="2"/>
        <v>35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เย็น!D17+เช้า!D17</f>
        <v>11</v>
      </c>
      <c r="E17" s="30">
        <f>เย็น!E17+เช้า!E17</f>
        <v>3</v>
      </c>
      <c r="F17" s="30">
        <f>เย็น!F17+เช้า!F17</f>
        <v>0</v>
      </c>
      <c r="G17" s="30">
        <f>เย็น!G17+เช้า!G17</f>
        <v>1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15</v>
      </c>
      <c r="L17" s="11"/>
      <c r="M17" s="11"/>
      <c r="N17" s="11"/>
      <c r="O17" s="11"/>
      <c r="P17" s="48">
        <f t="shared" si="1"/>
        <v>-15</v>
      </c>
      <c r="S17" s="49">
        <v>50</v>
      </c>
      <c r="T17" s="50">
        <f t="shared" si="2"/>
        <v>35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เย็น!D18+เช้า!D18</f>
        <v>11</v>
      </c>
      <c r="E18" s="30">
        <f>เย็น!E18+เช้า!E18</f>
        <v>3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14</v>
      </c>
      <c r="L18" s="11"/>
      <c r="M18" s="11"/>
      <c r="N18" s="11"/>
      <c r="O18" s="11"/>
      <c r="P18" s="48">
        <f t="shared" ref="P18:P40" si="3">(L18+M18+N18+O18)-K18</f>
        <v>-14</v>
      </c>
      <c r="S18" s="49">
        <v>50</v>
      </c>
      <c r="T18" s="50">
        <f t="shared" si="2"/>
        <v>36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เย็น!D19+เช้า!D19</f>
        <v>11</v>
      </c>
      <c r="E19" s="30">
        <f>เย็น!E19+เช้า!E19</f>
        <v>0</v>
      </c>
      <c r="F19" s="30">
        <f>เย็น!F19+เช้า!F19</f>
        <v>0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11</v>
      </c>
      <c r="L19" s="11"/>
      <c r="M19" s="11"/>
      <c r="N19" s="11"/>
      <c r="O19" s="11"/>
      <c r="P19" s="48">
        <f t="shared" si="3"/>
        <v>-11</v>
      </c>
      <c r="S19" s="49">
        <v>50</v>
      </c>
      <c r="T19" s="50">
        <f t="shared" si="2"/>
        <v>39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เย็น!D20+เช้า!D20</f>
        <v>11</v>
      </c>
      <c r="E20" s="30">
        <f>เย็น!E20+เช้า!E20</f>
        <v>3</v>
      </c>
      <c r="F20" s="30">
        <f>เย็น!F20+เช้า!F20</f>
        <v>0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14</v>
      </c>
      <c r="L20" s="11"/>
      <c r="M20" s="11"/>
      <c r="N20" s="11"/>
      <c r="O20" s="11"/>
      <c r="P20" s="48">
        <f t="shared" si="3"/>
        <v>-14</v>
      </c>
      <c r="S20" s="49">
        <v>50</v>
      </c>
      <c r="T20" s="50">
        <f t="shared" si="2"/>
        <v>36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เย็น!D21+เช้า!D21</f>
        <v>0</v>
      </c>
      <c r="E21" s="30">
        <f>เย็น!E21+เช้า!E21</f>
        <v>7</v>
      </c>
      <c r="F21" s="30">
        <f>เย็น!F21+เช้า!F21</f>
        <v>0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7</v>
      </c>
      <c r="L21" s="11"/>
      <c r="M21" s="11"/>
      <c r="N21" s="11"/>
      <c r="O21" s="11"/>
      <c r="P21" s="48">
        <f t="shared" si="3"/>
        <v>-7</v>
      </c>
      <c r="S21" s="49">
        <v>50</v>
      </c>
      <c r="T21" s="50">
        <f t="shared" si="2"/>
        <v>43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เย็น!D22+เช้า!D22</f>
        <v>0</v>
      </c>
      <c r="E22" s="30">
        <f>เย็น!E22+เช้า!E22</f>
        <v>3</v>
      </c>
      <c r="F22" s="30">
        <f>เย็น!F22+เช้า!F22</f>
        <v>0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3</v>
      </c>
      <c r="L22" s="11"/>
      <c r="M22" s="11"/>
      <c r="N22" s="11"/>
      <c r="O22" s="11"/>
      <c r="P22" s="48">
        <f t="shared" si="3"/>
        <v>-3</v>
      </c>
      <c r="S22" s="49">
        <v>50</v>
      </c>
      <c r="T22" s="50">
        <f t="shared" si="2"/>
        <v>47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เย็น!D23+เช้า!D23</f>
        <v>0</v>
      </c>
      <c r="E23" s="30">
        <f>เย็น!E23+เช้า!E23</f>
        <v>3</v>
      </c>
      <c r="F23" s="30">
        <f>เย็น!F23+เช้า!F23</f>
        <v>0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3</v>
      </c>
      <c r="L23" s="11"/>
      <c r="M23" s="11"/>
      <c r="N23" s="11"/>
      <c r="O23" s="11"/>
      <c r="P23" s="48">
        <f t="shared" si="3"/>
        <v>-3</v>
      </c>
      <c r="S23" s="49">
        <v>50</v>
      </c>
      <c r="T23" s="50">
        <f t="shared" si="2"/>
        <v>47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เย็น!D24+เช้า!D24</f>
        <v>0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0</v>
      </c>
      <c r="L24" s="11"/>
      <c r="M24" s="11"/>
      <c r="N24" s="11"/>
      <c r="O24" s="11"/>
      <c r="P24" s="48">
        <f t="shared" si="3"/>
        <v>0</v>
      </c>
      <c r="S24" s="49">
        <v>50</v>
      </c>
      <c r="T24" s="50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เย็น!D25+เช้า!D25</f>
        <v>0</v>
      </c>
      <c r="E25" s="30">
        <f>เย็น!E25+เช้า!E25</f>
        <v>0</v>
      </c>
      <c r="F25" s="30">
        <f>เย็น!F25+เช้า!F25</f>
        <v>0</v>
      </c>
      <c r="G25" s="30">
        <f>เย็น!G25+เช้า!G25</f>
        <v>0</v>
      </c>
      <c r="H25" s="30">
        <f>เย็น!H25+เช้า!H25</f>
        <v>0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0</v>
      </c>
      <c r="L25" s="11"/>
      <c r="M25" s="11"/>
      <c r="N25" s="11"/>
      <c r="O25" s="11"/>
      <c r="P25" s="48">
        <f t="shared" si="3"/>
        <v>0</v>
      </c>
      <c r="S25" s="49">
        <v>50</v>
      </c>
      <c r="T25" s="50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เย็น!D26+เช้า!D26</f>
        <v>0</v>
      </c>
      <c r="E26" s="30">
        <f>เย็น!E26+เช้า!E26</f>
        <v>0</v>
      </c>
      <c r="F26" s="30">
        <f>เย็น!F26+เช้า!F26</f>
        <v>0</v>
      </c>
      <c r="G26" s="30">
        <f>เย็น!G26+เช้า!G26</f>
        <v>0</v>
      </c>
      <c r="H26" s="30">
        <f>เย็น!H26+เช้า!H26</f>
        <v>0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0</v>
      </c>
      <c r="L26" s="11"/>
      <c r="M26" s="11"/>
      <c r="N26" s="11"/>
      <c r="O26" s="11"/>
      <c r="P26" s="48">
        <f t="shared" si="3"/>
        <v>0</v>
      </c>
      <c r="T26" s="50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เย็น!D27+เช้า!D27</f>
        <v>0</v>
      </c>
      <c r="E27" s="30">
        <f>เย็น!E27+เช้า!E27</f>
        <v>0</v>
      </c>
      <c r="F27" s="30">
        <f>เย็น!F27+เช้า!F27</f>
        <v>10</v>
      </c>
      <c r="G27" s="30">
        <f>เย็น!G27+เช้า!G27</f>
        <v>11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21</v>
      </c>
      <c r="L27" s="11"/>
      <c r="M27" s="11"/>
      <c r="N27" s="11"/>
      <c r="O27" s="11"/>
      <c r="P27" s="48">
        <f t="shared" si="3"/>
        <v>-21</v>
      </c>
      <c r="S27" s="49">
        <v>40</v>
      </c>
      <c r="T27" s="50">
        <f t="shared" si="2"/>
        <v>19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เย็น!D28+เช้า!D28</f>
        <v>0</v>
      </c>
      <c r="E28" s="30">
        <f>เย็น!E28+เช้า!E28</f>
        <v>0</v>
      </c>
      <c r="F28" s="30">
        <f>เย็น!F28+เช้า!F28</f>
        <v>10</v>
      </c>
      <c r="G28" s="30">
        <f>เย็น!G28+เช้า!G28</f>
        <v>11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21</v>
      </c>
      <c r="L28" s="11"/>
      <c r="M28" s="11"/>
      <c r="N28" s="11"/>
      <c r="O28" s="11"/>
      <c r="P28" s="48">
        <f t="shared" si="3"/>
        <v>-21</v>
      </c>
      <c r="S28" s="49">
        <v>40</v>
      </c>
      <c r="T28" s="50">
        <f t="shared" si="2"/>
        <v>19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เย็น!D29+เช้า!D29</f>
        <v>0</v>
      </c>
      <c r="E29" s="30">
        <f>เย็น!E29+เช้า!E29</f>
        <v>0</v>
      </c>
      <c r="F29" s="30">
        <f>เย็น!F29+เช้า!F29</f>
        <v>10</v>
      </c>
      <c r="G29" s="30">
        <f>เย็น!G29+เช้า!G29</f>
        <v>11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21</v>
      </c>
      <c r="L29" s="11"/>
      <c r="M29" s="11"/>
      <c r="N29" s="11"/>
      <c r="O29" s="11"/>
      <c r="P29" s="48">
        <f t="shared" si="3"/>
        <v>-21</v>
      </c>
      <c r="S29" s="49">
        <v>40</v>
      </c>
      <c r="T29" s="50">
        <f t="shared" si="2"/>
        <v>19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เย็น!D30+เช้า!D30</f>
        <v>0</v>
      </c>
      <c r="E30" s="30">
        <f>เย็น!E30+เช้า!E30</f>
        <v>0</v>
      </c>
      <c r="F30" s="30">
        <f>เย็น!F30+เช้า!F30</f>
        <v>10</v>
      </c>
      <c r="G30" s="30">
        <f>เย็น!G30+เช้า!G30</f>
        <v>11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21</v>
      </c>
      <c r="L30" s="11"/>
      <c r="M30" s="11"/>
      <c r="N30" s="11"/>
      <c r="O30" s="11"/>
      <c r="P30" s="48">
        <f t="shared" si="3"/>
        <v>-21</v>
      </c>
      <c r="S30" s="49">
        <v>40</v>
      </c>
      <c r="T30" s="50">
        <f t="shared" si="2"/>
        <v>19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เย็น!D31+เช้า!D31</f>
        <v>0</v>
      </c>
      <c r="E31" s="30">
        <f>เย็น!E31+เช้า!E31</f>
        <v>0</v>
      </c>
      <c r="F31" s="30">
        <f>เย็น!F31+เช้า!F31</f>
        <v>10</v>
      </c>
      <c r="G31" s="30">
        <f>เย็น!G31+เช้า!G31</f>
        <v>11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21</v>
      </c>
      <c r="L31" s="11"/>
      <c r="M31" s="11"/>
      <c r="N31" s="11"/>
      <c r="O31" s="11"/>
      <c r="P31" s="48">
        <f t="shared" si="3"/>
        <v>-21</v>
      </c>
      <c r="S31" s="49">
        <v>40</v>
      </c>
      <c r="T31" s="50">
        <f t="shared" si="2"/>
        <v>19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เย็น!D32+เช้า!D32</f>
        <v>0</v>
      </c>
      <c r="E32" s="30">
        <f>เย็น!E32+เช้า!E32</f>
        <v>0</v>
      </c>
      <c r="F32" s="30">
        <f>เย็น!F32+เช้า!F32</f>
        <v>10</v>
      </c>
      <c r="G32" s="30">
        <f>เย็น!G32+เช้า!G32</f>
        <v>11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21</v>
      </c>
      <c r="L32" s="11"/>
      <c r="M32" s="11"/>
      <c r="N32" s="11"/>
      <c r="O32" s="11"/>
      <c r="P32" s="48">
        <f t="shared" si="3"/>
        <v>-21</v>
      </c>
      <c r="S32" s="49">
        <v>40</v>
      </c>
      <c r="T32" s="50">
        <f t="shared" si="2"/>
        <v>19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เย็น!D33+เช้า!D33</f>
        <v>0</v>
      </c>
      <c r="E33" s="30">
        <f>เย็น!E33+เช้า!E33</f>
        <v>0</v>
      </c>
      <c r="F33" s="30">
        <f>เย็น!F33+เช้า!F33</f>
        <v>10</v>
      </c>
      <c r="G33" s="30">
        <f>เย็น!G33+เช้า!G33</f>
        <v>1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11</v>
      </c>
      <c r="L33" s="11"/>
      <c r="M33" s="11"/>
      <c r="N33" s="11"/>
      <c r="O33" s="11"/>
      <c r="P33" s="48">
        <f t="shared" si="3"/>
        <v>-11</v>
      </c>
      <c r="S33" s="49">
        <v>40</v>
      </c>
      <c r="T33" s="50">
        <f t="shared" si="2"/>
        <v>29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เย็น!D34+เช้า!D34</f>
        <v>0</v>
      </c>
      <c r="E34" s="30">
        <f>เย็น!E34+เช้า!E34</f>
        <v>0</v>
      </c>
      <c r="F34" s="30">
        <f>เย็น!F34+เช้า!F34</f>
        <v>10</v>
      </c>
      <c r="G34" s="30">
        <f>เย็น!G34+เช้า!G34</f>
        <v>1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11</v>
      </c>
      <c r="L34" s="11"/>
      <c r="M34" s="11"/>
      <c r="N34" s="11"/>
      <c r="O34" s="11"/>
      <c r="P34" s="48">
        <f t="shared" si="3"/>
        <v>-11</v>
      </c>
      <c r="S34" s="49">
        <v>40</v>
      </c>
      <c r="T34" s="50">
        <f t="shared" si="2"/>
        <v>29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เย็น!D35+เช้า!D35</f>
        <v>0</v>
      </c>
      <c r="E35" s="30">
        <f>เย็น!E35+เช้า!E35</f>
        <v>0</v>
      </c>
      <c r="F35" s="30">
        <f>เย็น!F35+เช้า!F35</f>
        <v>10</v>
      </c>
      <c r="G35" s="30">
        <f>เย็น!G35+เช้า!G35</f>
        <v>1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11</v>
      </c>
      <c r="L35" s="11"/>
      <c r="M35" s="11"/>
      <c r="N35" s="11"/>
      <c r="O35" s="11"/>
      <c r="P35" s="48">
        <f t="shared" si="3"/>
        <v>-11</v>
      </c>
      <c r="S35" s="49">
        <v>40</v>
      </c>
      <c r="T35" s="50">
        <f t="shared" si="2"/>
        <v>29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เย็น!D36+เช้า!D36</f>
        <v>0</v>
      </c>
      <c r="E36" s="30">
        <f>เย็น!E36+เช้า!E36</f>
        <v>0</v>
      </c>
      <c r="F36" s="30">
        <f>เย็น!F36+เช้า!F36</f>
        <v>10</v>
      </c>
      <c r="G36" s="30">
        <f>เย็น!G36+เช้า!G36</f>
        <v>1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11</v>
      </c>
      <c r="L36" s="11"/>
      <c r="M36" s="11"/>
      <c r="N36" s="11"/>
      <c r="O36" s="11"/>
      <c r="P36" s="48">
        <f t="shared" si="3"/>
        <v>-11</v>
      </c>
      <c r="S36" s="49">
        <v>40</v>
      </c>
      <c r="T36" s="50">
        <f t="shared" si="2"/>
        <v>29</v>
      </c>
      <c r="W36">
        <v>1111008</v>
      </c>
      <c r="X36" t="s">
        <v>42</v>
      </c>
      <c r="Y36">
        <v>250</v>
      </c>
    </row>
    <row r="37" spans="2:25" hidden="1" x14ac:dyDescent="0.25">
      <c r="B37" s="11">
        <v>1111010</v>
      </c>
      <c r="C37" s="15" t="s">
        <v>38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ref="K37" si="4">SUM(D37:J37)</f>
        <v>0</v>
      </c>
      <c r="L37" s="11"/>
      <c r="M37" s="11"/>
      <c r="N37" s="11"/>
      <c r="O37" s="11"/>
      <c r="P37" s="48">
        <f t="shared" si="3"/>
        <v>0</v>
      </c>
      <c r="T37" s="50">
        <f t="shared" si="2"/>
        <v>0</v>
      </c>
    </row>
    <row r="38" spans="2:25" hidden="1" x14ac:dyDescent="0.25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ref="K38" si="5">SUM(D38:J38)</f>
        <v>0</v>
      </c>
      <c r="L38" s="11"/>
      <c r="M38" s="11"/>
      <c r="N38" s="11"/>
      <c r="O38" s="11"/>
      <c r="P38" s="48">
        <f t="shared" si="3"/>
        <v>0</v>
      </c>
      <c r="T38" s="50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72" t="s">
        <v>39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T39" s="50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เย็น!D40+เช้า!D40</f>
        <v>0</v>
      </c>
      <c r="E40" s="30">
        <f>เย็น!E40+เช้า!E40</f>
        <v>1</v>
      </c>
      <c r="F40" s="30">
        <f>เย็น!F40+เช้า!F40</f>
        <v>11</v>
      </c>
      <c r="G40" s="30">
        <f>เย็น!G40+เช้า!G40</f>
        <v>2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0</v>
      </c>
      <c r="K40" s="36">
        <f>SUM(D40:J40)</f>
        <v>14</v>
      </c>
      <c r="L40" s="11"/>
      <c r="M40" s="11"/>
      <c r="N40" s="11"/>
      <c r="O40" s="11"/>
      <c r="P40" s="48">
        <f t="shared" si="3"/>
        <v>-14</v>
      </c>
      <c r="S40" s="49">
        <v>20</v>
      </c>
      <c r="T40" s="50">
        <f t="shared" si="2"/>
        <v>6</v>
      </c>
      <c r="W40">
        <v>1124021</v>
      </c>
      <c r="X40" t="s">
        <v>62</v>
      </c>
      <c r="Y40">
        <v>400</v>
      </c>
    </row>
    <row r="41" spans="2:25" ht="19.5" x14ac:dyDescent="0.25">
      <c r="B41" s="72" t="s">
        <v>41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4"/>
      <c r="T41" s="50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เย็น!D42+เช้า!D42</f>
        <v>0</v>
      </c>
      <c r="E42" s="30">
        <f>เย็น!E42+เช้า!E42</f>
        <v>12</v>
      </c>
      <c r="F42" s="30">
        <f>เย็น!F42+เช้า!F42</f>
        <v>0</v>
      </c>
      <c r="G42" s="30">
        <f>เย็น!G42+เช้า!G42</f>
        <v>99</v>
      </c>
      <c r="H42" s="30">
        <f>เย็น!H42+เช้า!H42</f>
        <v>12</v>
      </c>
      <c r="I42" s="30">
        <f>เย็น!I42+เช้า!I42</f>
        <v>0</v>
      </c>
      <c r="J42" s="30">
        <f>เย็น!J42+เช้า!J42</f>
        <v>0</v>
      </c>
      <c r="K42" s="36">
        <f>SUM(D42:J42)</f>
        <v>123</v>
      </c>
      <c r="L42" s="11"/>
      <c r="M42" s="11"/>
      <c r="N42" s="11"/>
      <c r="O42" s="11"/>
      <c r="P42" s="48">
        <f t="shared" ref="P42:P67" si="6">(L42+M42+N42+O42)-K42</f>
        <v>-123</v>
      </c>
      <c r="S42" s="49">
        <v>250</v>
      </c>
      <c r="T42" s="50">
        <f t="shared" si="2"/>
        <v>127</v>
      </c>
    </row>
    <row r="43" spans="2:25" ht="19.5" x14ac:dyDescent="0.25">
      <c r="B43" s="72" t="s">
        <v>43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4"/>
      <c r="T43" s="50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เย็น!D44+เช้า!D44</f>
        <v>4</v>
      </c>
      <c r="E44" s="30">
        <f>เย็น!E44+เช้า!E44</f>
        <v>20</v>
      </c>
      <c r="F44" s="30">
        <f>เย็น!F44+เช้า!F44</f>
        <v>16</v>
      </c>
      <c r="G44" s="30">
        <f>เย็น!G44+เช้า!G44</f>
        <v>27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>SUM(D44:J44)</f>
        <v>67</v>
      </c>
      <c r="L44" s="11"/>
      <c r="M44" s="11"/>
      <c r="N44" s="11"/>
      <c r="O44" s="11"/>
      <c r="P44" s="48">
        <f t="shared" si="6"/>
        <v>-67</v>
      </c>
      <c r="R44" s="49">
        <v>100</v>
      </c>
      <c r="T44" s="50">
        <f t="shared" si="2"/>
        <v>33</v>
      </c>
    </row>
    <row r="45" spans="2:25" x14ac:dyDescent="0.25">
      <c r="B45" s="11">
        <v>1112011</v>
      </c>
      <c r="C45" s="19" t="s">
        <v>45</v>
      </c>
      <c r="D45" s="30">
        <f>เย็น!D45+เช้า!D45</f>
        <v>4</v>
      </c>
      <c r="E45" s="30">
        <f>เย็น!E45+เช้า!E45</f>
        <v>22</v>
      </c>
      <c r="F45" s="30">
        <f>เย็น!F45+เช้า!F45</f>
        <v>49</v>
      </c>
      <c r="G45" s="30">
        <f>เย็น!G45+เช้า!G45</f>
        <v>27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1</v>
      </c>
      <c r="K45" s="36">
        <f t="shared" ref="K45:K54" si="7">SUM(D45:J45)</f>
        <v>103</v>
      </c>
      <c r="L45" s="11"/>
      <c r="M45" s="11"/>
      <c r="N45" s="11"/>
      <c r="O45" s="11"/>
      <c r="P45" s="48">
        <f t="shared" si="6"/>
        <v>-103</v>
      </c>
      <c r="R45" s="49">
        <v>100</v>
      </c>
      <c r="T45" s="50">
        <f t="shared" si="2"/>
        <v>-3</v>
      </c>
    </row>
    <row r="46" spans="2:25" x14ac:dyDescent="0.25">
      <c r="B46" s="11">
        <v>1112003</v>
      </c>
      <c r="C46" s="19" t="s">
        <v>46</v>
      </c>
      <c r="D46" s="30">
        <f>เย็น!D46+เช้า!D46</f>
        <v>0</v>
      </c>
      <c r="E46" s="30">
        <f>เย็น!E46+เช้า!E46</f>
        <v>0</v>
      </c>
      <c r="F46" s="30">
        <f>เย็น!F46+เช้า!F46</f>
        <v>0</v>
      </c>
      <c r="G46" s="30">
        <f>เย็น!G46+เช้า!G46</f>
        <v>9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7"/>
        <v>9</v>
      </c>
      <c r="L46" s="11"/>
      <c r="M46" s="11"/>
      <c r="N46" s="11"/>
      <c r="O46" s="11"/>
      <c r="P46" s="48">
        <f t="shared" si="6"/>
        <v>-9</v>
      </c>
      <c r="R46" s="49">
        <v>20</v>
      </c>
      <c r="T46" s="50">
        <f t="shared" si="2"/>
        <v>11</v>
      </c>
    </row>
    <row r="47" spans="2:25" x14ac:dyDescent="0.25">
      <c r="B47" s="11">
        <v>1112005</v>
      </c>
      <c r="C47" s="19" t="s">
        <v>47</v>
      </c>
      <c r="D47" s="30">
        <f>เย็น!D47+เช้า!D47</f>
        <v>0</v>
      </c>
      <c r="E47" s="30">
        <f>เย็น!E47+เช้า!E47</f>
        <v>0</v>
      </c>
      <c r="F47" s="30">
        <f>เย็น!F47+เช้า!F47</f>
        <v>0</v>
      </c>
      <c r="G47" s="30">
        <f>เย็น!G47+เช้า!G47</f>
        <v>0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7"/>
        <v>0</v>
      </c>
      <c r="L47" s="11"/>
      <c r="M47" s="11"/>
      <c r="N47" s="11"/>
      <c r="O47" s="11"/>
      <c r="P47" s="48">
        <f t="shared" si="6"/>
        <v>0</v>
      </c>
      <c r="R47" s="49">
        <v>20</v>
      </c>
      <c r="T47" s="50">
        <f t="shared" si="2"/>
        <v>20</v>
      </c>
    </row>
    <row r="48" spans="2:25" x14ac:dyDescent="0.25">
      <c r="B48" s="11">
        <v>1112007</v>
      </c>
      <c r="C48" s="19" t="s">
        <v>48</v>
      </c>
      <c r="D48" s="30">
        <f>เย็น!D48+เช้า!D48</f>
        <v>0</v>
      </c>
      <c r="E48" s="30">
        <f>เย็น!E48+เช้า!E48</f>
        <v>0</v>
      </c>
      <c r="F48" s="30">
        <f>เย็น!F48+เช้า!F48</f>
        <v>0</v>
      </c>
      <c r="G48" s="30">
        <f>เย็น!G48+เช้า!G48</f>
        <v>0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>
        <f t="shared" si="7"/>
        <v>0</v>
      </c>
      <c r="L48" s="11"/>
      <c r="M48" s="11"/>
      <c r="N48" s="11"/>
      <c r="O48" s="11"/>
      <c r="P48" s="48">
        <f t="shared" si="6"/>
        <v>0</v>
      </c>
      <c r="T48" s="50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เย็น!D49+เช้า!D49</f>
        <v>0</v>
      </c>
      <c r="E49" s="30">
        <f>เย็น!E49+เช้า!E49</f>
        <v>0</v>
      </c>
      <c r="F49" s="30">
        <f>เย็น!F49+เช้า!F49</f>
        <v>0</v>
      </c>
      <c r="G49" s="30">
        <f>เย็น!G49+เช้า!G49</f>
        <v>0</v>
      </c>
      <c r="H49" s="30">
        <f>เย็น!H49+เช้า!H49</f>
        <v>0</v>
      </c>
      <c r="I49" s="30">
        <f>เย็น!I49+เช้า!I49</f>
        <v>0</v>
      </c>
      <c r="J49" s="30">
        <f>เย็น!J49+เช้า!J49</f>
        <v>0</v>
      </c>
      <c r="K49" s="36">
        <f t="shared" si="7"/>
        <v>0</v>
      </c>
      <c r="L49" s="11"/>
      <c r="M49" s="11"/>
      <c r="N49" s="11"/>
      <c r="O49" s="11"/>
      <c r="P49" s="48">
        <f t="shared" si="6"/>
        <v>0</v>
      </c>
      <c r="T49" s="50">
        <f t="shared" si="2"/>
        <v>0</v>
      </c>
    </row>
    <row r="50" spans="2:20" x14ac:dyDescent="0.25">
      <c r="B50" s="11">
        <v>1112017</v>
      </c>
      <c r="C50" s="19" t="s">
        <v>50</v>
      </c>
      <c r="D50" s="30">
        <f>เย็น!D50+เช้า!D50</f>
        <v>0</v>
      </c>
      <c r="E50" s="30">
        <f>เย็น!E50+เช้า!E50</f>
        <v>0</v>
      </c>
      <c r="F50" s="30">
        <f>เย็น!F50+เช้า!F50</f>
        <v>0</v>
      </c>
      <c r="G50" s="30">
        <f>เย็น!G50+เช้า!G50</f>
        <v>9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 t="shared" si="7"/>
        <v>9</v>
      </c>
      <c r="L50" s="11"/>
      <c r="M50" s="11"/>
      <c r="N50" s="11"/>
      <c r="O50" s="11"/>
      <c r="P50" s="48">
        <f t="shared" si="6"/>
        <v>-9</v>
      </c>
      <c r="R50" s="49">
        <v>20</v>
      </c>
      <c r="T50" s="50">
        <f t="shared" si="2"/>
        <v>11</v>
      </c>
    </row>
    <row r="51" spans="2:20" x14ac:dyDescent="0.25">
      <c r="B51" s="11">
        <v>1112015</v>
      </c>
      <c r="C51" s="19" t="s">
        <v>51</v>
      </c>
      <c r="D51" s="30">
        <f>เย็น!D51+เช้า!D51</f>
        <v>0</v>
      </c>
      <c r="E51" s="30">
        <f>เย็น!E51+เช้า!E51</f>
        <v>0</v>
      </c>
      <c r="F51" s="30">
        <f>เย็น!F51+เช้า!F51</f>
        <v>0</v>
      </c>
      <c r="G51" s="30">
        <f>เย็น!G51+เช้า!G51</f>
        <v>9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si="7"/>
        <v>9</v>
      </c>
      <c r="L51" s="11"/>
      <c r="M51" s="11"/>
      <c r="N51" s="11"/>
      <c r="O51" s="11"/>
      <c r="P51" s="48">
        <f t="shared" si="6"/>
        <v>-9</v>
      </c>
      <c r="R51" s="49">
        <v>20</v>
      </c>
      <c r="T51" s="50">
        <f t="shared" si="2"/>
        <v>11</v>
      </c>
    </row>
    <row r="52" spans="2:20" x14ac:dyDescent="0.25">
      <c r="B52" s="11">
        <v>1112013</v>
      </c>
      <c r="C52" s="19" t="s">
        <v>52</v>
      </c>
      <c r="D52" s="30">
        <f>เย็น!D52+เช้า!D52</f>
        <v>4</v>
      </c>
      <c r="E52" s="30">
        <f>เย็น!E52+เช้า!E52</f>
        <v>20</v>
      </c>
      <c r="F52" s="30">
        <f>เย็น!F52+เช้า!F52</f>
        <v>19</v>
      </c>
      <c r="G52" s="30">
        <f>เย็น!G52+เช้า!G52</f>
        <v>27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7"/>
        <v>70</v>
      </c>
      <c r="L52" s="11"/>
      <c r="M52" s="11"/>
      <c r="N52" s="11"/>
      <c r="O52" s="11"/>
      <c r="P52" s="48">
        <f t="shared" si="6"/>
        <v>-70</v>
      </c>
      <c r="R52" s="49">
        <v>100</v>
      </c>
      <c r="T52" s="50">
        <f t="shared" si="2"/>
        <v>30</v>
      </c>
    </row>
    <row r="53" spans="2:20" x14ac:dyDescent="0.25">
      <c r="B53" s="11">
        <v>1124043</v>
      </c>
      <c r="C53" s="19" t="s">
        <v>53</v>
      </c>
      <c r="D53" s="30">
        <f>เย็น!D53+เช้า!D53+บ่าย!D53</f>
        <v>0</v>
      </c>
      <c r="E53" s="30">
        <f>เย็น!E53+เช้า!E53+บ่าย!E53</f>
        <v>0</v>
      </c>
      <c r="F53" s="30">
        <f>เย็น!F53+เช้า!F53+บ่าย!F53</f>
        <v>0</v>
      </c>
      <c r="G53" s="30">
        <f>เย็น!G53+เช้า!G53+บ่าย!G53</f>
        <v>0</v>
      </c>
      <c r="H53" s="30">
        <f>เย็น!H53+เช้า!H53+บ่าย!H53</f>
        <v>0</v>
      </c>
      <c r="I53" s="30">
        <f>เย็น!I53+เช้า!I53+บ่าย!I53</f>
        <v>0</v>
      </c>
      <c r="J53" s="30">
        <f>เย็น!J53+เช้า!J53+บ่าย!J53</f>
        <v>0</v>
      </c>
      <c r="K53" s="36">
        <f t="shared" si="7"/>
        <v>0</v>
      </c>
      <c r="L53" s="11"/>
      <c r="M53" s="11"/>
      <c r="N53" s="11"/>
      <c r="O53" s="11"/>
      <c r="P53" s="48">
        <f t="shared" si="6"/>
        <v>0</v>
      </c>
      <c r="T53" s="50">
        <f t="shared" si="2"/>
        <v>0</v>
      </c>
    </row>
    <row r="54" spans="2:20" hidden="1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8">
        <f>SUM(P44:P53)</f>
        <v>-267</v>
      </c>
      <c r="T54" s="50">
        <f t="shared" si="2"/>
        <v>-267</v>
      </c>
    </row>
    <row r="55" spans="2:20" ht="19.5" x14ac:dyDescent="0.25">
      <c r="B55" s="72" t="s">
        <v>54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4"/>
      <c r="T55" s="50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เย็น!D56+เช้า!D56</f>
        <v>0</v>
      </c>
      <c r="E56" s="30">
        <f>เย็น!E56+เช้า!E56</f>
        <v>8</v>
      </c>
      <c r="F56" s="30">
        <f>เย็น!F56+เช้า!F56</f>
        <v>2</v>
      </c>
      <c r="G56" s="30">
        <f>เย็น!G56+เช้า!G56</f>
        <v>0</v>
      </c>
      <c r="H56" s="30">
        <f>เย็น!H56+เช้า!H56</f>
        <v>0</v>
      </c>
      <c r="I56" s="30">
        <f>เย็น!I56+เช้า!I56</f>
        <v>0</v>
      </c>
      <c r="J56" s="30">
        <f>เย็น!J56+เช้า!J56</f>
        <v>0</v>
      </c>
      <c r="K56" s="36">
        <f>SUM(D56:J56)</f>
        <v>10</v>
      </c>
      <c r="L56" s="11"/>
      <c r="M56" s="11"/>
      <c r="N56" s="11"/>
      <c r="O56" s="11"/>
      <c r="P56" s="48">
        <f t="shared" si="6"/>
        <v>-10</v>
      </c>
      <c r="T56" s="50">
        <f t="shared" si="2"/>
        <v>-10</v>
      </c>
    </row>
    <row r="57" spans="2:20" hidden="1" x14ac:dyDescent="0.25">
      <c r="B57" s="11">
        <v>1100001</v>
      </c>
      <c r="C57" s="21" t="s">
        <v>74</v>
      </c>
      <c r="D57" s="30">
        <f>เย็น!D57+เช้า!D57</f>
        <v>0</v>
      </c>
      <c r="E57" s="30">
        <f>เย็น!E57+เช้า!E57</f>
        <v>0</v>
      </c>
      <c r="F57" s="30">
        <f>เย็น!F57+เช้า!F57</f>
        <v>0</v>
      </c>
      <c r="G57" s="30">
        <f>เย็น!G57+เช้า!G57</f>
        <v>0</v>
      </c>
      <c r="H57" s="30">
        <f>เย็น!H57+เช้า!H57</f>
        <v>0</v>
      </c>
      <c r="I57" s="30">
        <f>เย็น!I57+เช้า!I57</f>
        <v>0</v>
      </c>
      <c r="J57" s="30">
        <f>เย็น!J57+เช้า!J57</f>
        <v>0</v>
      </c>
      <c r="K57" s="36">
        <f t="shared" ref="K57:K75" si="8">SUM(D57:J57)</f>
        <v>0</v>
      </c>
      <c r="L57" s="11"/>
      <c r="M57" s="11"/>
      <c r="N57" s="11"/>
      <c r="O57" s="11"/>
      <c r="P57" s="48">
        <f t="shared" si="6"/>
        <v>0</v>
      </c>
      <c r="T57" s="50">
        <f t="shared" si="2"/>
        <v>0</v>
      </c>
    </row>
    <row r="58" spans="2:20" x14ac:dyDescent="0.25">
      <c r="B58" s="11">
        <v>1100002</v>
      </c>
      <c r="C58" s="21" t="s">
        <v>75</v>
      </c>
      <c r="D58" s="30">
        <f>เย็น!D58+เช้า!D58</f>
        <v>0</v>
      </c>
      <c r="E58" s="30">
        <f>เย็น!E58+เช้า!E58</f>
        <v>11</v>
      </c>
      <c r="F58" s="30">
        <f>เย็น!F58+เช้า!F58</f>
        <v>1</v>
      </c>
      <c r="G58" s="30">
        <f>เย็น!G58+เช้า!G58</f>
        <v>2</v>
      </c>
      <c r="H58" s="30">
        <f>เย็น!H58+เช้า!H58</f>
        <v>0</v>
      </c>
      <c r="I58" s="30">
        <f>เย็น!I58+เช้า!I58</f>
        <v>0</v>
      </c>
      <c r="J58" s="30">
        <f>เย็น!J58+เช้า!J58</f>
        <v>0</v>
      </c>
      <c r="K58" s="36">
        <f t="shared" si="8"/>
        <v>14</v>
      </c>
      <c r="L58" s="11"/>
      <c r="M58" s="11"/>
      <c r="N58" s="11"/>
      <c r="O58" s="11"/>
      <c r="P58" s="48">
        <f t="shared" si="6"/>
        <v>-14</v>
      </c>
      <c r="T58" s="50">
        <f t="shared" si="2"/>
        <v>-14</v>
      </c>
    </row>
    <row r="59" spans="2:20" x14ac:dyDescent="0.25">
      <c r="B59" s="11">
        <v>1200001</v>
      </c>
      <c r="C59" s="21" t="s">
        <v>57</v>
      </c>
      <c r="D59" s="30">
        <f>เย็น!D59+เช้า!D59</f>
        <v>0</v>
      </c>
      <c r="E59" s="30">
        <f>เย็น!E59+เช้า!E59</f>
        <v>1</v>
      </c>
      <c r="F59" s="30">
        <f>เย็น!F59+เช้า!F59</f>
        <v>0</v>
      </c>
      <c r="G59" s="30">
        <f>เย็น!G59+เช้า!G59</f>
        <v>0</v>
      </c>
      <c r="H59" s="30">
        <f>เย็น!H59+เช้า!H59</f>
        <v>0</v>
      </c>
      <c r="I59" s="30">
        <f>เย็น!I59+เช้า!I59</f>
        <v>0</v>
      </c>
      <c r="J59" s="30">
        <f>เย็น!J59+เช้า!J59</f>
        <v>0</v>
      </c>
      <c r="K59" s="36">
        <f t="shared" si="8"/>
        <v>1</v>
      </c>
      <c r="L59" s="11"/>
      <c r="M59" s="11"/>
      <c r="N59" s="11"/>
      <c r="O59" s="11"/>
      <c r="P59" s="48">
        <f t="shared" si="6"/>
        <v>-1</v>
      </c>
      <c r="T59" s="50">
        <f t="shared" si="2"/>
        <v>-1</v>
      </c>
    </row>
    <row r="60" spans="2:20" x14ac:dyDescent="0.25">
      <c r="B60" s="11">
        <v>1005761</v>
      </c>
      <c r="C60" s="21" t="s">
        <v>58</v>
      </c>
      <c r="D60" s="30">
        <f>เย็น!D60+เช้า!D60</f>
        <v>0</v>
      </c>
      <c r="E60" s="30">
        <f>เย็น!E60+เช้า!E60</f>
        <v>1</v>
      </c>
      <c r="F60" s="30">
        <f>เย็น!F60+เช้า!F60</f>
        <v>2</v>
      </c>
      <c r="G60" s="30">
        <f>เย็น!G60+เช้า!G60</f>
        <v>0</v>
      </c>
      <c r="H60" s="30">
        <f>เย็น!H60+เช้า!H60</f>
        <v>0</v>
      </c>
      <c r="I60" s="30">
        <f>เย็น!I60+เช้า!I60</f>
        <v>0</v>
      </c>
      <c r="J60" s="30">
        <f>เย็น!J60+เช้า!J60</f>
        <v>0</v>
      </c>
      <c r="K60" s="36">
        <f t="shared" si="8"/>
        <v>3</v>
      </c>
      <c r="L60" s="11"/>
      <c r="M60" s="11"/>
      <c r="N60" s="11"/>
      <c r="O60" s="11"/>
      <c r="P60" s="48">
        <f t="shared" si="6"/>
        <v>-3</v>
      </c>
      <c r="T60" s="50">
        <f t="shared" si="2"/>
        <v>-3</v>
      </c>
    </row>
    <row r="61" spans="2:20" x14ac:dyDescent="0.25">
      <c r="B61" s="11">
        <v>1114501</v>
      </c>
      <c r="C61" s="21" t="s">
        <v>59</v>
      </c>
      <c r="D61" s="30">
        <f>เย็น!D61+เช้า!D61</f>
        <v>0</v>
      </c>
      <c r="E61" s="30">
        <f>เย็น!E61+เช้า!E61</f>
        <v>24</v>
      </c>
      <c r="F61" s="30">
        <f>เย็น!F61+เช้า!F61</f>
        <v>16</v>
      </c>
      <c r="G61" s="30">
        <f>เย็น!G61+เช้า!G61</f>
        <v>373</v>
      </c>
      <c r="H61" s="30">
        <f>เย็น!H61+เช้า!H61</f>
        <v>37</v>
      </c>
      <c r="I61" s="30">
        <f>เย็น!I61+เช้า!I61</f>
        <v>0</v>
      </c>
      <c r="J61" s="30">
        <f>เย็น!J61+เช้า!J61</f>
        <v>0</v>
      </c>
      <c r="K61" s="36">
        <f t="shared" si="8"/>
        <v>450</v>
      </c>
      <c r="L61" s="11"/>
      <c r="M61" s="11"/>
      <c r="N61" s="11"/>
      <c r="O61" s="11"/>
      <c r="P61" s="48">
        <f t="shared" si="6"/>
        <v>-450</v>
      </c>
      <c r="T61" s="50">
        <f t="shared" si="2"/>
        <v>-450</v>
      </c>
    </row>
    <row r="62" spans="2:20" x14ac:dyDescent="0.25">
      <c r="B62" s="11">
        <v>1114502</v>
      </c>
      <c r="C62" s="21" t="s">
        <v>60</v>
      </c>
      <c r="D62" s="30">
        <f>เย็น!D62+เช้า!D62</f>
        <v>0</v>
      </c>
      <c r="E62" s="30">
        <f>เย็น!E62+เช้า!E62</f>
        <v>18</v>
      </c>
      <c r="F62" s="30">
        <f>เย็น!F62+เช้า!F62</f>
        <v>14</v>
      </c>
      <c r="G62" s="30">
        <f>เย็น!G62+เช้า!G62</f>
        <v>373</v>
      </c>
      <c r="H62" s="30">
        <f>เย็น!H62+เช้า!H62</f>
        <v>37</v>
      </c>
      <c r="I62" s="30">
        <f>เย็น!I62+เช้า!I62</f>
        <v>0</v>
      </c>
      <c r="J62" s="30">
        <f>เย็น!J62+เช้า!J62</f>
        <v>0</v>
      </c>
      <c r="K62" s="36">
        <f t="shared" si="8"/>
        <v>442</v>
      </c>
      <c r="L62" s="11"/>
      <c r="M62" s="11"/>
      <c r="N62" s="11"/>
      <c r="O62" s="11"/>
      <c r="P62" s="48">
        <f t="shared" si="6"/>
        <v>-442</v>
      </c>
      <c r="S62" s="49">
        <v>400</v>
      </c>
      <c r="T62" s="50">
        <f t="shared" si="2"/>
        <v>-42</v>
      </c>
    </row>
    <row r="63" spans="2:20" x14ac:dyDescent="0.25">
      <c r="B63" s="11">
        <v>1114503</v>
      </c>
      <c r="C63" s="21" t="s">
        <v>61</v>
      </c>
      <c r="D63" s="30">
        <f>เย็น!D63+เช้า!D63</f>
        <v>0</v>
      </c>
      <c r="E63" s="30">
        <f>เย็น!E63+เช้า!E63</f>
        <v>19</v>
      </c>
      <c r="F63" s="30">
        <f>เย็น!F63+เช้า!F63</f>
        <v>13</v>
      </c>
      <c r="G63" s="30">
        <f>เย็น!G63+เช้า!G63</f>
        <v>374</v>
      </c>
      <c r="H63" s="30">
        <f>เย็น!H63+เช้า!H63</f>
        <v>37</v>
      </c>
      <c r="I63" s="30">
        <f>เย็น!I63+เช้า!I63</f>
        <v>0</v>
      </c>
      <c r="J63" s="30">
        <f>เย็น!J63+เช้า!J63</f>
        <v>0</v>
      </c>
      <c r="K63" s="36">
        <f t="shared" si="8"/>
        <v>443</v>
      </c>
      <c r="L63" s="11"/>
      <c r="M63" s="11"/>
      <c r="N63" s="11"/>
      <c r="O63" s="11"/>
      <c r="P63" s="48">
        <f t="shared" si="6"/>
        <v>-443</v>
      </c>
      <c r="T63" s="50">
        <f t="shared" si="2"/>
        <v>-443</v>
      </c>
    </row>
    <row r="64" spans="2:20" x14ac:dyDescent="0.25">
      <c r="B64" s="11">
        <v>1124021</v>
      </c>
      <c r="C64" s="21" t="s">
        <v>62</v>
      </c>
      <c r="D64" s="30">
        <f>เย็น!D64+เช้า!D64</f>
        <v>0</v>
      </c>
      <c r="E64" s="30">
        <f>เย็น!E64+เช้า!E64</f>
        <v>37</v>
      </c>
      <c r="F64" s="30">
        <f>เย็น!F64+เช้า!F64</f>
        <v>66</v>
      </c>
      <c r="G64" s="30">
        <f>เย็น!G64+เช้า!G64</f>
        <v>18</v>
      </c>
      <c r="H64" s="30">
        <f>เย็น!H64+เช้า!H64</f>
        <v>0</v>
      </c>
      <c r="I64" s="30">
        <f>เย็น!I64+เช้า!I64</f>
        <v>0</v>
      </c>
      <c r="J64" s="30">
        <f>เย็น!J64+เช้า!J64</f>
        <v>0</v>
      </c>
      <c r="K64" s="36">
        <f t="shared" si="8"/>
        <v>121</v>
      </c>
      <c r="L64" s="11"/>
      <c r="M64" s="11"/>
      <c r="N64" s="11"/>
      <c r="O64" s="11"/>
      <c r="P64" s="48">
        <f t="shared" si="6"/>
        <v>-121</v>
      </c>
      <c r="R64" s="49">
        <v>400</v>
      </c>
      <c r="T64" s="50">
        <f t="shared" si="2"/>
        <v>279</v>
      </c>
    </row>
    <row r="65" spans="2:20" hidden="1" x14ac:dyDescent="0.25">
      <c r="B65" s="11">
        <v>1113084</v>
      </c>
      <c r="C65" s="21" t="s">
        <v>63</v>
      </c>
      <c r="D65" s="30">
        <f>เย็น!D65+เช้า!D65</f>
        <v>0</v>
      </c>
      <c r="E65" s="30">
        <f>เย็น!E65+เช้า!E65</f>
        <v>0</v>
      </c>
      <c r="F65" s="30">
        <f>เย็น!F65+เช้า!F65</f>
        <v>0</v>
      </c>
      <c r="G65" s="30">
        <f>เย็น!G65+เช้า!G65</f>
        <v>0</v>
      </c>
      <c r="H65" s="30">
        <f>เย็น!H65+เช้า!H65</f>
        <v>0</v>
      </c>
      <c r="I65" s="30">
        <f>เย็น!I65+เช้า!I65</f>
        <v>0</v>
      </c>
      <c r="J65" s="30">
        <f>เย็น!J65+เช้า!J65</f>
        <v>0</v>
      </c>
      <c r="K65" s="36">
        <f t="shared" si="8"/>
        <v>0</v>
      </c>
      <c r="L65" s="11"/>
      <c r="M65" s="11"/>
      <c r="N65" s="11"/>
      <c r="O65" s="11"/>
      <c r="P65" s="48">
        <f t="shared" si="6"/>
        <v>0</v>
      </c>
      <c r="T65" s="50">
        <f t="shared" si="2"/>
        <v>0</v>
      </c>
    </row>
    <row r="66" spans="2:20" hidden="1" x14ac:dyDescent="0.25">
      <c r="B66" s="11">
        <v>900003</v>
      </c>
      <c r="C66" s="21" t="s">
        <v>83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8"/>
        <v>0</v>
      </c>
      <c r="L66" s="11"/>
      <c r="M66" s="11"/>
      <c r="N66" s="11"/>
      <c r="O66" s="11"/>
      <c r="P66" s="48">
        <f t="shared" si="6"/>
        <v>0</v>
      </c>
      <c r="T66" s="50">
        <f t="shared" si="2"/>
        <v>0</v>
      </c>
    </row>
    <row r="67" spans="2:20" hidden="1" x14ac:dyDescent="0.25">
      <c r="B67" s="11">
        <v>900004</v>
      </c>
      <c r="C67" s="21" t="s">
        <v>64</v>
      </c>
      <c r="D67" s="30">
        <f>เย็น!D67+เช้า!D67</f>
        <v>0</v>
      </c>
      <c r="E67" s="30">
        <f>เย็น!E67+เช้า!E67</f>
        <v>0</v>
      </c>
      <c r="F67" s="30">
        <f>เย็น!F67+เช้า!F67</f>
        <v>0</v>
      </c>
      <c r="G67" s="30">
        <f>เย็น!G67+เช้า!G67</f>
        <v>0</v>
      </c>
      <c r="H67" s="30">
        <f>เย็น!H67+เช้า!H67</f>
        <v>0</v>
      </c>
      <c r="I67" s="30">
        <f>เย็น!I67+เช้า!I67</f>
        <v>0</v>
      </c>
      <c r="J67" s="30">
        <f>เย็น!J67+เช้า!J67</f>
        <v>0</v>
      </c>
      <c r="K67" s="36">
        <f t="shared" si="8"/>
        <v>0</v>
      </c>
      <c r="L67" s="11"/>
      <c r="M67" s="11"/>
      <c r="N67" s="11"/>
      <c r="O67" s="11"/>
      <c r="P67" s="48">
        <f t="shared" si="6"/>
        <v>0</v>
      </c>
      <c r="T67" s="50">
        <f t="shared" si="2"/>
        <v>0</v>
      </c>
    </row>
    <row r="68" spans="2:20" x14ac:dyDescent="0.25">
      <c r="B68" s="11">
        <v>1200002</v>
      </c>
      <c r="C68" s="21" t="s">
        <v>65</v>
      </c>
      <c r="D68" s="30">
        <f>เย็น!D68+เช้า!D68</f>
        <v>0</v>
      </c>
      <c r="E68" s="30">
        <f>เย็น!E68+เช้า!E68</f>
        <v>1</v>
      </c>
      <c r="F68" s="30">
        <f>เย็น!F68+เช้า!F68</f>
        <v>2</v>
      </c>
      <c r="G68" s="30">
        <f>เย็น!G68+เช้า!G68</f>
        <v>0</v>
      </c>
      <c r="H68" s="30">
        <f>เย็น!H68+เช้า!H68</f>
        <v>0</v>
      </c>
      <c r="I68" s="30">
        <f>เย็น!I68+เช้า!I68</f>
        <v>0</v>
      </c>
      <c r="J68" s="30">
        <f>เย็น!J68+เช้า!J68</f>
        <v>0</v>
      </c>
      <c r="K68" s="36">
        <f t="shared" si="8"/>
        <v>3</v>
      </c>
      <c r="L68" s="11"/>
      <c r="M68" s="11"/>
      <c r="N68" s="11"/>
      <c r="O68" s="11"/>
      <c r="P68" s="48">
        <f t="shared" ref="P68:P75" si="9">(L68+M68+N68+O68)-K68</f>
        <v>-3</v>
      </c>
      <c r="T68" s="50">
        <f t="shared" si="2"/>
        <v>-3</v>
      </c>
    </row>
    <row r="69" spans="2:20" hidden="1" x14ac:dyDescent="0.25">
      <c r="B69" s="11">
        <v>1200003</v>
      </c>
      <c r="C69" s="21" t="s">
        <v>66</v>
      </c>
      <c r="D69" s="30">
        <f>เย็น!D69+เช้า!D69</f>
        <v>0</v>
      </c>
      <c r="E69" s="30">
        <f>เย็น!E69+เช้า!E69</f>
        <v>0</v>
      </c>
      <c r="F69" s="30">
        <f>เย็น!F69+เช้า!F69</f>
        <v>0</v>
      </c>
      <c r="G69" s="30">
        <f>เย็น!G69+เช้า!G69</f>
        <v>0</v>
      </c>
      <c r="H69" s="30">
        <f>เย็น!H69+เช้า!H69</f>
        <v>0</v>
      </c>
      <c r="I69" s="30">
        <f>เย็น!I69+เช้า!I69</f>
        <v>0</v>
      </c>
      <c r="J69" s="30">
        <f>เย็น!J69+เช้า!J69</f>
        <v>0</v>
      </c>
      <c r="K69" s="36">
        <f t="shared" si="8"/>
        <v>0</v>
      </c>
      <c r="L69" s="11"/>
      <c r="M69" s="11"/>
      <c r="N69" s="11"/>
      <c r="O69" s="11"/>
      <c r="P69" s="48">
        <f t="shared" si="9"/>
        <v>0</v>
      </c>
      <c r="T69" s="50">
        <f t="shared" si="2"/>
        <v>0</v>
      </c>
    </row>
    <row r="70" spans="2:20" hidden="1" x14ac:dyDescent="0.25">
      <c r="B70" s="11">
        <v>1200004</v>
      </c>
      <c r="C70" s="21" t="s">
        <v>67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si="8"/>
        <v>0</v>
      </c>
      <c r="L70" s="11"/>
      <c r="M70" s="11"/>
      <c r="N70" s="11"/>
      <c r="O70" s="11"/>
      <c r="P70" s="48">
        <f t="shared" si="9"/>
        <v>0</v>
      </c>
      <c r="T70" s="50">
        <f t="shared" si="2"/>
        <v>0</v>
      </c>
    </row>
    <row r="71" spans="2:20" hidden="1" x14ac:dyDescent="0.25">
      <c r="B71" s="11">
        <v>1200093</v>
      </c>
      <c r="C71" s="21" t="s">
        <v>55</v>
      </c>
      <c r="D71" s="30">
        <f>เย็น!D71+เช้า!D71</f>
        <v>0</v>
      </c>
      <c r="E71" s="30">
        <f>เย็น!E71+เช้า!E71</f>
        <v>0</v>
      </c>
      <c r="F71" s="30">
        <f>เย็น!F71+เช้า!F71</f>
        <v>0</v>
      </c>
      <c r="G71" s="30">
        <f>เย็น!G71+เช้า!G71</f>
        <v>0</v>
      </c>
      <c r="H71" s="30">
        <f>เย็น!H71+เช้า!H71</f>
        <v>0</v>
      </c>
      <c r="I71" s="30">
        <f>เย็น!I71+เช้า!I71</f>
        <v>0</v>
      </c>
      <c r="J71" s="30">
        <f>เย็น!J71+เช้า!J71</f>
        <v>0</v>
      </c>
      <c r="K71" s="36">
        <f t="shared" si="8"/>
        <v>0</v>
      </c>
      <c r="L71" s="11"/>
      <c r="M71" s="11"/>
      <c r="N71" s="11"/>
      <c r="O71" s="11"/>
      <c r="P71" s="48">
        <f t="shared" si="9"/>
        <v>0</v>
      </c>
      <c r="T71" s="50">
        <f t="shared" si="2"/>
        <v>0</v>
      </c>
    </row>
    <row r="72" spans="2:20" hidden="1" x14ac:dyDescent="0.25">
      <c r="B72" s="11">
        <v>1200092</v>
      </c>
      <c r="C72" s="19" t="s">
        <v>56</v>
      </c>
      <c r="D72" s="30">
        <f>เย็น!D72+เช้า!D72</f>
        <v>0</v>
      </c>
      <c r="E72" s="30">
        <f>เย็น!E72+เช้า!E72</f>
        <v>0</v>
      </c>
      <c r="F72" s="30">
        <f>เย็น!F72+เช้า!F72</f>
        <v>0</v>
      </c>
      <c r="G72" s="30">
        <f>เย็น!G72+เช้า!G72</f>
        <v>0</v>
      </c>
      <c r="H72" s="30">
        <f>เย็น!H72+เช้า!H72</f>
        <v>0</v>
      </c>
      <c r="I72" s="30">
        <f>เย็น!I72+เช้า!I72</f>
        <v>0</v>
      </c>
      <c r="J72" s="30">
        <f>เย็น!J72+เช้า!J72</f>
        <v>0</v>
      </c>
      <c r="K72" s="36">
        <f t="shared" si="8"/>
        <v>0</v>
      </c>
      <c r="L72" s="11"/>
      <c r="M72" s="11"/>
      <c r="N72" s="11"/>
      <c r="O72" s="11"/>
      <c r="P72" s="48">
        <f t="shared" si="9"/>
        <v>0</v>
      </c>
      <c r="T72" s="50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เย็น!D73+เช้า!D73</f>
        <v>0</v>
      </c>
      <c r="E73" s="30">
        <f>เย็น!E73+เช้า!E73</f>
        <v>0</v>
      </c>
      <c r="F73" s="30">
        <f>เย็น!F73+เช้า!F73</f>
        <v>0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4</v>
      </c>
      <c r="K73" s="36">
        <f t="shared" si="8"/>
        <v>4</v>
      </c>
      <c r="L73" s="11"/>
      <c r="M73" s="11"/>
      <c r="N73" s="11"/>
      <c r="O73" s="11"/>
      <c r="P73" s="48">
        <f t="shared" si="9"/>
        <v>-4</v>
      </c>
      <c r="T73" s="50">
        <f t="shared" si="10"/>
        <v>-4</v>
      </c>
    </row>
    <row r="74" spans="2:20" x14ac:dyDescent="0.25">
      <c r="B74" s="22"/>
      <c r="C74" s="21" t="s">
        <v>77</v>
      </c>
      <c r="D74" s="30">
        <f>เย็น!D74+เช้า!D74</f>
        <v>0</v>
      </c>
      <c r="E74" s="30">
        <f>เย็น!E74+เช้า!E74</f>
        <v>3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0</v>
      </c>
      <c r="K74" s="36">
        <f t="shared" si="8"/>
        <v>3</v>
      </c>
      <c r="L74" s="11"/>
      <c r="M74" s="11"/>
      <c r="N74" s="11"/>
      <c r="O74" s="11"/>
      <c r="P74" s="48">
        <f t="shared" si="9"/>
        <v>-3</v>
      </c>
      <c r="T74" s="50">
        <f t="shared" si="10"/>
        <v>-3</v>
      </c>
    </row>
    <row r="75" spans="2:20" hidden="1" x14ac:dyDescent="0.25">
      <c r="B75" s="22">
        <v>20052721</v>
      </c>
      <c r="C75" s="21" t="s">
        <v>82</v>
      </c>
      <c r="D75" s="30">
        <f>เย็น!D75+เช้า!D75+บ่าย!D75</f>
        <v>0</v>
      </c>
      <c r="E75" s="30">
        <f>เย็น!E75+เช้า!E75+บ่าย!E75</f>
        <v>0</v>
      </c>
      <c r="F75" s="30">
        <f>เย็น!F75+เช้า!F75+บ่าย!F75</f>
        <v>0</v>
      </c>
      <c r="G75" s="30">
        <f>เย็น!G75+เช้า!G75+บ่าย!G75</f>
        <v>0</v>
      </c>
      <c r="H75" s="30">
        <f>เย็น!H75+เช้า!H75+บ่าย!H75</f>
        <v>0</v>
      </c>
      <c r="I75" s="30">
        <f>เย็น!I75+เช้า!I75+บ่าย!I75</f>
        <v>0</v>
      </c>
      <c r="J75" s="30">
        <f>เย็น!J75+เช้า!J75+บ่าย!J75</f>
        <v>0</v>
      </c>
      <c r="K75" s="36">
        <f t="shared" si="8"/>
        <v>0</v>
      </c>
      <c r="L75" s="11"/>
      <c r="M75" s="11"/>
      <c r="N75" s="11"/>
      <c r="O75" s="11"/>
      <c r="P75" s="48">
        <f t="shared" si="9"/>
        <v>0</v>
      </c>
    </row>
    <row r="76" spans="2:20" ht="40.5" customHeight="1" x14ac:dyDescent="0.25">
      <c r="C76" s="35"/>
      <c r="D76" s="39">
        <f t="shared" ref="D76:J76" si="11">SUM(D7:D36,D40,D42,D44:D52,D56:D74)</f>
        <v>122</v>
      </c>
      <c r="E76" s="39">
        <f t="shared" si="11"/>
        <v>277</v>
      </c>
      <c r="F76" s="39">
        <f t="shared" si="11"/>
        <v>514</v>
      </c>
      <c r="G76" s="39">
        <f t="shared" si="11"/>
        <v>1504</v>
      </c>
      <c r="H76" s="39">
        <f t="shared" si="11"/>
        <v>186</v>
      </c>
      <c r="I76" s="39">
        <f t="shared" si="11"/>
        <v>0</v>
      </c>
      <c r="J76" s="39">
        <f t="shared" si="11"/>
        <v>6</v>
      </c>
      <c r="K76" s="39">
        <f>SUM(K7:K36,K40,K42,K44:K52,K56:K74)</f>
        <v>2609</v>
      </c>
      <c r="L76" s="38">
        <f>SUM(L56:L75,L44:L52,L42:L42,L40:L40,L7:L37)</f>
        <v>0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-2609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6"/>
      <c r="F79" s="56"/>
      <c r="G79" s="26"/>
      <c r="K79" s="40"/>
    </row>
    <row r="80" spans="2:20" x14ac:dyDescent="0.25">
      <c r="B80" s="56" t="s">
        <v>68</v>
      </c>
      <c r="C80" s="56"/>
      <c r="D80" s="32"/>
      <c r="E80" s="55"/>
      <c r="F80" s="55"/>
      <c r="G80" s="27"/>
      <c r="H80" s="26"/>
      <c r="I80" s="56" t="s">
        <v>68</v>
      </c>
      <c r="J80" s="56"/>
      <c r="K80" s="56"/>
    </row>
    <row r="81" spans="2:11" x14ac:dyDescent="0.25">
      <c r="B81" s="55" t="s">
        <v>69</v>
      </c>
      <c r="C81" s="55"/>
      <c r="D81" s="33"/>
      <c r="E81" s="33"/>
      <c r="F81" s="33"/>
      <c r="G81" s="33"/>
      <c r="H81" s="33"/>
      <c r="I81" s="55" t="s">
        <v>70</v>
      </c>
      <c r="J81" s="55"/>
      <c r="K81" s="55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2024-11-10T02:50:52Z</cp:lastPrinted>
  <dcterms:created xsi:type="dcterms:W3CDTF">2024-04-30T05:21:27Z</dcterms:created>
  <dcterms:modified xsi:type="dcterms:W3CDTF">2024-11-12T02:50:25Z</dcterms:modified>
</cp:coreProperties>
</file>