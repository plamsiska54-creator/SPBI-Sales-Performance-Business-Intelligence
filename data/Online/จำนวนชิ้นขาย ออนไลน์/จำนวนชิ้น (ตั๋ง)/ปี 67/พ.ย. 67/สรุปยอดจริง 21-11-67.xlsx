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1D43426-82BB-41D4-9BAA-FE03A0D25AC3}" xr6:coauthVersionLast="47" xr6:coauthVersionMax="47" xr10:uidLastSave="{00000000-0000-0000-0000-000000000000}"/>
  <bookViews>
    <workbookView xWindow="-120" yWindow="-120" windowWidth="29040" windowHeight="15720" firstSheet="1" activeTab="3" xr2:uid="{55C9AAA3-F459-48EC-A639-AACFFC6390F5}"/>
  </bookViews>
  <sheets>
    <sheet name="เย็น  " sheetId="8" state="hidden" r:id="rId1"/>
    <sheet name="เช้า" sheetId="3" r:id="rId2"/>
    <sheet name="บ่าย" sheetId="10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7" i="3" l="1"/>
  <c r="E77" i="3"/>
  <c r="F77" i="3"/>
  <c r="G77" i="3"/>
  <c r="H77" i="3"/>
  <c r="I77" i="3"/>
  <c r="J77" i="3"/>
  <c r="D77" i="8" l="1"/>
  <c r="E77" i="8"/>
  <c r="F77" i="8"/>
  <c r="G77" i="8"/>
  <c r="H77" i="8"/>
  <c r="I77" i="8"/>
  <c r="J77" i="8"/>
  <c r="D57" i="5" l="1"/>
  <c r="E57" i="5"/>
  <c r="F57" i="5"/>
  <c r="G57" i="5"/>
  <c r="H57" i="5"/>
  <c r="I57" i="5"/>
  <c r="J57" i="5"/>
  <c r="D58" i="5"/>
  <c r="E58" i="5"/>
  <c r="F58" i="5"/>
  <c r="G58" i="5"/>
  <c r="H58" i="5"/>
  <c r="I58" i="5"/>
  <c r="J58" i="5"/>
  <c r="D59" i="5"/>
  <c r="E59" i="5"/>
  <c r="F59" i="5"/>
  <c r="G59" i="5"/>
  <c r="H59" i="5"/>
  <c r="I59" i="5"/>
  <c r="J59" i="5"/>
  <c r="D60" i="5"/>
  <c r="E60" i="5"/>
  <c r="F60" i="5"/>
  <c r="G60" i="5"/>
  <c r="H60" i="5"/>
  <c r="I60" i="5"/>
  <c r="J60" i="5"/>
  <c r="D61" i="5"/>
  <c r="E61" i="5"/>
  <c r="F61" i="5"/>
  <c r="G61" i="5"/>
  <c r="H61" i="5"/>
  <c r="I61" i="5"/>
  <c r="J61" i="5"/>
  <c r="D62" i="5"/>
  <c r="E62" i="5"/>
  <c r="F62" i="5"/>
  <c r="G62" i="5"/>
  <c r="H62" i="5"/>
  <c r="I62" i="5"/>
  <c r="J62" i="5"/>
  <c r="D63" i="5"/>
  <c r="E63" i="5"/>
  <c r="F63" i="5"/>
  <c r="G63" i="5"/>
  <c r="H63" i="5"/>
  <c r="I63" i="5"/>
  <c r="J63" i="5"/>
  <c r="D64" i="5"/>
  <c r="E64" i="5"/>
  <c r="F64" i="5"/>
  <c r="G64" i="5"/>
  <c r="H64" i="5"/>
  <c r="I64" i="5"/>
  <c r="J64" i="5"/>
  <c r="D65" i="5"/>
  <c r="E65" i="5"/>
  <c r="F65" i="5"/>
  <c r="G65" i="5"/>
  <c r="H65" i="5"/>
  <c r="I65" i="5"/>
  <c r="J65" i="5"/>
  <c r="D66" i="5"/>
  <c r="E66" i="5"/>
  <c r="F66" i="5"/>
  <c r="G66" i="5"/>
  <c r="H66" i="5"/>
  <c r="I66" i="5"/>
  <c r="J66" i="5"/>
  <c r="D67" i="5"/>
  <c r="E67" i="5"/>
  <c r="F67" i="5"/>
  <c r="G67" i="5"/>
  <c r="H67" i="5"/>
  <c r="I67" i="5"/>
  <c r="J67" i="5"/>
  <c r="D68" i="5"/>
  <c r="E68" i="5"/>
  <c r="F68" i="5"/>
  <c r="G68" i="5"/>
  <c r="H68" i="5"/>
  <c r="I68" i="5"/>
  <c r="J68" i="5"/>
  <c r="D69" i="5"/>
  <c r="E69" i="5"/>
  <c r="F69" i="5"/>
  <c r="G69" i="5"/>
  <c r="H69" i="5"/>
  <c r="I69" i="5"/>
  <c r="J69" i="5"/>
  <c r="D70" i="5"/>
  <c r="E70" i="5"/>
  <c r="F70" i="5"/>
  <c r="G70" i="5"/>
  <c r="H70" i="5"/>
  <c r="I70" i="5"/>
  <c r="J70" i="5"/>
  <c r="D71" i="5"/>
  <c r="E71" i="5"/>
  <c r="F71" i="5"/>
  <c r="G71" i="5"/>
  <c r="H71" i="5"/>
  <c r="I71" i="5"/>
  <c r="J71" i="5"/>
  <c r="D72" i="5"/>
  <c r="E72" i="5"/>
  <c r="F72" i="5"/>
  <c r="G72" i="5"/>
  <c r="H72" i="5"/>
  <c r="I72" i="5"/>
  <c r="J72" i="5"/>
  <c r="D73" i="5"/>
  <c r="E73" i="5"/>
  <c r="F73" i="5"/>
  <c r="G73" i="5"/>
  <c r="H73" i="5"/>
  <c r="I73" i="5"/>
  <c r="J73" i="5"/>
  <c r="D74" i="5"/>
  <c r="E74" i="5"/>
  <c r="F74" i="5"/>
  <c r="G74" i="5"/>
  <c r="H74" i="5"/>
  <c r="I74" i="5"/>
  <c r="J74" i="5"/>
  <c r="D75" i="5"/>
  <c r="E75" i="5"/>
  <c r="F75" i="5"/>
  <c r="G75" i="5"/>
  <c r="H75" i="5"/>
  <c r="I75" i="5"/>
  <c r="J75" i="5"/>
  <c r="E56" i="5"/>
  <c r="F56" i="5"/>
  <c r="G56" i="5"/>
  <c r="H56" i="5"/>
  <c r="I56" i="5"/>
  <c r="J56" i="5"/>
  <c r="D56" i="5"/>
  <c r="D45" i="5"/>
  <c r="E45" i="5"/>
  <c r="F45" i="5"/>
  <c r="G45" i="5"/>
  <c r="H45" i="5"/>
  <c r="I45" i="5"/>
  <c r="J45" i="5"/>
  <c r="D46" i="5"/>
  <c r="E46" i="5"/>
  <c r="F46" i="5"/>
  <c r="G46" i="5"/>
  <c r="H46" i="5"/>
  <c r="I46" i="5"/>
  <c r="J46" i="5"/>
  <c r="D47" i="5"/>
  <c r="E47" i="5"/>
  <c r="F47" i="5"/>
  <c r="G47" i="5"/>
  <c r="H47" i="5"/>
  <c r="I47" i="5"/>
  <c r="J47" i="5"/>
  <c r="D48" i="5"/>
  <c r="E48" i="5"/>
  <c r="F48" i="5"/>
  <c r="G48" i="5"/>
  <c r="H48" i="5"/>
  <c r="I48" i="5"/>
  <c r="J48" i="5"/>
  <c r="D49" i="5"/>
  <c r="E49" i="5"/>
  <c r="F49" i="5"/>
  <c r="G49" i="5"/>
  <c r="H49" i="5"/>
  <c r="I49" i="5"/>
  <c r="J49" i="5"/>
  <c r="D50" i="5"/>
  <c r="E50" i="5"/>
  <c r="F50" i="5"/>
  <c r="G50" i="5"/>
  <c r="H50" i="5"/>
  <c r="I50" i="5"/>
  <c r="J50" i="5"/>
  <c r="D51" i="5"/>
  <c r="E51" i="5"/>
  <c r="F51" i="5"/>
  <c r="G51" i="5"/>
  <c r="H51" i="5"/>
  <c r="I51" i="5"/>
  <c r="J51" i="5"/>
  <c r="D52" i="5"/>
  <c r="E52" i="5"/>
  <c r="F52" i="5"/>
  <c r="G52" i="5"/>
  <c r="H52" i="5"/>
  <c r="I52" i="5"/>
  <c r="J52" i="5"/>
  <c r="D53" i="5"/>
  <c r="E53" i="5"/>
  <c r="F53" i="5"/>
  <c r="G53" i="5"/>
  <c r="H53" i="5"/>
  <c r="I53" i="5"/>
  <c r="J53" i="5"/>
  <c r="E44" i="5"/>
  <c r="F44" i="5"/>
  <c r="G44" i="5"/>
  <c r="H44" i="5"/>
  <c r="I44" i="5"/>
  <c r="J44" i="5"/>
  <c r="D44" i="5"/>
  <c r="E42" i="5"/>
  <c r="F42" i="5"/>
  <c r="G42" i="5"/>
  <c r="H42" i="5"/>
  <c r="I42" i="5"/>
  <c r="J42" i="5"/>
  <c r="D42" i="5"/>
  <c r="E40" i="5"/>
  <c r="F40" i="5"/>
  <c r="G40" i="5"/>
  <c r="H40" i="5"/>
  <c r="I40" i="5"/>
  <c r="J40" i="5"/>
  <c r="D40" i="5"/>
  <c r="D8" i="5"/>
  <c r="E8" i="5"/>
  <c r="F8" i="5"/>
  <c r="G8" i="5"/>
  <c r="H8" i="5"/>
  <c r="I8" i="5"/>
  <c r="J8" i="5"/>
  <c r="D9" i="5"/>
  <c r="E9" i="5"/>
  <c r="F9" i="5"/>
  <c r="G9" i="5"/>
  <c r="H9" i="5"/>
  <c r="I9" i="5"/>
  <c r="J9" i="5"/>
  <c r="D10" i="5"/>
  <c r="E10" i="5"/>
  <c r="F10" i="5"/>
  <c r="G10" i="5"/>
  <c r="H10" i="5"/>
  <c r="I10" i="5"/>
  <c r="J10" i="5"/>
  <c r="D11" i="5"/>
  <c r="E11" i="5"/>
  <c r="F11" i="5"/>
  <c r="G11" i="5"/>
  <c r="H11" i="5"/>
  <c r="I11" i="5"/>
  <c r="J11" i="5"/>
  <c r="D12" i="5"/>
  <c r="E12" i="5"/>
  <c r="F12" i="5"/>
  <c r="G12" i="5"/>
  <c r="H12" i="5"/>
  <c r="I12" i="5"/>
  <c r="J12" i="5"/>
  <c r="D13" i="5"/>
  <c r="E13" i="5"/>
  <c r="F13" i="5"/>
  <c r="G13" i="5"/>
  <c r="H13" i="5"/>
  <c r="I13" i="5"/>
  <c r="J13" i="5"/>
  <c r="D14" i="5"/>
  <c r="E14" i="5"/>
  <c r="F14" i="5"/>
  <c r="G14" i="5"/>
  <c r="H14" i="5"/>
  <c r="I14" i="5"/>
  <c r="J14" i="5"/>
  <c r="D15" i="5"/>
  <c r="E15" i="5"/>
  <c r="F15" i="5"/>
  <c r="G15" i="5"/>
  <c r="H15" i="5"/>
  <c r="I15" i="5"/>
  <c r="J15" i="5"/>
  <c r="D16" i="5"/>
  <c r="E16" i="5"/>
  <c r="F16" i="5"/>
  <c r="G16" i="5"/>
  <c r="H16" i="5"/>
  <c r="I16" i="5"/>
  <c r="J16" i="5"/>
  <c r="D17" i="5"/>
  <c r="E17" i="5"/>
  <c r="F17" i="5"/>
  <c r="G17" i="5"/>
  <c r="H17" i="5"/>
  <c r="I17" i="5"/>
  <c r="J17" i="5"/>
  <c r="D18" i="5"/>
  <c r="E18" i="5"/>
  <c r="F18" i="5"/>
  <c r="G18" i="5"/>
  <c r="H18" i="5"/>
  <c r="I18" i="5"/>
  <c r="J18" i="5"/>
  <c r="D19" i="5"/>
  <c r="E19" i="5"/>
  <c r="F19" i="5"/>
  <c r="G19" i="5"/>
  <c r="H19" i="5"/>
  <c r="I19" i="5"/>
  <c r="J19" i="5"/>
  <c r="D20" i="5"/>
  <c r="E20" i="5"/>
  <c r="F20" i="5"/>
  <c r="G20" i="5"/>
  <c r="H20" i="5"/>
  <c r="I20" i="5"/>
  <c r="J20" i="5"/>
  <c r="D21" i="5"/>
  <c r="E21" i="5"/>
  <c r="F21" i="5"/>
  <c r="G21" i="5"/>
  <c r="H21" i="5"/>
  <c r="I21" i="5"/>
  <c r="J21" i="5"/>
  <c r="D22" i="5"/>
  <c r="E22" i="5"/>
  <c r="F22" i="5"/>
  <c r="G22" i="5"/>
  <c r="H22" i="5"/>
  <c r="I22" i="5"/>
  <c r="J22" i="5"/>
  <c r="D23" i="5"/>
  <c r="E23" i="5"/>
  <c r="F23" i="5"/>
  <c r="G23" i="5"/>
  <c r="H23" i="5"/>
  <c r="I23" i="5"/>
  <c r="J23" i="5"/>
  <c r="D24" i="5"/>
  <c r="E24" i="5"/>
  <c r="F24" i="5"/>
  <c r="G24" i="5"/>
  <c r="H24" i="5"/>
  <c r="I24" i="5"/>
  <c r="J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D27" i="5"/>
  <c r="E27" i="5"/>
  <c r="F27" i="5"/>
  <c r="G27" i="5"/>
  <c r="H27" i="5"/>
  <c r="I27" i="5"/>
  <c r="J27" i="5"/>
  <c r="D28" i="5"/>
  <c r="E28" i="5"/>
  <c r="F28" i="5"/>
  <c r="G28" i="5"/>
  <c r="H28" i="5"/>
  <c r="I28" i="5"/>
  <c r="J28" i="5"/>
  <c r="D29" i="5"/>
  <c r="E29" i="5"/>
  <c r="F29" i="5"/>
  <c r="G29" i="5"/>
  <c r="H29" i="5"/>
  <c r="I29" i="5"/>
  <c r="J29" i="5"/>
  <c r="D30" i="5"/>
  <c r="E30" i="5"/>
  <c r="F30" i="5"/>
  <c r="G30" i="5"/>
  <c r="H30" i="5"/>
  <c r="I30" i="5"/>
  <c r="J30" i="5"/>
  <c r="D31" i="5"/>
  <c r="E31" i="5"/>
  <c r="F31" i="5"/>
  <c r="G31" i="5"/>
  <c r="H31" i="5"/>
  <c r="I31" i="5"/>
  <c r="J31" i="5"/>
  <c r="D32" i="5"/>
  <c r="E32" i="5"/>
  <c r="F32" i="5"/>
  <c r="G32" i="5"/>
  <c r="H32" i="5"/>
  <c r="I32" i="5"/>
  <c r="J32" i="5"/>
  <c r="D33" i="5"/>
  <c r="E33" i="5"/>
  <c r="F33" i="5"/>
  <c r="G33" i="5"/>
  <c r="H33" i="5"/>
  <c r="I33" i="5"/>
  <c r="J33" i="5"/>
  <c r="D34" i="5"/>
  <c r="E34" i="5"/>
  <c r="F34" i="5"/>
  <c r="G34" i="5"/>
  <c r="H34" i="5"/>
  <c r="I34" i="5"/>
  <c r="J34" i="5"/>
  <c r="D35" i="5"/>
  <c r="E35" i="5"/>
  <c r="F35" i="5"/>
  <c r="G35" i="5"/>
  <c r="H35" i="5"/>
  <c r="I35" i="5"/>
  <c r="J35" i="5"/>
  <c r="D36" i="5"/>
  <c r="E36" i="5"/>
  <c r="F36" i="5"/>
  <c r="G36" i="5"/>
  <c r="H36" i="5"/>
  <c r="I36" i="5"/>
  <c r="J36" i="5"/>
  <c r="D37" i="5"/>
  <c r="E37" i="5"/>
  <c r="F37" i="5"/>
  <c r="G37" i="5"/>
  <c r="H37" i="5"/>
  <c r="I37" i="5"/>
  <c r="J37" i="5"/>
  <c r="D38" i="5"/>
  <c r="E38" i="5"/>
  <c r="F38" i="5"/>
  <c r="G38" i="5"/>
  <c r="H38" i="5"/>
  <c r="I38" i="5"/>
  <c r="J38" i="5"/>
  <c r="E7" i="5"/>
  <c r="F7" i="5"/>
  <c r="G7" i="5"/>
  <c r="H7" i="5"/>
  <c r="I7" i="5"/>
  <c r="J7" i="5"/>
  <c r="D7" i="5"/>
  <c r="I76" i="5" l="1"/>
  <c r="H76" i="5"/>
  <c r="J76" i="5"/>
  <c r="G76" i="5"/>
  <c r="D76" i="5"/>
  <c r="F76" i="5"/>
  <c r="E76" i="5"/>
  <c r="J80" i="10"/>
  <c r="I80" i="10"/>
  <c r="H80" i="10"/>
  <c r="G80" i="10"/>
  <c r="F80" i="10"/>
  <c r="E80" i="10"/>
  <c r="D80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6" i="10"/>
  <c r="K55" i="10"/>
  <c r="K54" i="10"/>
  <c r="K53" i="10"/>
  <c r="K52" i="10"/>
  <c r="K51" i="10"/>
  <c r="K50" i="10"/>
  <c r="K49" i="10"/>
  <c r="K48" i="10"/>
  <c r="K47" i="10"/>
  <c r="K42" i="10"/>
  <c r="K40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3" i="8"/>
  <c r="K52" i="8"/>
  <c r="K51" i="8"/>
  <c r="K50" i="8"/>
  <c r="K49" i="8"/>
  <c r="K48" i="8"/>
  <c r="K47" i="8"/>
  <c r="K46" i="8"/>
  <c r="K45" i="8"/>
  <c r="K44" i="8"/>
  <c r="K42" i="8"/>
  <c r="K40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77" i="8" l="1"/>
  <c r="K80" i="10"/>
  <c r="K54" i="5"/>
  <c r="T39" i="5"/>
  <c r="T41" i="5"/>
  <c r="T43" i="5"/>
  <c r="T55" i="5"/>
  <c r="K48" i="5" l="1"/>
  <c r="K36" i="5"/>
  <c r="K44" i="5"/>
  <c r="K42" i="5"/>
  <c r="K29" i="5"/>
  <c r="K9" i="5"/>
  <c r="K8" i="5"/>
  <c r="K72" i="5"/>
  <c r="K69" i="5"/>
  <c r="K65" i="5"/>
  <c r="K64" i="5"/>
  <c r="K61" i="5"/>
  <c r="K60" i="5"/>
  <c r="K57" i="5"/>
  <c r="K56" i="5"/>
  <c r="K73" i="5"/>
  <c r="K68" i="5"/>
  <c r="K52" i="5"/>
  <c r="K53" i="5"/>
  <c r="K51" i="5"/>
  <c r="K49" i="5"/>
  <c r="K47" i="5"/>
  <c r="K45" i="5"/>
  <c r="K50" i="5"/>
  <c r="K46" i="5"/>
  <c r="K40" i="5"/>
  <c r="K33" i="5"/>
  <c r="K34" i="5"/>
  <c r="K30" i="5"/>
  <c r="K10" i="5"/>
  <c r="K25" i="5"/>
  <c r="K21" i="5"/>
  <c r="K18" i="5"/>
  <c r="K7" i="5"/>
  <c r="K35" i="5"/>
  <c r="K32" i="5"/>
  <c r="K31" i="5"/>
  <c r="K28" i="5"/>
  <c r="K27" i="5"/>
  <c r="K24" i="5"/>
  <c r="K23" i="5"/>
  <c r="K20" i="5"/>
  <c r="K19" i="5"/>
  <c r="K16" i="5"/>
  <c r="K15" i="5"/>
  <c r="K12" i="5"/>
  <c r="K11" i="5"/>
  <c r="K17" i="5"/>
  <c r="K13" i="5"/>
  <c r="K26" i="5"/>
  <c r="K22" i="5"/>
  <c r="K14" i="5"/>
  <c r="K71" i="5"/>
  <c r="K66" i="5"/>
  <c r="K62" i="5"/>
  <c r="K59" i="5"/>
  <c r="K74" i="5"/>
  <c r="K70" i="5"/>
  <c r="K67" i="5"/>
  <c r="K63" i="5"/>
  <c r="K58" i="5"/>
  <c r="K75" i="5" l="1"/>
  <c r="M76" i="5" l="1"/>
  <c r="N76" i="5"/>
  <c r="O76" i="5"/>
  <c r="K37" i="5" l="1"/>
  <c r="K38" i="5" l="1"/>
  <c r="P38" i="5" s="1"/>
  <c r="T38" i="5" s="1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45" i="3"/>
  <c r="K46" i="3"/>
  <c r="K47" i="3"/>
  <c r="K48" i="3"/>
  <c r="K49" i="3"/>
  <c r="K50" i="3"/>
  <c r="K51" i="3"/>
  <c r="K52" i="3"/>
  <c r="K53" i="3"/>
  <c r="K44" i="3"/>
  <c r="K42" i="3"/>
  <c r="K40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7" i="3"/>
  <c r="K77" i="3" l="1"/>
  <c r="K76" i="5"/>
  <c r="P75" i="5"/>
  <c r="P37" i="5"/>
  <c r="T37" i="5" s="1"/>
  <c r="P65" i="5"/>
  <c r="T65" i="5" s="1"/>
  <c r="P24" i="5"/>
  <c r="T24" i="5" s="1"/>
  <c r="P21" i="5"/>
  <c r="T21" i="5" s="1"/>
  <c r="P17" i="5"/>
  <c r="T17" i="5" s="1"/>
  <c r="P57" i="5"/>
  <c r="T57" i="5" s="1"/>
  <c r="P30" i="5"/>
  <c r="T30" i="5" s="1"/>
  <c r="P14" i="5"/>
  <c r="T14" i="5" s="1"/>
  <c r="P71" i="5"/>
  <c r="T71" i="5" s="1"/>
  <c r="P70" i="5"/>
  <c r="T70" i="5" s="1"/>
  <c r="P66" i="5"/>
  <c r="T66" i="5" s="1"/>
  <c r="P64" i="5"/>
  <c r="T64" i="5" s="1"/>
  <c r="P58" i="5"/>
  <c r="T58" i="5" s="1"/>
  <c r="P73" i="5"/>
  <c r="T73" i="5" s="1"/>
  <c r="P72" i="5"/>
  <c r="T72" i="5" s="1"/>
  <c r="P69" i="5"/>
  <c r="T69" i="5" s="1"/>
  <c r="P67" i="5"/>
  <c r="T67" i="5" s="1"/>
  <c r="P59" i="5"/>
  <c r="T59" i="5" s="1"/>
  <c r="P53" i="5"/>
  <c r="T53" i="5" s="1"/>
  <c r="P51" i="5"/>
  <c r="T51" i="5" s="1"/>
  <c r="P48" i="5"/>
  <c r="T48" i="5" s="1"/>
  <c r="P47" i="5"/>
  <c r="T47" i="5" s="1"/>
  <c r="P50" i="5"/>
  <c r="T50" i="5" s="1"/>
  <c r="P49" i="5"/>
  <c r="T49" i="5" s="1"/>
  <c r="P27" i="5"/>
  <c r="T27" i="5" s="1"/>
  <c r="P8" i="5"/>
  <c r="T8" i="5" s="1"/>
  <c r="P26" i="5"/>
  <c r="T26" i="5" s="1"/>
  <c r="P20" i="5"/>
  <c r="T20" i="5" s="1"/>
  <c r="P25" i="5"/>
  <c r="T25" i="5" s="1"/>
  <c r="P34" i="5"/>
  <c r="T34" i="5" s="1"/>
  <c r="P22" i="5"/>
  <c r="T22" i="5" s="1"/>
  <c r="P18" i="5"/>
  <c r="T18" i="5" s="1"/>
  <c r="P35" i="5"/>
  <c r="T35" i="5" s="1"/>
  <c r="P31" i="5"/>
  <c r="T31" i="5" s="1"/>
  <c r="P23" i="5"/>
  <c r="T23" i="5" s="1"/>
  <c r="P19" i="5"/>
  <c r="T19" i="5" s="1"/>
  <c r="P16" i="5"/>
  <c r="T16" i="5" s="1"/>
  <c r="P12" i="5"/>
  <c r="T12" i="5" s="1"/>
  <c r="P33" i="5"/>
  <c r="T33" i="5" s="1"/>
  <c r="P29" i="5"/>
  <c r="T29" i="5" s="1"/>
  <c r="P13" i="5"/>
  <c r="T13" i="5" s="1"/>
  <c r="P9" i="5"/>
  <c r="T9" i="5" s="1"/>
  <c r="P46" i="5"/>
  <c r="T46" i="5" s="1"/>
  <c r="P56" i="5"/>
  <c r="T56" i="5" s="1"/>
  <c r="P74" i="5"/>
  <c r="T74" i="5" s="1"/>
  <c r="P68" i="5"/>
  <c r="T68" i="5" s="1"/>
  <c r="P60" i="5"/>
  <c r="T60" i="5" s="1"/>
  <c r="P36" i="5"/>
  <c r="T36" i="5" s="1"/>
  <c r="P32" i="5"/>
  <c r="T32" i="5" s="1"/>
  <c r="P28" i="5"/>
  <c r="T28" i="5" s="1"/>
  <c r="P15" i="5"/>
  <c r="T15" i="5" s="1"/>
  <c r="P40" i="5"/>
  <c r="T40" i="5" s="1"/>
  <c r="P63" i="5"/>
  <c r="T63" i="5" s="1"/>
  <c r="P62" i="5"/>
  <c r="T62" i="5" s="1"/>
  <c r="P52" i="5"/>
  <c r="T52" i="5" s="1"/>
  <c r="P45" i="5"/>
  <c r="T45" i="5" s="1"/>
  <c r="P42" i="5"/>
  <c r="T42" i="5" s="1"/>
  <c r="P61" i="5"/>
  <c r="T61" i="5" s="1"/>
  <c r="P11" i="5"/>
  <c r="T11" i="5" s="1"/>
  <c r="P10" i="5"/>
  <c r="T10" i="5" s="1"/>
  <c r="L76" i="5"/>
  <c r="P7" i="5" l="1"/>
  <c r="T7" i="5" s="1"/>
  <c r="P44" i="5"/>
  <c r="T44" i="5" s="1"/>
  <c r="P54" i="5" l="1"/>
  <c r="T54" i="5" s="1"/>
  <c r="K38" i="3"/>
  <c r="P76" i="5" l="1"/>
</calcChain>
</file>

<file path=xl/sharedStrings.xml><?xml version="1.0" encoding="utf-8"?>
<sst xmlns="http://schemas.openxmlformats.org/spreadsheetml/2006/main" count="395" uniqueCount="99">
  <si>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</si>
  <si>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</si>
  <si>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</si>
  <si>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</si>
  <si>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</si>
  <si>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</si>
  <si>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</si>
  <si>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</si>
  <si>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</si>
  <si>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</si>
  <si>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</si>
  <si>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</si>
  <si>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มะลิ</t>
  </si>
  <si>
    <t>ชิฟฟอน 8 ชิ้น รวมรสยอดฮิต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</si>
  <si>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</si>
  <si>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</si>
  <si>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</si>
  <si>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</si>
  <si>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</si>
  <si>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</si>
  <si>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</si>
  <si>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</si>
  <si>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</si>
  <si>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</si>
  <si>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</si>
  <si>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</si>
  <si>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</si>
  <si>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</si>
  <si>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</si>
  <si>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</si>
  <si>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</si>
  <si>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</si>
  <si>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</si>
  <si>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</si>
  <si>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</si>
  <si>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</si>
  <si>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</si>
  <si>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</si>
  <si>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</si>
  <si>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</si>
  <si>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</si>
  <si>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>ชิฟฟอนไส้แยม 3 ชิ้น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</si>
  <si>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</si>
  <si>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</si>
  <si>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</si>
  <si>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</si>
  <si>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</si>
  <si>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</si>
  <si>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</si>
  <si>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</si>
  <si>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</si>
  <si>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</si>
  <si>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</si>
  <si>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</si>
  <si>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อื่นๆ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</si>
  <si>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</si>
  <si>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</si>
  <si>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</si>
  <si>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</si>
  <si>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</si>
  <si>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</si>
  <si>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</si>
  <si>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</si>
  <si>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</si>
  <si>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</si>
  <si>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</si>
  <si>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</si>
  <si>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</si>
  <si>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</si>
  <si>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</si>
  <si>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</si>
  <si>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</si>
  <si>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</si>
  <si>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</si>
  <si>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</si>
  <si>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</si>
  <si>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</si>
  <si>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</si>
  <si>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</si>
  <si>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</si>
  <si>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</si>
  <si>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</si>
  <si>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แซนวิชโบราณ</t>
  </si>
  <si>
    <t>กล่องเปล่าชิฟอน ล</t>
  </si>
  <si>
    <t>ชอยส์</t>
  </si>
  <si>
    <t>ติ๊กตอก2</t>
  </si>
  <si>
    <t>รับเกิน</t>
  </si>
  <si>
    <t>ยังไม่ได้รับเข้า</t>
  </si>
  <si>
    <t>รับเข้าอาทิตย์</t>
  </si>
  <si>
    <t>รับเข้าจันทร์</t>
  </si>
  <si>
    <t>ชื่อสินค้า</t>
  </si>
  <si>
    <t>จำนวนที่ต้องการเบรค</t>
  </si>
  <si>
    <t>กล่องทาร์ตสับปะรด</t>
  </si>
  <si>
    <t>ชิฟฟอนไส้แยมบลูเบอรี่ 3 ชิ้น</t>
  </si>
  <si>
    <t>ชิฟฟอนไส้แยมฝอยทอง 3 ชิ้น</t>
  </si>
  <si>
    <t>ชิฟฟอนไส้แยมสตอเบอรี่ 3 ชิ้น</t>
  </si>
  <si>
    <t>ยอดจริง ออนไลน์ วันที่ 21/11/2567 - รวม</t>
  </si>
  <si>
    <t>ยอดจริง ออนไลน์ วันที่ 21/11/2567 - บ่าย</t>
  </si>
  <si>
    <t>ยอดจริง ออนไลน์ วันที่ 21/11/2567 -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</si>
</sst>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0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5" fillId="5" borderId="0" xfId="0" applyNumberFormat="1" applyFont="1" applyFill="1" applyAlignment="1">
      <alignment horizontal="center" vertical="center"/>
    </xf>
    <xf numFmtId="187" fontId="5" fillId="10" borderId="0" xfId="0" applyNumberFormat="1" applyFont="1" applyFill="1" applyAlignment="1">
      <alignment horizontal="center" vertical="center"/>
    </xf>
    <xf numFmtId="187" fontId="5" fillId="5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7" fillId="9" borderId="2" xfId="0" applyNumberFormat="1" applyFont="1" applyFill="1" applyBorder="1" applyAlignment="1">
      <alignment horizontal="center" vertical="center"/>
    </xf>
    <xf numFmtId="0" fontId="9" fillId="0" borderId="0" xfId="0" applyFont="1"/>
    <xf numFmtId="187" fontId="9" fillId="0" borderId="0" xfId="0" applyNumberFormat="1" applyFont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F843-C648-4CB7-B3D7-303D5ADA9983}">
  <dimension ref="B1:K97"/>
  <sheetViews>
    <sheetView zoomScale="60" zoomScaleNormal="60" workbookViewId="0">
      <selection activeCell="A41" sqref="A41:XFD41"/>
    </sheetView>
  </sheetViews>
  <sheetFormatPr defaultRowHeight="22.5" x14ac:dyDescent="0.2"/>
  <cols>
    <col min="2" max="2" width="22.125" style="23" customWidth="1"/>
    <col min="3" max="3" width="59.125" style="23" customWidth="1"/>
    <col min="4" max="4" width="15" style="16" customWidth="1"/>
    <col min="5" max="7" width="14.375" style="16" customWidth="1"/>
    <col min="8" max="10" width="14.375" style="16" hidden="1" customWidth="1"/>
    <col min="11" max="11" width="17.625" style="25" customWidth="1"/>
  </cols>
  <sheetData>
    <row r="1" spans="2:11" x14ac:dyDescent="0.2">
      <c r="B1" s="50" t="s">
        <v>97</v>
      </c>
      <c r="C1" s="50"/>
      <c r="D1" s="50"/>
      <c r="E1" s="50"/>
      <c r="F1" s="50"/>
      <c r="G1" s="50"/>
      <c r="H1" s="50"/>
      <c r="I1" s="50"/>
      <c r="J1" s="50"/>
      <c r="K1" s="50"/>
    </row>
    <row r="2" spans="2:11" x14ac:dyDescent="0.2">
      <c r="B2" s="51"/>
      <c r="C2" s="52"/>
      <c r="D2" s="52"/>
      <c r="E2" s="52"/>
      <c r="F2" s="52"/>
      <c r="G2" s="52"/>
      <c r="H2" s="52"/>
      <c r="I2" s="52"/>
      <c r="J2" s="53"/>
      <c r="K2" s="42" t="s">
        <v>0</v>
      </c>
    </row>
    <row r="3" spans="2:11" x14ac:dyDescent="0.2">
      <c r="B3" s="54"/>
      <c r="C3" s="55"/>
      <c r="D3" s="55"/>
      <c r="E3" s="55"/>
      <c r="F3" s="55"/>
      <c r="G3" s="55"/>
      <c r="H3" s="55"/>
      <c r="I3" s="55"/>
      <c r="J3" s="56"/>
      <c r="K3" s="42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2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3"/>
    </row>
    <row r="6" spans="2:11" ht="19.5" x14ac:dyDescent="0.2"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</row>
    <row r="7" spans="2:11" x14ac:dyDescent="0.2">
      <c r="B7" s="11">
        <v>1111002</v>
      </c>
      <c r="C7" s="15" t="s">
        <v>71</v>
      </c>
      <c r="D7" s="30"/>
      <c r="E7" s="30"/>
      <c r="F7" s="30"/>
      <c r="G7" s="30"/>
      <c r="H7" s="30"/>
      <c r="I7" s="30"/>
      <c r="J7" s="30"/>
      <c r="K7" s="41">
        <f t="shared" ref="K7:K37" si="0">SUM(D7:J7)</f>
        <v>0</v>
      </c>
    </row>
    <row r="8" spans="2:11" x14ac:dyDescent="0.2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si="0"/>
        <v>0</v>
      </c>
    </row>
    <row r="9" spans="2:11" x14ac:dyDescent="0.2">
      <c r="B9" s="11">
        <v>1111056</v>
      </c>
      <c r="C9" s="15" t="s">
        <v>13</v>
      </c>
      <c r="D9" s="30"/>
      <c r="E9" s="30"/>
      <c r="F9" s="30"/>
      <c r="G9" s="30"/>
      <c r="H9" s="30"/>
      <c r="I9" s="30"/>
      <c r="J9" s="30"/>
      <c r="K9" s="41">
        <f t="shared" si="0"/>
        <v>0</v>
      </c>
    </row>
    <row r="10" spans="2:11" x14ac:dyDescent="0.2">
      <c r="B10" s="11">
        <v>1004055</v>
      </c>
      <c r="C10" s="15" t="s">
        <v>72</v>
      </c>
      <c r="D10" s="30"/>
      <c r="E10" s="30"/>
      <c r="F10" s="30"/>
      <c r="G10" s="30"/>
      <c r="H10" s="30"/>
      <c r="I10" s="30"/>
      <c r="J10" s="30"/>
      <c r="K10" s="41">
        <f t="shared" si="0"/>
        <v>0</v>
      </c>
    </row>
    <row r="11" spans="2:11" x14ac:dyDescent="0.2">
      <c r="B11" s="11">
        <v>1111057</v>
      </c>
      <c r="C11" s="15" t="s">
        <v>14</v>
      </c>
      <c r="D11" s="30"/>
      <c r="E11" s="30"/>
      <c r="F11" s="30"/>
      <c r="G11" s="30"/>
      <c r="H11" s="30"/>
      <c r="I11" s="30"/>
      <c r="J11" s="30"/>
      <c r="K11" s="41">
        <f t="shared" si="0"/>
        <v>0</v>
      </c>
    </row>
    <row r="12" spans="2:11" x14ac:dyDescent="0.2">
      <c r="B12" s="11">
        <v>1111058</v>
      </c>
      <c r="C12" s="15" t="s">
        <v>15</v>
      </c>
      <c r="D12" s="30"/>
      <c r="E12" s="30"/>
      <c r="F12" s="30"/>
      <c r="G12" s="30"/>
      <c r="H12" s="30"/>
      <c r="I12" s="30"/>
      <c r="J12" s="30"/>
      <c r="K12" s="41">
        <f t="shared" si="0"/>
        <v>0</v>
      </c>
    </row>
    <row r="13" spans="2:11" x14ac:dyDescent="0.2">
      <c r="B13" s="11">
        <v>1111059</v>
      </c>
      <c r="C13" s="15" t="s">
        <v>16</v>
      </c>
      <c r="D13" s="30"/>
      <c r="E13" s="30"/>
      <c r="F13" s="30"/>
      <c r="G13" s="30"/>
      <c r="H13" s="30"/>
      <c r="I13" s="30"/>
      <c r="J13" s="30"/>
      <c r="K13" s="41">
        <f t="shared" si="0"/>
        <v>0</v>
      </c>
    </row>
    <row r="14" spans="2:11" x14ac:dyDescent="0.2">
      <c r="B14" s="11">
        <v>1111060</v>
      </c>
      <c r="C14" s="15" t="s">
        <v>17</v>
      </c>
      <c r="D14" s="30"/>
      <c r="E14" s="30"/>
      <c r="F14" s="30"/>
      <c r="G14" s="30"/>
      <c r="H14" s="30"/>
      <c r="I14" s="30"/>
      <c r="J14" s="30"/>
      <c r="K14" s="41">
        <f t="shared" si="0"/>
        <v>0</v>
      </c>
    </row>
    <row r="15" spans="2:11" x14ac:dyDescent="0.2">
      <c r="B15" s="11">
        <v>1111061</v>
      </c>
      <c r="C15" s="15" t="s">
        <v>18</v>
      </c>
      <c r="D15" s="30"/>
      <c r="E15" s="30"/>
      <c r="F15" s="30"/>
      <c r="G15" s="30"/>
      <c r="H15" s="30"/>
      <c r="I15" s="30"/>
      <c r="J15" s="30"/>
      <c r="K15" s="41">
        <f t="shared" si="0"/>
        <v>0</v>
      </c>
    </row>
    <row r="16" spans="2:11" x14ac:dyDescent="0.2">
      <c r="B16" s="11">
        <v>1111062</v>
      </c>
      <c r="C16" s="15" t="s">
        <v>19</v>
      </c>
      <c r="D16" s="30"/>
      <c r="E16" s="30"/>
      <c r="F16" s="30"/>
      <c r="G16" s="30"/>
      <c r="H16" s="30"/>
      <c r="I16" s="30"/>
      <c r="J16" s="30"/>
      <c r="K16" s="41">
        <f t="shared" si="0"/>
        <v>0</v>
      </c>
    </row>
    <row r="17" spans="2:11" x14ac:dyDescent="0.2">
      <c r="B17" s="11">
        <v>1111063</v>
      </c>
      <c r="C17" s="15" t="s">
        <v>20</v>
      </c>
      <c r="D17" s="30"/>
      <c r="E17" s="30"/>
      <c r="F17" s="30"/>
      <c r="G17" s="30"/>
      <c r="H17" s="30"/>
      <c r="I17" s="30"/>
      <c r="J17" s="30"/>
      <c r="K17" s="41">
        <f t="shared" si="0"/>
        <v>0</v>
      </c>
    </row>
    <row r="18" spans="2:11" x14ac:dyDescent="0.2">
      <c r="B18" s="11">
        <v>1111064</v>
      </c>
      <c r="C18" s="15" t="s">
        <v>21</v>
      </c>
      <c r="D18" s="30"/>
      <c r="E18" s="30"/>
      <c r="F18" s="30"/>
      <c r="G18" s="30"/>
      <c r="H18" s="30"/>
      <c r="I18" s="30"/>
      <c r="J18" s="30"/>
      <c r="K18" s="41">
        <f t="shared" si="0"/>
        <v>0</v>
      </c>
    </row>
    <row r="19" spans="2:11" x14ac:dyDescent="0.2">
      <c r="B19" s="11">
        <v>1111065</v>
      </c>
      <c r="C19" s="15" t="s">
        <v>22</v>
      </c>
      <c r="D19" s="30"/>
      <c r="E19" s="30"/>
      <c r="F19" s="30"/>
      <c r="G19" s="30"/>
      <c r="H19" s="30"/>
      <c r="I19" s="30"/>
      <c r="J19" s="30"/>
      <c r="K19" s="41">
        <f t="shared" si="0"/>
        <v>0</v>
      </c>
    </row>
    <row r="20" spans="2:11" x14ac:dyDescent="0.2">
      <c r="B20" s="11">
        <v>1111066</v>
      </c>
      <c r="C20" s="15" t="s">
        <v>23</v>
      </c>
      <c r="D20" s="30"/>
      <c r="E20" s="30"/>
      <c r="F20" s="30"/>
      <c r="G20" s="30"/>
      <c r="H20" s="30"/>
      <c r="I20" s="30"/>
      <c r="J20" s="30"/>
      <c r="K20" s="41">
        <f t="shared" si="0"/>
        <v>0</v>
      </c>
    </row>
    <row r="21" spans="2:11" x14ac:dyDescent="0.2">
      <c r="B21" s="11">
        <v>1111067</v>
      </c>
      <c r="C21" s="15" t="s">
        <v>24</v>
      </c>
      <c r="D21" s="30"/>
      <c r="E21" s="30"/>
      <c r="F21" s="30"/>
      <c r="G21" s="30"/>
      <c r="H21" s="30"/>
      <c r="I21" s="30"/>
      <c r="J21" s="30"/>
      <c r="K21" s="41">
        <f t="shared" si="0"/>
        <v>0</v>
      </c>
    </row>
    <row r="22" spans="2:11" x14ac:dyDescent="0.2">
      <c r="B22" s="11">
        <v>1111068</v>
      </c>
      <c r="C22" s="15" t="s">
        <v>25</v>
      </c>
      <c r="D22" s="30"/>
      <c r="E22" s="30"/>
      <c r="F22" s="30"/>
      <c r="G22" s="30"/>
      <c r="H22" s="30"/>
      <c r="I22" s="30"/>
      <c r="J22" s="30"/>
      <c r="K22" s="41">
        <f t="shared" si="0"/>
        <v>0</v>
      </c>
    </row>
    <row r="23" spans="2:11" x14ac:dyDescent="0.2">
      <c r="B23" s="11">
        <v>1111069</v>
      </c>
      <c r="C23" s="15" t="s">
        <v>26</v>
      </c>
      <c r="D23" s="30"/>
      <c r="E23" s="30"/>
      <c r="F23" s="30"/>
      <c r="G23" s="30"/>
      <c r="H23" s="30"/>
      <c r="I23" s="30"/>
      <c r="J23" s="30"/>
      <c r="K23" s="41">
        <f t="shared" si="0"/>
        <v>0</v>
      </c>
    </row>
    <row r="24" spans="2:11" x14ac:dyDescent="0.2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x14ac:dyDescent="0.2">
      <c r="B27" s="11">
        <v>1111074</v>
      </c>
      <c r="C27" s="15" t="s">
        <v>28</v>
      </c>
      <c r="D27" s="30"/>
      <c r="E27" s="30"/>
      <c r="F27" s="30"/>
      <c r="G27" s="30"/>
      <c r="H27" s="30"/>
      <c r="I27" s="30"/>
      <c r="J27" s="30"/>
      <c r="K27" s="41">
        <f t="shared" si="0"/>
        <v>0</v>
      </c>
    </row>
    <row r="28" spans="2:11" x14ac:dyDescent="0.2">
      <c r="B28" s="11">
        <v>1111075</v>
      </c>
      <c r="C28" s="15" t="s">
        <v>29</v>
      </c>
      <c r="D28" s="30"/>
      <c r="E28" s="30"/>
      <c r="F28" s="30"/>
      <c r="G28" s="30"/>
      <c r="H28" s="30"/>
      <c r="I28" s="30"/>
      <c r="J28" s="30"/>
      <c r="K28" s="41">
        <f t="shared" si="0"/>
        <v>0</v>
      </c>
    </row>
    <row r="29" spans="2:11" x14ac:dyDescent="0.2">
      <c r="B29" s="11">
        <v>1111076</v>
      </c>
      <c r="C29" s="15" t="s">
        <v>30</v>
      </c>
      <c r="D29" s="30"/>
      <c r="E29" s="30"/>
      <c r="F29" s="30"/>
      <c r="G29" s="30"/>
      <c r="H29" s="30"/>
      <c r="I29" s="30"/>
      <c r="J29" s="30"/>
      <c r="K29" s="41">
        <f t="shared" si="0"/>
        <v>0</v>
      </c>
    </row>
    <row r="30" spans="2:11" x14ac:dyDescent="0.2">
      <c r="B30" s="11">
        <v>1111077</v>
      </c>
      <c r="C30" s="15" t="s">
        <v>31</v>
      </c>
      <c r="D30" s="30"/>
      <c r="E30" s="30"/>
      <c r="F30" s="30"/>
      <c r="G30" s="30"/>
      <c r="H30" s="30"/>
      <c r="I30" s="30"/>
      <c r="J30" s="30"/>
      <c r="K30" s="41">
        <f t="shared" si="0"/>
        <v>0</v>
      </c>
    </row>
    <row r="31" spans="2:11" x14ac:dyDescent="0.2">
      <c r="B31" s="11">
        <v>1111078</v>
      </c>
      <c r="C31" s="15" t="s">
        <v>32</v>
      </c>
      <c r="D31" s="30"/>
      <c r="E31" s="30"/>
      <c r="F31" s="30"/>
      <c r="G31" s="30"/>
      <c r="H31" s="30"/>
      <c r="I31" s="30"/>
      <c r="J31" s="30"/>
      <c r="K31" s="41">
        <f t="shared" si="0"/>
        <v>0</v>
      </c>
    </row>
    <row r="32" spans="2:11" x14ac:dyDescent="0.2">
      <c r="B32" s="11">
        <v>1111079</v>
      </c>
      <c r="C32" s="15" t="s">
        <v>33</v>
      </c>
      <c r="D32" s="30"/>
      <c r="E32" s="30"/>
      <c r="F32" s="30"/>
      <c r="G32" s="30"/>
      <c r="H32" s="30"/>
      <c r="I32" s="30"/>
      <c r="J32" s="30"/>
      <c r="K32" s="41">
        <f t="shared" si="0"/>
        <v>0</v>
      </c>
    </row>
    <row r="33" spans="2:11" x14ac:dyDescent="0.2">
      <c r="B33" s="11">
        <v>1111080</v>
      </c>
      <c r="C33" s="15" t="s">
        <v>34</v>
      </c>
      <c r="D33" s="30"/>
      <c r="E33" s="30"/>
      <c r="F33" s="30"/>
      <c r="G33" s="30"/>
      <c r="H33" s="30"/>
      <c r="I33" s="30"/>
      <c r="J33" s="30"/>
      <c r="K33" s="41">
        <f t="shared" si="0"/>
        <v>0</v>
      </c>
    </row>
    <row r="34" spans="2:11" x14ac:dyDescent="0.2">
      <c r="B34" s="11">
        <v>1111081</v>
      </c>
      <c r="C34" s="15" t="s">
        <v>35</v>
      </c>
      <c r="D34" s="30"/>
      <c r="E34" s="30"/>
      <c r="F34" s="30"/>
      <c r="G34" s="30"/>
      <c r="H34" s="30"/>
      <c r="I34" s="30"/>
      <c r="J34" s="30"/>
      <c r="K34" s="41">
        <f t="shared" si="0"/>
        <v>0</v>
      </c>
    </row>
    <row r="35" spans="2:11" x14ac:dyDescent="0.2">
      <c r="B35" s="11">
        <v>1111082</v>
      </c>
      <c r="C35" s="15" t="s">
        <v>36</v>
      </c>
      <c r="D35" s="30"/>
      <c r="E35" s="30"/>
      <c r="F35" s="30"/>
      <c r="G35" s="30"/>
      <c r="H35" s="30"/>
      <c r="I35" s="30"/>
      <c r="J35" s="30"/>
      <c r="K35" s="41">
        <f t="shared" si="0"/>
        <v>0</v>
      </c>
    </row>
    <row r="36" spans="2:11" x14ac:dyDescent="0.2">
      <c r="B36" s="11">
        <v>1111083</v>
      </c>
      <c r="C36" s="15" t="s">
        <v>37</v>
      </c>
      <c r="D36" s="30"/>
      <c r="E36" s="30"/>
      <c r="F36" s="30"/>
      <c r="G36" s="30"/>
      <c r="H36" s="30"/>
      <c r="I36" s="30"/>
      <c r="J36" s="30"/>
      <c r="K36" s="41">
        <f t="shared" si="0"/>
        <v>0</v>
      </c>
    </row>
    <row r="37" spans="2:1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x14ac:dyDescent="0.2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>SUM(D38:I38)</f>
        <v>0</v>
      </c>
    </row>
    <row r="39" spans="2:11" ht="19.5" x14ac:dyDescent="0.2">
      <c r="B39" s="57" t="s">
        <v>39</v>
      </c>
      <c r="C39" s="57"/>
      <c r="D39" s="57"/>
      <c r="E39" s="57"/>
      <c r="F39" s="57"/>
      <c r="G39" s="57"/>
      <c r="H39" s="57"/>
      <c r="I39" s="57"/>
      <c r="J39" s="57"/>
      <c r="K39" s="57"/>
    </row>
    <row r="40" spans="2:11" x14ac:dyDescent="0.2">
      <c r="B40" s="11">
        <v>1111009</v>
      </c>
      <c r="C40" s="19" t="s">
        <v>40</v>
      </c>
      <c r="D40" s="30"/>
      <c r="E40" s="30"/>
      <c r="F40" s="30"/>
      <c r="G40" s="30"/>
      <c r="H40" s="30"/>
      <c r="I40" s="30"/>
      <c r="J40" s="30"/>
      <c r="K40" s="41">
        <f>SUM(D40:J40)</f>
        <v>0</v>
      </c>
    </row>
    <row r="41" spans="2:11" ht="19.5" x14ac:dyDescent="0.2">
      <c r="B41" s="57" t="s">
        <v>41</v>
      </c>
      <c r="C41" s="57"/>
      <c r="D41" s="57"/>
      <c r="E41" s="57"/>
      <c r="F41" s="57"/>
      <c r="G41" s="57"/>
      <c r="H41" s="57"/>
      <c r="I41" s="57"/>
      <c r="J41" s="57"/>
      <c r="K41" s="57"/>
    </row>
    <row r="42" spans="2:11" x14ac:dyDescent="0.2">
      <c r="B42" s="11">
        <v>1111008</v>
      </c>
      <c r="C42" s="19" t="s">
        <v>42</v>
      </c>
      <c r="D42" s="30"/>
      <c r="E42" s="30"/>
      <c r="F42" s="30"/>
      <c r="G42" s="30"/>
      <c r="H42" s="30"/>
      <c r="I42" s="30"/>
      <c r="J42" s="30"/>
      <c r="K42" s="41">
        <f>SUM(D42:J42)</f>
        <v>0</v>
      </c>
    </row>
    <row r="43" spans="2:11" ht="19.5" x14ac:dyDescent="0.2">
      <c r="B43" s="57" t="s">
        <v>43</v>
      </c>
      <c r="C43" s="57"/>
      <c r="D43" s="57"/>
      <c r="E43" s="57"/>
      <c r="F43" s="57"/>
      <c r="G43" s="57"/>
      <c r="H43" s="57"/>
      <c r="I43" s="57"/>
      <c r="J43" s="57"/>
      <c r="K43" s="57"/>
    </row>
    <row r="44" spans="2:11" x14ac:dyDescent="0.2">
      <c r="B44" s="11">
        <v>1112009</v>
      </c>
      <c r="C44" s="19" t="s">
        <v>44</v>
      </c>
      <c r="D44" s="30"/>
      <c r="E44" s="30"/>
      <c r="F44" s="30"/>
      <c r="G44" s="30"/>
      <c r="H44" s="30"/>
      <c r="I44" s="30"/>
      <c r="J44" s="30"/>
      <c r="K44" s="41">
        <f t="shared" ref="K44:K53" si="1">SUM(D44:J44)</f>
        <v>0</v>
      </c>
    </row>
    <row r="45" spans="2:11" x14ac:dyDescent="0.2">
      <c r="B45" s="11">
        <v>1112011</v>
      </c>
      <c r="C45" s="19" t="s">
        <v>45</v>
      </c>
      <c r="D45" s="30"/>
      <c r="E45" s="30"/>
      <c r="F45" s="30"/>
      <c r="G45" s="30"/>
      <c r="H45" s="30"/>
      <c r="I45" s="30"/>
      <c r="J45" s="30"/>
      <c r="K45" s="41">
        <f t="shared" si="1"/>
        <v>0</v>
      </c>
    </row>
    <row r="46" spans="2:11" x14ac:dyDescent="0.2">
      <c r="B46" s="11">
        <v>1112003</v>
      </c>
      <c r="C46" s="19" t="s">
        <v>46</v>
      </c>
      <c r="D46" s="30"/>
      <c r="E46" s="30"/>
      <c r="F46" s="30"/>
      <c r="G46" s="30"/>
      <c r="H46" s="30"/>
      <c r="I46" s="30"/>
      <c r="J46" s="30"/>
      <c r="K46" s="41">
        <f t="shared" si="1"/>
        <v>0</v>
      </c>
    </row>
    <row r="47" spans="2:11" x14ac:dyDescent="0.2">
      <c r="B47" s="11">
        <v>1112005</v>
      </c>
      <c r="C47" s="19" t="s">
        <v>47</v>
      </c>
      <c r="D47" s="30"/>
      <c r="E47" s="30"/>
      <c r="F47" s="30"/>
      <c r="G47" s="30"/>
      <c r="H47" s="30"/>
      <c r="I47" s="30"/>
      <c r="J47" s="30"/>
      <c r="K47" s="41">
        <f t="shared" si="1"/>
        <v>0</v>
      </c>
    </row>
    <row r="48" spans="2:11" x14ac:dyDescent="0.2">
      <c r="B48" s="11">
        <v>1112007</v>
      </c>
      <c r="C48" s="19" t="s">
        <v>48</v>
      </c>
      <c r="D48" s="30"/>
      <c r="E48" s="30"/>
      <c r="F48" s="30"/>
      <c r="G48" s="30"/>
      <c r="H48" s="30"/>
      <c r="I48" s="30"/>
      <c r="J48" s="30"/>
      <c r="K48" s="41">
        <f t="shared" si="1"/>
        <v>0</v>
      </c>
    </row>
    <row r="49" spans="2:11" x14ac:dyDescent="0.2">
      <c r="B49" s="11">
        <v>1112019</v>
      </c>
      <c r="C49" s="19" t="s">
        <v>49</v>
      </c>
      <c r="D49" s="30"/>
      <c r="E49" s="30"/>
      <c r="F49" s="30"/>
      <c r="G49" s="30"/>
      <c r="H49" s="30"/>
      <c r="I49" s="30"/>
      <c r="J49" s="30"/>
      <c r="K49" s="41">
        <f t="shared" si="1"/>
        <v>0</v>
      </c>
    </row>
    <row r="50" spans="2:11" x14ac:dyDescent="0.2">
      <c r="B50" s="11">
        <v>1112017</v>
      </c>
      <c r="C50" s="19" t="s">
        <v>50</v>
      </c>
      <c r="D50" s="30"/>
      <c r="E50" s="30"/>
      <c r="F50" s="30"/>
      <c r="G50" s="30"/>
      <c r="H50" s="30"/>
      <c r="I50" s="30"/>
      <c r="J50" s="30"/>
      <c r="K50" s="41">
        <f t="shared" si="1"/>
        <v>0</v>
      </c>
    </row>
    <row r="51" spans="2:11" x14ac:dyDescent="0.2">
      <c r="B51" s="11">
        <v>1112015</v>
      </c>
      <c r="C51" s="19" t="s">
        <v>51</v>
      </c>
      <c r="D51" s="30"/>
      <c r="E51" s="30"/>
      <c r="F51" s="30"/>
      <c r="G51" s="30"/>
      <c r="H51" s="30"/>
      <c r="I51" s="30"/>
      <c r="J51" s="30"/>
      <c r="K51" s="41">
        <f t="shared" si="1"/>
        <v>0</v>
      </c>
    </row>
    <row r="52" spans="2:11" x14ac:dyDescent="0.2">
      <c r="B52" s="11">
        <v>1112013</v>
      </c>
      <c r="C52" s="19" t="s">
        <v>52</v>
      </c>
      <c r="D52" s="30"/>
      <c r="E52" s="30"/>
      <c r="F52" s="30"/>
      <c r="G52" s="30"/>
      <c r="H52" s="30"/>
      <c r="I52" s="30"/>
      <c r="J52" s="30"/>
      <c r="K52" s="41">
        <f t="shared" si="1"/>
        <v>0</v>
      </c>
    </row>
    <row r="53" spans="2:11" x14ac:dyDescent="0.2">
      <c r="B53" s="11">
        <v>1124043</v>
      </c>
      <c r="C53" s="19" t="s">
        <v>53</v>
      </c>
      <c r="D53" s="30"/>
      <c r="E53" s="30"/>
      <c r="F53" s="30"/>
      <c r="G53" s="30"/>
      <c r="H53" s="30"/>
      <c r="I53" s="30"/>
      <c r="J53" s="30"/>
      <c r="K53" s="41">
        <f t="shared" si="1"/>
        <v>0</v>
      </c>
    </row>
    <row r="54" spans="2:11" x14ac:dyDescent="0.2">
      <c r="B54" s="18"/>
      <c r="C54" s="18" t="s">
        <v>1</v>
      </c>
      <c r="D54" s="18"/>
      <c r="E54" s="18"/>
      <c r="F54" s="18"/>
      <c r="G54" s="18"/>
      <c r="H54" s="18"/>
      <c r="I54" s="18"/>
      <c r="J54" s="18"/>
      <c r="K54" s="41"/>
    </row>
    <row r="55" spans="2:11" ht="19.5" x14ac:dyDescent="0.2">
      <c r="B55" s="57" t="s">
        <v>54</v>
      </c>
      <c r="C55" s="57"/>
      <c r="D55" s="57"/>
      <c r="E55" s="57"/>
      <c r="F55" s="57"/>
      <c r="G55" s="57"/>
      <c r="H55" s="57"/>
      <c r="I55" s="57"/>
      <c r="J55" s="57"/>
      <c r="K55" s="57"/>
    </row>
    <row r="56" spans="2:11" x14ac:dyDescent="0.2">
      <c r="B56" s="11">
        <v>1100003</v>
      </c>
      <c r="C56" s="21" t="s">
        <v>73</v>
      </c>
      <c r="D56" s="30"/>
      <c r="E56" s="30"/>
      <c r="F56" s="30"/>
      <c r="G56" s="30"/>
      <c r="H56" s="30"/>
      <c r="I56" s="30"/>
      <c r="J56" s="30"/>
      <c r="K56" s="41">
        <f t="shared" ref="K56:K75" si="2">SUM(D56:J56)</f>
        <v>0</v>
      </c>
    </row>
    <row r="57" spans="2:11" x14ac:dyDescent="0.2">
      <c r="B57" s="11">
        <v>1100001</v>
      </c>
      <c r="C57" s="21" t="s">
        <v>74</v>
      </c>
      <c r="D57" s="30"/>
      <c r="E57" s="30"/>
      <c r="F57" s="30"/>
      <c r="G57" s="30"/>
      <c r="H57" s="30"/>
      <c r="I57" s="30"/>
      <c r="J57" s="30"/>
      <c r="K57" s="41">
        <f t="shared" si="2"/>
        <v>0</v>
      </c>
    </row>
    <row r="58" spans="2:11" x14ac:dyDescent="0.2">
      <c r="B58" s="11">
        <v>1100002</v>
      </c>
      <c r="C58" s="21" t="s">
        <v>75</v>
      </c>
      <c r="D58" s="30"/>
      <c r="E58" s="30"/>
      <c r="F58" s="30"/>
      <c r="G58" s="30"/>
      <c r="H58" s="30"/>
      <c r="I58" s="30"/>
      <c r="J58" s="30"/>
      <c r="K58" s="41">
        <f t="shared" si="2"/>
        <v>0</v>
      </c>
    </row>
    <row r="59" spans="2:11" x14ac:dyDescent="0.2">
      <c r="B59" s="11">
        <v>1200001</v>
      </c>
      <c r="C59" s="21" t="s">
        <v>57</v>
      </c>
      <c r="D59" s="30"/>
      <c r="E59" s="30"/>
      <c r="F59" s="30"/>
      <c r="G59" s="30"/>
      <c r="H59" s="30"/>
      <c r="I59" s="30"/>
      <c r="J59" s="30"/>
      <c r="K59" s="41">
        <f t="shared" si="2"/>
        <v>0</v>
      </c>
    </row>
    <row r="60" spans="2:11" x14ac:dyDescent="0.2">
      <c r="B60" s="11">
        <v>1005761</v>
      </c>
      <c r="C60" s="21" t="s">
        <v>58</v>
      </c>
      <c r="D60" s="30"/>
      <c r="E60" s="30"/>
      <c r="F60" s="30"/>
      <c r="G60" s="30"/>
      <c r="H60" s="30"/>
      <c r="I60" s="30"/>
      <c r="J60" s="30"/>
      <c r="K60" s="41">
        <f t="shared" si="2"/>
        <v>0</v>
      </c>
    </row>
    <row r="61" spans="2:11" x14ac:dyDescent="0.2">
      <c r="B61" s="11">
        <v>1114501</v>
      </c>
      <c r="C61" s="21" t="s">
        <v>59</v>
      </c>
      <c r="D61" s="30"/>
      <c r="E61" s="30"/>
      <c r="F61" s="30"/>
      <c r="G61" s="30"/>
      <c r="H61" s="30"/>
      <c r="I61" s="30"/>
      <c r="J61" s="30"/>
      <c r="K61" s="41">
        <f t="shared" si="2"/>
        <v>0</v>
      </c>
    </row>
    <row r="62" spans="2:11" x14ac:dyDescent="0.2">
      <c r="B62" s="11">
        <v>1114502</v>
      </c>
      <c r="C62" s="21" t="s">
        <v>60</v>
      </c>
      <c r="D62" s="30"/>
      <c r="E62" s="30"/>
      <c r="F62" s="30"/>
      <c r="G62" s="30"/>
      <c r="H62" s="30"/>
      <c r="I62" s="30"/>
      <c r="J62" s="30"/>
      <c r="K62" s="41">
        <f t="shared" si="2"/>
        <v>0</v>
      </c>
    </row>
    <row r="63" spans="2:11" x14ac:dyDescent="0.2">
      <c r="B63" s="11">
        <v>1114503</v>
      </c>
      <c r="C63" s="21" t="s">
        <v>61</v>
      </c>
      <c r="D63" s="30"/>
      <c r="E63" s="30"/>
      <c r="F63" s="30"/>
      <c r="G63" s="30"/>
      <c r="H63" s="30"/>
      <c r="I63" s="30"/>
      <c r="J63" s="30"/>
      <c r="K63" s="41">
        <f t="shared" si="2"/>
        <v>0</v>
      </c>
    </row>
    <row r="64" spans="2:11" x14ac:dyDescent="0.2">
      <c r="B64" s="11">
        <v>1124021</v>
      </c>
      <c r="C64" s="21" t="s">
        <v>62</v>
      </c>
      <c r="D64" s="30"/>
      <c r="E64" s="30"/>
      <c r="F64" s="30"/>
      <c r="G64" s="30"/>
      <c r="H64" s="30"/>
      <c r="I64" s="30"/>
      <c r="J64" s="30"/>
      <c r="K64" s="41">
        <f t="shared" si="2"/>
        <v>0</v>
      </c>
    </row>
    <row r="65" spans="2:11" x14ac:dyDescent="0.2">
      <c r="B65" s="11">
        <v>1113084</v>
      </c>
      <c r="C65" s="21" t="s">
        <v>63</v>
      </c>
      <c r="D65" s="30"/>
      <c r="E65" s="30"/>
      <c r="F65" s="30"/>
      <c r="G65" s="30"/>
      <c r="H65" s="30"/>
      <c r="I65" s="30"/>
      <c r="J65" s="30"/>
      <c r="K65" s="41">
        <f t="shared" si="2"/>
        <v>0</v>
      </c>
    </row>
    <row r="66" spans="2:11" x14ac:dyDescent="0.2">
      <c r="B66" s="11">
        <v>900003</v>
      </c>
      <c r="C66" s="21" t="s">
        <v>83</v>
      </c>
      <c r="D66" s="30"/>
      <c r="E66" s="30"/>
      <c r="F66" s="30"/>
      <c r="G66" s="30"/>
      <c r="H66" s="30"/>
      <c r="I66" s="30"/>
      <c r="J66" s="30"/>
      <c r="K66" s="41">
        <f t="shared" si="2"/>
        <v>0</v>
      </c>
    </row>
    <row r="67" spans="2:11" x14ac:dyDescent="0.2">
      <c r="B67" s="11">
        <v>900004</v>
      </c>
      <c r="C67" s="21" t="s">
        <v>64</v>
      </c>
      <c r="D67" s="30"/>
      <c r="E67" s="30"/>
      <c r="F67" s="30"/>
      <c r="G67" s="30"/>
      <c r="H67" s="30"/>
      <c r="I67" s="30"/>
      <c r="J67" s="30"/>
      <c r="K67" s="41">
        <f t="shared" si="2"/>
        <v>0</v>
      </c>
    </row>
    <row r="68" spans="2:11" x14ac:dyDescent="0.2">
      <c r="B68" s="11">
        <v>1200002</v>
      </c>
      <c r="C68" s="21" t="s">
        <v>65</v>
      </c>
      <c r="D68" s="30"/>
      <c r="E68" s="30"/>
      <c r="F68" s="30"/>
      <c r="G68" s="30"/>
      <c r="H68" s="30"/>
      <c r="I68" s="30"/>
      <c r="J68" s="30"/>
      <c r="K68" s="41">
        <f t="shared" si="2"/>
        <v>0</v>
      </c>
    </row>
    <row r="69" spans="2:11" x14ac:dyDescent="0.2">
      <c r="B69" s="11">
        <v>1200003</v>
      </c>
      <c r="C69" s="21" t="s">
        <v>66</v>
      </c>
      <c r="D69" s="30"/>
      <c r="E69" s="30"/>
      <c r="F69" s="30"/>
      <c r="G69" s="30"/>
      <c r="H69" s="30"/>
      <c r="I69" s="30"/>
      <c r="J69" s="30"/>
      <c r="K69" s="41">
        <f t="shared" si="2"/>
        <v>0</v>
      </c>
    </row>
    <row r="70" spans="2:11" x14ac:dyDescent="0.2">
      <c r="B70" s="11">
        <v>1200004</v>
      </c>
      <c r="C70" s="21" t="s">
        <v>67</v>
      </c>
      <c r="D70" s="30"/>
      <c r="E70" s="30"/>
      <c r="F70" s="30"/>
      <c r="G70" s="30"/>
      <c r="H70" s="30"/>
      <c r="I70" s="30"/>
      <c r="J70" s="30"/>
      <c r="K70" s="41">
        <f t="shared" si="2"/>
        <v>0</v>
      </c>
    </row>
    <row r="71" spans="2:11" x14ac:dyDescent="0.2">
      <c r="B71" s="11">
        <v>1200093</v>
      </c>
      <c r="C71" s="21" t="s">
        <v>55</v>
      </c>
      <c r="D71" s="30"/>
      <c r="E71" s="30"/>
      <c r="F71" s="30"/>
      <c r="G71" s="30"/>
      <c r="H71" s="30"/>
      <c r="I71" s="30"/>
      <c r="J71" s="30"/>
      <c r="K71" s="41">
        <f t="shared" si="2"/>
        <v>0</v>
      </c>
    </row>
    <row r="72" spans="2:11" x14ac:dyDescent="0.2">
      <c r="B72" s="11">
        <v>1200092</v>
      </c>
      <c r="C72" s="19" t="s">
        <v>56</v>
      </c>
      <c r="D72" s="30"/>
      <c r="E72" s="30"/>
      <c r="F72" s="30"/>
      <c r="G72" s="30"/>
      <c r="H72" s="30"/>
      <c r="I72" s="30"/>
      <c r="J72" s="30"/>
      <c r="K72" s="41">
        <f t="shared" si="2"/>
        <v>0</v>
      </c>
    </row>
    <row r="73" spans="2:11" x14ac:dyDescent="0.2">
      <c r="B73" s="22"/>
      <c r="C73" s="21" t="s">
        <v>76</v>
      </c>
      <c r="D73" s="30"/>
      <c r="E73" s="30"/>
      <c r="F73" s="30"/>
      <c r="G73" s="30"/>
      <c r="H73" s="30"/>
      <c r="I73" s="30"/>
      <c r="J73" s="30"/>
      <c r="K73" s="41">
        <f t="shared" si="2"/>
        <v>0</v>
      </c>
    </row>
    <row r="74" spans="2:11" x14ac:dyDescent="0.2">
      <c r="B74" s="22"/>
      <c r="C74" s="21" t="s">
        <v>77</v>
      </c>
      <c r="D74" s="30"/>
      <c r="E74" s="30"/>
      <c r="F74" s="30"/>
      <c r="G74" s="30"/>
      <c r="H74" s="30"/>
      <c r="I74" s="30"/>
      <c r="J74" s="30"/>
      <c r="K74" s="41">
        <f t="shared" si="2"/>
        <v>0</v>
      </c>
    </row>
    <row r="75" spans="2:11" x14ac:dyDescent="0.2">
      <c r="B75" s="22"/>
      <c r="C75" s="21" t="s">
        <v>92</v>
      </c>
      <c r="D75" s="30"/>
      <c r="E75" s="30"/>
      <c r="F75" s="30"/>
      <c r="G75" s="30"/>
      <c r="H75" s="30"/>
      <c r="I75" s="30"/>
      <c r="J75" s="30"/>
      <c r="K75" s="41">
        <f t="shared" si="2"/>
        <v>0</v>
      </c>
    </row>
    <row r="76" spans="2:11" x14ac:dyDescent="0.2">
      <c r="C76" s="35"/>
      <c r="D76" s="38"/>
      <c r="E76" s="38"/>
      <c r="F76" s="38"/>
      <c r="G76" s="38"/>
      <c r="H76" s="38"/>
      <c r="I76" s="38"/>
      <c r="J76" s="38"/>
      <c r="K76" s="39"/>
    </row>
    <row r="77" spans="2:11" x14ac:dyDescent="0.2">
      <c r="C77" s="35"/>
      <c r="D77" s="39">
        <f t="shared" ref="D77:K77" si="3">SUM(D7:D37,D42,D44:D53,D56:D75)</f>
        <v>0</v>
      </c>
      <c r="E77" s="39">
        <f t="shared" si="3"/>
        <v>0</v>
      </c>
      <c r="F77" s="39">
        <f t="shared" si="3"/>
        <v>0</v>
      </c>
      <c r="G77" s="39">
        <f t="shared" si="3"/>
        <v>0</v>
      </c>
      <c r="H77" s="39">
        <f t="shared" si="3"/>
        <v>0</v>
      </c>
      <c r="I77" s="39">
        <f t="shared" si="3"/>
        <v>0</v>
      </c>
      <c r="J77" s="39">
        <f t="shared" si="3"/>
        <v>0</v>
      </c>
      <c r="K77" s="39">
        <f t="shared" si="3"/>
        <v>0</v>
      </c>
    </row>
    <row r="78" spans="2:11" x14ac:dyDescent="0.2">
      <c r="C78" s="24"/>
      <c r="D78" s="31"/>
      <c r="E78" s="58"/>
      <c r="F78" s="58"/>
      <c r="G78" s="26"/>
    </row>
    <row r="79" spans="2:11" x14ac:dyDescent="0.2">
      <c r="B79" s="58" t="s">
        <v>68</v>
      </c>
      <c r="C79" s="58"/>
      <c r="D79" s="32"/>
      <c r="E79" s="49"/>
      <c r="F79" s="49"/>
      <c r="G79" s="27"/>
      <c r="H79" s="26"/>
      <c r="I79" s="58" t="s">
        <v>68</v>
      </c>
      <c r="J79" s="58"/>
      <c r="K79" s="58"/>
    </row>
    <row r="80" spans="2:11" x14ac:dyDescent="0.2">
      <c r="B80" s="49" t="s">
        <v>69</v>
      </c>
      <c r="C80" s="49"/>
      <c r="D80" s="33"/>
      <c r="E80" s="33"/>
      <c r="F80" s="33"/>
      <c r="G80" s="33"/>
      <c r="H80" s="33"/>
      <c r="I80" s="49" t="s">
        <v>70</v>
      </c>
      <c r="J80" s="49"/>
      <c r="K80" s="49"/>
    </row>
    <row r="81" spans="2:11" x14ac:dyDescent="0.2">
      <c r="B81" s="31"/>
      <c r="C81" s="31"/>
      <c r="D81" s="33"/>
      <c r="E81" s="33"/>
      <c r="F81" s="33"/>
      <c r="G81" s="33"/>
      <c r="H81" s="33"/>
      <c r="I81" s="31"/>
      <c r="J81" s="31"/>
      <c r="K81" s="34"/>
    </row>
    <row r="82" spans="2:11" ht="14.25" x14ac:dyDescent="0.2">
      <c r="B82" s="31"/>
      <c r="C82" s="31"/>
      <c r="D82" s="31"/>
      <c r="E82" s="31"/>
      <c r="F82" s="31"/>
      <c r="G82" s="31"/>
      <c r="H82" s="31"/>
      <c r="I82" s="31"/>
      <c r="J82" s="31"/>
      <c r="K82" s="34"/>
    </row>
    <row r="83" spans="2:11" ht="14.25" x14ac:dyDescent="0.2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 ht="14.25" x14ac:dyDescent="0.2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 ht="14.25" x14ac:dyDescent="0.2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4.2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x14ac:dyDescent="0.2">
      <c r="D87" s="31"/>
      <c r="E87" s="31"/>
      <c r="F87" s="31"/>
      <c r="G87" s="31"/>
      <c r="H87" s="31"/>
    </row>
    <row r="88" spans="2:11" x14ac:dyDescent="0.2">
      <c r="D88" s="31"/>
      <c r="E88" s="31"/>
      <c r="F88" s="31"/>
      <c r="G88" s="31"/>
      <c r="H88" s="31"/>
    </row>
    <row r="89" spans="2:11" x14ac:dyDescent="0.2">
      <c r="D89" s="31"/>
      <c r="E89" s="31"/>
      <c r="F89" s="31"/>
      <c r="G89" s="31"/>
      <c r="H89" s="31"/>
    </row>
    <row r="90" spans="2:11" x14ac:dyDescent="0.2">
      <c r="D90" s="31"/>
      <c r="E90" s="31"/>
      <c r="F90" s="31"/>
      <c r="G90" s="31"/>
      <c r="H90" s="31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</sheetData>
  <mergeCells count="13">
    <mergeCell ref="B80:C80"/>
    <mergeCell ref="I80:K80"/>
    <mergeCell ref="B1:K1"/>
    <mergeCell ref="B2:J3"/>
    <mergeCell ref="B6:K6"/>
    <mergeCell ref="B39:K39"/>
    <mergeCell ref="B41:K41"/>
    <mergeCell ref="B43:K43"/>
    <mergeCell ref="B55:K55"/>
    <mergeCell ref="E78:F78"/>
    <mergeCell ref="B79:C79"/>
    <mergeCell ref="E79:F79"/>
    <mergeCell ref="I79:K7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K97"/>
  <sheetViews>
    <sheetView topLeftCell="A45" zoomScale="60" zoomScaleNormal="60" workbookViewId="0">
      <selection activeCell="O64" sqref="O64"/>
    </sheetView>
  </sheetViews>
  <sheetFormatPr defaultRowHeight="22.5" x14ac:dyDescent="0.2"/>
  <cols>
    <col min="2" max="2" width="22.125" style="23" customWidth="1"/>
    <col min="3" max="3" width="59.125" style="23" customWidth="1"/>
    <col min="4" max="4" width="15" style="16" customWidth="1"/>
    <col min="5" max="7" width="14.375" style="16" customWidth="1"/>
    <col min="8" max="9" width="14.375" style="16" hidden="1" customWidth="1"/>
    <col min="10" max="10" width="14.375" style="16" customWidth="1"/>
    <col min="11" max="11" width="17.625" style="25" customWidth="1"/>
  </cols>
  <sheetData>
    <row r="1" spans="2:11" x14ac:dyDescent="0.2">
      <c r="B1" s="50" t="s">
        <v>98</v>
      </c>
      <c r="C1" s="50"/>
      <c r="D1" s="50"/>
      <c r="E1" s="50"/>
      <c r="F1" s="50"/>
      <c r="G1" s="50"/>
      <c r="H1" s="50"/>
      <c r="I1" s="50"/>
      <c r="J1" s="50"/>
      <c r="K1" s="50"/>
    </row>
    <row r="2" spans="2:11" x14ac:dyDescent="0.2">
      <c r="B2" s="51"/>
      <c r="C2" s="52"/>
      <c r="D2" s="52"/>
      <c r="E2" s="52"/>
      <c r="F2" s="52"/>
      <c r="G2" s="52"/>
      <c r="H2" s="52"/>
      <c r="I2" s="52"/>
      <c r="J2" s="53"/>
      <c r="K2" s="42" t="s">
        <v>0</v>
      </c>
    </row>
    <row r="3" spans="2:11" x14ac:dyDescent="0.2">
      <c r="B3" s="54"/>
      <c r="C3" s="55"/>
      <c r="D3" s="55"/>
      <c r="E3" s="55"/>
      <c r="F3" s="55"/>
      <c r="G3" s="55"/>
      <c r="H3" s="55"/>
      <c r="I3" s="55"/>
      <c r="J3" s="56"/>
      <c r="K3" s="42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2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3"/>
    </row>
    <row r="6" spans="2:11" ht="19.5" x14ac:dyDescent="0.2"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</row>
    <row r="7" spans="2:11" x14ac:dyDescent="0.2">
      <c r="B7" s="11">
        <v>1111002</v>
      </c>
      <c r="C7" s="15" t="s">
        <v>71</v>
      </c>
      <c r="D7" s="30"/>
      <c r="E7" s="30">
        <v>9</v>
      </c>
      <c r="F7" s="30">
        <v>48</v>
      </c>
      <c r="G7" s="30"/>
      <c r="H7" s="30"/>
      <c r="I7" s="30"/>
      <c r="J7" s="30"/>
      <c r="K7" s="41">
        <f t="shared" ref="K7:K37" si="0">SUM(D7:J7)</f>
        <v>57</v>
      </c>
    </row>
    <row r="8" spans="2:11" x14ac:dyDescent="0.2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si="0"/>
        <v>0</v>
      </c>
    </row>
    <row r="9" spans="2:11" x14ac:dyDescent="0.2">
      <c r="B9" s="11">
        <v>1111056</v>
      </c>
      <c r="C9" s="15" t="s">
        <v>13</v>
      </c>
      <c r="D9" s="30"/>
      <c r="E9" s="30">
        <v>7</v>
      </c>
      <c r="F9" s="30">
        <v>6</v>
      </c>
      <c r="G9" s="30">
        <v>1</v>
      </c>
      <c r="H9" s="30"/>
      <c r="I9" s="30"/>
      <c r="J9" s="30"/>
      <c r="K9" s="41">
        <f t="shared" si="0"/>
        <v>14</v>
      </c>
    </row>
    <row r="10" spans="2:11" x14ac:dyDescent="0.2">
      <c r="B10" s="11">
        <v>1004055</v>
      </c>
      <c r="C10" s="15" t="s">
        <v>72</v>
      </c>
      <c r="D10" s="30"/>
      <c r="E10" s="30">
        <v>7</v>
      </c>
      <c r="F10" s="30"/>
      <c r="G10" s="30">
        <v>52</v>
      </c>
      <c r="H10" s="30"/>
      <c r="I10" s="30"/>
      <c r="J10" s="30"/>
      <c r="K10" s="41">
        <f t="shared" si="0"/>
        <v>59</v>
      </c>
    </row>
    <row r="11" spans="2:11" x14ac:dyDescent="0.2">
      <c r="B11" s="11">
        <v>1111057</v>
      </c>
      <c r="C11" s="15" t="s">
        <v>14</v>
      </c>
      <c r="D11" s="30"/>
      <c r="E11" s="30"/>
      <c r="F11" s="30"/>
      <c r="G11" s="30">
        <v>6</v>
      </c>
      <c r="H11" s="30"/>
      <c r="I11" s="30"/>
      <c r="J11" s="30"/>
      <c r="K11" s="41">
        <f t="shared" si="0"/>
        <v>6</v>
      </c>
    </row>
    <row r="12" spans="2:11" x14ac:dyDescent="0.2">
      <c r="B12" s="11">
        <v>1111058</v>
      </c>
      <c r="C12" s="15" t="s">
        <v>15</v>
      </c>
      <c r="D12" s="30"/>
      <c r="E12" s="30"/>
      <c r="F12" s="30"/>
      <c r="G12" s="30">
        <v>6</v>
      </c>
      <c r="H12" s="30"/>
      <c r="I12" s="30"/>
      <c r="J12" s="30"/>
      <c r="K12" s="41">
        <f t="shared" si="0"/>
        <v>6</v>
      </c>
    </row>
    <row r="13" spans="2:11" x14ac:dyDescent="0.2">
      <c r="B13" s="11">
        <v>1111059</v>
      </c>
      <c r="C13" s="15" t="s">
        <v>16</v>
      </c>
      <c r="D13" s="30"/>
      <c r="E13" s="30"/>
      <c r="F13" s="30"/>
      <c r="G13" s="30">
        <v>6</v>
      </c>
      <c r="H13" s="30"/>
      <c r="I13" s="30"/>
      <c r="J13" s="30"/>
      <c r="K13" s="41">
        <f t="shared" si="0"/>
        <v>6</v>
      </c>
    </row>
    <row r="14" spans="2:11" x14ac:dyDescent="0.2">
      <c r="B14" s="11">
        <v>1111060</v>
      </c>
      <c r="C14" s="15" t="s">
        <v>17</v>
      </c>
      <c r="D14" s="30"/>
      <c r="E14" s="30"/>
      <c r="F14" s="30"/>
      <c r="G14" s="30">
        <v>4</v>
      </c>
      <c r="H14" s="30"/>
      <c r="I14" s="30"/>
      <c r="J14" s="30"/>
      <c r="K14" s="41">
        <f t="shared" si="0"/>
        <v>4</v>
      </c>
    </row>
    <row r="15" spans="2:11" x14ac:dyDescent="0.2">
      <c r="B15" s="11">
        <v>1111061</v>
      </c>
      <c r="C15" s="15" t="s">
        <v>18</v>
      </c>
      <c r="D15" s="30"/>
      <c r="E15" s="30"/>
      <c r="F15" s="30"/>
      <c r="G15" s="30">
        <v>3</v>
      </c>
      <c r="H15" s="30"/>
      <c r="I15" s="30"/>
      <c r="J15" s="30"/>
      <c r="K15" s="41">
        <f t="shared" si="0"/>
        <v>3</v>
      </c>
    </row>
    <row r="16" spans="2:11" x14ac:dyDescent="0.2">
      <c r="B16" s="11">
        <v>1111062</v>
      </c>
      <c r="C16" s="15" t="s">
        <v>19</v>
      </c>
      <c r="D16" s="30"/>
      <c r="E16" s="30"/>
      <c r="F16" s="30"/>
      <c r="G16" s="30">
        <v>1</v>
      </c>
      <c r="H16" s="30"/>
      <c r="I16" s="30"/>
      <c r="J16" s="30"/>
      <c r="K16" s="41">
        <f t="shared" si="0"/>
        <v>1</v>
      </c>
    </row>
    <row r="17" spans="2:11" x14ac:dyDescent="0.2">
      <c r="B17" s="11">
        <v>1111063</v>
      </c>
      <c r="C17" s="15" t="s">
        <v>20</v>
      </c>
      <c r="D17" s="30"/>
      <c r="E17" s="30"/>
      <c r="F17" s="30"/>
      <c r="G17" s="30">
        <v>5</v>
      </c>
      <c r="H17" s="30"/>
      <c r="I17" s="30"/>
      <c r="J17" s="30"/>
      <c r="K17" s="41">
        <f t="shared" si="0"/>
        <v>5</v>
      </c>
    </row>
    <row r="18" spans="2:11" x14ac:dyDescent="0.2">
      <c r="B18" s="11">
        <v>1111064</v>
      </c>
      <c r="C18" s="15" t="s">
        <v>21</v>
      </c>
      <c r="D18" s="30"/>
      <c r="E18" s="30"/>
      <c r="F18" s="30"/>
      <c r="G18" s="30">
        <v>3</v>
      </c>
      <c r="H18" s="30"/>
      <c r="I18" s="30"/>
      <c r="J18" s="30"/>
      <c r="K18" s="41">
        <f t="shared" si="0"/>
        <v>3</v>
      </c>
    </row>
    <row r="19" spans="2:11" x14ac:dyDescent="0.2">
      <c r="B19" s="11">
        <v>1111065</v>
      </c>
      <c r="C19" s="15" t="s">
        <v>22</v>
      </c>
      <c r="D19" s="30"/>
      <c r="E19" s="30"/>
      <c r="F19" s="30"/>
      <c r="G19" s="30">
        <v>3</v>
      </c>
      <c r="H19" s="30"/>
      <c r="I19" s="30"/>
      <c r="J19" s="30"/>
      <c r="K19" s="41">
        <f t="shared" si="0"/>
        <v>3</v>
      </c>
    </row>
    <row r="20" spans="2:11" x14ac:dyDescent="0.2">
      <c r="B20" s="11">
        <v>1111066</v>
      </c>
      <c r="C20" s="15" t="s">
        <v>23</v>
      </c>
      <c r="D20" s="30"/>
      <c r="E20" s="30"/>
      <c r="F20" s="30"/>
      <c r="G20" s="30">
        <v>4</v>
      </c>
      <c r="H20" s="30"/>
      <c r="I20" s="30"/>
      <c r="J20" s="30"/>
      <c r="K20" s="41">
        <f t="shared" si="0"/>
        <v>4</v>
      </c>
    </row>
    <row r="21" spans="2:11" x14ac:dyDescent="0.2">
      <c r="B21" s="11">
        <v>1111067</v>
      </c>
      <c r="C21" s="15" t="s">
        <v>24</v>
      </c>
      <c r="D21" s="30"/>
      <c r="E21" s="30"/>
      <c r="F21" s="30"/>
      <c r="G21" s="30">
        <v>4</v>
      </c>
      <c r="H21" s="30"/>
      <c r="I21" s="30"/>
      <c r="J21" s="30"/>
      <c r="K21" s="41">
        <f t="shared" si="0"/>
        <v>4</v>
      </c>
    </row>
    <row r="22" spans="2:11" x14ac:dyDescent="0.2">
      <c r="B22" s="11">
        <v>1111068</v>
      </c>
      <c r="C22" s="15" t="s">
        <v>25</v>
      </c>
      <c r="D22" s="30"/>
      <c r="E22" s="30"/>
      <c r="F22" s="30"/>
      <c r="G22" s="30">
        <v>4</v>
      </c>
      <c r="H22" s="30"/>
      <c r="I22" s="30"/>
      <c r="J22" s="30"/>
      <c r="K22" s="41">
        <f t="shared" si="0"/>
        <v>4</v>
      </c>
    </row>
    <row r="23" spans="2:11" x14ac:dyDescent="0.2">
      <c r="B23" s="11">
        <v>1111069</v>
      </c>
      <c r="C23" s="15" t="s">
        <v>26</v>
      </c>
      <c r="D23" s="30"/>
      <c r="E23" s="30"/>
      <c r="F23" s="30"/>
      <c r="G23" s="30">
        <v>4</v>
      </c>
      <c r="H23" s="30"/>
      <c r="I23" s="30"/>
      <c r="J23" s="30"/>
      <c r="K23" s="41">
        <f t="shared" si="0"/>
        <v>4</v>
      </c>
    </row>
    <row r="24" spans="2:11" x14ac:dyDescent="0.2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hidden="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x14ac:dyDescent="0.2">
      <c r="B27" s="11">
        <v>1111074</v>
      </c>
      <c r="C27" s="15" t="s">
        <v>28</v>
      </c>
      <c r="D27" s="30"/>
      <c r="E27" s="30"/>
      <c r="F27" s="30"/>
      <c r="G27" s="30">
        <v>3</v>
      </c>
      <c r="H27" s="30"/>
      <c r="I27" s="30"/>
      <c r="J27" s="30"/>
      <c r="K27" s="41">
        <f t="shared" si="0"/>
        <v>3</v>
      </c>
    </row>
    <row r="28" spans="2:11" x14ac:dyDescent="0.2">
      <c r="B28" s="11">
        <v>1111075</v>
      </c>
      <c r="C28" s="15" t="s">
        <v>29</v>
      </c>
      <c r="D28" s="30"/>
      <c r="E28" s="30"/>
      <c r="F28" s="30"/>
      <c r="G28" s="30">
        <v>3</v>
      </c>
      <c r="H28" s="30"/>
      <c r="I28" s="30"/>
      <c r="J28" s="30"/>
      <c r="K28" s="41">
        <f t="shared" si="0"/>
        <v>3</v>
      </c>
    </row>
    <row r="29" spans="2:11" x14ac:dyDescent="0.2">
      <c r="B29" s="11">
        <v>1111076</v>
      </c>
      <c r="C29" s="15" t="s">
        <v>30</v>
      </c>
      <c r="D29" s="30"/>
      <c r="E29" s="30"/>
      <c r="F29" s="30"/>
      <c r="G29" s="30">
        <v>3</v>
      </c>
      <c r="H29" s="30"/>
      <c r="I29" s="30"/>
      <c r="J29" s="30"/>
      <c r="K29" s="41">
        <f t="shared" si="0"/>
        <v>3</v>
      </c>
    </row>
    <row r="30" spans="2:11" x14ac:dyDescent="0.2">
      <c r="B30" s="11">
        <v>1111077</v>
      </c>
      <c r="C30" s="15" t="s">
        <v>31</v>
      </c>
      <c r="D30" s="30"/>
      <c r="E30" s="30">
        <v>1</v>
      </c>
      <c r="F30" s="30"/>
      <c r="G30" s="30">
        <v>3</v>
      </c>
      <c r="H30" s="30"/>
      <c r="I30" s="30"/>
      <c r="J30" s="30"/>
      <c r="K30" s="41">
        <f t="shared" si="0"/>
        <v>4</v>
      </c>
    </row>
    <row r="31" spans="2:11" x14ac:dyDescent="0.2">
      <c r="B31" s="11">
        <v>1111078</v>
      </c>
      <c r="C31" s="15" t="s">
        <v>32</v>
      </c>
      <c r="D31" s="30"/>
      <c r="E31" s="30">
        <v>1</v>
      </c>
      <c r="F31" s="30"/>
      <c r="G31" s="30">
        <v>3</v>
      </c>
      <c r="H31" s="30"/>
      <c r="I31" s="30"/>
      <c r="J31" s="30"/>
      <c r="K31" s="41">
        <f t="shared" si="0"/>
        <v>4</v>
      </c>
    </row>
    <row r="32" spans="2:11" x14ac:dyDescent="0.2">
      <c r="B32" s="11">
        <v>1111079</v>
      </c>
      <c r="C32" s="15" t="s">
        <v>33</v>
      </c>
      <c r="D32" s="30"/>
      <c r="E32" s="30">
        <v>1</v>
      </c>
      <c r="F32" s="30"/>
      <c r="G32" s="30">
        <v>3</v>
      </c>
      <c r="H32" s="30"/>
      <c r="I32" s="30"/>
      <c r="J32" s="30"/>
      <c r="K32" s="41">
        <f t="shared" si="0"/>
        <v>4</v>
      </c>
    </row>
    <row r="33" spans="2:11" x14ac:dyDescent="0.2">
      <c r="B33" s="11">
        <v>1111080</v>
      </c>
      <c r="C33" s="15" t="s">
        <v>34</v>
      </c>
      <c r="D33" s="30"/>
      <c r="E33" s="30"/>
      <c r="F33" s="30"/>
      <c r="G33" s="30">
        <v>3</v>
      </c>
      <c r="H33" s="30"/>
      <c r="I33" s="30"/>
      <c r="J33" s="30"/>
      <c r="K33" s="41">
        <f t="shared" si="0"/>
        <v>3</v>
      </c>
    </row>
    <row r="34" spans="2:11" x14ac:dyDescent="0.2">
      <c r="B34" s="11">
        <v>1111081</v>
      </c>
      <c r="C34" s="15" t="s">
        <v>35</v>
      </c>
      <c r="D34" s="30"/>
      <c r="E34" s="30"/>
      <c r="F34" s="30"/>
      <c r="G34" s="30">
        <v>2</v>
      </c>
      <c r="H34" s="30"/>
      <c r="I34" s="30"/>
      <c r="J34" s="30"/>
      <c r="K34" s="41">
        <f t="shared" si="0"/>
        <v>2</v>
      </c>
    </row>
    <row r="35" spans="2:11" x14ac:dyDescent="0.2">
      <c r="B35" s="11">
        <v>1111082</v>
      </c>
      <c r="C35" s="15" t="s">
        <v>36</v>
      </c>
      <c r="D35" s="30"/>
      <c r="E35" s="30"/>
      <c r="F35" s="30"/>
      <c r="G35" s="30">
        <v>2</v>
      </c>
      <c r="H35" s="30"/>
      <c r="I35" s="30"/>
      <c r="J35" s="30"/>
      <c r="K35" s="41">
        <f t="shared" si="0"/>
        <v>2</v>
      </c>
    </row>
    <row r="36" spans="2:11" x14ac:dyDescent="0.2">
      <c r="B36" s="11">
        <v>1111083</v>
      </c>
      <c r="C36" s="15" t="s">
        <v>37</v>
      </c>
      <c r="D36" s="30"/>
      <c r="E36" s="30"/>
      <c r="F36" s="30"/>
      <c r="G36" s="30">
        <v>2</v>
      </c>
      <c r="H36" s="30"/>
      <c r="I36" s="30"/>
      <c r="J36" s="30"/>
      <c r="K36" s="41">
        <f t="shared" si="0"/>
        <v>2</v>
      </c>
    </row>
    <row r="37" spans="2:11" hidden="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hidden="1" x14ac:dyDescent="0.2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>SUM(D38:I38)</f>
        <v>0</v>
      </c>
    </row>
    <row r="39" spans="2:11" ht="19.5" x14ac:dyDescent="0.2">
      <c r="B39" s="57" t="s">
        <v>39</v>
      </c>
      <c r="C39" s="57"/>
      <c r="D39" s="57"/>
      <c r="E39" s="57"/>
      <c r="F39" s="57"/>
      <c r="G39" s="57"/>
      <c r="H39" s="57"/>
      <c r="I39" s="57"/>
      <c r="J39" s="57"/>
      <c r="K39" s="57"/>
    </row>
    <row r="40" spans="2:11" x14ac:dyDescent="0.2">
      <c r="B40" s="11">
        <v>1111009</v>
      </c>
      <c r="C40" s="19" t="s">
        <v>40</v>
      </c>
      <c r="D40" s="30"/>
      <c r="E40" s="30"/>
      <c r="F40" s="30">
        <v>8</v>
      </c>
      <c r="G40" s="30">
        <v>3</v>
      </c>
      <c r="H40" s="30"/>
      <c r="I40" s="30"/>
      <c r="J40" s="30"/>
      <c r="K40" s="41">
        <f>SUM(D40:J40)</f>
        <v>11</v>
      </c>
    </row>
    <row r="41" spans="2:11" ht="19.5" x14ac:dyDescent="0.2">
      <c r="B41" s="57" t="s">
        <v>41</v>
      </c>
      <c r="C41" s="57"/>
      <c r="D41" s="57"/>
      <c r="E41" s="57"/>
      <c r="F41" s="57"/>
      <c r="G41" s="57"/>
      <c r="H41" s="57"/>
      <c r="I41" s="57"/>
      <c r="J41" s="57"/>
      <c r="K41" s="57"/>
    </row>
    <row r="42" spans="2:11" x14ac:dyDescent="0.2">
      <c r="B42" s="11">
        <v>1111008</v>
      </c>
      <c r="C42" s="19" t="s">
        <v>42</v>
      </c>
      <c r="D42" s="30">
        <v>9</v>
      </c>
      <c r="E42" s="30"/>
      <c r="F42" s="30"/>
      <c r="G42" s="30">
        <v>44</v>
      </c>
      <c r="H42" s="30"/>
      <c r="I42" s="30"/>
      <c r="J42" s="30"/>
      <c r="K42" s="41">
        <f>SUM(D42:J42)</f>
        <v>53</v>
      </c>
    </row>
    <row r="43" spans="2:11" ht="19.5" x14ac:dyDescent="0.2">
      <c r="B43" s="57" t="s">
        <v>43</v>
      </c>
      <c r="C43" s="57"/>
      <c r="D43" s="57"/>
      <c r="E43" s="57"/>
      <c r="F43" s="57"/>
      <c r="G43" s="57"/>
      <c r="H43" s="57"/>
      <c r="I43" s="57"/>
      <c r="J43" s="57"/>
      <c r="K43" s="57"/>
    </row>
    <row r="44" spans="2:11" x14ac:dyDescent="0.2">
      <c r="B44" s="11">
        <v>1112009</v>
      </c>
      <c r="C44" s="19" t="s">
        <v>44</v>
      </c>
      <c r="D44" s="30">
        <v>1</v>
      </c>
      <c r="E44" s="30">
        <v>7</v>
      </c>
      <c r="F44" s="30">
        <v>16</v>
      </c>
      <c r="G44" s="30">
        <v>24</v>
      </c>
      <c r="H44" s="30"/>
      <c r="I44" s="30"/>
      <c r="J44" s="30"/>
      <c r="K44" s="41">
        <f t="shared" ref="K44:K53" si="1">SUM(D44:J44)</f>
        <v>48</v>
      </c>
    </row>
    <row r="45" spans="2:11" x14ac:dyDescent="0.2">
      <c r="B45" s="11">
        <v>1112011</v>
      </c>
      <c r="C45" s="19" t="s">
        <v>45</v>
      </c>
      <c r="D45" s="30">
        <v>6</v>
      </c>
      <c r="E45" s="30">
        <v>8</v>
      </c>
      <c r="F45" s="30">
        <v>11</v>
      </c>
      <c r="G45" s="30">
        <v>24</v>
      </c>
      <c r="H45" s="30"/>
      <c r="I45" s="30"/>
      <c r="J45" s="30"/>
      <c r="K45" s="41">
        <f t="shared" si="1"/>
        <v>49</v>
      </c>
    </row>
    <row r="46" spans="2:11" x14ac:dyDescent="0.2">
      <c r="B46" s="11">
        <v>1112003</v>
      </c>
      <c r="C46" s="19" t="s">
        <v>46</v>
      </c>
      <c r="D46" s="30">
        <v>2</v>
      </c>
      <c r="E46" s="30"/>
      <c r="F46" s="30"/>
      <c r="G46" s="30"/>
      <c r="H46" s="30"/>
      <c r="I46" s="30"/>
      <c r="J46" s="30"/>
      <c r="K46" s="41">
        <f t="shared" si="1"/>
        <v>2</v>
      </c>
    </row>
    <row r="47" spans="2:11" x14ac:dyDescent="0.2">
      <c r="B47" s="11">
        <v>1112005</v>
      </c>
      <c r="C47" s="19" t="s">
        <v>47</v>
      </c>
      <c r="D47" s="30">
        <v>5</v>
      </c>
      <c r="E47" s="30"/>
      <c r="F47" s="30"/>
      <c r="G47" s="30"/>
      <c r="H47" s="30"/>
      <c r="I47" s="30"/>
      <c r="J47" s="30"/>
      <c r="K47" s="41">
        <f t="shared" si="1"/>
        <v>5</v>
      </c>
    </row>
    <row r="48" spans="2:11" x14ac:dyDescent="0.2">
      <c r="B48" s="11">
        <v>1112007</v>
      </c>
      <c r="C48" s="19" t="s">
        <v>48</v>
      </c>
      <c r="D48" s="30"/>
      <c r="E48" s="30"/>
      <c r="F48" s="30"/>
      <c r="G48" s="30"/>
      <c r="H48" s="30"/>
      <c r="I48" s="30"/>
      <c r="J48" s="30"/>
      <c r="K48" s="41">
        <f t="shared" si="1"/>
        <v>0</v>
      </c>
    </row>
    <row r="49" spans="2:11" x14ac:dyDescent="0.2">
      <c r="B49" s="11">
        <v>1112019</v>
      </c>
      <c r="C49" s="19" t="s">
        <v>49</v>
      </c>
      <c r="D49" s="30"/>
      <c r="E49" s="30"/>
      <c r="F49" s="30"/>
      <c r="G49" s="30"/>
      <c r="H49" s="30"/>
      <c r="I49" s="30"/>
      <c r="J49" s="30"/>
      <c r="K49" s="41">
        <f t="shared" si="1"/>
        <v>0</v>
      </c>
    </row>
    <row r="50" spans="2:11" x14ac:dyDescent="0.2">
      <c r="B50" s="11">
        <v>1112017</v>
      </c>
      <c r="C50" s="19" t="s">
        <v>50</v>
      </c>
      <c r="D50" s="30">
        <v>1</v>
      </c>
      <c r="E50" s="30"/>
      <c r="F50" s="30"/>
      <c r="G50" s="30"/>
      <c r="H50" s="30"/>
      <c r="I50" s="30"/>
      <c r="J50" s="30"/>
      <c r="K50" s="41">
        <f t="shared" si="1"/>
        <v>1</v>
      </c>
    </row>
    <row r="51" spans="2:11" x14ac:dyDescent="0.2">
      <c r="B51" s="11">
        <v>1112015</v>
      </c>
      <c r="C51" s="19" t="s">
        <v>51</v>
      </c>
      <c r="D51" s="30"/>
      <c r="E51" s="30"/>
      <c r="F51" s="30"/>
      <c r="G51" s="30"/>
      <c r="H51" s="30"/>
      <c r="I51" s="30"/>
      <c r="J51" s="30"/>
      <c r="K51" s="41">
        <f t="shared" si="1"/>
        <v>0</v>
      </c>
    </row>
    <row r="52" spans="2:11" x14ac:dyDescent="0.2">
      <c r="B52" s="11">
        <v>1112013</v>
      </c>
      <c r="C52" s="19" t="s">
        <v>52</v>
      </c>
      <c r="D52" s="30">
        <v>3</v>
      </c>
      <c r="E52" s="30">
        <v>6</v>
      </c>
      <c r="F52" s="30">
        <v>7</v>
      </c>
      <c r="G52" s="30">
        <v>24</v>
      </c>
      <c r="H52" s="30"/>
      <c r="I52" s="30"/>
      <c r="J52" s="30"/>
      <c r="K52" s="41">
        <f t="shared" si="1"/>
        <v>40</v>
      </c>
    </row>
    <row r="53" spans="2:11" x14ac:dyDescent="0.2">
      <c r="B53" s="11">
        <v>1124043</v>
      </c>
      <c r="C53" s="19" t="s">
        <v>53</v>
      </c>
      <c r="D53" s="30"/>
      <c r="E53" s="30"/>
      <c r="F53" s="30"/>
      <c r="G53" s="30"/>
      <c r="H53" s="30"/>
      <c r="I53" s="30"/>
      <c r="J53" s="30"/>
      <c r="K53" s="41">
        <f t="shared" si="1"/>
        <v>0</v>
      </c>
    </row>
    <row r="54" spans="2:11" x14ac:dyDescent="0.2">
      <c r="B54" s="18"/>
      <c r="C54" s="18" t="s">
        <v>1</v>
      </c>
      <c r="D54" s="18"/>
      <c r="E54" s="18"/>
      <c r="F54" s="18"/>
      <c r="G54" s="18"/>
      <c r="H54" s="18"/>
      <c r="I54" s="18"/>
      <c r="J54" s="18"/>
      <c r="K54" s="41"/>
    </row>
    <row r="55" spans="2:11" ht="19.5" x14ac:dyDescent="0.2">
      <c r="B55" s="57" t="s">
        <v>54</v>
      </c>
      <c r="C55" s="57"/>
      <c r="D55" s="57"/>
      <c r="E55" s="57"/>
      <c r="F55" s="57"/>
      <c r="G55" s="57"/>
      <c r="H55" s="57"/>
      <c r="I55" s="57"/>
      <c r="J55" s="57"/>
      <c r="K55" s="57"/>
    </row>
    <row r="56" spans="2:11" x14ac:dyDescent="0.2">
      <c r="B56" s="11">
        <v>1100003</v>
      </c>
      <c r="C56" s="21" t="s">
        <v>73</v>
      </c>
      <c r="D56" s="30">
        <v>2</v>
      </c>
      <c r="E56" s="30">
        <v>1</v>
      </c>
      <c r="F56" s="30"/>
      <c r="G56" s="30"/>
      <c r="H56" s="30"/>
      <c r="I56" s="30"/>
      <c r="J56" s="30"/>
      <c r="K56" s="41">
        <f t="shared" ref="K56:K75" si="2">SUM(D56:J56)</f>
        <v>3</v>
      </c>
    </row>
    <row r="57" spans="2:11" x14ac:dyDescent="0.2">
      <c r="B57" s="11">
        <v>1100001</v>
      </c>
      <c r="C57" s="21" t="s">
        <v>74</v>
      </c>
      <c r="D57" s="30"/>
      <c r="E57" s="30">
        <v>1</v>
      </c>
      <c r="F57" s="30"/>
      <c r="G57" s="30">
        <v>1</v>
      </c>
      <c r="H57" s="30"/>
      <c r="I57" s="30"/>
      <c r="J57" s="30"/>
      <c r="K57" s="41">
        <f t="shared" si="2"/>
        <v>2</v>
      </c>
    </row>
    <row r="58" spans="2:11" x14ac:dyDescent="0.2">
      <c r="B58" s="11">
        <v>1100002</v>
      </c>
      <c r="C58" s="21" t="s">
        <v>75</v>
      </c>
      <c r="D58" s="30"/>
      <c r="E58" s="30">
        <v>1</v>
      </c>
      <c r="F58" s="30"/>
      <c r="G58" s="30"/>
      <c r="H58" s="30"/>
      <c r="I58" s="30"/>
      <c r="J58" s="30"/>
      <c r="K58" s="41">
        <f t="shared" si="2"/>
        <v>1</v>
      </c>
    </row>
    <row r="59" spans="2:11" x14ac:dyDescent="0.2">
      <c r="B59" s="11">
        <v>1200001</v>
      </c>
      <c r="C59" s="21" t="s">
        <v>57</v>
      </c>
      <c r="D59" s="30"/>
      <c r="E59" s="30">
        <v>1</v>
      </c>
      <c r="F59" s="30"/>
      <c r="G59" s="30"/>
      <c r="H59" s="30"/>
      <c r="I59" s="30"/>
      <c r="J59" s="30"/>
      <c r="K59" s="41">
        <f t="shared" si="2"/>
        <v>1</v>
      </c>
    </row>
    <row r="60" spans="2:11" x14ac:dyDescent="0.2">
      <c r="B60" s="11">
        <v>1005761</v>
      </c>
      <c r="C60" s="21" t="s">
        <v>58</v>
      </c>
      <c r="D60" s="30"/>
      <c r="E60" s="30"/>
      <c r="F60" s="30"/>
      <c r="G60" s="30"/>
      <c r="H60" s="30"/>
      <c r="I60" s="30"/>
      <c r="J60" s="30"/>
      <c r="K60" s="41">
        <f t="shared" si="2"/>
        <v>0</v>
      </c>
    </row>
    <row r="61" spans="2:11" x14ac:dyDescent="0.2">
      <c r="B61" s="11">
        <v>1114501</v>
      </c>
      <c r="C61" s="21" t="s">
        <v>59</v>
      </c>
      <c r="D61" s="30"/>
      <c r="E61" s="30">
        <v>8</v>
      </c>
      <c r="F61" s="30">
        <v>5</v>
      </c>
      <c r="G61" s="30">
        <v>191</v>
      </c>
      <c r="H61" s="30"/>
      <c r="I61" s="30"/>
      <c r="J61" s="30"/>
      <c r="K61" s="41">
        <f t="shared" si="2"/>
        <v>204</v>
      </c>
    </row>
    <row r="62" spans="2:11" x14ac:dyDescent="0.2">
      <c r="B62" s="11">
        <v>1114502</v>
      </c>
      <c r="C62" s="21" t="s">
        <v>60</v>
      </c>
      <c r="D62" s="30"/>
      <c r="E62" s="30">
        <v>3</v>
      </c>
      <c r="F62" s="30">
        <v>4</v>
      </c>
      <c r="G62" s="30">
        <v>190</v>
      </c>
      <c r="H62" s="30"/>
      <c r="I62" s="30"/>
      <c r="J62" s="30"/>
      <c r="K62" s="41">
        <f t="shared" si="2"/>
        <v>197</v>
      </c>
    </row>
    <row r="63" spans="2:11" x14ac:dyDescent="0.2">
      <c r="B63" s="11">
        <v>1114503</v>
      </c>
      <c r="C63" s="21" t="s">
        <v>61</v>
      </c>
      <c r="D63" s="30"/>
      <c r="E63" s="30">
        <v>2</v>
      </c>
      <c r="F63" s="30">
        <v>4</v>
      </c>
      <c r="G63" s="30">
        <v>188</v>
      </c>
      <c r="H63" s="30"/>
      <c r="I63" s="30"/>
      <c r="J63" s="30"/>
      <c r="K63" s="41">
        <f t="shared" si="2"/>
        <v>194</v>
      </c>
    </row>
    <row r="64" spans="2:11" x14ac:dyDescent="0.2">
      <c r="B64" s="11">
        <v>1124021</v>
      </c>
      <c r="C64" s="21" t="s">
        <v>62</v>
      </c>
      <c r="D64" s="30">
        <v>2</v>
      </c>
      <c r="E64" s="30">
        <v>36</v>
      </c>
      <c r="F64" s="30">
        <v>25</v>
      </c>
      <c r="G64" s="30">
        <v>66</v>
      </c>
      <c r="H64" s="30"/>
      <c r="I64" s="30"/>
      <c r="J64" s="30"/>
      <c r="K64" s="41">
        <f t="shared" si="2"/>
        <v>129</v>
      </c>
    </row>
    <row r="65" spans="2:11" x14ac:dyDescent="0.2">
      <c r="B65" s="11">
        <v>1113084</v>
      </c>
      <c r="C65" s="21" t="s">
        <v>63</v>
      </c>
      <c r="D65" s="30"/>
      <c r="E65" s="30"/>
      <c r="F65" s="30"/>
      <c r="G65" s="30"/>
      <c r="H65" s="30"/>
      <c r="I65" s="30"/>
      <c r="J65" s="30"/>
      <c r="K65" s="41">
        <f t="shared" si="2"/>
        <v>0</v>
      </c>
    </row>
    <row r="66" spans="2:11" x14ac:dyDescent="0.2">
      <c r="B66" s="11">
        <v>900003</v>
      </c>
      <c r="C66" s="21" t="s">
        <v>83</v>
      </c>
      <c r="D66" s="30"/>
      <c r="E66" s="30"/>
      <c r="F66" s="30"/>
      <c r="G66" s="30"/>
      <c r="H66" s="30"/>
      <c r="I66" s="30"/>
      <c r="J66" s="30"/>
      <c r="K66" s="41">
        <f t="shared" si="2"/>
        <v>0</v>
      </c>
    </row>
    <row r="67" spans="2:11" x14ac:dyDescent="0.2">
      <c r="B67" s="11">
        <v>900004</v>
      </c>
      <c r="C67" s="21" t="s">
        <v>64</v>
      </c>
      <c r="D67" s="30"/>
      <c r="E67" s="30"/>
      <c r="F67" s="30"/>
      <c r="G67" s="30"/>
      <c r="H67" s="30"/>
      <c r="I67" s="30"/>
      <c r="J67" s="30"/>
      <c r="K67" s="41">
        <f t="shared" si="2"/>
        <v>0</v>
      </c>
    </row>
    <row r="68" spans="2:11" x14ac:dyDescent="0.2">
      <c r="B68" s="11">
        <v>1200002</v>
      </c>
      <c r="C68" s="21" t="s">
        <v>65</v>
      </c>
      <c r="D68" s="30"/>
      <c r="E68" s="30"/>
      <c r="F68" s="30"/>
      <c r="G68" s="30"/>
      <c r="H68" s="30"/>
      <c r="I68" s="30"/>
      <c r="J68" s="30"/>
      <c r="K68" s="41">
        <f t="shared" si="2"/>
        <v>0</v>
      </c>
    </row>
    <row r="69" spans="2:11" x14ac:dyDescent="0.2">
      <c r="B69" s="11">
        <v>1200003</v>
      </c>
      <c r="C69" s="21" t="s">
        <v>66</v>
      </c>
      <c r="D69" s="30"/>
      <c r="E69" s="30"/>
      <c r="F69" s="30"/>
      <c r="G69" s="30"/>
      <c r="H69" s="30"/>
      <c r="I69" s="30"/>
      <c r="J69" s="30"/>
      <c r="K69" s="41">
        <f t="shared" si="2"/>
        <v>0</v>
      </c>
    </row>
    <row r="70" spans="2:11" x14ac:dyDescent="0.2">
      <c r="B70" s="11">
        <v>1200004</v>
      </c>
      <c r="C70" s="21" t="s">
        <v>67</v>
      </c>
      <c r="D70" s="30"/>
      <c r="E70" s="30"/>
      <c r="F70" s="30"/>
      <c r="G70" s="30"/>
      <c r="H70" s="30"/>
      <c r="I70" s="30"/>
      <c r="J70" s="30"/>
      <c r="K70" s="41">
        <f t="shared" si="2"/>
        <v>0</v>
      </c>
    </row>
    <row r="71" spans="2:11" x14ac:dyDescent="0.2">
      <c r="B71" s="11">
        <v>1200093</v>
      </c>
      <c r="C71" s="21" t="s">
        <v>55</v>
      </c>
      <c r="D71" s="30"/>
      <c r="E71" s="30"/>
      <c r="F71" s="30"/>
      <c r="G71" s="30"/>
      <c r="H71" s="30"/>
      <c r="I71" s="30"/>
      <c r="J71" s="30"/>
      <c r="K71" s="41">
        <f t="shared" si="2"/>
        <v>0</v>
      </c>
    </row>
    <row r="72" spans="2:11" x14ac:dyDescent="0.2">
      <c r="B72" s="11">
        <v>1200092</v>
      </c>
      <c r="C72" s="19" t="s">
        <v>56</v>
      </c>
      <c r="D72" s="30"/>
      <c r="E72" s="30"/>
      <c r="F72" s="30"/>
      <c r="G72" s="30"/>
      <c r="H72" s="30"/>
      <c r="I72" s="30"/>
      <c r="J72" s="30"/>
      <c r="K72" s="41">
        <f t="shared" si="2"/>
        <v>0</v>
      </c>
    </row>
    <row r="73" spans="2:11" x14ac:dyDescent="0.2">
      <c r="B73" s="22"/>
      <c r="C73" s="21" t="s">
        <v>76</v>
      </c>
      <c r="D73" s="30"/>
      <c r="E73" s="30"/>
      <c r="F73" s="30"/>
      <c r="G73" s="30"/>
      <c r="H73" s="30"/>
      <c r="I73" s="30"/>
      <c r="J73" s="30">
        <v>2</v>
      </c>
      <c r="K73" s="41">
        <f t="shared" si="2"/>
        <v>2</v>
      </c>
    </row>
    <row r="74" spans="2:11" x14ac:dyDescent="0.2">
      <c r="B74" s="22"/>
      <c r="C74" s="21" t="s">
        <v>77</v>
      </c>
      <c r="D74" s="30"/>
      <c r="E74" s="30">
        <v>12</v>
      </c>
      <c r="F74" s="30"/>
      <c r="G74" s="30"/>
      <c r="H74" s="30"/>
      <c r="I74" s="30"/>
      <c r="J74" s="30">
        <v>1</v>
      </c>
      <c r="K74" s="41">
        <f t="shared" si="2"/>
        <v>13</v>
      </c>
    </row>
    <row r="75" spans="2:11" hidden="1" x14ac:dyDescent="0.2">
      <c r="B75" s="22"/>
      <c r="C75" s="21" t="s">
        <v>92</v>
      </c>
      <c r="D75" s="30"/>
      <c r="E75" s="30"/>
      <c r="F75" s="30"/>
      <c r="G75" s="30"/>
      <c r="H75" s="30"/>
      <c r="I75" s="30"/>
      <c r="J75" s="30"/>
      <c r="K75" s="41">
        <f t="shared" si="2"/>
        <v>0</v>
      </c>
    </row>
    <row r="76" spans="2:11" x14ac:dyDescent="0.2">
      <c r="C76" s="35"/>
      <c r="D76" s="38"/>
      <c r="E76" s="38"/>
      <c r="F76" s="38"/>
      <c r="G76" s="38"/>
      <c r="H76" s="38"/>
      <c r="I76" s="38"/>
      <c r="J76" s="38"/>
      <c r="K76" s="39"/>
    </row>
    <row r="77" spans="2:11" x14ac:dyDescent="0.2">
      <c r="C77" s="35"/>
      <c r="D77" s="39">
        <f t="shared" ref="D77:J77" si="3">SUM(D56:D74,D44:D53,D42,D40,D7:D36)</f>
        <v>31</v>
      </c>
      <c r="E77" s="39">
        <f t="shared" si="3"/>
        <v>112</v>
      </c>
      <c r="F77" s="39">
        <f t="shared" si="3"/>
        <v>134</v>
      </c>
      <c r="G77" s="39">
        <f t="shared" si="3"/>
        <v>888</v>
      </c>
      <c r="H77" s="39">
        <f t="shared" si="3"/>
        <v>0</v>
      </c>
      <c r="I77" s="39">
        <f t="shared" si="3"/>
        <v>0</v>
      </c>
      <c r="J77" s="39">
        <f t="shared" si="3"/>
        <v>3</v>
      </c>
      <c r="K77" s="39">
        <f>SUM(K56:K74,K44:K53,K42,K40,K7:K36)</f>
        <v>1168</v>
      </c>
    </row>
    <row r="78" spans="2:11" x14ac:dyDescent="0.2">
      <c r="C78" s="24"/>
      <c r="D78" s="31"/>
      <c r="E78" s="58"/>
      <c r="F78" s="58"/>
      <c r="G78" s="26"/>
    </row>
    <row r="79" spans="2:11" x14ac:dyDescent="0.2">
      <c r="B79" s="58" t="s">
        <v>68</v>
      </c>
      <c r="C79" s="58"/>
      <c r="D79" s="32"/>
      <c r="E79" s="49"/>
      <c r="F79" s="49"/>
      <c r="G79" s="27"/>
      <c r="H79" s="26"/>
      <c r="I79" s="58" t="s">
        <v>68</v>
      </c>
      <c r="J79" s="58"/>
      <c r="K79" s="58"/>
    </row>
    <row r="80" spans="2:11" x14ac:dyDescent="0.2">
      <c r="B80" s="49" t="s">
        <v>69</v>
      </c>
      <c r="C80" s="49"/>
      <c r="D80" s="33"/>
      <c r="E80" s="33"/>
      <c r="F80" s="33"/>
      <c r="G80" s="33"/>
      <c r="H80" s="33"/>
      <c r="I80" s="49" t="s">
        <v>70</v>
      </c>
      <c r="J80" s="49"/>
      <c r="K80" s="49"/>
    </row>
    <row r="81" spans="2:11" x14ac:dyDescent="0.2">
      <c r="B81" s="31"/>
      <c r="C81" s="31"/>
      <c r="D81" s="33"/>
      <c r="E81" s="33"/>
      <c r="F81" s="33"/>
      <c r="G81" s="33"/>
      <c r="H81" s="33"/>
      <c r="I81" s="31"/>
      <c r="J81" s="31"/>
      <c r="K81" s="34"/>
    </row>
    <row r="82" spans="2:11" ht="14.25" x14ac:dyDescent="0.2">
      <c r="B82" s="31"/>
      <c r="C82" s="31"/>
      <c r="D82" s="31"/>
      <c r="E82" s="31"/>
      <c r="F82" s="31"/>
      <c r="G82" s="31"/>
      <c r="H82" s="31"/>
      <c r="I82" s="31"/>
      <c r="J82" s="31"/>
      <c r="K82" s="34"/>
    </row>
    <row r="83" spans="2:11" ht="14.25" x14ac:dyDescent="0.2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 ht="14.25" x14ac:dyDescent="0.2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 ht="14.25" x14ac:dyDescent="0.2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4.2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x14ac:dyDescent="0.2">
      <c r="D87" s="31"/>
      <c r="E87" s="31"/>
      <c r="F87" s="31"/>
      <c r="G87" s="31"/>
      <c r="H87" s="31"/>
    </row>
    <row r="88" spans="2:11" x14ac:dyDescent="0.2">
      <c r="D88" s="31"/>
      <c r="E88" s="31"/>
      <c r="F88" s="31"/>
      <c r="G88" s="31"/>
      <c r="H88" s="31"/>
    </row>
    <row r="89" spans="2:11" x14ac:dyDescent="0.2">
      <c r="D89" s="31"/>
      <c r="E89" s="31"/>
      <c r="F89" s="31"/>
      <c r="G89" s="31"/>
      <c r="H89" s="31"/>
    </row>
    <row r="90" spans="2:11" x14ac:dyDescent="0.2">
      <c r="D90" s="31"/>
      <c r="E90" s="31"/>
      <c r="F90" s="31"/>
      <c r="G90" s="31"/>
      <c r="H90" s="31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</sheetData>
  <mergeCells count="13">
    <mergeCell ref="B2:J3"/>
    <mergeCell ref="B1:K1"/>
    <mergeCell ref="B80:C80"/>
    <mergeCell ref="I80:K80"/>
    <mergeCell ref="B6:K6"/>
    <mergeCell ref="B39:K39"/>
    <mergeCell ref="B41:K41"/>
    <mergeCell ref="B43:K43"/>
    <mergeCell ref="B55:K55"/>
    <mergeCell ref="E78:F78"/>
    <mergeCell ref="B79:C79"/>
    <mergeCell ref="E79:F79"/>
    <mergeCell ref="I79:K79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5D1E-FE01-4F52-BA5E-E4BE507F9E04}">
  <dimension ref="B1:K100"/>
  <sheetViews>
    <sheetView topLeftCell="A34" zoomScale="70" zoomScaleNormal="70" workbookViewId="0">
      <selection activeCell="I31" sqref="I31"/>
    </sheetView>
  </sheetViews>
  <sheetFormatPr defaultRowHeight="22.5" x14ac:dyDescent="0.2"/>
  <cols>
    <col min="2" max="2" width="22.125" style="23" customWidth="1"/>
    <col min="3" max="3" width="59.125" style="23" customWidth="1"/>
    <col min="4" max="4" width="15" style="16" customWidth="1"/>
    <col min="5" max="10" width="14.375" style="16" customWidth="1"/>
    <col min="11" max="11" width="17.625" style="25" customWidth="1"/>
  </cols>
  <sheetData>
    <row r="1" spans="2:11" x14ac:dyDescent="0.2">
      <c r="B1" s="50" t="s">
        <v>97</v>
      </c>
      <c r="C1" s="50"/>
      <c r="D1" s="50"/>
      <c r="E1" s="50"/>
      <c r="F1" s="50"/>
      <c r="G1" s="50"/>
      <c r="H1" s="50"/>
      <c r="I1" s="50"/>
      <c r="J1" s="50"/>
      <c r="K1" s="50"/>
    </row>
    <row r="2" spans="2:11" x14ac:dyDescent="0.2">
      <c r="B2" s="51"/>
      <c r="C2" s="52"/>
      <c r="D2" s="52"/>
      <c r="E2" s="52"/>
      <c r="F2" s="52"/>
      <c r="G2" s="52"/>
      <c r="H2" s="52"/>
      <c r="I2" s="52"/>
      <c r="J2" s="53"/>
      <c r="K2" s="42" t="s">
        <v>0</v>
      </c>
    </row>
    <row r="3" spans="2:11" x14ac:dyDescent="0.2">
      <c r="B3" s="54"/>
      <c r="C3" s="55"/>
      <c r="D3" s="55"/>
      <c r="E3" s="55"/>
      <c r="F3" s="55"/>
      <c r="G3" s="55"/>
      <c r="H3" s="55"/>
      <c r="I3" s="55"/>
      <c r="J3" s="56"/>
      <c r="K3" s="42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2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3"/>
    </row>
    <row r="6" spans="2:11" ht="19.5" x14ac:dyDescent="0.2"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</row>
    <row r="7" spans="2:11" x14ac:dyDescent="0.2">
      <c r="B7" s="11">
        <v>1111002</v>
      </c>
      <c r="C7" s="15" t="s">
        <v>71</v>
      </c>
      <c r="D7" s="30"/>
      <c r="E7" s="30">
        <v>10</v>
      </c>
      <c r="F7" s="30">
        <v>18</v>
      </c>
      <c r="G7" s="30"/>
      <c r="H7" s="30"/>
      <c r="I7" s="30"/>
      <c r="J7" s="30"/>
      <c r="K7" s="41">
        <f t="shared" ref="K7:K37" si="0">SUM(D7:J7)</f>
        <v>28</v>
      </c>
    </row>
    <row r="8" spans="2:11" x14ac:dyDescent="0.2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si="0"/>
        <v>0</v>
      </c>
    </row>
    <row r="9" spans="2:11" x14ac:dyDescent="0.2">
      <c r="B9" s="11">
        <v>1111056</v>
      </c>
      <c r="C9" s="15" t="s">
        <v>13</v>
      </c>
      <c r="D9" s="30"/>
      <c r="E9" s="30"/>
      <c r="F9" s="30">
        <v>3</v>
      </c>
      <c r="G9" s="30">
        <v>1</v>
      </c>
      <c r="H9" s="30">
        <v>1</v>
      </c>
      <c r="I9" s="30"/>
      <c r="J9" s="30"/>
      <c r="K9" s="41">
        <f t="shared" si="0"/>
        <v>5</v>
      </c>
    </row>
    <row r="10" spans="2:11" x14ac:dyDescent="0.2">
      <c r="B10" s="11">
        <v>1004055</v>
      </c>
      <c r="C10" s="15" t="s">
        <v>72</v>
      </c>
      <c r="D10" s="30"/>
      <c r="E10" s="30"/>
      <c r="F10" s="30"/>
      <c r="G10" s="30">
        <v>9</v>
      </c>
      <c r="H10" s="30">
        <v>6</v>
      </c>
      <c r="I10" s="30">
        <v>3</v>
      </c>
      <c r="J10" s="30"/>
      <c r="K10" s="41">
        <f t="shared" si="0"/>
        <v>18</v>
      </c>
    </row>
    <row r="11" spans="2:11" x14ac:dyDescent="0.2">
      <c r="B11" s="11">
        <v>1111057</v>
      </c>
      <c r="C11" s="15" t="s">
        <v>14</v>
      </c>
      <c r="D11" s="30"/>
      <c r="E11" s="30"/>
      <c r="F11" s="30"/>
      <c r="G11" s="30">
        <v>2</v>
      </c>
      <c r="H11" s="30"/>
      <c r="I11" s="30">
        <v>1</v>
      </c>
      <c r="J11" s="30">
        <v>1</v>
      </c>
      <c r="K11" s="41">
        <f t="shared" si="0"/>
        <v>4</v>
      </c>
    </row>
    <row r="12" spans="2:11" x14ac:dyDescent="0.2">
      <c r="B12" s="11">
        <v>1111058</v>
      </c>
      <c r="C12" s="15" t="s">
        <v>15</v>
      </c>
      <c r="D12" s="30"/>
      <c r="E12" s="30"/>
      <c r="F12" s="30"/>
      <c r="G12" s="30">
        <v>2</v>
      </c>
      <c r="H12" s="30"/>
      <c r="I12" s="30"/>
      <c r="J12" s="30">
        <v>1</v>
      </c>
      <c r="K12" s="41">
        <f t="shared" si="0"/>
        <v>3</v>
      </c>
    </row>
    <row r="13" spans="2:11" x14ac:dyDescent="0.2">
      <c r="B13" s="11">
        <v>1111059</v>
      </c>
      <c r="C13" s="15" t="s">
        <v>16</v>
      </c>
      <c r="D13" s="30"/>
      <c r="E13" s="30"/>
      <c r="F13" s="30"/>
      <c r="G13" s="30">
        <v>2</v>
      </c>
      <c r="H13" s="30"/>
      <c r="I13" s="30"/>
      <c r="J13" s="30">
        <v>1</v>
      </c>
      <c r="K13" s="41">
        <f t="shared" si="0"/>
        <v>3</v>
      </c>
    </row>
    <row r="14" spans="2:11" x14ac:dyDescent="0.2">
      <c r="B14" s="11">
        <v>1111060</v>
      </c>
      <c r="C14" s="15" t="s">
        <v>17</v>
      </c>
      <c r="D14" s="30"/>
      <c r="E14" s="30"/>
      <c r="F14" s="30"/>
      <c r="G14" s="30">
        <v>2</v>
      </c>
      <c r="H14" s="30"/>
      <c r="I14" s="30"/>
      <c r="J14" s="30"/>
      <c r="K14" s="41">
        <f t="shared" si="0"/>
        <v>2</v>
      </c>
    </row>
    <row r="15" spans="2:11" x14ac:dyDescent="0.2">
      <c r="B15" s="11">
        <v>1111061</v>
      </c>
      <c r="C15" s="15" t="s">
        <v>18</v>
      </c>
      <c r="D15" s="30"/>
      <c r="E15" s="30"/>
      <c r="F15" s="30"/>
      <c r="G15" s="30"/>
      <c r="H15" s="30"/>
      <c r="I15" s="30"/>
      <c r="J15" s="30"/>
      <c r="K15" s="41">
        <f t="shared" si="0"/>
        <v>0</v>
      </c>
    </row>
    <row r="16" spans="2:11" x14ac:dyDescent="0.2">
      <c r="B16" s="11">
        <v>1111062</v>
      </c>
      <c r="C16" s="15" t="s">
        <v>19</v>
      </c>
      <c r="D16" s="30"/>
      <c r="E16" s="30"/>
      <c r="F16" s="30"/>
      <c r="G16" s="30"/>
      <c r="H16" s="30"/>
      <c r="I16" s="30"/>
      <c r="J16" s="30"/>
      <c r="K16" s="41">
        <f t="shared" si="0"/>
        <v>0</v>
      </c>
    </row>
    <row r="17" spans="2:11" x14ac:dyDescent="0.2">
      <c r="B17" s="11">
        <v>1111063</v>
      </c>
      <c r="C17" s="15" t="s">
        <v>20</v>
      </c>
      <c r="D17" s="30"/>
      <c r="E17" s="30"/>
      <c r="F17" s="30"/>
      <c r="G17" s="30">
        <v>2</v>
      </c>
      <c r="H17" s="30"/>
      <c r="I17" s="30"/>
      <c r="J17" s="30"/>
      <c r="K17" s="41">
        <f t="shared" si="0"/>
        <v>2</v>
      </c>
    </row>
    <row r="18" spans="2:11" x14ac:dyDescent="0.2">
      <c r="B18" s="11">
        <v>1111064</v>
      </c>
      <c r="C18" s="15" t="s">
        <v>21</v>
      </c>
      <c r="D18" s="30"/>
      <c r="E18" s="30"/>
      <c r="F18" s="30"/>
      <c r="G18" s="30"/>
      <c r="H18" s="30"/>
      <c r="I18" s="30"/>
      <c r="J18" s="30"/>
      <c r="K18" s="41">
        <f t="shared" si="0"/>
        <v>0</v>
      </c>
    </row>
    <row r="19" spans="2:11" x14ac:dyDescent="0.2">
      <c r="B19" s="11">
        <v>1111065</v>
      </c>
      <c r="C19" s="15" t="s">
        <v>22</v>
      </c>
      <c r="D19" s="30"/>
      <c r="E19" s="30"/>
      <c r="F19" s="30"/>
      <c r="G19" s="30">
        <v>2</v>
      </c>
      <c r="H19" s="30"/>
      <c r="I19" s="30"/>
      <c r="J19" s="30"/>
      <c r="K19" s="41">
        <f t="shared" si="0"/>
        <v>2</v>
      </c>
    </row>
    <row r="20" spans="2:11" x14ac:dyDescent="0.2">
      <c r="B20" s="11">
        <v>1111066</v>
      </c>
      <c r="C20" s="15" t="s">
        <v>23</v>
      </c>
      <c r="D20" s="30"/>
      <c r="E20" s="30"/>
      <c r="F20" s="30"/>
      <c r="G20" s="30">
        <v>2</v>
      </c>
      <c r="H20" s="30"/>
      <c r="I20" s="30"/>
      <c r="J20" s="30"/>
      <c r="K20" s="41">
        <f t="shared" si="0"/>
        <v>2</v>
      </c>
    </row>
    <row r="21" spans="2:11" x14ac:dyDescent="0.2">
      <c r="B21" s="11">
        <v>1111067</v>
      </c>
      <c r="C21" s="15" t="s">
        <v>24</v>
      </c>
      <c r="D21" s="30"/>
      <c r="E21" s="30"/>
      <c r="F21" s="30"/>
      <c r="G21" s="30">
        <v>2</v>
      </c>
      <c r="H21" s="30"/>
      <c r="I21" s="30"/>
      <c r="J21" s="30"/>
      <c r="K21" s="41">
        <f t="shared" si="0"/>
        <v>2</v>
      </c>
    </row>
    <row r="22" spans="2:11" x14ac:dyDescent="0.2">
      <c r="B22" s="11">
        <v>1111068</v>
      </c>
      <c r="C22" s="15" t="s">
        <v>25</v>
      </c>
      <c r="D22" s="30"/>
      <c r="E22" s="30"/>
      <c r="F22" s="30"/>
      <c r="G22" s="30">
        <v>2</v>
      </c>
      <c r="H22" s="30"/>
      <c r="I22" s="30"/>
      <c r="J22" s="30"/>
      <c r="K22" s="41">
        <f t="shared" si="0"/>
        <v>2</v>
      </c>
    </row>
    <row r="23" spans="2:11" x14ac:dyDescent="0.2">
      <c r="B23" s="11">
        <v>1111069</v>
      </c>
      <c r="C23" s="15" t="s">
        <v>26</v>
      </c>
      <c r="D23" s="30"/>
      <c r="E23" s="30"/>
      <c r="F23" s="30"/>
      <c r="G23" s="30">
        <v>2</v>
      </c>
      <c r="H23" s="30"/>
      <c r="I23" s="30"/>
      <c r="J23" s="30"/>
      <c r="K23" s="41">
        <f t="shared" si="0"/>
        <v>2</v>
      </c>
    </row>
    <row r="24" spans="2:11" x14ac:dyDescent="0.2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x14ac:dyDescent="0.2">
      <c r="B27" s="11">
        <v>1111074</v>
      </c>
      <c r="C27" s="15" t="s">
        <v>28</v>
      </c>
      <c r="D27" s="30"/>
      <c r="E27" s="30"/>
      <c r="F27" s="30"/>
      <c r="G27" s="30">
        <v>1</v>
      </c>
      <c r="H27" s="30"/>
      <c r="I27" s="30">
        <v>1</v>
      </c>
      <c r="J27" s="30"/>
      <c r="K27" s="41">
        <f t="shared" si="0"/>
        <v>2</v>
      </c>
    </row>
    <row r="28" spans="2:11" x14ac:dyDescent="0.2">
      <c r="B28" s="11">
        <v>1111075</v>
      </c>
      <c r="C28" s="15" t="s">
        <v>29</v>
      </c>
      <c r="D28" s="30"/>
      <c r="E28" s="30"/>
      <c r="F28" s="30"/>
      <c r="G28" s="30">
        <v>1</v>
      </c>
      <c r="H28" s="30"/>
      <c r="I28" s="30">
        <v>1</v>
      </c>
      <c r="J28" s="30"/>
      <c r="K28" s="41">
        <f t="shared" si="0"/>
        <v>2</v>
      </c>
    </row>
    <row r="29" spans="2:11" x14ac:dyDescent="0.2">
      <c r="B29" s="11">
        <v>1111076</v>
      </c>
      <c r="C29" s="15" t="s">
        <v>30</v>
      </c>
      <c r="D29" s="30"/>
      <c r="E29" s="30"/>
      <c r="F29" s="30"/>
      <c r="G29" s="30">
        <v>1</v>
      </c>
      <c r="H29" s="30"/>
      <c r="I29" s="30">
        <v>1</v>
      </c>
      <c r="J29" s="30"/>
      <c r="K29" s="41">
        <f t="shared" si="0"/>
        <v>2</v>
      </c>
    </row>
    <row r="30" spans="2:11" x14ac:dyDescent="0.2">
      <c r="B30" s="11">
        <v>1111077</v>
      </c>
      <c r="C30" s="15" t="s">
        <v>31</v>
      </c>
      <c r="D30" s="30"/>
      <c r="E30" s="30"/>
      <c r="F30" s="30"/>
      <c r="G30" s="30">
        <v>1</v>
      </c>
      <c r="H30" s="30"/>
      <c r="I30" s="30">
        <v>1</v>
      </c>
      <c r="J30" s="30"/>
      <c r="K30" s="41">
        <f t="shared" si="0"/>
        <v>2</v>
      </c>
    </row>
    <row r="31" spans="2:11" x14ac:dyDescent="0.2">
      <c r="B31" s="11">
        <v>1111078</v>
      </c>
      <c r="C31" s="15" t="s">
        <v>32</v>
      </c>
      <c r="D31" s="30"/>
      <c r="E31" s="30"/>
      <c r="F31" s="30"/>
      <c r="G31" s="30">
        <v>1</v>
      </c>
      <c r="H31" s="30"/>
      <c r="I31" s="30"/>
      <c r="J31" s="30"/>
      <c r="K31" s="41">
        <f t="shared" si="0"/>
        <v>1</v>
      </c>
    </row>
    <row r="32" spans="2:11" x14ac:dyDescent="0.2">
      <c r="B32" s="11">
        <v>1111079</v>
      </c>
      <c r="C32" s="15" t="s">
        <v>33</v>
      </c>
      <c r="D32" s="30"/>
      <c r="E32" s="30"/>
      <c r="F32" s="30"/>
      <c r="G32" s="30">
        <v>1</v>
      </c>
      <c r="H32" s="30"/>
      <c r="I32" s="30"/>
      <c r="J32" s="30"/>
      <c r="K32" s="41">
        <f t="shared" si="0"/>
        <v>1</v>
      </c>
    </row>
    <row r="33" spans="2:11" x14ac:dyDescent="0.2">
      <c r="B33" s="11">
        <v>1111080</v>
      </c>
      <c r="C33" s="15" t="s">
        <v>34</v>
      </c>
      <c r="D33" s="30"/>
      <c r="E33" s="30"/>
      <c r="F33" s="30"/>
      <c r="G33" s="30"/>
      <c r="H33" s="30"/>
      <c r="I33" s="30"/>
      <c r="J33" s="30"/>
      <c r="K33" s="41">
        <f t="shared" si="0"/>
        <v>0</v>
      </c>
    </row>
    <row r="34" spans="2:11" x14ac:dyDescent="0.2">
      <c r="B34" s="11">
        <v>1111081</v>
      </c>
      <c r="C34" s="15" t="s">
        <v>35</v>
      </c>
      <c r="D34" s="30"/>
      <c r="E34" s="30"/>
      <c r="F34" s="30"/>
      <c r="G34" s="30"/>
      <c r="H34" s="30"/>
      <c r="I34" s="30"/>
      <c r="J34" s="30"/>
      <c r="K34" s="41">
        <f t="shared" si="0"/>
        <v>0</v>
      </c>
    </row>
    <row r="35" spans="2:11" x14ac:dyDescent="0.2">
      <c r="B35" s="11">
        <v>1111082</v>
      </c>
      <c r="C35" s="15" t="s">
        <v>36</v>
      </c>
      <c r="D35" s="30"/>
      <c r="E35" s="30"/>
      <c r="F35" s="30"/>
      <c r="G35" s="30"/>
      <c r="H35" s="30"/>
      <c r="I35" s="30"/>
      <c r="J35" s="30"/>
      <c r="K35" s="41">
        <f t="shared" si="0"/>
        <v>0</v>
      </c>
    </row>
    <row r="36" spans="2:11" x14ac:dyDescent="0.2">
      <c r="B36" s="11">
        <v>1111083</v>
      </c>
      <c r="C36" s="15" t="s">
        <v>37</v>
      </c>
      <c r="D36" s="30"/>
      <c r="E36" s="30"/>
      <c r="F36" s="30"/>
      <c r="G36" s="30"/>
      <c r="H36" s="30"/>
      <c r="I36" s="30"/>
      <c r="J36" s="30"/>
      <c r="K36" s="41">
        <f t="shared" si="0"/>
        <v>0</v>
      </c>
    </row>
    <row r="37" spans="2:1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x14ac:dyDescent="0.2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>SUM(D38:I38)</f>
        <v>0</v>
      </c>
    </row>
    <row r="39" spans="2:11" ht="19.5" x14ac:dyDescent="0.2">
      <c r="B39" s="57" t="s">
        <v>39</v>
      </c>
      <c r="C39" s="57"/>
      <c r="D39" s="57"/>
      <c r="E39" s="57"/>
      <c r="F39" s="57"/>
      <c r="G39" s="57"/>
      <c r="H39" s="57"/>
      <c r="I39" s="57"/>
      <c r="J39" s="57"/>
      <c r="K39" s="57"/>
    </row>
    <row r="40" spans="2:11" x14ac:dyDescent="0.2">
      <c r="B40" s="11">
        <v>1111009</v>
      </c>
      <c r="C40" s="19" t="s">
        <v>40</v>
      </c>
      <c r="D40" s="30"/>
      <c r="E40" s="30"/>
      <c r="F40" s="30">
        <v>2</v>
      </c>
      <c r="G40" s="30">
        <v>2</v>
      </c>
      <c r="H40" s="30"/>
      <c r="I40" s="30"/>
      <c r="J40" s="30"/>
      <c r="K40" s="41">
        <f>SUM(D40:J40)</f>
        <v>4</v>
      </c>
    </row>
    <row r="41" spans="2:11" ht="19.5" x14ac:dyDescent="0.2">
      <c r="B41" s="57" t="s">
        <v>41</v>
      </c>
      <c r="C41" s="57"/>
      <c r="D41" s="57"/>
      <c r="E41" s="57"/>
      <c r="F41" s="57"/>
      <c r="G41" s="57"/>
      <c r="H41" s="57"/>
      <c r="I41" s="57"/>
      <c r="J41" s="57"/>
      <c r="K41" s="57"/>
    </row>
    <row r="42" spans="2:11" x14ac:dyDescent="0.2">
      <c r="B42" s="11">
        <v>1111008</v>
      </c>
      <c r="C42" s="19" t="s">
        <v>42</v>
      </c>
      <c r="D42" s="30"/>
      <c r="E42" s="30"/>
      <c r="F42" s="30"/>
      <c r="G42" s="30"/>
      <c r="H42" s="30"/>
      <c r="I42" s="30"/>
      <c r="J42" s="30"/>
      <c r="K42" s="41">
        <f>SUM(D42:J42)</f>
        <v>0</v>
      </c>
    </row>
    <row r="43" spans="2:11" x14ac:dyDescent="0.2">
      <c r="B43" s="11">
        <v>1111017</v>
      </c>
      <c r="C43" s="19" t="s">
        <v>93</v>
      </c>
      <c r="D43" s="30"/>
      <c r="E43" s="30"/>
      <c r="F43" s="30"/>
      <c r="G43" s="30"/>
      <c r="H43" s="30"/>
      <c r="I43" s="30"/>
      <c r="J43" s="30"/>
      <c r="K43" s="41"/>
    </row>
    <row r="44" spans="2:11" x14ac:dyDescent="0.2">
      <c r="B44" s="11">
        <v>1111019</v>
      </c>
      <c r="C44" s="19" t="s">
        <v>94</v>
      </c>
      <c r="D44" s="30"/>
      <c r="E44" s="30"/>
      <c r="F44" s="30"/>
      <c r="G44" s="30"/>
      <c r="H44" s="30"/>
      <c r="I44" s="30"/>
      <c r="J44" s="30"/>
      <c r="K44" s="41"/>
    </row>
    <row r="45" spans="2:11" x14ac:dyDescent="0.2">
      <c r="B45" s="11">
        <v>1111022</v>
      </c>
      <c r="C45" s="19" t="s">
        <v>95</v>
      </c>
      <c r="D45" s="30"/>
      <c r="E45" s="30"/>
      <c r="F45" s="30"/>
      <c r="G45" s="30">
        <v>18</v>
      </c>
      <c r="H45" s="30">
        <v>18</v>
      </c>
      <c r="I45" s="30"/>
      <c r="J45" s="30"/>
      <c r="K45" s="41"/>
    </row>
    <row r="46" spans="2:11" ht="19.5" x14ac:dyDescent="0.2">
      <c r="B46" s="57" t="s">
        <v>43</v>
      </c>
      <c r="C46" s="57"/>
      <c r="D46" s="57"/>
      <c r="E46" s="57"/>
      <c r="F46" s="57"/>
      <c r="G46" s="57"/>
      <c r="H46" s="57"/>
      <c r="I46" s="57"/>
      <c r="J46" s="57"/>
      <c r="K46" s="57"/>
    </row>
    <row r="47" spans="2:11" x14ac:dyDescent="0.2">
      <c r="B47" s="11">
        <v>1112009</v>
      </c>
      <c r="C47" s="19" t="s">
        <v>44</v>
      </c>
      <c r="D47" s="30"/>
      <c r="E47" s="30">
        <v>1</v>
      </c>
      <c r="F47" s="30">
        <v>1</v>
      </c>
      <c r="G47" s="30">
        <v>9</v>
      </c>
      <c r="H47" s="30">
        <v>5</v>
      </c>
      <c r="I47" s="30">
        <v>3</v>
      </c>
      <c r="J47" s="30"/>
      <c r="K47" s="41">
        <f t="shared" ref="K47:K56" si="1">SUM(D47:J47)</f>
        <v>19</v>
      </c>
    </row>
    <row r="48" spans="2:11" x14ac:dyDescent="0.2">
      <c r="B48" s="11">
        <v>1112011</v>
      </c>
      <c r="C48" s="19" t="s">
        <v>45</v>
      </c>
      <c r="D48" s="30"/>
      <c r="E48" s="30">
        <v>1</v>
      </c>
      <c r="F48" s="30">
        <v>9</v>
      </c>
      <c r="G48" s="30">
        <v>9</v>
      </c>
      <c r="H48" s="30">
        <v>5</v>
      </c>
      <c r="I48" s="30">
        <v>3</v>
      </c>
      <c r="J48" s="30"/>
      <c r="K48" s="41">
        <f t="shared" si="1"/>
        <v>27</v>
      </c>
    </row>
    <row r="49" spans="2:11" x14ac:dyDescent="0.2">
      <c r="B49" s="11">
        <v>1112003</v>
      </c>
      <c r="C49" s="19" t="s">
        <v>46</v>
      </c>
      <c r="D49" s="30"/>
      <c r="E49" s="30"/>
      <c r="F49" s="30"/>
      <c r="G49" s="30"/>
      <c r="H49" s="30"/>
      <c r="I49" s="30"/>
      <c r="J49" s="30"/>
      <c r="K49" s="41">
        <f t="shared" si="1"/>
        <v>0</v>
      </c>
    </row>
    <row r="50" spans="2:11" x14ac:dyDescent="0.2">
      <c r="B50" s="11">
        <v>1112005</v>
      </c>
      <c r="C50" s="19" t="s">
        <v>47</v>
      </c>
      <c r="D50" s="30"/>
      <c r="E50" s="30"/>
      <c r="F50" s="30"/>
      <c r="G50" s="30"/>
      <c r="H50" s="30"/>
      <c r="I50" s="30"/>
      <c r="J50" s="30"/>
      <c r="K50" s="41">
        <f t="shared" si="1"/>
        <v>0</v>
      </c>
    </row>
    <row r="51" spans="2:11" x14ac:dyDescent="0.2">
      <c r="B51" s="11">
        <v>1112007</v>
      </c>
      <c r="C51" s="19" t="s">
        <v>48</v>
      </c>
      <c r="D51" s="30"/>
      <c r="E51" s="30"/>
      <c r="F51" s="30"/>
      <c r="G51" s="30"/>
      <c r="H51" s="30"/>
      <c r="I51" s="30"/>
      <c r="J51" s="30"/>
      <c r="K51" s="41">
        <f t="shared" si="1"/>
        <v>0</v>
      </c>
    </row>
    <row r="52" spans="2:11" x14ac:dyDescent="0.2">
      <c r="B52" s="11">
        <v>1112019</v>
      </c>
      <c r="C52" s="19" t="s">
        <v>49</v>
      </c>
      <c r="D52" s="30"/>
      <c r="E52" s="30"/>
      <c r="F52" s="30"/>
      <c r="G52" s="30"/>
      <c r="H52" s="30"/>
      <c r="I52" s="30"/>
      <c r="J52" s="30"/>
      <c r="K52" s="41">
        <f t="shared" si="1"/>
        <v>0</v>
      </c>
    </row>
    <row r="53" spans="2:11" x14ac:dyDescent="0.2">
      <c r="B53" s="11">
        <v>1112017</v>
      </c>
      <c r="C53" s="19" t="s">
        <v>50</v>
      </c>
      <c r="D53" s="30"/>
      <c r="E53" s="30"/>
      <c r="F53" s="30"/>
      <c r="G53" s="30"/>
      <c r="H53" s="30"/>
      <c r="I53" s="30"/>
      <c r="J53" s="30"/>
      <c r="K53" s="41">
        <f t="shared" si="1"/>
        <v>0</v>
      </c>
    </row>
    <row r="54" spans="2:11" x14ac:dyDescent="0.2">
      <c r="B54" s="11">
        <v>1112015</v>
      </c>
      <c r="C54" s="19" t="s">
        <v>51</v>
      </c>
      <c r="D54" s="30"/>
      <c r="E54" s="30"/>
      <c r="F54" s="30"/>
      <c r="G54" s="30"/>
      <c r="H54" s="30"/>
      <c r="I54" s="30"/>
      <c r="J54" s="30"/>
      <c r="K54" s="41">
        <f t="shared" si="1"/>
        <v>0</v>
      </c>
    </row>
    <row r="55" spans="2:11" x14ac:dyDescent="0.2">
      <c r="B55" s="11">
        <v>1112013</v>
      </c>
      <c r="C55" s="19" t="s">
        <v>52</v>
      </c>
      <c r="D55" s="30"/>
      <c r="E55" s="30">
        <v>1</v>
      </c>
      <c r="F55" s="30">
        <v>1</v>
      </c>
      <c r="G55" s="30">
        <v>9</v>
      </c>
      <c r="H55" s="30">
        <v>5</v>
      </c>
      <c r="I55" s="30">
        <v>3</v>
      </c>
      <c r="J55" s="30"/>
      <c r="K55" s="41">
        <f t="shared" si="1"/>
        <v>19</v>
      </c>
    </row>
    <row r="56" spans="2:11" x14ac:dyDescent="0.2">
      <c r="B56" s="11">
        <v>1124043</v>
      </c>
      <c r="C56" s="19" t="s">
        <v>53</v>
      </c>
      <c r="D56" s="30"/>
      <c r="E56" s="30"/>
      <c r="F56" s="30"/>
      <c r="G56" s="30"/>
      <c r="H56" s="30"/>
      <c r="I56" s="30"/>
      <c r="J56" s="30"/>
      <c r="K56" s="41">
        <f t="shared" si="1"/>
        <v>0</v>
      </c>
    </row>
    <row r="57" spans="2:11" x14ac:dyDescent="0.2">
      <c r="B57" s="18"/>
      <c r="C57" s="18" t="s">
        <v>1</v>
      </c>
      <c r="D57" s="18"/>
      <c r="E57" s="18"/>
      <c r="F57" s="18"/>
      <c r="G57" s="18"/>
      <c r="H57" s="18"/>
      <c r="I57" s="18"/>
      <c r="J57" s="18"/>
      <c r="K57" s="41"/>
    </row>
    <row r="58" spans="2:11" ht="19.5" x14ac:dyDescent="0.2">
      <c r="B58" s="57" t="s">
        <v>54</v>
      </c>
      <c r="C58" s="57"/>
      <c r="D58" s="57"/>
      <c r="E58" s="57"/>
      <c r="F58" s="57"/>
      <c r="G58" s="57"/>
      <c r="H58" s="57"/>
      <c r="I58" s="57"/>
      <c r="J58" s="57"/>
      <c r="K58" s="57"/>
    </row>
    <row r="59" spans="2:11" x14ac:dyDescent="0.2">
      <c r="B59" s="11">
        <v>1100003</v>
      </c>
      <c r="C59" s="21" t="s">
        <v>73</v>
      </c>
      <c r="D59" s="30"/>
      <c r="E59" s="30">
        <v>1</v>
      </c>
      <c r="F59" s="30"/>
      <c r="G59" s="30"/>
      <c r="H59" s="30"/>
      <c r="I59" s="30"/>
      <c r="J59" s="30"/>
      <c r="K59" s="41">
        <f t="shared" ref="K59:K78" si="2">SUM(D59:J59)</f>
        <v>1</v>
      </c>
    </row>
    <row r="60" spans="2:11" x14ac:dyDescent="0.2">
      <c r="B60" s="11">
        <v>1100001</v>
      </c>
      <c r="C60" s="21" t="s">
        <v>74</v>
      </c>
      <c r="D60" s="30"/>
      <c r="E60" s="30"/>
      <c r="F60" s="30"/>
      <c r="G60" s="30"/>
      <c r="H60" s="30"/>
      <c r="I60" s="30"/>
      <c r="J60" s="30"/>
      <c r="K60" s="41">
        <f t="shared" si="2"/>
        <v>0</v>
      </c>
    </row>
    <row r="61" spans="2:11" x14ac:dyDescent="0.2">
      <c r="B61" s="11">
        <v>1100002</v>
      </c>
      <c r="C61" s="21" t="s">
        <v>75</v>
      </c>
      <c r="D61" s="30"/>
      <c r="E61" s="30"/>
      <c r="F61" s="30"/>
      <c r="G61" s="30">
        <v>2</v>
      </c>
      <c r="H61" s="30">
        <v>3</v>
      </c>
      <c r="I61" s="30"/>
      <c r="J61" s="30"/>
      <c r="K61" s="41">
        <f t="shared" si="2"/>
        <v>5</v>
      </c>
    </row>
    <row r="62" spans="2:11" x14ac:dyDescent="0.2">
      <c r="B62" s="11">
        <v>1200001</v>
      </c>
      <c r="C62" s="21" t="s">
        <v>57</v>
      </c>
      <c r="D62" s="30"/>
      <c r="E62" s="30"/>
      <c r="F62" s="30"/>
      <c r="G62" s="30"/>
      <c r="H62" s="30"/>
      <c r="I62" s="30"/>
      <c r="J62" s="30"/>
      <c r="K62" s="41">
        <f t="shared" si="2"/>
        <v>0</v>
      </c>
    </row>
    <row r="63" spans="2:11" x14ac:dyDescent="0.2">
      <c r="B63" s="11">
        <v>1005761</v>
      </c>
      <c r="C63" s="21" t="s">
        <v>58</v>
      </c>
      <c r="D63" s="30"/>
      <c r="E63" s="30"/>
      <c r="F63" s="30">
        <v>3</v>
      </c>
      <c r="G63" s="30"/>
      <c r="H63" s="30"/>
      <c r="I63" s="30"/>
      <c r="J63" s="30"/>
      <c r="K63" s="41">
        <f t="shared" si="2"/>
        <v>3</v>
      </c>
    </row>
    <row r="64" spans="2:11" x14ac:dyDescent="0.2">
      <c r="B64" s="11">
        <v>1114501</v>
      </c>
      <c r="C64" s="21" t="s">
        <v>59</v>
      </c>
      <c r="D64" s="30"/>
      <c r="E64" s="30">
        <v>2</v>
      </c>
      <c r="F64" s="30"/>
      <c r="G64" s="30">
        <v>213</v>
      </c>
      <c r="H64" s="30">
        <v>211</v>
      </c>
      <c r="I64" s="30">
        <v>113</v>
      </c>
      <c r="J64" s="30"/>
      <c r="K64" s="41">
        <f t="shared" si="2"/>
        <v>539</v>
      </c>
    </row>
    <row r="65" spans="2:11" x14ac:dyDescent="0.2">
      <c r="B65" s="11">
        <v>1114502</v>
      </c>
      <c r="C65" s="21" t="s">
        <v>60</v>
      </c>
      <c r="D65" s="30"/>
      <c r="E65" s="30"/>
      <c r="F65" s="30"/>
      <c r="G65" s="30">
        <v>213</v>
      </c>
      <c r="H65" s="30">
        <v>211</v>
      </c>
      <c r="I65" s="30">
        <v>113</v>
      </c>
      <c r="J65" s="30"/>
      <c r="K65" s="41">
        <f t="shared" si="2"/>
        <v>537</v>
      </c>
    </row>
    <row r="66" spans="2:11" x14ac:dyDescent="0.2">
      <c r="B66" s="11">
        <v>1114503</v>
      </c>
      <c r="C66" s="21" t="s">
        <v>61</v>
      </c>
      <c r="D66" s="30"/>
      <c r="E66" s="30">
        <v>2</v>
      </c>
      <c r="F66" s="30">
        <v>2</v>
      </c>
      <c r="G66" s="30">
        <v>213</v>
      </c>
      <c r="H66" s="30">
        <v>211</v>
      </c>
      <c r="I66" s="30">
        <v>113</v>
      </c>
      <c r="J66" s="30"/>
      <c r="K66" s="41">
        <f t="shared" si="2"/>
        <v>541</v>
      </c>
    </row>
    <row r="67" spans="2:11" x14ac:dyDescent="0.2">
      <c r="B67" s="11">
        <v>1124021</v>
      </c>
      <c r="C67" s="21" t="s">
        <v>62</v>
      </c>
      <c r="D67" s="30"/>
      <c r="E67" s="30">
        <v>18</v>
      </c>
      <c r="F67" s="30">
        <v>25</v>
      </c>
      <c r="G67" s="30">
        <v>12</v>
      </c>
      <c r="H67" s="30"/>
      <c r="I67" s="30">
        <v>8</v>
      </c>
      <c r="J67" s="30"/>
      <c r="K67" s="41">
        <f t="shared" si="2"/>
        <v>63</v>
      </c>
    </row>
    <row r="68" spans="2:11" x14ac:dyDescent="0.2">
      <c r="B68" s="11">
        <v>1113084</v>
      </c>
      <c r="C68" s="21" t="s">
        <v>63</v>
      </c>
      <c r="D68" s="30"/>
      <c r="E68" s="30"/>
      <c r="F68" s="30"/>
      <c r="G68" s="30"/>
      <c r="H68" s="30"/>
      <c r="I68" s="30"/>
      <c r="J68" s="30"/>
      <c r="K68" s="41">
        <f t="shared" si="2"/>
        <v>0</v>
      </c>
    </row>
    <row r="69" spans="2:11" x14ac:dyDescent="0.2">
      <c r="B69" s="11">
        <v>900003</v>
      </c>
      <c r="C69" s="21" t="s">
        <v>83</v>
      </c>
      <c r="D69" s="30"/>
      <c r="E69" s="30"/>
      <c r="F69" s="30"/>
      <c r="G69" s="30"/>
      <c r="H69" s="30"/>
      <c r="I69" s="30"/>
      <c r="J69" s="30"/>
      <c r="K69" s="41">
        <f t="shared" si="2"/>
        <v>0</v>
      </c>
    </row>
    <row r="70" spans="2:11" x14ac:dyDescent="0.2">
      <c r="B70" s="11">
        <v>900004</v>
      </c>
      <c r="C70" s="21" t="s">
        <v>64</v>
      </c>
      <c r="D70" s="30"/>
      <c r="E70" s="30"/>
      <c r="F70" s="30"/>
      <c r="G70" s="30"/>
      <c r="H70" s="30"/>
      <c r="I70" s="30"/>
      <c r="J70" s="30"/>
      <c r="K70" s="41">
        <f t="shared" si="2"/>
        <v>0</v>
      </c>
    </row>
    <row r="71" spans="2:11" x14ac:dyDescent="0.2">
      <c r="B71" s="11">
        <v>1200002</v>
      </c>
      <c r="C71" s="21" t="s">
        <v>65</v>
      </c>
      <c r="D71" s="30"/>
      <c r="E71" s="30"/>
      <c r="F71" s="30"/>
      <c r="G71" s="30"/>
      <c r="H71" s="30"/>
      <c r="I71" s="30"/>
      <c r="J71" s="30"/>
      <c r="K71" s="41">
        <f t="shared" si="2"/>
        <v>0</v>
      </c>
    </row>
    <row r="72" spans="2:11" x14ac:dyDescent="0.2">
      <c r="B72" s="11">
        <v>1200003</v>
      </c>
      <c r="C72" s="21" t="s">
        <v>66</v>
      </c>
      <c r="D72" s="30"/>
      <c r="E72" s="30"/>
      <c r="F72" s="30"/>
      <c r="G72" s="30"/>
      <c r="H72" s="30"/>
      <c r="I72" s="30"/>
      <c r="J72" s="30"/>
      <c r="K72" s="41">
        <f t="shared" si="2"/>
        <v>0</v>
      </c>
    </row>
    <row r="73" spans="2:11" x14ac:dyDescent="0.2">
      <c r="B73" s="11">
        <v>1200004</v>
      </c>
      <c r="C73" s="21" t="s">
        <v>67</v>
      </c>
      <c r="D73" s="30"/>
      <c r="E73" s="30"/>
      <c r="F73" s="30"/>
      <c r="G73" s="30"/>
      <c r="H73" s="30"/>
      <c r="I73" s="30"/>
      <c r="J73" s="30"/>
      <c r="K73" s="41">
        <f t="shared" si="2"/>
        <v>0</v>
      </c>
    </row>
    <row r="74" spans="2:11" x14ac:dyDescent="0.2">
      <c r="B74" s="11">
        <v>1200093</v>
      </c>
      <c r="C74" s="21" t="s">
        <v>55</v>
      </c>
      <c r="D74" s="30"/>
      <c r="E74" s="30"/>
      <c r="F74" s="30"/>
      <c r="G74" s="30"/>
      <c r="H74" s="30"/>
      <c r="I74" s="30"/>
      <c r="J74" s="30"/>
      <c r="K74" s="41">
        <f t="shared" si="2"/>
        <v>0</v>
      </c>
    </row>
    <row r="75" spans="2:11" x14ac:dyDescent="0.2">
      <c r="B75" s="11">
        <v>1200092</v>
      </c>
      <c r="C75" s="19" t="s">
        <v>56</v>
      </c>
      <c r="D75" s="30"/>
      <c r="E75" s="30"/>
      <c r="F75" s="30"/>
      <c r="G75" s="30"/>
      <c r="H75" s="30"/>
      <c r="I75" s="30"/>
      <c r="J75" s="30"/>
      <c r="K75" s="41">
        <f t="shared" si="2"/>
        <v>0</v>
      </c>
    </row>
    <row r="76" spans="2:11" x14ac:dyDescent="0.2">
      <c r="B76" s="22"/>
      <c r="C76" s="21" t="s">
        <v>76</v>
      </c>
      <c r="D76" s="30"/>
      <c r="E76" s="30"/>
      <c r="F76" s="30"/>
      <c r="G76" s="30"/>
      <c r="H76" s="30"/>
      <c r="I76" s="30"/>
      <c r="J76" s="30"/>
      <c r="K76" s="41">
        <f t="shared" si="2"/>
        <v>0</v>
      </c>
    </row>
    <row r="77" spans="2:11" x14ac:dyDescent="0.2">
      <c r="B77" s="22"/>
      <c r="C77" s="21" t="s">
        <v>77</v>
      </c>
      <c r="D77" s="30"/>
      <c r="E77" s="30">
        <v>4</v>
      </c>
      <c r="F77" s="30"/>
      <c r="G77" s="30"/>
      <c r="H77" s="30"/>
      <c r="I77" s="30"/>
      <c r="J77" s="30">
        <v>1</v>
      </c>
      <c r="K77" s="41">
        <f t="shared" si="2"/>
        <v>5</v>
      </c>
    </row>
    <row r="78" spans="2:11" x14ac:dyDescent="0.2">
      <c r="B78" s="22"/>
      <c r="C78" s="21" t="s">
        <v>92</v>
      </c>
      <c r="D78" s="30"/>
      <c r="E78" s="30"/>
      <c r="F78" s="30"/>
      <c r="G78" s="30"/>
      <c r="H78" s="30"/>
      <c r="I78" s="30"/>
      <c r="J78" s="30"/>
      <c r="K78" s="41">
        <f t="shared" si="2"/>
        <v>0</v>
      </c>
    </row>
    <row r="79" spans="2:11" x14ac:dyDescent="0.2">
      <c r="C79" s="35"/>
      <c r="D79" s="38"/>
      <c r="E79" s="38"/>
      <c r="F79" s="38"/>
      <c r="G79" s="38"/>
      <c r="H79" s="38"/>
      <c r="I79" s="38"/>
      <c r="J79" s="38"/>
      <c r="K79" s="39"/>
    </row>
    <row r="80" spans="2:11" x14ac:dyDescent="0.2">
      <c r="C80" s="35"/>
      <c r="D80" s="39">
        <f t="shared" ref="D80:J80" si="3">SUM(D7:D36,D40,D42,D47:D55,D59:D78)</f>
        <v>0</v>
      </c>
      <c r="E80" s="39">
        <f t="shared" si="3"/>
        <v>40</v>
      </c>
      <c r="F80" s="39">
        <f t="shared" si="3"/>
        <v>64</v>
      </c>
      <c r="G80" s="39">
        <f t="shared" si="3"/>
        <v>718</v>
      </c>
      <c r="H80" s="39">
        <f t="shared" si="3"/>
        <v>658</v>
      </c>
      <c r="I80" s="39">
        <f t="shared" si="3"/>
        <v>364</v>
      </c>
      <c r="J80" s="39">
        <f t="shared" si="3"/>
        <v>4</v>
      </c>
      <c r="K80" s="39">
        <f>SUM(K7:K36,K40,K42,K47:K55,K59:K78)</f>
        <v>1848</v>
      </c>
    </row>
    <row r="81" spans="2:11" x14ac:dyDescent="0.2">
      <c r="C81" s="24"/>
      <c r="D81" s="31"/>
      <c r="E81" s="58"/>
      <c r="F81" s="58"/>
      <c r="G81" s="26"/>
    </row>
    <row r="82" spans="2:11" x14ac:dyDescent="0.2">
      <c r="B82" s="58" t="s">
        <v>68</v>
      </c>
      <c r="C82" s="58"/>
      <c r="D82" s="32"/>
      <c r="E82" s="49"/>
      <c r="F82" s="49"/>
      <c r="G82" s="27"/>
      <c r="H82" s="26"/>
      <c r="I82" s="58" t="s">
        <v>68</v>
      </c>
      <c r="J82" s="58"/>
      <c r="K82" s="58"/>
    </row>
    <row r="83" spans="2:11" x14ac:dyDescent="0.2">
      <c r="B83" s="49" t="s">
        <v>69</v>
      </c>
      <c r="C83" s="49"/>
      <c r="D83" s="33"/>
      <c r="E83" s="33"/>
      <c r="F83" s="33"/>
      <c r="G83" s="33"/>
      <c r="H83" s="33"/>
      <c r="I83" s="49" t="s">
        <v>70</v>
      </c>
      <c r="J83" s="49"/>
      <c r="K83" s="49"/>
    </row>
    <row r="84" spans="2:11" x14ac:dyDescent="0.2">
      <c r="B84" s="31"/>
      <c r="C84" s="31"/>
      <c r="D84" s="33"/>
      <c r="E84" s="33"/>
      <c r="F84" s="33"/>
      <c r="G84" s="33"/>
      <c r="H84" s="33"/>
      <c r="I84" s="31"/>
      <c r="J84" s="31"/>
      <c r="K84" s="34"/>
    </row>
    <row r="85" spans="2:11" ht="14.25" x14ac:dyDescent="0.2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4.2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ht="14.25" x14ac:dyDescent="0.2">
      <c r="B87" s="31"/>
      <c r="C87" s="31"/>
      <c r="D87" s="31"/>
      <c r="E87" s="31"/>
      <c r="F87" s="31"/>
      <c r="G87" s="31"/>
      <c r="H87" s="31"/>
      <c r="I87" s="31"/>
      <c r="J87" s="31"/>
      <c r="K87" s="34"/>
    </row>
    <row r="88" spans="2:11" ht="14.25" x14ac:dyDescent="0.2">
      <c r="B88" s="31"/>
      <c r="C88" s="31"/>
      <c r="D88" s="31"/>
      <c r="E88" s="31"/>
      <c r="F88" s="31"/>
      <c r="G88" s="31"/>
      <c r="H88" s="31"/>
      <c r="I88" s="31"/>
      <c r="J88" s="31"/>
      <c r="K88" s="34"/>
    </row>
    <row r="89" spans="2:11" ht="14.25" x14ac:dyDescent="0.2">
      <c r="B89" s="31"/>
      <c r="C89" s="31"/>
      <c r="D89" s="31"/>
      <c r="E89" s="31"/>
      <c r="F89" s="31"/>
      <c r="G89" s="31"/>
      <c r="H89" s="31"/>
      <c r="I89" s="31"/>
      <c r="J89" s="31"/>
      <c r="K89" s="34"/>
    </row>
    <row r="90" spans="2:11" x14ac:dyDescent="0.2">
      <c r="D90" s="31"/>
      <c r="E90" s="31"/>
      <c r="F90" s="31"/>
      <c r="G90" s="31"/>
      <c r="H90" s="31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  <row r="98" spans="4:8" x14ac:dyDescent="0.2">
      <c r="D98" s="31"/>
      <c r="E98" s="31"/>
      <c r="F98" s="31"/>
      <c r="G98" s="31"/>
      <c r="H98" s="31"/>
    </row>
    <row r="99" spans="4:8" x14ac:dyDescent="0.2">
      <c r="D99" s="31"/>
      <c r="E99" s="31"/>
      <c r="F99" s="31"/>
      <c r="G99" s="31"/>
      <c r="H99" s="31"/>
    </row>
    <row r="100" spans="4:8" x14ac:dyDescent="0.2">
      <c r="D100" s="31"/>
      <c r="E100" s="31"/>
      <c r="F100" s="31"/>
      <c r="G100" s="31"/>
      <c r="H100" s="31"/>
    </row>
  </sheetData>
  <mergeCells count="13">
    <mergeCell ref="B83:C83"/>
    <mergeCell ref="I83:K83"/>
    <mergeCell ref="B1:K1"/>
    <mergeCell ref="B2:J3"/>
    <mergeCell ref="B6:K6"/>
    <mergeCell ref="B39:K39"/>
    <mergeCell ref="B41:K41"/>
    <mergeCell ref="B46:K46"/>
    <mergeCell ref="B58:K58"/>
    <mergeCell ref="E81:F81"/>
    <mergeCell ref="B82:C82"/>
    <mergeCell ref="E82:F82"/>
    <mergeCell ref="I82:K8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AC98"/>
  <sheetViews>
    <sheetView tabSelected="1" zoomScale="60" zoomScaleNormal="60" workbookViewId="0">
      <selection activeCell="J22" sqref="J22"/>
    </sheetView>
  </sheetViews>
  <sheetFormatPr defaultRowHeight="22.5" x14ac:dyDescent="0.25"/>
  <cols>
    <col min="2" max="2" width="22.125" style="23" customWidth="1"/>
    <col min="3" max="3" width="59.125" style="23" customWidth="1"/>
    <col min="4" max="10" width="14.375" style="16" customWidth="1"/>
    <col min="11" max="11" width="17.625" style="25" customWidth="1"/>
    <col min="12" max="15" width="14.375" style="23" customWidth="1"/>
    <col min="16" max="16" width="14.375" style="28" customWidth="1"/>
    <col min="17" max="17" width="9" customWidth="1"/>
    <col min="18" max="18" width="20.375" style="47" hidden="1" customWidth="1"/>
    <col min="19" max="19" width="21.25" style="47" hidden="1" customWidth="1"/>
    <col min="20" max="20" width="26.25" style="47" hidden="1" customWidth="1"/>
    <col min="21" max="23" width="9" hidden="1" customWidth="1"/>
    <col min="24" max="24" width="31" hidden="1" customWidth="1"/>
    <col min="25" max="25" width="17.75" hidden="1" customWidth="1"/>
    <col min="26" max="28" width="9" hidden="1" customWidth="1"/>
    <col min="29" max="38" width="9" customWidth="1"/>
  </cols>
  <sheetData>
    <row r="1" spans="2:25" x14ac:dyDescent="0.25">
      <c r="B1" s="50" t="s">
        <v>96</v>
      </c>
      <c r="C1" s="50"/>
      <c r="D1" s="50"/>
      <c r="E1" s="50"/>
      <c r="F1" s="50"/>
      <c r="G1" s="50"/>
      <c r="H1" s="50"/>
      <c r="I1" s="50"/>
      <c r="J1" s="50"/>
      <c r="K1" s="50"/>
    </row>
    <row r="2" spans="2:25" x14ac:dyDescent="0.25">
      <c r="B2" s="71"/>
      <c r="C2" s="72"/>
      <c r="D2" s="1"/>
      <c r="E2" s="73"/>
      <c r="F2" s="73"/>
      <c r="G2" s="2"/>
      <c r="H2" s="2"/>
      <c r="I2" s="2"/>
      <c r="J2" s="2"/>
      <c r="K2" s="3" t="s">
        <v>0</v>
      </c>
      <c r="L2" s="68" t="s">
        <v>81</v>
      </c>
      <c r="M2" s="68" t="s">
        <v>78</v>
      </c>
      <c r="N2" s="68" t="s">
        <v>86</v>
      </c>
      <c r="O2" s="65" t="s">
        <v>87</v>
      </c>
      <c r="P2" s="59" t="s">
        <v>1</v>
      </c>
    </row>
    <row r="3" spans="2:25" x14ac:dyDescent="0.25">
      <c r="B3" s="71"/>
      <c r="C3" s="72"/>
      <c r="D3" s="4"/>
      <c r="E3" s="74"/>
      <c r="F3" s="74"/>
      <c r="G3" s="5"/>
      <c r="H3" s="5"/>
      <c r="I3" s="5"/>
      <c r="J3" s="44"/>
      <c r="K3" s="6" t="s">
        <v>2</v>
      </c>
      <c r="L3" s="69"/>
      <c r="M3" s="69"/>
      <c r="N3" s="69"/>
      <c r="O3" s="66"/>
      <c r="P3" s="60"/>
      <c r="R3" s="47" t="s">
        <v>88</v>
      </c>
      <c r="S3" s="47" t="s">
        <v>89</v>
      </c>
      <c r="T3" s="47" t="s">
        <v>1</v>
      </c>
    </row>
    <row r="4" spans="2:25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45" t="s">
        <v>84</v>
      </c>
      <c r="K4" s="10" t="s">
        <v>10</v>
      </c>
      <c r="L4" s="70"/>
      <c r="M4" s="70"/>
      <c r="N4" s="70"/>
      <c r="O4" s="67"/>
      <c r="P4" s="61"/>
    </row>
    <row r="5" spans="2:25" x14ac:dyDescent="0.25">
      <c r="B5" s="11"/>
      <c r="C5" s="12"/>
      <c r="D5" s="13"/>
      <c r="E5" s="9"/>
      <c r="F5" s="9"/>
      <c r="G5" s="9"/>
      <c r="H5" s="9"/>
      <c r="I5" s="9"/>
      <c r="J5" s="45"/>
      <c r="K5" s="14"/>
      <c r="L5" s="11"/>
      <c r="M5" s="11"/>
      <c r="N5" s="11"/>
      <c r="O5" s="11"/>
      <c r="P5" s="29"/>
    </row>
    <row r="6" spans="2:25" ht="19.5" x14ac:dyDescent="0.25">
      <c r="B6" s="62" t="s">
        <v>11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4"/>
      <c r="W6" t="s">
        <v>3</v>
      </c>
      <c r="X6" t="s">
        <v>90</v>
      </c>
      <c r="Y6" t="s">
        <v>91</v>
      </c>
    </row>
    <row r="7" spans="2:25" x14ac:dyDescent="0.25">
      <c r="B7" s="11">
        <v>1111002</v>
      </c>
      <c r="C7" s="15" t="s">
        <v>71</v>
      </c>
      <c r="D7" s="30">
        <f>เช้า!D7+'เย็น  '!D7+บ่าย!D7</f>
        <v>0</v>
      </c>
      <c r="E7" s="30">
        <f>เช้า!E7+'เย็น  '!E7+บ่าย!E7</f>
        <v>19</v>
      </c>
      <c r="F7" s="30">
        <f>เช้า!F7+'เย็น  '!F7+บ่าย!F7</f>
        <v>66</v>
      </c>
      <c r="G7" s="30">
        <f>เช้า!G7+'เย็น  '!G7+บ่าย!G7</f>
        <v>0</v>
      </c>
      <c r="H7" s="30">
        <f>เช้า!H7+'เย็น  '!H7+บ่าย!H7</f>
        <v>0</v>
      </c>
      <c r="I7" s="30">
        <f>เช้า!I7+'เย็น  '!I7+บ่าย!I7</f>
        <v>0</v>
      </c>
      <c r="J7" s="30">
        <f>เช้า!J7+'เย็น  '!J7+บ่าย!J7</f>
        <v>0</v>
      </c>
      <c r="K7" s="36">
        <f>SUM(D7:J7)</f>
        <v>85</v>
      </c>
      <c r="L7" s="11"/>
      <c r="M7" s="11"/>
      <c r="N7" s="11"/>
      <c r="O7" s="11"/>
      <c r="P7" s="46">
        <f>(L7+M7+N7+O7)-K7</f>
        <v>-85</v>
      </c>
      <c r="R7" s="47">
        <v>250</v>
      </c>
      <c r="S7" s="47">
        <v>250</v>
      </c>
      <c r="T7" s="48">
        <f>S7+R7+P7</f>
        <v>415</v>
      </c>
      <c r="W7">
        <v>1111002</v>
      </c>
      <c r="X7" t="s">
        <v>71</v>
      </c>
      <c r="Y7">
        <v>250</v>
      </c>
    </row>
    <row r="8" spans="2:25" hidden="1" x14ac:dyDescent="0.25">
      <c r="B8" s="11">
        <v>1111043</v>
      </c>
      <c r="C8" s="15" t="s">
        <v>12</v>
      </c>
      <c r="D8" s="30">
        <f>เช้า!D8+'เย็น  '!D8+บ่าย!D8</f>
        <v>0</v>
      </c>
      <c r="E8" s="30">
        <f>เช้า!E8+'เย็น  '!E8+บ่าย!E8</f>
        <v>0</v>
      </c>
      <c r="F8" s="30">
        <f>เช้า!F8+'เย็น  '!F8+บ่าย!F8</f>
        <v>0</v>
      </c>
      <c r="G8" s="30">
        <f>เช้า!G8+'เย็น  '!G8+บ่าย!G8</f>
        <v>0</v>
      </c>
      <c r="H8" s="30">
        <f>เช้า!H8+'เย็น  '!H8+บ่าย!H8</f>
        <v>0</v>
      </c>
      <c r="I8" s="30">
        <f>เช้า!I8+'เย็น  '!I8+บ่าย!I8</f>
        <v>0</v>
      </c>
      <c r="J8" s="30">
        <f>เช้า!J8+'เย็น  '!J8+บ่าย!J8</f>
        <v>0</v>
      </c>
      <c r="K8" s="36">
        <f t="shared" ref="K8:K36" si="0">SUM(D8:J8)</f>
        <v>0</v>
      </c>
      <c r="L8" s="11"/>
      <c r="M8" s="11"/>
      <c r="N8" s="11"/>
      <c r="O8" s="11"/>
      <c r="P8" s="46">
        <f t="shared" ref="P8:P17" si="1">(L8+M8+N8+O8)-K8</f>
        <v>0</v>
      </c>
      <c r="T8" s="48">
        <f t="shared" ref="T8:T71" si="2">S8+R8+P8</f>
        <v>0</v>
      </c>
      <c r="W8">
        <v>1111043</v>
      </c>
      <c r="X8" t="s">
        <v>12</v>
      </c>
    </row>
    <row r="9" spans="2:25" x14ac:dyDescent="0.25">
      <c r="B9" s="11">
        <v>1111056</v>
      </c>
      <c r="C9" s="15" t="s">
        <v>13</v>
      </c>
      <c r="D9" s="30">
        <f>เช้า!D9+'เย็น  '!D9+บ่าย!D9</f>
        <v>0</v>
      </c>
      <c r="E9" s="30">
        <f>เช้า!E9+'เย็น  '!E9+บ่าย!E9</f>
        <v>7</v>
      </c>
      <c r="F9" s="30">
        <f>เช้า!F9+'เย็น  '!F9+บ่าย!F9</f>
        <v>9</v>
      </c>
      <c r="G9" s="30">
        <f>เช้า!G9+'เย็น  '!G9+บ่าย!G9</f>
        <v>2</v>
      </c>
      <c r="H9" s="30">
        <f>เช้า!H9+'เย็น  '!H9+บ่าย!H9</f>
        <v>1</v>
      </c>
      <c r="I9" s="30">
        <f>เช้า!I9+'เย็น  '!I9+บ่าย!I9</f>
        <v>0</v>
      </c>
      <c r="J9" s="30">
        <f>เช้า!J9+'เย็น  '!J9+บ่าย!J9</f>
        <v>0</v>
      </c>
      <c r="K9" s="36">
        <f t="shared" si="0"/>
        <v>19</v>
      </c>
      <c r="L9" s="11"/>
      <c r="M9" s="11"/>
      <c r="N9" s="11"/>
      <c r="O9" s="11"/>
      <c r="P9" s="46">
        <f t="shared" si="1"/>
        <v>-19</v>
      </c>
      <c r="R9" s="47">
        <v>10</v>
      </c>
      <c r="T9" s="48">
        <f t="shared" si="2"/>
        <v>-9</v>
      </c>
      <c r="W9">
        <v>1004055</v>
      </c>
      <c r="X9" t="s">
        <v>72</v>
      </c>
      <c r="Y9">
        <v>250</v>
      </c>
    </row>
    <row r="10" spans="2:25" x14ac:dyDescent="0.25">
      <c r="B10" s="11">
        <v>1004055</v>
      </c>
      <c r="C10" s="15" t="s">
        <v>72</v>
      </c>
      <c r="D10" s="30">
        <f>เช้า!D10+'เย็น  '!D10+บ่าย!D10</f>
        <v>0</v>
      </c>
      <c r="E10" s="30">
        <f>เช้า!E10+'เย็น  '!E10+บ่าย!E10</f>
        <v>7</v>
      </c>
      <c r="F10" s="30">
        <f>เช้า!F10+'เย็น  '!F10+บ่าย!F10</f>
        <v>0</v>
      </c>
      <c r="G10" s="30">
        <f>เช้า!G10+'เย็น  '!G10+บ่าย!G10</f>
        <v>61</v>
      </c>
      <c r="H10" s="30">
        <f>เช้า!H10+'เย็น  '!H10+บ่าย!H10</f>
        <v>6</v>
      </c>
      <c r="I10" s="30">
        <f>เช้า!I10+'เย็น  '!I10+บ่าย!I10</f>
        <v>3</v>
      </c>
      <c r="J10" s="30">
        <f>เช้า!J10+'เย็น  '!J10+บ่าย!J10</f>
        <v>0</v>
      </c>
      <c r="K10" s="36">
        <f t="shared" si="0"/>
        <v>77</v>
      </c>
      <c r="L10" s="11"/>
      <c r="M10" s="11"/>
      <c r="N10" s="11"/>
      <c r="O10" s="11"/>
      <c r="P10" s="46">
        <f t="shared" si="1"/>
        <v>-77</v>
      </c>
      <c r="R10" s="47">
        <v>250</v>
      </c>
      <c r="S10" s="47">
        <v>250</v>
      </c>
      <c r="T10" s="48">
        <f t="shared" si="2"/>
        <v>423</v>
      </c>
      <c r="W10">
        <v>1111057</v>
      </c>
      <c r="X10" t="s">
        <v>14</v>
      </c>
      <c r="Y10">
        <v>50</v>
      </c>
    </row>
    <row r="11" spans="2:25" x14ac:dyDescent="0.25">
      <c r="B11" s="11">
        <v>1111057</v>
      </c>
      <c r="C11" s="15" t="s">
        <v>14</v>
      </c>
      <c r="D11" s="30">
        <f>เช้า!D11+'เย็น  '!D11+บ่าย!D11</f>
        <v>0</v>
      </c>
      <c r="E11" s="30">
        <f>เช้า!E11+'เย็น  '!E11+บ่าย!E11</f>
        <v>0</v>
      </c>
      <c r="F11" s="30">
        <f>เช้า!F11+'เย็น  '!F11+บ่าย!F11</f>
        <v>0</v>
      </c>
      <c r="G11" s="30">
        <f>เช้า!G11+'เย็น  '!G11+บ่าย!G11</f>
        <v>8</v>
      </c>
      <c r="H11" s="30">
        <f>เช้า!H11+'เย็น  '!H11+บ่าย!H11</f>
        <v>0</v>
      </c>
      <c r="I11" s="30">
        <f>เช้า!I11+'เย็น  '!I11+บ่าย!I11</f>
        <v>1</v>
      </c>
      <c r="J11" s="30">
        <f>เช้า!J11+'เย็น  '!J11+บ่าย!J11</f>
        <v>1</v>
      </c>
      <c r="K11" s="36">
        <f t="shared" si="0"/>
        <v>10</v>
      </c>
      <c r="L11" s="11"/>
      <c r="M11" s="11"/>
      <c r="N11" s="11"/>
      <c r="O11" s="11"/>
      <c r="P11" s="46">
        <f t="shared" si="1"/>
        <v>-10</v>
      </c>
      <c r="S11" s="47">
        <v>50</v>
      </c>
      <c r="T11" s="48">
        <f t="shared" si="2"/>
        <v>40</v>
      </c>
      <c r="W11">
        <v>1111058</v>
      </c>
      <c r="X11" t="s">
        <v>15</v>
      </c>
      <c r="Y11">
        <v>50</v>
      </c>
    </row>
    <row r="12" spans="2:25" x14ac:dyDescent="0.25">
      <c r="B12" s="11">
        <v>1111058</v>
      </c>
      <c r="C12" s="15" t="s">
        <v>15</v>
      </c>
      <c r="D12" s="30">
        <f>เช้า!D12+'เย็น  '!D12+บ่าย!D12</f>
        <v>0</v>
      </c>
      <c r="E12" s="30">
        <f>เช้า!E12+'เย็น  '!E12+บ่าย!E12</f>
        <v>0</v>
      </c>
      <c r="F12" s="30">
        <f>เช้า!F12+'เย็น  '!F12+บ่าย!F12</f>
        <v>0</v>
      </c>
      <c r="G12" s="30">
        <f>เช้า!G12+'เย็น  '!G12+บ่าย!G12</f>
        <v>8</v>
      </c>
      <c r="H12" s="30">
        <f>เช้า!H12+'เย็น  '!H12+บ่าย!H12</f>
        <v>0</v>
      </c>
      <c r="I12" s="30">
        <f>เช้า!I12+'เย็น  '!I12+บ่าย!I12</f>
        <v>0</v>
      </c>
      <c r="J12" s="30">
        <f>เช้า!J12+'เย็น  '!J12+บ่าย!J12</f>
        <v>1</v>
      </c>
      <c r="K12" s="36">
        <f t="shared" si="0"/>
        <v>9</v>
      </c>
      <c r="L12" s="11"/>
      <c r="M12" s="11"/>
      <c r="N12" s="11"/>
      <c r="O12" s="11"/>
      <c r="P12" s="46">
        <f t="shared" si="1"/>
        <v>-9</v>
      </c>
      <c r="S12" s="47">
        <v>50</v>
      </c>
      <c r="T12" s="48">
        <f t="shared" si="2"/>
        <v>41</v>
      </c>
      <c r="W12">
        <v>1111059</v>
      </c>
      <c r="X12" t="s">
        <v>16</v>
      </c>
      <c r="Y12">
        <v>50</v>
      </c>
    </row>
    <row r="13" spans="2:25" x14ac:dyDescent="0.25">
      <c r="B13" s="11">
        <v>1111059</v>
      </c>
      <c r="C13" s="15" t="s">
        <v>16</v>
      </c>
      <c r="D13" s="30">
        <f>เช้า!D13+'เย็น  '!D13+บ่าย!D13</f>
        <v>0</v>
      </c>
      <c r="E13" s="30">
        <f>เช้า!E13+'เย็น  '!E13+บ่าย!E13</f>
        <v>0</v>
      </c>
      <c r="F13" s="30">
        <f>เช้า!F13+'เย็น  '!F13+บ่าย!F13</f>
        <v>0</v>
      </c>
      <c r="G13" s="30">
        <f>เช้า!G13+'เย็น  '!G13+บ่าย!G13</f>
        <v>8</v>
      </c>
      <c r="H13" s="30">
        <f>เช้า!H13+'เย็น  '!H13+บ่าย!H13</f>
        <v>0</v>
      </c>
      <c r="I13" s="30">
        <f>เช้า!I13+'เย็น  '!I13+บ่าย!I13</f>
        <v>0</v>
      </c>
      <c r="J13" s="30">
        <f>เช้า!J13+'เย็น  '!J13+บ่าย!J13</f>
        <v>1</v>
      </c>
      <c r="K13" s="36">
        <f t="shared" si="0"/>
        <v>9</v>
      </c>
      <c r="L13" s="11"/>
      <c r="M13" s="11"/>
      <c r="N13" s="11"/>
      <c r="O13" s="11"/>
      <c r="P13" s="46">
        <f t="shared" si="1"/>
        <v>-9</v>
      </c>
      <c r="S13" s="47">
        <v>50</v>
      </c>
      <c r="T13" s="48">
        <f t="shared" si="2"/>
        <v>41</v>
      </c>
      <c r="W13">
        <v>1111060</v>
      </c>
      <c r="X13" t="s">
        <v>17</v>
      </c>
      <c r="Y13">
        <v>50</v>
      </c>
    </row>
    <row r="14" spans="2:25" x14ac:dyDescent="0.25">
      <c r="B14" s="11">
        <v>1111060</v>
      </c>
      <c r="C14" s="15" t="s">
        <v>17</v>
      </c>
      <c r="D14" s="30">
        <f>เช้า!D14+'เย็น  '!D14+บ่าย!D14</f>
        <v>0</v>
      </c>
      <c r="E14" s="30">
        <f>เช้า!E14+'เย็น  '!E14+บ่าย!E14</f>
        <v>0</v>
      </c>
      <c r="F14" s="30">
        <f>เช้า!F14+'เย็น  '!F14+บ่าย!F14</f>
        <v>0</v>
      </c>
      <c r="G14" s="30">
        <f>เช้า!G14+'เย็น  '!G14+บ่าย!G14</f>
        <v>6</v>
      </c>
      <c r="H14" s="30">
        <f>เช้า!H14+'เย็น  '!H14+บ่าย!H14</f>
        <v>0</v>
      </c>
      <c r="I14" s="30">
        <f>เช้า!I14+'เย็น  '!I14+บ่าย!I14</f>
        <v>0</v>
      </c>
      <c r="J14" s="30">
        <f>เช้า!J14+'เย็น  '!J14+บ่าย!J14</f>
        <v>0</v>
      </c>
      <c r="K14" s="36">
        <f t="shared" si="0"/>
        <v>6</v>
      </c>
      <c r="L14" s="11"/>
      <c r="M14" s="11"/>
      <c r="N14" s="11"/>
      <c r="O14" s="11"/>
      <c r="P14" s="46">
        <f t="shared" si="1"/>
        <v>-6</v>
      </c>
      <c r="S14" s="47">
        <v>50</v>
      </c>
      <c r="T14" s="48">
        <f t="shared" si="2"/>
        <v>44</v>
      </c>
      <c r="W14">
        <v>1111061</v>
      </c>
      <c r="X14" t="s">
        <v>18</v>
      </c>
      <c r="Y14">
        <v>50</v>
      </c>
    </row>
    <row r="15" spans="2:25" x14ac:dyDescent="0.25">
      <c r="B15" s="11">
        <v>1111061</v>
      </c>
      <c r="C15" s="15" t="s">
        <v>18</v>
      </c>
      <c r="D15" s="30">
        <f>เช้า!D15+'เย็น  '!D15+บ่าย!D15</f>
        <v>0</v>
      </c>
      <c r="E15" s="30">
        <f>เช้า!E15+'เย็น  '!E15+บ่าย!E15</f>
        <v>0</v>
      </c>
      <c r="F15" s="30">
        <f>เช้า!F15+'เย็น  '!F15+บ่าย!F15</f>
        <v>0</v>
      </c>
      <c r="G15" s="30">
        <f>เช้า!G15+'เย็น  '!G15+บ่าย!G15</f>
        <v>3</v>
      </c>
      <c r="H15" s="30">
        <f>เช้า!H15+'เย็น  '!H15+บ่าย!H15</f>
        <v>0</v>
      </c>
      <c r="I15" s="30">
        <f>เช้า!I15+'เย็น  '!I15+บ่าย!I15</f>
        <v>0</v>
      </c>
      <c r="J15" s="30">
        <f>เช้า!J15+'เย็น  '!J15+บ่าย!J15</f>
        <v>0</v>
      </c>
      <c r="K15" s="36">
        <f t="shared" si="0"/>
        <v>3</v>
      </c>
      <c r="L15" s="11"/>
      <c r="M15" s="11"/>
      <c r="N15" s="11"/>
      <c r="O15" s="11"/>
      <c r="P15" s="46">
        <f t="shared" si="1"/>
        <v>-3</v>
      </c>
      <c r="S15" s="47">
        <v>50</v>
      </c>
      <c r="T15" s="48">
        <f t="shared" si="2"/>
        <v>47</v>
      </c>
      <c r="W15">
        <v>1111062</v>
      </c>
      <c r="X15" t="s">
        <v>19</v>
      </c>
      <c r="Y15">
        <v>50</v>
      </c>
    </row>
    <row r="16" spans="2:25" x14ac:dyDescent="0.25">
      <c r="B16" s="11">
        <v>1111062</v>
      </c>
      <c r="C16" s="15" t="s">
        <v>19</v>
      </c>
      <c r="D16" s="30">
        <f>เช้า!D16+'เย็น  '!D16+บ่าย!D16</f>
        <v>0</v>
      </c>
      <c r="E16" s="30">
        <f>เช้า!E16+'เย็น  '!E16+บ่าย!E16</f>
        <v>0</v>
      </c>
      <c r="F16" s="30">
        <f>เช้า!F16+'เย็น  '!F16+บ่าย!F16</f>
        <v>0</v>
      </c>
      <c r="G16" s="30">
        <f>เช้า!G16+'เย็น  '!G16+บ่าย!G16</f>
        <v>1</v>
      </c>
      <c r="H16" s="30">
        <f>เช้า!H16+'เย็น  '!H16+บ่าย!H16</f>
        <v>0</v>
      </c>
      <c r="I16" s="30">
        <f>เช้า!I16+'เย็น  '!I16+บ่าย!I16</f>
        <v>0</v>
      </c>
      <c r="J16" s="30">
        <f>เช้า!J16+'เย็น  '!J16+บ่าย!J16</f>
        <v>0</v>
      </c>
      <c r="K16" s="36">
        <f t="shared" si="0"/>
        <v>1</v>
      </c>
      <c r="L16" s="11"/>
      <c r="M16" s="11"/>
      <c r="N16" s="11"/>
      <c r="O16" s="11"/>
      <c r="P16" s="46">
        <f t="shared" si="1"/>
        <v>-1</v>
      </c>
      <c r="S16" s="47">
        <v>50</v>
      </c>
      <c r="T16" s="48">
        <f t="shared" si="2"/>
        <v>49</v>
      </c>
      <c r="W16">
        <v>1111063</v>
      </c>
      <c r="X16" t="s">
        <v>20</v>
      </c>
      <c r="Y16">
        <v>50</v>
      </c>
    </row>
    <row r="17" spans="2:25" x14ac:dyDescent="0.25">
      <c r="B17" s="11">
        <v>1111063</v>
      </c>
      <c r="C17" s="15" t="s">
        <v>20</v>
      </c>
      <c r="D17" s="30">
        <f>เช้า!D17+'เย็น  '!D17+บ่าย!D17</f>
        <v>0</v>
      </c>
      <c r="E17" s="30">
        <f>เช้า!E17+'เย็น  '!E17+บ่าย!E17</f>
        <v>0</v>
      </c>
      <c r="F17" s="30">
        <f>เช้า!F17+'เย็น  '!F17+บ่าย!F17</f>
        <v>0</v>
      </c>
      <c r="G17" s="30">
        <f>เช้า!G17+'เย็น  '!G17+บ่าย!G17</f>
        <v>7</v>
      </c>
      <c r="H17" s="30">
        <f>เช้า!H17+'เย็น  '!H17+บ่าย!H17</f>
        <v>0</v>
      </c>
      <c r="I17" s="30">
        <f>เช้า!I17+'เย็น  '!I17+บ่าย!I17</f>
        <v>0</v>
      </c>
      <c r="J17" s="30">
        <f>เช้า!J17+'เย็น  '!J17+บ่าย!J17</f>
        <v>0</v>
      </c>
      <c r="K17" s="36">
        <f t="shared" si="0"/>
        <v>7</v>
      </c>
      <c r="L17" s="11"/>
      <c r="M17" s="11"/>
      <c r="N17" s="11"/>
      <c r="O17" s="11"/>
      <c r="P17" s="46">
        <f t="shared" si="1"/>
        <v>-7</v>
      </c>
      <c r="S17" s="47">
        <v>50</v>
      </c>
      <c r="T17" s="48">
        <f t="shared" si="2"/>
        <v>43</v>
      </c>
      <c r="W17">
        <v>1111064</v>
      </c>
      <c r="X17" t="s">
        <v>21</v>
      </c>
      <c r="Y17">
        <v>50</v>
      </c>
    </row>
    <row r="18" spans="2:25" x14ac:dyDescent="0.25">
      <c r="B18" s="11">
        <v>1111064</v>
      </c>
      <c r="C18" s="15" t="s">
        <v>21</v>
      </c>
      <c r="D18" s="30">
        <f>เช้า!D18+'เย็น  '!D18+บ่าย!D18</f>
        <v>0</v>
      </c>
      <c r="E18" s="30">
        <f>เช้า!E18+'เย็น  '!E18+บ่าย!E18</f>
        <v>0</v>
      </c>
      <c r="F18" s="30">
        <f>เช้า!F18+'เย็น  '!F18+บ่าย!F18</f>
        <v>0</v>
      </c>
      <c r="G18" s="30">
        <f>เช้า!G18+'เย็น  '!G18+บ่าย!G18</f>
        <v>3</v>
      </c>
      <c r="H18" s="30">
        <f>เช้า!H18+'เย็น  '!H18+บ่าย!H18</f>
        <v>0</v>
      </c>
      <c r="I18" s="30">
        <f>เช้า!I18+'เย็น  '!I18+บ่าย!I18</f>
        <v>0</v>
      </c>
      <c r="J18" s="30">
        <f>เช้า!J18+'เย็น  '!J18+บ่าย!J18</f>
        <v>0</v>
      </c>
      <c r="K18" s="36">
        <f t="shared" si="0"/>
        <v>3</v>
      </c>
      <c r="L18" s="11"/>
      <c r="M18" s="11"/>
      <c r="N18" s="11"/>
      <c r="O18" s="11"/>
      <c r="P18" s="46">
        <f t="shared" ref="P18:P40" si="3">(L18+M18+N18+O18)-K18</f>
        <v>-3</v>
      </c>
      <c r="S18" s="47">
        <v>50</v>
      </c>
      <c r="T18" s="48">
        <f t="shared" si="2"/>
        <v>47</v>
      </c>
      <c r="W18">
        <v>1111065</v>
      </c>
      <c r="X18" t="s">
        <v>22</v>
      </c>
      <c r="Y18">
        <v>50</v>
      </c>
    </row>
    <row r="19" spans="2:25" x14ac:dyDescent="0.25">
      <c r="B19" s="11">
        <v>1111065</v>
      </c>
      <c r="C19" s="15" t="s">
        <v>22</v>
      </c>
      <c r="D19" s="30">
        <f>เช้า!D19+'เย็น  '!D19+บ่าย!D19</f>
        <v>0</v>
      </c>
      <c r="E19" s="30">
        <f>เช้า!E19+'เย็น  '!E19+บ่าย!E19</f>
        <v>0</v>
      </c>
      <c r="F19" s="30">
        <f>เช้า!F19+'เย็น  '!F19+บ่าย!F19</f>
        <v>0</v>
      </c>
      <c r="G19" s="30">
        <f>เช้า!G19+'เย็น  '!G19+บ่าย!G19</f>
        <v>5</v>
      </c>
      <c r="H19" s="30">
        <f>เช้า!H19+'เย็น  '!H19+บ่าย!H19</f>
        <v>0</v>
      </c>
      <c r="I19" s="30">
        <f>เช้า!I19+'เย็น  '!I19+บ่าย!I19</f>
        <v>0</v>
      </c>
      <c r="J19" s="30">
        <f>เช้า!J19+'เย็น  '!J19+บ่าย!J19</f>
        <v>0</v>
      </c>
      <c r="K19" s="36">
        <f t="shared" si="0"/>
        <v>5</v>
      </c>
      <c r="L19" s="11"/>
      <c r="M19" s="11"/>
      <c r="N19" s="11"/>
      <c r="O19" s="11"/>
      <c r="P19" s="46">
        <f t="shared" si="3"/>
        <v>-5</v>
      </c>
      <c r="S19" s="47">
        <v>50</v>
      </c>
      <c r="T19" s="48">
        <f t="shared" si="2"/>
        <v>45</v>
      </c>
      <c r="W19">
        <v>1111066</v>
      </c>
      <c r="X19" t="s">
        <v>23</v>
      </c>
      <c r="Y19">
        <v>50</v>
      </c>
    </row>
    <row r="20" spans="2:25" x14ac:dyDescent="0.25">
      <c r="B20" s="11">
        <v>1111066</v>
      </c>
      <c r="C20" s="15" t="s">
        <v>23</v>
      </c>
      <c r="D20" s="30">
        <f>เช้า!D20+'เย็น  '!D20+บ่าย!D20</f>
        <v>0</v>
      </c>
      <c r="E20" s="30">
        <f>เช้า!E20+'เย็น  '!E20+บ่าย!E20</f>
        <v>0</v>
      </c>
      <c r="F20" s="30">
        <f>เช้า!F20+'เย็น  '!F20+บ่าย!F20</f>
        <v>0</v>
      </c>
      <c r="G20" s="30">
        <f>เช้า!G20+'เย็น  '!G20+บ่าย!G20</f>
        <v>6</v>
      </c>
      <c r="H20" s="30">
        <f>เช้า!H20+'เย็น  '!H20+บ่าย!H20</f>
        <v>0</v>
      </c>
      <c r="I20" s="30">
        <f>เช้า!I20+'เย็น  '!I20+บ่าย!I20</f>
        <v>0</v>
      </c>
      <c r="J20" s="30">
        <f>เช้า!J20+'เย็น  '!J20+บ่าย!J20</f>
        <v>0</v>
      </c>
      <c r="K20" s="36">
        <f t="shared" si="0"/>
        <v>6</v>
      </c>
      <c r="L20" s="11"/>
      <c r="M20" s="11"/>
      <c r="N20" s="11"/>
      <c r="O20" s="11"/>
      <c r="P20" s="46">
        <f t="shared" si="3"/>
        <v>-6</v>
      </c>
      <c r="S20" s="47">
        <v>50</v>
      </c>
      <c r="T20" s="48">
        <f t="shared" si="2"/>
        <v>44</v>
      </c>
      <c r="W20">
        <v>1111067</v>
      </c>
      <c r="X20" t="s">
        <v>24</v>
      </c>
      <c r="Y20">
        <v>50</v>
      </c>
    </row>
    <row r="21" spans="2:25" x14ac:dyDescent="0.25">
      <c r="B21" s="11">
        <v>1111067</v>
      </c>
      <c r="C21" s="15" t="s">
        <v>24</v>
      </c>
      <c r="D21" s="30">
        <f>เช้า!D21+'เย็น  '!D21+บ่าย!D21</f>
        <v>0</v>
      </c>
      <c r="E21" s="30">
        <f>เช้า!E21+'เย็น  '!E21+บ่าย!E21</f>
        <v>0</v>
      </c>
      <c r="F21" s="30">
        <f>เช้า!F21+'เย็น  '!F21+บ่าย!F21</f>
        <v>0</v>
      </c>
      <c r="G21" s="30">
        <f>เช้า!G21+'เย็น  '!G21+บ่าย!G21</f>
        <v>6</v>
      </c>
      <c r="H21" s="30">
        <f>เช้า!H21+'เย็น  '!H21+บ่าย!H21</f>
        <v>0</v>
      </c>
      <c r="I21" s="30">
        <f>เช้า!I21+'เย็น  '!I21+บ่าย!I21</f>
        <v>0</v>
      </c>
      <c r="J21" s="30">
        <f>เช้า!J21+'เย็น  '!J21+บ่าย!J21</f>
        <v>0</v>
      </c>
      <c r="K21" s="36">
        <f t="shared" si="0"/>
        <v>6</v>
      </c>
      <c r="L21" s="11"/>
      <c r="M21" s="11"/>
      <c r="N21" s="11"/>
      <c r="O21" s="11"/>
      <c r="P21" s="46">
        <f t="shared" si="3"/>
        <v>-6</v>
      </c>
      <c r="S21" s="47">
        <v>50</v>
      </c>
      <c r="T21" s="48">
        <f t="shared" si="2"/>
        <v>44</v>
      </c>
      <c r="W21">
        <v>1111068</v>
      </c>
      <c r="X21" t="s">
        <v>25</v>
      </c>
      <c r="Y21">
        <v>50</v>
      </c>
    </row>
    <row r="22" spans="2:25" x14ac:dyDescent="0.25">
      <c r="B22" s="11">
        <v>1111068</v>
      </c>
      <c r="C22" s="15" t="s">
        <v>25</v>
      </c>
      <c r="D22" s="30">
        <f>เช้า!D22+'เย็น  '!D22+บ่าย!D22</f>
        <v>0</v>
      </c>
      <c r="E22" s="30">
        <f>เช้า!E22+'เย็น  '!E22+บ่าย!E22</f>
        <v>0</v>
      </c>
      <c r="F22" s="30">
        <f>เช้า!F22+'เย็น  '!F22+บ่าย!F22</f>
        <v>0</v>
      </c>
      <c r="G22" s="30">
        <f>เช้า!G22+'เย็น  '!G22+บ่าย!G22</f>
        <v>6</v>
      </c>
      <c r="H22" s="30">
        <f>เช้า!H22+'เย็น  '!H22+บ่าย!H22</f>
        <v>0</v>
      </c>
      <c r="I22" s="30">
        <f>เช้า!I22+'เย็น  '!I22+บ่าย!I22</f>
        <v>0</v>
      </c>
      <c r="J22" s="30">
        <f>เช้า!J22+'เย็น  '!J22+บ่าย!J22</f>
        <v>0</v>
      </c>
      <c r="K22" s="36">
        <f t="shared" si="0"/>
        <v>6</v>
      </c>
      <c r="L22" s="11"/>
      <c r="M22" s="11"/>
      <c r="N22" s="11"/>
      <c r="O22" s="11"/>
      <c r="P22" s="46">
        <f t="shared" si="3"/>
        <v>-6</v>
      </c>
      <c r="S22" s="47">
        <v>50</v>
      </c>
      <c r="T22" s="48">
        <f t="shared" si="2"/>
        <v>44</v>
      </c>
      <c r="W22">
        <v>1111069</v>
      </c>
      <c r="X22" t="s">
        <v>26</v>
      </c>
      <c r="Y22">
        <v>50</v>
      </c>
    </row>
    <row r="23" spans="2:25" x14ac:dyDescent="0.25">
      <c r="B23" s="11">
        <v>1111069</v>
      </c>
      <c r="C23" s="15" t="s">
        <v>26</v>
      </c>
      <c r="D23" s="30">
        <f>เช้า!D23+'เย็น  '!D23+บ่าย!D23</f>
        <v>0</v>
      </c>
      <c r="E23" s="30">
        <f>เช้า!E23+'เย็น  '!E23+บ่าย!E23</f>
        <v>0</v>
      </c>
      <c r="F23" s="30">
        <f>เช้า!F23+'เย็น  '!F23+บ่าย!F23</f>
        <v>0</v>
      </c>
      <c r="G23" s="30">
        <f>เช้า!G23+'เย็น  '!G23+บ่าย!G23</f>
        <v>6</v>
      </c>
      <c r="H23" s="30">
        <f>เช้า!H23+'เย็น  '!H23+บ่าย!H23</f>
        <v>0</v>
      </c>
      <c r="I23" s="30">
        <f>เช้า!I23+'เย็น  '!I23+บ่าย!I23</f>
        <v>0</v>
      </c>
      <c r="J23" s="30">
        <f>เช้า!J23+'เย็น  '!J23+บ่าย!J23</f>
        <v>0</v>
      </c>
      <c r="K23" s="36">
        <f t="shared" si="0"/>
        <v>6</v>
      </c>
      <c r="L23" s="11"/>
      <c r="M23" s="11"/>
      <c r="N23" s="11"/>
      <c r="O23" s="11"/>
      <c r="P23" s="46">
        <f t="shared" si="3"/>
        <v>-6</v>
      </c>
      <c r="S23" s="47">
        <v>50</v>
      </c>
      <c r="T23" s="48">
        <f t="shared" si="2"/>
        <v>44</v>
      </c>
      <c r="W23">
        <v>1111070</v>
      </c>
      <c r="X23" t="s">
        <v>79</v>
      </c>
      <c r="Y23">
        <v>50</v>
      </c>
    </row>
    <row r="24" spans="2:25" x14ac:dyDescent="0.25">
      <c r="B24" s="11">
        <v>1111070</v>
      </c>
      <c r="C24" s="15" t="s">
        <v>79</v>
      </c>
      <c r="D24" s="30">
        <f>เช้า!D24+'เย็น  '!D24+บ่าย!D24</f>
        <v>0</v>
      </c>
      <c r="E24" s="30">
        <f>เช้า!E24+'เย็น  '!E24+บ่าย!E24</f>
        <v>0</v>
      </c>
      <c r="F24" s="30">
        <f>เช้า!F24+'เย็น  '!F24+บ่าย!F24</f>
        <v>0</v>
      </c>
      <c r="G24" s="30">
        <f>เช้า!G24+'เย็น  '!G24+บ่าย!G24</f>
        <v>0</v>
      </c>
      <c r="H24" s="30">
        <f>เช้า!H24+'เย็น  '!H24+บ่าย!H24</f>
        <v>0</v>
      </c>
      <c r="I24" s="30">
        <f>เช้า!I24+'เย็น  '!I24+บ่าย!I24</f>
        <v>0</v>
      </c>
      <c r="J24" s="30">
        <f>เช้า!J24+'เย็น  '!J24+บ่าย!J24</f>
        <v>0</v>
      </c>
      <c r="K24" s="36">
        <f t="shared" si="0"/>
        <v>0</v>
      </c>
      <c r="L24" s="11"/>
      <c r="M24" s="11"/>
      <c r="N24" s="11"/>
      <c r="O24" s="11"/>
      <c r="P24" s="46">
        <f t="shared" si="3"/>
        <v>0</v>
      </c>
      <c r="S24" s="47">
        <v>50</v>
      </c>
      <c r="T24" s="48">
        <f t="shared" si="2"/>
        <v>50</v>
      </c>
      <c r="W24">
        <v>1111071</v>
      </c>
      <c r="X24" t="s">
        <v>80</v>
      </c>
      <c r="Y24">
        <v>50</v>
      </c>
    </row>
    <row r="25" spans="2:25" x14ac:dyDescent="0.25">
      <c r="B25" s="11">
        <v>1111071</v>
      </c>
      <c r="C25" s="15" t="s">
        <v>80</v>
      </c>
      <c r="D25" s="30">
        <f>เช้า!D25+'เย็น  '!D25+บ่าย!D25</f>
        <v>0</v>
      </c>
      <c r="E25" s="30">
        <f>เช้า!E25+'เย็น  '!E25+บ่าย!E25</f>
        <v>0</v>
      </c>
      <c r="F25" s="30">
        <f>เช้า!F25+'เย็น  '!F25+บ่าย!F25</f>
        <v>0</v>
      </c>
      <c r="G25" s="30">
        <f>เช้า!G25+'เย็น  '!G25+บ่าย!G25</f>
        <v>0</v>
      </c>
      <c r="H25" s="30">
        <f>เช้า!H25+'เย็น  '!H25+บ่าย!H25</f>
        <v>0</v>
      </c>
      <c r="I25" s="30">
        <f>เช้า!I25+'เย็น  '!I25+บ่าย!I25</f>
        <v>0</v>
      </c>
      <c r="J25" s="30">
        <f>เช้า!J25+'เย็น  '!J25+บ่าย!J25</f>
        <v>0</v>
      </c>
      <c r="K25" s="36">
        <f t="shared" si="0"/>
        <v>0</v>
      </c>
      <c r="L25" s="11"/>
      <c r="M25" s="11"/>
      <c r="N25" s="11"/>
      <c r="O25" s="11"/>
      <c r="P25" s="46">
        <f t="shared" si="3"/>
        <v>0</v>
      </c>
      <c r="S25" s="47">
        <v>50</v>
      </c>
      <c r="T25" s="48">
        <f t="shared" si="2"/>
        <v>50</v>
      </c>
      <c r="W25">
        <v>1111074</v>
      </c>
      <c r="X25" t="s">
        <v>28</v>
      </c>
      <c r="Y25">
        <v>40</v>
      </c>
    </row>
    <row r="26" spans="2:25" x14ac:dyDescent="0.25">
      <c r="B26" s="11">
        <v>1111001</v>
      </c>
      <c r="C26" s="15" t="s">
        <v>27</v>
      </c>
      <c r="D26" s="30">
        <f>เช้า!D26+'เย็น  '!D26+บ่าย!D26</f>
        <v>0</v>
      </c>
      <c r="E26" s="30">
        <f>เช้า!E26+'เย็น  '!E26+บ่าย!E26</f>
        <v>0</v>
      </c>
      <c r="F26" s="30">
        <f>เช้า!F26+'เย็น  '!F26+บ่าย!F26</f>
        <v>0</v>
      </c>
      <c r="G26" s="30">
        <f>เช้า!G26+'เย็น  '!G26+บ่าย!G26</f>
        <v>0</v>
      </c>
      <c r="H26" s="30">
        <f>เช้า!H26+'เย็น  '!H26+บ่าย!H26</f>
        <v>0</v>
      </c>
      <c r="I26" s="30">
        <f>เช้า!I26+'เย็น  '!I26+บ่าย!I26</f>
        <v>0</v>
      </c>
      <c r="J26" s="30">
        <f>เช้า!J26+'เย็น  '!J26+บ่าย!J26</f>
        <v>0</v>
      </c>
      <c r="K26" s="36">
        <f t="shared" si="0"/>
        <v>0</v>
      </c>
      <c r="L26" s="11"/>
      <c r="M26" s="11"/>
      <c r="N26" s="11"/>
      <c r="O26" s="11"/>
      <c r="P26" s="46">
        <f t="shared" si="3"/>
        <v>0</v>
      </c>
      <c r="T26" s="48">
        <f t="shared" si="2"/>
        <v>0</v>
      </c>
      <c r="W26">
        <v>1111075</v>
      </c>
      <c r="X26" t="s">
        <v>29</v>
      </c>
      <c r="Y26">
        <v>40</v>
      </c>
    </row>
    <row r="27" spans="2:25" x14ac:dyDescent="0.25">
      <c r="B27" s="11">
        <v>1111074</v>
      </c>
      <c r="C27" s="15" t="s">
        <v>28</v>
      </c>
      <c r="D27" s="30">
        <f>เช้า!D27+'เย็น  '!D27+บ่าย!D27</f>
        <v>0</v>
      </c>
      <c r="E27" s="30">
        <f>เช้า!E27+'เย็น  '!E27+บ่าย!E27</f>
        <v>0</v>
      </c>
      <c r="F27" s="30">
        <f>เช้า!F27+'เย็น  '!F27+บ่าย!F27</f>
        <v>0</v>
      </c>
      <c r="G27" s="30">
        <f>เช้า!G27+'เย็น  '!G27+บ่าย!G27</f>
        <v>4</v>
      </c>
      <c r="H27" s="30">
        <f>เช้า!H27+'เย็น  '!H27+บ่าย!H27</f>
        <v>0</v>
      </c>
      <c r="I27" s="30">
        <f>เช้า!I27+'เย็น  '!I27+บ่าย!I27</f>
        <v>1</v>
      </c>
      <c r="J27" s="30">
        <f>เช้า!J27+'เย็น  '!J27+บ่าย!J27</f>
        <v>0</v>
      </c>
      <c r="K27" s="36">
        <f t="shared" si="0"/>
        <v>5</v>
      </c>
      <c r="L27" s="11"/>
      <c r="M27" s="11"/>
      <c r="N27" s="11"/>
      <c r="O27" s="11"/>
      <c r="P27" s="46">
        <f t="shared" si="3"/>
        <v>-5</v>
      </c>
      <c r="S27" s="47">
        <v>40</v>
      </c>
      <c r="T27" s="48">
        <f t="shared" si="2"/>
        <v>35</v>
      </c>
      <c r="W27">
        <v>1111076</v>
      </c>
      <c r="X27" t="s">
        <v>30</v>
      </c>
      <c r="Y27">
        <v>40</v>
      </c>
    </row>
    <row r="28" spans="2:25" x14ac:dyDescent="0.25">
      <c r="B28" s="11">
        <v>1111075</v>
      </c>
      <c r="C28" s="15" t="s">
        <v>29</v>
      </c>
      <c r="D28" s="30">
        <f>เช้า!D28+'เย็น  '!D28+บ่าย!D28</f>
        <v>0</v>
      </c>
      <c r="E28" s="30">
        <f>เช้า!E28+'เย็น  '!E28+บ่าย!E28</f>
        <v>0</v>
      </c>
      <c r="F28" s="30">
        <f>เช้า!F28+'เย็น  '!F28+บ่าย!F28</f>
        <v>0</v>
      </c>
      <c r="G28" s="30">
        <f>เช้า!G28+'เย็น  '!G28+บ่าย!G28</f>
        <v>4</v>
      </c>
      <c r="H28" s="30">
        <f>เช้า!H28+'เย็น  '!H28+บ่าย!H28</f>
        <v>0</v>
      </c>
      <c r="I28" s="30">
        <f>เช้า!I28+'เย็น  '!I28+บ่าย!I28</f>
        <v>1</v>
      </c>
      <c r="J28" s="30">
        <f>เช้า!J28+'เย็น  '!J28+บ่าย!J28</f>
        <v>0</v>
      </c>
      <c r="K28" s="36">
        <f t="shared" si="0"/>
        <v>5</v>
      </c>
      <c r="L28" s="11"/>
      <c r="M28" s="11"/>
      <c r="N28" s="11"/>
      <c r="O28" s="11"/>
      <c r="P28" s="46">
        <f t="shared" si="3"/>
        <v>-5</v>
      </c>
      <c r="S28" s="47">
        <v>40</v>
      </c>
      <c r="T28" s="48">
        <f t="shared" si="2"/>
        <v>35</v>
      </c>
      <c r="W28">
        <v>1111077</v>
      </c>
      <c r="X28" t="s">
        <v>31</v>
      </c>
      <c r="Y28">
        <v>40</v>
      </c>
    </row>
    <row r="29" spans="2:25" x14ac:dyDescent="0.25">
      <c r="B29" s="11">
        <v>1111076</v>
      </c>
      <c r="C29" s="15" t="s">
        <v>30</v>
      </c>
      <c r="D29" s="30">
        <f>เช้า!D29+'เย็น  '!D29+บ่าย!D29</f>
        <v>0</v>
      </c>
      <c r="E29" s="30">
        <f>เช้า!E29+'เย็น  '!E29+บ่าย!E29</f>
        <v>0</v>
      </c>
      <c r="F29" s="30">
        <f>เช้า!F29+'เย็น  '!F29+บ่าย!F29</f>
        <v>0</v>
      </c>
      <c r="G29" s="30">
        <f>เช้า!G29+'เย็น  '!G29+บ่าย!G29</f>
        <v>4</v>
      </c>
      <c r="H29" s="30">
        <f>เช้า!H29+'เย็น  '!H29+บ่าย!H29</f>
        <v>0</v>
      </c>
      <c r="I29" s="30">
        <f>เช้า!I29+'เย็น  '!I29+บ่าย!I29</f>
        <v>1</v>
      </c>
      <c r="J29" s="30">
        <f>เช้า!J29+'เย็น  '!J29+บ่าย!J29</f>
        <v>0</v>
      </c>
      <c r="K29" s="36">
        <f t="shared" si="0"/>
        <v>5</v>
      </c>
      <c r="L29" s="11"/>
      <c r="M29" s="11"/>
      <c r="N29" s="11"/>
      <c r="O29" s="11"/>
      <c r="P29" s="46">
        <f t="shared" si="3"/>
        <v>-5</v>
      </c>
      <c r="S29" s="47">
        <v>40</v>
      </c>
      <c r="T29" s="48">
        <f t="shared" si="2"/>
        <v>35</v>
      </c>
      <c r="W29">
        <v>1111078</v>
      </c>
      <c r="X29" t="s">
        <v>32</v>
      </c>
      <c r="Y29">
        <v>40</v>
      </c>
    </row>
    <row r="30" spans="2:25" x14ac:dyDescent="0.25">
      <c r="B30" s="11">
        <v>1111077</v>
      </c>
      <c r="C30" s="15" t="s">
        <v>31</v>
      </c>
      <c r="D30" s="30">
        <f>เช้า!D30+'เย็น  '!D30+บ่าย!D30</f>
        <v>0</v>
      </c>
      <c r="E30" s="30">
        <f>เช้า!E30+'เย็น  '!E30+บ่าย!E30</f>
        <v>1</v>
      </c>
      <c r="F30" s="30">
        <f>เช้า!F30+'เย็น  '!F30+บ่าย!F30</f>
        <v>0</v>
      </c>
      <c r="G30" s="30">
        <f>เช้า!G30+'เย็น  '!G30+บ่าย!G30</f>
        <v>4</v>
      </c>
      <c r="H30" s="30">
        <f>เช้า!H30+'เย็น  '!H30+บ่าย!H30</f>
        <v>0</v>
      </c>
      <c r="I30" s="30">
        <f>เช้า!I30+'เย็น  '!I30+บ่าย!I30</f>
        <v>1</v>
      </c>
      <c r="J30" s="30">
        <f>เช้า!J30+'เย็น  '!J30+บ่าย!J30</f>
        <v>0</v>
      </c>
      <c r="K30" s="36">
        <f t="shared" si="0"/>
        <v>6</v>
      </c>
      <c r="L30" s="11"/>
      <c r="M30" s="11"/>
      <c r="N30" s="11"/>
      <c r="O30" s="11"/>
      <c r="P30" s="46">
        <f t="shared" si="3"/>
        <v>-6</v>
      </c>
      <c r="S30" s="47">
        <v>40</v>
      </c>
      <c r="T30" s="48">
        <f t="shared" si="2"/>
        <v>34</v>
      </c>
      <c r="W30">
        <v>1111079</v>
      </c>
      <c r="X30" t="s">
        <v>33</v>
      </c>
      <c r="Y30">
        <v>40</v>
      </c>
    </row>
    <row r="31" spans="2:25" x14ac:dyDescent="0.25">
      <c r="B31" s="11">
        <v>1111078</v>
      </c>
      <c r="C31" s="15" t="s">
        <v>32</v>
      </c>
      <c r="D31" s="30">
        <f>เช้า!D31+'เย็น  '!D31+บ่าย!D31</f>
        <v>0</v>
      </c>
      <c r="E31" s="30">
        <f>เช้า!E31+'เย็น  '!E31+บ่าย!E31</f>
        <v>1</v>
      </c>
      <c r="F31" s="30">
        <f>เช้า!F31+'เย็น  '!F31+บ่าย!F31</f>
        <v>0</v>
      </c>
      <c r="G31" s="30">
        <f>เช้า!G31+'เย็น  '!G31+บ่าย!G31</f>
        <v>4</v>
      </c>
      <c r="H31" s="30">
        <f>เช้า!H31+'เย็น  '!H31+บ่าย!H31</f>
        <v>0</v>
      </c>
      <c r="I31" s="30">
        <f>เช้า!I31+'เย็น  '!I31+บ่าย!I31</f>
        <v>0</v>
      </c>
      <c r="J31" s="30">
        <f>เช้า!J31+'เย็น  '!J31+บ่าย!J31</f>
        <v>0</v>
      </c>
      <c r="K31" s="36">
        <f t="shared" si="0"/>
        <v>5</v>
      </c>
      <c r="L31" s="11"/>
      <c r="M31" s="11"/>
      <c r="N31" s="11"/>
      <c r="O31" s="11"/>
      <c r="P31" s="46">
        <f t="shared" si="3"/>
        <v>-5</v>
      </c>
      <c r="S31" s="47">
        <v>40</v>
      </c>
      <c r="T31" s="48">
        <f t="shared" si="2"/>
        <v>35</v>
      </c>
      <c r="W31">
        <v>1111080</v>
      </c>
      <c r="X31" t="s">
        <v>34</v>
      </c>
      <c r="Y31">
        <v>40</v>
      </c>
    </row>
    <row r="32" spans="2:25" x14ac:dyDescent="0.25">
      <c r="B32" s="11">
        <v>1111079</v>
      </c>
      <c r="C32" s="15" t="s">
        <v>33</v>
      </c>
      <c r="D32" s="30">
        <f>เช้า!D32+'เย็น  '!D32+บ่าย!D32</f>
        <v>0</v>
      </c>
      <c r="E32" s="30">
        <f>เช้า!E32+'เย็น  '!E32+บ่าย!E32</f>
        <v>1</v>
      </c>
      <c r="F32" s="30">
        <f>เช้า!F32+'เย็น  '!F32+บ่าย!F32</f>
        <v>0</v>
      </c>
      <c r="G32" s="30">
        <f>เช้า!G32+'เย็น  '!G32+บ่าย!G32</f>
        <v>4</v>
      </c>
      <c r="H32" s="30">
        <f>เช้า!H32+'เย็น  '!H32+บ่าย!H32</f>
        <v>0</v>
      </c>
      <c r="I32" s="30">
        <f>เช้า!I32+'เย็น  '!I32+บ่าย!I32</f>
        <v>0</v>
      </c>
      <c r="J32" s="30">
        <f>เช้า!J32+'เย็น  '!J32+บ่าย!J32</f>
        <v>0</v>
      </c>
      <c r="K32" s="36">
        <f t="shared" si="0"/>
        <v>5</v>
      </c>
      <c r="L32" s="11"/>
      <c r="M32" s="11"/>
      <c r="N32" s="11"/>
      <c r="O32" s="11"/>
      <c r="P32" s="46">
        <f t="shared" si="3"/>
        <v>-5</v>
      </c>
      <c r="S32" s="47">
        <v>40</v>
      </c>
      <c r="T32" s="48">
        <f t="shared" si="2"/>
        <v>35</v>
      </c>
      <c r="W32">
        <v>1111081</v>
      </c>
      <c r="X32" t="s">
        <v>35</v>
      </c>
      <c r="Y32">
        <v>40</v>
      </c>
    </row>
    <row r="33" spans="2:25" x14ac:dyDescent="0.25">
      <c r="B33" s="11">
        <v>1111080</v>
      </c>
      <c r="C33" s="15" t="s">
        <v>34</v>
      </c>
      <c r="D33" s="30">
        <f>เช้า!D33+'เย็น  '!D33+บ่าย!D33</f>
        <v>0</v>
      </c>
      <c r="E33" s="30">
        <f>เช้า!E33+'เย็น  '!E33+บ่าย!E33</f>
        <v>0</v>
      </c>
      <c r="F33" s="30">
        <f>เช้า!F33+'เย็น  '!F33+บ่าย!F33</f>
        <v>0</v>
      </c>
      <c r="G33" s="30">
        <f>เช้า!G33+'เย็น  '!G33+บ่าย!G33</f>
        <v>3</v>
      </c>
      <c r="H33" s="30">
        <f>เช้า!H33+'เย็น  '!H33+บ่าย!H33</f>
        <v>0</v>
      </c>
      <c r="I33" s="30">
        <f>เช้า!I33+'เย็น  '!I33+บ่าย!I33</f>
        <v>0</v>
      </c>
      <c r="J33" s="30">
        <f>เช้า!J33+'เย็น  '!J33+บ่าย!J33</f>
        <v>0</v>
      </c>
      <c r="K33" s="36">
        <f t="shared" si="0"/>
        <v>3</v>
      </c>
      <c r="L33" s="11"/>
      <c r="M33" s="11"/>
      <c r="N33" s="11"/>
      <c r="O33" s="11"/>
      <c r="P33" s="46">
        <f t="shared" si="3"/>
        <v>-3</v>
      </c>
      <c r="S33" s="47">
        <v>40</v>
      </c>
      <c r="T33" s="48">
        <f t="shared" si="2"/>
        <v>37</v>
      </c>
      <c r="W33">
        <v>1111082</v>
      </c>
      <c r="X33" t="s">
        <v>36</v>
      </c>
      <c r="Y33">
        <v>40</v>
      </c>
    </row>
    <row r="34" spans="2:25" x14ac:dyDescent="0.25">
      <c r="B34" s="11">
        <v>1111081</v>
      </c>
      <c r="C34" s="15" t="s">
        <v>35</v>
      </c>
      <c r="D34" s="30">
        <f>เช้า!D34+'เย็น  '!D34+บ่าย!D34</f>
        <v>0</v>
      </c>
      <c r="E34" s="30">
        <f>เช้า!E34+'เย็น  '!E34+บ่าย!E34</f>
        <v>0</v>
      </c>
      <c r="F34" s="30">
        <f>เช้า!F34+'เย็น  '!F34+บ่าย!F34</f>
        <v>0</v>
      </c>
      <c r="G34" s="30">
        <f>เช้า!G34+'เย็น  '!G34+บ่าย!G34</f>
        <v>2</v>
      </c>
      <c r="H34" s="30">
        <f>เช้า!H34+'เย็น  '!H34+บ่าย!H34</f>
        <v>0</v>
      </c>
      <c r="I34" s="30">
        <f>เช้า!I34+'เย็น  '!I34+บ่าย!I34</f>
        <v>0</v>
      </c>
      <c r="J34" s="30">
        <f>เช้า!J34+'เย็น  '!J34+บ่าย!J34</f>
        <v>0</v>
      </c>
      <c r="K34" s="36">
        <f t="shared" si="0"/>
        <v>2</v>
      </c>
      <c r="L34" s="11"/>
      <c r="M34" s="11"/>
      <c r="N34" s="11"/>
      <c r="O34" s="11"/>
      <c r="P34" s="46">
        <f t="shared" si="3"/>
        <v>-2</v>
      </c>
      <c r="S34" s="47">
        <v>40</v>
      </c>
      <c r="T34" s="48">
        <f t="shared" si="2"/>
        <v>38</v>
      </c>
      <c r="W34">
        <v>1111083</v>
      </c>
      <c r="X34" t="s">
        <v>37</v>
      </c>
      <c r="Y34">
        <v>40</v>
      </c>
    </row>
    <row r="35" spans="2:25" x14ac:dyDescent="0.25">
      <c r="B35" s="11">
        <v>1111082</v>
      </c>
      <c r="C35" s="15" t="s">
        <v>36</v>
      </c>
      <c r="D35" s="30">
        <f>เช้า!D35+'เย็น  '!D35+บ่าย!D35</f>
        <v>0</v>
      </c>
      <c r="E35" s="30">
        <f>เช้า!E35+'เย็น  '!E35+บ่าย!E35</f>
        <v>0</v>
      </c>
      <c r="F35" s="30">
        <f>เช้า!F35+'เย็น  '!F35+บ่าย!F35</f>
        <v>0</v>
      </c>
      <c r="G35" s="30">
        <f>เช้า!G35+'เย็น  '!G35+บ่าย!G35</f>
        <v>2</v>
      </c>
      <c r="H35" s="30">
        <f>เช้า!H35+'เย็น  '!H35+บ่าย!H35</f>
        <v>0</v>
      </c>
      <c r="I35" s="30">
        <f>เช้า!I35+'เย็น  '!I35+บ่าย!I35</f>
        <v>0</v>
      </c>
      <c r="J35" s="30">
        <f>เช้า!J35+'เย็น  '!J35+บ่าย!J35</f>
        <v>0</v>
      </c>
      <c r="K35" s="36">
        <f t="shared" si="0"/>
        <v>2</v>
      </c>
      <c r="L35" s="11"/>
      <c r="M35" s="11"/>
      <c r="N35" s="11"/>
      <c r="O35" s="11"/>
      <c r="P35" s="46">
        <f t="shared" si="3"/>
        <v>-2</v>
      </c>
      <c r="S35" s="47">
        <v>40</v>
      </c>
      <c r="T35" s="48">
        <f t="shared" si="2"/>
        <v>38</v>
      </c>
      <c r="W35">
        <v>1111009</v>
      </c>
      <c r="X35" t="s">
        <v>40</v>
      </c>
      <c r="Y35">
        <v>20</v>
      </c>
    </row>
    <row r="36" spans="2:25" x14ac:dyDescent="0.25">
      <c r="B36" s="11">
        <v>1111083</v>
      </c>
      <c r="C36" s="15" t="s">
        <v>37</v>
      </c>
      <c r="D36" s="30">
        <f>เช้า!D36+'เย็น  '!D36+บ่าย!D36</f>
        <v>0</v>
      </c>
      <c r="E36" s="30">
        <f>เช้า!E36+'เย็น  '!E36+บ่าย!E36</f>
        <v>0</v>
      </c>
      <c r="F36" s="30">
        <f>เช้า!F36+'เย็น  '!F36+บ่าย!F36</f>
        <v>0</v>
      </c>
      <c r="G36" s="30">
        <f>เช้า!G36+'เย็น  '!G36+บ่าย!G36</f>
        <v>2</v>
      </c>
      <c r="H36" s="30">
        <f>เช้า!H36+'เย็น  '!H36+บ่าย!H36</f>
        <v>0</v>
      </c>
      <c r="I36" s="30">
        <f>เช้า!I36+'เย็น  '!I36+บ่าย!I36</f>
        <v>0</v>
      </c>
      <c r="J36" s="30">
        <f>เช้า!J36+'เย็น  '!J36+บ่าย!J36</f>
        <v>0</v>
      </c>
      <c r="K36" s="36">
        <f t="shared" si="0"/>
        <v>2</v>
      </c>
      <c r="L36" s="11"/>
      <c r="M36" s="11"/>
      <c r="N36" s="11"/>
      <c r="O36" s="11"/>
      <c r="P36" s="46">
        <f t="shared" si="3"/>
        <v>-2</v>
      </c>
      <c r="S36" s="47">
        <v>40</v>
      </c>
      <c r="T36" s="48">
        <f t="shared" si="2"/>
        <v>38</v>
      </c>
      <c r="W36">
        <v>1111008</v>
      </c>
      <c r="X36" t="s">
        <v>42</v>
      </c>
      <c r="Y36">
        <v>250</v>
      </c>
    </row>
    <row r="37" spans="2:25" x14ac:dyDescent="0.25">
      <c r="B37" s="11">
        <v>1111010</v>
      </c>
      <c r="C37" s="15" t="s">
        <v>38</v>
      </c>
      <c r="D37" s="30">
        <f>เช้า!D37+'เย็น  '!D37+บ่าย!D37</f>
        <v>0</v>
      </c>
      <c r="E37" s="30">
        <f>เช้า!E37+'เย็น  '!E37+บ่าย!E37</f>
        <v>0</v>
      </c>
      <c r="F37" s="30">
        <f>เช้า!F37+'เย็น  '!F37+บ่าย!F37</f>
        <v>0</v>
      </c>
      <c r="G37" s="30">
        <f>เช้า!G37+'เย็น  '!G37+บ่าย!G37</f>
        <v>0</v>
      </c>
      <c r="H37" s="30">
        <f>เช้า!H37+'เย็น  '!H37+บ่าย!H37</f>
        <v>0</v>
      </c>
      <c r="I37" s="30">
        <f>เช้า!I37+'เย็น  '!I37+บ่าย!I37</f>
        <v>0</v>
      </c>
      <c r="J37" s="30">
        <f>เช้า!J37+'เย็น  '!J37+บ่าย!J37</f>
        <v>0</v>
      </c>
      <c r="K37" s="36">
        <f t="shared" ref="K37" si="4">SUM(D37:J37)</f>
        <v>0</v>
      </c>
      <c r="L37" s="11"/>
      <c r="M37" s="11"/>
      <c r="N37" s="11"/>
      <c r="O37" s="11"/>
      <c r="P37" s="46">
        <f t="shared" si="3"/>
        <v>0</v>
      </c>
      <c r="T37" s="48">
        <f t="shared" si="2"/>
        <v>0</v>
      </c>
    </row>
    <row r="38" spans="2:25" x14ac:dyDescent="0.25">
      <c r="B38" s="17"/>
      <c r="C38" s="17" t="s">
        <v>1</v>
      </c>
      <c r="D38" s="30">
        <f>เช้า!D38+'เย็น  '!D38+บ่าย!D38</f>
        <v>0</v>
      </c>
      <c r="E38" s="30">
        <f>เช้า!E38+'เย็น  '!E38+บ่าย!E38</f>
        <v>0</v>
      </c>
      <c r="F38" s="30">
        <f>เช้า!F38+'เย็น  '!F38+บ่าย!F38</f>
        <v>0</v>
      </c>
      <c r="G38" s="30">
        <f>เช้า!G38+'เย็น  '!G38+บ่าย!G38</f>
        <v>0</v>
      </c>
      <c r="H38" s="30">
        <f>เช้า!H38+'เย็น  '!H38+บ่าย!H38</f>
        <v>0</v>
      </c>
      <c r="I38" s="30">
        <f>เช้า!I38+'เย็น  '!I38+บ่าย!I38</f>
        <v>0</v>
      </c>
      <c r="J38" s="30">
        <f>เช้า!J38+'เย็น  '!J38+บ่าย!J38</f>
        <v>0</v>
      </c>
      <c r="K38" s="36">
        <f t="shared" ref="K38" si="5">SUM(D38:J38)</f>
        <v>0</v>
      </c>
      <c r="L38" s="11"/>
      <c r="M38" s="11"/>
      <c r="N38" s="11"/>
      <c r="O38" s="11"/>
      <c r="P38" s="46">
        <f t="shared" si="3"/>
        <v>0</v>
      </c>
      <c r="T38" s="48">
        <f t="shared" si="2"/>
        <v>0</v>
      </c>
      <c r="W38">
        <v>1114501</v>
      </c>
      <c r="X38" t="s">
        <v>59</v>
      </c>
      <c r="Y38">
        <v>400</v>
      </c>
    </row>
    <row r="39" spans="2:25" ht="19.5" x14ac:dyDescent="0.25">
      <c r="B39" s="62" t="s">
        <v>39</v>
      </c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4"/>
      <c r="T39" s="48">
        <f t="shared" si="2"/>
        <v>0</v>
      </c>
      <c r="W39">
        <v>1114503</v>
      </c>
      <c r="X39" t="s">
        <v>61</v>
      </c>
      <c r="Y39">
        <v>400</v>
      </c>
    </row>
    <row r="40" spans="2:25" x14ac:dyDescent="0.25">
      <c r="B40" s="11">
        <v>1111009</v>
      </c>
      <c r="C40" s="19" t="s">
        <v>40</v>
      </c>
      <c r="D40" s="30">
        <f>เช้า!D40+'เย็น  '!D40+บ่าย!D40</f>
        <v>0</v>
      </c>
      <c r="E40" s="30">
        <f>เช้า!E40+'เย็น  '!E40+บ่าย!E40</f>
        <v>0</v>
      </c>
      <c r="F40" s="30">
        <f>เช้า!F40+'เย็น  '!F40+บ่าย!F40</f>
        <v>10</v>
      </c>
      <c r="G40" s="30">
        <f>เช้า!G40+'เย็น  '!G40+บ่าย!G40</f>
        <v>5</v>
      </c>
      <c r="H40" s="30">
        <f>เช้า!H40+'เย็น  '!H40+บ่าย!H40</f>
        <v>0</v>
      </c>
      <c r="I40" s="30">
        <f>เช้า!I40+'เย็น  '!I40+บ่าย!I40</f>
        <v>0</v>
      </c>
      <c r="J40" s="30">
        <f>เช้า!J40+'เย็น  '!J40+บ่าย!J40</f>
        <v>0</v>
      </c>
      <c r="K40" s="36">
        <f>SUM(D40:J40)</f>
        <v>15</v>
      </c>
      <c r="L40" s="11"/>
      <c r="M40" s="11"/>
      <c r="N40" s="11"/>
      <c r="O40" s="11"/>
      <c r="P40" s="46">
        <f t="shared" si="3"/>
        <v>-15</v>
      </c>
      <c r="S40" s="47">
        <v>20</v>
      </c>
      <c r="T40" s="48">
        <f t="shared" si="2"/>
        <v>5</v>
      </c>
      <c r="W40">
        <v>1124021</v>
      </c>
      <c r="X40" t="s">
        <v>62</v>
      </c>
      <c r="Y40">
        <v>400</v>
      </c>
    </row>
    <row r="41" spans="2:25" ht="19.5" x14ac:dyDescent="0.25">
      <c r="B41" s="62" t="s">
        <v>41</v>
      </c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4"/>
      <c r="T41" s="48">
        <f t="shared" si="2"/>
        <v>0</v>
      </c>
    </row>
    <row r="42" spans="2:25" x14ac:dyDescent="0.25">
      <c r="B42" s="11">
        <v>1111008</v>
      </c>
      <c r="C42" s="19" t="s">
        <v>42</v>
      </c>
      <c r="D42" s="30">
        <f>เช้า!D42+'เย็น  '!D42+บ่าย!D42</f>
        <v>9</v>
      </c>
      <c r="E42" s="30">
        <f>เช้า!E42+'เย็น  '!E42+บ่าย!E42</f>
        <v>0</v>
      </c>
      <c r="F42" s="30">
        <f>เช้า!F42+'เย็น  '!F42+บ่าย!F42</f>
        <v>0</v>
      </c>
      <c r="G42" s="30">
        <f>เช้า!G42+'เย็น  '!G42+บ่าย!G42</f>
        <v>44</v>
      </c>
      <c r="H42" s="30">
        <f>เช้า!H42+'เย็น  '!H42+บ่าย!H42</f>
        <v>0</v>
      </c>
      <c r="I42" s="30">
        <f>เช้า!I42+'เย็น  '!I42+บ่าย!I42</f>
        <v>0</v>
      </c>
      <c r="J42" s="30">
        <f>เช้า!J42+'เย็น  '!J42+บ่าย!J42</f>
        <v>0</v>
      </c>
      <c r="K42" s="36">
        <f>SUM(D42:J42)</f>
        <v>53</v>
      </c>
      <c r="L42" s="11"/>
      <c r="M42" s="11"/>
      <c r="N42" s="11"/>
      <c r="O42" s="11"/>
      <c r="P42" s="46">
        <f t="shared" ref="P42:P67" si="6">(L42+M42+N42+O42)-K42</f>
        <v>-53</v>
      </c>
      <c r="S42" s="47">
        <v>250</v>
      </c>
      <c r="T42" s="48">
        <f t="shared" si="2"/>
        <v>197</v>
      </c>
    </row>
    <row r="43" spans="2:25" ht="19.5" x14ac:dyDescent="0.25">
      <c r="B43" s="62" t="s">
        <v>43</v>
      </c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4"/>
      <c r="T43" s="48">
        <f t="shared" si="2"/>
        <v>0</v>
      </c>
    </row>
    <row r="44" spans="2:25" x14ac:dyDescent="0.25">
      <c r="B44" s="11">
        <v>1112009</v>
      </c>
      <c r="C44" s="19" t="s">
        <v>44</v>
      </c>
      <c r="D44" s="30">
        <f>เช้า!D44+'เย็น  '!D44+บ่าย!D47</f>
        <v>1</v>
      </c>
      <c r="E44" s="30">
        <f>เช้า!E44+'เย็น  '!E44+บ่าย!E47</f>
        <v>8</v>
      </c>
      <c r="F44" s="30">
        <f>เช้า!F44+'เย็น  '!F44+บ่าย!F47</f>
        <v>17</v>
      </c>
      <c r="G44" s="30">
        <f>เช้า!G44+'เย็น  '!G44+บ่าย!G47</f>
        <v>33</v>
      </c>
      <c r="H44" s="30">
        <f>เช้า!H44+'เย็น  '!H44+บ่าย!H47</f>
        <v>5</v>
      </c>
      <c r="I44" s="30">
        <f>เช้า!I44+'เย็น  '!I44+บ่าย!I47</f>
        <v>3</v>
      </c>
      <c r="J44" s="30">
        <f>เช้า!J44+'เย็น  '!J44+บ่าย!J47</f>
        <v>0</v>
      </c>
      <c r="K44" s="36">
        <f>SUM(D44:J44)</f>
        <v>67</v>
      </c>
      <c r="L44" s="11">
        <v>283</v>
      </c>
      <c r="M44" s="11">
        <v>110</v>
      </c>
      <c r="N44" s="11"/>
      <c r="O44" s="11"/>
      <c r="P44" s="46">
        <f t="shared" si="6"/>
        <v>326</v>
      </c>
      <c r="R44" s="47">
        <v>100</v>
      </c>
      <c r="T44" s="48">
        <f t="shared" si="2"/>
        <v>426</v>
      </c>
    </row>
    <row r="45" spans="2:25" x14ac:dyDescent="0.25">
      <c r="B45" s="11">
        <v>1112011</v>
      </c>
      <c r="C45" s="19" t="s">
        <v>45</v>
      </c>
      <c r="D45" s="30">
        <f>เช้า!D45+'เย็น  '!D45+บ่าย!D48</f>
        <v>6</v>
      </c>
      <c r="E45" s="30">
        <f>เช้า!E45+'เย็น  '!E45+บ่าย!E48</f>
        <v>9</v>
      </c>
      <c r="F45" s="30">
        <f>เช้า!F45+'เย็น  '!F45+บ่าย!F48</f>
        <v>20</v>
      </c>
      <c r="G45" s="30">
        <f>เช้า!G45+'เย็น  '!G45+บ่าย!G48</f>
        <v>33</v>
      </c>
      <c r="H45" s="30">
        <f>เช้า!H45+'เย็น  '!H45+บ่าย!H48</f>
        <v>5</v>
      </c>
      <c r="I45" s="30">
        <f>เช้า!I45+'เย็น  '!I45+บ่าย!I48</f>
        <v>3</v>
      </c>
      <c r="J45" s="30">
        <f>เช้า!J45+'เย็น  '!J45+บ่าย!J48</f>
        <v>0</v>
      </c>
      <c r="K45" s="36">
        <f t="shared" ref="K45:K54" si="7">SUM(D45:J45)</f>
        <v>76</v>
      </c>
      <c r="L45" s="11">
        <v>50</v>
      </c>
      <c r="M45" s="11">
        <v>110</v>
      </c>
      <c r="N45" s="11"/>
      <c r="O45" s="11"/>
      <c r="P45" s="46">
        <f t="shared" si="6"/>
        <v>84</v>
      </c>
      <c r="R45" s="47">
        <v>100</v>
      </c>
      <c r="T45" s="48">
        <f t="shared" si="2"/>
        <v>184</v>
      </c>
    </row>
    <row r="46" spans="2:25" x14ac:dyDescent="0.25">
      <c r="B46" s="11">
        <v>1112003</v>
      </c>
      <c r="C46" s="19" t="s">
        <v>46</v>
      </c>
      <c r="D46" s="30">
        <f>เช้า!D46+'เย็น  '!D46+บ่าย!D49</f>
        <v>2</v>
      </c>
      <c r="E46" s="30">
        <f>เช้า!E46+'เย็น  '!E46+บ่าย!E49</f>
        <v>0</v>
      </c>
      <c r="F46" s="30">
        <f>เช้า!F46+'เย็น  '!F46+บ่าย!F49</f>
        <v>0</v>
      </c>
      <c r="G46" s="30">
        <f>เช้า!G46+'เย็น  '!G46+บ่าย!G49</f>
        <v>0</v>
      </c>
      <c r="H46" s="30">
        <f>เช้า!H46+'เย็น  '!H46+บ่าย!H49</f>
        <v>0</v>
      </c>
      <c r="I46" s="30">
        <f>เช้า!I46+'เย็น  '!I46+บ่าย!I49</f>
        <v>0</v>
      </c>
      <c r="J46" s="30">
        <f>เช้า!J46+'เย็น  '!J46+บ่าย!J49</f>
        <v>0</v>
      </c>
      <c r="K46" s="36">
        <f t="shared" si="7"/>
        <v>2</v>
      </c>
      <c r="L46" s="11"/>
      <c r="M46" s="11"/>
      <c r="N46" s="11"/>
      <c r="O46" s="11"/>
      <c r="P46" s="46">
        <f t="shared" si="6"/>
        <v>-2</v>
      </c>
      <c r="R46" s="47">
        <v>20</v>
      </c>
      <c r="T46" s="48">
        <f t="shared" si="2"/>
        <v>18</v>
      </c>
    </row>
    <row r="47" spans="2:25" x14ac:dyDescent="0.25">
      <c r="B47" s="11">
        <v>1112005</v>
      </c>
      <c r="C47" s="19" t="s">
        <v>47</v>
      </c>
      <c r="D47" s="30">
        <f>เช้า!D47+'เย็น  '!D47+บ่าย!D50</f>
        <v>5</v>
      </c>
      <c r="E47" s="30">
        <f>เช้า!E47+'เย็น  '!E47+บ่าย!E50</f>
        <v>0</v>
      </c>
      <c r="F47" s="30">
        <f>เช้า!F47+'เย็น  '!F47+บ่าย!F50</f>
        <v>0</v>
      </c>
      <c r="G47" s="30">
        <f>เช้า!G47+'เย็น  '!G47+บ่าย!G50</f>
        <v>0</v>
      </c>
      <c r="H47" s="30">
        <f>เช้า!H47+'เย็น  '!H47+บ่าย!H50</f>
        <v>0</v>
      </c>
      <c r="I47" s="30">
        <f>เช้า!I47+'เย็น  '!I47+บ่าย!I50</f>
        <v>0</v>
      </c>
      <c r="J47" s="30">
        <f>เช้า!J47+'เย็น  '!J47+บ่าย!J50</f>
        <v>0</v>
      </c>
      <c r="K47" s="36">
        <f t="shared" si="7"/>
        <v>5</v>
      </c>
      <c r="L47" s="11"/>
      <c r="M47" s="11"/>
      <c r="N47" s="11"/>
      <c r="O47" s="11"/>
      <c r="P47" s="46">
        <f t="shared" si="6"/>
        <v>-5</v>
      </c>
      <c r="R47" s="47">
        <v>20</v>
      </c>
      <c r="T47" s="48">
        <f t="shared" si="2"/>
        <v>15</v>
      </c>
    </row>
    <row r="48" spans="2:25" x14ac:dyDescent="0.25">
      <c r="B48" s="11">
        <v>1112007</v>
      </c>
      <c r="C48" s="19" t="s">
        <v>48</v>
      </c>
      <c r="D48" s="30">
        <f>เช้า!D48+'เย็น  '!D48+บ่าย!D51</f>
        <v>0</v>
      </c>
      <c r="E48" s="30">
        <f>เช้า!E48+'เย็น  '!E48+บ่าย!E51</f>
        <v>0</v>
      </c>
      <c r="F48" s="30">
        <f>เช้า!F48+'เย็น  '!F48+บ่าย!F51</f>
        <v>0</v>
      </c>
      <c r="G48" s="30">
        <f>เช้า!G48+'เย็น  '!G48+บ่าย!G51</f>
        <v>0</v>
      </c>
      <c r="H48" s="30">
        <f>เช้า!H48+'เย็น  '!H48+บ่าย!H51</f>
        <v>0</v>
      </c>
      <c r="I48" s="30">
        <f>เช้า!I48+'เย็น  '!I48+บ่าย!I51</f>
        <v>0</v>
      </c>
      <c r="J48" s="30">
        <f>เช้า!J48+'เย็น  '!J48+บ่าย!J51</f>
        <v>0</v>
      </c>
      <c r="K48" s="36">
        <f t="shared" si="7"/>
        <v>0</v>
      </c>
      <c r="L48" s="11"/>
      <c r="M48" s="11"/>
      <c r="N48" s="11"/>
      <c r="O48" s="11"/>
      <c r="P48" s="46">
        <f t="shared" si="6"/>
        <v>0</v>
      </c>
      <c r="T48" s="48">
        <f t="shared" si="2"/>
        <v>0</v>
      </c>
    </row>
    <row r="49" spans="2:20" x14ac:dyDescent="0.25">
      <c r="B49" s="11">
        <v>1112019</v>
      </c>
      <c r="C49" s="19" t="s">
        <v>49</v>
      </c>
      <c r="D49" s="30">
        <f>เช้า!D49+'เย็น  '!D49+บ่าย!D52</f>
        <v>0</v>
      </c>
      <c r="E49" s="30">
        <f>เช้า!E49+'เย็น  '!E49+บ่าย!E52</f>
        <v>0</v>
      </c>
      <c r="F49" s="30">
        <f>เช้า!F49+'เย็น  '!F49+บ่าย!F52</f>
        <v>0</v>
      </c>
      <c r="G49" s="30">
        <f>เช้า!G49+'เย็น  '!G49+บ่าย!G52</f>
        <v>0</v>
      </c>
      <c r="H49" s="30">
        <f>เช้า!H49+'เย็น  '!H49+บ่าย!H52</f>
        <v>0</v>
      </c>
      <c r="I49" s="30">
        <f>เช้า!I49+'เย็น  '!I49+บ่าย!I52</f>
        <v>0</v>
      </c>
      <c r="J49" s="30">
        <f>เช้า!J49+'เย็น  '!J49+บ่าย!J52</f>
        <v>0</v>
      </c>
      <c r="K49" s="36">
        <f t="shared" si="7"/>
        <v>0</v>
      </c>
      <c r="L49" s="11"/>
      <c r="M49" s="11"/>
      <c r="N49" s="11"/>
      <c r="O49" s="11"/>
      <c r="P49" s="46">
        <f t="shared" si="6"/>
        <v>0</v>
      </c>
      <c r="T49" s="48">
        <f t="shared" si="2"/>
        <v>0</v>
      </c>
    </row>
    <row r="50" spans="2:20" x14ac:dyDescent="0.25">
      <c r="B50" s="11">
        <v>1112017</v>
      </c>
      <c r="C50" s="19" t="s">
        <v>50</v>
      </c>
      <c r="D50" s="30">
        <f>เช้า!D50+'เย็น  '!D50+บ่าย!D53</f>
        <v>1</v>
      </c>
      <c r="E50" s="30">
        <f>เช้า!E50+'เย็น  '!E50+บ่าย!E53</f>
        <v>0</v>
      </c>
      <c r="F50" s="30">
        <f>เช้า!F50+'เย็น  '!F50+บ่าย!F53</f>
        <v>0</v>
      </c>
      <c r="G50" s="30">
        <f>เช้า!G50+'เย็น  '!G50+บ่าย!G53</f>
        <v>0</v>
      </c>
      <c r="H50" s="30">
        <f>เช้า!H50+'เย็น  '!H50+บ่าย!H53</f>
        <v>0</v>
      </c>
      <c r="I50" s="30">
        <f>เช้า!I50+'เย็น  '!I50+บ่าย!I53</f>
        <v>0</v>
      </c>
      <c r="J50" s="30">
        <f>เช้า!J50+'เย็น  '!J50+บ่าย!J53</f>
        <v>0</v>
      </c>
      <c r="K50" s="36">
        <f t="shared" si="7"/>
        <v>1</v>
      </c>
      <c r="L50" s="11"/>
      <c r="M50" s="11"/>
      <c r="N50" s="11"/>
      <c r="O50" s="11"/>
      <c r="P50" s="46">
        <f t="shared" si="6"/>
        <v>-1</v>
      </c>
      <c r="R50" s="47">
        <v>20</v>
      </c>
      <c r="T50" s="48">
        <f t="shared" si="2"/>
        <v>19</v>
      </c>
    </row>
    <row r="51" spans="2:20" x14ac:dyDescent="0.25">
      <c r="B51" s="11">
        <v>1112015</v>
      </c>
      <c r="C51" s="19" t="s">
        <v>51</v>
      </c>
      <c r="D51" s="30">
        <f>เช้า!D51+'เย็น  '!D51+บ่าย!D54</f>
        <v>0</v>
      </c>
      <c r="E51" s="30">
        <f>เช้า!E51+'เย็น  '!E51+บ่าย!E54</f>
        <v>0</v>
      </c>
      <c r="F51" s="30">
        <f>เช้า!F51+'เย็น  '!F51+บ่าย!F54</f>
        <v>0</v>
      </c>
      <c r="G51" s="30">
        <f>เช้า!G51+'เย็น  '!G51+บ่าย!G54</f>
        <v>0</v>
      </c>
      <c r="H51" s="30">
        <f>เช้า!H51+'เย็น  '!H51+บ่าย!H54</f>
        <v>0</v>
      </c>
      <c r="I51" s="30">
        <f>เช้า!I51+'เย็น  '!I51+บ่าย!I54</f>
        <v>0</v>
      </c>
      <c r="J51" s="30">
        <f>เช้า!J51+'เย็น  '!J51+บ่าย!J54</f>
        <v>0</v>
      </c>
      <c r="K51" s="36">
        <f t="shared" si="7"/>
        <v>0</v>
      </c>
      <c r="L51" s="11"/>
      <c r="M51" s="11"/>
      <c r="N51" s="11"/>
      <c r="O51" s="11"/>
      <c r="P51" s="46">
        <f t="shared" si="6"/>
        <v>0</v>
      </c>
      <c r="R51" s="47">
        <v>20</v>
      </c>
      <c r="T51" s="48">
        <f t="shared" si="2"/>
        <v>20</v>
      </c>
    </row>
    <row r="52" spans="2:20" x14ac:dyDescent="0.25">
      <c r="B52" s="11">
        <v>1112013</v>
      </c>
      <c r="C52" s="19" t="s">
        <v>52</v>
      </c>
      <c r="D52" s="30">
        <f>เช้า!D52+'เย็น  '!D52+บ่าย!D55</f>
        <v>3</v>
      </c>
      <c r="E52" s="30">
        <f>เช้า!E52+'เย็น  '!E52+บ่าย!E55</f>
        <v>7</v>
      </c>
      <c r="F52" s="30">
        <f>เช้า!F52+'เย็น  '!F52+บ่าย!F55</f>
        <v>8</v>
      </c>
      <c r="G52" s="30">
        <f>เช้า!G52+'เย็น  '!G52+บ่าย!G55</f>
        <v>33</v>
      </c>
      <c r="H52" s="30">
        <f>เช้า!H52+'เย็น  '!H52+บ่าย!H55</f>
        <v>5</v>
      </c>
      <c r="I52" s="30">
        <f>เช้า!I52+'เย็น  '!I52+บ่าย!I55</f>
        <v>3</v>
      </c>
      <c r="J52" s="30">
        <f>เช้า!J52+'เย็น  '!J52+บ่าย!J55</f>
        <v>0</v>
      </c>
      <c r="K52" s="36">
        <f t="shared" si="7"/>
        <v>59</v>
      </c>
      <c r="L52" s="11">
        <v>223</v>
      </c>
      <c r="M52" s="11">
        <v>110</v>
      </c>
      <c r="N52" s="11"/>
      <c r="O52" s="11"/>
      <c r="P52" s="46">
        <f t="shared" si="6"/>
        <v>274</v>
      </c>
      <c r="R52" s="47">
        <v>100</v>
      </c>
      <c r="T52" s="48">
        <f t="shared" si="2"/>
        <v>374</v>
      </c>
    </row>
    <row r="53" spans="2:20" x14ac:dyDescent="0.25">
      <c r="B53" s="11">
        <v>1124043</v>
      </c>
      <c r="C53" s="19" t="s">
        <v>53</v>
      </c>
      <c r="D53" s="30">
        <f>เช้า!D53+'เย็น  '!D53+บ่าย!D56</f>
        <v>0</v>
      </c>
      <c r="E53" s="30">
        <f>เช้า!E53+'เย็น  '!E53+บ่าย!E56</f>
        <v>0</v>
      </c>
      <c r="F53" s="30">
        <f>เช้า!F53+'เย็น  '!F53+บ่าย!F56</f>
        <v>0</v>
      </c>
      <c r="G53" s="30">
        <f>เช้า!G53+'เย็น  '!G53+บ่าย!G56</f>
        <v>0</v>
      </c>
      <c r="H53" s="30">
        <f>เช้า!H53+'เย็น  '!H53+บ่าย!H56</f>
        <v>0</v>
      </c>
      <c r="I53" s="30">
        <f>เช้า!I53+'เย็น  '!I53+บ่าย!I56</f>
        <v>0</v>
      </c>
      <c r="J53" s="30">
        <f>เช้า!J53+'เย็น  '!J53+บ่าย!J56</f>
        <v>0</v>
      </c>
      <c r="K53" s="36">
        <f t="shared" si="7"/>
        <v>0</v>
      </c>
      <c r="L53" s="11"/>
      <c r="M53" s="11"/>
      <c r="N53" s="11"/>
      <c r="O53" s="11"/>
      <c r="P53" s="46">
        <f t="shared" si="6"/>
        <v>0</v>
      </c>
      <c r="T53" s="48">
        <f t="shared" si="2"/>
        <v>0</v>
      </c>
    </row>
    <row r="54" spans="2:20" x14ac:dyDescent="0.25">
      <c r="B54" s="18"/>
      <c r="C54" s="18" t="s">
        <v>1</v>
      </c>
      <c r="D54" s="18"/>
      <c r="E54" s="18"/>
      <c r="F54" s="18"/>
      <c r="G54" s="18"/>
      <c r="H54" s="18"/>
      <c r="I54" s="18"/>
      <c r="J54" s="20"/>
      <c r="K54" s="36">
        <f t="shared" si="7"/>
        <v>0</v>
      </c>
      <c r="L54" s="11"/>
      <c r="M54" s="11"/>
      <c r="N54" s="11"/>
      <c r="O54" s="11"/>
      <c r="P54" s="46">
        <f>SUM(P44:P53)</f>
        <v>676</v>
      </c>
      <c r="T54" s="48">
        <f t="shared" si="2"/>
        <v>676</v>
      </c>
    </row>
    <row r="55" spans="2:20" ht="19.5" x14ac:dyDescent="0.25">
      <c r="B55" s="62" t="s">
        <v>54</v>
      </c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4"/>
      <c r="T55" s="48">
        <f t="shared" si="2"/>
        <v>0</v>
      </c>
    </row>
    <row r="56" spans="2:20" x14ac:dyDescent="0.25">
      <c r="B56" s="11">
        <v>1100003</v>
      </c>
      <c r="C56" s="21" t="s">
        <v>73</v>
      </c>
      <c r="D56" s="30">
        <f>เช้า!D56+'เย็น  '!D56+บ่าย!D59</f>
        <v>2</v>
      </c>
      <c r="E56" s="30">
        <f>เช้า!E56+'เย็น  '!E56+บ่าย!E59</f>
        <v>2</v>
      </c>
      <c r="F56" s="30">
        <f>เช้า!F56+'เย็น  '!F56+บ่าย!F59</f>
        <v>0</v>
      </c>
      <c r="G56" s="30">
        <f>เช้า!G56+'เย็น  '!G56+บ่าย!G59</f>
        <v>0</v>
      </c>
      <c r="H56" s="30">
        <f>เช้า!H56+'เย็น  '!H56+บ่าย!H59</f>
        <v>0</v>
      </c>
      <c r="I56" s="30">
        <f>เช้า!I56+'เย็น  '!I56+บ่าย!I59</f>
        <v>0</v>
      </c>
      <c r="J56" s="30">
        <f>เช้า!J56+'เย็น  '!J56+บ่าย!J59</f>
        <v>0</v>
      </c>
      <c r="K56" s="36">
        <f>SUM(D56:J56)</f>
        <v>4</v>
      </c>
      <c r="L56" s="11"/>
      <c r="M56" s="11"/>
      <c r="N56" s="11"/>
      <c r="O56" s="11"/>
      <c r="P56" s="46">
        <f t="shared" si="6"/>
        <v>-4</v>
      </c>
      <c r="T56" s="48">
        <f t="shared" si="2"/>
        <v>-4</v>
      </c>
    </row>
    <row r="57" spans="2:20" x14ac:dyDescent="0.25">
      <c r="B57" s="11">
        <v>1100001</v>
      </c>
      <c r="C57" s="21" t="s">
        <v>74</v>
      </c>
      <c r="D57" s="30">
        <f>เช้า!D57+'เย็น  '!D57+บ่าย!D60</f>
        <v>0</v>
      </c>
      <c r="E57" s="30">
        <f>เช้า!E57+'เย็น  '!E57+บ่าย!E60</f>
        <v>1</v>
      </c>
      <c r="F57" s="30">
        <f>เช้า!F57+'เย็น  '!F57+บ่าย!F60</f>
        <v>0</v>
      </c>
      <c r="G57" s="30">
        <f>เช้า!G57+'เย็น  '!G57+บ่าย!G60</f>
        <v>1</v>
      </c>
      <c r="H57" s="30">
        <f>เช้า!H57+'เย็น  '!H57+บ่าย!H60</f>
        <v>0</v>
      </c>
      <c r="I57" s="30">
        <f>เช้า!I57+'เย็น  '!I57+บ่าย!I60</f>
        <v>0</v>
      </c>
      <c r="J57" s="30">
        <f>เช้า!J57+'เย็น  '!J57+บ่าย!J60</f>
        <v>0</v>
      </c>
      <c r="K57" s="36">
        <f t="shared" ref="K57:K75" si="8">SUM(D57:J57)</f>
        <v>2</v>
      </c>
      <c r="L57" s="11"/>
      <c r="M57" s="11"/>
      <c r="N57" s="11"/>
      <c r="O57" s="11"/>
      <c r="P57" s="46">
        <f t="shared" si="6"/>
        <v>-2</v>
      </c>
      <c r="T57" s="48">
        <f t="shared" si="2"/>
        <v>-2</v>
      </c>
    </row>
    <row r="58" spans="2:20" x14ac:dyDescent="0.25">
      <c r="B58" s="11">
        <v>1100002</v>
      </c>
      <c r="C58" s="21" t="s">
        <v>75</v>
      </c>
      <c r="D58" s="30">
        <f>เช้า!D58+'เย็น  '!D58+บ่าย!D61</f>
        <v>0</v>
      </c>
      <c r="E58" s="30">
        <f>เช้า!E58+'เย็น  '!E58+บ่าย!E61</f>
        <v>1</v>
      </c>
      <c r="F58" s="30">
        <f>เช้า!F58+'เย็น  '!F58+บ่าย!F61</f>
        <v>0</v>
      </c>
      <c r="G58" s="30">
        <f>เช้า!G58+'เย็น  '!G58+บ่าย!G61</f>
        <v>2</v>
      </c>
      <c r="H58" s="30">
        <f>เช้า!H58+'เย็น  '!H58+บ่าย!H61</f>
        <v>3</v>
      </c>
      <c r="I58" s="30">
        <f>เช้า!I58+'เย็น  '!I58+บ่าย!I61</f>
        <v>0</v>
      </c>
      <c r="J58" s="30">
        <f>เช้า!J58+'เย็น  '!J58+บ่าย!J61</f>
        <v>0</v>
      </c>
      <c r="K58" s="36">
        <f t="shared" si="8"/>
        <v>6</v>
      </c>
      <c r="L58" s="11"/>
      <c r="M58" s="11"/>
      <c r="N58" s="11"/>
      <c r="O58" s="11"/>
      <c r="P58" s="46">
        <f t="shared" si="6"/>
        <v>-6</v>
      </c>
      <c r="T58" s="48">
        <f t="shared" si="2"/>
        <v>-6</v>
      </c>
    </row>
    <row r="59" spans="2:20" x14ac:dyDescent="0.25">
      <c r="B59" s="11">
        <v>1200001</v>
      </c>
      <c r="C59" s="21" t="s">
        <v>57</v>
      </c>
      <c r="D59" s="30">
        <f>เช้า!D59+'เย็น  '!D59+บ่าย!D62</f>
        <v>0</v>
      </c>
      <c r="E59" s="30">
        <f>เช้า!E59+'เย็น  '!E59+บ่าย!E62</f>
        <v>1</v>
      </c>
      <c r="F59" s="30">
        <f>เช้า!F59+'เย็น  '!F59+บ่าย!F62</f>
        <v>0</v>
      </c>
      <c r="G59" s="30">
        <f>เช้า!G59+'เย็น  '!G59+บ่าย!G62</f>
        <v>0</v>
      </c>
      <c r="H59" s="30">
        <f>เช้า!H59+'เย็น  '!H59+บ่าย!H62</f>
        <v>0</v>
      </c>
      <c r="I59" s="30">
        <f>เช้า!I59+'เย็น  '!I59+บ่าย!I62</f>
        <v>0</v>
      </c>
      <c r="J59" s="30">
        <f>เช้า!J59+'เย็น  '!J59+บ่าย!J62</f>
        <v>0</v>
      </c>
      <c r="K59" s="36">
        <f t="shared" si="8"/>
        <v>1</v>
      </c>
      <c r="L59" s="11"/>
      <c r="M59" s="11"/>
      <c r="N59" s="11"/>
      <c r="O59" s="11"/>
      <c r="P59" s="46">
        <f t="shared" si="6"/>
        <v>-1</v>
      </c>
      <c r="T59" s="48">
        <f t="shared" si="2"/>
        <v>-1</v>
      </c>
    </row>
    <row r="60" spans="2:20" x14ac:dyDescent="0.25">
      <c r="B60" s="11">
        <v>1005761</v>
      </c>
      <c r="C60" s="21" t="s">
        <v>58</v>
      </c>
      <c r="D60" s="30">
        <f>เช้า!D60+'เย็น  '!D60+บ่าย!D63</f>
        <v>0</v>
      </c>
      <c r="E60" s="30">
        <f>เช้า!E60+'เย็น  '!E60+บ่าย!E63</f>
        <v>0</v>
      </c>
      <c r="F60" s="30">
        <f>เช้า!F60+'เย็น  '!F60+บ่าย!F63</f>
        <v>3</v>
      </c>
      <c r="G60" s="30">
        <f>เช้า!G60+'เย็น  '!G60+บ่าย!G63</f>
        <v>0</v>
      </c>
      <c r="H60" s="30">
        <f>เช้า!H60+'เย็น  '!H60+บ่าย!H63</f>
        <v>0</v>
      </c>
      <c r="I60" s="30">
        <f>เช้า!I60+'เย็น  '!I60+บ่าย!I63</f>
        <v>0</v>
      </c>
      <c r="J60" s="30">
        <f>เช้า!J60+'เย็น  '!J60+บ่าย!J63</f>
        <v>0</v>
      </c>
      <c r="K60" s="36">
        <f t="shared" si="8"/>
        <v>3</v>
      </c>
      <c r="L60" s="11"/>
      <c r="M60" s="11"/>
      <c r="N60" s="11"/>
      <c r="O60" s="11"/>
      <c r="P60" s="46">
        <f t="shared" si="6"/>
        <v>-3</v>
      </c>
      <c r="T60" s="48">
        <f t="shared" si="2"/>
        <v>-3</v>
      </c>
    </row>
    <row r="61" spans="2:20" x14ac:dyDescent="0.25">
      <c r="B61" s="11">
        <v>1114501</v>
      </c>
      <c r="C61" s="21" t="s">
        <v>59</v>
      </c>
      <c r="D61" s="30">
        <f>เช้า!D61+'เย็น  '!D61+บ่าย!D64</f>
        <v>0</v>
      </c>
      <c r="E61" s="30">
        <f>เช้า!E61+'เย็น  '!E61+บ่าย!E64</f>
        <v>10</v>
      </c>
      <c r="F61" s="30">
        <f>เช้า!F61+'เย็น  '!F61+บ่าย!F64</f>
        <v>5</v>
      </c>
      <c r="G61" s="30">
        <f>เช้า!G61+'เย็น  '!G61+บ่าย!G64</f>
        <v>404</v>
      </c>
      <c r="H61" s="30">
        <f>เช้า!H61+'เย็น  '!H61+บ่าย!H64</f>
        <v>211</v>
      </c>
      <c r="I61" s="30">
        <f>เช้า!I61+'เย็น  '!I61+บ่าย!I64</f>
        <v>113</v>
      </c>
      <c r="J61" s="30">
        <f>เช้า!J61+'เย็น  '!J61+บ่าย!J64</f>
        <v>0</v>
      </c>
      <c r="K61" s="36">
        <f t="shared" si="8"/>
        <v>743</v>
      </c>
      <c r="L61" s="11"/>
      <c r="M61" s="11"/>
      <c r="N61" s="11"/>
      <c r="O61" s="11"/>
      <c r="P61" s="46">
        <f t="shared" si="6"/>
        <v>-743</v>
      </c>
      <c r="T61" s="48">
        <f t="shared" si="2"/>
        <v>-743</v>
      </c>
    </row>
    <row r="62" spans="2:20" x14ac:dyDescent="0.25">
      <c r="B62" s="11">
        <v>1114502</v>
      </c>
      <c r="C62" s="21" t="s">
        <v>60</v>
      </c>
      <c r="D62" s="30">
        <f>เช้า!D62+'เย็น  '!D62+บ่าย!D65</f>
        <v>0</v>
      </c>
      <c r="E62" s="30">
        <f>เช้า!E62+'เย็น  '!E62+บ่าย!E65</f>
        <v>3</v>
      </c>
      <c r="F62" s="30">
        <f>เช้า!F62+'เย็น  '!F62+บ่าย!F65</f>
        <v>4</v>
      </c>
      <c r="G62" s="30">
        <f>เช้า!G62+'เย็น  '!G62+บ่าย!G65</f>
        <v>403</v>
      </c>
      <c r="H62" s="30">
        <f>เช้า!H62+'เย็น  '!H62+บ่าย!H65</f>
        <v>211</v>
      </c>
      <c r="I62" s="30">
        <f>เช้า!I62+'เย็น  '!I62+บ่าย!I65</f>
        <v>113</v>
      </c>
      <c r="J62" s="30">
        <f>เช้า!J62+'เย็น  '!J62+บ่าย!J65</f>
        <v>0</v>
      </c>
      <c r="K62" s="36">
        <f t="shared" si="8"/>
        <v>734</v>
      </c>
      <c r="L62" s="11"/>
      <c r="M62" s="11"/>
      <c r="N62" s="11"/>
      <c r="O62" s="11"/>
      <c r="P62" s="46">
        <f t="shared" si="6"/>
        <v>-734</v>
      </c>
      <c r="S62" s="47">
        <v>400</v>
      </c>
      <c r="T62" s="48">
        <f t="shared" si="2"/>
        <v>-334</v>
      </c>
    </row>
    <row r="63" spans="2:20" x14ac:dyDescent="0.25">
      <c r="B63" s="11">
        <v>1114503</v>
      </c>
      <c r="C63" s="21" t="s">
        <v>61</v>
      </c>
      <c r="D63" s="30">
        <f>เช้า!D63+'เย็น  '!D63+บ่าย!D66</f>
        <v>0</v>
      </c>
      <c r="E63" s="30">
        <f>เช้า!E63+'เย็น  '!E63+บ่าย!E66</f>
        <v>4</v>
      </c>
      <c r="F63" s="30">
        <f>เช้า!F63+'เย็น  '!F63+บ่าย!F66</f>
        <v>6</v>
      </c>
      <c r="G63" s="30">
        <f>เช้า!G63+'เย็น  '!G63+บ่าย!G66</f>
        <v>401</v>
      </c>
      <c r="H63" s="30">
        <f>เช้า!H63+'เย็น  '!H63+บ่าย!H66</f>
        <v>211</v>
      </c>
      <c r="I63" s="30">
        <f>เช้า!I63+'เย็น  '!I63+บ่าย!I66</f>
        <v>113</v>
      </c>
      <c r="J63" s="30">
        <f>เช้า!J63+'เย็น  '!J63+บ่าย!J66</f>
        <v>0</v>
      </c>
      <c r="K63" s="36">
        <f t="shared" si="8"/>
        <v>735</v>
      </c>
      <c r="L63" s="11"/>
      <c r="M63" s="11"/>
      <c r="N63" s="11"/>
      <c r="O63" s="11"/>
      <c r="P63" s="46">
        <f t="shared" si="6"/>
        <v>-735</v>
      </c>
      <c r="T63" s="48">
        <f t="shared" si="2"/>
        <v>-735</v>
      </c>
    </row>
    <row r="64" spans="2:20" x14ac:dyDescent="0.25">
      <c r="B64" s="11">
        <v>1124021</v>
      </c>
      <c r="C64" s="21" t="s">
        <v>62</v>
      </c>
      <c r="D64" s="30">
        <f>เช้า!D64+'เย็น  '!D64+บ่าย!D67</f>
        <v>2</v>
      </c>
      <c r="E64" s="30">
        <f>เช้า!E64+'เย็น  '!E64+บ่าย!E67</f>
        <v>54</v>
      </c>
      <c r="F64" s="30">
        <f>เช้า!F64+'เย็น  '!F64+บ่าย!F67</f>
        <v>50</v>
      </c>
      <c r="G64" s="30">
        <f>เช้า!G64+'เย็น  '!G64+บ่าย!G67</f>
        <v>78</v>
      </c>
      <c r="H64" s="30">
        <f>เช้า!H64+'เย็น  '!H64+บ่าย!H67</f>
        <v>0</v>
      </c>
      <c r="I64" s="30">
        <f>เช้า!I64+'เย็น  '!I64+บ่าย!I67</f>
        <v>8</v>
      </c>
      <c r="J64" s="30">
        <f>เช้า!J64+'เย็น  '!J64+บ่าย!J67</f>
        <v>0</v>
      </c>
      <c r="K64" s="36">
        <f t="shared" si="8"/>
        <v>192</v>
      </c>
      <c r="L64" s="11"/>
      <c r="M64" s="11"/>
      <c r="N64" s="11"/>
      <c r="O64" s="11"/>
      <c r="P64" s="46">
        <f t="shared" si="6"/>
        <v>-192</v>
      </c>
      <c r="R64" s="47">
        <v>400</v>
      </c>
      <c r="T64" s="48">
        <f t="shared" si="2"/>
        <v>208</v>
      </c>
    </row>
    <row r="65" spans="2:20" x14ac:dyDescent="0.25">
      <c r="B65" s="11">
        <v>1113084</v>
      </c>
      <c r="C65" s="21" t="s">
        <v>63</v>
      </c>
      <c r="D65" s="30">
        <f>เช้า!D65+'เย็น  '!D65+บ่าย!D68</f>
        <v>0</v>
      </c>
      <c r="E65" s="30">
        <f>เช้า!E65+'เย็น  '!E65+บ่าย!E68</f>
        <v>0</v>
      </c>
      <c r="F65" s="30">
        <f>เช้า!F65+'เย็น  '!F65+บ่าย!F68</f>
        <v>0</v>
      </c>
      <c r="G65" s="30">
        <f>เช้า!G65+'เย็น  '!G65+บ่าย!G68</f>
        <v>0</v>
      </c>
      <c r="H65" s="30">
        <f>เช้า!H65+'เย็น  '!H65+บ่าย!H68</f>
        <v>0</v>
      </c>
      <c r="I65" s="30">
        <f>เช้า!I65+'เย็น  '!I65+บ่าย!I68</f>
        <v>0</v>
      </c>
      <c r="J65" s="30">
        <f>เช้า!J65+'เย็น  '!J65+บ่าย!J68</f>
        <v>0</v>
      </c>
      <c r="K65" s="36">
        <f t="shared" si="8"/>
        <v>0</v>
      </c>
      <c r="L65" s="11"/>
      <c r="M65" s="11"/>
      <c r="N65" s="11"/>
      <c r="O65" s="11"/>
      <c r="P65" s="46">
        <f t="shared" si="6"/>
        <v>0</v>
      </c>
      <c r="T65" s="48">
        <f t="shared" si="2"/>
        <v>0</v>
      </c>
    </row>
    <row r="66" spans="2:20" x14ac:dyDescent="0.25">
      <c r="B66" s="11">
        <v>900003</v>
      </c>
      <c r="C66" s="21" t="s">
        <v>83</v>
      </c>
      <c r="D66" s="30">
        <f>เช้า!D66+'เย็น  '!D66+บ่าย!D69</f>
        <v>0</v>
      </c>
      <c r="E66" s="30">
        <f>เช้า!E66+'เย็น  '!E66+บ่าย!E69</f>
        <v>0</v>
      </c>
      <c r="F66" s="30">
        <f>เช้า!F66+'เย็น  '!F66+บ่าย!F69</f>
        <v>0</v>
      </c>
      <c r="G66" s="30">
        <f>เช้า!G66+'เย็น  '!G66+บ่าย!G69</f>
        <v>0</v>
      </c>
      <c r="H66" s="30">
        <f>เช้า!H66+'เย็น  '!H66+บ่าย!H69</f>
        <v>0</v>
      </c>
      <c r="I66" s="30">
        <f>เช้า!I66+'เย็น  '!I66+บ่าย!I69</f>
        <v>0</v>
      </c>
      <c r="J66" s="30">
        <f>เช้า!J66+'เย็น  '!J66+บ่าย!J69</f>
        <v>0</v>
      </c>
      <c r="K66" s="36">
        <f t="shared" si="8"/>
        <v>0</v>
      </c>
      <c r="L66" s="11"/>
      <c r="M66" s="11"/>
      <c r="N66" s="11"/>
      <c r="O66" s="11"/>
      <c r="P66" s="46">
        <f t="shared" si="6"/>
        <v>0</v>
      </c>
      <c r="T66" s="48">
        <f t="shared" si="2"/>
        <v>0</v>
      </c>
    </row>
    <row r="67" spans="2:20" x14ac:dyDescent="0.25">
      <c r="B67" s="11">
        <v>900004</v>
      </c>
      <c r="C67" s="21" t="s">
        <v>64</v>
      </c>
      <c r="D67" s="30">
        <f>เช้า!D67+'เย็น  '!D67+บ่าย!D70</f>
        <v>0</v>
      </c>
      <c r="E67" s="30">
        <f>เช้า!E67+'เย็น  '!E67+บ่าย!E70</f>
        <v>0</v>
      </c>
      <c r="F67" s="30">
        <f>เช้า!F67+'เย็น  '!F67+บ่าย!F70</f>
        <v>0</v>
      </c>
      <c r="G67" s="30">
        <f>เช้า!G67+'เย็น  '!G67+บ่าย!G70</f>
        <v>0</v>
      </c>
      <c r="H67" s="30">
        <f>เช้า!H67+'เย็น  '!H67+บ่าย!H70</f>
        <v>0</v>
      </c>
      <c r="I67" s="30">
        <f>เช้า!I67+'เย็น  '!I67+บ่าย!I70</f>
        <v>0</v>
      </c>
      <c r="J67" s="30">
        <f>เช้า!J67+'เย็น  '!J67+บ่าย!J70</f>
        <v>0</v>
      </c>
      <c r="K67" s="36">
        <f t="shared" si="8"/>
        <v>0</v>
      </c>
      <c r="L67" s="11"/>
      <c r="M67" s="11"/>
      <c r="N67" s="11"/>
      <c r="O67" s="11"/>
      <c r="P67" s="46">
        <f t="shared" si="6"/>
        <v>0</v>
      </c>
      <c r="T67" s="48">
        <f t="shared" si="2"/>
        <v>0</v>
      </c>
    </row>
    <row r="68" spans="2:20" x14ac:dyDescent="0.25">
      <c r="B68" s="11">
        <v>1200002</v>
      </c>
      <c r="C68" s="21" t="s">
        <v>65</v>
      </c>
      <c r="D68" s="30">
        <f>เช้า!D68+'เย็น  '!D68+บ่าย!D71</f>
        <v>0</v>
      </c>
      <c r="E68" s="30">
        <f>เช้า!E68+'เย็น  '!E68+บ่าย!E71</f>
        <v>0</v>
      </c>
      <c r="F68" s="30">
        <f>เช้า!F68+'เย็น  '!F68+บ่าย!F71</f>
        <v>0</v>
      </c>
      <c r="G68" s="30">
        <f>เช้า!G68+'เย็น  '!G68+บ่าย!G71</f>
        <v>0</v>
      </c>
      <c r="H68" s="30">
        <f>เช้า!H68+'เย็น  '!H68+บ่าย!H71</f>
        <v>0</v>
      </c>
      <c r="I68" s="30">
        <f>เช้า!I68+'เย็น  '!I68+บ่าย!I71</f>
        <v>0</v>
      </c>
      <c r="J68" s="30">
        <f>เช้า!J68+'เย็น  '!J68+บ่าย!J71</f>
        <v>0</v>
      </c>
      <c r="K68" s="36">
        <f t="shared" si="8"/>
        <v>0</v>
      </c>
      <c r="L68" s="11"/>
      <c r="M68" s="11"/>
      <c r="N68" s="11"/>
      <c r="O68" s="11"/>
      <c r="P68" s="46">
        <f t="shared" ref="P68:P75" si="9">(L68+M68+N68+O68)-K68</f>
        <v>0</v>
      </c>
      <c r="T68" s="48">
        <f t="shared" si="2"/>
        <v>0</v>
      </c>
    </row>
    <row r="69" spans="2:20" x14ac:dyDescent="0.25">
      <c r="B69" s="11">
        <v>1200003</v>
      </c>
      <c r="C69" s="21" t="s">
        <v>66</v>
      </c>
      <c r="D69" s="30">
        <f>เช้า!D69+'เย็น  '!D69+บ่าย!D72</f>
        <v>0</v>
      </c>
      <c r="E69" s="30">
        <f>เช้า!E69+'เย็น  '!E69+บ่าย!E72</f>
        <v>0</v>
      </c>
      <c r="F69" s="30">
        <f>เช้า!F69+'เย็น  '!F69+บ่าย!F72</f>
        <v>0</v>
      </c>
      <c r="G69" s="30">
        <f>เช้า!G69+'เย็น  '!G69+บ่าย!G72</f>
        <v>0</v>
      </c>
      <c r="H69" s="30">
        <f>เช้า!H69+'เย็น  '!H69+บ่าย!H72</f>
        <v>0</v>
      </c>
      <c r="I69" s="30">
        <f>เช้า!I69+'เย็น  '!I69+บ่าย!I72</f>
        <v>0</v>
      </c>
      <c r="J69" s="30">
        <f>เช้า!J69+'เย็น  '!J69+บ่าย!J72</f>
        <v>0</v>
      </c>
      <c r="K69" s="36">
        <f t="shared" si="8"/>
        <v>0</v>
      </c>
      <c r="L69" s="11"/>
      <c r="M69" s="11"/>
      <c r="N69" s="11"/>
      <c r="O69" s="11"/>
      <c r="P69" s="46">
        <f t="shared" si="9"/>
        <v>0</v>
      </c>
      <c r="T69" s="48">
        <f t="shared" si="2"/>
        <v>0</v>
      </c>
    </row>
    <row r="70" spans="2:20" x14ac:dyDescent="0.25">
      <c r="B70" s="11">
        <v>1200004</v>
      </c>
      <c r="C70" s="21" t="s">
        <v>67</v>
      </c>
      <c r="D70" s="30">
        <f>เช้า!D70+'เย็น  '!D70+บ่าย!D73</f>
        <v>0</v>
      </c>
      <c r="E70" s="30">
        <f>เช้า!E70+'เย็น  '!E70+บ่าย!E73</f>
        <v>0</v>
      </c>
      <c r="F70" s="30">
        <f>เช้า!F70+'เย็น  '!F70+บ่าย!F73</f>
        <v>0</v>
      </c>
      <c r="G70" s="30">
        <f>เช้า!G70+'เย็น  '!G70+บ่าย!G73</f>
        <v>0</v>
      </c>
      <c r="H70" s="30">
        <f>เช้า!H70+'เย็น  '!H70+บ่าย!H73</f>
        <v>0</v>
      </c>
      <c r="I70" s="30">
        <f>เช้า!I70+'เย็น  '!I70+บ่าย!I73</f>
        <v>0</v>
      </c>
      <c r="J70" s="30">
        <f>เช้า!J70+'เย็น  '!J70+บ่าย!J73</f>
        <v>0</v>
      </c>
      <c r="K70" s="36">
        <f t="shared" si="8"/>
        <v>0</v>
      </c>
      <c r="L70" s="11"/>
      <c r="M70" s="11"/>
      <c r="N70" s="11"/>
      <c r="O70" s="11"/>
      <c r="P70" s="46">
        <f t="shared" si="9"/>
        <v>0</v>
      </c>
      <c r="T70" s="48">
        <f t="shared" si="2"/>
        <v>0</v>
      </c>
    </row>
    <row r="71" spans="2:20" x14ac:dyDescent="0.25">
      <c r="B71" s="11">
        <v>1200093</v>
      </c>
      <c r="C71" s="21" t="s">
        <v>55</v>
      </c>
      <c r="D71" s="30">
        <f>เช้า!D71+'เย็น  '!D71+บ่าย!D74</f>
        <v>0</v>
      </c>
      <c r="E71" s="30">
        <f>เช้า!E71+'เย็น  '!E71+บ่าย!E74</f>
        <v>0</v>
      </c>
      <c r="F71" s="30">
        <f>เช้า!F71+'เย็น  '!F71+บ่าย!F74</f>
        <v>0</v>
      </c>
      <c r="G71" s="30">
        <f>เช้า!G71+'เย็น  '!G71+บ่าย!G74</f>
        <v>0</v>
      </c>
      <c r="H71" s="30">
        <f>เช้า!H71+'เย็น  '!H71+บ่าย!H74</f>
        <v>0</v>
      </c>
      <c r="I71" s="30">
        <f>เช้า!I71+'เย็น  '!I71+บ่าย!I74</f>
        <v>0</v>
      </c>
      <c r="J71" s="30">
        <f>เช้า!J71+'เย็น  '!J71+บ่าย!J74</f>
        <v>0</v>
      </c>
      <c r="K71" s="36">
        <f t="shared" si="8"/>
        <v>0</v>
      </c>
      <c r="L71" s="11"/>
      <c r="M71" s="11"/>
      <c r="N71" s="11"/>
      <c r="O71" s="11"/>
      <c r="P71" s="46">
        <f t="shared" si="9"/>
        <v>0</v>
      </c>
      <c r="T71" s="48">
        <f t="shared" si="2"/>
        <v>0</v>
      </c>
    </row>
    <row r="72" spans="2:20" x14ac:dyDescent="0.25">
      <c r="B72" s="11">
        <v>1200092</v>
      </c>
      <c r="C72" s="19" t="s">
        <v>56</v>
      </c>
      <c r="D72" s="30">
        <f>เช้า!D72+'เย็น  '!D72+บ่าย!D75</f>
        <v>0</v>
      </c>
      <c r="E72" s="30">
        <f>เช้า!E72+'เย็น  '!E72+บ่าย!E75</f>
        <v>0</v>
      </c>
      <c r="F72" s="30">
        <f>เช้า!F72+'เย็น  '!F72+บ่าย!F75</f>
        <v>0</v>
      </c>
      <c r="G72" s="30">
        <f>เช้า!G72+'เย็น  '!G72+บ่าย!G75</f>
        <v>0</v>
      </c>
      <c r="H72" s="30">
        <f>เช้า!H72+'เย็น  '!H72+บ่าย!H75</f>
        <v>0</v>
      </c>
      <c r="I72" s="30">
        <f>เช้า!I72+'เย็น  '!I72+บ่าย!I75</f>
        <v>0</v>
      </c>
      <c r="J72" s="30">
        <f>เช้า!J72+'เย็น  '!J72+บ่าย!J75</f>
        <v>0</v>
      </c>
      <c r="K72" s="36">
        <f t="shared" si="8"/>
        <v>0</v>
      </c>
      <c r="L72" s="11"/>
      <c r="M72" s="11"/>
      <c r="N72" s="11"/>
      <c r="O72" s="11"/>
      <c r="P72" s="46">
        <f t="shared" si="9"/>
        <v>0</v>
      </c>
      <c r="T72" s="48">
        <f t="shared" ref="T72:T74" si="10">S72+R72+P72</f>
        <v>0</v>
      </c>
    </row>
    <row r="73" spans="2:20" x14ac:dyDescent="0.25">
      <c r="B73" s="22"/>
      <c r="C73" s="21" t="s">
        <v>76</v>
      </c>
      <c r="D73" s="30">
        <f>เช้า!D73+'เย็น  '!D73+บ่าย!D76</f>
        <v>0</v>
      </c>
      <c r="E73" s="30">
        <f>เช้า!E73+'เย็น  '!E73+บ่าย!E76</f>
        <v>0</v>
      </c>
      <c r="F73" s="30">
        <f>เช้า!F73+'เย็น  '!F73+บ่าย!F76</f>
        <v>0</v>
      </c>
      <c r="G73" s="30">
        <f>เช้า!G73+'เย็น  '!G73+บ่าย!G76</f>
        <v>0</v>
      </c>
      <c r="H73" s="30">
        <f>เช้า!H73+'เย็น  '!H73+บ่าย!H76</f>
        <v>0</v>
      </c>
      <c r="I73" s="30">
        <f>เช้า!I73+'เย็น  '!I73+บ่าย!I76</f>
        <v>0</v>
      </c>
      <c r="J73" s="30">
        <f>เช้า!J73+'เย็น  '!J73+บ่าย!J76</f>
        <v>2</v>
      </c>
      <c r="K73" s="36">
        <f t="shared" si="8"/>
        <v>2</v>
      </c>
      <c r="L73" s="11"/>
      <c r="M73" s="11"/>
      <c r="N73" s="11"/>
      <c r="O73" s="11"/>
      <c r="P73" s="46">
        <f t="shared" si="9"/>
        <v>-2</v>
      </c>
      <c r="T73" s="48">
        <f t="shared" si="10"/>
        <v>-2</v>
      </c>
    </row>
    <row r="74" spans="2:20" x14ac:dyDescent="0.25">
      <c r="B74" s="22"/>
      <c r="C74" s="21" t="s">
        <v>77</v>
      </c>
      <c r="D74" s="30">
        <f>เช้า!D74+'เย็น  '!D74+บ่าย!D77</f>
        <v>0</v>
      </c>
      <c r="E74" s="30">
        <f>เช้า!E74+'เย็น  '!E74+บ่าย!E77</f>
        <v>16</v>
      </c>
      <c r="F74" s="30">
        <f>เช้า!F74+'เย็น  '!F74+บ่าย!F77</f>
        <v>0</v>
      </c>
      <c r="G74" s="30">
        <f>เช้า!G74+'เย็น  '!G74+บ่าย!G77</f>
        <v>0</v>
      </c>
      <c r="H74" s="30">
        <f>เช้า!H74+'เย็น  '!H74+บ่าย!H77</f>
        <v>0</v>
      </c>
      <c r="I74" s="30">
        <f>เช้า!I74+'เย็น  '!I74+บ่าย!I77</f>
        <v>0</v>
      </c>
      <c r="J74" s="30">
        <f>เช้า!J74+'เย็น  '!J74+บ่าย!J77</f>
        <v>2</v>
      </c>
      <c r="K74" s="36">
        <f t="shared" si="8"/>
        <v>18</v>
      </c>
      <c r="L74" s="11"/>
      <c r="M74" s="11"/>
      <c r="N74" s="11"/>
      <c r="O74" s="11"/>
      <c r="P74" s="46">
        <f t="shared" si="9"/>
        <v>-18</v>
      </c>
      <c r="T74" s="48">
        <f t="shared" si="10"/>
        <v>-18</v>
      </c>
    </row>
    <row r="75" spans="2:20" x14ac:dyDescent="0.25">
      <c r="B75" s="22">
        <v>20052721</v>
      </c>
      <c r="C75" s="21" t="s">
        <v>82</v>
      </c>
      <c r="D75" s="30">
        <f>เช้า!D75+'เย็น  '!D75+บ่าย!D78</f>
        <v>0</v>
      </c>
      <c r="E75" s="30">
        <f>เช้า!E75+'เย็น  '!E75+บ่าย!E78</f>
        <v>0</v>
      </c>
      <c r="F75" s="30">
        <f>เช้า!F75+'เย็น  '!F75+บ่าย!F78</f>
        <v>0</v>
      </c>
      <c r="G75" s="30">
        <f>เช้า!G75+'เย็น  '!G75+บ่าย!G78</f>
        <v>0</v>
      </c>
      <c r="H75" s="30">
        <f>เช้า!H75+'เย็น  '!H75+บ่าย!H78</f>
        <v>0</v>
      </c>
      <c r="I75" s="30">
        <f>เช้า!I75+'เย็น  '!I75+บ่าย!I78</f>
        <v>0</v>
      </c>
      <c r="J75" s="30">
        <f>เช้า!J75+'เย็น  '!J75+บ่าย!J78</f>
        <v>0</v>
      </c>
      <c r="K75" s="36">
        <f t="shared" si="8"/>
        <v>0</v>
      </c>
      <c r="L75" s="11"/>
      <c r="M75" s="11"/>
      <c r="N75" s="11"/>
      <c r="O75" s="11"/>
      <c r="P75" s="46">
        <f t="shared" si="9"/>
        <v>0</v>
      </c>
    </row>
    <row r="76" spans="2:20" ht="40.5" customHeight="1" x14ac:dyDescent="0.25">
      <c r="C76" s="35"/>
      <c r="D76" s="39">
        <f t="shared" ref="D76:K76" si="11">SUM(D7:D38,D40:D40,D42,D44:D53,D56:D75)</f>
        <v>31</v>
      </c>
      <c r="E76" s="39">
        <f t="shared" si="11"/>
        <v>152</v>
      </c>
      <c r="F76" s="39">
        <f t="shared" si="11"/>
        <v>198</v>
      </c>
      <c r="G76" s="39">
        <f t="shared" si="11"/>
        <v>1606</v>
      </c>
      <c r="H76" s="39">
        <f t="shared" si="11"/>
        <v>658</v>
      </c>
      <c r="I76" s="39">
        <f t="shared" si="11"/>
        <v>364</v>
      </c>
      <c r="J76" s="39">
        <f t="shared" si="11"/>
        <v>7</v>
      </c>
      <c r="K76" s="39">
        <f t="shared" si="11"/>
        <v>3016</v>
      </c>
      <c r="L76" s="38">
        <f>SUM(L56:L75,L44:L52,L42:L42,L40:L40,L7:L37)</f>
        <v>556</v>
      </c>
      <c r="M76" s="38">
        <f>SUM(M56:M75,M44:M52,M42:M42,M40:M40,M7:M37)</f>
        <v>330</v>
      </c>
      <c r="N76" s="38">
        <f>SUM(N56:N75,N44:N52,N42:N42,N40:N40,N7:N37)</f>
        <v>0</v>
      </c>
      <c r="O76" s="38">
        <f>SUM(O56:O75,O44:O52,O42:O42,O40:O40,O7:O37)</f>
        <v>0</v>
      </c>
      <c r="P76" s="38">
        <f>SUM(P56:P75,P44:P52,P42:P42,P40:P40,P7:P37)</f>
        <v>-2130</v>
      </c>
    </row>
    <row r="77" spans="2:20" x14ac:dyDescent="0.25">
      <c r="B77" s="37"/>
      <c r="C77" s="35"/>
      <c r="D77" s="38"/>
      <c r="E77" s="38"/>
      <c r="F77" s="38"/>
      <c r="G77" s="38"/>
      <c r="H77" s="38"/>
      <c r="I77" s="38"/>
      <c r="J77" s="38"/>
      <c r="K77" s="39"/>
    </row>
    <row r="78" spans="2:20" x14ac:dyDescent="0.25">
      <c r="B78" s="37"/>
      <c r="C78" s="35"/>
      <c r="D78" s="38"/>
      <c r="E78" s="38"/>
      <c r="F78" s="38"/>
      <c r="G78" s="38"/>
      <c r="H78" s="38"/>
      <c r="I78" s="38"/>
      <c r="J78" s="38"/>
      <c r="K78" s="39"/>
    </row>
    <row r="79" spans="2:20" x14ac:dyDescent="0.25">
      <c r="C79" s="24"/>
      <c r="D79" s="31"/>
      <c r="E79" s="58"/>
      <c r="F79" s="58"/>
      <c r="G79" s="26"/>
      <c r="K79" s="40"/>
    </row>
    <row r="80" spans="2:20" x14ac:dyDescent="0.25">
      <c r="B80" s="58" t="s">
        <v>68</v>
      </c>
      <c r="C80" s="58"/>
      <c r="D80" s="32"/>
      <c r="E80" s="49"/>
      <c r="F80" s="49"/>
      <c r="G80" s="27"/>
      <c r="H80" s="26"/>
      <c r="I80" s="58" t="s">
        <v>68</v>
      </c>
      <c r="J80" s="58"/>
      <c r="K80" s="58"/>
    </row>
    <row r="81" spans="2:11" x14ac:dyDescent="0.25">
      <c r="B81" s="49" t="s">
        <v>69</v>
      </c>
      <c r="C81" s="49"/>
      <c r="D81" s="33"/>
      <c r="E81" s="33"/>
      <c r="F81" s="33"/>
      <c r="G81" s="33"/>
      <c r="H81" s="33"/>
      <c r="I81" s="49" t="s">
        <v>70</v>
      </c>
      <c r="J81" s="49"/>
      <c r="K81" s="49"/>
    </row>
    <row r="82" spans="2:11" x14ac:dyDescent="0.25">
      <c r="B82" s="31"/>
      <c r="C82" s="31"/>
      <c r="D82" s="33"/>
      <c r="E82" s="33"/>
      <c r="F82" s="33"/>
      <c r="G82" s="33"/>
      <c r="H82" s="33"/>
      <c r="I82" s="31"/>
      <c r="J82" s="31"/>
      <c r="K82" s="34"/>
    </row>
    <row r="83" spans="2:11" ht="19.5" x14ac:dyDescent="0.25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 ht="19.5" x14ac:dyDescent="0.25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 ht="19.5" x14ac:dyDescent="0.25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9.5" x14ac:dyDescent="0.25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ht="19.5" x14ac:dyDescent="0.25">
      <c r="B87" s="31"/>
      <c r="C87" s="31"/>
      <c r="D87" s="31"/>
      <c r="E87" s="31"/>
      <c r="F87" s="31"/>
      <c r="G87" s="31"/>
      <c r="H87" s="31"/>
      <c r="I87" s="31"/>
      <c r="J87" s="31"/>
      <c r="K87" s="34"/>
    </row>
    <row r="88" spans="2:11" x14ac:dyDescent="0.25">
      <c r="D88" s="31"/>
      <c r="E88" s="31"/>
      <c r="F88" s="31"/>
      <c r="G88" s="31"/>
      <c r="H88" s="31"/>
    </row>
    <row r="89" spans="2:11" x14ac:dyDescent="0.25">
      <c r="D89" s="31"/>
      <c r="E89" s="31"/>
      <c r="F89" s="31"/>
      <c r="G89" s="31"/>
      <c r="H89" s="31"/>
    </row>
    <row r="90" spans="2:11" x14ac:dyDescent="0.25">
      <c r="D90" s="31"/>
      <c r="E90" s="31"/>
      <c r="F90" s="31"/>
      <c r="G90" s="31"/>
      <c r="H90" s="31"/>
    </row>
    <row r="91" spans="2:11" x14ac:dyDescent="0.25">
      <c r="D91" s="31"/>
      <c r="E91" s="31"/>
      <c r="F91" s="31"/>
      <c r="G91" s="31"/>
      <c r="H91" s="31"/>
    </row>
    <row r="92" spans="2:11" x14ac:dyDescent="0.25">
      <c r="D92" s="31"/>
      <c r="E92" s="31"/>
      <c r="F92" s="31"/>
      <c r="G92" s="31"/>
      <c r="H92" s="31"/>
    </row>
    <row r="93" spans="2:11" x14ac:dyDescent="0.25">
      <c r="D93" s="31"/>
      <c r="E93" s="31"/>
      <c r="F93" s="31"/>
      <c r="G93" s="31"/>
      <c r="H93" s="31"/>
    </row>
    <row r="94" spans="2:11" x14ac:dyDescent="0.25">
      <c r="D94" s="31"/>
      <c r="E94" s="31"/>
      <c r="F94" s="31"/>
      <c r="G94" s="31"/>
      <c r="H94" s="31"/>
    </row>
    <row r="95" spans="2:11" x14ac:dyDescent="0.25">
      <c r="D95" s="31"/>
      <c r="E95" s="31"/>
      <c r="F95" s="31"/>
      <c r="G95" s="31"/>
      <c r="H95" s="31"/>
    </row>
    <row r="96" spans="2:11" x14ac:dyDescent="0.25">
      <c r="D96" s="31"/>
      <c r="E96" s="31"/>
      <c r="F96" s="31"/>
      <c r="G96" s="31"/>
      <c r="H96" s="31"/>
    </row>
    <row r="97" spans="4:8" x14ac:dyDescent="0.25">
      <c r="D97" s="31"/>
      <c r="E97" s="31"/>
      <c r="F97" s="31"/>
      <c r="G97" s="31"/>
      <c r="H97" s="31"/>
    </row>
    <row r="98" spans="4:8" x14ac:dyDescent="0.25">
      <c r="D98" s="31"/>
      <c r="E98" s="31"/>
      <c r="F98" s="31"/>
      <c r="G98" s="31"/>
      <c r="H98" s="31"/>
    </row>
  </sheetData>
  <mergeCells count="19">
    <mergeCell ref="B1:K1"/>
    <mergeCell ref="B2:C3"/>
    <mergeCell ref="E2:F3"/>
    <mergeCell ref="L2:L4"/>
    <mergeCell ref="N2:N4"/>
    <mergeCell ref="B81:C81"/>
    <mergeCell ref="I81:K81"/>
    <mergeCell ref="P2:P4"/>
    <mergeCell ref="B6:P6"/>
    <mergeCell ref="B39:P39"/>
    <mergeCell ref="B41:P41"/>
    <mergeCell ref="B43:P43"/>
    <mergeCell ref="O2:O4"/>
    <mergeCell ref="B55:P55"/>
    <mergeCell ref="E79:F79"/>
    <mergeCell ref="B80:C80"/>
    <mergeCell ref="E80:F80"/>
    <mergeCell ref="I80:K80"/>
    <mergeCell ref="M2:M4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 </vt:lpstr>
      <vt:lpstr>เช้า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USER</cp:lastModifiedBy>
  <cp:lastPrinted>2024-11-19T06:21:21Z</cp:lastPrinted>
  <dcterms:created xsi:type="dcterms:W3CDTF">2024-04-30T05:21:27Z</dcterms:created>
  <dcterms:modified xsi:type="dcterms:W3CDTF">2024-11-21T06:08:48Z</dcterms:modified>
</cp:coreProperties>
</file>