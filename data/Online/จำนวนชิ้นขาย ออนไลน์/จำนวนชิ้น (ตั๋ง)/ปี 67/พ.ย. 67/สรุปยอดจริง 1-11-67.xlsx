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C283BFD7-E2CD-4C9E-88FC-917D7E6E7B2C}" xr6:coauthVersionLast="47" xr6:coauthVersionMax="47" xr10:uidLastSave="{00000000-0000-0000-0000-000000000000}"/>
  <bookViews>
    <workbookView minimized="1" xWindow="11475" yWindow="435" windowWidth="16860" windowHeight="13080" firstSheet="2" activeTab="2" xr2:uid="{55C9AAA3-F459-48EC-A639-AACFFC6390F5}"/>
  </bookViews>
  <sheets>
    <sheet name="เย็น 162" sheetId="6" r:id="rId1"/>
    <sheet name="เช้า 208" sheetId="3" r:id="rId2"/>
    <sheet name="รวม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6" i="5" l="1"/>
  <c r="Y124" i="5"/>
  <c r="Y125" i="5"/>
  <c r="Y123" i="5"/>
  <c r="V69" i="5"/>
  <c r="V87" i="5"/>
  <c r="X94" i="5"/>
  <c r="X95" i="5"/>
  <c r="X124" i="5"/>
  <c r="X125" i="5"/>
  <c r="X123" i="5"/>
  <c r="V124" i="5"/>
  <c r="V125" i="5"/>
  <c r="V123" i="5"/>
  <c r="V91" i="5"/>
  <c r="X91" i="5" s="1"/>
  <c r="V92" i="5"/>
  <c r="X92" i="5" s="1"/>
  <c r="V93" i="5"/>
  <c r="X93" i="5" s="1"/>
  <c r="V94" i="5"/>
  <c r="V95" i="5"/>
  <c r="V96" i="5"/>
  <c r="X96" i="5" s="1"/>
  <c r="V97" i="5"/>
  <c r="X97" i="5" s="1"/>
  <c r="V98" i="5"/>
  <c r="X98" i="5" s="1"/>
  <c r="V90" i="5"/>
  <c r="X90" i="5" s="1"/>
  <c r="D137" i="5" l="1"/>
  <c r="E137" i="5"/>
  <c r="F137" i="5"/>
  <c r="G137" i="5"/>
  <c r="H137" i="5"/>
  <c r="I137" i="5"/>
  <c r="J13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E114" i="5"/>
  <c r="F114" i="5"/>
  <c r="G114" i="5"/>
  <c r="H114" i="5"/>
  <c r="I114" i="5"/>
  <c r="J114" i="5"/>
  <c r="D114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D87" i="5"/>
  <c r="E87" i="5"/>
  <c r="F87" i="5"/>
  <c r="G87" i="5"/>
  <c r="H87" i="5"/>
  <c r="I87" i="5"/>
  <c r="J87" i="5"/>
  <c r="E79" i="5"/>
  <c r="F79" i="5"/>
  <c r="G79" i="5"/>
  <c r="H79" i="5"/>
  <c r="I79" i="5"/>
  <c r="J79" i="5"/>
  <c r="D7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E69" i="5"/>
  <c r="F69" i="5"/>
  <c r="G69" i="5"/>
  <c r="H69" i="5"/>
  <c r="I69" i="5"/>
  <c r="J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D44" i="5"/>
  <c r="E44" i="5"/>
  <c r="F44" i="5"/>
  <c r="G44" i="5"/>
  <c r="H44" i="5"/>
  <c r="I44" i="5"/>
  <c r="J44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D54" i="5"/>
  <c r="E54" i="5"/>
  <c r="F54" i="5"/>
  <c r="G54" i="5"/>
  <c r="H54" i="5"/>
  <c r="I54" i="5"/>
  <c r="J54" i="5"/>
  <c r="E55" i="5"/>
  <c r="F55" i="5"/>
  <c r="G55" i="5"/>
  <c r="H55" i="5"/>
  <c r="I55" i="5"/>
  <c r="J55" i="5"/>
  <c r="D56" i="5"/>
  <c r="E56" i="5"/>
  <c r="F56" i="5"/>
  <c r="G56" i="5"/>
  <c r="H56" i="5"/>
  <c r="I56" i="5"/>
  <c r="J56" i="5"/>
  <c r="D57" i="5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E7" i="5"/>
  <c r="F7" i="5"/>
  <c r="G7" i="5"/>
  <c r="H7" i="5"/>
  <c r="I7" i="5"/>
  <c r="J7" i="5"/>
  <c r="D7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G138" i="5" l="1"/>
  <c r="J138" i="5"/>
  <c r="F138" i="5"/>
  <c r="I138" i="5"/>
  <c r="E138" i="5"/>
  <c r="D138" i="5"/>
  <c r="H138" i="5"/>
  <c r="K114" i="5"/>
  <c r="I139" i="6"/>
  <c r="H139" i="6"/>
  <c r="G139" i="6"/>
  <c r="F139" i="6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P77" i="5"/>
  <c r="K103" i="5"/>
  <c r="P103" i="5" s="1"/>
  <c r="K104" i="5"/>
  <c r="P104" i="5" s="1"/>
  <c r="K105" i="5"/>
  <c r="P105" i="5" s="1"/>
  <c r="K106" i="5"/>
  <c r="P106" i="5" s="1"/>
  <c r="K107" i="5"/>
  <c r="P107" i="5" s="1"/>
  <c r="K108" i="5"/>
  <c r="P108" i="5" s="1"/>
  <c r="K109" i="5"/>
  <c r="P109" i="5" s="1"/>
  <c r="K110" i="5"/>
  <c r="P110" i="5" s="1"/>
  <c r="K111" i="5"/>
  <c r="P111" i="5" s="1"/>
  <c r="K102" i="5"/>
  <c r="P102" i="5" s="1"/>
  <c r="K112" i="5" l="1"/>
  <c r="P112" i="5" s="1"/>
  <c r="K88" i="5"/>
  <c r="P88" i="5" s="1"/>
  <c r="K67" i="5"/>
  <c r="P67" i="5" s="1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P75" i="5" s="1"/>
  <c r="P114" i="5"/>
  <c r="K115" i="5"/>
  <c r="P115" i="5" s="1"/>
  <c r="K137" i="5"/>
  <c r="P137" i="5" s="1"/>
  <c r="K66" i="5"/>
  <c r="P66" i="5" s="1"/>
  <c r="K127" i="5"/>
  <c r="P127" i="5" s="1"/>
  <c r="K76" i="5"/>
  <c r="P76" i="5" s="1"/>
  <c r="K72" i="5"/>
  <c r="P72" i="5" s="1"/>
  <c r="K53" i="5"/>
  <c r="P53" i="5" s="1"/>
  <c r="K50" i="5"/>
  <c r="P50" i="5" s="1"/>
  <c r="K46" i="5"/>
  <c r="P46" i="5" s="1"/>
  <c r="K37" i="5"/>
  <c r="P37" i="5" s="1"/>
  <c r="K33" i="5"/>
  <c r="P33" i="5" s="1"/>
  <c r="K29" i="5"/>
  <c r="P29" i="5" s="1"/>
  <c r="K27" i="5"/>
  <c r="K11" i="5"/>
  <c r="P11" i="5" s="1"/>
  <c r="K79" i="5"/>
  <c r="P79" i="5" s="1"/>
  <c r="K119" i="5"/>
  <c r="P119" i="5" s="1"/>
  <c r="K81" i="5"/>
  <c r="P81" i="5" s="1"/>
  <c r="K73" i="5"/>
  <c r="P73" i="5" s="1"/>
  <c r="K74" i="5"/>
  <c r="P74" i="5" s="1"/>
  <c r="K59" i="5"/>
  <c r="P59" i="5" s="1"/>
  <c r="K35" i="5"/>
  <c r="P35" i="5" s="1"/>
  <c r="K15" i="5"/>
  <c r="P15" i="5" s="1"/>
  <c r="K43" i="5"/>
  <c r="P43" i="5" s="1"/>
  <c r="K39" i="5"/>
  <c r="P39" i="5" s="1"/>
  <c r="K23" i="5"/>
  <c r="P23" i="5" s="1"/>
  <c r="K19" i="5"/>
  <c r="P19" i="5" s="1"/>
  <c r="K133" i="5"/>
  <c r="P133" i="5" s="1"/>
  <c r="K132" i="5"/>
  <c r="P132" i="5" s="1"/>
  <c r="K128" i="5"/>
  <c r="P128" i="5" s="1"/>
  <c r="K126" i="5"/>
  <c r="P126" i="5" s="1"/>
  <c r="K120" i="5"/>
  <c r="P120" i="5" s="1"/>
  <c r="K116" i="5"/>
  <c r="P116" i="5" s="1"/>
  <c r="K135" i="5"/>
  <c r="P135" i="5" s="1"/>
  <c r="K134" i="5"/>
  <c r="P134" i="5" s="1"/>
  <c r="K131" i="5"/>
  <c r="P131" i="5" s="1"/>
  <c r="K129" i="5"/>
  <c r="P129" i="5" s="1"/>
  <c r="K121" i="5"/>
  <c r="P121" i="5" s="1"/>
  <c r="K117" i="5"/>
  <c r="P117" i="5" s="1"/>
  <c r="K99" i="5"/>
  <c r="P99" i="5" s="1"/>
  <c r="K97" i="5"/>
  <c r="P97" i="5" s="1"/>
  <c r="K94" i="5"/>
  <c r="P94" i="5" s="1"/>
  <c r="K93" i="5"/>
  <c r="P93" i="5" s="1"/>
  <c r="K96" i="5"/>
  <c r="P96" i="5" s="1"/>
  <c r="K95" i="5"/>
  <c r="P95" i="5" s="1"/>
  <c r="K84" i="5"/>
  <c r="P84" i="5" s="1"/>
  <c r="K80" i="5"/>
  <c r="P80" i="5" s="1"/>
  <c r="K83" i="5"/>
  <c r="P83" i="5" s="1"/>
  <c r="K85" i="5"/>
  <c r="P85" i="5" s="1"/>
  <c r="K86" i="5"/>
  <c r="P86" i="5" s="1"/>
  <c r="K82" i="5"/>
  <c r="P82" i="5" s="1"/>
  <c r="K71" i="5"/>
  <c r="P71" i="5" s="1"/>
  <c r="K70" i="5"/>
  <c r="P70" i="5" s="1"/>
  <c r="K56" i="5"/>
  <c r="P56" i="5" s="1"/>
  <c r="K36" i="5"/>
  <c r="P36" i="5" s="1"/>
  <c r="K32" i="5"/>
  <c r="P32" i="5" s="1"/>
  <c r="K28" i="5"/>
  <c r="P28" i="5" s="1"/>
  <c r="K24" i="5"/>
  <c r="P24" i="5" s="1"/>
  <c r="K20" i="5"/>
  <c r="P20" i="5" s="1"/>
  <c r="K16" i="5"/>
  <c r="P16" i="5" s="1"/>
  <c r="K12" i="5"/>
  <c r="P12" i="5" s="1"/>
  <c r="K8" i="5"/>
  <c r="P8" i="5" s="1"/>
  <c r="K55" i="5"/>
  <c r="P55" i="5" s="1"/>
  <c r="K31" i="5"/>
  <c r="P31" i="5" s="1"/>
  <c r="K49" i="5"/>
  <c r="P49" i="5" s="1"/>
  <c r="K21" i="5"/>
  <c r="P21" i="5" s="1"/>
  <c r="K17" i="5"/>
  <c r="P17" i="5" s="1"/>
  <c r="K13" i="5"/>
  <c r="P13" i="5" s="1"/>
  <c r="K9" i="5"/>
  <c r="P9" i="5" s="1"/>
  <c r="K54" i="5"/>
  <c r="P54" i="5" s="1"/>
  <c r="K38" i="5"/>
  <c r="P38" i="5" s="1"/>
  <c r="K34" i="5"/>
  <c r="P34" i="5" s="1"/>
  <c r="K30" i="5"/>
  <c r="P30" i="5" s="1"/>
  <c r="K22" i="5"/>
  <c r="P22" i="5" s="1"/>
  <c r="K18" i="5"/>
  <c r="P18" i="5" s="1"/>
  <c r="K14" i="5"/>
  <c r="P14" i="5" s="1"/>
  <c r="K10" i="5"/>
  <c r="P10" i="5" s="1"/>
  <c r="K63" i="5"/>
  <c r="P63" i="5" s="1"/>
  <c r="K51" i="5"/>
  <c r="P51" i="5" s="1"/>
  <c r="K47" i="5"/>
  <c r="P47" i="5" s="1"/>
  <c r="K64" i="5"/>
  <c r="P64" i="5" s="1"/>
  <c r="K60" i="5"/>
  <c r="P60" i="5" s="1"/>
  <c r="K52" i="5"/>
  <c r="P52" i="5" s="1"/>
  <c r="K48" i="5"/>
  <c r="P48" i="5" s="1"/>
  <c r="K45" i="5"/>
  <c r="P45" i="5" s="1"/>
  <c r="K41" i="5"/>
  <c r="P41" i="5" s="1"/>
  <c r="K62" i="5"/>
  <c r="P62" i="5" s="1"/>
  <c r="K58" i="5"/>
  <c r="P58" i="5" s="1"/>
  <c r="K42" i="5"/>
  <c r="P42" i="5" s="1"/>
  <c r="K25" i="5"/>
  <c r="P25" i="5" s="1"/>
  <c r="K92" i="5"/>
  <c r="P92" i="5" s="1"/>
  <c r="K118" i="5"/>
  <c r="P118" i="5" s="1"/>
  <c r="K136" i="5"/>
  <c r="P136" i="5" s="1"/>
  <c r="K130" i="5"/>
  <c r="P130" i="5" s="1"/>
  <c r="K122" i="5"/>
  <c r="P122" i="5" s="1"/>
  <c r="K65" i="5"/>
  <c r="P65" i="5" s="1"/>
  <c r="K61" i="5"/>
  <c r="P61" i="5" s="1"/>
  <c r="K57" i="5"/>
  <c r="P57" i="5" s="1"/>
  <c r="K44" i="5"/>
  <c r="P44" i="5" s="1"/>
  <c r="K90" i="5"/>
  <c r="K69" i="5"/>
  <c r="P69" i="5" s="1"/>
  <c r="K7" i="5"/>
  <c r="P7" i="5" s="1"/>
  <c r="K125" i="5"/>
  <c r="P125" i="5" s="1"/>
  <c r="K124" i="5"/>
  <c r="P124" i="5" s="1"/>
  <c r="K98" i="5"/>
  <c r="P98" i="5" s="1"/>
  <c r="K91" i="5"/>
  <c r="P91" i="5" s="1"/>
  <c r="K87" i="5"/>
  <c r="P87" i="5" s="1"/>
  <c r="K123" i="5"/>
  <c r="P123" i="5" s="1"/>
  <c r="K40" i="5"/>
  <c r="P40" i="5" s="1"/>
  <c r="K26" i="5"/>
  <c r="P26" i="5" s="1"/>
  <c r="L138" i="5"/>
  <c r="N138" i="5"/>
  <c r="O138" i="5"/>
  <c r="P27" i="5" l="1"/>
  <c r="K138" i="5"/>
  <c r="P90" i="5"/>
  <c r="P100" i="5" s="1"/>
  <c r="K100" i="5"/>
  <c r="K103" i="3"/>
  <c r="K104" i="3"/>
  <c r="K105" i="3"/>
  <c r="K106" i="3"/>
  <c r="K107" i="3"/>
  <c r="K108" i="3"/>
  <c r="K109" i="3"/>
  <c r="K110" i="3"/>
  <c r="K111" i="3"/>
  <c r="K102" i="3"/>
  <c r="K67" i="3" l="1"/>
  <c r="K112" i="3" l="1"/>
  <c r="K139" i="3" l="1"/>
  <c r="P138" i="5" l="1"/>
</calcChain>
</file>

<file path=xl/sharedStrings.xml><?xml version="1.0" encoding="utf-8"?>
<sst xmlns="http://schemas.openxmlformats.org/spreadsheetml/2006/main" count="452" uniqueCount="140">
  <si>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</si>
  <si>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</si>
  <si>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</si>
  <si>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</si>
  <si>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</si>
  <si>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</si>
  <si>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</si>
  <si>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</si>
  <si>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</si>
  <si>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</si>
  <si>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</si>
  <si>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</si>
  <si>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</si>
  <si>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</si>
  <si>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</si>
  <si>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</si>
  <si>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</si>
  <si>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</si>
  <si>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</si>
  <si>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</si>
  <si>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</si>
  <si>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</si>
  <si>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</si>
  <si>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</si>
  <si>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</si>
  <si>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</si>
  <si>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</si>
  <si>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</si>
  <si>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</si>
  <si>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</si>
  <si>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</si>
  <si>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</si>
  <si>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</si>
  <si>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</si>
  <si>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</si>
  <si>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</si>
  <si>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</si>
  <si>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</si>
  <si>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</si>
  <si>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</si>
  <si>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</si>
  <si>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</si>
  <si>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</si>
  <si>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</si>
  <si>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</si>
  <si>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</si>
  <si>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</si>
  <si>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</si>
  <si>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</si>
  <si>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</si>
  <si>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</si>
  <si>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</si>
  <si>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</si>
  <si>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</si>
  <si>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</si>
  <si>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</si>
  <si>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</si>
  <si>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</si>
  <si>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</si>
  <si>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</si>
  <si>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</si>
  <si>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</si>
  <si>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</si>
  <si>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</si>
  <si>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</si>
  <si>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</si>
  <si>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</si>
  <si>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</si>
  <si>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</si>
  <si>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</si>
  <si>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</si>
  <si>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</si>
  <si>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</si>
  <si>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</si>
  <si>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</si>
  <si>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</si>
  <si>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</si>
  <si>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</si>
  <si>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</si>
  <si>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</si>
  <si>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</si>
  <si>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</si>
  <si>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</si>
  <si>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</si>
  <si>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</si>
  <si>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</si>
  <si>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</si>
  <si>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</si>
  <si>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</si>
  <si>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</si>
  <si>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</si>
  <si>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</si>
  <si>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</si>
  <si>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</si>
  <si>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</si>
  <si>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</si>
  <si>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</si>
  <si>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</si>
  <si>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</si>
  <si>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</si>
  <si>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</si>
  <si>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</si>
  <si>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</si>
  <si>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</si>
  <si>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</si>
  <si>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</si>
  <si>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</si>
  <si>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</si>
  <si>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</si>
  <si>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</si>
  <si>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</si>
  <si>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</si>
  <si>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</si>
  <si>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</si>
  <si>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</si>
  <si>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</si>
  <si>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</si>
  <si>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</si>
  <si>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</si>
  <si>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</si>
  <si>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</si>
  <si>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</si>
  <si>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</si>
  <si>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</si>
  <si>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</si>
  <si>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</si>
  <si>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</si>
  <si>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</si>
  <si>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</si>
  <si>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</si>
  <si>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</si>
  <si>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</si>
  <si>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</si>
  <si>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</si>
  <si>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</si>
  <si>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</si>
  <si>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</si>
  <si>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ยอดจริง ออนไลน์ วันที่  1/11/2567 - รวม</t>
  </si>
  <si>
    <t>ยอดจริง ออนไลน์ วันที่  1/11/2567 - เช้า</t>
  </si>
  <si>
    <t>ยอดจริง ออนไลน์ วันที่  1/11/2567 - 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</si>
</sst>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4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87" fontId="1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topLeftCell="A41" zoomScale="60" zoomScaleNormal="60" workbookViewId="0">
      <selection activeCell="D7" sqref="D7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54" t="s">
        <v>139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 x14ac:dyDescent="0.2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</row>
    <row r="7" spans="2:11" x14ac:dyDescent="0.2">
      <c r="B7" s="11">
        <v>1111002</v>
      </c>
      <c r="C7" s="15" t="s">
        <v>107</v>
      </c>
      <c r="D7" s="30"/>
      <c r="E7" s="30">
        <v>6</v>
      </c>
      <c r="F7" s="30">
        <v>132</v>
      </c>
      <c r="G7" s="30"/>
      <c r="H7" s="30"/>
      <c r="I7" s="30"/>
      <c r="J7" s="30"/>
      <c r="K7" s="41">
        <f>SUM(D7:J7)</f>
        <v>138</v>
      </c>
    </row>
    <row r="8" spans="2:1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/>
      <c r="E25" s="30">
        <v>3</v>
      </c>
      <c r="F25" s="30">
        <v>10</v>
      </c>
      <c r="G25" s="30"/>
      <c r="H25" s="30"/>
      <c r="I25" s="30"/>
      <c r="J25" s="30"/>
      <c r="K25" s="41">
        <f t="shared" si="0"/>
        <v>13</v>
      </c>
    </row>
    <row r="26" spans="2:11" x14ac:dyDescent="0.2">
      <c r="B26" s="11">
        <v>1004055</v>
      </c>
      <c r="C26" s="15" t="s">
        <v>108</v>
      </c>
      <c r="D26" s="30"/>
      <c r="E26" s="30">
        <v>3</v>
      </c>
      <c r="F26" s="30"/>
      <c r="G26" s="30">
        <v>39</v>
      </c>
      <c r="H26" s="30"/>
      <c r="I26" s="30"/>
      <c r="J26" s="30"/>
      <c r="K26" s="41">
        <f t="shared" si="0"/>
        <v>42</v>
      </c>
    </row>
    <row r="27" spans="2:1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/>
      <c r="E40" s="30">
        <v>8</v>
      </c>
      <c r="F40" s="30"/>
      <c r="G40" s="30"/>
      <c r="H40" s="30"/>
      <c r="I40" s="30"/>
      <c r="J40" s="30"/>
      <c r="K40" s="41">
        <f t="shared" si="0"/>
        <v>8</v>
      </c>
    </row>
    <row r="41" spans="2:11" x14ac:dyDescent="0.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30"/>
      <c r="K41" s="41">
        <f t="shared" si="0"/>
        <v>4</v>
      </c>
    </row>
    <row r="42" spans="2:11" x14ac:dyDescent="0.2">
      <c r="B42" s="11">
        <v>1111059</v>
      </c>
      <c r="C42" s="15" t="s">
        <v>32</v>
      </c>
      <c r="D42" s="30"/>
      <c r="E42" s="30">
        <v>8</v>
      </c>
      <c r="F42" s="30"/>
      <c r="G42" s="30"/>
      <c r="H42" s="30"/>
      <c r="I42" s="30"/>
      <c r="J42" s="30"/>
      <c r="K42" s="41">
        <f t="shared" si="0"/>
        <v>8</v>
      </c>
    </row>
    <row r="43" spans="2:11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30"/>
      <c r="K43" s="41">
        <f t="shared" si="0"/>
        <v>0</v>
      </c>
    </row>
    <row r="44" spans="2:11" x14ac:dyDescent="0.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30"/>
      <c r="K44" s="41">
        <f t="shared" si="0"/>
        <v>2</v>
      </c>
    </row>
    <row r="45" spans="2:11" x14ac:dyDescent="0.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30"/>
      <c r="K45" s="41">
        <f t="shared" si="0"/>
        <v>2</v>
      </c>
    </row>
    <row r="46" spans="2:11" x14ac:dyDescent="0.2">
      <c r="B46" s="11">
        <v>1111063</v>
      </c>
      <c r="C46" s="15" t="s">
        <v>36</v>
      </c>
      <c r="D46" s="30"/>
      <c r="E46" s="30">
        <v>3</v>
      </c>
      <c r="F46" s="30"/>
      <c r="G46" s="30"/>
      <c r="H46" s="30"/>
      <c r="I46" s="30"/>
      <c r="J46" s="30"/>
      <c r="K46" s="41">
        <f t="shared" si="0"/>
        <v>3</v>
      </c>
    </row>
    <row r="47" spans="2:11" x14ac:dyDescent="0.2">
      <c r="B47" s="11">
        <v>1111064</v>
      </c>
      <c r="C47" s="15" t="s">
        <v>37</v>
      </c>
      <c r="D47" s="30"/>
      <c r="E47" s="30">
        <v>3</v>
      </c>
      <c r="F47" s="30"/>
      <c r="G47" s="30"/>
      <c r="H47" s="30"/>
      <c r="I47" s="30"/>
      <c r="J47" s="30"/>
      <c r="K47" s="41">
        <f t="shared" si="0"/>
        <v>3</v>
      </c>
    </row>
    <row r="48" spans="2:11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30"/>
      <c r="K48" s="41">
        <f t="shared" si="0"/>
        <v>0</v>
      </c>
    </row>
    <row r="49" spans="2:11" x14ac:dyDescent="0.2">
      <c r="B49" s="11">
        <v>1111066</v>
      </c>
      <c r="C49" s="15" t="s">
        <v>39</v>
      </c>
      <c r="D49" s="30"/>
      <c r="E49" s="30">
        <v>3</v>
      </c>
      <c r="F49" s="30"/>
      <c r="G49" s="30"/>
      <c r="H49" s="30"/>
      <c r="I49" s="30"/>
      <c r="J49" s="30"/>
      <c r="K49" s="41">
        <f t="shared" si="0"/>
        <v>3</v>
      </c>
    </row>
    <row r="50" spans="2:11" x14ac:dyDescent="0.2">
      <c r="B50" s="11">
        <v>1111067</v>
      </c>
      <c r="C50" s="15" t="s">
        <v>40</v>
      </c>
      <c r="D50" s="30"/>
      <c r="E50" s="30">
        <v>8</v>
      </c>
      <c r="F50" s="30"/>
      <c r="G50" s="30"/>
      <c r="H50" s="30"/>
      <c r="I50" s="30"/>
      <c r="J50" s="30"/>
      <c r="K50" s="41">
        <f t="shared" si="0"/>
        <v>8</v>
      </c>
    </row>
    <row r="51" spans="2:11" x14ac:dyDescent="0.2">
      <c r="B51" s="11">
        <v>1111068</v>
      </c>
      <c r="C51" s="15" t="s">
        <v>41</v>
      </c>
      <c r="D51" s="30"/>
      <c r="E51" s="30">
        <v>6</v>
      </c>
      <c r="F51" s="30"/>
      <c r="G51" s="30"/>
      <c r="H51" s="30"/>
      <c r="I51" s="30"/>
      <c r="J51" s="30"/>
      <c r="K51" s="41">
        <f t="shared" si="0"/>
        <v>6</v>
      </c>
    </row>
    <row r="52" spans="2:11" x14ac:dyDescent="0.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30"/>
      <c r="K52" s="41">
        <f t="shared" si="0"/>
        <v>3</v>
      </c>
    </row>
    <row r="53" spans="2:1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30"/>
      <c r="K53" s="41">
        <f t="shared" si="0"/>
        <v>0</v>
      </c>
    </row>
    <row r="54" spans="2:1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30"/>
      <c r="K54" s="41">
        <f t="shared" si="0"/>
        <v>0</v>
      </c>
    </row>
    <row r="55" spans="2:1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30"/>
      <c r="K55" s="41">
        <f t="shared" si="0"/>
        <v>0</v>
      </c>
    </row>
    <row r="56" spans="2:11" x14ac:dyDescent="0.2">
      <c r="B56" s="11">
        <v>1111074</v>
      </c>
      <c r="C56" s="15" t="s">
        <v>44</v>
      </c>
      <c r="D56" s="30"/>
      <c r="E56" s="30"/>
      <c r="F56" s="30">
        <v>1</v>
      </c>
      <c r="G56" s="30">
        <v>51</v>
      </c>
      <c r="H56" s="30"/>
      <c r="I56" s="30"/>
      <c r="J56" s="30"/>
      <c r="K56" s="41">
        <f t="shared" si="0"/>
        <v>52</v>
      </c>
    </row>
    <row r="57" spans="2:11" x14ac:dyDescent="0.2">
      <c r="B57" s="11">
        <v>1111075</v>
      </c>
      <c r="C57" s="15" t="s">
        <v>45</v>
      </c>
      <c r="D57" s="30"/>
      <c r="E57" s="30"/>
      <c r="F57" s="30">
        <v>1</v>
      </c>
      <c r="G57" s="30">
        <v>51</v>
      </c>
      <c r="H57" s="30"/>
      <c r="I57" s="30"/>
      <c r="J57" s="30"/>
      <c r="K57" s="41">
        <f t="shared" si="0"/>
        <v>52</v>
      </c>
    </row>
    <row r="58" spans="2:11" x14ac:dyDescent="0.2">
      <c r="B58" s="11">
        <v>1111076</v>
      </c>
      <c r="C58" s="15" t="s">
        <v>46</v>
      </c>
      <c r="D58" s="30"/>
      <c r="E58" s="30"/>
      <c r="F58" s="30">
        <v>1</v>
      </c>
      <c r="G58" s="30">
        <v>51</v>
      </c>
      <c r="H58" s="30"/>
      <c r="I58" s="30"/>
      <c r="J58" s="30"/>
      <c r="K58" s="41">
        <f t="shared" si="0"/>
        <v>52</v>
      </c>
    </row>
    <row r="59" spans="2:11" x14ac:dyDescent="0.2">
      <c r="B59" s="11">
        <v>1111077</v>
      </c>
      <c r="C59" s="15" t="s">
        <v>47</v>
      </c>
      <c r="D59" s="30"/>
      <c r="E59" s="30"/>
      <c r="F59" s="30">
        <v>1</v>
      </c>
      <c r="G59" s="30">
        <v>51</v>
      </c>
      <c r="H59" s="30"/>
      <c r="I59" s="30"/>
      <c r="J59" s="30"/>
      <c r="K59" s="41">
        <f t="shared" si="0"/>
        <v>52</v>
      </c>
    </row>
    <row r="60" spans="2:11" x14ac:dyDescent="0.2">
      <c r="B60" s="11">
        <v>1111078</v>
      </c>
      <c r="C60" s="15" t="s">
        <v>48</v>
      </c>
      <c r="D60" s="30"/>
      <c r="E60" s="30"/>
      <c r="F60" s="30">
        <v>1</v>
      </c>
      <c r="G60" s="30">
        <v>51</v>
      </c>
      <c r="H60" s="30"/>
      <c r="I60" s="30"/>
      <c r="J60" s="30"/>
      <c r="K60" s="41">
        <f t="shared" si="0"/>
        <v>52</v>
      </c>
    </row>
    <row r="61" spans="2:11" x14ac:dyDescent="0.2">
      <c r="B61" s="11">
        <v>1111079</v>
      </c>
      <c r="C61" s="15" t="s">
        <v>49</v>
      </c>
      <c r="D61" s="30"/>
      <c r="E61" s="30"/>
      <c r="F61" s="30">
        <v>1</v>
      </c>
      <c r="G61" s="30">
        <v>50</v>
      </c>
      <c r="H61" s="30"/>
      <c r="I61" s="30"/>
      <c r="J61" s="30"/>
      <c r="K61" s="41">
        <f t="shared" si="0"/>
        <v>51</v>
      </c>
    </row>
    <row r="62" spans="2:11" x14ac:dyDescent="0.2">
      <c r="B62" s="11">
        <v>1111080</v>
      </c>
      <c r="C62" s="15" t="s">
        <v>50</v>
      </c>
      <c r="D62" s="30"/>
      <c r="E62" s="30"/>
      <c r="F62" s="30">
        <v>1</v>
      </c>
      <c r="G62" s="30">
        <v>44</v>
      </c>
      <c r="H62" s="30"/>
      <c r="I62" s="30"/>
      <c r="J62" s="30"/>
      <c r="K62" s="41">
        <f t="shared" si="0"/>
        <v>45</v>
      </c>
    </row>
    <row r="63" spans="2:11" x14ac:dyDescent="0.2">
      <c r="B63" s="11">
        <v>1111081</v>
      </c>
      <c r="C63" s="15" t="s">
        <v>51</v>
      </c>
      <c r="D63" s="30"/>
      <c r="E63" s="30"/>
      <c r="F63" s="30">
        <v>1</v>
      </c>
      <c r="G63" s="30">
        <v>44</v>
      </c>
      <c r="H63" s="30"/>
      <c r="I63" s="30"/>
      <c r="J63" s="30"/>
      <c r="K63" s="41">
        <f t="shared" si="0"/>
        <v>45</v>
      </c>
    </row>
    <row r="64" spans="2:11" x14ac:dyDescent="0.2">
      <c r="B64" s="11">
        <v>1111082</v>
      </c>
      <c r="C64" s="15" t="s">
        <v>52</v>
      </c>
      <c r="D64" s="30"/>
      <c r="E64" s="30"/>
      <c r="F64" s="30">
        <v>1</v>
      </c>
      <c r="G64" s="30">
        <v>44</v>
      </c>
      <c r="H64" s="30"/>
      <c r="I64" s="30"/>
      <c r="J64" s="30"/>
      <c r="K64" s="41">
        <f t="shared" si="0"/>
        <v>45</v>
      </c>
    </row>
    <row r="65" spans="2:11" x14ac:dyDescent="0.2">
      <c r="B65" s="11">
        <v>1111083</v>
      </c>
      <c r="C65" s="15" t="s">
        <v>53</v>
      </c>
      <c r="D65" s="30"/>
      <c r="E65" s="30"/>
      <c r="F65" s="30">
        <v>1</v>
      </c>
      <c r="G65" s="30">
        <v>44</v>
      </c>
      <c r="H65" s="30"/>
      <c r="I65" s="30"/>
      <c r="J65" s="30"/>
      <c r="K65" s="41">
        <f t="shared" si="0"/>
        <v>45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3" t="s">
        <v>55</v>
      </c>
      <c r="C68" s="53"/>
      <c r="D68" s="53"/>
      <c r="E68" s="53"/>
      <c r="F68" s="53"/>
      <c r="G68" s="53"/>
      <c r="H68" s="53"/>
      <c r="I68" s="53"/>
      <c r="J68" s="53"/>
      <c r="K68" s="53"/>
    </row>
    <row r="69" spans="2:11" x14ac:dyDescent="0.2">
      <c r="B69" s="11">
        <v>1111009</v>
      </c>
      <c r="C69" s="19" t="s">
        <v>56</v>
      </c>
      <c r="D69" s="30"/>
      <c r="E69" s="30">
        <v>2</v>
      </c>
      <c r="F69" s="30">
        <v>4</v>
      </c>
      <c r="G69" s="30">
        <v>3</v>
      </c>
      <c r="H69" s="30"/>
      <c r="I69" s="30"/>
      <c r="J69" s="30"/>
      <c r="K69" s="41">
        <f>SUM(D69:J69)</f>
        <v>9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3" t="s">
        <v>64</v>
      </c>
      <c r="C78" s="53"/>
      <c r="D78" s="53"/>
      <c r="E78" s="53"/>
      <c r="F78" s="53"/>
      <c r="G78" s="53"/>
      <c r="H78" s="53"/>
      <c r="I78" s="53"/>
      <c r="J78" s="53"/>
      <c r="K78" s="53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/>
      <c r="E87" s="30">
        <v>9</v>
      </c>
      <c r="F87" s="30"/>
      <c r="G87" s="30">
        <v>57</v>
      </c>
      <c r="H87" s="30"/>
      <c r="I87" s="30"/>
      <c r="J87" s="30"/>
      <c r="K87" s="41">
        <f t="shared" si="3"/>
        <v>66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3" t="s">
        <v>74</v>
      </c>
      <c r="C89" s="53"/>
      <c r="D89" s="53"/>
      <c r="E89" s="53"/>
      <c r="F89" s="53"/>
      <c r="G89" s="53"/>
      <c r="H89" s="53"/>
      <c r="I89" s="53"/>
      <c r="J89" s="53"/>
      <c r="K89" s="53"/>
    </row>
    <row r="90" spans="2:11" x14ac:dyDescent="0.2">
      <c r="B90" s="11">
        <v>1112009</v>
      </c>
      <c r="C90" s="19" t="s">
        <v>75</v>
      </c>
      <c r="D90" s="30"/>
      <c r="E90" s="30">
        <v>10</v>
      </c>
      <c r="F90" s="30">
        <v>3</v>
      </c>
      <c r="G90" s="30">
        <v>28</v>
      </c>
      <c r="H90" s="30"/>
      <c r="I90" s="30"/>
      <c r="J90" s="30"/>
      <c r="K90" s="41">
        <f>SUM(D90:J90)</f>
        <v>41</v>
      </c>
    </row>
    <row r="91" spans="2:11" x14ac:dyDescent="0.2">
      <c r="B91" s="11">
        <v>1112011</v>
      </c>
      <c r="C91" s="19" t="s">
        <v>76</v>
      </c>
      <c r="D91" s="30"/>
      <c r="E91" s="30">
        <v>9</v>
      </c>
      <c r="F91" s="30">
        <v>9</v>
      </c>
      <c r="G91" s="30">
        <v>28</v>
      </c>
      <c r="H91" s="30"/>
      <c r="I91" s="30"/>
      <c r="J91" s="30"/>
      <c r="K91" s="41">
        <f t="shared" ref="K91:K99" si="4">SUM(D91:J91)</f>
        <v>46</v>
      </c>
    </row>
    <row r="92" spans="2:11" x14ac:dyDescent="0.2">
      <c r="B92" s="11">
        <v>1112003</v>
      </c>
      <c r="C92" s="19" t="s">
        <v>77</v>
      </c>
      <c r="D92" s="30"/>
      <c r="E92" s="30"/>
      <c r="F92" s="30"/>
      <c r="G92" s="30">
        <v>22</v>
      </c>
      <c r="H92" s="30"/>
      <c r="I92" s="30"/>
      <c r="J92" s="30"/>
      <c r="K92" s="41">
        <f t="shared" si="4"/>
        <v>22</v>
      </c>
    </row>
    <row r="93" spans="2:11" x14ac:dyDescent="0.2">
      <c r="B93" s="11">
        <v>1112005</v>
      </c>
      <c r="C93" s="19" t="s">
        <v>78</v>
      </c>
      <c r="D93" s="30"/>
      <c r="E93" s="30"/>
      <c r="F93" s="30"/>
      <c r="G93" s="30">
        <v>22</v>
      </c>
      <c r="H93" s="30"/>
      <c r="I93" s="30"/>
      <c r="J93" s="30"/>
      <c r="K93" s="41">
        <f t="shared" si="4"/>
        <v>22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30"/>
      <c r="K96" s="41">
        <f t="shared" si="4"/>
        <v>0</v>
      </c>
    </row>
    <row r="97" spans="2:11" x14ac:dyDescent="0.2">
      <c r="B97" s="11">
        <v>1112015</v>
      </c>
      <c r="C97" s="19" t="s">
        <v>82</v>
      </c>
      <c r="D97" s="30"/>
      <c r="E97" s="30"/>
      <c r="F97" s="30"/>
      <c r="G97" s="30">
        <v>22</v>
      </c>
      <c r="H97" s="30"/>
      <c r="I97" s="30"/>
      <c r="J97" s="30"/>
      <c r="K97" s="41">
        <f t="shared" si="4"/>
        <v>22</v>
      </c>
    </row>
    <row r="98" spans="2:11" x14ac:dyDescent="0.2">
      <c r="B98" s="11">
        <v>1112013</v>
      </c>
      <c r="C98" s="19" t="s">
        <v>83</v>
      </c>
      <c r="D98" s="30"/>
      <c r="E98" s="30">
        <v>10</v>
      </c>
      <c r="F98" s="30">
        <v>6</v>
      </c>
      <c r="G98" s="30">
        <v>28</v>
      </c>
      <c r="H98" s="30"/>
      <c r="I98" s="30"/>
      <c r="J98" s="30"/>
      <c r="K98" s="41">
        <f t="shared" si="4"/>
        <v>44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3" t="s">
        <v>85</v>
      </c>
      <c r="C101" s="53"/>
      <c r="D101" s="53"/>
      <c r="E101" s="53"/>
      <c r="F101" s="53"/>
      <c r="G101" s="53"/>
      <c r="H101" s="53"/>
      <c r="I101" s="53"/>
      <c r="J101" s="53"/>
      <c r="K101" s="53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3" t="s">
        <v>86</v>
      </c>
      <c r="C113" s="53"/>
      <c r="D113" s="53"/>
      <c r="E113" s="53"/>
      <c r="F113" s="53"/>
      <c r="G113" s="53"/>
      <c r="H113" s="53"/>
      <c r="I113" s="53"/>
      <c r="J113" s="53"/>
      <c r="K113" s="53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>
        <v>4</v>
      </c>
      <c r="H114" s="30"/>
      <c r="I114" s="30"/>
      <c r="J114" s="30"/>
      <c r="K114" s="41">
        <f>SUM(D114:J114)</f>
        <v>4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30"/>
      <c r="K118" s="41">
        <f t="shared" si="6"/>
        <v>0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/>
      <c r="K119" s="41">
        <f t="shared" si="6"/>
        <v>0</v>
      </c>
    </row>
    <row r="120" spans="2:11" x14ac:dyDescent="0.2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30"/>
      <c r="K120" s="41">
        <f t="shared" si="6"/>
        <v>1</v>
      </c>
    </row>
    <row r="121" spans="2:11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30"/>
      <c r="K121" s="41">
        <f t="shared" si="6"/>
        <v>0</v>
      </c>
    </row>
    <row r="122" spans="2:11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30"/>
      <c r="K122" s="41">
        <f t="shared" si="6"/>
        <v>0</v>
      </c>
    </row>
    <row r="123" spans="2:11" x14ac:dyDescent="0.2">
      <c r="B123" s="11">
        <v>1114501</v>
      </c>
      <c r="C123" s="21" t="s">
        <v>95</v>
      </c>
      <c r="D123" s="30"/>
      <c r="E123" s="30">
        <v>13</v>
      </c>
      <c r="F123" s="30">
        <v>8</v>
      </c>
      <c r="G123" s="30">
        <v>73</v>
      </c>
      <c r="H123" s="30"/>
      <c r="I123" s="30"/>
      <c r="J123" s="30"/>
      <c r="K123" s="41">
        <f t="shared" si="6"/>
        <v>94</v>
      </c>
    </row>
    <row r="124" spans="2:11" x14ac:dyDescent="0.2">
      <c r="B124" s="11">
        <v>1114502</v>
      </c>
      <c r="C124" s="21" t="s">
        <v>96</v>
      </c>
      <c r="D124" s="30"/>
      <c r="E124" s="30">
        <v>8</v>
      </c>
      <c r="F124" s="30">
        <v>7</v>
      </c>
      <c r="G124" s="30">
        <v>72</v>
      </c>
      <c r="H124" s="30"/>
      <c r="I124" s="30"/>
      <c r="J124" s="30"/>
      <c r="K124" s="41">
        <f t="shared" si="6"/>
        <v>87</v>
      </c>
    </row>
    <row r="125" spans="2:11" x14ac:dyDescent="0.2">
      <c r="B125" s="11">
        <v>1114503</v>
      </c>
      <c r="C125" s="21" t="s">
        <v>97</v>
      </c>
      <c r="D125" s="30"/>
      <c r="E125" s="30">
        <v>6</v>
      </c>
      <c r="F125" s="30">
        <v>3</v>
      </c>
      <c r="G125" s="30">
        <v>72</v>
      </c>
      <c r="H125" s="30"/>
      <c r="I125" s="30"/>
      <c r="J125" s="30"/>
      <c r="K125" s="41">
        <f t="shared" si="6"/>
        <v>81</v>
      </c>
    </row>
    <row r="126" spans="2:11" x14ac:dyDescent="0.2">
      <c r="B126" s="11">
        <v>1124021</v>
      </c>
      <c r="C126" s="21" t="s">
        <v>98</v>
      </c>
      <c r="D126" s="30"/>
      <c r="E126" s="30">
        <v>30</v>
      </c>
      <c r="F126" s="30">
        <v>22</v>
      </c>
      <c r="G126" s="30">
        <v>3</v>
      </c>
      <c r="H126" s="30"/>
      <c r="I126" s="30"/>
      <c r="J126" s="30"/>
      <c r="K126" s="41">
        <f t="shared" si="6"/>
        <v>55</v>
      </c>
    </row>
    <row r="127" spans="2:11" x14ac:dyDescent="0.2">
      <c r="B127" s="11">
        <v>1113084</v>
      </c>
      <c r="C127" s="21" t="s">
        <v>99</v>
      </c>
      <c r="D127" s="30"/>
      <c r="E127" s="30">
        <v>1</v>
      </c>
      <c r="F127" s="30"/>
      <c r="G127" s="30"/>
      <c r="H127" s="30"/>
      <c r="I127" s="30"/>
      <c r="J127" s="30"/>
      <c r="K127" s="41">
        <f t="shared" si="6"/>
        <v>1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>
        <v>6</v>
      </c>
      <c r="G130" s="30"/>
      <c r="H130" s="30"/>
      <c r="I130" s="30"/>
      <c r="J130" s="30"/>
      <c r="K130" s="41">
        <f t="shared" si="6"/>
        <v>6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/>
      <c r="K135" s="41">
        <f t="shared" si="6"/>
        <v>0</v>
      </c>
    </row>
    <row r="136" spans="2:11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30"/>
      <c r="K136" s="41">
        <f t="shared" si="6"/>
        <v>0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0</v>
      </c>
      <c r="E139" s="39">
        <f t="shared" si="7"/>
        <v>160</v>
      </c>
      <c r="F139" s="39">
        <f t="shared" si="7"/>
        <v>220</v>
      </c>
      <c r="G139" s="39">
        <f t="shared" si="7"/>
        <v>955</v>
      </c>
      <c r="H139" s="39">
        <f t="shared" si="7"/>
        <v>0</v>
      </c>
      <c r="I139" s="39">
        <f t="shared" si="7"/>
        <v>0</v>
      </c>
      <c r="J139" s="39"/>
      <c r="K139" s="39">
        <f>SUM(K114:K137,K102:K111,K90:K99,K79:K87,K69:K76,K7:K66)</f>
        <v>1335</v>
      </c>
    </row>
    <row r="140" spans="2:11" x14ac:dyDescent="0.2">
      <c r="C140" s="24"/>
      <c r="D140" s="31"/>
      <c r="E140" s="58"/>
      <c r="F140" s="58"/>
      <c r="G140" s="26"/>
    </row>
    <row r="141" spans="2:11" x14ac:dyDescent="0.2">
      <c r="B141" s="58" t="s">
        <v>104</v>
      </c>
      <c r="C141" s="58"/>
      <c r="D141" s="32"/>
      <c r="E141" s="57"/>
      <c r="F141" s="57"/>
      <c r="G141" s="27"/>
      <c r="H141" s="26"/>
      <c r="I141" s="58" t="s">
        <v>104</v>
      </c>
      <c r="J141" s="58"/>
      <c r="K141" s="58"/>
    </row>
    <row r="142" spans="2:11" x14ac:dyDescent="0.2">
      <c r="B142" s="57" t="s">
        <v>105</v>
      </c>
      <c r="C142" s="57"/>
      <c r="D142" s="33"/>
      <c r="E142" s="33"/>
      <c r="F142" s="33"/>
      <c r="G142" s="33"/>
      <c r="H142" s="33"/>
      <c r="I142" s="57" t="s">
        <v>106</v>
      </c>
      <c r="J142" s="57"/>
      <c r="K142" s="57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5"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  <mergeCell ref="B78:K78"/>
    <mergeCell ref="B1:K1"/>
    <mergeCell ref="B2:C3"/>
    <mergeCell ref="E2:F3"/>
    <mergeCell ref="B6:K6"/>
    <mergeCell ref="B68:K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topLeftCell="A40" zoomScale="60" zoomScaleNormal="60" workbookViewId="0">
      <selection activeCell="G57" sqref="G57"/>
    </sheetView>
  </sheetViews>
  <sheetFormatPr defaultRowHeight="22.5" x14ac:dyDescent="0.2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4" t="s">
        <v>138</v>
      </c>
      <c r="C1" s="54"/>
      <c r="D1" s="54"/>
      <c r="E1" s="54"/>
      <c r="F1" s="54"/>
      <c r="G1" s="54"/>
      <c r="H1" s="54"/>
      <c r="I1" s="54"/>
      <c r="J1" s="54"/>
      <c r="K1" s="54"/>
    </row>
    <row r="2" spans="2:11" x14ac:dyDescent="0.2">
      <c r="B2" s="55"/>
      <c r="C2" s="55"/>
      <c r="D2" s="42"/>
      <c r="E2" s="56"/>
      <c r="F2" s="56"/>
      <c r="G2" s="43"/>
      <c r="H2" s="43"/>
      <c r="I2" s="43"/>
      <c r="J2" s="43"/>
      <c r="K2" s="44" t="s">
        <v>0</v>
      </c>
    </row>
    <row r="3" spans="2:11" x14ac:dyDescent="0.2">
      <c r="B3" s="55"/>
      <c r="C3" s="55"/>
      <c r="D3" s="42"/>
      <c r="E3" s="56"/>
      <c r="F3" s="56"/>
      <c r="G3" s="43"/>
      <c r="H3" s="43"/>
      <c r="I3" s="43"/>
      <c r="J3" s="43"/>
      <c r="K3" s="44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133</v>
      </c>
      <c r="K4" s="44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19.5" x14ac:dyDescent="0.2">
      <c r="B6" s="53" t="s">
        <v>11</v>
      </c>
      <c r="C6" s="53"/>
      <c r="D6" s="53"/>
      <c r="E6" s="53"/>
      <c r="F6" s="53"/>
      <c r="G6" s="53"/>
      <c r="H6" s="53"/>
      <c r="I6" s="53"/>
      <c r="J6" s="53"/>
      <c r="K6" s="53"/>
    </row>
    <row r="7" spans="2:11" x14ac:dyDescent="0.2">
      <c r="B7" s="11">
        <v>1111002</v>
      </c>
      <c r="C7" s="15" t="s">
        <v>107</v>
      </c>
      <c r="D7" s="30">
        <v>9</v>
      </c>
      <c r="E7" s="30">
        <v>18</v>
      </c>
      <c r="F7" s="30">
        <v>35</v>
      </c>
      <c r="G7" s="30">
        <v>1</v>
      </c>
      <c r="H7" s="30"/>
      <c r="I7" s="30"/>
      <c r="J7" s="30"/>
      <c r="K7" s="41">
        <f>SUM(D7:J7)</f>
        <v>63</v>
      </c>
    </row>
    <row r="8" spans="2:11" hidden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30"/>
      <c r="K8" s="41">
        <f t="shared" ref="K8:K66" si="0">SUM(D8:J8)</f>
        <v>0</v>
      </c>
    </row>
    <row r="9" spans="2:11" hidden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hidden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hidden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hidden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hidden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hidden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hidden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hidden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hidden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hidden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hidden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hidden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hidden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hidden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hidden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hidden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1111056</v>
      </c>
      <c r="C25" s="15" t="s">
        <v>28</v>
      </c>
      <c r="D25" s="30">
        <v>7</v>
      </c>
      <c r="E25" s="30"/>
      <c r="F25" s="30">
        <v>1</v>
      </c>
      <c r="G25" s="30">
        <v>3</v>
      </c>
      <c r="H25" s="30"/>
      <c r="I25" s="30"/>
      <c r="J25" s="30"/>
      <c r="K25" s="41">
        <f t="shared" si="0"/>
        <v>11</v>
      </c>
    </row>
    <row r="26" spans="2:11" x14ac:dyDescent="0.2">
      <c r="B26" s="11">
        <v>1004055</v>
      </c>
      <c r="C26" s="15" t="s">
        <v>108</v>
      </c>
      <c r="D26" s="30">
        <v>1</v>
      </c>
      <c r="E26" s="30">
        <v>3</v>
      </c>
      <c r="F26" s="30">
        <v>4</v>
      </c>
      <c r="G26" s="30">
        <v>30</v>
      </c>
      <c r="H26" s="30"/>
      <c r="I26" s="30"/>
      <c r="J26" s="30"/>
      <c r="K26" s="41">
        <f t="shared" si="0"/>
        <v>38</v>
      </c>
    </row>
    <row r="27" spans="2:11" hidden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hidden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hidden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hidden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hidden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hidden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hidden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hidden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30"/>
      <c r="K38" s="41">
        <f t="shared" si="0"/>
        <v>0</v>
      </c>
    </row>
    <row r="39" spans="2:11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30"/>
      <c r="K39" s="41">
        <f t="shared" si="0"/>
        <v>0</v>
      </c>
    </row>
    <row r="40" spans="2:11" x14ac:dyDescent="0.2">
      <c r="B40" s="11">
        <v>1111057</v>
      </c>
      <c r="C40" s="15" t="s">
        <v>30</v>
      </c>
      <c r="D40" s="30">
        <v>17</v>
      </c>
      <c r="E40" s="30">
        <v>2</v>
      </c>
      <c r="F40" s="30"/>
      <c r="G40" s="30">
        <v>3</v>
      </c>
      <c r="H40" s="30"/>
      <c r="I40" s="30"/>
      <c r="J40" s="30">
        <v>1</v>
      </c>
      <c r="K40" s="41">
        <f t="shared" si="0"/>
        <v>23</v>
      </c>
    </row>
    <row r="41" spans="2:11" x14ac:dyDescent="0.2">
      <c r="B41" s="11">
        <v>1111058</v>
      </c>
      <c r="C41" s="15" t="s">
        <v>31</v>
      </c>
      <c r="D41" s="30">
        <v>17</v>
      </c>
      <c r="E41" s="30">
        <v>2</v>
      </c>
      <c r="F41" s="30"/>
      <c r="G41" s="30"/>
      <c r="H41" s="30"/>
      <c r="I41" s="30"/>
      <c r="J41" s="30"/>
      <c r="K41" s="41">
        <f t="shared" si="0"/>
        <v>19</v>
      </c>
    </row>
    <row r="42" spans="2:11" x14ac:dyDescent="0.2">
      <c r="B42" s="11">
        <v>1111059</v>
      </c>
      <c r="C42" s="15" t="s">
        <v>32</v>
      </c>
      <c r="D42" s="30">
        <v>17</v>
      </c>
      <c r="E42" s="30">
        <v>2</v>
      </c>
      <c r="F42" s="30"/>
      <c r="G42" s="30">
        <v>60</v>
      </c>
      <c r="H42" s="30"/>
      <c r="I42" s="30"/>
      <c r="J42" s="30"/>
      <c r="K42" s="41">
        <f t="shared" si="0"/>
        <v>79</v>
      </c>
    </row>
    <row r="43" spans="2:11" x14ac:dyDescent="0.2">
      <c r="B43" s="11">
        <v>1111060</v>
      </c>
      <c r="C43" s="15" t="s">
        <v>33</v>
      </c>
      <c r="D43" s="30">
        <v>17</v>
      </c>
      <c r="E43" s="30">
        <v>2</v>
      </c>
      <c r="F43" s="30"/>
      <c r="G43" s="30"/>
      <c r="H43" s="30"/>
      <c r="I43" s="30"/>
      <c r="J43" s="30"/>
      <c r="K43" s="41">
        <f t="shared" si="0"/>
        <v>19</v>
      </c>
    </row>
    <row r="44" spans="2:11" x14ac:dyDescent="0.2">
      <c r="B44" s="11">
        <v>1111061</v>
      </c>
      <c r="C44" s="15" t="s">
        <v>34</v>
      </c>
      <c r="D44" s="30">
        <v>17</v>
      </c>
      <c r="E44" s="30">
        <v>2</v>
      </c>
      <c r="F44" s="30"/>
      <c r="G44" s="30"/>
      <c r="H44" s="30"/>
      <c r="I44" s="30"/>
      <c r="J44" s="30"/>
      <c r="K44" s="41">
        <f t="shared" si="0"/>
        <v>19</v>
      </c>
    </row>
    <row r="45" spans="2:11" x14ac:dyDescent="0.2">
      <c r="B45" s="11">
        <v>1111062</v>
      </c>
      <c r="C45" s="15" t="s">
        <v>35</v>
      </c>
      <c r="D45" s="30">
        <v>17</v>
      </c>
      <c r="E45" s="30">
        <v>2</v>
      </c>
      <c r="F45" s="30"/>
      <c r="G45" s="30"/>
      <c r="H45" s="30"/>
      <c r="I45" s="30"/>
      <c r="J45" s="30"/>
      <c r="K45" s="41">
        <f t="shared" si="0"/>
        <v>19</v>
      </c>
    </row>
    <row r="46" spans="2:11" x14ac:dyDescent="0.2">
      <c r="B46" s="11">
        <v>1111063</v>
      </c>
      <c r="C46" s="15" t="s">
        <v>36</v>
      </c>
      <c r="D46" s="30">
        <v>17</v>
      </c>
      <c r="E46" s="30">
        <v>2</v>
      </c>
      <c r="F46" s="30"/>
      <c r="G46" s="30"/>
      <c r="H46" s="30"/>
      <c r="I46" s="30"/>
      <c r="J46" s="30"/>
      <c r="K46" s="41">
        <f t="shared" si="0"/>
        <v>19</v>
      </c>
    </row>
    <row r="47" spans="2:11" x14ac:dyDescent="0.2">
      <c r="B47" s="11">
        <v>1111064</v>
      </c>
      <c r="C47" s="15" t="s">
        <v>37</v>
      </c>
      <c r="D47" s="30">
        <v>17</v>
      </c>
      <c r="E47" s="30">
        <v>2</v>
      </c>
      <c r="F47" s="30"/>
      <c r="G47" s="30"/>
      <c r="H47" s="30"/>
      <c r="I47" s="30"/>
      <c r="J47" s="30"/>
      <c r="K47" s="41">
        <f t="shared" si="0"/>
        <v>19</v>
      </c>
    </row>
    <row r="48" spans="2:11" x14ac:dyDescent="0.2">
      <c r="B48" s="11">
        <v>1111065</v>
      </c>
      <c r="C48" s="15" t="s">
        <v>38</v>
      </c>
      <c r="D48" s="30">
        <v>17</v>
      </c>
      <c r="E48" s="30">
        <v>2</v>
      </c>
      <c r="F48" s="30"/>
      <c r="G48" s="30"/>
      <c r="H48" s="30"/>
      <c r="I48" s="30"/>
      <c r="J48" s="30"/>
      <c r="K48" s="41">
        <f t="shared" si="0"/>
        <v>19</v>
      </c>
    </row>
    <row r="49" spans="2:11" x14ac:dyDescent="0.2">
      <c r="B49" s="11">
        <v>1111066</v>
      </c>
      <c r="C49" s="15" t="s">
        <v>39</v>
      </c>
      <c r="D49" s="30">
        <v>17</v>
      </c>
      <c r="E49" s="30">
        <v>2</v>
      </c>
      <c r="F49" s="30"/>
      <c r="G49" s="30"/>
      <c r="H49" s="30"/>
      <c r="I49" s="30"/>
      <c r="J49" s="30"/>
      <c r="K49" s="41">
        <f t="shared" si="0"/>
        <v>19</v>
      </c>
    </row>
    <row r="50" spans="2:11" x14ac:dyDescent="0.2">
      <c r="B50" s="11">
        <v>1111067</v>
      </c>
      <c r="C50" s="15" t="s">
        <v>40</v>
      </c>
      <c r="D50" s="30">
        <v>16</v>
      </c>
      <c r="E50" s="30">
        <v>2</v>
      </c>
      <c r="F50" s="30"/>
      <c r="G50" s="30">
        <v>60</v>
      </c>
      <c r="H50" s="30"/>
      <c r="I50" s="30"/>
      <c r="J50" s="30"/>
      <c r="K50" s="41">
        <f t="shared" si="0"/>
        <v>78</v>
      </c>
    </row>
    <row r="51" spans="2:11" x14ac:dyDescent="0.2">
      <c r="B51" s="11">
        <v>1111068</v>
      </c>
      <c r="C51" s="15" t="s">
        <v>41</v>
      </c>
      <c r="D51" s="30">
        <v>16</v>
      </c>
      <c r="E51" s="30">
        <v>2</v>
      </c>
      <c r="F51" s="30"/>
      <c r="G51" s="30"/>
      <c r="H51" s="30"/>
      <c r="I51" s="30"/>
      <c r="J51" s="30"/>
      <c r="K51" s="41">
        <f t="shared" si="0"/>
        <v>18</v>
      </c>
    </row>
    <row r="52" spans="2:11" x14ac:dyDescent="0.2">
      <c r="B52" s="11">
        <v>1111069</v>
      </c>
      <c r="C52" s="15" t="s">
        <v>42</v>
      </c>
      <c r="D52" s="30">
        <v>16</v>
      </c>
      <c r="E52" s="30">
        <v>2</v>
      </c>
      <c r="F52" s="30"/>
      <c r="G52" s="30"/>
      <c r="H52" s="30"/>
      <c r="I52" s="30"/>
      <c r="J52" s="30"/>
      <c r="K52" s="41">
        <f t="shared" si="0"/>
        <v>18</v>
      </c>
    </row>
    <row r="53" spans="2:11" x14ac:dyDescent="0.2">
      <c r="B53" s="11">
        <v>1111070</v>
      </c>
      <c r="C53" s="15" t="s">
        <v>128</v>
      </c>
      <c r="D53" s="30">
        <v>16</v>
      </c>
      <c r="E53" s="30">
        <v>2</v>
      </c>
      <c r="F53" s="30"/>
      <c r="G53" s="30"/>
      <c r="H53" s="30"/>
      <c r="I53" s="30"/>
      <c r="J53" s="30"/>
      <c r="K53" s="41">
        <f t="shared" si="0"/>
        <v>18</v>
      </c>
    </row>
    <row r="54" spans="2:11" x14ac:dyDescent="0.2">
      <c r="B54" s="11">
        <v>1111071</v>
      </c>
      <c r="C54" s="15" t="s">
        <v>129</v>
      </c>
      <c r="D54" s="30">
        <v>16</v>
      </c>
      <c r="E54" s="30">
        <v>2</v>
      </c>
      <c r="F54" s="30"/>
      <c r="G54" s="30"/>
      <c r="H54" s="30"/>
      <c r="I54" s="30"/>
      <c r="J54" s="30"/>
      <c r="K54" s="41">
        <f t="shared" si="0"/>
        <v>18</v>
      </c>
    </row>
    <row r="55" spans="2:11" hidden="1" x14ac:dyDescent="0.2">
      <c r="B55" s="11">
        <v>1111001</v>
      </c>
      <c r="C55" s="15" t="s">
        <v>43</v>
      </c>
      <c r="D55" s="30">
        <v>16</v>
      </c>
      <c r="E55" s="30"/>
      <c r="F55" s="30"/>
      <c r="G55" s="30"/>
      <c r="H55" s="30"/>
      <c r="I55" s="30"/>
      <c r="J55" s="30"/>
      <c r="K55" s="41">
        <f t="shared" si="0"/>
        <v>16</v>
      </c>
    </row>
    <row r="56" spans="2:11" x14ac:dyDescent="0.2">
      <c r="B56" s="11">
        <v>1111074</v>
      </c>
      <c r="C56" s="15" t="s">
        <v>44</v>
      </c>
      <c r="D56" s="30">
        <v>2</v>
      </c>
      <c r="E56" s="30"/>
      <c r="F56" s="30"/>
      <c r="G56" s="30">
        <v>2</v>
      </c>
      <c r="H56" s="30"/>
      <c r="I56" s="30"/>
      <c r="J56" s="30"/>
      <c r="K56" s="41">
        <f t="shared" si="0"/>
        <v>4</v>
      </c>
    </row>
    <row r="57" spans="2:11" x14ac:dyDescent="0.2">
      <c r="B57" s="11">
        <v>1111075</v>
      </c>
      <c r="C57" s="15" t="s">
        <v>45</v>
      </c>
      <c r="D57" s="30">
        <v>2</v>
      </c>
      <c r="E57" s="30"/>
      <c r="F57" s="30"/>
      <c r="G57" s="30"/>
      <c r="H57" s="30"/>
      <c r="I57" s="30"/>
      <c r="J57" s="30"/>
      <c r="K57" s="41">
        <f t="shared" si="0"/>
        <v>2</v>
      </c>
    </row>
    <row r="58" spans="2:11" x14ac:dyDescent="0.2">
      <c r="B58" s="11">
        <v>1111076</v>
      </c>
      <c r="C58" s="15" t="s">
        <v>46</v>
      </c>
      <c r="D58" s="30">
        <v>2</v>
      </c>
      <c r="E58" s="30"/>
      <c r="F58" s="30"/>
      <c r="G58" s="30"/>
      <c r="H58" s="30"/>
      <c r="I58" s="30"/>
      <c r="J58" s="30"/>
      <c r="K58" s="41">
        <f t="shared" si="0"/>
        <v>2</v>
      </c>
    </row>
    <row r="59" spans="2:11" x14ac:dyDescent="0.2">
      <c r="B59" s="11">
        <v>1111077</v>
      </c>
      <c r="C59" s="15" t="s">
        <v>47</v>
      </c>
      <c r="D59" s="30">
        <v>2</v>
      </c>
      <c r="E59" s="30"/>
      <c r="F59" s="30"/>
      <c r="G59" s="30"/>
      <c r="H59" s="30"/>
      <c r="I59" s="30"/>
      <c r="J59" s="30"/>
      <c r="K59" s="41">
        <f t="shared" si="0"/>
        <v>2</v>
      </c>
    </row>
    <row r="60" spans="2:11" x14ac:dyDescent="0.2">
      <c r="B60" s="11">
        <v>1111078</v>
      </c>
      <c r="C60" s="15" t="s">
        <v>48</v>
      </c>
      <c r="D60" s="30">
        <v>2</v>
      </c>
      <c r="E60" s="30"/>
      <c r="F60" s="30"/>
      <c r="G60" s="30"/>
      <c r="H60" s="30"/>
      <c r="I60" s="30"/>
      <c r="J60" s="30"/>
      <c r="K60" s="41">
        <f t="shared" si="0"/>
        <v>2</v>
      </c>
    </row>
    <row r="61" spans="2:11" x14ac:dyDescent="0.2">
      <c r="B61" s="11">
        <v>1111079</v>
      </c>
      <c r="C61" s="15" t="s">
        <v>49</v>
      </c>
      <c r="D61" s="30">
        <v>1</v>
      </c>
      <c r="E61" s="30"/>
      <c r="F61" s="30"/>
      <c r="G61" s="30"/>
      <c r="H61" s="30"/>
      <c r="I61" s="30"/>
      <c r="J61" s="30"/>
      <c r="K61" s="41">
        <f t="shared" si="0"/>
        <v>1</v>
      </c>
    </row>
    <row r="62" spans="2:11" x14ac:dyDescent="0.2">
      <c r="B62" s="11">
        <v>1111080</v>
      </c>
      <c r="C62" s="15" t="s">
        <v>50</v>
      </c>
      <c r="D62" s="30">
        <v>1</v>
      </c>
      <c r="E62" s="30"/>
      <c r="F62" s="30"/>
      <c r="G62" s="30"/>
      <c r="H62" s="30"/>
      <c r="I62" s="30"/>
      <c r="J62" s="30"/>
      <c r="K62" s="41">
        <f t="shared" si="0"/>
        <v>1</v>
      </c>
    </row>
    <row r="63" spans="2:11" x14ac:dyDescent="0.2">
      <c r="B63" s="11">
        <v>1111081</v>
      </c>
      <c r="C63" s="15" t="s">
        <v>51</v>
      </c>
      <c r="D63" s="30">
        <v>1</v>
      </c>
      <c r="E63" s="30"/>
      <c r="F63" s="30"/>
      <c r="G63" s="30"/>
      <c r="H63" s="30"/>
      <c r="I63" s="30"/>
      <c r="J63" s="30"/>
      <c r="K63" s="41">
        <f t="shared" si="0"/>
        <v>1</v>
      </c>
    </row>
    <row r="64" spans="2:11" x14ac:dyDescent="0.2">
      <c r="B64" s="11">
        <v>1111082</v>
      </c>
      <c r="C64" s="15" t="s">
        <v>52</v>
      </c>
      <c r="D64" s="30">
        <v>1</v>
      </c>
      <c r="E64" s="30"/>
      <c r="F64" s="30"/>
      <c r="G64" s="30"/>
      <c r="H64" s="30"/>
      <c r="I64" s="30"/>
      <c r="J64" s="30"/>
      <c r="K64" s="41">
        <f t="shared" si="0"/>
        <v>1</v>
      </c>
    </row>
    <row r="65" spans="2:11" x14ac:dyDescent="0.2">
      <c r="B65" s="11">
        <v>1111083</v>
      </c>
      <c r="C65" s="15" t="s">
        <v>53</v>
      </c>
      <c r="D65" s="30">
        <v>1</v>
      </c>
      <c r="E65" s="30"/>
      <c r="F65" s="30"/>
      <c r="G65" s="30"/>
      <c r="H65" s="30"/>
      <c r="I65" s="30"/>
      <c r="J65" s="30"/>
      <c r="K65" s="41">
        <f t="shared" si="0"/>
        <v>1</v>
      </c>
    </row>
    <row r="66" spans="2:1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30"/>
      <c r="K66" s="41">
        <f t="shared" si="0"/>
        <v>0</v>
      </c>
    </row>
    <row r="67" spans="2:1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1">
        <f t="shared" ref="K67" si="1">SUM(D67:I67)</f>
        <v>0</v>
      </c>
    </row>
    <row r="68" spans="2:11" ht="19.5" x14ac:dyDescent="0.2">
      <c r="B68" s="53" t="s">
        <v>55</v>
      </c>
      <c r="C68" s="53"/>
      <c r="D68" s="53"/>
      <c r="E68" s="53"/>
      <c r="F68" s="53"/>
      <c r="G68" s="53"/>
      <c r="H68" s="53"/>
      <c r="I68" s="53"/>
      <c r="J68" s="53"/>
      <c r="K68" s="53"/>
    </row>
    <row r="69" spans="2:11" x14ac:dyDescent="0.2">
      <c r="B69" s="11">
        <v>1111009</v>
      </c>
      <c r="C69" s="19" t="s">
        <v>56</v>
      </c>
      <c r="D69" s="30">
        <v>7</v>
      </c>
      <c r="E69" s="30"/>
      <c r="F69" s="30">
        <v>1</v>
      </c>
      <c r="G69" s="30">
        <v>4</v>
      </c>
      <c r="H69" s="30"/>
      <c r="I69" s="30"/>
      <c r="J69" s="30">
        <v>1</v>
      </c>
      <c r="K69" s="41">
        <f>SUM(D69:J69)</f>
        <v>13</v>
      </c>
    </row>
    <row r="70" spans="2:11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30"/>
      <c r="K70" s="41">
        <f t="shared" ref="K70:K76" si="2">SUM(D70:J70)</f>
        <v>0</v>
      </c>
    </row>
    <row r="71" spans="2:11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47"/>
    </row>
    <row r="78" spans="2:11" ht="19.5" x14ac:dyDescent="0.2">
      <c r="B78" s="53" t="s">
        <v>64</v>
      </c>
      <c r="C78" s="53"/>
      <c r="D78" s="53"/>
      <c r="E78" s="53"/>
      <c r="F78" s="53"/>
      <c r="G78" s="53"/>
      <c r="H78" s="53"/>
      <c r="I78" s="53"/>
      <c r="J78" s="53"/>
      <c r="K78" s="53"/>
    </row>
    <row r="79" spans="2:11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30"/>
      <c r="K79" s="41">
        <f>SUM(D79:J79)</f>
        <v>0</v>
      </c>
    </row>
    <row r="80" spans="2:11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30"/>
      <c r="K80" s="41">
        <f t="shared" ref="K80:K87" si="3">SUM(D80:J80)</f>
        <v>0</v>
      </c>
    </row>
    <row r="81" spans="2:11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30"/>
      <c r="K81" s="41">
        <f t="shared" si="3"/>
        <v>0</v>
      </c>
    </row>
    <row r="82" spans="2:11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30"/>
      <c r="K82" s="41">
        <f t="shared" si="3"/>
        <v>0</v>
      </c>
    </row>
    <row r="83" spans="2:11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30"/>
      <c r="K83" s="41">
        <f t="shared" si="3"/>
        <v>0</v>
      </c>
    </row>
    <row r="84" spans="2:11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30"/>
      <c r="K84" s="41">
        <f t="shared" si="3"/>
        <v>0</v>
      </c>
    </row>
    <row r="85" spans="2:11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30"/>
      <c r="K85" s="41">
        <f t="shared" si="3"/>
        <v>0</v>
      </c>
    </row>
    <row r="86" spans="2:11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30"/>
      <c r="K86" s="41">
        <f t="shared" si="3"/>
        <v>0</v>
      </c>
    </row>
    <row r="87" spans="2:11" x14ac:dyDescent="0.2">
      <c r="B87" s="11">
        <v>1111008</v>
      </c>
      <c r="C87" s="19" t="s">
        <v>73</v>
      </c>
      <c r="D87" s="30">
        <v>15</v>
      </c>
      <c r="E87" s="30">
        <v>3</v>
      </c>
      <c r="F87" s="30"/>
      <c r="G87" s="30">
        <v>39</v>
      </c>
      <c r="H87" s="30"/>
      <c r="I87" s="30"/>
      <c r="J87" s="30"/>
      <c r="K87" s="41">
        <f t="shared" si="3"/>
        <v>57</v>
      </c>
    </row>
    <row r="88" spans="2:1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47"/>
    </row>
    <row r="89" spans="2:11" ht="19.5" x14ac:dyDescent="0.2">
      <c r="B89" s="53" t="s">
        <v>74</v>
      </c>
      <c r="C89" s="53"/>
      <c r="D89" s="53"/>
      <c r="E89" s="53"/>
      <c r="F89" s="53"/>
      <c r="G89" s="53"/>
      <c r="H89" s="53"/>
      <c r="I89" s="53"/>
      <c r="J89" s="53"/>
      <c r="K89" s="53"/>
    </row>
    <row r="90" spans="2:11" x14ac:dyDescent="0.2">
      <c r="B90" s="11">
        <v>1112009</v>
      </c>
      <c r="C90" s="19" t="s">
        <v>75</v>
      </c>
      <c r="D90" s="30">
        <v>13</v>
      </c>
      <c r="E90" s="30">
        <v>21</v>
      </c>
      <c r="F90" s="30">
        <v>2</v>
      </c>
      <c r="G90" s="30">
        <v>26</v>
      </c>
      <c r="H90" s="30"/>
      <c r="I90" s="30"/>
      <c r="J90" s="30">
        <v>1</v>
      </c>
      <c r="K90" s="41">
        <f>SUM(D90:J90)</f>
        <v>63</v>
      </c>
    </row>
    <row r="91" spans="2:11" x14ac:dyDescent="0.2">
      <c r="B91" s="11">
        <v>1112011</v>
      </c>
      <c r="C91" s="19" t="s">
        <v>76</v>
      </c>
      <c r="D91" s="30">
        <v>14</v>
      </c>
      <c r="E91" s="30">
        <v>21</v>
      </c>
      <c r="F91" s="30">
        <v>3</v>
      </c>
      <c r="G91" s="30">
        <v>26</v>
      </c>
      <c r="H91" s="30"/>
      <c r="I91" s="30"/>
      <c r="J91" s="30"/>
      <c r="K91" s="41">
        <f t="shared" ref="K91:K99" si="4">SUM(D91:J91)</f>
        <v>64</v>
      </c>
    </row>
    <row r="92" spans="2:11" x14ac:dyDescent="0.2">
      <c r="B92" s="11">
        <v>1112003</v>
      </c>
      <c r="C92" s="19" t="s">
        <v>77</v>
      </c>
      <c r="D92" s="30">
        <v>4</v>
      </c>
      <c r="E92" s="30"/>
      <c r="F92" s="30"/>
      <c r="G92" s="30">
        <v>19</v>
      </c>
      <c r="H92" s="30"/>
      <c r="I92" s="30"/>
      <c r="J92" s="30"/>
      <c r="K92" s="41">
        <f t="shared" si="4"/>
        <v>23</v>
      </c>
    </row>
    <row r="93" spans="2:11" x14ac:dyDescent="0.2">
      <c r="B93" s="11">
        <v>1112005</v>
      </c>
      <c r="C93" s="19" t="s">
        <v>78</v>
      </c>
      <c r="D93" s="30">
        <v>4</v>
      </c>
      <c r="E93" s="30"/>
      <c r="F93" s="30"/>
      <c r="G93" s="30">
        <v>18</v>
      </c>
      <c r="H93" s="30"/>
      <c r="I93" s="30"/>
      <c r="J93" s="30"/>
      <c r="K93" s="41">
        <f t="shared" si="4"/>
        <v>22</v>
      </c>
    </row>
    <row r="94" spans="2:11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30"/>
      <c r="K94" s="41">
        <f t="shared" si="4"/>
        <v>0</v>
      </c>
    </row>
    <row r="95" spans="2:11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30"/>
      <c r="K95" s="41">
        <f t="shared" si="4"/>
        <v>0</v>
      </c>
    </row>
    <row r="96" spans="2:11" x14ac:dyDescent="0.2">
      <c r="B96" s="11">
        <v>1112017</v>
      </c>
      <c r="C96" s="19" t="s">
        <v>81</v>
      </c>
      <c r="D96" s="30">
        <v>1</v>
      </c>
      <c r="E96" s="30"/>
      <c r="F96" s="30"/>
      <c r="G96" s="30"/>
      <c r="H96" s="30"/>
      <c r="I96" s="30"/>
      <c r="J96" s="30"/>
      <c r="K96" s="41">
        <f t="shared" si="4"/>
        <v>1</v>
      </c>
    </row>
    <row r="97" spans="2:11" x14ac:dyDescent="0.2">
      <c r="B97" s="11">
        <v>1112015</v>
      </c>
      <c r="C97" s="19" t="s">
        <v>82</v>
      </c>
      <c r="D97" s="30">
        <v>3</v>
      </c>
      <c r="E97" s="30"/>
      <c r="F97" s="30"/>
      <c r="G97" s="30">
        <v>18</v>
      </c>
      <c r="H97" s="30"/>
      <c r="I97" s="30"/>
      <c r="J97" s="30"/>
      <c r="K97" s="41">
        <f t="shared" si="4"/>
        <v>21</v>
      </c>
    </row>
    <row r="98" spans="2:11" x14ac:dyDescent="0.2">
      <c r="B98" s="11">
        <v>1112013</v>
      </c>
      <c r="C98" s="19" t="s">
        <v>83</v>
      </c>
      <c r="D98" s="30">
        <v>10</v>
      </c>
      <c r="E98" s="30">
        <v>21</v>
      </c>
      <c r="F98" s="30">
        <v>3</v>
      </c>
      <c r="G98" s="30">
        <v>26</v>
      </c>
      <c r="H98" s="30"/>
      <c r="I98" s="30"/>
      <c r="J98" s="30"/>
      <c r="K98" s="41">
        <f t="shared" si="4"/>
        <v>60</v>
      </c>
    </row>
    <row r="99" spans="2:11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30"/>
      <c r="K99" s="41">
        <f t="shared" si="4"/>
        <v>0</v>
      </c>
    </row>
    <row r="100" spans="2:1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1"/>
    </row>
    <row r="101" spans="2:11" ht="19.5" x14ac:dyDescent="0.2">
      <c r="B101" s="53" t="s">
        <v>85</v>
      </c>
      <c r="C101" s="53"/>
      <c r="D101" s="53"/>
      <c r="E101" s="53"/>
      <c r="F101" s="53"/>
      <c r="G101" s="53"/>
      <c r="H101" s="53"/>
      <c r="I101" s="53"/>
      <c r="J101" s="53"/>
      <c r="K101" s="53"/>
    </row>
    <row r="102" spans="2:1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30"/>
      <c r="K102" s="41">
        <f>SUM(D102:H102)</f>
        <v>0</v>
      </c>
    </row>
    <row r="103" spans="2:1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30"/>
      <c r="K103" s="41">
        <f t="shared" ref="K103:K111" si="5">SUM(D103:H103)</f>
        <v>0</v>
      </c>
    </row>
    <row r="104" spans="2:1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30"/>
      <c r="K104" s="41">
        <f t="shared" si="5"/>
        <v>0</v>
      </c>
    </row>
    <row r="105" spans="2:1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30"/>
      <c r="K105" s="41">
        <f t="shared" si="5"/>
        <v>0</v>
      </c>
    </row>
    <row r="106" spans="2:1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30"/>
      <c r="K106" s="41">
        <f t="shared" si="5"/>
        <v>0</v>
      </c>
    </row>
    <row r="107" spans="2:1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30"/>
      <c r="K107" s="41">
        <f t="shared" si="5"/>
        <v>0</v>
      </c>
    </row>
    <row r="108" spans="2:1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30"/>
      <c r="K108" s="41">
        <f t="shared" si="5"/>
        <v>0</v>
      </c>
    </row>
    <row r="109" spans="2:1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30"/>
      <c r="K109" s="41">
        <f t="shared" si="5"/>
        <v>0</v>
      </c>
    </row>
    <row r="110" spans="2:1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30"/>
      <c r="K110" s="41">
        <f t="shared" si="5"/>
        <v>0</v>
      </c>
    </row>
    <row r="111" spans="2:1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30"/>
      <c r="K111" s="41">
        <f t="shared" si="5"/>
        <v>0</v>
      </c>
    </row>
    <row r="112" spans="2:1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46">
        <f>SUM(K102:K110)</f>
        <v>0</v>
      </c>
    </row>
    <row r="113" spans="2:11" ht="19.5" x14ac:dyDescent="0.2">
      <c r="B113" s="53" t="s">
        <v>86</v>
      </c>
      <c r="C113" s="53"/>
      <c r="D113" s="53"/>
      <c r="E113" s="53"/>
      <c r="F113" s="53"/>
      <c r="G113" s="53"/>
      <c r="H113" s="53"/>
      <c r="I113" s="53"/>
      <c r="J113" s="53"/>
      <c r="K113" s="53"/>
    </row>
    <row r="114" spans="2:11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30"/>
      <c r="K114" s="41">
        <f>SUM(D114:J114)</f>
        <v>0</v>
      </c>
    </row>
    <row r="115" spans="2:11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30"/>
      <c r="K115" s="41">
        <f t="shared" ref="K115:K137" si="6">SUM(D115:J115)</f>
        <v>0</v>
      </c>
    </row>
    <row r="116" spans="2:11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30"/>
      <c r="K116" s="41">
        <f t="shared" si="6"/>
        <v>0</v>
      </c>
    </row>
    <row r="117" spans="2:11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30"/>
      <c r="K117" s="41">
        <f t="shared" si="6"/>
        <v>0</v>
      </c>
    </row>
    <row r="118" spans="2:11" x14ac:dyDescent="0.2">
      <c r="B118" s="11">
        <v>1100003</v>
      </c>
      <c r="C118" s="21" t="s">
        <v>121</v>
      </c>
      <c r="D118" s="30"/>
      <c r="E118" s="30">
        <v>2</v>
      </c>
      <c r="F118" s="30">
        <v>2</v>
      </c>
      <c r="G118" s="30"/>
      <c r="H118" s="30"/>
      <c r="I118" s="30"/>
      <c r="J118" s="30">
        <v>1</v>
      </c>
      <c r="K118" s="41">
        <f t="shared" si="6"/>
        <v>5</v>
      </c>
    </row>
    <row r="119" spans="2:11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30">
        <v>4</v>
      </c>
      <c r="K119" s="41">
        <f t="shared" si="6"/>
        <v>4</v>
      </c>
    </row>
    <row r="120" spans="2:11" x14ac:dyDescent="0.2">
      <c r="B120" s="11">
        <v>1100002</v>
      </c>
      <c r="C120" s="21" t="s">
        <v>123</v>
      </c>
      <c r="D120" s="30"/>
      <c r="E120" s="30">
        <v>3</v>
      </c>
      <c r="F120" s="30"/>
      <c r="G120" s="30"/>
      <c r="H120" s="30"/>
      <c r="I120" s="30"/>
      <c r="J120" s="30"/>
      <c r="K120" s="41">
        <f t="shared" si="6"/>
        <v>3</v>
      </c>
    </row>
    <row r="121" spans="2:11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30"/>
      <c r="K121" s="41">
        <f t="shared" si="6"/>
        <v>0</v>
      </c>
    </row>
    <row r="122" spans="2:11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30"/>
      <c r="K122" s="41">
        <f t="shared" si="6"/>
        <v>0</v>
      </c>
    </row>
    <row r="123" spans="2:11" x14ac:dyDescent="0.2">
      <c r="B123" s="11">
        <v>1114501</v>
      </c>
      <c r="C123" s="21" t="s">
        <v>95</v>
      </c>
      <c r="D123" s="30">
        <v>2</v>
      </c>
      <c r="E123" s="30">
        <v>6</v>
      </c>
      <c r="F123" s="30">
        <v>7</v>
      </c>
      <c r="G123" s="30">
        <v>113</v>
      </c>
      <c r="H123" s="30"/>
      <c r="I123" s="30"/>
      <c r="J123" s="30"/>
      <c r="K123" s="41">
        <f t="shared" si="6"/>
        <v>128</v>
      </c>
    </row>
    <row r="124" spans="2:11" x14ac:dyDescent="0.2">
      <c r="B124" s="11">
        <v>1114502</v>
      </c>
      <c r="C124" s="21" t="s">
        <v>96</v>
      </c>
      <c r="D124" s="30">
        <v>2</v>
      </c>
      <c r="E124" s="30">
        <v>3</v>
      </c>
      <c r="F124" s="30">
        <v>7</v>
      </c>
      <c r="G124" s="30">
        <v>113</v>
      </c>
      <c r="H124" s="30"/>
      <c r="I124" s="30"/>
      <c r="J124" s="30"/>
      <c r="K124" s="41">
        <f t="shared" si="6"/>
        <v>125</v>
      </c>
    </row>
    <row r="125" spans="2:11" x14ac:dyDescent="0.2">
      <c r="B125" s="11">
        <v>1114503</v>
      </c>
      <c r="C125" s="21" t="s">
        <v>97</v>
      </c>
      <c r="D125" s="30">
        <v>1</v>
      </c>
      <c r="E125" s="30">
        <v>5</v>
      </c>
      <c r="F125" s="30">
        <v>5</v>
      </c>
      <c r="G125" s="30">
        <v>113</v>
      </c>
      <c r="H125" s="30"/>
      <c r="I125" s="30"/>
      <c r="J125" s="30"/>
      <c r="K125" s="41">
        <f t="shared" si="6"/>
        <v>124</v>
      </c>
    </row>
    <row r="126" spans="2:11" x14ac:dyDescent="0.2">
      <c r="B126" s="11">
        <v>1124021</v>
      </c>
      <c r="C126" s="21" t="s">
        <v>98</v>
      </c>
      <c r="D126" s="30"/>
      <c r="E126" s="30">
        <v>18</v>
      </c>
      <c r="F126" s="30">
        <v>48</v>
      </c>
      <c r="G126" s="30"/>
      <c r="H126" s="30"/>
      <c r="I126" s="30"/>
      <c r="J126" s="30"/>
      <c r="K126" s="41">
        <f t="shared" si="6"/>
        <v>66</v>
      </c>
    </row>
    <row r="127" spans="2:11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30"/>
      <c r="K127" s="41">
        <f t="shared" si="6"/>
        <v>0</v>
      </c>
    </row>
    <row r="128" spans="2:11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30"/>
      <c r="K128" s="41">
        <f t="shared" si="6"/>
        <v>0</v>
      </c>
    </row>
    <row r="129" spans="2:11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30"/>
      <c r="K129" s="41">
        <f t="shared" si="6"/>
        <v>0</v>
      </c>
    </row>
    <row r="130" spans="2:11" x14ac:dyDescent="0.2">
      <c r="B130" s="11">
        <v>1200002</v>
      </c>
      <c r="C130" s="21" t="s">
        <v>101</v>
      </c>
      <c r="D130" s="30"/>
      <c r="E130" s="30"/>
      <c r="F130" s="30">
        <v>1</v>
      </c>
      <c r="G130" s="30"/>
      <c r="H130" s="30"/>
      <c r="I130" s="30"/>
      <c r="J130" s="30"/>
      <c r="K130" s="41">
        <f t="shared" si="6"/>
        <v>1</v>
      </c>
    </row>
    <row r="131" spans="2:11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30"/>
      <c r="K131" s="41">
        <f t="shared" si="6"/>
        <v>0</v>
      </c>
    </row>
    <row r="132" spans="2:11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30"/>
      <c r="K132" s="41">
        <f t="shared" si="6"/>
        <v>0</v>
      </c>
    </row>
    <row r="133" spans="2:11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30"/>
      <c r="K133" s="41">
        <f t="shared" si="6"/>
        <v>0</v>
      </c>
    </row>
    <row r="134" spans="2:11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30"/>
      <c r="K134" s="41">
        <f t="shared" si="6"/>
        <v>0</v>
      </c>
    </row>
    <row r="135" spans="2:11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30">
        <v>3</v>
      </c>
      <c r="K135" s="41">
        <f t="shared" si="6"/>
        <v>3</v>
      </c>
    </row>
    <row r="136" spans="2:11" x14ac:dyDescent="0.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30">
        <v>1</v>
      </c>
      <c r="K136" s="41">
        <f t="shared" si="6"/>
        <v>2</v>
      </c>
    </row>
    <row r="137" spans="2:11" x14ac:dyDescent="0.2">
      <c r="B137" s="22">
        <v>20052721</v>
      </c>
      <c r="C137" s="21" t="s">
        <v>131</v>
      </c>
      <c r="D137" s="30"/>
      <c r="E137" s="30"/>
      <c r="F137" s="30"/>
      <c r="G137" s="30"/>
      <c r="H137" s="30"/>
      <c r="I137" s="30"/>
      <c r="J137" s="30"/>
      <c r="K137" s="41">
        <f t="shared" si="6"/>
        <v>0</v>
      </c>
    </row>
    <row r="138" spans="2:11" x14ac:dyDescent="0.2">
      <c r="C138" s="35"/>
      <c r="D138" s="38"/>
      <c r="E138" s="38"/>
      <c r="F138" s="38"/>
      <c r="G138" s="38"/>
      <c r="H138" s="38"/>
      <c r="I138" s="38"/>
      <c r="J138" s="38"/>
      <c r="K138" s="39"/>
    </row>
    <row r="139" spans="2:11" x14ac:dyDescent="0.2">
      <c r="C139" s="35"/>
      <c r="D139" s="39">
        <f t="shared" ref="D139:I139" si="7">SUM(D114:D137,D102:D111,D90:D99,D79:D87,D69:D76,D7:D66)</f>
        <v>374</v>
      </c>
      <c r="E139" s="39">
        <f t="shared" si="7"/>
        <v>155</v>
      </c>
      <c r="F139" s="39">
        <f t="shared" si="7"/>
        <v>119</v>
      </c>
      <c r="G139" s="39">
        <f t="shared" si="7"/>
        <v>674</v>
      </c>
      <c r="H139" s="39">
        <f t="shared" si="7"/>
        <v>0</v>
      </c>
      <c r="I139" s="39">
        <f t="shared" si="7"/>
        <v>0</v>
      </c>
      <c r="J139" s="39"/>
      <c r="K139" s="39">
        <f>SUM(K114:K137,K102:K111,K90:K99,K79:K87,K69:K76,K7:K66)</f>
        <v>1334</v>
      </c>
    </row>
    <row r="140" spans="2:11" x14ac:dyDescent="0.2">
      <c r="C140" s="24"/>
      <c r="D140" s="31"/>
      <c r="E140" s="58"/>
      <c r="F140" s="58"/>
      <c r="G140" s="26"/>
    </row>
    <row r="141" spans="2:11" x14ac:dyDescent="0.2">
      <c r="B141" s="58" t="s">
        <v>104</v>
      </c>
      <c r="C141" s="58"/>
      <c r="D141" s="32"/>
      <c r="E141" s="57"/>
      <c r="F141" s="57"/>
      <c r="G141" s="27"/>
      <c r="H141" s="26"/>
      <c r="I141" s="58" t="s">
        <v>104</v>
      </c>
      <c r="J141" s="58"/>
      <c r="K141" s="58"/>
    </row>
    <row r="142" spans="2:11" x14ac:dyDescent="0.2">
      <c r="B142" s="57" t="s">
        <v>105</v>
      </c>
      <c r="C142" s="57"/>
      <c r="D142" s="33"/>
      <c r="E142" s="33"/>
      <c r="F142" s="33"/>
      <c r="G142" s="33"/>
      <c r="H142" s="33"/>
      <c r="I142" s="57" t="s">
        <v>106</v>
      </c>
      <c r="J142" s="57"/>
      <c r="K142" s="57"/>
    </row>
    <row r="143" spans="2:11" x14ac:dyDescent="0.2">
      <c r="B143" s="31"/>
      <c r="C143" s="31"/>
      <c r="D143" s="33"/>
      <c r="E143" s="33"/>
      <c r="F143" s="33"/>
      <c r="G143" s="33"/>
      <c r="H143" s="33"/>
      <c r="I143" s="31"/>
      <c r="J143" s="31"/>
      <c r="K143" s="34"/>
    </row>
    <row r="144" spans="2:11" ht="14.25" x14ac:dyDescent="0.2">
      <c r="B144" s="31"/>
      <c r="C144" s="31"/>
      <c r="D144" s="31"/>
      <c r="E144" s="31"/>
      <c r="F144" s="31"/>
      <c r="G144" s="31"/>
      <c r="H144" s="31"/>
      <c r="I144" s="31"/>
      <c r="J144" s="31"/>
      <c r="K144" s="34"/>
    </row>
    <row r="145" spans="2:11" ht="14.25" x14ac:dyDescent="0.2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x14ac:dyDescent="0.2">
      <c r="D149" s="31"/>
      <c r="E149" s="31"/>
      <c r="F149" s="31"/>
      <c r="G149" s="31"/>
      <c r="H149" s="31"/>
    </row>
    <row r="150" spans="2:11" x14ac:dyDescent="0.2">
      <c r="D150" s="31"/>
      <c r="E150" s="31"/>
      <c r="F150" s="31"/>
      <c r="G150" s="31"/>
      <c r="H150" s="31"/>
    </row>
    <row r="151" spans="2:11" x14ac:dyDescent="0.2">
      <c r="D151" s="31"/>
      <c r="E151" s="31"/>
      <c r="F151" s="31"/>
      <c r="G151" s="31"/>
      <c r="H151" s="31"/>
    </row>
    <row r="152" spans="2:11" x14ac:dyDescent="0.2">
      <c r="D152" s="31"/>
      <c r="E152" s="31"/>
      <c r="F152" s="31"/>
      <c r="G152" s="31"/>
      <c r="H152" s="31"/>
    </row>
    <row r="153" spans="2:11" x14ac:dyDescent="0.2">
      <c r="D153" s="31"/>
      <c r="E153" s="31"/>
      <c r="F153" s="31"/>
      <c r="G153" s="31"/>
      <c r="H153" s="31"/>
    </row>
    <row r="154" spans="2:11" x14ac:dyDescent="0.2">
      <c r="D154" s="31"/>
      <c r="E154" s="31"/>
      <c r="F154" s="31"/>
      <c r="G154" s="31"/>
      <c r="H154" s="31"/>
    </row>
    <row r="155" spans="2:11" x14ac:dyDescent="0.2">
      <c r="D155" s="31"/>
      <c r="E155" s="31"/>
      <c r="F155" s="31"/>
      <c r="G155" s="31"/>
      <c r="H155" s="31"/>
    </row>
    <row r="156" spans="2:11" x14ac:dyDescent="0.2">
      <c r="D156" s="31"/>
      <c r="E156" s="31"/>
      <c r="F156" s="31"/>
      <c r="G156" s="31"/>
      <c r="H156" s="31"/>
    </row>
    <row r="157" spans="2:11" x14ac:dyDescent="0.2">
      <c r="D157" s="31"/>
      <c r="E157" s="31"/>
      <c r="F157" s="31"/>
      <c r="G157" s="31"/>
      <c r="H157" s="31"/>
    </row>
    <row r="158" spans="2:11" x14ac:dyDescent="0.2">
      <c r="D158" s="31"/>
      <c r="E158" s="31"/>
      <c r="F158" s="31"/>
      <c r="G158" s="31"/>
      <c r="H158" s="31"/>
    </row>
    <row r="159" spans="2:11" x14ac:dyDescent="0.2">
      <c r="D159" s="31"/>
      <c r="E159" s="31"/>
      <c r="F159" s="31"/>
      <c r="G159" s="31"/>
      <c r="H159" s="31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A160"/>
  <sheetViews>
    <sheetView tabSelected="1" zoomScale="50" zoomScaleNormal="50" workbookViewId="0">
      <selection activeCell="X6" sqref="X6"/>
    </sheetView>
  </sheetViews>
  <sheetFormatPr defaultRowHeight="22.5" x14ac:dyDescent="0.25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10" style="51" hidden="1" customWidth="1"/>
    <col min="19" max="19" width="22.75" style="51" customWidth="1"/>
    <col min="20" max="24" width="9" style="51"/>
  </cols>
  <sheetData>
    <row r="1" spans="2:22" x14ac:dyDescent="0.25">
      <c r="B1" s="54" t="s">
        <v>137</v>
      </c>
      <c r="C1" s="54"/>
      <c r="D1" s="54"/>
      <c r="E1" s="54"/>
      <c r="F1" s="54"/>
      <c r="G1" s="54"/>
      <c r="H1" s="54"/>
      <c r="I1" s="54"/>
      <c r="J1" s="54"/>
      <c r="K1" s="54"/>
    </row>
    <row r="2" spans="2:22" x14ac:dyDescent="0.25">
      <c r="B2" s="55"/>
      <c r="C2" s="59"/>
      <c r="D2" s="1"/>
      <c r="E2" s="60"/>
      <c r="F2" s="60"/>
      <c r="G2" s="2"/>
      <c r="H2" s="2"/>
      <c r="I2" s="2"/>
      <c r="J2" s="2"/>
      <c r="K2" s="3" t="s">
        <v>0</v>
      </c>
      <c r="L2" s="62" t="s">
        <v>130</v>
      </c>
      <c r="M2" s="62" t="s">
        <v>127</v>
      </c>
      <c r="N2" s="62" t="s">
        <v>135</v>
      </c>
      <c r="O2" s="71" t="s">
        <v>136</v>
      </c>
      <c r="P2" s="65" t="s">
        <v>1</v>
      </c>
    </row>
    <row r="3" spans="2:22" x14ac:dyDescent="0.25">
      <c r="B3" s="55"/>
      <c r="C3" s="59"/>
      <c r="D3" s="4"/>
      <c r="E3" s="61"/>
      <c r="F3" s="61"/>
      <c r="G3" s="5"/>
      <c r="H3" s="5"/>
      <c r="I3" s="5"/>
      <c r="J3" s="48"/>
      <c r="K3" s="6" t="s">
        <v>2</v>
      </c>
      <c r="L3" s="63"/>
      <c r="M3" s="63"/>
      <c r="N3" s="63"/>
      <c r="O3" s="72"/>
      <c r="P3" s="66"/>
    </row>
    <row r="4" spans="2:2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9" t="s">
        <v>133</v>
      </c>
      <c r="K4" s="10" t="s">
        <v>10</v>
      </c>
      <c r="L4" s="64"/>
      <c r="M4" s="64"/>
      <c r="N4" s="64"/>
      <c r="O4" s="73"/>
      <c r="P4" s="67"/>
    </row>
    <row r="5" spans="2:22" x14ac:dyDescent="0.25">
      <c r="B5" s="11"/>
      <c r="C5" s="12"/>
      <c r="D5" s="13"/>
      <c r="E5" s="9"/>
      <c r="F5" s="9"/>
      <c r="G5" s="9"/>
      <c r="H5" s="9"/>
      <c r="I5" s="9"/>
      <c r="J5" s="49"/>
      <c r="K5" s="14"/>
      <c r="L5" s="11"/>
      <c r="M5" s="11"/>
      <c r="N5" s="11"/>
      <c r="O5" s="11"/>
      <c r="P5" s="29"/>
    </row>
    <row r="6" spans="2:22" ht="19.5" x14ac:dyDescent="0.25">
      <c r="B6" s="68" t="s">
        <v>11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2:22" x14ac:dyDescent="0.25">
      <c r="B7" s="11">
        <v>1111002</v>
      </c>
      <c r="C7" s="15" t="s">
        <v>107</v>
      </c>
      <c r="D7" s="30">
        <f>'เย็น 162'!D7+'เช้า 208'!D7</f>
        <v>9</v>
      </c>
      <c r="E7" s="30">
        <f>'เย็น 162'!E7+'เช้า 208'!E7</f>
        <v>24</v>
      </c>
      <c r="F7" s="30">
        <f>'เย็น 162'!F7+'เช้า 208'!F7</f>
        <v>167</v>
      </c>
      <c r="G7" s="30">
        <f>'เย็น 162'!G7+'เช้า 208'!G7</f>
        <v>1</v>
      </c>
      <c r="H7" s="30">
        <f>'เย็น 162'!H7+'เช้า 208'!H7</f>
        <v>0</v>
      </c>
      <c r="I7" s="30">
        <f>'เย็น 162'!I7+'เช้า 208'!I7</f>
        <v>0</v>
      </c>
      <c r="J7" s="30">
        <f>'เย็น 162'!J7+'เช้า 208'!J7</f>
        <v>0</v>
      </c>
      <c r="K7" s="36">
        <f>SUM(D7:J7)</f>
        <v>201</v>
      </c>
      <c r="L7" s="11"/>
      <c r="M7" s="11"/>
      <c r="N7" s="11"/>
      <c r="O7" s="11"/>
      <c r="P7" s="50">
        <f>(L7+M7+N7+O7)-K7</f>
        <v>-201</v>
      </c>
      <c r="T7" s="51">
        <v>35</v>
      </c>
      <c r="U7" s="51">
        <v>100</v>
      </c>
      <c r="V7" s="51">
        <v>65</v>
      </c>
    </row>
    <row r="8" spans="2:22" hidden="1" x14ac:dyDescent="0.25">
      <c r="B8" s="11"/>
      <c r="C8" s="15" t="s">
        <v>126</v>
      </c>
      <c r="D8" s="30">
        <f>'เย็น 162'!D8+'เช้า 208'!D8</f>
        <v>0</v>
      </c>
      <c r="E8" s="30">
        <f>'เย็น 162'!E8+'เช้า 208'!E8</f>
        <v>0</v>
      </c>
      <c r="F8" s="30">
        <f>'เย็น 162'!F8+'เช้า 208'!F8</f>
        <v>0</v>
      </c>
      <c r="G8" s="30">
        <f>'เย็น 162'!G8+'เช้า 208'!G8</f>
        <v>0</v>
      </c>
      <c r="H8" s="30">
        <f>'เย็น 162'!H8+'เช้า 208'!H8</f>
        <v>0</v>
      </c>
      <c r="I8" s="30">
        <f>'เย็น 162'!I8+'เช้า 208'!I8</f>
        <v>0</v>
      </c>
      <c r="J8" s="30">
        <f>'เย็น 162'!J8+'เช้า 208'!J8</f>
        <v>0</v>
      </c>
      <c r="K8" s="36">
        <f t="shared" ref="K8:K67" si="0">SUM(D8:J8)</f>
        <v>0</v>
      </c>
      <c r="L8" s="11"/>
      <c r="M8" s="11"/>
      <c r="N8" s="11"/>
      <c r="O8" s="11"/>
      <c r="P8" s="50">
        <f t="shared" ref="P8:P46" si="1">(L8+M8+N8+O8)-K8</f>
        <v>0</v>
      </c>
    </row>
    <row r="9" spans="2:22" hidden="1" x14ac:dyDescent="0.25">
      <c r="B9" s="11">
        <v>1111084</v>
      </c>
      <c r="C9" s="15" t="s">
        <v>12</v>
      </c>
      <c r="D9" s="30">
        <f>'เย็น 162'!D9+'เช้า 208'!D9</f>
        <v>0</v>
      </c>
      <c r="E9" s="30">
        <f>'เย็น 162'!E9+'เช้า 208'!E9</f>
        <v>0</v>
      </c>
      <c r="F9" s="30">
        <f>'เย็น 162'!F9+'เช้า 208'!F9</f>
        <v>0</v>
      </c>
      <c r="G9" s="30">
        <f>'เย็น 162'!G9+'เช้า 208'!G9</f>
        <v>0</v>
      </c>
      <c r="H9" s="30">
        <f>'เย็น 162'!H9+'เช้า 208'!H9</f>
        <v>0</v>
      </c>
      <c r="I9" s="30">
        <f>'เย็น 162'!I9+'เช้า 208'!I9</f>
        <v>0</v>
      </c>
      <c r="J9" s="30">
        <f>'เย็น 162'!J9+'เช้า 208'!J9</f>
        <v>0</v>
      </c>
      <c r="K9" s="36">
        <f t="shared" si="0"/>
        <v>0</v>
      </c>
      <c r="L9" s="11"/>
      <c r="M9" s="11"/>
      <c r="N9" s="11"/>
      <c r="O9" s="11"/>
      <c r="P9" s="50">
        <f t="shared" si="1"/>
        <v>0</v>
      </c>
    </row>
    <row r="10" spans="2:22" hidden="1" x14ac:dyDescent="0.25">
      <c r="B10" s="11">
        <v>1111085</v>
      </c>
      <c r="C10" s="15" t="s">
        <v>13</v>
      </c>
      <c r="D10" s="30">
        <f>'เย็น 162'!D10+'เช้า 208'!D10</f>
        <v>0</v>
      </c>
      <c r="E10" s="30">
        <f>'เย็น 162'!E10+'เช้า 208'!E10</f>
        <v>0</v>
      </c>
      <c r="F10" s="30">
        <f>'เย็น 162'!F10+'เช้า 208'!F10</f>
        <v>0</v>
      </c>
      <c r="G10" s="30">
        <f>'เย็น 162'!G10+'เช้า 208'!G10</f>
        <v>0</v>
      </c>
      <c r="H10" s="30">
        <f>'เย็น 162'!H10+'เช้า 208'!H10</f>
        <v>0</v>
      </c>
      <c r="I10" s="30">
        <f>'เย็น 162'!I10+'เช้า 208'!I10</f>
        <v>0</v>
      </c>
      <c r="J10" s="30">
        <f>'เย็น 162'!J10+'เช้า 208'!J10</f>
        <v>0</v>
      </c>
      <c r="K10" s="36">
        <f t="shared" si="0"/>
        <v>0</v>
      </c>
      <c r="L10" s="11"/>
      <c r="M10" s="11"/>
      <c r="N10" s="11"/>
      <c r="O10" s="11"/>
      <c r="P10" s="50">
        <f t="shared" si="1"/>
        <v>0</v>
      </c>
    </row>
    <row r="11" spans="2:22" hidden="1" x14ac:dyDescent="0.25">
      <c r="B11" s="11">
        <v>1111086</v>
      </c>
      <c r="C11" s="15" t="s">
        <v>14</v>
      </c>
      <c r="D11" s="30">
        <f>'เย็น 162'!D11+'เช้า 208'!D11</f>
        <v>0</v>
      </c>
      <c r="E11" s="30">
        <f>'เย็น 162'!E11+'เช้า 208'!E11</f>
        <v>0</v>
      </c>
      <c r="F11" s="30">
        <f>'เย็น 162'!F11+'เช้า 208'!F11</f>
        <v>0</v>
      </c>
      <c r="G11" s="30">
        <f>'เย็น 162'!G11+'เช้า 208'!G11</f>
        <v>0</v>
      </c>
      <c r="H11" s="30">
        <f>'เย็น 162'!H11+'เช้า 208'!H11</f>
        <v>0</v>
      </c>
      <c r="I11" s="30">
        <f>'เย็น 162'!I11+'เช้า 208'!I11</f>
        <v>0</v>
      </c>
      <c r="J11" s="30">
        <f>'เย็น 162'!J11+'เช้า 208'!J11</f>
        <v>0</v>
      </c>
      <c r="K11" s="36">
        <f t="shared" si="0"/>
        <v>0</v>
      </c>
      <c r="L11" s="11"/>
      <c r="M11" s="11"/>
      <c r="N11" s="11"/>
      <c r="O11" s="11"/>
      <c r="P11" s="50">
        <f t="shared" si="1"/>
        <v>0</v>
      </c>
    </row>
    <row r="12" spans="2:22" hidden="1" x14ac:dyDescent="0.25">
      <c r="B12" s="11">
        <v>1111087</v>
      </c>
      <c r="C12" s="15" t="s">
        <v>15</v>
      </c>
      <c r="D12" s="30">
        <f>'เย็น 162'!D12+'เช้า 208'!D12</f>
        <v>0</v>
      </c>
      <c r="E12" s="30">
        <f>'เย็น 162'!E12+'เช้า 208'!E12</f>
        <v>0</v>
      </c>
      <c r="F12" s="30">
        <f>'เย็น 162'!F12+'เช้า 208'!F12</f>
        <v>0</v>
      </c>
      <c r="G12" s="30">
        <f>'เย็น 162'!G12+'เช้า 208'!G12</f>
        <v>0</v>
      </c>
      <c r="H12" s="30">
        <f>'เย็น 162'!H12+'เช้า 208'!H12</f>
        <v>0</v>
      </c>
      <c r="I12" s="30">
        <f>'เย็น 162'!I12+'เช้า 208'!I12</f>
        <v>0</v>
      </c>
      <c r="J12" s="30">
        <f>'เย็น 162'!J12+'เช้า 208'!J12</f>
        <v>0</v>
      </c>
      <c r="K12" s="36">
        <f t="shared" si="0"/>
        <v>0</v>
      </c>
      <c r="L12" s="11"/>
      <c r="M12" s="11"/>
      <c r="N12" s="11"/>
      <c r="O12" s="11"/>
      <c r="P12" s="50">
        <f t="shared" si="1"/>
        <v>0</v>
      </c>
    </row>
    <row r="13" spans="2:22" hidden="1" x14ac:dyDescent="0.25">
      <c r="B13" s="11">
        <v>1111088</v>
      </c>
      <c r="C13" s="15" t="s">
        <v>16</v>
      </c>
      <c r="D13" s="30">
        <f>'เย็น 162'!D13+'เช้า 208'!D13</f>
        <v>0</v>
      </c>
      <c r="E13" s="30">
        <f>'เย็น 162'!E13+'เช้า 208'!E13</f>
        <v>0</v>
      </c>
      <c r="F13" s="30">
        <f>'เย็น 162'!F13+'เช้า 208'!F13</f>
        <v>0</v>
      </c>
      <c r="G13" s="30">
        <f>'เย็น 162'!G13+'เช้า 208'!G13</f>
        <v>0</v>
      </c>
      <c r="H13" s="30">
        <f>'เย็น 162'!H13+'เช้า 208'!H13</f>
        <v>0</v>
      </c>
      <c r="I13" s="30">
        <f>'เย็น 162'!I13+'เช้า 208'!I13</f>
        <v>0</v>
      </c>
      <c r="J13" s="30">
        <f>'เย็น 162'!J13+'เช้า 208'!J13</f>
        <v>0</v>
      </c>
      <c r="K13" s="36">
        <f t="shared" si="0"/>
        <v>0</v>
      </c>
      <c r="L13" s="11"/>
      <c r="M13" s="11"/>
      <c r="N13" s="11"/>
      <c r="O13" s="11"/>
      <c r="P13" s="50">
        <f t="shared" si="1"/>
        <v>0</v>
      </c>
    </row>
    <row r="14" spans="2:22" hidden="1" x14ac:dyDescent="0.25">
      <c r="B14" s="11">
        <v>1111089</v>
      </c>
      <c r="C14" s="15" t="s">
        <v>17</v>
      </c>
      <c r="D14" s="30">
        <f>'เย็น 162'!D14+'เช้า 208'!D14</f>
        <v>0</v>
      </c>
      <c r="E14" s="30">
        <f>'เย็น 162'!E14+'เช้า 208'!E14</f>
        <v>0</v>
      </c>
      <c r="F14" s="30">
        <f>'เย็น 162'!F14+'เช้า 208'!F14</f>
        <v>0</v>
      </c>
      <c r="G14" s="30">
        <f>'เย็น 162'!G14+'เช้า 208'!G14</f>
        <v>0</v>
      </c>
      <c r="H14" s="30">
        <f>'เย็น 162'!H14+'เช้า 208'!H14</f>
        <v>0</v>
      </c>
      <c r="I14" s="30">
        <f>'เย็น 162'!I14+'เช้า 208'!I14</f>
        <v>0</v>
      </c>
      <c r="J14" s="30">
        <f>'เย็น 162'!J14+'เช้า 208'!J14</f>
        <v>0</v>
      </c>
      <c r="K14" s="36">
        <f t="shared" si="0"/>
        <v>0</v>
      </c>
      <c r="L14" s="11"/>
      <c r="M14" s="11"/>
      <c r="N14" s="11"/>
      <c r="O14" s="11"/>
      <c r="P14" s="50">
        <f t="shared" si="1"/>
        <v>0</v>
      </c>
    </row>
    <row r="15" spans="2:22" hidden="1" x14ac:dyDescent="0.25">
      <c r="B15" s="11">
        <v>1111090</v>
      </c>
      <c r="C15" s="15" t="s">
        <v>18</v>
      </c>
      <c r="D15" s="30">
        <f>'เย็น 162'!D15+'เช้า 208'!D15</f>
        <v>0</v>
      </c>
      <c r="E15" s="30">
        <f>'เย็น 162'!E15+'เช้า 208'!E15</f>
        <v>0</v>
      </c>
      <c r="F15" s="30">
        <f>'เย็น 162'!F15+'เช้า 208'!F15</f>
        <v>0</v>
      </c>
      <c r="G15" s="30">
        <f>'เย็น 162'!G15+'เช้า 208'!G15</f>
        <v>0</v>
      </c>
      <c r="H15" s="30">
        <f>'เย็น 162'!H15+'เช้า 208'!H15</f>
        <v>0</v>
      </c>
      <c r="I15" s="30">
        <f>'เย็น 162'!I15+'เช้า 208'!I15</f>
        <v>0</v>
      </c>
      <c r="J15" s="30">
        <f>'เย็น 162'!J15+'เช้า 208'!J15</f>
        <v>0</v>
      </c>
      <c r="K15" s="36">
        <f t="shared" si="0"/>
        <v>0</v>
      </c>
      <c r="L15" s="11"/>
      <c r="M15" s="11"/>
      <c r="N15" s="11"/>
      <c r="O15" s="11"/>
      <c r="P15" s="50">
        <f t="shared" si="1"/>
        <v>0</v>
      </c>
    </row>
    <row r="16" spans="2:22" hidden="1" x14ac:dyDescent="0.25">
      <c r="B16" s="11">
        <v>1111091</v>
      </c>
      <c r="C16" s="15" t="s">
        <v>19</v>
      </c>
      <c r="D16" s="30">
        <f>'เย็น 162'!D16+'เช้า 208'!D16</f>
        <v>0</v>
      </c>
      <c r="E16" s="30">
        <f>'เย็น 162'!E16+'เช้า 208'!E16</f>
        <v>0</v>
      </c>
      <c r="F16" s="30">
        <f>'เย็น 162'!F16+'เช้า 208'!F16</f>
        <v>0</v>
      </c>
      <c r="G16" s="30">
        <f>'เย็น 162'!G16+'เช้า 208'!G16</f>
        <v>0</v>
      </c>
      <c r="H16" s="30">
        <f>'เย็น 162'!H16+'เช้า 208'!H16</f>
        <v>0</v>
      </c>
      <c r="I16" s="30">
        <f>'เย็น 162'!I16+'เช้า 208'!I16</f>
        <v>0</v>
      </c>
      <c r="J16" s="30">
        <f>'เย็น 162'!J16+'เช้า 208'!J16</f>
        <v>0</v>
      </c>
      <c r="K16" s="36">
        <f t="shared" si="0"/>
        <v>0</v>
      </c>
      <c r="L16" s="11"/>
      <c r="M16" s="11"/>
      <c r="N16" s="11"/>
      <c r="O16" s="11"/>
      <c r="P16" s="50">
        <f t="shared" si="1"/>
        <v>0</v>
      </c>
    </row>
    <row r="17" spans="2:23" hidden="1" x14ac:dyDescent="0.25">
      <c r="B17" s="11">
        <v>1111092</v>
      </c>
      <c r="C17" s="15" t="s">
        <v>20</v>
      </c>
      <c r="D17" s="30">
        <f>'เย็น 162'!D17+'เช้า 208'!D17</f>
        <v>0</v>
      </c>
      <c r="E17" s="30">
        <f>'เย็น 162'!E17+'เช้า 208'!E17</f>
        <v>0</v>
      </c>
      <c r="F17" s="30">
        <f>'เย็น 162'!F17+'เช้า 208'!F17</f>
        <v>0</v>
      </c>
      <c r="G17" s="30">
        <f>'เย็น 162'!G17+'เช้า 208'!G17</f>
        <v>0</v>
      </c>
      <c r="H17" s="30">
        <f>'เย็น 162'!H17+'เช้า 208'!H17</f>
        <v>0</v>
      </c>
      <c r="I17" s="30">
        <f>'เย็น 162'!I17+'เช้า 208'!I17</f>
        <v>0</v>
      </c>
      <c r="J17" s="30">
        <f>'เย็น 162'!J17+'เช้า 208'!J17</f>
        <v>0</v>
      </c>
      <c r="K17" s="36">
        <f t="shared" si="0"/>
        <v>0</v>
      </c>
      <c r="L17" s="11"/>
      <c r="M17" s="11"/>
      <c r="N17" s="11"/>
      <c r="O17" s="11"/>
      <c r="P17" s="50">
        <f t="shared" si="1"/>
        <v>0</v>
      </c>
    </row>
    <row r="18" spans="2:23" hidden="1" x14ac:dyDescent="0.25">
      <c r="B18" s="11">
        <v>1111093</v>
      </c>
      <c r="C18" s="15" t="s">
        <v>21</v>
      </c>
      <c r="D18" s="30">
        <f>'เย็น 162'!D18+'เช้า 208'!D18</f>
        <v>0</v>
      </c>
      <c r="E18" s="30">
        <f>'เย็น 162'!E18+'เช้า 208'!E18</f>
        <v>0</v>
      </c>
      <c r="F18" s="30">
        <f>'เย็น 162'!F18+'เช้า 208'!F18</f>
        <v>0</v>
      </c>
      <c r="G18" s="30">
        <f>'เย็น 162'!G18+'เช้า 208'!G18</f>
        <v>0</v>
      </c>
      <c r="H18" s="30">
        <f>'เย็น 162'!H18+'เช้า 208'!H18</f>
        <v>0</v>
      </c>
      <c r="I18" s="30">
        <f>'เย็น 162'!I18+'เช้า 208'!I18</f>
        <v>0</v>
      </c>
      <c r="J18" s="30">
        <f>'เย็น 162'!J18+'เช้า 208'!J18</f>
        <v>0</v>
      </c>
      <c r="K18" s="36">
        <f t="shared" si="0"/>
        <v>0</v>
      </c>
      <c r="L18" s="11"/>
      <c r="M18" s="11"/>
      <c r="N18" s="11"/>
      <c r="O18" s="11"/>
      <c r="P18" s="50">
        <f t="shared" si="1"/>
        <v>0</v>
      </c>
    </row>
    <row r="19" spans="2:23" hidden="1" x14ac:dyDescent="0.25">
      <c r="B19" s="11">
        <v>1111094</v>
      </c>
      <c r="C19" s="15" t="s">
        <v>22</v>
      </c>
      <c r="D19" s="30">
        <f>'เย็น 162'!D19+'เช้า 208'!D19</f>
        <v>0</v>
      </c>
      <c r="E19" s="30">
        <f>'เย็น 162'!E19+'เช้า 208'!E19</f>
        <v>0</v>
      </c>
      <c r="F19" s="30">
        <f>'เย็น 162'!F19+'เช้า 208'!F19</f>
        <v>0</v>
      </c>
      <c r="G19" s="30">
        <f>'เย็น 162'!G19+'เช้า 208'!G19</f>
        <v>0</v>
      </c>
      <c r="H19" s="30">
        <f>'เย็น 162'!H19+'เช้า 208'!H19</f>
        <v>0</v>
      </c>
      <c r="I19" s="30">
        <f>'เย็น 162'!I19+'เช้า 208'!I19</f>
        <v>0</v>
      </c>
      <c r="J19" s="30">
        <f>'เย็น 162'!J19+'เช้า 208'!J19</f>
        <v>0</v>
      </c>
      <c r="K19" s="36">
        <f t="shared" si="0"/>
        <v>0</v>
      </c>
      <c r="L19" s="11"/>
      <c r="M19" s="11"/>
      <c r="N19" s="11"/>
      <c r="O19" s="11"/>
      <c r="P19" s="50">
        <f t="shared" si="1"/>
        <v>0</v>
      </c>
    </row>
    <row r="20" spans="2:23" hidden="1" x14ac:dyDescent="0.25">
      <c r="B20" s="11">
        <v>1111095</v>
      </c>
      <c r="C20" s="15" t="s">
        <v>23</v>
      </c>
      <c r="D20" s="30">
        <f>'เย็น 162'!D20+'เช้า 208'!D20</f>
        <v>0</v>
      </c>
      <c r="E20" s="30">
        <f>'เย็น 162'!E20+'เช้า 208'!E20</f>
        <v>0</v>
      </c>
      <c r="F20" s="30">
        <f>'เย็น 162'!F20+'เช้า 208'!F20</f>
        <v>0</v>
      </c>
      <c r="G20" s="30">
        <f>'เย็น 162'!G20+'เช้า 208'!G20</f>
        <v>0</v>
      </c>
      <c r="H20" s="30">
        <f>'เย็น 162'!H20+'เช้า 208'!H20</f>
        <v>0</v>
      </c>
      <c r="I20" s="30">
        <f>'เย็น 162'!I20+'เช้า 208'!I20</f>
        <v>0</v>
      </c>
      <c r="J20" s="30">
        <f>'เย็น 162'!J20+'เช้า 208'!J20</f>
        <v>0</v>
      </c>
      <c r="K20" s="36">
        <f t="shared" si="0"/>
        <v>0</v>
      </c>
      <c r="L20" s="11"/>
      <c r="M20" s="11"/>
      <c r="N20" s="11"/>
      <c r="O20" s="11"/>
      <c r="P20" s="50">
        <f t="shared" si="1"/>
        <v>0</v>
      </c>
    </row>
    <row r="21" spans="2:23" hidden="1" x14ac:dyDescent="0.25">
      <c r="B21" s="11">
        <v>1111096</v>
      </c>
      <c r="C21" s="15" t="s">
        <v>24</v>
      </c>
      <c r="D21" s="30">
        <f>'เย็น 162'!D21+'เช้า 208'!D21</f>
        <v>0</v>
      </c>
      <c r="E21" s="30">
        <f>'เย็น 162'!E21+'เช้า 208'!E21</f>
        <v>0</v>
      </c>
      <c r="F21" s="30">
        <f>'เย็น 162'!F21+'เช้า 208'!F21</f>
        <v>0</v>
      </c>
      <c r="G21" s="30">
        <f>'เย็น 162'!G21+'เช้า 208'!G21</f>
        <v>0</v>
      </c>
      <c r="H21" s="30">
        <f>'เย็น 162'!H21+'เช้า 208'!H21</f>
        <v>0</v>
      </c>
      <c r="I21" s="30">
        <f>'เย็น 162'!I21+'เช้า 208'!I21</f>
        <v>0</v>
      </c>
      <c r="J21" s="30">
        <f>'เย็น 162'!J21+'เช้า 208'!J21</f>
        <v>0</v>
      </c>
      <c r="K21" s="36">
        <f t="shared" si="0"/>
        <v>0</v>
      </c>
      <c r="L21" s="11"/>
      <c r="M21" s="11"/>
      <c r="N21" s="11"/>
      <c r="O21" s="11"/>
      <c r="P21" s="50">
        <f t="shared" si="1"/>
        <v>0</v>
      </c>
    </row>
    <row r="22" spans="2:23" hidden="1" x14ac:dyDescent="0.25">
      <c r="B22" s="11">
        <v>1111097</v>
      </c>
      <c r="C22" s="15" t="s">
        <v>25</v>
      </c>
      <c r="D22" s="30">
        <f>'เย็น 162'!D22+'เช้า 208'!D22</f>
        <v>0</v>
      </c>
      <c r="E22" s="30">
        <f>'เย็น 162'!E22+'เช้า 208'!E22</f>
        <v>0</v>
      </c>
      <c r="F22" s="30">
        <f>'เย็น 162'!F22+'เช้า 208'!F22</f>
        <v>0</v>
      </c>
      <c r="G22" s="30">
        <f>'เย็น 162'!G22+'เช้า 208'!G22</f>
        <v>0</v>
      </c>
      <c r="H22" s="30">
        <f>'เย็น 162'!H22+'เช้า 208'!H22</f>
        <v>0</v>
      </c>
      <c r="I22" s="30">
        <f>'เย็น 162'!I22+'เช้า 208'!I22</f>
        <v>0</v>
      </c>
      <c r="J22" s="30">
        <f>'เย็น 162'!J22+'เช้า 208'!J22</f>
        <v>0</v>
      </c>
      <c r="K22" s="36">
        <f t="shared" si="0"/>
        <v>0</v>
      </c>
      <c r="L22" s="11"/>
      <c r="M22" s="11"/>
      <c r="N22" s="11"/>
      <c r="O22" s="11"/>
      <c r="P22" s="50">
        <f t="shared" si="1"/>
        <v>0</v>
      </c>
    </row>
    <row r="23" spans="2:23" hidden="1" x14ac:dyDescent="0.25">
      <c r="B23" s="11">
        <v>1111098</v>
      </c>
      <c r="C23" s="15" t="s">
        <v>26</v>
      </c>
      <c r="D23" s="30">
        <f>'เย็น 162'!D23+'เช้า 208'!D23</f>
        <v>0</v>
      </c>
      <c r="E23" s="30">
        <f>'เย็น 162'!E23+'เช้า 208'!E23</f>
        <v>0</v>
      </c>
      <c r="F23" s="30">
        <f>'เย็น 162'!F23+'เช้า 208'!F23</f>
        <v>0</v>
      </c>
      <c r="G23" s="30">
        <f>'เย็น 162'!G23+'เช้า 208'!G23</f>
        <v>0</v>
      </c>
      <c r="H23" s="30">
        <f>'เย็น 162'!H23+'เช้า 208'!H23</f>
        <v>0</v>
      </c>
      <c r="I23" s="30">
        <f>'เย็น 162'!I23+'เช้า 208'!I23</f>
        <v>0</v>
      </c>
      <c r="J23" s="30">
        <f>'เย็น 162'!J23+'เช้า 208'!J23</f>
        <v>0</v>
      </c>
      <c r="K23" s="36">
        <f t="shared" si="0"/>
        <v>0</v>
      </c>
      <c r="L23" s="11"/>
      <c r="M23" s="11"/>
      <c r="N23" s="11"/>
      <c r="O23" s="11"/>
      <c r="P23" s="50">
        <f t="shared" si="1"/>
        <v>0</v>
      </c>
    </row>
    <row r="24" spans="2:23" hidden="1" x14ac:dyDescent="0.25">
      <c r="B24" s="11">
        <v>1111043</v>
      </c>
      <c r="C24" s="15" t="s">
        <v>27</v>
      </c>
      <c r="D24" s="30">
        <f>'เย็น 162'!D24+'เช้า 208'!D24</f>
        <v>0</v>
      </c>
      <c r="E24" s="30">
        <f>'เย็น 162'!E24+'เช้า 208'!E24</f>
        <v>0</v>
      </c>
      <c r="F24" s="30">
        <f>'เย็น 162'!F24+'เช้า 208'!F24</f>
        <v>0</v>
      </c>
      <c r="G24" s="30">
        <f>'เย็น 162'!G24+'เช้า 208'!G24</f>
        <v>0</v>
      </c>
      <c r="H24" s="30">
        <f>'เย็น 162'!H24+'เช้า 208'!H24</f>
        <v>0</v>
      </c>
      <c r="I24" s="30">
        <f>'เย็น 162'!I24+'เช้า 208'!I24</f>
        <v>0</v>
      </c>
      <c r="J24" s="30">
        <f>'เย็น 162'!J24+'เช้า 208'!J24</f>
        <v>0</v>
      </c>
      <c r="K24" s="36">
        <f t="shared" si="0"/>
        <v>0</v>
      </c>
      <c r="L24" s="11"/>
      <c r="M24" s="11"/>
      <c r="N24" s="11"/>
      <c r="O24" s="11"/>
      <c r="P24" s="50">
        <f t="shared" si="1"/>
        <v>0</v>
      </c>
    </row>
    <row r="25" spans="2:23" x14ac:dyDescent="0.25">
      <c r="B25" s="11">
        <v>1111056</v>
      </c>
      <c r="C25" s="15" t="s">
        <v>28</v>
      </c>
      <c r="D25" s="30">
        <f>'เย็น 162'!D25+'เช้า 208'!D25</f>
        <v>7</v>
      </c>
      <c r="E25" s="30">
        <f>'เย็น 162'!E25+'เช้า 208'!E25</f>
        <v>3</v>
      </c>
      <c r="F25" s="30">
        <f>'เย็น 162'!F25+'เช้า 208'!F25</f>
        <v>11</v>
      </c>
      <c r="G25" s="30">
        <f>'เย็น 162'!G25+'เช้า 208'!G25</f>
        <v>3</v>
      </c>
      <c r="H25" s="30">
        <f>'เย็น 162'!H25+'เช้า 208'!H25</f>
        <v>0</v>
      </c>
      <c r="I25" s="30">
        <f>'เย็น 162'!I25+'เช้า 208'!I25</f>
        <v>0</v>
      </c>
      <c r="J25" s="30">
        <f>'เย็น 162'!J25+'เช้า 208'!J25</f>
        <v>0</v>
      </c>
      <c r="K25" s="36">
        <f t="shared" si="0"/>
        <v>24</v>
      </c>
      <c r="L25" s="11"/>
      <c r="M25" s="11"/>
      <c r="N25" s="11"/>
      <c r="O25" s="11"/>
      <c r="P25" s="50">
        <f t="shared" si="1"/>
        <v>-24</v>
      </c>
    </row>
    <row r="26" spans="2:23" x14ac:dyDescent="0.25">
      <c r="B26" s="11">
        <v>1004055</v>
      </c>
      <c r="C26" s="15" t="s">
        <v>108</v>
      </c>
      <c r="D26" s="30">
        <f>'เย็น 162'!D26+'เช้า 208'!D26</f>
        <v>1</v>
      </c>
      <c r="E26" s="30">
        <f>'เย็น 162'!E26+'เช้า 208'!E26</f>
        <v>6</v>
      </c>
      <c r="F26" s="30">
        <f>'เย็น 162'!F26+'เช้า 208'!F26</f>
        <v>4</v>
      </c>
      <c r="G26" s="30">
        <f>'เย็น 162'!G26+'เช้า 208'!G26</f>
        <v>69</v>
      </c>
      <c r="H26" s="30">
        <f>'เย็น 162'!H26+'เช้า 208'!H26</f>
        <v>0</v>
      </c>
      <c r="I26" s="30">
        <f>'เย็น 162'!I26+'เช้า 208'!I26</f>
        <v>0</v>
      </c>
      <c r="J26" s="30">
        <f>'เย็น 162'!J26+'เช้า 208'!J26</f>
        <v>0</v>
      </c>
      <c r="K26" s="36">
        <f t="shared" si="0"/>
        <v>80</v>
      </c>
      <c r="L26" s="11"/>
      <c r="M26" s="11"/>
      <c r="N26" s="11"/>
      <c r="O26" s="11"/>
      <c r="P26" s="50">
        <f t="shared" si="1"/>
        <v>-80</v>
      </c>
      <c r="U26" s="51">
        <v>156</v>
      </c>
      <c r="V26" s="51">
        <v>200</v>
      </c>
      <c r="W26" s="51">
        <f>U26+V26-56</f>
        <v>300</v>
      </c>
    </row>
    <row r="27" spans="2:23" hidden="1" x14ac:dyDescent="0.25">
      <c r="B27" s="11">
        <v>1004055</v>
      </c>
      <c r="C27" s="15" t="s">
        <v>109</v>
      </c>
      <c r="D27" s="30">
        <f>'เย็น 162'!D27+'เช้า 208'!D27</f>
        <v>0</v>
      </c>
      <c r="E27" s="30">
        <f>'เย็น 162'!E27+'เช้า 208'!E27</f>
        <v>0</v>
      </c>
      <c r="F27" s="30">
        <f>'เย็น 162'!F27+'เช้า 208'!F27</f>
        <v>0</v>
      </c>
      <c r="G27" s="30">
        <f>'เย็น 162'!G27+'เช้า 208'!G27</f>
        <v>0</v>
      </c>
      <c r="H27" s="30">
        <f>'เย็น 162'!H27+'เช้า 208'!H27</f>
        <v>0</v>
      </c>
      <c r="I27" s="30">
        <f>'เย็น 162'!I27+'เช้า 208'!I27</f>
        <v>0</v>
      </c>
      <c r="J27" s="30">
        <f>'เย็น 162'!J27+'เช้า 208'!J27</f>
        <v>0</v>
      </c>
      <c r="K27" s="36">
        <f t="shared" si="0"/>
        <v>0</v>
      </c>
      <c r="L27" s="11"/>
      <c r="M27" s="11"/>
      <c r="N27" s="11"/>
      <c r="O27" s="11"/>
      <c r="P27" s="50">
        <f t="shared" si="1"/>
        <v>0</v>
      </c>
    </row>
    <row r="28" spans="2:23" hidden="1" x14ac:dyDescent="0.25">
      <c r="B28" s="11">
        <v>1004055</v>
      </c>
      <c r="C28" s="15" t="s">
        <v>110</v>
      </c>
      <c r="D28" s="30">
        <f>'เย็น 162'!D28+'เช้า 208'!D28</f>
        <v>0</v>
      </c>
      <c r="E28" s="30">
        <f>'เย็น 162'!E28+'เช้า 208'!E28</f>
        <v>0</v>
      </c>
      <c r="F28" s="30">
        <f>'เย็น 162'!F28+'เช้า 208'!F28</f>
        <v>0</v>
      </c>
      <c r="G28" s="30">
        <f>'เย็น 162'!G28+'เช้า 208'!G28</f>
        <v>0</v>
      </c>
      <c r="H28" s="30">
        <f>'เย็น 162'!H28+'เช้า 208'!H28</f>
        <v>0</v>
      </c>
      <c r="I28" s="30">
        <f>'เย็น 162'!I28+'เช้า 208'!I28</f>
        <v>0</v>
      </c>
      <c r="J28" s="30">
        <f>'เย็น 162'!J28+'เช้า 208'!J28</f>
        <v>0</v>
      </c>
      <c r="K28" s="36">
        <f t="shared" si="0"/>
        <v>0</v>
      </c>
      <c r="L28" s="11"/>
      <c r="M28" s="11"/>
      <c r="N28" s="11"/>
      <c r="O28" s="11"/>
      <c r="P28" s="50">
        <f t="shared" si="1"/>
        <v>0</v>
      </c>
    </row>
    <row r="29" spans="2:23" hidden="1" x14ac:dyDescent="0.25">
      <c r="B29" s="11">
        <v>1004055</v>
      </c>
      <c r="C29" s="15" t="s">
        <v>111</v>
      </c>
      <c r="D29" s="30">
        <f>'เย็น 162'!D29+'เช้า 208'!D29</f>
        <v>0</v>
      </c>
      <c r="E29" s="30">
        <f>'เย็น 162'!E29+'เช้า 208'!E29</f>
        <v>0</v>
      </c>
      <c r="F29" s="30">
        <f>'เย็น 162'!F29+'เช้า 208'!F29</f>
        <v>0</v>
      </c>
      <c r="G29" s="30">
        <f>'เย็น 162'!G29+'เช้า 208'!G29</f>
        <v>0</v>
      </c>
      <c r="H29" s="30">
        <f>'เย็น 162'!H29+'เช้า 208'!H29</f>
        <v>0</v>
      </c>
      <c r="I29" s="30">
        <f>'เย็น 162'!I29+'เช้า 208'!I29</f>
        <v>0</v>
      </c>
      <c r="J29" s="30">
        <f>'เย็น 162'!J29+'เช้า 208'!J29</f>
        <v>0</v>
      </c>
      <c r="K29" s="36">
        <f t="shared" si="0"/>
        <v>0</v>
      </c>
      <c r="L29" s="11"/>
      <c r="M29" s="11"/>
      <c r="N29" s="11"/>
      <c r="O29" s="11"/>
      <c r="P29" s="50">
        <f t="shared" si="1"/>
        <v>0</v>
      </c>
    </row>
    <row r="30" spans="2:23" hidden="1" x14ac:dyDescent="0.25">
      <c r="B30" s="11">
        <v>1004055</v>
      </c>
      <c r="C30" s="15" t="s">
        <v>112</v>
      </c>
      <c r="D30" s="30">
        <f>'เย็น 162'!D30+'เช้า 208'!D30</f>
        <v>0</v>
      </c>
      <c r="E30" s="30">
        <f>'เย็น 162'!E30+'เช้า 208'!E30</f>
        <v>0</v>
      </c>
      <c r="F30" s="30">
        <f>'เย็น 162'!F30+'เช้า 208'!F30</f>
        <v>0</v>
      </c>
      <c r="G30" s="30">
        <f>'เย็น 162'!G30+'เช้า 208'!G30</f>
        <v>0</v>
      </c>
      <c r="H30" s="30">
        <f>'เย็น 162'!H30+'เช้า 208'!H30</f>
        <v>0</v>
      </c>
      <c r="I30" s="30">
        <f>'เย็น 162'!I30+'เช้า 208'!I30</f>
        <v>0</v>
      </c>
      <c r="J30" s="30">
        <f>'เย็น 162'!J30+'เช้า 208'!J30</f>
        <v>0</v>
      </c>
      <c r="K30" s="36">
        <f t="shared" si="0"/>
        <v>0</v>
      </c>
      <c r="L30" s="11"/>
      <c r="M30" s="11"/>
      <c r="N30" s="11"/>
      <c r="O30" s="11"/>
      <c r="P30" s="50">
        <f t="shared" si="1"/>
        <v>0</v>
      </c>
    </row>
    <row r="31" spans="2:23" hidden="1" x14ac:dyDescent="0.25">
      <c r="B31" s="11">
        <v>1004055</v>
      </c>
      <c r="C31" s="15" t="s">
        <v>113</v>
      </c>
      <c r="D31" s="30">
        <f>'เย็น 162'!D31+'เช้า 208'!D31</f>
        <v>0</v>
      </c>
      <c r="E31" s="30">
        <f>'เย็น 162'!E31+'เช้า 208'!E31</f>
        <v>0</v>
      </c>
      <c r="F31" s="30">
        <f>'เย็น 162'!F31+'เช้า 208'!F31</f>
        <v>0</v>
      </c>
      <c r="G31" s="30">
        <f>'เย็น 162'!G31+'เช้า 208'!G31</f>
        <v>0</v>
      </c>
      <c r="H31" s="30">
        <f>'เย็น 162'!H31+'เช้า 208'!H31</f>
        <v>0</v>
      </c>
      <c r="I31" s="30">
        <f>'เย็น 162'!I31+'เช้า 208'!I31</f>
        <v>0</v>
      </c>
      <c r="J31" s="30">
        <f>'เย็น 162'!J31+'เช้า 208'!J31</f>
        <v>0</v>
      </c>
      <c r="K31" s="36">
        <f t="shared" si="0"/>
        <v>0</v>
      </c>
      <c r="L31" s="11"/>
      <c r="M31" s="11"/>
      <c r="N31" s="11"/>
      <c r="O31" s="11"/>
      <c r="P31" s="50">
        <f t="shared" si="1"/>
        <v>0</v>
      </c>
    </row>
    <row r="32" spans="2:23" hidden="1" x14ac:dyDescent="0.25">
      <c r="B32" s="11">
        <v>1004055</v>
      </c>
      <c r="C32" s="15" t="s">
        <v>114</v>
      </c>
      <c r="D32" s="30">
        <f>'เย็น 162'!D32+'เช้า 208'!D32</f>
        <v>0</v>
      </c>
      <c r="E32" s="30">
        <f>'เย็น 162'!E32+'เช้า 208'!E32</f>
        <v>0</v>
      </c>
      <c r="F32" s="30">
        <f>'เย็น 162'!F32+'เช้า 208'!F32</f>
        <v>0</v>
      </c>
      <c r="G32" s="30">
        <f>'เย็น 162'!G32+'เช้า 208'!G32</f>
        <v>0</v>
      </c>
      <c r="H32" s="30">
        <f>'เย็น 162'!H32+'เช้า 208'!H32</f>
        <v>0</v>
      </c>
      <c r="I32" s="30">
        <f>'เย็น 162'!I32+'เช้า 208'!I32</f>
        <v>0</v>
      </c>
      <c r="J32" s="30">
        <f>'เย็น 162'!J32+'เช้า 208'!J32</f>
        <v>0</v>
      </c>
      <c r="K32" s="36">
        <f t="shared" si="0"/>
        <v>0</v>
      </c>
      <c r="L32" s="11"/>
      <c r="M32" s="11"/>
      <c r="N32" s="11"/>
      <c r="O32" s="11"/>
      <c r="P32" s="50">
        <f t="shared" si="1"/>
        <v>0</v>
      </c>
    </row>
    <row r="33" spans="2:16" hidden="1" x14ac:dyDescent="0.25">
      <c r="B33" s="11">
        <v>1004055</v>
      </c>
      <c r="C33" s="15" t="s">
        <v>115</v>
      </c>
      <c r="D33" s="30">
        <f>'เย็น 162'!D33+'เช้า 208'!D33</f>
        <v>0</v>
      </c>
      <c r="E33" s="30">
        <f>'เย็น 162'!E33+'เช้า 208'!E33</f>
        <v>0</v>
      </c>
      <c r="F33" s="30">
        <f>'เย็น 162'!F33+'เช้า 208'!F33</f>
        <v>0</v>
      </c>
      <c r="G33" s="30">
        <f>'เย็น 162'!G33+'เช้า 208'!G33</f>
        <v>0</v>
      </c>
      <c r="H33" s="30">
        <f>'เย็น 162'!H33+'เช้า 208'!H33</f>
        <v>0</v>
      </c>
      <c r="I33" s="30">
        <f>'เย็น 162'!I33+'เช้า 208'!I33</f>
        <v>0</v>
      </c>
      <c r="J33" s="30">
        <f>'เย็น 162'!J33+'เช้า 208'!J33</f>
        <v>0</v>
      </c>
      <c r="K33" s="36">
        <f t="shared" si="0"/>
        <v>0</v>
      </c>
      <c r="L33" s="11"/>
      <c r="M33" s="11"/>
      <c r="N33" s="11"/>
      <c r="O33" s="11"/>
      <c r="P33" s="50">
        <f t="shared" si="1"/>
        <v>0</v>
      </c>
    </row>
    <row r="34" spans="2:16" hidden="1" x14ac:dyDescent="0.25">
      <c r="B34" s="11">
        <v>1004055</v>
      </c>
      <c r="C34" s="15" t="s">
        <v>29</v>
      </c>
      <c r="D34" s="30">
        <f>'เย็น 162'!D34+'เช้า 208'!D34</f>
        <v>0</v>
      </c>
      <c r="E34" s="30">
        <f>'เย็น 162'!E34+'เช้า 208'!E34</f>
        <v>0</v>
      </c>
      <c r="F34" s="30">
        <f>'เย็น 162'!F34+'เช้า 208'!F34</f>
        <v>0</v>
      </c>
      <c r="G34" s="30">
        <f>'เย็น 162'!G34+'เช้า 208'!G34</f>
        <v>0</v>
      </c>
      <c r="H34" s="30">
        <f>'เย็น 162'!H34+'เช้า 208'!H34</f>
        <v>0</v>
      </c>
      <c r="I34" s="30">
        <f>'เย็น 162'!I34+'เช้า 208'!I34</f>
        <v>0</v>
      </c>
      <c r="J34" s="30">
        <f>'เย็น 162'!J34+'เช้า 208'!J34</f>
        <v>0</v>
      </c>
      <c r="K34" s="36">
        <f t="shared" si="0"/>
        <v>0</v>
      </c>
      <c r="L34" s="11"/>
      <c r="M34" s="11"/>
      <c r="N34" s="11"/>
      <c r="O34" s="11"/>
      <c r="P34" s="50">
        <f t="shared" si="1"/>
        <v>0</v>
      </c>
    </row>
    <row r="35" spans="2:16" hidden="1" x14ac:dyDescent="0.25">
      <c r="B35" s="11">
        <v>1004055</v>
      </c>
      <c r="C35" s="15" t="s">
        <v>116</v>
      </c>
      <c r="D35" s="30">
        <f>'เย็น 162'!D35+'เช้า 208'!D35</f>
        <v>0</v>
      </c>
      <c r="E35" s="30">
        <f>'เย็น 162'!E35+'เช้า 208'!E35</f>
        <v>0</v>
      </c>
      <c r="F35" s="30">
        <f>'เย็น 162'!F35+'เช้า 208'!F35</f>
        <v>0</v>
      </c>
      <c r="G35" s="30">
        <f>'เย็น 162'!G35+'เช้า 208'!G35</f>
        <v>0</v>
      </c>
      <c r="H35" s="30">
        <f>'เย็น 162'!H35+'เช้า 208'!H35</f>
        <v>0</v>
      </c>
      <c r="I35" s="30">
        <f>'เย็น 162'!I35+'เช้า 208'!I35</f>
        <v>0</v>
      </c>
      <c r="J35" s="30">
        <f>'เย็น 162'!J35+'เช้า 208'!J35</f>
        <v>0</v>
      </c>
      <c r="K35" s="36">
        <f t="shared" si="0"/>
        <v>0</v>
      </c>
      <c r="L35" s="11"/>
      <c r="M35" s="11"/>
      <c r="N35" s="11"/>
      <c r="O35" s="11"/>
      <c r="P35" s="50">
        <f t="shared" si="1"/>
        <v>0</v>
      </c>
    </row>
    <row r="36" spans="2:16" hidden="1" x14ac:dyDescent="0.25">
      <c r="B36" s="11">
        <v>1004055</v>
      </c>
      <c r="C36" s="15" t="s">
        <v>117</v>
      </c>
      <c r="D36" s="30">
        <f>'เย็น 162'!D36+'เช้า 208'!D36</f>
        <v>0</v>
      </c>
      <c r="E36" s="30">
        <f>'เย็น 162'!E36+'เช้า 208'!E36</f>
        <v>0</v>
      </c>
      <c r="F36" s="30">
        <f>'เย็น 162'!F36+'เช้า 208'!F36</f>
        <v>0</v>
      </c>
      <c r="G36" s="30">
        <f>'เย็น 162'!G36+'เช้า 208'!G36</f>
        <v>0</v>
      </c>
      <c r="H36" s="30">
        <f>'เย็น 162'!H36+'เช้า 208'!H36</f>
        <v>0</v>
      </c>
      <c r="I36" s="30">
        <f>'เย็น 162'!I36+'เช้า 208'!I36</f>
        <v>0</v>
      </c>
      <c r="J36" s="30">
        <f>'เย็น 162'!J36+'เช้า 208'!J36</f>
        <v>0</v>
      </c>
      <c r="K36" s="36">
        <f t="shared" si="0"/>
        <v>0</v>
      </c>
      <c r="L36" s="11"/>
      <c r="M36" s="11"/>
      <c r="N36" s="11"/>
      <c r="O36" s="11"/>
      <c r="P36" s="50">
        <f t="shared" si="1"/>
        <v>0</v>
      </c>
    </row>
    <row r="37" spans="2:16" hidden="1" x14ac:dyDescent="0.25">
      <c r="B37" s="11">
        <v>1004055</v>
      </c>
      <c r="C37" s="15" t="s">
        <v>118</v>
      </c>
      <c r="D37" s="30">
        <f>'เย็น 162'!D37+'เช้า 208'!D37</f>
        <v>0</v>
      </c>
      <c r="E37" s="30">
        <f>'เย็น 162'!E37+'เช้า 208'!E37</f>
        <v>0</v>
      </c>
      <c r="F37" s="30">
        <f>'เย็น 162'!F37+'เช้า 208'!F37</f>
        <v>0</v>
      </c>
      <c r="G37" s="30">
        <f>'เย็น 162'!G37+'เช้า 208'!G37</f>
        <v>0</v>
      </c>
      <c r="H37" s="30">
        <f>'เย็น 162'!H37+'เช้า 208'!H37</f>
        <v>0</v>
      </c>
      <c r="I37" s="30">
        <f>'เย็น 162'!I37+'เช้า 208'!I37</f>
        <v>0</v>
      </c>
      <c r="J37" s="30">
        <f>'เย็น 162'!J37+'เช้า 208'!J37</f>
        <v>0</v>
      </c>
      <c r="K37" s="36">
        <f t="shared" si="0"/>
        <v>0</v>
      </c>
      <c r="L37" s="11"/>
      <c r="M37" s="11"/>
      <c r="N37" s="11"/>
      <c r="O37" s="11"/>
      <c r="P37" s="50">
        <f t="shared" si="1"/>
        <v>0</v>
      </c>
    </row>
    <row r="38" spans="2:16" hidden="1" x14ac:dyDescent="0.25">
      <c r="B38" s="11">
        <v>1004055</v>
      </c>
      <c r="C38" s="15" t="s">
        <v>119</v>
      </c>
      <c r="D38" s="30">
        <f>'เย็น 162'!D38+'เช้า 208'!D38</f>
        <v>0</v>
      </c>
      <c r="E38" s="30">
        <f>'เย็น 162'!E38+'เช้า 208'!E38</f>
        <v>0</v>
      </c>
      <c r="F38" s="30">
        <f>'เย็น 162'!F38+'เช้า 208'!F38</f>
        <v>0</v>
      </c>
      <c r="G38" s="30">
        <f>'เย็น 162'!G38+'เช้า 208'!G38</f>
        <v>0</v>
      </c>
      <c r="H38" s="30">
        <f>'เย็น 162'!H38+'เช้า 208'!H38</f>
        <v>0</v>
      </c>
      <c r="I38" s="30">
        <f>'เย็น 162'!I38+'เช้า 208'!I38</f>
        <v>0</v>
      </c>
      <c r="J38" s="30">
        <f>'เย็น 162'!J38+'เช้า 208'!J38</f>
        <v>0</v>
      </c>
      <c r="K38" s="36">
        <f t="shared" si="0"/>
        <v>0</v>
      </c>
      <c r="L38" s="11"/>
      <c r="M38" s="11"/>
      <c r="N38" s="11"/>
      <c r="O38" s="11"/>
      <c r="P38" s="50">
        <f t="shared" si="1"/>
        <v>0</v>
      </c>
    </row>
    <row r="39" spans="2:16" hidden="1" x14ac:dyDescent="0.25">
      <c r="B39" s="11">
        <v>1004055</v>
      </c>
      <c r="C39" s="15" t="s">
        <v>120</v>
      </c>
      <c r="D39" s="30">
        <f>'เย็น 162'!D39+'เช้า 208'!D39</f>
        <v>0</v>
      </c>
      <c r="E39" s="30">
        <f>'เย็น 162'!E39+'เช้า 208'!E39</f>
        <v>0</v>
      </c>
      <c r="F39" s="30">
        <f>'เย็น 162'!F39+'เช้า 208'!F39</f>
        <v>0</v>
      </c>
      <c r="G39" s="30">
        <f>'เย็น 162'!G39+'เช้า 208'!G39</f>
        <v>0</v>
      </c>
      <c r="H39" s="30">
        <f>'เย็น 162'!H39+'เช้า 208'!H39</f>
        <v>0</v>
      </c>
      <c r="I39" s="30">
        <f>'เย็น 162'!I39+'เช้า 208'!I39</f>
        <v>0</v>
      </c>
      <c r="J39" s="30">
        <f>'เย็น 162'!J39+'เช้า 208'!J39</f>
        <v>0</v>
      </c>
      <c r="K39" s="36">
        <f t="shared" si="0"/>
        <v>0</v>
      </c>
      <c r="L39" s="11"/>
      <c r="M39" s="11"/>
      <c r="N39" s="11"/>
      <c r="O39" s="11"/>
      <c r="P39" s="50">
        <f t="shared" si="1"/>
        <v>0</v>
      </c>
    </row>
    <row r="40" spans="2:16" x14ac:dyDescent="0.25">
      <c r="B40" s="11">
        <v>1111057</v>
      </c>
      <c r="C40" s="15" t="s">
        <v>30</v>
      </c>
      <c r="D40" s="30">
        <f>'เย็น 162'!D40+'เช้า 208'!D40</f>
        <v>17</v>
      </c>
      <c r="E40" s="30">
        <f>'เย็น 162'!E40+'เช้า 208'!E40</f>
        <v>10</v>
      </c>
      <c r="F40" s="30">
        <f>'เย็น 162'!F40+'เช้า 208'!F40</f>
        <v>0</v>
      </c>
      <c r="G40" s="30">
        <f>'เย็น 162'!G40+'เช้า 208'!G40</f>
        <v>3</v>
      </c>
      <c r="H40" s="30">
        <f>'เย็น 162'!H40+'เช้า 208'!H40</f>
        <v>0</v>
      </c>
      <c r="I40" s="30">
        <f>'เย็น 162'!I40+'เช้า 208'!I40</f>
        <v>0</v>
      </c>
      <c r="J40" s="30">
        <f>'เย็น 162'!J40+'เช้า 208'!J40</f>
        <v>1</v>
      </c>
      <c r="K40" s="36">
        <f t="shared" si="0"/>
        <v>31</v>
      </c>
      <c r="L40" s="11"/>
      <c r="M40" s="11"/>
      <c r="N40" s="11"/>
      <c r="O40" s="11"/>
      <c r="P40" s="50">
        <f t="shared" si="1"/>
        <v>-31</v>
      </c>
    </row>
    <row r="41" spans="2:16" x14ac:dyDescent="0.25">
      <c r="B41" s="11">
        <v>1111058</v>
      </c>
      <c r="C41" s="15" t="s">
        <v>31</v>
      </c>
      <c r="D41" s="30">
        <f>'เย็น 162'!D41+'เช้า 208'!D41</f>
        <v>17</v>
      </c>
      <c r="E41" s="30">
        <f>'เย็น 162'!E41+'เช้า 208'!E41</f>
        <v>6</v>
      </c>
      <c r="F41" s="30">
        <f>'เย็น 162'!F41+'เช้า 208'!F41</f>
        <v>0</v>
      </c>
      <c r="G41" s="30">
        <f>'เย็น 162'!G41+'เช้า 208'!G41</f>
        <v>0</v>
      </c>
      <c r="H41" s="30">
        <f>'เย็น 162'!H41+'เช้า 208'!H41</f>
        <v>0</v>
      </c>
      <c r="I41" s="30">
        <f>'เย็น 162'!I41+'เช้า 208'!I41</f>
        <v>0</v>
      </c>
      <c r="J41" s="30">
        <f>'เย็น 162'!J41+'เช้า 208'!J41</f>
        <v>0</v>
      </c>
      <c r="K41" s="36">
        <f t="shared" si="0"/>
        <v>23</v>
      </c>
      <c r="L41" s="11"/>
      <c r="M41" s="11"/>
      <c r="N41" s="11"/>
      <c r="O41" s="11"/>
      <c r="P41" s="50">
        <f t="shared" si="1"/>
        <v>-23</v>
      </c>
    </row>
    <row r="42" spans="2:16" x14ac:dyDescent="0.25">
      <c r="B42" s="11">
        <v>1111059</v>
      </c>
      <c r="C42" s="15" t="s">
        <v>32</v>
      </c>
      <c r="D42" s="30">
        <f>'เย็น 162'!D42+'เช้า 208'!D42</f>
        <v>17</v>
      </c>
      <c r="E42" s="30">
        <f>'เย็น 162'!E42+'เช้า 208'!E42</f>
        <v>10</v>
      </c>
      <c r="F42" s="30">
        <f>'เย็น 162'!F42+'เช้า 208'!F42</f>
        <v>0</v>
      </c>
      <c r="G42" s="30">
        <f>'เย็น 162'!G42+'เช้า 208'!G42</f>
        <v>60</v>
      </c>
      <c r="H42" s="30">
        <f>'เย็น 162'!H42+'เช้า 208'!H42</f>
        <v>0</v>
      </c>
      <c r="I42" s="30">
        <f>'เย็น 162'!I42+'เช้า 208'!I42</f>
        <v>0</v>
      </c>
      <c r="J42" s="30">
        <f>'เย็น 162'!J42+'เช้า 208'!J42</f>
        <v>0</v>
      </c>
      <c r="K42" s="36">
        <f t="shared" si="0"/>
        <v>87</v>
      </c>
      <c r="L42" s="11"/>
      <c r="M42" s="11"/>
      <c r="N42" s="11"/>
      <c r="O42" s="11"/>
      <c r="P42" s="50">
        <f t="shared" si="1"/>
        <v>-87</v>
      </c>
    </row>
    <row r="43" spans="2:16" x14ac:dyDescent="0.25">
      <c r="B43" s="11">
        <v>1111060</v>
      </c>
      <c r="C43" s="15" t="s">
        <v>33</v>
      </c>
      <c r="D43" s="30">
        <f>'เย็น 162'!D43+'เช้า 208'!D43</f>
        <v>17</v>
      </c>
      <c r="E43" s="30">
        <f>'เย็น 162'!E43+'เช้า 208'!E43</f>
        <v>2</v>
      </c>
      <c r="F43" s="30">
        <f>'เย็น 162'!F43+'เช้า 208'!F43</f>
        <v>0</v>
      </c>
      <c r="G43" s="30">
        <f>'เย็น 162'!G43+'เช้า 208'!G43</f>
        <v>0</v>
      </c>
      <c r="H43" s="30">
        <f>'เย็น 162'!H43+'เช้า 208'!H43</f>
        <v>0</v>
      </c>
      <c r="I43" s="30">
        <f>'เย็น 162'!I43+'เช้า 208'!I43</f>
        <v>0</v>
      </c>
      <c r="J43" s="30">
        <f>'เย็น 162'!J43+'เช้า 208'!J43</f>
        <v>0</v>
      </c>
      <c r="K43" s="36">
        <f t="shared" si="0"/>
        <v>19</v>
      </c>
      <c r="L43" s="11"/>
      <c r="M43" s="11"/>
      <c r="N43" s="11"/>
      <c r="O43" s="11"/>
      <c r="P43" s="50">
        <f t="shared" si="1"/>
        <v>-19</v>
      </c>
    </row>
    <row r="44" spans="2:16" x14ac:dyDescent="0.25">
      <c r="B44" s="11">
        <v>1111061</v>
      </c>
      <c r="C44" s="15" t="s">
        <v>34</v>
      </c>
      <c r="D44" s="30">
        <f>'เย็น 162'!D44+'เช้า 208'!D44</f>
        <v>17</v>
      </c>
      <c r="E44" s="30">
        <f>'เย็น 162'!E44+'เช้า 208'!E44</f>
        <v>4</v>
      </c>
      <c r="F44" s="30">
        <f>'เย็น 162'!F44+'เช้า 208'!F44</f>
        <v>0</v>
      </c>
      <c r="G44" s="30">
        <f>'เย็น 162'!G44+'เช้า 208'!G44</f>
        <v>0</v>
      </c>
      <c r="H44" s="30">
        <f>'เย็น 162'!H44+'เช้า 208'!H44</f>
        <v>0</v>
      </c>
      <c r="I44" s="30">
        <f>'เย็น 162'!I44+'เช้า 208'!I44</f>
        <v>0</v>
      </c>
      <c r="J44" s="30">
        <f>'เย็น 162'!J44+'เช้า 208'!J44</f>
        <v>0</v>
      </c>
      <c r="K44" s="36">
        <f t="shared" si="0"/>
        <v>21</v>
      </c>
      <c r="L44" s="11"/>
      <c r="M44" s="11"/>
      <c r="N44" s="11"/>
      <c r="O44" s="11"/>
      <c r="P44" s="50">
        <f t="shared" si="1"/>
        <v>-21</v>
      </c>
    </row>
    <row r="45" spans="2:16" x14ac:dyDescent="0.25">
      <c r="B45" s="11">
        <v>1111062</v>
      </c>
      <c r="C45" s="15" t="s">
        <v>35</v>
      </c>
      <c r="D45" s="30">
        <f>'เย็น 162'!D45+'เช้า 208'!D45</f>
        <v>17</v>
      </c>
      <c r="E45" s="30">
        <f>'เย็น 162'!E45+'เช้า 208'!E45</f>
        <v>4</v>
      </c>
      <c r="F45" s="30">
        <f>'เย็น 162'!F45+'เช้า 208'!F45</f>
        <v>0</v>
      </c>
      <c r="G45" s="30">
        <f>'เย็น 162'!G45+'เช้า 208'!G45</f>
        <v>0</v>
      </c>
      <c r="H45" s="30">
        <f>'เย็น 162'!H45+'เช้า 208'!H45</f>
        <v>0</v>
      </c>
      <c r="I45" s="30">
        <f>'เย็น 162'!I45+'เช้า 208'!I45</f>
        <v>0</v>
      </c>
      <c r="J45" s="30">
        <f>'เย็น 162'!J45+'เช้า 208'!J45</f>
        <v>0</v>
      </c>
      <c r="K45" s="36">
        <f t="shared" si="0"/>
        <v>21</v>
      </c>
      <c r="L45" s="11"/>
      <c r="M45" s="11"/>
      <c r="N45" s="11"/>
      <c r="O45" s="11"/>
      <c r="P45" s="50">
        <f t="shared" si="1"/>
        <v>-21</v>
      </c>
    </row>
    <row r="46" spans="2:16" x14ac:dyDescent="0.25">
      <c r="B46" s="11">
        <v>1111063</v>
      </c>
      <c r="C46" s="15" t="s">
        <v>36</v>
      </c>
      <c r="D46" s="30">
        <f>'เย็น 162'!D46+'เช้า 208'!D46</f>
        <v>17</v>
      </c>
      <c r="E46" s="30">
        <f>'เย็น 162'!E46+'เช้า 208'!E46</f>
        <v>5</v>
      </c>
      <c r="F46" s="30">
        <f>'เย็น 162'!F46+'เช้า 208'!F46</f>
        <v>0</v>
      </c>
      <c r="G46" s="30">
        <f>'เย็น 162'!G46+'เช้า 208'!G46</f>
        <v>0</v>
      </c>
      <c r="H46" s="30">
        <f>'เย็น 162'!H46+'เช้า 208'!H46</f>
        <v>0</v>
      </c>
      <c r="I46" s="30">
        <f>'เย็น 162'!I46+'เช้า 208'!I46</f>
        <v>0</v>
      </c>
      <c r="J46" s="30">
        <f>'เย็น 162'!J46+'เช้า 208'!J46</f>
        <v>0</v>
      </c>
      <c r="K46" s="36">
        <f t="shared" si="0"/>
        <v>22</v>
      </c>
      <c r="L46" s="11"/>
      <c r="M46" s="11"/>
      <c r="N46" s="11"/>
      <c r="O46" s="11"/>
      <c r="P46" s="50">
        <f t="shared" si="1"/>
        <v>-22</v>
      </c>
    </row>
    <row r="47" spans="2:16" x14ac:dyDescent="0.25">
      <c r="B47" s="11">
        <v>1111064</v>
      </c>
      <c r="C47" s="15" t="s">
        <v>37</v>
      </c>
      <c r="D47" s="30">
        <f>'เย็น 162'!D47+'เช้า 208'!D47</f>
        <v>17</v>
      </c>
      <c r="E47" s="30">
        <f>'เย็น 162'!E47+'เช้า 208'!E47</f>
        <v>5</v>
      </c>
      <c r="F47" s="30">
        <f>'เย็น 162'!F47+'เช้า 208'!F47</f>
        <v>0</v>
      </c>
      <c r="G47" s="30">
        <f>'เย็น 162'!G47+'เช้า 208'!G47</f>
        <v>0</v>
      </c>
      <c r="H47" s="30">
        <f>'เย็น 162'!H47+'เช้า 208'!H47</f>
        <v>0</v>
      </c>
      <c r="I47" s="30">
        <f>'เย็น 162'!I47+'เช้า 208'!I47</f>
        <v>0</v>
      </c>
      <c r="J47" s="30">
        <f>'เย็น 162'!J47+'เช้า 208'!J47</f>
        <v>0</v>
      </c>
      <c r="K47" s="36">
        <f t="shared" si="0"/>
        <v>22</v>
      </c>
      <c r="L47" s="11"/>
      <c r="M47" s="11"/>
      <c r="N47" s="11"/>
      <c r="O47" s="11"/>
      <c r="P47" s="50">
        <f t="shared" ref="P47:P71" si="2">(L47+M47+N47+O47)-K47</f>
        <v>-22</v>
      </c>
    </row>
    <row r="48" spans="2:16" x14ac:dyDescent="0.25">
      <c r="B48" s="11">
        <v>1111065</v>
      </c>
      <c r="C48" s="15" t="s">
        <v>38</v>
      </c>
      <c r="D48" s="30">
        <f>'เย็น 162'!D48+'เช้า 208'!D48</f>
        <v>17</v>
      </c>
      <c r="E48" s="30">
        <f>'เย็น 162'!E48+'เช้า 208'!E48</f>
        <v>2</v>
      </c>
      <c r="F48" s="30">
        <f>'เย็น 162'!F48+'เช้า 208'!F48</f>
        <v>0</v>
      </c>
      <c r="G48" s="30">
        <f>'เย็น 162'!G48+'เช้า 208'!G48</f>
        <v>0</v>
      </c>
      <c r="H48" s="30">
        <f>'เย็น 162'!H48+'เช้า 208'!H48</f>
        <v>0</v>
      </c>
      <c r="I48" s="30">
        <f>'เย็น 162'!I48+'เช้า 208'!I48</f>
        <v>0</v>
      </c>
      <c r="J48" s="30">
        <f>'เย็น 162'!J48+'เช้า 208'!J48</f>
        <v>0</v>
      </c>
      <c r="K48" s="36">
        <f t="shared" si="0"/>
        <v>19</v>
      </c>
      <c r="L48" s="11"/>
      <c r="M48" s="11"/>
      <c r="N48" s="11"/>
      <c r="O48" s="11"/>
      <c r="P48" s="50">
        <f t="shared" si="2"/>
        <v>-19</v>
      </c>
    </row>
    <row r="49" spans="2:20" x14ac:dyDescent="0.25">
      <c r="B49" s="11">
        <v>1111066</v>
      </c>
      <c r="C49" s="15" t="s">
        <v>39</v>
      </c>
      <c r="D49" s="30">
        <f>'เย็น 162'!D49+'เช้า 208'!D49</f>
        <v>17</v>
      </c>
      <c r="E49" s="30">
        <f>'เย็น 162'!E49+'เช้า 208'!E49</f>
        <v>5</v>
      </c>
      <c r="F49" s="30">
        <f>'เย็น 162'!F49+'เช้า 208'!F49</f>
        <v>0</v>
      </c>
      <c r="G49" s="30">
        <f>'เย็น 162'!G49+'เช้า 208'!G49</f>
        <v>0</v>
      </c>
      <c r="H49" s="30">
        <f>'เย็น 162'!H49+'เช้า 208'!H49</f>
        <v>0</v>
      </c>
      <c r="I49" s="30">
        <f>'เย็น 162'!I49+'เช้า 208'!I49</f>
        <v>0</v>
      </c>
      <c r="J49" s="30">
        <f>'เย็น 162'!J49+'เช้า 208'!J49</f>
        <v>0</v>
      </c>
      <c r="K49" s="36">
        <f t="shared" si="0"/>
        <v>22</v>
      </c>
      <c r="L49" s="11"/>
      <c r="M49" s="11"/>
      <c r="N49" s="11"/>
      <c r="O49" s="11"/>
      <c r="P49" s="50">
        <f t="shared" si="2"/>
        <v>-22</v>
      </c>
    </row>
    <row r="50" spans="2:20" x14ac:dyDescent="0.25">
      <c r="B50" s="11">
        <v>1111067</v>
      </c>
      <c r="C50" s="15" t="s">
        <v>40</v>
      </c>
      <c r="D50" s="30">
        <f>'เย็น 162'!D50+'เช้า 208'!D50</f>
        <v>16</v>
      </c>
      <c r="E50" s="30">
        <f>'เย็น 162'!E50+'เช้า 208'!E50</f>
        <v>10</v>
      </c>
      <c r="F50" s="30">
        <f>'เย็น 162'!F50+'เช้า 208'!F50</f>
        <v>0</v>
      </c>
      <c r="G50" s="30">
        <f>'เย็น 162'!G50+'เช้า 208'!G50</f>
        <v>60</v>
      </c>
      <c r="H50" s="30">
        <f>'เย็น 162'!H50+'เช้า 208'!H50</f>
        <v>0</v>
      </c>
      <c r="I50" s="30">
        <f>'เย็น 162'!I50+'เช้า 208'!I50</f>
        <v>0</v>
      </c>
      <c r="J50" s="30">
        <f>'เย็น 162'!J50+'เช้า 208'!J50</f>
        <v>0</v>
      </c>
      <c r="K50" s="36">
        <f t="shared" si="0"/>
        <v>86</v>
      </c>
      <c r="L50" s="11"/>
      <c r="M50" s="11"/>
      <c r="N50" s="11"/>
      <c r="O50" s="11"/>
      <c r="P50" s="50">
        <f t="shared" si="2"/>
        <v>-86</v>
      </c>
    </row>
    <row r="51" spans="2:20" x14ac:dyDescent="0.25">
      <c r="B51" s="11">
        <v>1111068</v>
      </c>
      <c r="C51" s="15" t="s">
        <v>41</v>
      </c>
      <c r="D51" s="30">
        <f>'เย็น 162'!D51+'เช้า 208'!D51</f>
        <v>16</v>
      </c>
      <c r="E51" s="30">
        <f>'เย็น 162'!E51+'เช้า 208'!E51</f>
        <v>8</v>
      </c>
      <c r="F51" s="30">
        <f>'เย็น 162'!F51+'เช้า 208'!F51</f>
        <v>0</v>
      </c>
      <c r="G51" s="30">
        <f>'เย็น 162'!G51+'เช้า 208'!G51</f>
        <v>0</v>
      </c>
      <c r="H51" s="30">
        <f>'เย็น 162'!H51+'เช้า 208'!H51</f>
        <v>0</v>
      </c>
      <c r="I51" s="30">
        <f>'เย็น 162'!I51+'เช้า 208'!I51</f>
        <v>0</v>
      </c>
      <c r="J51" s="30">
        <f>'เย็น 162'!J51+'เช้า 208'!J51</f>
        <v>0</v>
      </c>
      <c r="K51" s="36">
        <f t="shared" si="0"/>
        <v>24</v>
      </c>
      <c r="L51" s="11"/>
      <c r="M51" s="11"/>
      <c r="N51" s="11"/>
      <c r="O51" s="11"/>
      <c r="P51" s="50">
        <f t="shared" si="2"/>
        <v>-24</v>
      </c>
    </row>
    <row r="52" spans="2:20" x14ac:dyDescent="0.25">
      <c r="B52" s="11">
        <v>1111069</v>
      </c>
      <c r="C52" s="15" t="s">
        <v>42</v>
      </c>
      <c r="D52" s="30">
        <f>'เย็น 162'!D52+'เช้า 208'!D52</f>
        <v>16</v>
      </c>
      <c r="E52" s="30">
        <f>'เย็น 162'!E52+'เช้า 208'!E52</f>
        <v>5</v>
      </c>
      <c r="F52" s="30">
        <f>'เย็น 162'!F52+'เช้า 208'!F52</f>
        <v>0</v>
      </c>
      <c r="G52" s="30">
        <f>'เย็น 162'!G52+'เช้า 208'!G52</f>
        <v>0</v>
      </c>
      <c r="H52" s="30">
        <f>'เย็น 162'!H52+'เช้า 208'!H52</f>
        <v>0</v>
      </c>
      <c r="I52" s="30">
        <f>'เย็น 162'!I52+'เช้า 208'!I52</f>
        <v>0</v>
      </c>
      <c r="J52" s="30">
        <f>'เย็น 162'!J52+'เช้า 208'!J52</f>
        <v>0</v>
      </c>
      <c r="K52" s="36">
        <f t="shared" si="0"/>
        <v>21</v>
      </c>
      <c r="L52" s="11"/>
      <c r="M52" s="11"/>
      <c r="N52" s="11"/>
      <c r="O52" s="11"/>
      <c r="P52" s="50">
        <f t="shared" si="2"/>
        <v>-21</v>
      </c>
      <c r="R52" s="52"/>
    </row>
    <row r="53" spans="2:20" x14ac:dyDescent="0.25">
      <c r="B53" s="11">
        <v>1111070</v>
      </c>
      <c r="C53" s="15" t="s">
        <v>128</v>
      </c>
      <c r="D53" s="30">
        <f>'เย็น 162'!D53+'เช้า 208'!D53</f>
        <v>16</v>
      </c>
      <c r="E53" s="30">
        <f>'เย็น 162'!E53+'เช้า 208'!E53</f>
        <v>2</v>
      </c>
      <c r="F53" s="30">
        <f>'เย็น 162'!F53+'เช้า 208'!F53</f>
        <v>0</v>
      </c>
      <c r="G53" s="30">
        <f>'เย็น 162'!G53+'เช้า 208'!G53</f>
        <v>0</v>
      </c>
      <c r="H53" s="30">
        <f>'เย็น 162'!H53+'เช้า 208'!H53</f>
        <v>0</v>
      </c>
      <c r="I53" s="30">
        <f>'เย็น 162'!I53+'เช้า 208'!I53</f>
        <v>0</v>
      </c>
      <c r="J53" s="30">
        <f>'เย็น 162'!J53+'เช้า 208'!J53</f>
        <v>0</v>
      </c>
      <c r="K53" s="36">
        <f t="shared" si="0"/>
        <v>18</v>
      </c>
      <c r="L53" s="11"/>
      <c r="M53" s="11"/>
      <c r="N53" s="11"/>
      <c r="O53" s="11"/>
      <c r="P53" s="50">
        <f t="shared" si="2"/>
        <v>-18</v>
      </c>
    </row>
    <row r="54" spans="2:20" x14ac:dyDescent="0.25">
      <c r="B54" s="11">
        <v>1111071</v>
      </c>
      <c r="C54" s="15" t="s">
        <v>129</v>
      </c>
      <c r="D54" s="30">
        <f>'เย็น 162'!D54+'เช้า 208'!D54</f>
        <v>16</v>
      </c>
      <c r="E54" s="30">
        <f>'เย็น 162'!E54+'เช้า 208'!E54</f>
        <v>2</v>
      </c>
      <c r="F54" s="30">
        <f>'เย็น 162'!F54+'เช้า 208'!F54</f>
        <v>0</v>
      </c>
      <c r="G54" s="30">
        <f>'เย็น 162'!G54+'เช้า 208'!G54</f>
        <v>0</v>
      </c>
      <c r="H54" s="30">
        <f>'เย็น 162'!H54+'เช้า 208'!H54</f>
        <v>0</v>
      </c>
      <c r="I54" s="30">
        <f>'เย็น 162'!I54+'เช้า 208'!I54</f>
        <v>0</v>
      </c>
      <c r="J54" s="30">
        <f>'เย็น 162'!J54+'เช้า 208'!J54</f>
        <v>0</v>
      </c>
      <c r="K54" s="36">
        <f t="shared" si="0"/>
        <v>18</v>
      </c>
      <c r="L54" s="11"/>
      <c r="M54" s="11"/>
      <c r="N54" s="11"/>
      <c r="O54" s="11"/>
      <c r="P54" s="50">
        <f t="shared" si="2"/>
        <v>-18</v>
      </c>
      <c r="R54" s="52"/>
      <c r="T54" s="52"/>
    </row>
    <row r="55" spans="2:20" x14ac:dyDescent="0.25">
      <c r="B55" s="11">
        <v>1111001</v>
      </c>
      <c r="C55" s="15" t="s">
        <v>43</v>
      </c>
      <c r="D55" s="30"/>
      <c r="E55" s="30">
        <f>'เย็น 162'!E55+'เช้า 208'!E55</f>
        <v>0</v>
      </c>
      <c r="F55" s="30">
        <f>'เย็น 162'!F55+'เช้า 208'!F55</f>
        <v>0</v>
      </c>
      <c r="G55" s="30">
        <f>'เย็น 162'!G55+'เช้า 208'!G55</f>
        <v>0</v>
      </c>
      <c r="H55" s="30">
        <f>'เย็น 162'!H55+'เช้า 208'!H55</f>
        <v>0</v>
      </c>
      <c r="I55" s="30">
        <f>'เย็น 162'!I55+'เช้า 208'!I55</f>
        <v>0</v>
      </c>
      <c r="J55" s="30">
        <f>'เย็น 162'!J55+'เช้า 208'!J55</f>
        <v>0</v>
      </c>
      <c r="K55" s="36">
        <f t="shared" si="0"/>
        <v>0</v>
      </c>
      <c r="L55" s="11"/>
      <c r="M55" s="11"/>
      <c r="N55" s="11"/>
      <c r="O55" s="11"/>
      <c r="P55" s="50">
        <f t="shared" si="2"/>
        <v>0</v>
      </c>
    </row>
    <row r="56" spans="2:20" x14ac:dyDescent="0.25">
      <c r="B56" s="11">
        <v>1111074</v>
      </c>
      <c r="C56" s="15" t="s">
        <v>44</v>
      </c>
      <c r="D56" s="30">
        <f>'เย็น 162'!D56+'เช้า 208'!D56</f>
        <v>2</v>
      </c>
      <c r="E56" s="30">
        <f>'เย็น 162'!E56+'เช้า 208'!E56</f>
        <v>0</v>
      </c>
      <c r="F56" s="30">
        <f>'เย็น 162'!F56+'เช้า 208'!F56</f>
        <v>1</v>
      </c>
      <c r="G56" s="30">
        <f>'เย็น 162'!G56+'เช้า 208'!G56</f>
        <v>53</v>
      </c>
      <c r="H56" s="30">
        <f>'เย็น 162'!H56+'เช้า 208'!H56</f>
        <v>0</v>
      </c>
      <c r="I56" s="30">
        <f>'เย็น 162'!I56+'เช้า 208'!I56</f>
        <v>0</v>
      </c>
      <c r="J56" s="30">
        <f>'เย็น 162'!J56+'เช้า 208'!J56</f>
        <v>0</v>
      </c>
      <c r="K56" s="36">
        <f t="shared" si="0"/>
        <v>56</v>
      </c>
      <c r="L56" s="11"/>
      <c r="M56" s="11"/>
      <c r="N56" s="11"/>
      <c r="O56" s="11"/>
      <c r="P56" s="50">
        <f t="shared" si="2"/>
        <v>-56</v>
      </c>
    </row>
    <row r="57" spans="2:20" x14ac:dyDescent="0.25">
      <c r="B57" s="11">
        <v>1111075</v>
      </c>
      <c r="C57" s="15" t="s">
        <v>45</v>
      </c>
      <c r="D57" s="30">
        <f>'เย็น 162'!D57+'เช้า 208'!D57</f>
        <v>2</v>
      </c>
      <c r="E57" s="30">
        <f>'เย็น 162'!E57+'เช้า 208'!E57</f>
        <v>0</v>
      </c>
      <c r="F57" s="30">
        <f>'เย็น 162'!F57+'เช้า 208'!F57</f>
        <v>1</v>
      </c>
      <c r="G57" s="30">
        <f>'เย็น 162'!G57+'เช้า 208'!G57</f>
        <v>51</v>
      </c>
      <c r="H57" s="30">
        <f>'เย็น 162'!H57+'เช้า 208'!H57</f>
        <v>0</v>
      </c>
      <c r="I57" s="30">
        <f>'เย็น 162'!I57+'เช้า 208'!I57</f>
        <v>0</v>
      </c>
      <c r="J57" s="30">
        <f>'เย็น 162'!J57+'เช้า 208'!J57</f>
        <v>0</v>
      </c>
      <c r="K57" s="36">
        <f t="shared" si="0"/>
        <v>54</v>
      </c>
      <c r="L57" s="11"/>
      <c r="M57" s="11"/>
      <c r="N57" s="11"/>
      <c r="O57" s="11"/>
      <c r="P57" s="50">
        <f t="shared" si="2"/>
        <v>-54</v>
      </c>
    </row>
    <row r="58" spans="2:20" x14ac:dyDescent="0.25">
      <c r="B58" s="11">
        <v>1111076</v>
      </c>
      <c r="C58" s="15" t="s">
        <v>46</v>
      </c>
      <c r="D58" s="30">
        <f>'เย็น 162'!D58+'เช้า 208'!D58</f>
        <v>2</v>
      </c>
      <c r="E58" s="30">
        <f>'เย็น 162'!E58+'เช้า 208'!E58</f>
        <v>0</v>
      </c>
      <c r="F58" s="30">
        <f>'เย็น 162'!F58+'เช้า 208'!F58</f>
        <v>1</v>
      </c>
      <c r="G58" s="30">
        <f>'เย็น 162'!G58+'เช้า 208'!G58</f>
        <v>51</v>
      </c>
      <c r="H58" s="30">
        <f>'เย็น 162'!H58+'เช้า 208'!H58</f>
        <v>0</v>
      </c>
      <c r="I58" s="30">
        <f>'เย็น 162'!I58+'เช้า 208'!I58</f>
        <v>0</v>
      </c>
      <c r="J58" s="30">
        <f>'เย็น 162'!J58+'เช้า 208'!J58</f>
        <v>0</v>
      </c>
      <c r="K58" s="36">
        <f t="shared" si="0"/>
        <v>54</v>
      </c>
      <c r="L58" s="11"/>
      <c r="M58" s="11"/>
      <c r="N58" s="11"/>
      <c r="O58" s="11"/>
      <c r="P58" s="50">
        <f t="shared" si="2"/>
        <v>-54</v>
      </c>
    </row>
    <row r="59" spans="2:20" x14ac:dyDescent="0.25">
      <c r="B59" s="11">
        <v>1111077</v>
      </c>
      <c r="C59" s="15" t="s">
        <v>47</v>
      </c>
      <c r="D59" s="30">
        <f>'เย็น 162'!D59+'เช้า 208'!D59</f>
        <v>2</v>
      </c>
      <c r="E59" s="30">
        <f>'เย็น 162'!E59+'เช้า 208'!E59</f>
        <v>0</v>
      </c>
      <c r="F59" s="30">
        <f>'เย็น 162'!F59+'เช้า 208'!F59</f>
        <v>1</v>
      </c>
      <c r="G59" s="30">
        <f>'เย็น 162'!G59+'เช้า 208'!G59</f>
        <v>51</v>
      </c>
      <c r="H59" s="30">
        <f>'เย็น 162'!H59+'เช้า 208'!H59</f>
        <v>0</v>
      </c>
      <c r="I59" s="30">
        <f>'เย็น 162'!I59+'เช้า 208'!I59</f>
        <v>0</v>
      </c>
      <c r="J59" s="30">
        <f>'เย็น 162'!J59+'เช้า 208'!J59</f>
        <v>0</v>
      </c>
      <c r="K59" s="36">
        <f t="shared" si="0"/>
        <v>54</v>
      </c>
      <c r="L59" s="11"/>
      <c r="M59" s="11"/>
      <c r="N59" s="11"/>
      <c r="O59" s="11"/>
      <c r="P59" s="50">
        <f t="shared" si="2"/>
        <v>-54</v>
      </c>
    </row>
    <row r="60" spans="2:20" x14ac:dyDescent="0.25">
      <c r="B60" s="11">
        <v>1111078</v>
      </c>
      <c r="C60" s="15" t="s">
        <v>48</v>
      </c>
      <c r="D60" s="30">
        <f>'เย็น 162'!D60+'เช้า 208'!D60</f>
        <v>2</v>
      </c>
      <c r="E60" s="30">
        <f>'เย็น 162'!E60+'เช้า 208'!E60</f>
        <v>0</v>
      </c>
      <c r="F60" s="30">
        <f>'เย็น 162'!F60+'เช้า 208'!F60</f>
        <v>1</v>
      </c>
      <c r="G60" s="30">
        <f>'เย็น 162'!G60+'เช้า 208'!G60</f>
        <v>51</v>
      </c>
      <c r="H60" s="30">
        <f>'เย็น 162'!H60+'เช้า 208'!H60</f>
        <v>0</v>
      </c>
      <c r="I60" s="30">
        <f>'เย็น 162'!I60+'เช้า 208'!I60</f>
        <v>0</v>
      </c>
      <c r="J60" s="30">
        <f>'เย็น 162'!J60+'เช้า 208'!J60</f>
        <v>0</v>
      </c>
      <c r="K60" s="36">
        <f t="shared" si="0"/>
        <v>54</v>
      </c>
      <c r="L60" s="11"/>
      <c r="M60" s="11"/>
      <c r="N60" s="11"/>
      <c r="O60" s="11"/>
      <c r="P60" s="50">
        <f t="shared" si="2"/>
        <v>-54</v>
      </c>
    </row>
    <row r="61" spans="2:20" x14ac:dyDescent="0.25">
      <c r="B61" s="11">
        <v>1111079</v>
      </c>
      <c r="C61" s="15" t="s">
        <v>49</v>
      </c>
      <c r="D61" s="30">
        <f>'เย็น 162'!D61+'เช้า 208'!D61</f>
        <v>1</v>
      </c>
      <c r="E61" s="30">
        <f>'เย็น 162'!E61+'เช้า 208'!E61</f>
        <v>0</v>
      </c>
      <c r="F61" s="30">
        <f>'เย็น 162'!F61+'เช้า 208'!F61</f>
        <v>1</v>
      </c>
      <c r="G61" s="30">
        <f>'เย็น 162'!G61+'เช้า 208'!G61</f>
        <v>50</v>
      </c>
      <c r="H61" s="30">
        <f>'เย็น 162'!H61+'เช้า 208'!H61</f>
        <v>0</v>
      </c>
      <c r="I61" s="30">
        <f>'เย็น 162'!I61+'เช้า 208'!I61</f>
        <v>0</v>
      </c>
      <c r="J61" s="30">
        <f>'เย็น 162'!J61+'เช้า 208'!J61</f>
        <v>0</v>
      </c>
      <c r="K61" s="36">
        <f t="shared" si="0"/>
        <v>52</v>
      </c>
      <c r="L61" s="11"/>
      <c r="M61" s="11"/>
      <c r="N61" s="11"/>
      <c r="O61" s="11"/>
      <c r="P61" s="50">
        <f t="shared" si="2"/>
        <v>-52</v>
      </c>
    </row>
    <row r="62" spans="2:20" x14ac:dyDescent="0.25">
      <c r="B62" s="11">
        <v>1111080</v>
      </c>
      <c r="C62" s="15" t="s">
        <v>50</v>
      </c>
      <c r="D62" s="30">
        <f>'เย็น 162'!D62+'เช้า 208'!D62</f>
        <v>1</v>
      </c>
      <c r="E62" s="30">
        <f>'เย็น 162'!E62+'เช้า 208'!E62</f>
        <v>0</v>
      </c>
      <c r="F62" s="30">
        <f>'เย็น 162'!F62+'เช้า 208'!F62</f>
        <v>1</v>
      </c>
      <c r="G62" s="30">
        <f>'เย็น 162'!G62+'เช้า 208'!G62</f>
        <v>44</v>
      </c>
      <c r="H62" s="30">
        <f>'เย็น 162'!H62+'เช้า 208'!H62</f>
        <v>0</v>
      </c>
      <c r="I62" s="30">
        <f>'เย็น 162'!I62+'เช้า 208'!I62</f>
        <v>0</v>
      </c>
      <c r="J62" s="30">
        <f>'เย็น 162'!J62+'เช้า 208'!J62</f>
        <v>0</v>
      </c>
      <c r="K62" s="36">
        <f t="shared" si="0"/>
        <v>46</v>
      </c>
      <c r="L62" s="11"/>
      <c r="M62" s="11"/>
      <c r="N62" s="11"/>
      <c r="O62" s="11"/>
      <c r="P62" s="50">
        <f t="shared" si="2"/>
        <v>-46</v>
      </c>
    </row>
    <row r="63" spans="2:20" x14ac:dyDescent="0.25">
      <c r="B63" s="11">
        <v>1111081</v>
      </c>
      <c r="C63" s="15" t="s">
        <v>51</v>
      </c>
      <c r="D63" s="30">
        <f>'เย็น 162'!D63+'เช้า 208'!D63</f>
        <v>1</v>
      </c>
      <c r="E63" s="30">
        <f>'เย็น 162'!E63+'เช้า 208'!E63</f>
        <v>0</v>
      </c>
      <c r="F63" s="30">
        <f>'เย็น 162'!F63+'เช้า 208'!F63</f>
        <v>1</v>
      </c>
      <c r="G63" s="30">
        <f>'เย็น 162'!G63+'เช้า 208'!G63</f>
        <v>44</v>
      </c>
      <c r="H63" s="30">
        <f>'เย็น 162'!H63+'เช้า 208'!H63</f>
        <v>0</v>
      </c>
      <c r="I63" s="30">
        <f>'เย็น 162'!I63+'เช้า 208'!I63</f>
        <v>0</v>
      </c>
      <c r="J63" s="30">
        <f>'เย็น 162'!J63+'เช้า 208'!J63</f>
        <v>0</v>
      </c>
      <c r="K63" s="36">
        <f t="shared" si="0"/>
        <v>46</v>
      </c>
      <c r="L63" s="11"/>
      <c r="M63" s="11"/>
      <c r="N63" s="11"/>
      <c r="O63" s="11"/>
      <c r="P63" s="50">
        <f t="shared" si="2"/>
        <v>-46</v>
      </c>
    </row>
    <row r="64" spans="2:20" x14ac:dyDescent="0.25">
      <c r="B64" s="11">
        <v>1111082</v>
      </c>
      <c r="C64" s="15" t="s">
        <v>52</v>
      </c>
      <c r="D64" s="30">
        <f>'เย็น 162'!D64+'เช้า 208'!D64</f>
        <v>1</v>
      </c>
      <c r="E64" s="30">
        <f>'เย็น 162'!E64+'เช้า 208'!E64</f>
        <v>0</v>
      </c>
      <c r="F64" s="30">
        <f>'เย็น 162'!F64+'เช้า 208'!F64</f>
        <v>1</v>
      </c>
      <c r="G64" s="30">
        <f>'เย็น 162'!G64+'เช้า 208'!G64</f>
        <v>44</v>
      </c>
      <c r="H64" s="30">
        <f>'เย็น 162'!H64+'เช้า 208'!H64</f>
        <v>0</v>
      </c>
      <c r="I64" s="30">
        <f>'เย็น 162'!I64+'เช้า 208'!I64</f>
        <v>0</v>
      </c>
      <c r="J64" s="30">
        <f>'เย็น 162'!J64+'เช้า 208'!J64</f>
        <v>0</v>
      </c>
      <c r="K64" s="36">
        <f t="shared" si="0"/>
        <v>46</v>
      </c>
      <c r="L64" s="11"/>
      <c r="M64" s="11"/>
      <c r="N64" s="11"/>
      <c r="O64" s="11"/>
      <c r="P64" s="50">
        <f t="shared" si="2"/>
        <v>-46</v>
      </c>
    </row>
    <row r="65" spans="2:27" x14ac:dyDescent="0.3">
      <c r="B65" s="11">
        <v>1111083</v>
      </c>
      <c r="C65" s="15" t="s">
        <v>53</v>
      </c>
      <c r="D65" s="30">
        <f>'เย็น 162'!D65+'เช้า 208'!D65</f>
        <v>1</v>
      </c>
      <c r="E65" s="30">
        <f>'เย็น 162'!E65+'เช้า 208'!E65</f>
        <v>0</v>
      </c>
      <c r="F65" s="30">
        <f>'เย็น 162'!F65+'เช้า 208'!F65</f>
        <v>1</v>
      </c>
      <c r="G65" s="30">
        <f>'เย็น 162'!G65+'เช้า 208'!G65</f>
        <v>44</v>
      </c>
      <c r="H65" s="30">
        <f>'เย็น 162'!H65+'เช้า 208'!H65</f>
        <v>0</v>
      </c>
      <c r="I65" s="30">
        <f>'เย็น 162'!I65+'เช้า 208'!I65</f>
        <v>0</v>
      </c>
      <c r="J65" s="30">
        <f>'เย็น 162'!J65+'เช้า 208'!J65</f>
        <v>0</v>
      </c>
      <c r="K65" s="36">
        <f t="shared" si="0"/>
        <v>46</v>
      </c>
      <c r="L65" s="11"/>
      <c r="M65" s="11"/>
      <c r="N65" s="11"/>
      <c r="O65" s="11"/>
      <c r="P65" s="50">
        <f t="shared" si="2"/>
        <v>-46</v>
      </c>
      <c r="R65" s="52"/>
      <c r="T65" s="52"/>
      <c r="Y65" s="75"/>
      <c r="AA65" s="74"/>
    </row>
    <row r="66" spans="2:27" x14ac:dyDescent="0.25">
      <c r="B66" s="11">
        <v>1111010</v>
      </c>
      <c r="C66" s="15" t="s">
        <v>54</v>
      </c>
      <c r="D66" s="30">
        <f>'เย็น 162'!D66+'เช้า 208'!D66</f>
        <v>0</v>
      </c>
      <c r="E66" s="30">
        <f>'เย็น 162'!E66+'เช้า 208'!E66</f>
        <v>0</v>
      </c>
      <c r="F66" s="30">
        <f>'เย็น 162'!F66+'เช้า 208'!F66</f>
        <v>0</v>
      </c>
      <c r="G66" s="30">
        <f>'เย็น 162'!G66+'เช้า 208'!G66</f>
        <v>0</v>
      </c>
      <c r="H66" s="30">
        <f>'เย็น 162'!H66+'เช้า 208'!H66</f>
        <v>0</v>
      </c>
      <c r="I66" s="30">
        <f>'เย็น 162'!I66+'เช้า 208'!I66</f>
        <v>0</v>
      </c>
      <c r="J66" s="30">
        <f>'เย็น 162'!J66+'เช้า 208'!J66</f>
        <v>0</v>
      </c>
      <c r="K66" s="36">
        <f t="shared" si="0"/>
        <v>0</v>
      </c>
      <c r="L66" s="11"/>
      <c r="M66" s="11"/>
      <c r="N66" s="11"/>
      <c r="O66" s="11"/>
      <c r="P66" s="50">
        <f t="shared" si="2"/>
        <v>0</v>
      </c>
    </row>
    <row r="67" spans="2:27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36">
        <f t="shared" si="0"/>
        <v>0</v>
      </c>
      <c r="L67" s="11"/>
      <c r="M67" s="11"/>
      <c r="N67" s="11"/>
      <c r="O67" s="11"/>
      <c r="P67" s="50">
        <f t="shared" si="2"/>
        <v>0</v>
      </c>
    </row>
    <row r="68" spans="2:27" ht="19.5" x14ac:dyDescent="0.25">
      <c r="B68" s="68" t="s">
        <v>55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70"/>
    </row>
    <row r="69" spans="2:27" x14ac:dyDescent="0.25">
      <c r="B69" s="11">
        <v>1111009</v>
      </c>
      <c r="C69" s="19" t="s">
        <v>56</v>
      </c>
      <c r="D69" s="30">
        <f>'เย็น 162'!D69+'เช้า 208'!D69</f>
        <v>7</v>
      </c>
      <c r="E69" s="30">
        <f>'เย็น 162'!E69+'เช้า 208'!E69</f>
        <v>2</v>
      </c>
      <c r="F69" s="30">
        <f>'เย็น 162'!F69+'เช้า 208'!F69</f>
        <v>5</v>
      </c>
      <c r="G69" s="30">
        <f>'เย็น 162'!G69+'เช้า 208'!G69</f>
        <v>7</v>
      </c>
      <c r="H69" s="30">
        <f>'เย็น 162'!H69+'เช้า 208'!H69</f>
        <v>0</v>
      </c>
      <c r="I69" s="30">
        <f>'เย็น 162'!I69+'เช้า 208'!I69</f>
        <v>0</v>
      </c>
      <c r="J69" s="30">
        <f>'เย็น 162'!J69+'เช้า 208'!J69</f>
        <v>1</v>
      </c>
      <c r="K69" s="36">
        <f>SUM(D69:J69)</f>
        <v>22</v>
      </c>
      <c r="L69" s="11"/>
      <c r="M69" s="11"/>
      <c r="N69" s="11"/>
      <c r="O69" s="11"/>
      <c r="P69" s="50">
        <f t="shared" si="2"/>
        <v>-22</v>
      </c>
      <c r="T69" s="51">
        <v>4</v>
      </c>
      <c r="U69" s="51">
        <v>100</v>
      </c>
      <c r="V69" s="51">
        <f>SUM(T69:U69)</f>
        <v>104</v>
      </c>
    </row>
    <row r="70" spans="2:27" hidden="1" x14ac:dyDescent="0.25">
      <c r="B70" s="11">
        <v>1111023</v>
      </c>
      <c r="C70" s="19" t="s">
        <v>57</v>
      </c>
      <c r="D70" s="30">
        <f>'เย็น 162'!D70+'เช้า 208'!D70</f>
        <v>0</v>
      </c>
      <c r="E70" s="30">
        <f>'เย็น 162'!E70+'เช้า 208'!E70</f>
        <v>0</v>
      </c>
      <c r="F70" s="30">
        <f>'เย็น 162'!F70+'เช้า 208'!F70</f>
        <v>0</v>
      </c>
      <c r="G70" s="30">
        <f>'เย็น 162'!G70+'เช้า 208'!G70</f>
        <v>0</v>
      </c>
      <c r="H70" s="30">
        <f>'เย็น 162'!H70+'เช้า 208'!H70</f>
        <v>0</v>
      </c>
      <c r="I70" s="30">
        <f>'เย็น 162'!I70+'เช้า 208'!I70</f>
        <v>0</v>
      </c>
      <c r="J70" s="30">
        <f>'เย็น 162'!J70+'เช้า 208'!J70</f>
        <v>0</v>
      </c>
      <c r="K70" s="36">
        <f t="shared" ref="K70:K76" si="3">SUM(D70:J70)</f>
        <v>0</v>
      </c>
      <c r="L70" s="11"/>
      <c r="M70" s="11"/>
      <c r="N70" s="11"/>
      <c r="O70" s="11"/>
      <c r="P70" s="50">
        <f t="shared" si="2"/>
        <v>0</v>
      </c>
    </row>
    <row r="71" spans="2:27" hidden="1" x14ac:dyDescent="0.25">
      <c r="B71" s="11">
        <v>1111016</v>
      </c>
      <c r="C71" s="19" t="s">
        <v>58</v>
      </c>
      <c r="D71" s="30">
        <f>'เย็น 162'!D71+'เช้า 208'!D71</f>
        <v>0</v>
      </c>
      <c r="E71" s="30">
        <f>'เย็น 162'!E71+'เช้า 208'!E71</f>
        <v>0</v>
      </c>
      <c r="F71" s="30">
        <f>'เย็น 162'!F71+'เช้า 208'!F71</f>
        <v>0</v>
      </c>
      <c r="G71" s="30">
        <f>'เย็น 162'!G71+'เช้า 208'!G71</f>
        <v>0</v>
      </c>
      <c r="H71" s="30">
        <f>'เย็น 162'!H71+'เช้า 208'!H71</f>
        <v>0</v>
      </c>
      <c r="I71" s="30">
        <f>'เย็น 162'!I71+'เช้า 208'!I71</f>
        <v>0</v>
      </c>
      <c r="J71" s="30">
        <f>'เย็น 162'!J71+'เช้า 208'!J71</f>
        <v>0</v>
      </c>
      <c r="K71" s="36">
        <f t="shared" si="3"/>
        <v>0</v>
      </c>
      <c r="L71" s="11"/>
      <c r="M71" s="11"/>
      <c r="N71" s="11"/>
      <c r="O71" s="11"/>
      <c r="P71" s="50">
        <f t="shared" si="2"/>
        <v>0</v>
      </c>
    </row>
    <row r="72" spans="2:27" hidden="1" x14ac:dyDescent="0.25">
      <c r="B72" s="11">
        <v>1111014</v>
      </c>
      <c r="C72" s="19" t="s">
        <v>59</v>
      </c>
      <c r="D72" s="30">
        <f>'เย็น 162'!D72+'เช้า 208'!D72</f>
        <v>0</v>
      </c>
      <c r="E72" s="30">
        <f>'เย็น 162'!E72+'เช้า 208'!E72</f>
        <v>0</v>
      </c>
      <c r="F72" s="30">
        <f>'เย็น 162'!F72+'เช้า 208'!F72</f>
        <v>0</v>
      </c>
      <c r="G72" s="30">
        <f>'เย็น 162'!G72+'เช้า 208'!G72</f>
        <v>0</v>
      </c>
      <c r="H72" s="30">
        <f>'เย็น 162'!H72+'เช้า 208'!H72</f>
        <v>0</v>
      </c>
      <c r="I72" s="30">
        <f>'เย็น 162'!I72+'เช้า 208'!I72</f>
        <v>0</v>
      </c>
      <c r="J72" s="30">
        <f>'เย็น 162'!J72+'เช้า 208'!J72</f>
        <v>0</v>
      </c>
      <c r="K72" s="36">
        <f t="shared" si="3"/>
        <v>0</v>
      </c>
      <c r="L72" s="11"/>
      <c r="M72" s="11"/>
      <c r="N72" s="11"/>
      <c r="O72" s="11"/>
      <c r="P72" s="50">
        <f t="shared" ref="P72:P129" si="4">(L72+M72+N72+O72)-K72</f>
        <v>0</v>
      </c>
    </row>
    <row r="73" spans="2:27" hidden="1" x14ac:dyDescent="0.25">
      <c r="B73" s="11">
        <v>1111025</v>
      </c>
      <c r="C73" s="19" t="s">
        <v>60</v>
      </c>
      <c r="D73" s="30">
        <f>'เย็น 162'!D73+'เช้า 208'!D73</f>
        <v>0</v>
      </c>
      <c r="E73" s="30">
        <f>'เย็น 162'!E73+'เช้า 208'!E73</f>
        <v>0</v>
      </c>
      <c r="F73" s="30">
        <f>'เย็น 162'!F73+'เช้า 208'!F73</f>
        <v>0</v>
      </c>
      <c r="G73" s="30">
        <f>'เย็น 162'!G73+'เช้า 208'!G73</f>
        <v>0</v>
      </c>
      <c r="H73" s="30">
        <f>'เย็น 162'!H73+'เช้า 208'!H73</f>
        <v>0</v>
      </c>
      <c r="I73" s="30">
        <f>'เย็น 162'!I73+'เช้า 208'!I73</f>
        <v>0</v>
      </c>
      <c r="J73" s="30">
        <f>'เย็น 162'!J73+'เช้า 208'!J73</f>
        <v>0</v>
      </c>
      <c r="K73" s="36">
        <f t="shared" si="3"/>
        <v>0</v>
      </c>
      <c r="L73" s="11"/>
      <c r="M73" s="11"/>
      <c r="N73" s="11"/>
      <c r="O73" s="11"/>
      <c r="P73" s="50">
        <f t="shared" si="4"/>
        <v>0</v>
      </c>
    </row>
    <row r="74" spans="2:27" hidden="1" x14ac:dyDescent="0.25">
      <c r="B74" s="11">
        <v>1111018</v>
      </c>
      <c r="C74" s="19" t="s">
        <v>61</v>
      </c>
      <c r="D74" s="30">
        <f>'เย็น 162'!D74+'เช้า 208'!D74</f>
        <v>0</v>
      </c>
      <c r="E74" s="30">
        <f>'เย็น 162'!E74+'เช้า 208'!E74</f>
        <v>0</v>
      </c>
      <c r="F74" s="30">
        <f>'เย็น 162'!F74+'เช้า 208'!F74</f>
        <v>0</v>
      </c>
      <c r="G74" s="30">
        <f>'เย็น 162'!G74+'เช้า 208'!G74</f>
        <v>0</v>
      </c>
      <c r="H74" s="30">
        <f>'เย็น 162'!H74+'เช้า 208'!H74</f>
        <v>0</v>
      </c>
      <c r="I74" s="30">
        <f>'เย็น 162'!I74+'เช้า 208'!I74</f>
        <v>0</v>
      </c>
      <c r="J74" s="30">
        <f>'เย็น 162'!J74+'เช้า 208'!J74</f>
        <v>0</v>
      </c>
      <c r="K74" s="36">
        <f t="shared" si="3"/>
        <v>0</v>
      </c>
      <c r="L74" s="11"/>
      <c r="M74" s="11"/>
      <c r="N74" s="11"/>
      <c r="O74" s="11"/>
      <c r="P74" s="50">
        <f t="shared" si="4"/>
        <v>0</v>
      </c>
    </row>
    <row r="75" spans="2:27" hidden="1" x14ac:dyDescent="0.25">
      <c r="B75" s="11">
        <v>1111012</v>
      </c>
      <c r="C75" s="19" t="s">
        <v>62</v>
      </c>
      <c r="D75" s="30">
        <f>'เย็น 162'!D75+'เช้า 208'!D75</f>
        <v>0</v>
      </c>
      <c r="E75" s="30">
        <f>'เย็น 162'!E75+'เช้า 208'!E75</f>
        <v>0</v>
      </c>
      <c r="F75" s="30">
        <f>'เย็น 162'!F75+'เช้า 208'!F75</f>
        <v>0</v>
      </c>
      <c r="G75" s="30">
        <f>'เย็น 162'!G75+'เช้า 208'!G75</f>
        <v>0</v>
      </c>
      <c r="H75" s="30">
        <f>'เย็น 162'!H75+'เช้า 208'!H75</f>
        <v>0</v>
      </c>
      <c r="I75" s="30">
        <f>'เย็น 162'!I75+'เช้า 208'!I75</f>
        <v>0</v>
      </c>
      <c r="J75" s="30">
        <f>'เย็น 162'!J75+'เช้า 208'!J75</f>
        <v>0</v>
      </c>
      <c r="K75" s="36">
        <f t="shared" si="3"/>
        <v>0</v>
      </c>
      <c r="L75" s="11"/>
      <c r="M75" s="11"/>
      <c r="N75" s="11"/>
      <c r="O75" s="11"/>
      <c r="P75" s="50">
        <f t="shared" si="4"/>
        <v>0</v>
      </c>
    </row>
    <row r="76" spans="2:27" hidden="1" x14ac:dyDescent="0.25">
      <c r="B76" s="11">
        <v>1111020</v>
      </c>
      <c r="C76" s="19" t="s">
        <v>63</v>
      </c>
      <c r="D76" s="30">
        <f>'เย็น 162'!D76+'เช้า 208'!D76</f>
        <v>0</v>
      </c>
      <c r="E76" s="30">
        <f>'เย็น 162'!E76+'เช้า 208'!E76</f>
        <v>0</v>
      </c>
      <c r="F76" s="30">
        <f>'เย็น 162'!F76+'เช้า 208'!F76</f>
        <v>0</v>
      </c>
      <c r="G76" s="30">
        <f>'เย็น 162'!G76+'เช้า 208'!G76</f>
        <v>0</v>
      </c>
      <c r="H76" s="30">
        <f>'เย็น 162'!H76+'เช้า 208'!H76</f>
        <v>0</v>
      </c>
      <c r="I76" s="30">
        <f>'เย็น 162'!I76+'เช้า 208'!I76</f>
        <v>0</v>
      </c>
      <c r="J76" s="30">
        <f>'เย็น 162'!J76+'เช้า 208'!J76</f>
        <v>0</v>
      </c>
      <c r="K76" s="36">
        <f t="shared" si="3"/>
        <v>0</v>
      </c>
      <c r="L76" s="11"/>
      <c r="M76" s="11"/>
      <c r="N76" s="11"/>
      <c r="O76" s="11"/>
      <c r="P76" s="50">
        <f t="shared" si="4"/>
        <v>0</v>
      </c>
    </row>
    <row r="77" spans="2:27" hidden="1" x14ac:dyDescent="0.25">
      <c r="B77" s="18"/>
      <c r="C77" s="20" t="s">
        <v>1</v>
      </c>
      <c r="D77" s="30">
        <f>'เย็น 162'!D77+'เช้า 208'!D77</f>
        <v>0</v>
      </c>
      <c r="E77" s="30">
        <f>'เย็น 162'!E77+'เช้า 208'!E77</f>
        <v>0</v>
      </c>
      <c r="F77" s="30">
        <f>'เย็น 162'!F77+'เช้า 208'!F77</f>
        <v>0</v>
      </c>
      <c r="G77" s="30">
        <f>'เย็น 162'!G77+'เช้า 208'!G77</f>
        <v>0</v>
      </c>
      <c r="H77" s="30">
        <f>'เย็น 162'!H77+'เช้า 208'!H77</f>
        <v>0</v>
      </c>
      <c r="I77" s="30">
        <f>'เย็น 162'!I77+'เช้า 208'!I77</f>
        <v>0</v>
      </c>
      <c r="J77" s="30">
        <f>'เย็น 162'!J77+'เช้า 208'!J77</f>
        <v>0</v>
      </c>
      <c r="K77" s="36"/>
      <c r="L77" s="11"/>
      <c r="M77" s="11"/>
      <c r="N77" s="11"/>
      <c r="O77" s="11"/>
      <c r="P77" s="50">
        <f t="shared" si="4"/>
        <v>0</v>
      </c>
    </row>
    <row r="78" spans="2:27" ht="19.5" x14ac:dyDescent="0.25">
      <c r="B78" s="68" t="s">
        <v>64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70"/>
    </row>
    <row r="79" spans="2:27" hidden="1" x14ac:dyDescent="0.25">
      <c r="B79" s="11">
        <v>1111022</v>
      </c>
      <c r="C79" s="19" t="s">
        <v>65</v>
      </c>
      <c r="D79" s="30">
        <f>'เย็น 162'!D79+'เช้า 208'!D79</f>
        <v>0</v>
      </c>
      <c r="E79" s="30">
        <f>'เย็น 162'!E79+'เช้า 208'!E79</f>
        <v>0</v>
      </c>
      <c r="F79" s="30">
        <f>'เย็น 162'!F79+'เช้า 208'!F79</f>
        <v>0</v>
      </c>
      <c r="G79" s="30">
        <f>'เย็น 162'!G79+'เช้า 208'!G79</f>
        <v>0</v>
      </c>
      <c r="H79" s="30">
        <f>'เย็น 162'!H79+'เช้า 208'!H79</f>
        <v>0</v>
      </c>
      <c r="I79" s="30">
        <f>'เย็น 162'!I79+'เช้า 208'!I79</f>
        <v>0</v>
      </c>
      <c r="J79" s="30">
        <f>'เย็น 162'!J79+'เช้า 208'!J79</f>
        <v>0</v>
      </c>
      <c r="K79" s="36">
        <f>SUM(D79:J79)</f>
        <v>0</v>
      </c>
      <c r="L79" s="11"/>
      <c r="M79" s="11"/>
      <c r="N79" s="11"/>
      <c r="O79" s="11"/>
      <c r="P79" s="50">
        <f t="shared" si="4"/>
        <v>0</v>
      </c>
    </row>
    <row r="80" spans="2:27" hidden="1" x14ac:dyDescent="0.25">
      <c r="B80" s="11">
        <v>1111015</v>
      </c>
      <c r="C80" s="19" t="s">
        <v>66</v>
      </c>
      <c r="D80" s="30">
        <f>'เย็น 162'!D80+'เช้า 208'!D80</f>
        <v>0</v>
      </c>
      <c r="E80" s="30">
        <f>'เย็น 162'!E80+'เช้า 208'!E80</f>
        <v>0</v>
      </c>
      <c r="F80" s="30">
        <f>'เย็น 162'!F80+'เช้า 208'!F80</f>
        <v>0</v>
      </c>
      <c r="G80" s="30">
        <f>'เย็น 162'!G80+'เช้า 208'!G80</f>
        <v>0</v>
      </c>
      <c r="H80" s="30">
        <f>'เย็น 162'!H80+'เช้า 208'!H80</f>
        <v>0</v>
      </c>
      <c r="I80" s="30">
        <f>'เย็น 162'!I80+'เช้า 208'!I80</f>
        <v>0</v>
      </c>
      <c r="J80" s="30">
        <f>'เย็น 162'!J80+'เช้า 208'!J80</f>
        <v>0</v>
      </c>
      <c r="K80" s="36">
        <f t="shared" ref="K80:K87" si="5">SUM(D80:J80)</f>
        <v>0</v>
      </c>
      <c r="L80" s="11"/>
      <c r="M80" s="11"/>
      <c r="N80" s="11"/>
      <c r="O80" s="11"/>
      <c r="P80" s="50">
        <f t="shared" si="4"/>
        <v>0</v>
      </c>
    </row>
    <row r="81" spans="2:24" hidden="1" x14ac:dyDescent="0.25">
      <c r="B81" s="11">
        <v>1111013</v>
      </c>
      <c r="C81" s="19" t="s">
        <v>67</v>
      </c>
      <c r="D81" s="30">
        <f>'เย็น 162'!D81+'เช้า 208'!D81</f>
        <v>0</v>
      </c>
      <c r="E81" s="30">
        <f>'เย็น 162'!E81+'เช้า 208'!E81</f>
        <v>0</v>
      </c>
      <c r="F81" s="30">
        <f>'เย็น 162'!F81+'เช้า 208'!F81</f>
        <v>0</v>
      </c>
      <c r="G81" s="30">
        <f>'เย็น 162'!G81+'เช้า 208'!G81</f>
        <v>0</v>
      </c>
      <c r="H81" s="30">
        <f>'เย็น 162'!H81+'เช้า 208'!H81</f>
        <v>0</v>
      </c>
      <c r="I81" s="30">
        <f>'เย็น 162'!I81+'เช้า 208'!I81</f>
        <v>0</v>
      </c>
      <c r="J81" s="30">
        <f>'เย็น 162'!J81+'เช้า 208'!J81</f>
        <v>0</v>
      </c>
      <c r="K81" s="36">
        <f t="shared" si="5"/>
        <v>0</v>
      </c>
      <c r="L81" s="11"/>
      <c r="M81" s="11"/>
      <c r="N81" s="11"/>
      <c r="O81" s="11"/>
      <c r="P81" s="50">
        <f t="shared" si="4"/>
        <v>0</v>
      </c>
    </row>
    <row r="82" spans="2:24" hidden="1" x14ac:dyDescent="0.25">
      <c r="B82" s="11">
        <v>1111024</v>
      </c>
      <c r="C82" s="19" t="s">
        <v>68</v>
      </c>
      <c r="D82" s="30">
        <f>'เย็น 162'!D82+'เช้า 208'!D82</f>
        <v>0</v>
      </c>
      <c r="E82" s="30">
        <f>'เย็น 162'!E82+'เช้า 208'!E82</f>
        <v>0</v>
      </c>
      <c r="F82" s="30">
        <f>'เย็น 162'!F82+'เช้า 208'!F82</f>
        <v>0</v>
      </c>
      <c r="G82" s="30">
        <f>'เย็น 162'!G82+'เช้า 208'!G82</f>
        <v>0</v>
      </c>
      <c r="H82" s="30">
        <f>'เย็น 162'!H82+'เช้า 208'!H82</f>
        <v>0</v>
      </c>
      <c r="I82" s="30">
        <f>'เย็น 162'!I82+'เช้า 208'!I82</f>
        <v>0</v>
      </c>
      <c r="J82" s="30">
        <f>'เย็น 162'!J82+'เช้า 208'!J82</f>
        <v>0</v>
      </c>
      <c r="K82" s="36">
        <f t="shared" si="5"/>
        <v>0</v>
      </c>
      <c r="L82" s="11"/>
      <c r="M82" s="11"/>
      <c r="N82" s="11"/>
      <c r="O82" s="11"/>
      <c r="P82" s="50">
        <f t="shared" si="4"/>
        <v>0</v>
      </c>
    </row>
    <row r="83" spans="2:24" hidden="1" x14ac:dyDescent="0.25">
      <c r="B83" s="11">
        <v>1111017</v>
      </c>
      <c r="C83" s="19" t="s">
        <v>69</v>
      </c>
      <c r="D83" s="30">
        <f>'เย็น 162'!D83+'เช้า 208'!D83</f>
        <v>0</v>
      </c>
      <c r="E83" s="30">
        <f>'เย็น 162'!E83+'เช้า 208'!E83</f>
        <v>0</v>
      </c>
      <c r="F83" s="30">
        <f>'เย็น 162'!F83+'เช้า 208'!F83</f>
        <v>0</v>
      </c>
      <c r="G83" s="30">
        <f>'เย็น 162'!G83+'เช้า 208'!G83</f>
        <v>0</v>
      </c>
      <c r="H83" s="30">
        <f>'เย็น 162'!H83+'เช้า 208'!H83</f>
        <v>0</v>
      </c>
      <c r="I83" s="30">
        <f>'เย็น 162'!I83+'เช้า 208'!I83</f>
        <v>0</v>
      </c>
      <c r="J83" s="30">
        <f>'เย็น 162'!J83+'เช้า 208'!J83</f>
        <v>0</v>
      </c>
      <c r="K83" s="36">
        <f t="shared" si="5"/>
        <v>0</v>
      </c>
      <c r="L83" s="11"/>
      <c r="M83" s="11"/>
      <c r="N83" s="11"/>
      <c r="O83" s="11"/>
      <c r="P83" s="50">
        <f t="shared" si="4"/>
        <v>0</v>
      </c>
    </row>
    <row r="84" spans="2:24" hidden="1" x14ac:dyDescent="0.25">
      <c r="B84" s="11">
        <v>1111011</v>
      </c>
      <c r="C84" s="19" t="s">
        <v>70</v>
      </c>
      <c r="D84" s="30">
        <f>'เย็น 162'!D84+'เช้า 208'!D84</f>
        <v>0</v>
      </c>
      <c r="E84" s="30">
        <f>'เย็น 162'!E84+'เช้า 208'!E84</f>
        <v>0</v>
      </c>
      <c r="F84" s="30">
        <f>'เย็น 162'!F84+'เช้า 208'!F84</f>
        <v>0</v>
      </c>
      <c r="G84" s="30">
        <f>'เย็น 162'!G84+'เช้า 208'!G84</f>
        <v>0</v>
      </c>
      <c r="H84" s="30">
        <f>'เย็น 162'!H84+'เช้า 208'!H84</f>
        <v>0</v>
      </c>
      <c r="I84" s="30">
        <f>'เย็น 162'!I84+'เช้า 208'!I84</f>
        <v>0</v>
      </c>
      <c r="J84" s="30">
        <f>'เย็น 162'!J84+'เช้า 208'!J84</f>
        <v>0</v>
      </c>
      <c r="K84" s="36">
        <f t="shared" si="5"/>
        <v>0</v>
      </c>
      <c r="L84" s="11"/>
      <c r="M84" s="11"/>
      <c r="N84" s="11"/>
      <c r="O84" s="11"/>
      <c r="P84" s="50">
        <f t="shared" si="4"/>
        <v>0</v>
      </c>
    </row>
    <row r="85" spans="2:24" hidden="1" x14ac:dyDescent="0.25">
      <c r="B85" s="11">
        <v>1111019</v>
      </c>
      <c r="C85" s="19" t="s">
        <v>71</v>
      </c>
      <c r="D85" s="30">
        <f>'เย็น 162'!D85+'เช้า 208'!D85</f>
        <v>0</v>
      </c>
      <c r="E85" s="30">
        <f>'เย็น 162'!E85+'เช้า 208'!E85</f>
        <v>0</v>
      </c>
      <c r="F85" s="30">
        <f>'เย็น 162'!F85+'เช้า 208'!F85</f>
        <v>0</v>
      </c>
      <c r="G85" s="30">
        <f>'เย็น 162'!G85+'เช้า 208'!G85</f>
        <v>0</v>
      </c>
      <c r="H85" s="30">
        <f>'เย็น 162'!H85+'เช้า 208'!H85</f>
        <v>0</v>
      </c>
      <c r="I85" s="30">
        <f>'เย็น 162'!I85+'เช้า 208'!I85</f>
        <v>0</v>
      </c>
      <c r="J85" s="30">
        <f>'เย็น 162'!J85+'เช้า 208'!J85</f>
        <v>0</v>
      </c>
      <c r="K85" s="36">
        <f t="shared" si="5"/>
        <v>0</v>
      </c>
      <c r="L85" s="11"/>
      <c r="M85" s="11"/>
      <c r="N85" s="11"/>
      <c r="O85" s="11"/>
      <c r="P85" s="50">
        <f t="shared" si="4"/>
        <v>0</v>
      </c>
    </row>
    <row r="86" spans="2:24" hidden="1" x14ac:dyDescent="0.25">
      <c r="B86" s="11">
        <v>1113081</v>
      </c>
      <c r="C86" s="19" t="s">
        <v>72</v>
      </c>
      <c r="D86" s="30">
        <f>'เย็น 162'!D86+'เช้า 208'!D86</f>
        <v>0</v>
      </c>
      <c r="E86" s="30">
        <f>'เย็น 162'!E86+'เช้า 208'!E86</f>
        <v>0</v>
      </c>
      <c r="F86" s="30">
        <f>'เย็น 162'!F86+'เช้า 208'!F86</f>
        <v>0</v>
      </c>
      <c r="G86" s="30">
        <f>'เย็น 162'!G86+'เช้า 208'!G86</f>
        <v>0</v>
      </c>
      <c r="H86" s="30">
        <f>'เย็น 162'!H86+'เช้า 208'!H86</f>
        <v>0</v>
      </c>
      <c r="I86" s="30">
        <f>'เย็น 162'!I86+'เช้า 208'!I86</f>
        <v>0</v>
      </c>
      <c r="J86" s="30">
        <f>'เย็น 162'!J86+'เช้า 208'!J86</f>
        <v>0</v>
      </c>
      <c r="K86" s="36">
        <f t="shared" si="5"/>
        <v>0</v>
      </c>
      <c r="L86" s="11"/>
      <c r="M86" s="11"/>
      <c r="N86" s="11"/>
      <c r="O86" s="11"/>
      <c r="P86" s="50">
        <f t="shared" si="4"/>
        <v>0</v>
      </c>
    </row>
    <row r="87" spans="2:24" x14ac:dyDescent="0.25">
      <c r="B87" s="11">
        <v>1111008</v>
      </c>
      <c r="C87" s="19" t="s">
        <v>73</v>
      </c>
      <c r="D87" s="30">
        <f>'เย็น 162'!D87+'เช้า 208'!D87</f>
        <v>15</v>
      </c>
      <c r="E87" s="30">
        <f>'เย็น 162'!E87+'เช้า 208'!E87</f>
        <v>12</v>
      </c>
      <c r="F87" s="30">
        <f>'เย็น 162'!F87+'เช้า 208'!F87</f>
        <v>0</v>
      </c>
      <c r="G87" s="30">
        <f>'เย็น 162'!G87+'เช้า 208'!G87</f>
        <v>96</v>
      </c>
      <c r="H87" s="30">
        <f>'เย็น 162'!H87+'เช้า 208'!H87</f>
        <v>0</v>
      </c>
      <c r="I87" s="30">
        <f>'เย็น 162'!I87+'เช้า 208'!I87</f>
        <v>0</v>
      </c>
      <c r="J87" s="30">
        <f>'เย็น 162'!J87+'เช้า 208'!J87</f>
        <v>0</v>
      </c>
      <c r="K87" s="36">
        <f t="shared" si="5"/>
        <v>123</v>
      </c>
      <c r="L87" s="11"/>
      <c r="M87" s="11"/>
      <c r="N87" s="11"/>
      <c r="O87" s="11"/>
      <c r="P87" s="50">
        <f t="shared" si="4"/>
        <v>-123</v>
      </c>
      <c r="T87" s="51">
        <v>357</v>
      </c>
      <c r="U87" s="51">
        <v>200</v>
      </c>
      <c r="V87" s="51">
        <f>SUM(T87:U87)</f>
        <v>557</v>
      </c>
    </row>
    <row r="88" spans="2:24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36">
        <f>SUM(D88:J88)</f>
        <v>0</v>
      </c>
      <c r="L88" s="11"/>
      <c r="M88" s="11"/>
      <c r="N88" s="11"/>
      <c r="O88" s="11"/>
      <c r="P88" s="50">
        <f t="shared" si="4"/>
        <v>0</v>
      </c>
    </row>
    <row r="89" spans="2:24" ht="19.5" x14ac:dyDescent="0.25">
      <c r="B89" s="68" t="s">
        <v>74</v>
      </c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70"/>
    </row>
    <row r="90" spans="2:24" x14ac:dyDescent="0.25">
      <c r="B90" s="11">
        <v>1112009</v>
      </c>
      <c r="C90" s="19" t="s">
        <v>75</v>
      </c>
      <c r="D90" s="30">
        <f>'เย็น 162'!D90+'เช้า 208'!D90</f>
        <v>13</v>
      </c>
      <c r="E90" s="30">
        <f>'เย็น 162'!E90+'เช้า 208'!E90</f>
        <v>31</v>
      </c>
      <c r="F90" s="30">
        <f>'เย็น 162'!F90+'เช้า 208'!F90</f>
        <v>5</v>
      </c>
      <c r="G90" s="30">
        <f>'เย็น 162'!G90+'เช้า 208'!G90</f>
        <v>54</v>
      </c>
      <c r="H90" s="30">
        <f>'เย็น 162'!H90+'เช้า 208'!H90</f>
        <v>0</v>
      </c>
      <c r="I90" s="30">
        <f>'เย็น 162'!I90+'เช้า 208'!I90</f>
        <v>0</v>
      </c>
      <c r="J90" s="30">
        <f>'เย็น 162'!J90+'เช้า 208'!J90</f>
        <v>1</v>
      </c>
      <c r="K90" s="36">
        <f>SUM(D90:J90)</f>
        <v>104</v>
      </c>
      <c r="L90" s="11"/>
      <c r="M90" s="11"/>
      <c r="N90" s="11"/>
      <c r="O90" s="11"/>
      <c r="P90" s="50">
        <f t="shared" si="4"/>
        <v>-104</v>
      </c>
      <c r="S90" s="52"/>
      <c r="T90" s="51">
        <v>138</v>
      </c>
      <c r="U90" s="51">
        <v>120</v>
      </c>
      <c r="V90" s="51">
        <f>SUM(T90:U90)</f>
        <v>258</v>
      </c>
      <c r="W90" s="51">
        <v>19</v>
      </c>
      <c r="X90" s="51">
        <f>V90-W90</f>
        <v>239</v>
      </c>
    </row>
    <row r="91" spans="2:24" x14ac:dyDescent="0.25">
      <c r="B91" s="11">
        <v>1112011</v>
      </c>
      <c r="C91" s="19" t="s">
        <v>76</v>
      </c>
      <c r="D91" s="30">
        <f>'เย็น 162'!D91+'เช้า 208'!D91</f>
        <v>14</v>
      </c>
      <c r="E91" s="30">
        <f>'เย็น 162'!E91+'เช้า 208'!E91</f>
        <v>30</v>
      </c>
      <c r="F91" s="30">
        <f>'เย็น 162'!F91+'เช้า 208'!F91</f>
        <v>12</v>
      </c>
      <c r="G91" s="30">
        <f>'เย็น 162'!G91+'เช้า 208'!G91</f>
        <v>54</v>
      </c>
      <c r="H91" s="30">
        <f>'เย็น 162'!H91+'เช้า 208'!H91</f>
        <v>0</v>
      </c>
      <c r="I91" s="30">
        <f>'เย็น 162'!I91+'เช้า 208'!I91</f>
        <v>0</v>
      </c>
      <c r="J91" s="30">
        <f>'เย็น 162'!J91+'เช้า 208'!J91</f>
        <v>0</v>
      </c>
      <c r="K91" s="36">
        <f t="shared" ref="K91:K99" si="6">SUM(D91:J91)</f>
        <v>110</v>
      </c>
      <c r="L91" s="11"/>
      <c r="M91" s="11"/>
      <c r="N91" s="11"/>
      <c r="O91" s="11"/>
      <c r="P91" s="50">
        <f t="shared" si="4"/>
        <v>-110</v>
      </c>
      <c r="S91" s="52"/>
      <c r="T91" s="51">
        <v>195</v>
      </c>
      <c r="U91" s="51">
        <v>160</v>
      </c>
      <c r="V91" s="51">
        <f t="shared" ref="V91:V98" si="7">SUM(T91:U91)</f>
        <v>355</v>
      </c>
      <c r="W91" s="51">
        <v>19</v>
      </c>
      <c r="X91" s="51">
        <f t="shared" ref="X91:X98" si="8">V91-W91</f>
        <v>336</v>
      </c>
    </row>
    <row r="92" spans="2:24" x14ac:dyDescent="0.25">
      <c r="B92" s="11">
        <v>1112003</v>
      </c>
      <c r="C92" s="19" t="s">
        <v>77</v>
      </c>
      <c r="D92" s="30">
        <f>'เย็น 162'!D92+'เช้า 208'!D92</f>
        <v>4</v>
      </c>
      <c r="E92" s="30">
        <f>'เย็น 162'!E92+'เช้า 208'!E92</f>
        <v>0</v>
      </c>
      <c r="F92" s="30">
        <f>'เย็น 162'!F92+'เช้า 208'!F92</f>
        <v>0</v>
      </c>
      <c r="G92" s="30">
        <f>'เย็น 162'!G92+'เช้า 208'!G92</f>
        <v>41</v>
      </c>
      <c r="H92" s="30">
        <f>'เย็น 162'!H92+'เช้า 208'!H92</f>
        <v>0</v>
      </c>
      <c r="I92" s="30">
        <f>'เย็น 162'!I92+'เช้า 208'!I92</f>
        <v>0</v>
      </c>
      <c r="J92" s="30">
        <f>'เย็น 162'!J92+'เช้า 208'!J92</f>
        <v>0</v>
      </c>
      <c r="K92" s="36">
        <f t="shared" si="6"/>
        <v>45</v>
      </c>
      <c r="L92" s="11"/>
      <c r="M92" s="11"/>
      <c r="N92" s="11"/>
      <c r="O92" s="11"/>
      <c r="P92" s="50">
        <f t="shared" si="4"/>
        <v>-45</v>
      </c>
      <c r="S92" s="52"/>
      <c r="T92" s="51">
        <v>12</v>
      </c>
      <c r="U92" s="51">
        <v>40</v>
      </c>
      <c r="V92" s="51">
        <f t="shared" si="7"/>
        <v>52</v>
      </c>
      <c r="W92" s="51">
        <v>8</v>
      </c>
      <c r="X92" s="51">
        <f t="shared" si="8"/>
        <v>44</v>
      </c>
    </row>
    <row r="93" spans="2:24" x14ac:dyDescent="0.25">
      <c r="B93" s="11">
        <v>1112005</v>
      </c>
      <c r="C93" s="19" t="s">
        <v>78</v>
      </c>
      <c r="D93" s="30">
        <f>'เย็น 162'!D93+'เช้า 208'!D93</f>
        <v>4</v>
      </c>
      <c r="E93" s="30">
        <f>'เย็น 162'!E93+'เช้า 208'!E93</f>
        <v>0</v>
      </c>
      <c r="F93" s="30">
        <f>'เย็น 162'!F93+'เช้า 208'!F93</f>
        <v>0</v>
      </c>
      <c r="G93" s="30">
        <f>'เย็น 162'!G93+'เช้า 208'!G93</f>
        <v>40</v>
      </c>
      <c r="H93" s="30">
        <f>'เย็น 162'!H93+'เช้า 208'!H93</f>
        <v>0</v>
      </c>
      <c r="I93" s="30">
        <f>'เย็น 162'!I93+'เช้า 208'!I93</f>
        <v>0</v>
      </c>
      <c r="J93" s="30">
        <f>'เย็น 162'!J93+'เช้า 208'!J93</f>
        <v>0</v>
      </c>
      <c r="K93" s="36">
        <f t="shared" si="6"/>
        <v>44</v>
      </c>
      <c r="L93" s="11"/>
      <c r="M93" s="11"/>
      <c r="N93" s="11"/>
      <c r="O93" s="11"/>
      <c r="P93" s="50">
        <f t="shared" si="4"/>
        <v>-44</v>
      </c>
      <c r="S93" s="52"/>
      <c r="T93" s="51">
        <v>-3</v>
      </c>
      <c r="U93" s="51">
        <v>40</v>
      </c>
      <c r="V93" s="51">
        <f t="shared" si="7"/>
        <v>37</v>
      </c>
      <c r="W93" s="51">
        <v>8</v>
      </c>
      <c r="X93" s="51">
        <f t="shared" si="8"/>
        <v>29</v>
      </c>
    </row>
    <row r="94" spans="2:24" hidden="1" x14ac:dyDescent="0.25">
      <c r="B94" s="11">
        <v>1112007</v>
      </c>
      <c r="C94" s="19" t="s">
        <v>79</v>
      </c>
      <c r="D94" s="30">
        <f>'เย็น 162'!D94+'เช้า 208'!D94</f>
        <v>0</v>
      </c>
      <c r="E94" s="30">
        <f>'เย็น 162'!E94+'เช้า 208'!E94</f>
        <v>0</v>
      </c>
      <c r="F94" s="30">
        <f>'เย็น 162'!F94+'เช้า 208'!F94</f>
        <v>0</v>
      </c>
      <c r="G94" s="30">
        <f>'เย็น 162'!G94+'เช้า 208'!G94</f>
        <v>0</v>
      </c>
      <c r="H94" s="30">
        <f>'เย็น 162'!H94+'เช้า 208'!H94</f>
        <v>0</v>
      </c>
      <c r="I94" s="30">
        <f>'เย็น 162'!I94+'เช้า 208'!I94</f>
        <v>0</v>
      </c>
      <c r="J94" s="30">
        <f>'เย็น 162'!J94+'เช้า 208'!J94</f>
        <v>0</v>
      </c>
      <c r="K94" s="36">
        <f t="shared" si="6"/>
        <v>0</v>
      </c>
      <c r="L94" s="11"/>
      <c r="M94" s="11"/>
      <c r="N94" s="11"/>
      <c r="O94" s="11"/>
      <c r="P94" s="50">
        <f t="shared" si="4"/>
        <v>0</v>
      </c>
      <c r="S94" s="52"/>
      <c r="V94" s="51">
        <f t="shared" si="7"/>
        <v>0</v>
      </c>
      <c r="X94" s="51">
        <f t="shared" si="8"/>
        <v>0</v>
      </c>
    </row>
    <row r="95" spans="2:24" hidden="1" x14ac:dyDescent="0.25">
      <c r="B95" s="11">
        <v>1112019</v>
      </c>
      <c r="C95" s="19" t="s">
        <v>80</v>
      </c>
      <c r="D95" s="30">
        <f>'เย็น 162'!D95+'เช้า 208'!D95</f>
        <v>0</v>
      </c>
      <c r="E95" s="30">
        <f>'เย็น 162'!E95+'เช้า 208'!E95</f>
        <v>0</v>
      </c>
      <c r="F95" s="30">
        <f>'เย็น 162'!F95+'เช้า 208'!F95</f>
        <v>0</v>
      </c>
      <c r="G95" s="30">
        <f>'เย็น 162'!G95+'เช้า 208'!G95</f>
        <v>0</v>
      </c>
      <c r="H95" s="30">
        <f>'เย็น 162'!H95+'เช้า 208'!H95</f>
        <v>0</v>
      </c>
      <c r="I95" s="30">
        <f>'เย็น 162'!I95+'เช้า 208'!I95</f>
        <v>0</v>
      </c>
      <c r="J95" s="30">
        <f>'เย็น 162'!J95+'เช้า 208'!J95</f>
        <v>0</v>
      </c>
      <c r="K95" s="36">
        <f t="shared" si="6"/>
        <v>0</v>
      </c>
      <c r="L95" s="11"/>
      <c r="M95" s="11"/>
      <c r="N95" s="11"/>
      <c r="O95" s="11"/>
      <c r="P95" s="50">
        <f t="shared" si="4"/>
        <v>0</v>
      </c>
      <c r="S95" s="52"/>
      <c r="V95" s="51">
        <f t="shared" si="7"/>
        <v>0</v>
      </c>
      <c r="X95" s="51">
        <f t="shared" si="8"/>
        <v>0</v>
      </c>
    </row>
    <row r="96" spans="2:24" x14ac:dyDescent="0.25">
      <c r="B96" s="11">
        <v>1112017</v>
      </c>
      <c r="C96" s="19" t="s">
        <v>81</v>
      </c>
      <c r="D96" s="30">
        <f>'เย็น 162'!D96+'เช้า 208'!D96</f>
        <v>1</v>
      </c>
      <c r="E96" s="30">
        <f>'เย็น 162'!E96+'เช้า 208'!E96</f>
        <v>0</v>
      </c>
      <c r="F96" s="30">
        <f>'เย็น 162'!F96+'เช้า 208'!F96</f>
        <v>0</v>
      </c>
      <c r="G96" s="30">
        <f>'เย็น 162'!G96+'เช้า 208'!G96</f>
        <v>0</v>
      </c>
      <c r="H96" s="30">
        <f>'เย็น 162'!H96+'เช้า 208'!H96</f>
        <v>0</v>
      </c>
      <c r="I96" s="30">
        <f>'เย็น 162'!I96+'เช้า 208'!I96</f>
        <v>0</v>
      </c>
      <c r="J96" s="30">
        <f>'เย็น 162'!J96+'เช้า 208'!J96</f>
        <v>0</v>
      </c>
      <c r="K96" s="36">
        <f t="shared" si="6"/>
        <v>1</v>
      </c>
      <c r="L96" s="11"/>
      <c r="M96" s="11"/>
      <c r="N96" s="11"/>
      <c r="O96" s="11"/>
      <c r="P96" s="50">
        <f t="shared" si="4"/>
        <v>-1</v>
      </c>
      <c r="S96" s="52"/>
      <c r="T96" s="51">
        <v>91</v>
      </c>
      <c r="U96" s="51">
        <v>40</v>
      </c>
      <c r="V96" s="51">
        <f t="shared" si="7"/>
        <v>131</v>
      </c>
      <c r="X96" s="51">
        <f t="shared" si="8"/>
        <v>131</v>
      </c>
    </row>
    <row r="97" spans="2:24" x14ac:dyDescent="0.25">
      <c r="B97" s="11">
        <v>1112015</v>
      </c>
      <c r="C97" s="19" t="s">
        <v>82</v>
      </c>
      <c r="D97" s="30">
        <f>'เย็น 162'!D97+'เช้า 208'!D97</f>
        <v>3</v>
      </c>
      <c r="E97" s="30">
        <f>'เย็น 162'!E97+'เช้า 208'!E97</f>
        <v>0</v>
      </c>
      <c r="F97" s="30">
        <f>'เย็น 162'!F97+'เช้า 208'!F97</f>
        <v>0</v>
      </c>
      <c r="G97" s="30">
        <f>'เย็น 162'!G97+'เช้า 208'!G97</f>
        <v>40</v>
      </c>
      <c r="H97" s="30">
        <f>'เย็น 162'!H97+'เช้า 208'!H97</f>
        <v>0</v>
      </c>
      <c r="I97" s="30">
        <f>'เย็น 162'!I97+'เช้า 208'!I97</f>
        <v>0</v>
      </c>
      <c r="J97" s="30">
        <f>'เย็น 162'!J97+'เช้า 208'!J97</f>
        <v>0</v>
      </c>
      <c r="K97" s="36">
        <f t="shared" si="6"/>
        <v>43</v>
      </c>
      <c r="L97" s="11"/>
      <c r="M97" s="11"/>
      <c r="N97" s="11"/>
      <c r="O97" s="11"/>
      <c r="P97" s="50">
        <f t="shared" si="4"/>
        <v>-43</v>
      </c>
      <c r="S97" s="52"/>
      <c r="T97" s="51">
        <v>1</v>
      </c>
      <c r="U97" s="51">
        <v>40</v>
      </c>
      <c r="V97" s="51">
        <f t="shared" si="7"/>
        <v>41</v>
      </c>
      <c r="W97" s="51">
        <v>8</v>
      </c>
      <c r="X97" s="51">
        <f t="shared" si="8"/>
        <v>33</v>
      </c>
    </row>
    <row r="98" spans="2:24" x14ac:dyDescent="0.25">
      <c r="B98" s="11">
        <v>1112013</v>
      </c>
      <c r="C98" s="19" t="s">
        <v>83</v>
      </c>
      <c r="D98" s="30">
        <f>'เย็น 162'!D98+'เช้า 208'!D98</f>
        <v>10</v>
      </c>
      <c r="E98" s="30">
        <f>'เย็น 162'!E98+'เช้า 208'!E98</f>
        <v>31</v>
      </c>
      <c r="F98" s="30">
        <f>'เย็น 162'!F98+'เช้า 208'!F98</f>
        <v>9</v>
      </c>
      <c r="G98" s="30">
        <f>'เย็น 162'!G98+'เช้า 208'!G98</f>
        <v>54</v>
      </c>
      <c r="H98" s="30">
        <f>'เย็น 162'!H98+'เช้า 208'!H98</f>
        <v>0</v>
      </c>
      <c r="I98" s="30">
        <f>'เย็น 162'!I98+'เช้า 208'!I98</f>
        <v>0</v>
      </c>
      <c r="J98" s="30">
        <f>'เย็น 162'!J98+'เช้า 208'!J98</f>
        <v>0</v>
      </c>
      <c r="K98" s="36">
        <f t="shared" si="6"/>
        <v>104</v>
      </c>
      <c r="L98" s="11"/>
      <c r="M98" s="11"/>
      <c r="N98" s="11"/>
      <c r="O98" s="11"/>
      <c r="P98" s="50">
        <f t="shared" si="4"/>
        <v>-104</v>
      </c>
      <c r="S98" s="52"/>
      <c r="T98" s="51">
        <v>274</v>
      </c>
      <c r="U98" s="51">
        <v>120</v>
      </c>
      <c r="V98" s="51">
        <f t="shared" si="7"/>
        <v>394</v>
      </c>
      <c r="W98" s="51">
        <v>19</v>
      </c>
      <c r="X98" s="51">
        <f t="shared" si="8"/>
        <v>375</v>
      </c>
    </row>
    <row r="99" spans="2:24" x14ac:dyDescent="0.25">
      <c r="B99" s="11">
        <v>1124043</v>
      </c>
      <c r="C99" s="19" t="s">
        <v>84</v>
      </c>
      <c r="D99" s="30">
        <f>'เย็น 162'!D99+'เช้า 208'!D99</f>
        <v>0</v>
      </c>
      <c r="E99" s="30">
        <f>'เย็น 162'!E99+'เช้า 208'!E99</f>
        <v>0</v>
      </c>
      <c r="F99" s="30">
        <f>'เย็น 162'!F99+'เช้า 208'!F99</f>
        <v>0</v>
      </c>
      <c r="G99" s="30">
        <f>'เย็น 162'!G99+'เช้า 208'!G99</f>
        <v>0</v>
      </c>
      <c r="H99" s="30">
        <f>'เย็น 162'!H99+'เช้า 208'!H99</f>
        <v>0</v>
      </c>
      <c r="I99" s="30">
        <f>'เย็น 162'!I99+'เช้า 208'!I99</f>
        <v>0</v>
      </c>
      <c r="J99" s="30">
        <f>'เย็น 162'!J99+'เช้า 208'!J99</f>
        <v>0</v>
      </c>
      <c r="K99" s="36">
        <f t="shared" si="6"/>
        <v>0</v>
      </c>
      <c r="L99" s="11"/>
      <c r="M99" s="11"/>
      <c r="N99" s="11"/>
      <c r="O99" s="11"/>
      <c r="P99" s="50">
        <f t="shared" si="4"/>
        <v>0</v>
      </c>
    </row>
    <row r="100" spans="2:24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36">
        <f>SUM(K90:K99)</f>
        <v>451</v>
      </c>
      <c r="L100" s="11"/>
      <c r="M100" s="11"/>
      <c r="N100" s="11"/>
      <c r="O100" s="11"/>
      <c r="P100" s="50">
        <f>SUM(P90:P99)</f>
        <v>-451</v>
      </c>
    </row>
    <row r="101" spans="2:24" ht="19.5" hidden="1" x14ac:dyDescent="0.25">
      <c r="B101" s="68" t="s">
        <v>85</v>
      </c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70"/>
    </row>
    <row r="102" spans="2:24" hidden="1" x14ac:dyDescent="0.25">
      <c r="B102" s="11">
        <v>1112008</v>
      </c>
      <c r="C102" s="19" t="s">
        <v>75</v>
      </c>
      <c r="D102" s="30">
        <f>'เช้า 208'!D102+'เย็น 162'!D102</f>
        <v>0</v>
      </c>
      <c r="E102" s="30">
        <f>'เช้า 208'!E102+'เย็น 162'!E102</f>
        <v>0</v>
      </c>
      <c r="F102" s="30">
        <f>'เช้า 208'!F102+'เย็น 162'!F102</f>
        <v>0</v>
      </c>
      <c r="G102" s="30">
        <f>'เช้า 208'!G102+'เย็น 162'!G102</f>
        <v>0</v>
      </c>
      <c r="H102" s="30">
        <f>'เช้า 208'!H102+'เย็น 162'!H102</f>
        <v>0</v>
      </c>
      <c r="I102" s="30">
        <f>'เช้า 208'!I102+'เย็น 162'!I102</f>
        <v>0</v>
      </c>
      <c r="J102" s="30">
        <f>'เช้า 208'!J102+'เย็น 162'!J102</f>
        <v>0</v>
      </c>
      <c r="K102" s="36">
        <f>SUM(D102:J102)</f>
        <v>0</v>
      </c>
      <c r="L102" s="11"/>
      <c r="M102" s="11"/>
      <c r="N102" s="11"/>
      <c r="O102" s="11"/>
      <c r="P102" s="50">
        <f t="shared" si="4"/>
        <v>0</v>
      </c>
    </row>
    <row r="103" spans="2:24" hidden="1" x14ac:dyDescent="0.25">
      <c r="B103" s="11">
        <v>1112010</v>
      </c>
      <c r="C103" s="19" t="s">
        <v>76</v>
      </c>
      <c r="D103" s="30">
        <f>'เช้า 208'!D103+'เย็น 162'!D103</f>
        <v>0</v>
      </c>
      <c r="E103" s="30">
        <f>'เช้า 208'!E103+'เย็น 162'!E103</f>
        <v>0</v>
      </c>
      <c r="F103" s="30">
        <f>'เช้า 208'!F103+'เย็น 162'!F103</f>
        <v>0</v>
      </c>
      <c r="G103" s="30">
        <f>'เช้า 208'!G103+'เย็น 162'!G103</f>
        <v>0</v>
      </c>
      <c r="H103" s="30">
        <f>'เช้า 208'!H103+'เย็น 162'!H103</f>
        <v>0</v>
      </c>
      <c r="I103" s="30">
        <f>'เช้า 208'!I103+'เย็น 162'!I103</f>
        <v>0</v>
      </c>
      <c r="J103" s="30">
        <f>'เช้า 208'!J103+'เย็น 162'!J103</f>
        <v>0</v>
      </c>
      <c r="K103" s="36">
        <f t="shared" ref="K103:K111" si="9">SUM(D103:J103)</f>
        <v>0</v>
      </c>
      <c r="L103" s="11"/>
      <c r="M103" s="11"/>
      <c r="N103" s="11"/>
      <c r="O103" s="11"/>
      <c r="P103" s="50">
        <f t="shared" si="4"/>
        <v>0</v>
      </c>
    </row>
    <row r="104" spans="2:24" hidden="1" x14ac:dyDescent="0.25">
      <c r="B104" s="11">
        <v>1112002</v>
      </c>
      <c r="C104" s="19" t="s">
        <v>77</v>
      </c>
      <c r="D104" s="30">
        <f>'เช้า 208'!D104+'เย็น 162'!D104</f>
        <v>0</v>
      </c>
      <c r="E104" s="30">
        <f>'เช้า 208'!E104+'เย็น 162'!E104</f>
        <v>0</v>
      </c>
      <c r="F104" s="30">
        <f>'เช้า 208'!F104+'เย็น 162'!F104</f>
        <v>0</v>
      </c>
      <c r="G104" s="30">
        <f>'เช้า 208'!G104+'เย็น 162'!G104</f>
        <v>0</v>
      </c>
      <c r="H104" s="30">
        <f>'เช้า 208'!H104+'เย็น 162'!H104</f>
        <v>0</v>
      </c>
      <c r="I104" s="30">
        <f>'เช้า 208'!I104+'เย็น 162'!I104</f>
        <v>0</v>
      </c>
      <c r="J104" s="30">
        <f>'เช้า 208'!J104+'เย็น 162'!J104</f>
        <v>0</v>
      </c>
      <c r="K104" s="36">
        <f t="shared" si="9"/>
        <v>0</v>
      </c>
      <c r="L104" s="11"/>
      <c r="M104" s="11"/>
      <c r="N104" s="11"/>
      <c r="O104" s="11"/>
      <c r="P104" s="50">
        <f t="shared" si="4"/>
        <v>0</v>
      </c>
    </row>
    <row r="105" spans="2:24" hidden="1" x14ac:dyDescent="0.25">
      <c r="B105" s="11">
        <v>1112004</v>
      </c>
      <c r="C105" s="19" t="s">
        <v>78</v>
      </c>
      <c r="D105" s="30">
        <f>'เช้า 208'!D105+'เย็น 162'!D105</f>
        <v>0</v>
      </c>
      <c r="E105" s="30">
        <f>'เช้า 208'!E105+'เย็น 162'!E105</f>
        <v>0</v>
      </c>
      <c r="F105" s="30">
        <f>'เช้า 208'!F105+'เย็น 162'!F105</f>
        <v>0</v>
      </c>
      <c r="G105" s="30">
        <f>'เช้า 208'!G105+'เย็น 162'!G105</f>
        <v>0</v>
      </c>
      <c r="H105" s="30">
        <f>'เช้า 208'!H105+'เย็น 162'!H105</f>
        <v>0</v>
      </c>
      <c r="I105" s="30">
        <f>'เช้า 208'!I105+'เย็น 162'!I105</f>
        <v>0</v>
      </c>
      <c r="J105" s="30">
        <f>'เช้า 208'!J105+'เย็น 162'!J105</f>
        <v>0</v>
      </c>
      <c r="K105" s="36">
        <f t="shared" si="9"/>
        <v>0</v>
      </c>
      <c r="L105" s="11"/>
      <c r="M105" s="11"/>
      <c r="N105" s="11"/>
      <c r="O105" s="11"/>
      <c r="P105" s="50">
        <f t="shared" si="4"/>
        <v>0</v>
      </c>
    </row>
    <row r="106" spans="2:24" hidden="1" x14ac:dyDescent="0.25">
      <c r="B106" s="11">
        <v>1112006</v>
      </c>
      <c r="C106" s="19" t="s">
        <v>79</v>
      </c>
      <c r="D106" s="30">
        <f>'เช้า 208'!D106+'เย็น 162'!D106</f>
        <v>0</v>
      </c>
      <c r="E106" s="30">
        <f>'เช้า 208'!E106+'เย็น 162'!E106</f>
        <v>0</v>
      </c>
      <c r="F106" s="30">
        <f>'เช้า 208'!F106+'เย็น 162'!F106</f>
        <v>0</v>
      </c>
      <c r="G106" s="30">
        <f>'เช้า 208'!G106+'เย็น 162'!G106</f>
        <v>0</v>
      </c>
      <c r="H106" s="30">
        <f>'เช้า 208'!H106+'เย็น 162'!H106</f>
        <v>0</v>
      </c>
      <c r="I106" s="30">
        <f>'เช้า 208'!I106+'เย็น 162'!I106</f>
        <v>0</v>
      </c>
      <c r="J106" s="30">
        <f>'เช้า 208'!J106+'เย็น 162'!J106</f>
        <v>0</v>
      </c>
      <c r="K106" s="36">
        <f t="shared" si="9"/>
        <v>0</v>
      </c>
      <c r="L106" s="11"/>
      <c r="M106" s="11"/>
      <c r="N106" s="11"/>
      <c r="O106" s="11"/>
      <c r="P106" s="50">
        <f t="shared" si="4"/>
        <v>0</v>
      </c>
    </row>
    <row r="107" spans="2:24" hidden="1" x14ac:dyDescent="0.25">
      <c r="B107" s="11">
        <v>1112018</v>
      </c>
      <c r="C107" s="19" t="s">
        <v>80</v>
      </c>
      <c r="D107" s="30">
        <f>'เช้า 208'!D107+'เย็น 162'!D107</f>
        <v>0</v>
      </c>
      <c r="E107" s="30">
        <f>'เช้า 208'!E107+'เย็น 162'!E107</f>
        <v>0</v>
      </c>
      <c r="F107" s="30">
        <f>'เช้า 208'!F107+'เย็น 162'!F107</f>
        <v>0</v>
      </c>
      <c r="G107" s="30">
        <f>'เช้า 208'!G107+'เย็น 162'!G107</f>
        <v>0</v>
      </c>
      <c r="H107" s="30">
        <f>'เช้า 208'!H107+'เย็น 162'!H107</f>
        <v>0</v>
      </c>
      <c r="I107" s="30">
        <f>'เช้า 208'!I107+'เย็น 162'!I107</f>
        <v>0</v>
      </c>
      <c r="J107" s="30">
        <f>'เช้า 208'!J107+'เย็น 162'!J107</f>
        <v>0</v>
      </c>
      <c r="K107" s="36">
        <f t="shared" si="9"/>
        <v>0</v>
      </c>
      <c r="L107" s="11"/>
      <c r="M107" s="11"/>
      <c r="N107" s="11"/>
      <c r="O107" s="11"/>
      <c r="P107" s="50">
        <f t="shared" si="4"/>
        <v>0</v>
      </c>
    </row>
    <row r="108" spans="2:24" hidden="1" x14ac:dyDescent="0.25">
      <c r="B108" s="11">
        <v>1112016</v>
      </c>
      <c r="C108" s="19" t="s">
        <v>81</v>
      </c>
      <c r="D108" s="30">
        <f>'เช้า 208'!D108+'เย็น 162'!D108</f>
        <v>0</v>
      </c>
      <c r="E108" s="30">
        <f>'เช้า 208'!E108+'เย็น 162'!E108</f>
        <v>0</v>
      </c>
      <c r="F108" s="30">
        <f>'เช้า 208'!F108+'เย็น 162'!F108</f>
        <v>0</v>
      </c>
      <c r="G108" s="30">
        <f>'เช้า 208'!G108+'เย็น 162'!G108</f>
        <v>0</v>
      </c>
      <c r="H108" s="30">
        <f>'เช้า 208'!H108+'เย็น 162'!H108</f>
        <v>0</v>
      </c>
      <c r="I108" s="30">
        <f>'เช้า 208'!I108+'เย็น 162'!I108</f>
        <v>0</v>
      </c>
      <c r="J108" s="30">
        <f>'เช้า 208'!J108+'เย็น 162'!J108</f>
        <v>0</v>
      </c>
      <c r="K108" s="36">
        <f t="shared" si="9"/>
        <v>0</v>
      </c>
      <c r="L108" s="11"/>
      <c r="M108" s="11"/>
      <c r="N108" s="11"/>
      <c r="O108" s="11"/>
      <c r="P108" s="50">
        <f t="shared" si="4"/>
        <v>0</v>
      </c>
    </row>
    <row r="109" spans="2:24" hidden="1" x14ac:dyDescent="0.25">
      <c r="B109" s="11">
        <v>1112014</v>
      </c>
      <c r="C109" s="19" t="s">
        <v>82</v>
      </c>
      <c r="D109" s="30">
        <f>'เช้า 208'!D109+'เย็น 162'!D109</f>
        <v>0</v>
      </c>
      <c r="E109" s="30">
        <f>'เช้า 208'!E109+'เย็น 162'!E109</f>
        <v>0</v>
      </c>
      <c r="F109" s="30">
        <f>'เช้า 208'!F109+'เย็น 162'!F109</f>
        <v>0</v>
      </c>
      <c r="G109" s="30">
        <f>'เช้า 208'!G109+'เย็น 162'!G109</f>
        <v>0</v>
      </c>
      <c r="H109" s="30">
        <f>'เช้า 208'!H109+'เย็น 162'!H109</f>
        <v>0</v>
      </c>
      <c r="I109" s="30">
        <f>'เช้า 208'!I109+'เย็น 162'!I109</f>
        <v>0</v>
      </c>
      <c r="J109" s="30">
        <f>'เช้า 208'!J109+'เย็น 162'!J109</f>
        <v>0</v>
      </c>
      <c r="K109" s="36">
        <f t="shared" si="9"/>
        <v>0</v>
      </c>
      <c r="L109" s="11"/>
      <c r="M109" s="11"/>
      <c r="N109" s="11"/>
      <c r="O109" s="11"/>
      <c r="P109" s="50">
        <f t="shared" si="4"/>
        <v>0</v>
      </c>
    </row>
    <row r="110" spans="2:24" hidden="1" x14ac:dyDescent="0.25">
      <c r="B110" s="11">
        <v>1112012</v>
      </c>
      <c r="C110" s="19" t="s">
        <v>83</v>
      </c>
      <c r="D110" s="30">
        <f>'เช้า 208'!D110+'เย็น 162'!D110</f>
        <v>0</v>
      </c>
      <c r="E110" s="30">
        <f>'เช้า 208'!E110+'เย็น 162'!E110</f>
        <v>0</v>
      </c>
      <c r="F110" s="30">
        <f>'เช้า 208'!F110+'เย็น 162'!F110</f>
        <v>0</v>
      </c>
      <c r="G110" s="30">
        <f>'เช้า 208'!G110+'เย็น 162'!G110</f>
        <v>0</v>
      </c>
      <c r="H110" s="30">
        <f>'เช้า 208'!H110+'เย็น 162'!H110</f>
        <v>0</v>
      </c>
      <c r="I110" s="30">
        <f>'เช้า 208'!I110+'เย็น 162'!I110</f>
        <v>0</v>
      </c>
      <c r="J110" s="30">
        <f>'เช้า 208'!J110+'เย็น 162'!J110</f>
        <v>0</v>
      </c>
      <c r="K110" s="36">
        <f t="shared" si="9"/>
        <v>0</v>
      </c>
      <c r="L110" s="11"/>
      <c r="M110" s="11"/>
      <c r="N110" s="11"/>
      <c r="O110" s="11"/>
      <c r="P110" s="50">
        <f t="shared" si="4"/>
        <v>0</v>
      </c>
    </row>
    <row r="111" spans="2:24" hidden="1" x14ac:dyDescent="0.25">
      <c r="B111" s="11"/>
      <c r="C111" s="19" t="s">
        <v>84</v>
      </c>
      <c r="D111" s="30">
        <f>'เช้า 208'!D111+'เย็น 162'!D111</f>
        <v>0</v>
      </c>
      <c r="E111" s="30">
        <f>'เช้า 208'!E111+'เย็น 162'!E111</f>
        <v>0</v>
      </c>
      <c r="F111" s="30">
        <f>'เช้า 208'!F111+'เย็น 162'!F111</f>
        <v>0</v>
      </c>
      <c r="G111" s="30">
        <f>'เช้า 208'!G111+'เย็น 162'!G111</f>
        <v>0</v>
      </c>
      <c r="H111" s="30">
        <f>'เช้า 208'!H111+'เย็น 162'!H111</f>
        <v>0</v>
      </c>
      <c r="I111" s="30">
        <f>'เช้า 208'!I111+'เย็น 162'!I111</f>
        <v>0</v>
      </c>
      <c r="J111" s="30">
        <f>'เช้า 208'!J111+'เย็น 162'!J111</f>
        <v>0</v>
      </c>
      <c r="K111" s="36">
        <f t="shared" si="9"/>
        <v>0</v>
      </c>
      <c r="L111" s="11"/>
      <c r="M111" s="11"/>
      <c r="N111" s="11"/>
      <c r="O111" s="11"/>
      <c r="P111" s="50">
        <f t="shared" si="4"/>
        <v>0</v>
      </c>
    </row>
    <row r="112" spans="2:24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36">
        <f t="shared" ref="K112" si="10">SUM(D112:J112)</f>
        <v>0</v>
      </c>
      <c r="L112" s="11"/>
      <c r="M112" s="11"/>
      <c r="N112" s="11"/>
      <c r="O112" s="11"/>
      <c r="P112" s="50">
        <f t="shared" si="4"/>
        <v>0</v>
      </c>
    </row>
    <row r="113" spans="2:25" ht="19.5" x14ac:dyDescent="0.25">
      <c r="B113" s="68" t="s">
        <v>86</v>
      </c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70"/>
    </row>
    <row r="114" spans="2:25" x14ac:dyDescent="0.25">
      <c r="B114" s="11">
        <v>1113170</v>
      </c>
      <c r="C114" s="21" t="s">
        <v>87</v>
      </c>
      <c r="D114" s="30">
        <f>'เย็น 162'!D114+'เช้า 208'!D114</f>
        <v>0</v>
      </c>
      <c r="E114" s="30">
        <f>'เย็น 162'!E114+'เช้า 208'!E114</f>
        <v>0</v>
      </c>
      <c r="F114" s="30">
        <f>'เย็น 162'!F114+'เช้า 208'!F114</f>
        <v>0</v>
      </c>
      <c r="G114" s="30">
        <f>'เย็น 162'!G114+'เช้า 208'!G114</f>
        <v>4</v>
      </c>
      <c r="H114" s="30">
        <f>'เย็น 162'!H114+'เช้า 208'!H114</f>
        <v>0</v>
      </c>
      <c r="I114" s="30">
        <f>'เย็น 162'!I114+'เช้า 208'!I114</f>
        <v>0</v>
      </c>
      <c r="J114" s="30">
        <f>'เย็น 162'!J114+'เช้า 208'!J114</f>
        <v>0</v>
      </c>
      <c r="K114" s="36">
        <f>SUM(D114:J114)</f>
        <v>4</v>
      </c>
      <c r="L114" s="11"/>
      <c r="M114" s="11"/>
      <c r="N114" s="11"/>
      <c r="O114" s="11"/>
      <c r="P114" s="50">
        <f t="shared" si="4"/>
        <v>-4</v>
      </c>
    </row>
    <row r="115" spans="2:25" hidden="1" x14ac:dyDescent="0.25">
      <c r="B115" s="11">
        <v>1113171</v>
      </c>
      <c r="C115" s="21" t="s">
        <v>88</v>
      </c>
      <c r="D115" s="30">
        <f>'เย็น 162'!D115+'เช้า 208'!D115</f>
        <v>0</v>
      </c>
      <c r="E115" s="30">
        <f>'เย็น 162'!E115+'เช้า 208'!E115</f>
        <v>0</v>
      </c>
      <c r="F115" s="30">
        <f>'เย็น 162'!F115+'เช้า 208'!F115</f>
        <v>0</v>
      </c>
      <c r="G115" s="30">
        <f>'เย็น 162'!G115+'เช้า 208'!G115</f>
        <v>0</v>
      </c>
      <c r="H115" s="30">
        <f>'เย็น 162'!H115+'เช้า 208'!H115</f>
        <v>0</v>
      </c>
      <c r="I115" s="30">
        <f>'เย็น 162'!I115+'เช้า 208'!I115</f>
        <v>0</v>
      </c>
      <c r="J115" s="30">
        <f>'เย็น 162'!J115+'เช้า 208'!J115</f>
        <v>0</v>
      </c>
      <c r="K115" s="36">
        <f t="shared" ref="K115:K137" si="11">SUM(D115:J115)</f>
        <v>0</v>
      </c>
      <c r="L115" s="11"/>
      <c r="M115" s="11"/>
      <c r="N115" s="11"/>
      <c r="O115" s="11"/>
      <c r="P115" s="50">
        <f t="shared" si="4"/>
        <v>0</v>
      </c>
    </row>
    <row r="116" spans="2:25" hidden="1" x14ac:dyDescent="0.25">
      <c r="B116" s="11">
        <v>1113172</v>
      </c>
      <c r="C116" s="21" t="s">
        <v>89</v>
      </c>
      <c r="D116" s="30">
        <f>'เย็น 162'!D116+'เช้า 208'!D116</f>
        <v>0</v>
      </c>
      <c r="E116" s="30">
        <f>'เย็น 162'!E116+'เช้า 208'!E116</f>
        <v>0</v>
      </c>
      <c r="F116" s="30">
        <f>'เย็น 162'!F116+'เช้า 208'!F116</f>
        <v>0</v>
      </c>
      <c r="G116" s="30">
        <f>'เย็น 162'!G116+'เช้า 208'!G116</f>
        <v>0</v>
      </c>
      <c r="H116" s="30">
        <f>'เย็น 162'!H116+'เช้า 208'!H116</f>
        <v>0</v>
      </c>
      <c r="I116" s="30">
        <f>'เย็น 162'!I116+'เช้า 208'!I116</f>
        <v>0</v>
      </c>
      <c r="J116" s="30">
        <f>'เย็น 162'!J116+'เช้า 208'!J116</f>
        <v>0</v>
      </c>
      <c r="K116" s="36">
        <f t="shared" si="11"/>
        <v>0</v>
      </c>
      <c r="L116" s="11"/>
      <c r="M116" s="11"/>
      <c r="N116" s="11"/>
      <c r="O116" s="11"/>
      <c r="P116" s="50">
        <f t="shared" si="4"/>
        <v>0</v>
      </c>
    </row>
    <row r="117" spans="2:25" hidden="1" x14ac:dyDescent="0.25">
      <c r="B117" s="11">
        <v>1113173</v>
      </c>
      <c r="C117" s="21" t="s">
        <v>90</v>
      </c>
      <c r="D117" s="30">
        <f>'เย็น 162'!D117+'เช้า 208'!D117</f>
        <v>0</v>
      </c>
      <c r="E117" s="30">
        <f>'เย็น 162'!E117+'เช้า 208'!E117</f>
        <v>0</v>
      </c>
      <c r="F117" s="30">
        <f>'เย็น 162'!F117+'เช้า 208'!F117</f>
        <v>0</v>
      </c>
      <c r="G117" s="30">
        <f>'เย็น 162'!G117+'เช้า 208'!G117</f>
        <v>0</v>
      </c>
      <c r="H117" s="30">
        <f>'เย็น 162'!H117+'เช้า 208'!H117</f>
        <v>0</v>
      </c>
      <c r="I117" s="30">
        <f>'เย็น 162'!I117+'เช้า 208'!I117</f>
        <v>0</v>
      </c>
      <c r="J117" s="30">
        <f>'เย็น 162'!J117+'เช้า 208'!J117</f>
        <v>0</v>
      </c>
      <c r="K117" s="36">
        <f t="shared" si="11"/>
        <v>0</v>
      </c>
      <c r="L117" s="11"/>
      <c r="M117" s="11"/>
      <c r="N117" s="11"/>
      <c r="O117" s="11"/>
      <c r="P117" s="50">
        <f t="shared" si="4"/>
        <v>0</v>
      </c>
    </row>
    <row r="118" spans="2:25" x14ac:dyDescent="0.25">
      <c r="B118" s="11">
        <v>1100003</v>
      </c>
      <c r="C118" s="21" t="s">
        <v>121</v>
      </c>
      <c r="D118" s="30">
        <f>'เย็น 162'!D118+'เช้า 208'!D118</f>
        <v>0</v>
      </c>
      <c r="E118" s="30">
        <f>'เย็น 162'!E118+'เช้า 208'!E118</f>
        <v>2</v>
      </c>
      <c r="F118" s="30">
        <f>'เย็น 162'!F118+'เช้า 208'!F118</f>
        <v>2</v>
      </c>
      <c r="G118" s="30">
        <f>'เย็น 162'!G118+'เช้า 208'!G118</f>
        <v>0</v>
      </c>
      <c r="H118" s="30">
        <f>'เย็น 162'!H118+'เช้า 208'!H118</f>
        <v>0</v>
      </c>
      <c r="I118" s="30">
        <f>'เย็น 162'!I118+'เช้า 208'!I118</f>
        <v>0</v>
      </c>
      <c r="J118" s="30">
        <f>'เย็น 162'!J118+'เช้า 208'!J118</f>
        <v>1</v>
      </c>
      <c r="K118" s="36">
        <f t="shared" si="11"/>
        <v>5</v>
      </c>
      <c r="L118" s="11"/>
      <c r="M118" s="11"/>
      <c r="N118" s="11"/>
      <c r="O118" s="11"/>
      <c r="P118" s="50">
        <f t="shared" si="4"/>
        <v>-5</v>
      </c>
    </row>
    <row r="119" spans="2:25" x14ac:dyDescent="0.25">
      <c r="B119" s="11">
        <v>1100001</v>
      </c>
      <c r="C119" s="21" t="s">
        <v>122</v>
      </c>
      <c r="D119" s="30">
        <f>'เย็น 162'!D119+'เช้า 208'!D119</f>
        <v>0</v>
      </c>
      <c r="E119" s="30">
        <f>'เย็น 162'!E119+'เช้า 208'!E119</f>
        <v>0</v>
      </c>
      <c r="F119" s="30">
        <f>'เย็น 162'!F119+'เช้า 208'!F119</f>
        <v>0</v>
      </c>
      <c r="G119" s="30">
        <f>'เย็น 162'!G119+'เช้า 208'!G119</f>
        <v>0</v>
      </c>
      <c r="H119" s="30">
        <f>'เย็น 162'!H119+'เช้า 208'!H119</f>
        <v>0</v>
      </c>
      <c r="I119" s="30">
        <f>'เย็น 162'!I119+'เช้า 208'!I119</f>
        <v>0</v>
      </c>
      <c r="J119" s="30">
        <f>'เย็น 162'!J119+'เช้า 208'!J119</f>
        <v>4</v>
      </c>
      <c r="K119" s="36">
        <f t="shared" si="11"/>
        <v>4</v>
      </c>
      <c r="L119" s="11"/>
      <c r="M119" s="11"/>
      <c r="N119" s="11"/>
      <c r="O119" s="11"/>
      <c r="P119" s="50">
        <f t="shared" si="4"/>
        <v>-4</v>
      </c>
    </row>
    <row r="120" spans="2:25" x14ac:dyDescent="0.25">
      <c r="B120" s="11">
        <v>1100002</v>
      </c>
      <c r="C120" s="21" t="s">
        <v>123</v>
      </c>
      <c r="D120" s="30">
        <f>'เย็น 162'!D120+'เช้า 208'!D120</f>
        <v>0</v>
      </c>
      <c r="E120" s="30">
        <f>'เย็น 162'!E120+'เช้า 208'!E120</f>
        <v>3</v>
      </c>
      <c r="F120" s="30">
        <f>'เย็น 162'!F120+'เช้า 208'!F120</f>
        <v>0</v>
      </c>
      <c r="G120" s="30">
        <f>'เย็น 162'!G120+'เช้า 208'!G120</f>
        <v>1</v>
      </c>
      <c r="H120" s="30">
        <f>'เย็น 162'!H120+'เช้า 208'!H120</f>
        <v>0</v>
      </c>
      <c r="I120" s="30">
        <f>'เย็น 162'!I120+'เช้า 208'!I120</f>
        <v>0</v>
      </c>
      <c r="J120" s="30">
        <f>'เย็น 162'!J120+'เช้า 208'!J120</f>
        <v>0</v>
      </c>
      <c r="K120" s="36">
        <f t="shared" si="11"/>
        <v>4</v>
      </c>
      <c r="L120" s="11"/>
      <c r="M120" s="11"/>
      <c r="N120" s="11"/>
      <c r="O120" s="11"/>
      <c r="P120" s="50">
        <f t="shared" si="4"/>
        <v>-4</v>
      </c>
    </row>
    <row r="121" spans="2:25" hidden="1" x14ac:dyDescent="0.25">
      <c r="B121" s="11">
        <v>1200001</v>
      </c>
      <c r="C121" s="21" t="s">
        <v>93</v>
      </c>
      <c r="D121" s="30">
        <f>'เย็น 162'!D121+'เช้า 208'!D121</f>
        <v>0</v>
      </c>
      <c r="E121" s="30">
        <f>'เย็น 162'!E121+'เช้า 208'!E121</f>
        <v>0</v>
      </c>
      <c r="F121" s="30">
        <f>'เย็น 162'!F121+'เช้า 208'!F121</f>
        <v>0</v>
      </c>
      <c r="G121" s="30">
        <f>'เย็น 162'!G121+'เช้า 208'!G121</f>
        <v>0</v>
      </c>
      <c r="H121" s="30">
        <f>'เย็น 162'!H121+'เช้า 208'!H121</f>
        <v>0</v>
      </c>
      <c r="I121" s="30">
        <f>'เย็น 162'!I121+'เช้า 208'!I121</f>
        <v>0</v>
      </c>
      <c r="J121" s="30">
        <f>'เย็น 162'!J121+'เช้า 208'!J121</f>
        <v>0</v>
      </c>
      <c r="K121" s="36">
        <f t="shared" si="11"/>
        <v>0</v>
      </c>
      <c r="L121" s="11"/>
      <c r="M121" s="11"/>
      <c r="N121" s="11"/>
      <c r="O121" s="11"/>
      <c r="P121" s="50">
        <f t="shared" si="4"/>
        <v>0</v>
      </c>
    </row>
    <row r="122" spans="2:25" hidden="1" x14ac:dyDescent="0.25">
      <c r="B122" s="11">
        <v>1005761</v>
      </c>
      <c r="C122" s="21" t="s">
        <v>94</v>
      </c>
      <c r="D122" s="30">
        <f>'เย็น 162'!D122+'เช้า 208'!D122</f>
        <v>0</v>
      </c>
      <c r="E122" s="30">
        <f>'เย็น 162'!E122+'เช้า 208'!E122</f>
        <v>0</v>
      </c>
      <c r="F122" s="30">
        <f>'เย็น 162'!F122+'เช้า 208'!F122</f>
        <v>0</v>
      </c>
      <c r="G122" s="30">
        <f>'เย็น 162'!G122+'เช้า 208'!G122</f>
        <v>0</v>
      </c>
      <c r="H122" s="30">
        <f>'เย็น 162'!H122+'เช้า 208'!H122</f>
        <v>0</v>
      </c>
      <c r="I122" s="30">
        <f>'เย็น 162'!I122+'เช้า 208'!I122</f>
        <v>0</v>
      </c>
      <c r="J122" s="30">
        <f>'เย็น 162'!J122+'เช้า 208'!J122</f>
        <v>0</v>
      </c>
      <c r="K122" s="36">
        <f t="shared" si="11"/>
        <v>0</v>
      </c>
      <c r="L122" s="11"/>
      <c r="M122" s="11"/>
      <c r="N122" s="11"/>
      <c r="O122" s="11"/>
      <c r="P122" s="50">
        <f t="shared" si="4"/>
        <v>0</v>
      </c>
    </row>
    <row r="123" spans="2:25" x14ac:dyDescent="0.25">
      <c r="B123" s="11">
        <v>1114501</v>
      </c>
      <c r="C123" s="21" t="s">
        <v>95</v>
      </c>
      <c r="D123" s="30">
        <f>'เย็น 162'!D123+'เช้า 208'!D123</f>
        <v>2</v>
      </c>
      <c r="E123" s="30">
        <f>'เย็น 162'!E123+'เช้า 208'!E123</f>
        <v>19</v>
      </c>
      <c r="F123" s="30">
        <f>'เย็น 162'!F123+'เช้า 208'!F123</f>
        <v>15</v>
      </c>
      <c r="G123" s="30">
        <f>'เย็น 162'!G123+'เช้า 208'!G123</f>
        <v>186</v>
      </c>
      <c r="H123" s="30">
        <f>'เย็น 162'!H123+'เช้า 208'!H123</f>
        <v>0</v>
      </c>
      <c r="I123" s="30">
        <f>'เย็น 162'!I123+'เช้า 208'!I123</f>
        <v>0</v>
      </c>
      <c r="J123" s="30">
        <f>'เย็น 162'!J123+'เช้า 208'!J123</f>
        <v>0</v>
      </c>
      <c r="K123" s="36">
        <f t="shared" si="11"/>
        <v>222</v>
      </c>
      <c r="L123" s="11"/>
      <c r="M123" s="11"/>
      <c r="N123" s="11"/>
      <c r="O123" s="11"/>
      <c r="P123" s="50">
        <f t="shared" si="4"/>
        <v>-222</v>
      </c>
      <c r="S123" s="52"/>
      <c r="T123" s="51">
        <v>532</v>
      </c>
      <c r="U123" s="52">
        <v>400</v>
      </c>
      <c r="V123" s="52">
        <f>SUM(T123:U123)</f>
        <v>932</v>
      </c>
      <c r="W123" s="52">
        <v>83</v>
      </c>
      <c r="X123" s="52">
        <f>V123-W123</f>
        <v>849</v>
      </c>
      <c r="Y123" s="76">
        <f>X123+400</f>
        <v>1249</v>
      </c>
    </row>
    <row r="124" spans="2:25" x14ac:dyDescent="0.25">
      <c r="B124" s="11">
        <v>1114502</v>
      </c>
      <c r="C124" s="21" t="s">
        <v>96</v>
      </c>
      <c r="D124" s="30">
        <f>'เย็น 162'!D124+'เช้า 208'!D124</f>
        <v>2</v>
      </c>
      <c r="E124" s="30">
        <f>'เย็น 162'!E124+'เช้า 208'!E124</f>
        <v>11</v>
      </c>
      <c r="F124" s="30">
        <f>'เย็น 162'!F124+'เช้า 208'!F124</f>
        <v>14</v>
      </c>
      <c r="G124" s="30">
        <f>'เย็น 162'!G124+'เช้า 208'!G124</f>
        <v>185</v>
      </c>
      <c r="H124" s="30">
        <f>'เย็น 162'!H124+'เช้า 208'!H124</f>
        <v>0</v>
      </c>
      <c r="I124" s="30">
        <f>'เย็น 162'!I124+'เช้า 208'!I124</f>
        <v>0</v>
      </c>
      <c r="J124" s="30">
        <f>'เย็น 162'!J124+'เช้า 208'!J124</f>
        <v>0</v>
      </c>
      <c r="K124" s="36">
        <f t="shared" si="11"/>
        <v>212</v>
      </c>
      <c r="L124" s="11"/>
      <c r="M124" s="11"/>
      <c r="N124" s="11"/>
      <c r="O124" s="11"/>
      <c r="P124" s="50">
        <f t="shared" si="4"/>
        <v>-212</v>
      </c>
      <c r="S124" s="52"/>
      <c r="T124" s="51">
        <v>304</v>
      </c>
      <c r="U124" s="52">
        <v>400</v>
      </c>
      <c r="V124" s="52">
        <f t="shared" ref="V124:V125" si="12">SUM(T124:U124)</f>
        <v>704</v>
      </c>
      <c r="W124" s="52">
        <v>79</v>
      </c>
      <c r="X124" s="52">
        <f t="shared" ref="X124:X125" si="13">V124-W124</f>
        <v>625</v>
      </c>
      <c r="Y124" s="76">
        <f t="shared" ref="Y124:Y125" si="14">X124+400</f>
        <v>1025</v>
      </c>
    </row>
    <row r="125" spans="2:25" x14ac:dyDescent="0.25">
      <c r="B125" s="11">
        <v>1114503</v>
      </c>
      <c r="C125" s="21" t="s">
        <v>97</v>
      </c>
      <c r="D125" s="30">
        <f>'เย็น 162'!D125+'เช้า 208'!D125</f>
        <v>1</v>
      </c>
      <c r="E125" s="30">
        <f>'เย็น 162'!E125+'เช้า 208'!E125</f>
        <v>11</v>
      </c>
      <c r="F125" s="30">
        <f>'เย็น 162'!F125+'เช้า 208'!F125</f>
        <v>8</v>
      </c>
      <c r="G125" s="30">
        <f>'เย็น 162'!G125+'เช้า 208'!G125</f>
        <v>185</v>
      </c>
      <c r="H125" s="30">
        <f>'เย็น 162'!H125+'เช้า 208'!H125</f>
        <v>0</v>
      </c>
      <c r="I125" s="30">
        <f>'เย็น 162'!I125+'เช้า 208'!I125</f>
        <v>0</v>
      </c>
      <c r="J125" s="30">
        <f>'เย็น 162'!J125+'เช้า 208'!J125</f>
        <v>0</v>
      </c>
      <c r="K125" s="36">
        <f t="shared" si="11"/>
        <v>205</v>
      </c>
      <c r="L125" s="11"/>
      <c r="M125" s="11"/>
      <c r="N125" s="11"/>
      <c r="O125" s="11"/>
      <c r="P125" s="50">
        <f t="shared" si="4"/>
        <v>-205</v>
      </c>
      <c r="S125" s="52"/>
      <c r="T125" s="51">
        <v>626</v>
      </c>
      <c r="U125" s="52">
        <v>400</v>
      </c>
      <c r="V125" s="52">
        <f t="shared" si="12"/>
        <v>1026</v>
      </c>
      <c r="W125" s="52">
        <v>79</v>
      </c>
      <c r="X125" s="52">
        <f t="shared" si="13"/>
        <v>947</v>
      </c>
      <c r="Y125" s="76">
        <f t="shared" si="14"/>
        <v>1347</v>
      </c>
    </row>
    <row r="126" spans="2:25" x14ac:dyDescent="0.25">
      <c r="B126" s="11">
        <v>1124021</v>
      </c>
      <c r="C126" s="21" t="s">
        <v>98</v>
      </c>
      <c r="D126" s="30">
        <f>'เย็น 162'!D126+'เช้า 208'!D126</f>
        <v>0</v>
      </c>
      <c r="E126" s="30">
        <f>'เย็น 162'!E126+'เช้า 208'!E126</f>
        <v>48</v>
      </c>
      <c r="F126" s="30">
        <f>'เย็น 162'!F126+'เช้า 208'!F126</f>
        <v>70</v>
      </c>
      <c r="G126" s="30">
        <f>'เย็น 162'!G126+'เช้า 208'!G126</f>
        <v>3</v>
      </c>
      <c r="H126" s="30">
        <f>'เย็น 162'!H126+'เช้า 208'!H126</f>
        <v>0</v>
      </c>
      <c r="I126" s="30">
        <f>'เย็น 162'!I126+'เช้า 208'!I126</f>
        <v>0</v>
      </c>
      <c r="J126" s="30">
        <f>'เย็น 162'!J126+'เช้า 208'!J126</f>
        <v>0</v>
      </c>
      <c r="K126" s="36">
        <f t="shared" si="11"/>
        <v>121</v>
      </c>
      <c r="L126" s="11"/>
      <c r="M126" s="11"/>
      <c r="N126" s="11"/>
      <c r="O126" s="11"/>
      <c r="P126" s="50">
        <f t="shared" si="4"/>
        <v>-121</v>
      </c>
      <c r="T126" s="51">
        <v>200</v>
      </c>
    </row>
    <row r="127" spans="2:25" x14ac:dyDescent="0.25">
      <c r="B127" s="11">
        <v>1113084</v>
      </c>
      <c r="C127" s="21" t="s">
        <v>99</v>
      </c>
      <c r="D127" s="30">
        <f>'เย็น 162'!D127+'เช้า 208'!D127</f>
        <v>0</v>
      </c>
      <c r="E127" s="30">
        <f>'เย็น 162'!E127+'เช้า 208'!E127</f>
        <v>1</v>
      </c>
      <c r="F127" s="30">
        <f>'เย็น 162'!F127+'เช้า 208'!F127</f>
        <v>0</v>
      </c>
      <c r="G127" s="30">
        <f>'เย็น 162'!G127+'เช้า 208'!G127</f>
        <v>0</v>
      </c>
      <c r="H127" s="30">
        <f>'เย็น 162'!H127+'เช้า 208'!H127</f>
        <v>0</v>
      </c>
      <c r="I127" s="30">
        <f>'เย็น 162'!I127+'เช้า 208'!I127</f>
        <v>0</v>
      </c>
      <c r="J127" s="30">
        <f>'เย็น 162'!J127+'เช้า 208'!J127</f>
        <v>0</v>
      </c>
      <c r="K127" s="36">
        <f t="shared" si="11"/>
        <v>1</v>
      </c>
      <c r="L127" s="11"/>
      <c r="M127" s="11"/>
      <c r="N127" s="11"/>
      <c r="O127" s="11"/>
      <c r="P127" s="50">
        <f t="shared" si="4"/>
        <v>-1</v>
      </c>
    </row>
    <row r="128" spans="2:25" hidden="1" x14ac:dyDescent="0.25">
      <c r="B128" s="11">
        <v>900003</v>
      </c>
      <c r="C128" s="21" t="s">
        <v>132</v>
      </c>
      <c r="D128" s="30">
        <f>'เย็น 162'!D128+'เช้า 208'!D128</f>
        <v>0</v>
      </c>
      <c r="E128" s="30">
        <f>'เย็น 162'!E128+'เช้า 208'!E128</f>
        <v>0</v>
      </c>
      <c r="F128" s="30">
        <f>'เย็น 162'!F128+'เช้า 208'!F128</f>
        <v>0</v>
      </c>
      <c r="G128" s="30">
        <f>'เย็น 162'!G128+'เช้า 208'!G128</f>
        <v>0</v>
      </c>
      <c r="H128" s="30">
        <f>'เย็น 162'!H128+'เช้า 208'!H128</f>
        <v>0</v>
      </c>
      <c r="I128" s="30">
        <f>'เย็น 162'!I128+'เช้า 208'!I128</f>
        <v>0</v>
      </c>
      <c r="J128" s="30">
        <f>'เย็น 162'!J128+'เช้า 208'!J128</f>
        <v>0</v>
      </c>
      <c r="K128" s="36">
        <f t="shared" si="11"/>
        <v>0</v>
      </c>
      <c r="L128" s="11"/>
      <c r="M128" s="11"/>
      <c r="N128" s="11"/>
      <c r="O128" s="11"/>
      <c r="P128" s="50">
        <f t="shared" si="4"/>
        <v>0</v>
      </c>
    </row>
    <row r="129" spans="2:16" hidden="1" x14ac:dyDescent="0.25">
      <c r="B129" s="11">
        <v>900004</v>
      </c>
      <c r="C129" s="21" t="s">
        <v>100</v>
      </c>
      <c r="D129" s="30">
        <f>'เย็น 162'!D129+'เช้า 208'!D129</f>
        <v>0</v>
      </c>
      <c r="E129" s="30">
        <f>'เย็น 162'!E129+'เช้า 208'!E129</f>
        <v>0</v>
      </c>
      <c r="F129" s="30">
        <f>'เย็น 162'!F129+'เช้า 208'!F129</f>
        <v>0</v>
      </c>
      <c r="G129" s="30">
        <f>'เย็น 162'!G129+'เช้า 208'!G129</f>
        <v>0</v>
      </c>
      <c r="H129" s="30">
        <f>'เย็น 162'!H129+'เช้า 208'!H129</f>
        <v>0</v>
      </c>
      <c r="I129" s="30">
        <f>'เย็น 162'!I129+'เช้า 208'!I129</f>
        <v>0</v>
      </c>
      <c r="J129" s="30">
        <f>'เย็น 162'!J129+'เช้า 208'!J129</f>
        <v>0</v>
      </c>
      <c r="K129" s="36">
        <f t="shared" si="11"/>
        <v>0</v>
      </c>
      <c r="L129" s="11"/>
      <c r="M129" s="11"/>
      <c r="N129" s="11"/>
      <c r="O129" s="11"/>
      <c r="P129" s="50">
        <f t="shared" si="4"/>
        <v>0</v>
      </c>
    </row>
    <row r="130" spans="2:16" x14ac:dyDescent="0.25">
      <c r="B130" s="11">
        <v>1200002</v>
      </c>
      <c r="C130" s="21" t="s">
        <v>101</v>
      </c>
      <c r="D130" s="30">
        <f>'เย็น 162'!D130+'เช้า 208'!D130</f>
        <v>0</v>
      </c>
      <c r="E130" s="30">
        <f>'เย็น 162'!E130+'เช้า 208'!E130</f>
        <v>0</v>
      </c>
      <c r="F130" s="30">
        <f>'เย็น 162'!F130+'เช้า 208'!F130</f>
        <v>7</v>
      </c>
      <c r="G130" s="30">
        <f>'เย็น 162'!G130+'เช้า 208'!G130</f>
        <v>0</v>
      </c>
      <c r="H130" s="30">
        <f>'เย็น 162'!H130+'เช้า 208'!H130</f>
        <v>0</v>
      </c>
      <c r="I130" s="30">
        <f>'เย็น 162'!I130+'เช้า 208'!I130</f>
        <v>0</v>
      </c>
      <c r="J130" s="30">
        <f>'เย็น 162'!J130+'เช้า 208'!J130</f>
        <v>0</v>
      </c>
      <c r="K130" s="36">
        <f t="shared" si="11"/>
        <v>7</v>
      </c>
      <c r="L130" s="11"/>
      <c r="M130" s="11"/>
      <c r="N130" s="11"/>
      <c r="O130" s="11"/>
      <c r="P130" s="50">
        <f t="shared" ref="P130:P137" si="15">(L130+M130+N130+O130)-K130</f>
        <v>-7</v>
      </c>
    </row>
    <row r="131" spans="2:16" hidden="1" x14ac:dyDescent="0.25">
      <c r="B131" s="11">
        <v>1200003</v>
      </c>
      <c r="C131" s="21" t="s">
        <v>102</v>
      </c>
      <c r="D131" s="30">
        <f>'เย็น 162'!D131+'เช้า 208'!D131</f>
        <v>0</v>
      </c>
      <c r="E131" s="30">
        <f>'เย็น 162'!E131+'เช้า 208'!E131</f>
        <v>0</v>
      </c>
      <c r="F131" s="30">
        <f>'เย็น 162'!F131+'เช้า 208'!F131</f>
        <v>0</v>
      </c>
      <c r="G131" s="30">
        <f>'เย็น 162'!G131+'เช้า 208'!G131</f>
        <v>0</v>
      </c>
      <c r="H131" s="30">
        <f>'เย็น 162'!H131+'เช้า 208'!H131</f>
        <v>0</v>
      </c>
      <c r="I131" s="30">
        <f>'เย็น 162'!I131+'เช้า 208'!I131</f>
        <v>0</v>
      </c>
      <c r="J131" s="30">
        <f>'เย็น 162'!J131+'เช้า 208'!J131</f>
        <v>0</v>
      </c>
      <c r="K131" s="36">
        <f t="shared" si="11"/>
        <v>0</v>
      </c>
      <c r="L131" s="11"/>
      <c r="M131" s="11"/>
      <c r="N131" s="11"/>
      <c r="O131" s="11"/>
      <c r="P131" s="50">
        <f t="shared" si="15"/>
        <v>0</v>
      </c>
    </row>
    <row r="132" spans="2:16" hidden="1" x14ac:dyDescent="0.25">
      <c r="B132" s="11">
        <v>1200004</v>
      </c>
      <c r="C132" s="21" t="s">
        <v>103</v>
      </c>
      <c r="D132" s="30">
        <f>'เย็น 162'!D132+'เช้า 208'!D132</f>
        <v>0</v>
      </c>
      <c r="E132" s="30">
        <f>'เย็น 162'!E132+'เช้า 208'!E132</f>
        <v>0</v>
      </c>
      <c r="F132" s="30">
        <f>'เย็น 162'!F132+'เช้า 208'!F132</f>
        <v>0</v>
      </c>
      <c r="G132" s="30">
        <f>'เย็น 162'!G132+'เช้า 208'!G132</f>
        <v>0</v>
      </c>
      <c r="H132" s="30">
        <f>'เย็น 162'!H132+'เช้า 208'!H132</f>
        <v>0</v>
      </c>
      <c r="I132" s="30">
        <f>'เย็น 162'!I132+'เช้า 208'!I132</f>
        <v>0</v>
      </c>
      <c r="J132" s="30">
        <f>'เย็น 162'!J132+'เช้า 208'!J132</f>
        <v>0</v>
      </c>
      <c r="K132" s="36">
        <f t="shared" si="11"/>
        <v>0</v>
      </c>
      <c r="L132" s="11"/>
      <c r="M132" s="11"/>
      <c r="N132" s="11"/>
      <c r="O132" s="11"/>
      <c r="P132" s="50">
        <f t="shared" si="15"/>
        <v>0</v>
      </c>
    </row>
    <row r="133" spans="2:16" hidden="1" x14ac:dyDescent="0.25">
      <c r="B133" s="11">
        <v>1200093</v>
      </c>
      <c r="C133" s="21" t="s">
        <v>91</v>
      </c>
      <c r="D133" s="30">
        <f>'เย็น 162'!D133+'เช้า 208'!D133</f>
        <v>0</v>
      </c>
      <c r="E133" s="30">
        <f>'เย็น 162'!E133+'เช้า 208'!E133</f>
        <v>0</v>
      </c>
      <c r="F133" s="30">
        <f>'เย็น 162'!F133+'เช้า 208'!F133</f>
        <v>0</v>
      </c>
      <c r="G133" s="30">
        <f>'เย็น 162'!G133+'เช้า 208'!G133</f>
        <v>0</v>
      </c>
      <c r="H133" s="30">
        <f>'เย็น 162'!H133+'เช้า 208'!H133</f>
        <v>0</v>
      </c>
      <c r="I133" s="30">
        <f>'เย็น 162'!I133+'เช้า 208'!I133</f>
        <v>0</v>
      </c>
      <c r="J133" s="30">
        <f>'เย็น 162'!J133+'เช้า 208'!J133</f>
        <v>0</v>
      </c>
      <c r="K133" s="36">
        <f t="shared" si="11"/>
        <v>0</v>
      </c>
      <c r="L133" s="11"/>
      <c r="M133" s="11"/>
      <c r="N133" s="11"/>
      <c r="O133" s="11"/>
      <c r="P133" s="50">
        <f t="shared" si="15"/>
        <v>0</v>
      </c>
    </row>
    <row r="134" spans="2:16" hidden="1" x14ac:dyDescent="0.25">
      <c r="B134" s="11">
        <v>1200092</v>
      </c>
      <c r="C134" s="19" t="s">
        <v>92</v>
      </c>
      <c r="D134" s="30">
        <f>'เย็น 162'!D134+'เช้า 208'!D134</f>
        <v>0</v>
      </c>
      <c r="E134" s="30">
        <f>'เย็น 162'!E134+'เช้า 208'!E134</f>
        <v>0</v>
      </c>
      <c r="F134" s="30">
        <f>'เย็น 162'!F134+'เช้า 208'!F134</f>
        <v>0</v>
      </c>
      <c r="G134" s="30">
        <f>'เย็น 162'!G134+'เช้า 208'!G134</f>
        <v>0</v>
      </c>
      <c r="H134" s="30">
        <f>'เย็น 162'!H134+'เช้า 208'!H134</f>
        <v>0</v>
      </c>
      <c r="I134" s="30">
        <f>'เย็น 162'!I134+'เช้า 208'!I134</f>
        <v>0</v>
      </c>
      <c r="J134" s="30">
        <f>'เย็น 162'!J134+'เช้า 208'!J134</f>
        <v>0</v>
      </c>
      <c r="K134" s="36">
        <f t="shared" si="11"/>
        <v>0</v>
      </c>
      <c r="L134" s="11"/>
      <c r="M134" s="11"/>
      <c r="N134" s="11"/>
      <c r="O134" s="11"/>
      <c r="P134" s="50">
        <f t="shared" si="15"/>
        <v>0</v>
      </c>
    </row>
    <row r="135" spans="2:16" x14ac:dyDescent="0.25">
      <c r="B135" s="22"/>
      <c r="C135" s="21" t="s">
        <v>124</v>
      </c>
      <c r="D135" s="30">
        <f>'เย็น 162'!D135+'เช้า 208'!D135</f>
        <v>0</v>
      </c>
      <c r="E135" s="30">
        <f>'เย็น 162'!E135+'เช้า 208'!E135</f>
        <v>0</v>
      </c>
      <c r="F135" s="30">
        <f>'เย็น 162'!F135+'เช้า 208'!F135</f>
        <v>0</v>
      </c>
      <c r="G135" s="30">
        <f>'เย็น 162'!G135+'เช้า 208'!G135</f>
        <v>0</v>
      </c>
      <c r="H135" s="30">
        <f>'เย็น 162'!H135+'เช้า 208'!H135</f>
        <v>0</v>
      </c>
      <c r="I135" s="30">
        <f>'เย็น 162'!I135+'เช้า 208'!I135</f>
        <v>0</v>
      </c>
      <c r="J135" s="30">
        <f>'เย็น 162'!J135+'เช้า 208'!J135</f>
        <v>3</v>
      </c>
      <c r="K135" s="36">
        <f t="shared" si="11"/>
        <v>3</v>
      </c>
      <c r="L135" s="11"/>
      <c r="M135" s="11"/>
      <c r="N135" s="11"/>
      <c r="O135" s="11"/>
      <c r="P135" s="50">
        <f t="shared" si="15"/>
        <v>-3</v>
      </c>
    </row>
    <row r="136" spans="2:16" x14ac:dyDescent="0.25">
      <c r="B136" s="22"/>
      <c r="C136" s="21" t="s">
        <v>125</v>
      </c>
      <c r="D136" s="30">
        <f>'เย็น 162'!D136+'เช้า 208'!D136</f>
        <v>0</v>
      </c>
      <c r="E136" s="30">
        <f>'เย็น 162'!E136+'เช้า 208'!E136</f>
        <v>1</v>
      </c>
      <c r="F136" s="30">
        <f>'เย็น 162'!F136+'เช้า 208'!F136</f>
        <v>0</v>
      </c>
      <c r="G136" s="30">
        <f>'เย็น 162'!G136+'เช้า 208'!G136</f>
        <v>0</v>
      </c>
      <c r="H136" s="30">
        <f>'เย็น 162'!H136+'เช้า 208'!H136</f>
        <v>0</v>
      </c>
      <c r="I136" s="30">
        <f>'เย็น 162'!I136+'เช้า 208'!I136</f>
        <v>0</v>
      </c>
      <c r="J136" s="30">
        <f>'เย็น 162'!J136+'เช้า 208'!J136</f>
        <v>1</v>
      </c>
      <c r="K136" s="36">
        <f t="shared" si="11"/>
        <v>2</v>
      </c>
      <c r="L136" s="11"/>
      <c r="M136" s="11"/>
      <c r="N136" s="11"/>
      <c r="O136" s="11"/>
      <c r="P136" s="50">
        <f t="shared" si="15"/>
        <v>-2</v>
      </c>
    </row>
    <row r="137" spans="2:16" x14ac:dyDescent="0.25">
      <c r="B137" s="22">
        <v>20052721</v>
      </c>
      <c r="C137" s="21" t="s">
        <v>131</v>
      </c>
      <c r="D137" s="30">
        <f>'เย็น 162'!D137+'เช้า 208'!D137</f>
        <v>0</v>
      </c>
      <c r="E137" s="30">
        <f>'เย็น 162'!E137+'เช้า 208'!E137</f>
        <v>0</v>
      </c>
      <c r="F137" s="30">
        <f>'เย็น 162'!F137+'เช้า 208'!F137</f>
        <v>0</v>
      </c>
      <c r="G137" s="30">
        <f>'เย็น 162'!G137+'เช้า 208'!G137</f>
        <v>0</v>
      </c>
      <c r="H137" s="30">
        <f>'เย็น 162'!H137+'เช้า 208'!H137</f>
        <v>0</v>
      </c>
      <c r="I137" s="30">
        <f>'เย็น 162'!I137+'เช้า 208'!I137</f>
        <v>0</v>
      </c>
      <c r="J137" s="30">
        <f>'เย็น 162'!J137+'เช้า 208'!J137</f>
        <v>0</v>
      </c>
      <c r="K137" s="36">
        <f t="shared" si="11"/>
        <v>0</v>
      </c>
      <c r="L137" s="11"/>
      <c r="M137" s="11"/>
      <c r="N137" s="11"/>
      <c r="O137" s="11"/>
      <c r="P137" s="50">
        <f t="shared" si="15"/>
        <v>0</v>
      </c>
    </row>
    <row r="138" spans="2:16" ht="40.5" customHeight="1" x14ac:dyDescent="0.25">
      <c r="C138" s="35"/>
      <c r="D138" s="36">
        <f t="shared" ref="D138:J138" si="16">SUM(D114:D137,D90:D99,D79:D87,D69:D76,D7:D65)</f>
        <v>358</v>
      </c>
      <c r="E138" s="36">
        <f t="shared" si="16"/>
        <v>315</v>
      </c>
      <c r="F138" s="36">
        <f t="shared" si="16"/>
        <v>339</v>
      </c>
      <c r="G138" s="36">
        <f t="shared" si="16"/>
        <v>1629</v>
      </c>
      <c r="H138" s="36">
        <f t="shared" si="16"/>
        <v>0</v>
      </c>
      <c r="I138" s="36">
        <f t="shared" si="16"/>
        <v>0</v>
      </c>
      <c r="J138" s="36">
        <f t="shared" si="16"/>
        <v>12</v>
      </c>
      <c r="K138" s="36">
        <f>SUM(K114:K137,K90:K99,K79:K87,K69:K76,K7:K65)</f>
        <v>2653</v>
      </c>
      <c r="L138" s="38">
        <f>SUM(L114:L137,L90:L98,L79:L87,L69:L76,L7:L66)</f>
        <v>0</v>
      </c>
      <c r="M138" s="38"/>
      <c r="N138" s="38">
        <f>SUM(N114:N137,N90:N98,N79:N87,N69:N76,N7:N66)</f>
        <v>0</v>
      </c>
      <c r="O138" s="38">
        <f>SUM(O114:O137,O90:O98,O79:O87,O69:O76,O7:O66)</f>
        <v>0</v>
      </c>
      <c r="P138" s="38">
        <f>SUM(P114:P137,P90:P98,P79:P87,P69:P76,P7:P66)</f>
        <v>-2653</v>
      </c>
    </row>
    <row r="139" spans="2:16" x14ac:dyDescent="0.25">
      <c r="B139" s="37"/>
      <c r="C139" s="35"/>
      <c r="D139" s="38"/>
      <c r="E139" s="38"/>
      <c r="F139" s="38"/>
      <c r="G139" s="38"/>
      <c r="H139" s="38"/>
      <c r="I139" s="38"/>
      <c r="J139" s="38"/>
      <c r="K139" s="39"/>
    </row>
    <row r="140" spans="2:16" x14ac:dyDescent="0.25">
      <c r="B140" s="37"/>
      <c r="C140" s="35"/>
      <c r="D140" s="38"/>
      <c r="E140" s="38"/>
      <c r="F140" s="38"/>
      <c r="G140" s="38"/>
      <c r="H140" s="38"/>
      <c r="I140" s="38"/>
      <c r="J140" s="38"/>
      <c r="K140" s="39"/>
    </row>
    <row r="141" spans="2:16" x14ac:dyDescent="0.25">
      <c r="C141" s="24"/>
      <c r="D141" s="31"/>
      <c r="E141" s="58"/>
      <c r="F141" s="58"/>
      <c r="G141" s="26"/>
      <c r="K141" s="40"/>
    </row>
    <row r="142" spans="2:16" x14ac:dyDescent="0.25">
      <c r="B142" s="58" t="s">
        <v>104</v>
      </c>
      <c r="C142" s="58"/>
      <c r="D142" s="32"/>
      <c r="E142" s="57"/>
      <c r="F142" s="57"/>
      <c r="G142" s="27"/>
      <c r="H142" s="26"/>
      <c r="I142" s="58" t="s">
        <v>104</v>
      </c>
      <c r="J142" s="58"/>
      <c r="K142" s="58"/>
    </row>
    <row r="143" spans="2:16" x14ac:dyDescent="0.25">
      <c r="B143" s="57" t="s">
        <v>105</v>
      </c>
      <c r="C143" s="57"/>
      <c r="D143" s="33"/>
      <c r="E143" s="33"/>
      <c r="F143" s="33"/>
      <c r="G143" s="33"/>
      <c r="H143" s="33"/>
      <c r="I143" s="57" t="s">
        <v>106</v>
      </c>
      <c r="J143" s="57"/>
      <c r="K143" s="57"/>
    </row>
    <row r="144" spans="2:16" x14ac:dyDescent="0.25">
      <c r="B144" s="31"/>
      <c r="C144" s="31"/>
      <c r="D144" s="33"/>
      <c r="E144" s="33"/>
      <c r="F144" s="33"/>
      <c r="G144" s="33"/>
      <c r="H144" s="33"/>
      <c r="I144" s="31"/>
      <c r="J144" s="31"/>
      <c r="K144" s="34"/>
    </row>
    <row r="145" spans="2:11" ht="19.5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4"/>
    </row>
    <row r="146" spans="2:11" ht="19.5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4"/>
    </row>
    <row r="147" spans="2:11" ht="19.5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4"/>
    </row>
    <row r="148" spans="2:11" ht="19.5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4"/>
    </row>
    <row r="149" spans="2:11" ht="19.5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4"/>
    </row>
    <row r="150" spans="2:11" x14ac:dyDescent="0.25">
      <c r="D150" s="31"/>
      <c r="E150" s="31"/>
      <c r="F150" s="31"/>
      <c r="G150" s="31"/>
      <c r="H150" s="31"/>
    </row>
    <row r="151" spans="2:11" x14ac:dyDescent="0.25">
      <c r="D151" s="31"/>
      <c r="E151" s="31"/>
      <c r="F151" s="31"/>
      <c r="G151" s="31"/>
      <c r="H151" s="31"/>
    </row>
    <row r="152" spans="2:11" x14ac:dyDescent="0.25">
      <c r="D152" s="31"/>
      <c r="E152" s="31"/>
      <c r="F152" s="31"/>
      <c r="G152" s="31"/>
      <c r="H152" s="31"/>
    </row>
    <row r="153" spans="2:11" x14ac:dyDescent="0.25">
      <c r="D153" s="31"/>
      <c r="E153" s="31"/>
      <c r="F153" s="31"/>
      <c r="G153" s="31"/>
      <c r="H153" s="31"/>
    </row>
    <row r="154" spans="2:11" x14ac:dyDescent="0.25">
      <c r="D154" s="31"/>
      <c r="E154" s="31"/>
      <c r="F154" s="31"/>
      <c r="G154" s="31"/>
      <c r="H154" s="31"/>
    </row>
    <row r="155" spans="2:11" x14ac:dyDescent="0.25">
      <c r="D155" s="31"/>
      <c r="E155" s="31"/>
      <c r="F155" s="31"/>
      <c r="G155" s="31"/>
      <c r="H155" s="31"/>
    </row>
    <row r="156" spans="2:11" x14ac:dyDescent="0.25">
      <c r="D156" s="31"/>
      <c r="E156" s="31"/>
      <c r="F156" s="31"/>
      <c r="G156" s="31"/>
      <c r="H156" s="31"/>
    </row>
    <row r="157" spans="2:11" x14ac:dyDescent="0.25">
      <c r="D157" s="31"/>
      <c r="E157" s="31"/>
      <c r="F157" s="31"/>
      <c r="G157" s="31"/>
      <c r="H157" s="31"/>
    </row>
    <row r="158" spans="2:11" x14ac:dyDescent="0.25">
      <c r="D158" s="31"/>
      <c r="E158" s="31"/>
      <c r="F158" s="31"/>
      <c r="G158" s="31"/>
      <c r="H158" s="31"/>
    </row>
    <row r="159" spans="2:11" x14ac:dyDescent="0.25">
      <c r="D159" s="31"/>
      <c r="E159" s="31"/>
      <c r="F159" s="31"/>
      <c r="G159" s="31"/>
      <c r="H159" s="31"/>
    </row>
    <row r="160" spans="2:11" x14ac:dyDescent="0.25">
      <c r="D160" s="31"/>
      <c r="E160" s="31"/>
      <c r="F160" s="31"/>
      <c r="G160" s="31"/>
      <c r="H160" s="31"/>
    </row>
  </sheetData>
  <mergeCells count="20">
    <mergeCell ref="B143:C143"/>
    <mergeCell ref="I143:K143"/>
    <mergeCell ref="P2:P4"/>
    <mergeCell ref="B6:P6"/>
    <mergeCell ref="B68:P68"/>
    <mergeCell ref="B78:P78"/>
    <mergeCell ref="B89:P89"/>
    <mergeCell ref="B101:P101"/>
    <mergeCell ref="O2:O4"/>
    <mergeCell ref="B113:P113"/>
    <mergeCell ref="E141:F141"/>
    <mergeCell ref="B142:C142"/>
    <mergeCell ref="E142:F142"/>
    <mergeCell ref="I142:K142"/>
    <mergeCell ref="M2:M4"/>
    <mergeCell ref="B1:K1"/>
    <mergeCell ref="B2:C3"/>
    <mergeCell ref="E2:F3"/>
    <mergeCell ref="L2:L4"/>
    <mergeCell ref="N2:N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เย็น 162</vt:lpstr>
      <vt:lpstr>เช้า 208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2024-10-30T00:45:46Z</cp:lastPrinted>
  <dcterms:created xsi:type="dcterms:W3CDTF">2024-04-30T05:21:27Z</dcterms:created>
  <dcterms:modified xsi:type="dcterms:W3CDTF">2024-11-01T09:34:29Z</dcterms:modified>
</cp:coreProperties>
</file>